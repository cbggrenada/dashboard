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drawings/drawing1.xml" ContentType="application/vnd.openxmlformats-officedocument.drawing+xml"/>
  <Override PartName="/xl/comments2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Operations\Brewing\Reports Local\Daily Process Report\2025 Daily Process Report\"/>
    </mc:Choice>
  </mc:AlternateContent>
  <xr:revisionPtr revIDLastSave="0" documentId="13_ncr:1_{D9201000-E832-4154-977A-FC387C50CDBD}" xr6:coauthVersionLast="47" xr6:coauthVersionMax="47" xr10:uidLastSave="{00000000-0000-0000-0000-000000000000}"/>
  <bookViews>
    <workbookView xWindow="-108" yWindow="-108" windowWidth="23256" windowHeight="12456" tabRatio="599" firstSheet="4" activeTab="6" xr2:uid="{1120807F-7390-4E10-A66F-84111922E872}"/>
  </bookViews>
  <sheets>
    <sheet name="Dec 18th" sheetId="658" state="hidden" r:id="rId1"/>
    <sheet name="May 2nd -4th" sheetId="745" r:id="rId2"/>
    <sheet name="May 5th" sheetId="744" r:id="rId3"/>
    <sheet name="May 6th" sheetId="746" r:id="rId4"/>
    <sheet name="May 7th" sheetId="747" r:id="rId5"/>
    <sheet name="May 8th" sheetId="748" r:id="rId6"/>
    <sheet name="May 9th-10th" sheetId="749" r:id="rId7"/>
    <sheet name="May 12th" sheetId="750" r:id="rId8"/>
    <sheet name="May 13th" sheetId="751" r:id="rId9"/>
    <sheet name="May 14th" sheetId="752" r:id="rId10"/>
    <sheet name="May 15th" sheetId="753" r:id="rId11"/>
    <sheet name="May 16th" sheetId="754" r:id="rId12"/>
    <sheet name="May 19th" sheetId="755" r:id="rId13"/>
    <sheet name="May 20th" sheetId="756" r:id="rId14"/>
    <sheet name="May 21st" sheetId="757" r:id="rId15"/>
    <sheet name="May 22nd" sheetId="758" r:id="rId16"/>
    <sheet name="May 23rd" sheetId="759" r:id="rId17"/>
    <sheet name="May 26th" sheetId="760" r:id="rId18"/>
    <sheet name="May 27th" sheetId="761" r:id="rId19"/>
    <sheet name="May 28th" sheetId="762" r:id="rId20"/>
    <sheet name="May 30th" sheetId="763" r:id="rId21"/>
    <sheet name="MTD_Links" sheetId="18" r:id="rId22"/>
    <sheet name="YTD_Links" sheetId="19" r:id="rId23"/>
    <sheet name="KPIs" sheetId="20" state="hidden" r:id="rId24"/>
    <sheet name="Brewer Performance" sheetId="21" state="hidden" r:id="rId25"/>
  </sheets>
  <externalReferences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_xlnm.Print_Area" localSheetId="24">'Brewer Performance'!$B$2:$K$35</definedName>
    <definedName name="_xlnm.Print_Area" localSheetId="21">MTD_Links!$B$2:$K$65</definedName>
    <definedName name="_xlnm.Print_Area" localSheetId="22">YTD_Links!$B$2:$K$65</definedName>
    <definedName name="ProductList" localSheetId="24">[1]November15!$R$3:$R$9</definedName>
    <definedName name="ProductList">[2]November15!$R$3:$R$9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7" i="763" l="1"/>
  <c r="K27" i="763" l="1"/>
  <c r="G58" i="758"/>
  <c r="L42" i="763" l="1"/>
  <c r="E58" i="763" l="1"/>
  <c r="K58" i="763"/>
  <c r="K66" i="763" s="1"/>
  <c r="C41" i="763"/>
  <c r="C42" i="763"/>
  <c r="C43" i="763"/>
  <c r="C44" i="763"/>
  <c r="G58" i="763"/>
  <c r="C27" i="763"/>
  <c r="C28" i="763"/>
  <c r="C29" i="763"/>
  <c r="C30" i="763"/>
  <c r="C31" i="763"/>
  <c r="C32" i="763"/>
  <c r="C33" i="763"/>
  <c r="C34" i="763"/>
  <c r="K56" i="763"/>
  <c r="K63" i="763" s="1"/>
  <c r="G56" i="763"/>
  <c r="B58" i="763"/>
  <c r="B56" i="763"/>
  <c r="I51" i="763" l="1"/>
  <c r="B39" i="763"/>
  <c r="B27" i="763"/>
  <c r="C18" i="763"/>
  <c r="D18" i="763"/>
  <c r="E18" i="763"/>
  <c r="F18" i="763"/>
  <c r="G18" i="763"/>
  <c r="I18" i="763"/>
  <c r="J18" i="763"/>
  <c r="K18" i="763"/>
  <c r="L18" i="763"/>
  <c r="M18" i="763"/>
  <c r="N18" i="763"/>
  <c r="O18" i="763"/>
  <c r="C19" i="763"/>
  <c r="D19" i="763"/>
  <c r="E19" i="763"/>
  <c r="F19" i="763"/>
  <c r="G19" i="763"/>
  <c r="I19" i="763"/>
  <c r="J19" i="763"/>
  <c r="K19" i="763"/>
  <c r="L19" i="763"/>
  <c r="M19" i="763"/>
  <c r="N19" i="763"/>
  <c r="O19" i="763"/>
  <c r="R10" i="763" l="1"/>
  <c r="S10" i="763"/>
  <c r="T10" i="763"/>
  <c r="U10" i="763"/>
  <c r="V10" i="763"/>
  <c r="W10" i="763"/>
  <c r="X10" i="763"/>
  <c r="Y10" i="763"/>
  <c r="Z10" i="763"/>
  <c r="R11" i="763"/>
  <c r="S11" i="763"/>
  <c r="T11" i="763"/>
  <c r="U11" i="763"/>
  <c r="V11" i="763"/>
  <c r="W11" i="763"/>
  <c r="X11" i="763"/>
  <c r="Y11" i="763"/>
  <c r="Z11" i="763"/>
  <c r="R12" i="763"/>
  <c r="S12" i="763"/>
  <c r="T12" i="763"/>
  <c r="U12" i="763"/>
  <c r="V12" i="763"/>
  <c r="W12" i="763"/>
  <c r="X12" i="763"/>
  <c r="Y12" i="763"/>
  <c r="Z12" i="763"/>
  <c r="R13" i="763"/>
  <c r="S13" i="763"/>
  <c r="T13" i="763"/>
  <c r="U13" i="763"/>
  <c r="V13" i="763"/>
  <c r="W13" i="763"/>
  <c r="X13" i="763"/>
  <c r="Y13" i="763"/>
  <c r="Z13" i="763"/>
  <c r="R14" i="763"/>
  <c r="S14" i="763"/>
  <c r="T14" i="763"/>
  <c r="U14" i="763"/>
  <c r="V14" i="763"/>
  <c r="W14" i="763"/>
  <c r="X14" i="763"/>
  <c r="Y14" i="763"/>
  <c r="Z14" i="763"/>
  <c r="R15" i="763"/>
  <c r="S15" i="763"/>
  <c r="T15" i="763"/>
  <c r="U15" i="763"/>
  <c r="V15" i="763"/>
  <c r="W15" i="763"/>
  <c r="X15" i="763"/>
  <c r="Y15" i="763"/>
  <c r="Z15" i="763"/>
  <c r="R17" i="763"/>
  <c r="S17" i="763"/>
  <c r="T17" i="763"/>
  <c r="U17" i="763"/>
  <c r="V17" i="763"/>
  <c r="W17" i="763"/>
  <c r="X17" i="763"/>
  <c r="Y17" i="763"/>
  <c r="Z17" i="763"/>
  <c r="R18" i="763"/>
  <c r="S18" i="763"/>
  <c r="T18" i="763"/>
  <c r="U18" i="763"/>
  <c r="V18" i="763"/>
  <c r="W18" i="763"/>
  <c r="X18" i="763"/>
  <c r="Y18" i="763"/>
  <c r="Z18" i="763"/>
  <c r="R19" i="763"/>
  <c r="S19" i="763"/>
  <c r="T19" i="763"/>
  <c r="U19" i="763"/>
  <c r="V19" i="763"/>
  <c r="W19" i="763"/>
  <c r="X19" i="763"/>
  <c r="Y19" i="763"/>
  <c r="Z19" i="763"/>
  <c r="R20" i="763"/>
  <c r="S20" i="763"/>
  <c r="T20" i="763"/>
  <c r="U20" i="763"/>
  <c r="V20" i="763"/>
  <c r="W20" i="763"/>
  <c r="X20" i="763"/>
  <c r="Y20" i="763"/>
  <c r="Z20" i="763"/>
  <c r="R21" i="763"/>
  <c r="S21" i="763"/>
  <c r="T21" i="763"/>
  <c r="U21" i="763"/>
  <c r="V21" i="763"/>
  <c r="W21" i="763"/>
  <c r="X21" i="763"/>
  <c r="Y21" i="763"/>
  <c r="Z21" i="763"/>
  <c r="R22" i="763"/>
  <c r="S22" i="763"/>
  <c r="T22" i="763"/>
  <c r="U22" i="763"/>
  <c r="V22" i="763"/>
  <c r="W22" i="763"/>
  <c r="X22" i="763"/>
  <c r="Y22" i="763"/>
  <c r="Z22" i="763"/>
  <c r="I10" i="763"/>
  <c r="J10" i="763"/>
  <c r="K10" i="763"/>
  <c r="L10" i="763"/>
  <c r="M10" i="763"/>
  <c r="N10" i="763"/>
  <c r="O10" i="763"/>
  <c r="I11" i="763"/>
  <c r="J11" i="763"/>
  <c r="K11" i="763"/>
  <c r="L11" i="763"/>
  <c r="M11" i="763"/>
  <c r="N11" i="763"/>
  <c r="O11" i="763"/>
  <c r="I12" i="763"/>
  <c r="J12" i="763"/>
  <c r="K12" i="763"/>
  <c r="L12" i="763"/>
  <c r="M12" i="763"/>
  <c r="N12" i="763"/>
  <c r="O12" i="763"/>
  <c r="I13" i="763"/>
  <c r="J13" i="763"/>
  <c r="K13" i="763"/>
  <c r="L13" i="763"/>
  <c r="M13" i="763"/>
  <c r="N13" i="763"/>
  <c r="O13" i="763"/>
  <c r="I14" i="763"/>
  <c r="J14" i="763"/>
  <c r="K14" i="763"/>
  <c r="L14" i="763"/>
  <c r="M14" i="763"/>
  <c r="N14" i="763"/>
  <c r="O14" i="763"/>
  <c r="I15" i="763"/>
  <c r="J15" i="763"/>
  <c r="K15" i="763"/>
  <c r="L15" i="763"/>
  <c r="M15" i="763"/>
  <c r="N15" i="763"/>
  <c r="O15" i="763"/>
  <c r="C10" i="763"/>
  <c r="D10" i="763"/>
  <c r="E10" i="763"/>
  <c r="F10" i="763"/>
  <c r="G10" i="763"/>
  <c r="C11" i="763"/>
  <c r="D11" i="763"/>
  <c r="E11" i="763"/>
  <c r="F11" i="763"/>
  <c r="G11" i="763"/>
  <c r="C12" i="763"/>
  <c r="D12" i="763"/>
  <c r="E12" i="763"/>
  <c r="F12" i="763"/>
  <c r="G12" i="763"/>
  <c r="C13" i="763"/>
  <c r="D13" i="763"/>
  <c r="E13" i="763"/>
  <c r="F13" i="763"/>
  <c r="G13" i="763"/>
  <c r="C14" i="763"/>
  <c r="D14" i="763"/>
  <c r="E14" i="763"/>
  <c r="F14" i="763"/>
  <c r="G14" i="763"/>
  <c r="C15" i="763"/>
  <c r="D15" i="763"/>
  <c r="E15" i="763"/>
  <c r="F15" i="763"/>
  <c r="G15" i="763"/>
  <c r="F68" i="763"/>
  <c r="AX58" i="763"/>
  <c r="AW58" i="763"/>
  <c r="AV58" i="763"/>
  <c r="AU58" i="763"/>
  <c r="AT58" i="763"/>
  <c r="AS58" i="763"/>
  <c r="AR58" i="763"/>
  <c r="AQ58" i="763"/>
  <c r="AP58" i="763"/>
  <c r="AO58" i="763"/>
  <c r="AN58" i="763"/>
  <c r="AM58" i="763"/>
  <c r="AL58" i="763"/>
  <c r="AK58" i="763"/>
  <c r="AJ58" i="763"/>
  <c r="AI58" i="763"/>
  <c r="AH58" i="763"/>
  <c r="AG58" i="763"/>
  <c r="AF58" i="763"/>
  <c r="AE58" i="763"/>
  <c r="AD58" i="763"/>
  <c r="AC58" i="763"/>
  <c r="AB58" i="763"/>
  <c r="D49" i="763"/>
  <c r="M34" i="763"/>
  <c r="M33" i="763"/>
  <c r="L33" i="763"/>
  <c r="K33" i="763"/>
  <c r="M32" i="763"/>
  <c r="M30" i="763"/>
  <c r="L30" i="763"/>
  <c r="K30" i="763"/>
  <c r="L29" i="763"/>
  <c r="K29" i="763"/>
  <c r="M28" i="763"/>
  <c r="L28" i="763"/>
  <c r="K28" i="763"/>
  <c r="Z26" i="763"/>
  <c r="Y26" i="763"/>
  <c r="X26" i="763"/>
  <c r="W26" i="763"/>
  <c r="V26" i="763"/>
  <c r="U26" i="763"/>
  <c r="T26" i="763"/>
  <c r="S26" i="763"/>
  <c r="R26" i="763"/>
  <c r="Z25" i="763"/>
  <c r="Y25" i="763"/>
  <c r="X25" i="763"/>
  <c r="W25" i="763"/>
  <c r="V25" i="763"/>
  <c r="U25" i="763"/>
  <c r="T25" i="763"/>
  <c r="S25" i="763"/>
  <c r="R25" i="763"/>
  <c r="Z24" i="763"/>
  <c r="Y24" i="763"/>
  <c r="X24" i="763"/>
  <c r="W24" i="763"/>
  <c r="V24" i="763"/>
  <c r="U24" i="763"/>
  <c r="T24" i="763"/>
  <c r="S24" i="763"/>
  <c r="R24" i="763"/>
  <c r="Z23" i="763"/>
  <c r="Y23" i="763"/>
  <c r="X23" i="763"/>
  <c r="W23" i="763"/>
  <c r="V23" i="763"/>
  <c r="U23" i="763"/>
  <c r="T23" i="763"/>
  <c r="S23" i="763"/>
  <c r="R23" i="763"/>
  <c r="K36" i="762"/>
  <c r="K35" i="762"/>
  <c r="M22" i="762"/>
  <c r="L22" i="762"/>
  <c r="K22" i="762"/>
  <c r="K21" i="762"/>
  <c r="C15" i="762"/>
  <c r="D15" i="762"/>
  <c r="E15" i="762"/>
  <c r="F15" i="762"/>
  <c r="G15" i="762"/>
  <c r="I15" i="762"/>
  <c r="J15" i="762"/>
  <c r="K15" i="762"/>
  <c r="L15" i="762"/>
  <c r="M15" i="762"/>
  <c r="N15" i="762"/>
  <c r="O15" i="762"/>
  <c r="C16" i="762"/>
  <c r="D16" i="762"/>
  <c r="E16" i="762"/>
  <c r="F16" i="762"/>
  <c r="G16" i="762"/>
  <c r="I16" i="762"/>
  <c r="J16" i="762"/>
  <c r="K16" i="762"/>
  <c r="L16" i="762"/>
  <c r="M16" i="762"/>
  <c r="N16" i="762"/>
  <c r="O16" i="762"/>
  <c r="C13" i="762"/>
  <c r="D13" i="762"/>
  <c r="E13" i="762"/>
  <c r="F13" i="762"/>
  <c r="G13" i="762"/>
  <c r="J13" i="762"/>
  <c r="K13" i="762"/>
  <c r="L13" i="762"/>
  <c r="M13" i="762"/>
  <c r="N13" i="762"/>
  <c r="O13" i="762"/>
  <c r="C14" i="762"/>
  <c r="D14" i="762"/>
  <c r="E14" i="762"/>
  <c r="F14" i="762"/>
  <c r="G14" i="762"/>
  <c r="I14" i="762"/>
  <c r="J14" i="762"/>
  <c r="K14" i="762"/>
  <c r="L14" i="762"/>
  <c r="M14" i="762"/>
  <c r="N14" i="762"/>
  <c r="O14" i="762"/>
  <c r="J27" i="763" l="1"/>
  <c r="K51" i="763"/>
  <c r="K37" i="763"/>
  <c r="C10" i="762"/>
  <c r="D10" i="762"/>
  <c r="E10" i="762"/>
  <c r="F10" i="762"/>
  <c r="G10" i="762"/>
  <c r="L10" i="762"/>
  <c r="M10" i="762"/>
  <c r="O10" i="762"/>
  <c r="C11" i="762"/>
  <c r="D11" i="762"/>
  <c r="E11" i="762"/>
  <c r="F11" i="762"/>
  <c r="G11" i="762"/>
  <c r="L11" i="762"/>
  <c r="M11" i="762"/>
  <c r="O11" i="762"/>
  <c r="F62" i="762"/>
  <c r="AX52" i="762"/>
  <c r="AW52" i="762"/>
  <c r="AV52" i="762"/>
  <c r="AU52" i="762"/>
  <c r="AT52" i="762"/>
  <c r="AS52" i="762"/>
  <c r="AR52" i="762"/>
  <c r="AQ52" i="762"/>
  <c r="AP52" i="762"/>
  <c r="AO52" i="762"/>
  <c r="AN52" i="762"/>
  <c r="AM52" i="762"/>
  <c r="AL52" i="762"/>
  <c r="AK52" i="762"/>
  <c r="AJ52" i="762"/>
  <c r="AI52" i="762"/>
  <c r="AH52" i="762"/>
  <c r="AG52" i="762"/>
  <c r="AF52" i="762"/>
  <c r="AE52" i="762"/>
  <c r="AD52" i="762"/>
  <c r="AC52" i="762"/>
  <c r="AB52" i="762"/>
  <c r="K45" i="762"/>
  <c r="D43" i="762"/>
  <c r="M28" i="762"/>
  <c r="M27" i="762"/>
  <c r="L27" i="762"/>
  <c r="K27" i="762"/>
  <c r="M26" i="762"/>
  <c r="M24" i="762"/>
  <c r="L24" i="762"/>
  <c r="K24" i="762"/>
  <c r="L23" i="762"/>
  <c r="K23" i="762"/>
  <c r="Z20" i="762"/>
  <c r="Y20" i="762"/>
  <c r="X20" i="762"/>
  <c r="W20" i="762"/>
  <c r="V20" i="762"/>
  <c r="U20" i="762"/>
  <c r="T20" i="762"/>
  <c r="S20" i="762"/>
  <c r="R20" i="762"/>
  <c r="Z19" i="762"/>
  <c r="Y19" i="762"/>
  <c r="X19" i="762"/>
  <c r="W19" i="762"/>
  <c r="V19" i="762"/>
  <c r="U19" i="762"/>
  <c r="T19" i="762"/>
  <c r="S19" i="762"/>
  <c r="R19" i="762"/>
  <c r="Z18" i="762"/>
  <c r="Y18" i="762"/>
  <c r="X18" i="762"/>
  <c r="W18" i="762"/>
  <c r="V18" i="762"/>
  <c r="U18" i="762"/>
  <c r="T18" i="762"/>
  <c r="S18" i="762"/>
  <c r="R18" i="762"/>
  <c r="Z17" i="762"/>
  <c r="Y17" i="762"/>
  <c r="X17" i="762"/>
  <c r="W17" i="762"/>
  <c r="V17" i="762"/>
  <c r="U17" i="762"/>
  <c r="T17" i="762"/>
  <c r="S17" i="762"/>
  <c r="R17" i="762"/>
  <c r="Z16" i="762"/>
  <c r="Y16" i="762"/>
  <c r="X16" i="762"/>
  <c r="W16" i="762"/>
  <c r="V16" i="762"/>
  <c r="U16" i="762"/>
  <c r="T16" i="762"/>
  <c r="S16" i="762"/>
  <c r="R16" i="762"/>
  <c r="Z15" i="762"/>
  <c r="Y15" i="762"/>
  <c r="X15" i="762"/>
  <c r="W15" i="762"/>
  <c r="V15" i="762"/>
  <c r="U15" i="762"/>
  <c r="T15" i="762"/>
  <c r="S15" i="762"/>
  <c r="R15" i="762"/>
  <c r="Z14" i="762"/>
  <c r="Y14" i="762"/>
  <c r="X14" i="762"/>
  <c r="W14" i="762"/>
  <c r="V14" i="762"/>
  <c r="U14" i="762"/>
  <c r="T14" i="762"/>
  <c r="S14" i="762"/>
  <c r="R14" i="762"/>
  <c r="Z13" i="762"/>
  <c r="Y13" i="762"/>
  <c r="X13" i="762"/>
  <c r="W13" i="762"/>
  <c r="V13" i="762"/>
  <c r="U13" i="762"/>
  <c r="T13" i="762"/>
  <c r="S13" i="762"/>
  <c r="R13" i="762"/>
  <c r="Z11" i="762"/>
  <c r="Y11" i="762"/>
  <c r="X11" i="762"/>
  <c r="W11" i="762"/>
  <c r="V11" i="762"/>
  <c r="U11" i="762"/>
  <c r="T11" i="762"/>
  <c r="S11" i="762"/>
  <c r="R11" i="762"/>
  <c r="Z10" i="762"/>
  <c r="Y10" i="762"/>
  <c r="X10" i="762"/>
  <c r="W10" i="762"/>
  <c r="V10" i="762"/>
  <c r="U10" i="762"/>
  <c r="T10" i="762"/>
  <c r="S10" i="762"/>
  <c r="R10" i="762"/>
  <c r="K17" i="761"/>
  <c r="K18" i="76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P45" i="21"/>
  <c r="D45" i="21"/>
  <c r="P44" i="21"/>
  <c r="H44" i="21"/>
  <c r="E44" i="21"/>
  <c r="D44" i="21"/>
  <c r="P42" i="21"/>
  <c r="P41" i="21"/>
  <c r="H41" i="21"/>
  <c r="E41" i="21"/>
  <c r="D41" i="21"/>
  <c r="P40" i="21"/>
  <c r="H40" i="21"/>
  <c r="E40" i="21"/>
  <c r="D40" i="21"/>
  <c r="F38" i="21"/>
  <c r="F10" i="21"/>
  <c r="E10" i="21"/>
  <c r="F9" i="21"/>
  <c r="E9" i="21"/>
  <c r="F8" i="21"/>
  <c r="E8" i="21"/>
  <c r="F7" i="21"/>
  <c r="E7" i="21"/>
  <c r="F6" i="21"/>
  <c r="E6" i="21"/>
  <c r="F5" i="21"/>
  <c r="E5" i="21"/>
  <c r="E3" i="21"/>
  <c r="J63" i="19"/>
  <c r="G63" i="19"/>
  <c r="J61" i="19"/>
  <c r="J60" i="19"/>
  <c r="G60" i="19"/>
  <c r="D40" i="19"/>
  <c r="D37" i="19"/>
  <c r="D36" i="19"/>
  <c r="D34" i="19"/>
  <c r="D33" i="19"/>
  <c r="C33" i="19"/>
  <c r="E29" i="19"/>
  <c r="E27" i="19"/>
  <c r="K26" i="19"/>
  <c r="E26" i="19"/>
  <c r="K25" i="19"/>
  <c r="E25" i="19"/>
  <c r="K24" i="19"/>
  <c r="E24" i="19"/>
  <c r="K23" i="19"/>
  <c r="E23" i="19"/>
  <c r="I20" i="19"/>
  <c r="J13" i="19"/>
  <c r="I13" i="19"/>
  <c r="H13" i="19"/>
  <c r="G13" i="19"/>
  <c r="F13" i="19"/>
  <c r="E13" i="19"/>
  <c r="D13" i="19"/>
  <c r="C13" i="19"/>
  <c r="J12" i="19"/>
  <c r="I12" i="19"/>
  <c r="H12" i="19"/>
  <c r="G12" i="19"/>
  <c r="F12" i="19"/>
  <c r="E12" i="19"/>
  <c r="D12" i="19"/>
  <c r="C12" i="19"/>
  <c r="J11" i="19"/>
  <c r="I11" i="19"/>
  <c r="H11" i="19"/>
  <c r="G11" i="19"/>
  <c r="F11" i="19"/>
  <c r="E11" i="19"/>
  <c r="D11" i="19"/>
  <c r="C11" i="19"/>
  <c r="J10" i="19"/>
  <c r="I10" i="19"/>
  <c r="H10" i="19"/>
  <c r="G10" i="19"/>
  <c r="F10" i="19"/>
  <c r="E10" i="19"/>
  <c r="D10" i="19"/>
  <c r="C10" i="19"/>
  <c r="J65" i="18"/>
  <c r="J64" i="18"/>
  <c r="G64" i="18"/>
  <c r="D64" i="18"/>
  <c r="J63" i="18"/>
  <c r="G63" i="18"/>
  <c r="D63" i="18"/>
  <c r="J62" i="18"/>
  <c r="J61" i="18"/>
  <c r="G61" i="18"/>
  <c r="D61" i="18"/>
  <c r="J60" i="18"/>
  <c r="G60" i="18"/>
  <c r="D60" i="18"/>
  <c r="J59" i="18"/>
  <c r="J58" i="18"/>
  <c r="J57" i="18"/>
  <c r="J56" i="18"/>
  <c r="D40" i="18"/>
  <c r="D37" i="18"/>
  <c r="D36" i="18"/>
  <c r="D34" i="18"/>
  <c r="D33" i="18"/>
  <c r="C33" i="18"/>
  <c r="E29" i="18"/>
  <c r="E27" i="18"/>
  <c r="K26" i="18"/>
  <c r="E26" i="18"/>
  <c r="K25" i="18"/>
  <c r="E25" i="18"/>
  <c r="K24" i="18"/>
  <c r="E24" i="18"/>
  <c r="K23" i="18"/>
  <c r="E23" i="18"/>
  <c r="I20" i="18"/>
  <c r="J13" i="18"/>
  <c r="I13" i="18"/>
  <c r="H13" i="18"/>
  <c r="G13" i="18"/>
  <c r="F13" i="18"/>
  <c r="E13" i="18"/>
  <c r="D13" i="18"/>
  <c r="C13" i="18"/>
  <c r="J12" i="18"/>
  <c r="I12" i="18"/>
  <c r="H12" i="18"/>
  <c r="G12" i="18"/>
  <c r="F12" i="18"/>
  <c r="E12" i="18"/>
  <c r="D12" i="18"/>
  <c r="C12" i="18"/>
  <c r="J11" i="18"/>
  <c r="I11" i="18"/>
  <c r="H11" i="18"/>
  <c r="G11" i="18"/>
  <c r="F11" i="18"/>
  <c r="E11" i="18"/>
  <c r="D11" i="18"/>
  <c r="C11" i="18"/>
  <c r="J10" i="18"/>
  <c r="I10" i="18"/>
  <c r="H10" i="18"/>
  <c r="G10" i="18"/>
  <c r="F10" i="18"/>
  <c r="E10" i="18"/>
  <c r="D10" i="18"/>
  <c r="C10" i="18"/>
  <c r="F70" i="761"/>
  <c r="AX60" i="761"/>
  <c r="AW60" i="761"/>
  <c r="AV60" i="761"/>
  <c r="AU60" i="761"/>
  <c r="AT60" i="761"/>
  <c r="AS60" i="761"/>
  <c r="AR60" i="761"/>
  <c r="AQ60" i="761"/>
  <c r="AP60" i="761"/>
  <c r="AO60" i="761"/>
  <c r="AN60" i="761"/>
  <c r="AM60" i="761"/>
  <c r="AL60" i="761"/>
  <c r="AK60" i="761"/>
  <c r="AJ60" i="761"/>
  <c r="AI60" i="761"/>
  <c r="AH60" i="761"/>
  <c r="AG60" i="761"/>
  <c r="AF60" i="761"/>
  <c r="AE60" i="761"/>
  <c r="AD60" i="761"/>
  <c r="AC60" i="761"/>
  <c r="AB60" i="761"/>
  <c r="K58" i="761"/>
  <c r="K65" i="761" s="1"/>
  <c r="G58" i="761"/>
  <c r="B58" i="761"/>
  <c r="K53" i="761"/>
  <c r="D51" i="761"/>
  <c r="M44" i="761"/>
  <c r="L44" i="761"/>
  <c r="C40" i="761"/>
  <c r="C39" i="761"/>
  <c r="C38" i="761"/>
  <c r="C37" i="761"/>
  <c r="M36" i="761"/>
  <c r="C36" i="761"/>
  <c r="M35" i="761"/>
  <c r="L35" i="761"/>
  <c r="K35" i="761"/>
  <c r="C35" i="761"/>
  <c r="M34" i="761"/>
  <c r="C34" i="761"/>
  <c r="C33" i="761"/>
  <c r="M32" i="761"/>
  <c r="L32" i="761"/>
  <c r="K32" i="761"/>
  <c r="C32" i="761"/>
  <c r="L31" i="761"/>
  <c r="K31" i="761"/>
  <c r="C31" i="761"/>
  <c r="M30" i="761"/>
  <c r="L30" i="761"/>
  <c r="K30" i="761"/>
  <c r="C30" i="761"/>
  <c r="K29" i="761"/>
  <c r="C29" i="761"/>
  <c r="B29" i="761"/>
  <c r="Z28" i="761"/>
  <c r="Y28" i="761"/>
  <c r="X28" i="761"/>
  <c r="W28" i="761"/>
  <c r="V28" i="761"/>
  <c r="U28" i="761"/>
  <c r="T28" i="761"/>
  <c r="S28" i="761"/>
  <c r="R28" i="761"/>
  <c r="Z27" i="761"/>
  <c r="Y27" i="761"/>
  <c r="X27" i="761"/>
  <c r="W27" i="761"/>
  <c r="V27" i="761"/>
  <c r="U27" i="761"/>
  <c r="T27" i="761"/>
  <c r="S27" i="761"/>
  <c r="R27" i="761"/>
  <c r="Z26" i="761"/>
  <c r="Y26" i="761"/>
  <c r="X26" i="761"/>
  <c r="W26" i="761"/>
  <c r="V26" i="761"/>
  <c r="U26" i="761"/>
  <c r="T26" i="761"/>
  <c r="S26" i="761"/>
  <c r="R26" i="761"/>
  <c r="Z25" i="761"/>
  <c r="Y25" i="761"/>
  <c r="X25" i="761"/>
  <c r="W25" i="761"/>
  <c r="V25" i="761"/>
  <c r="U25" i="761"/>
  <c r="T25" i="761"/>
  <c r="S25" i="761"/>
  <c r="R25" i="761"/>
  <c r="Z24" i="761"/>
  <c r="Y24" i="761"/>
  <c r="X24" i="761"/>
  <c r="W24" i="761"/>
  <c r="V24" i="761"/>
  <c r="U24" i="761"/>
  <c r="T24" i="761"/>
  <c r="S24" i="761"/>
  <c r="R24" i="761"/>
  <c r="Z23" i="761"/>
  <c r="Y23" i="761"/>
  <c r="X23" i="761"/>
  <c r="W23" i="761"/>
  <c r="V23" i="761"/>
  <c r="U23" i="761"/>
  <c r="T23" i="761"/>
  <c r="S23" i="761"/>
  <c r="R23" i="761"/>
  <c r="Z22" i="761"/>
  <c r="Y22" i="761"/>
  <c r="X22" i="761"/>
  <c r="W22" i="761"/>
  <c r="V22" i="761"/>
  <c r="U22" i="761"/>
  <c r="T22" i="761"/>
  <c r="S22" i="761"/>
  <c r="R22" i="761"/>
  <c r="Z21" i="761"/>
  <c r="Y21" i="761"/>
  <c r="X21" i="761"/>
  <c r="W21" i="761"/>
  <c r="V21" i="761"/>
  <c r="U21" i="761"/>
  <c r="T21" i="761"/>
  <c r="S21" i="761"/>
  <c r="R21" i="761"/>
  <c r="Z20" i="761"/>
  <c r="Y20" i="761"/>
  <c r="X20" i="761"/>
  <c r="W20" i="761"/>
  <c r="V20" i="761"/>
  <c r="U20" i="761"/>
  <c r="T20" i="761"/>
  <c r="S20" i="761"/>
  <c r="R20" i="761"/>
  <c r="Z19" i="761"/>
  <c r="Y19" i="761"/>
  <c r="X19" i="761"/>
  <c r="W19" i="761"/>
  <c r="V19" i="761"/>
  <c r="U19" i="761"/>
  <c r="T19" i="761"/>
  <c r="S19" i="761"/>
  <c r="R19" i="761"/>
  <c r="O18" i="761"/>
  <c r="N18" i="761"/>
  <c r="M18" i="761"/>
  <c r="L18" i="761"/>
  <c r="J18" i="761"/>
  <c r="I18" i="761"/>
  <c r="G18" i="761"/>
  <c r="F18" i="761"/>
  <c r="E18" i="761"/>
  <c r="D18" i="761"/>
  <c r="C18" i="761"/>
  <c r="Z17" i="761"/>
  <c r="Y17" i="761"/>
  <c r="X17" i="761"/>
  <c r="W17" i="761"/>
  <c r="V17" i="761"/>
  <c r="U17" i="761"/>
  <c r="T17" i="761"/>
  <c r="S17" i="761"/>
  <c r="R17" i="761"/>
  <c r="O17" i="761"/>
  <c r="N17" i="761"/>
  <c r="M17" i="761"/>
  <c r="L17" i="761"/>
  <c r="J17" i="761"/>
  <c r="I17" i="761"/>
  <c r="G17" i="761"/>
  <c r="F17" i="761"/>
  <c r="E17" i="761"/>
  <c r="D17" i="761"/>
  <c r="C17" i="761"/>
  <c r="Z16" i="761"/>
  <c r="Y16" i="761"/>
  <c r="X16" i="761"/>
  <c r="W16" i="761"/>
  <c r="V16" i="761"/>
  <c r="U16" i="761"/>
  <c r="T16" i="761"/>
  <c r="S16" i="761"/>
  <c r="R16" i="761"/>
  <c r="Z15" i="761"/>
  <c r="Y15" i="761"/>
  <c r="X15" i="761"/>
  <c r="W15" i="761"/>
  <c r="V15" i="761"/>
  <c r="U15" i="761"/>
  <c r="T15" i="761"/>
  <c r="S15" i="761"/>
  <c r="R15" i="761"/>
  <c r="O15" i="761"/>
  <c r="N15" i="761"/>
  <c r="M15" i="761"/>
  <c r="L15" i="761"/>
  <c r="J15" i="761"/>
  <c r="I15" i="761"/>
  <c r="G15" i="761"/>
  <c r="F15" i="761"/>
  <c r="E15" i="761"/>
  <c r="D15" i="761"/>
  <c r="C15" i="761"/>
  <c r="Z14" i="761"/>
  <c r="Y14" i="761"/>
  <c r="X14" i="761"/>
  <c r="W14" i="761"/>
  <c r="V14" i="761"/>
  <c r="U14" i="761"/>
  <c r="T14" i="761"/>
  <c r="S14" i="761"/>
  <c r="R14" i="761"/>
  <c r="O14" i="761"/>
  <c r="N14" i="761"/>
  <c r="M14" i="761"/>
  <c r="L14" i="761"/>
  <c r="J14" i="761"/>
  <c r="I14" i="761"/>
  <c r="G14" i="761"/>
  <c r="F14" i="761"/>
  <c r="E14" i="761"/>
  <c r="D14" i="761"/>
  <c r="C14" i="761"/>
  <c r="Z13" i="761"/>
  <c r="Y13" i="761"/>
  <c r="X13" i="761"/>
  <c r="W13" i="761"/>
  <c r="V13" i="761"/>
  <c r="U13" i="761"/>
  <c r="T13" i="761"/>
  <c r="S13" i="761"/>
  <c r="R13" i="761"/>
  <c r="O13" i="761"/>
  <c r="N13" i="761"/>
  <c r="M13" i="761"/>
  <c r="L13" i="761"/>
  <c r="J13" i="761"/>
  <c r="I13" i="761"/>
  <c r="G13" i="761"/>
  <c r="F13" i="761"/>
  <c r="E13" i="761"/>
  <c r="D13" i="761"/>
  <c r="C13" i="761"/>
  <c r="Z12" i="761"/>
  <c r="Y12" i="761"/>
  <c r="X12" i="761"/>
  <c r="W12" i="761"/>
  <c r="V12" i="761"/>
  <c r="U12" i="761"/>
  <c r="T12" i="761"/>
  <c r="S12" i="761"/>
  <c r="R12" i="761"/>
  <c r="O12" i="761"/>
  <c r="N12" i="761"/>
  <c r="M12" i="761"/>
  <c r="L12" i="761"/>
  <c r="J12" i="761"/>
  <c r="I12" i="761"/>
  <c r="G12" i="761"/>
  <c r="F12" i="761"/>
  <c r="E12" i="761"/>
  <c r="D12" i="761"/>
  <c r="C12" i="761"/>
  <c r="Z11" i="761"/>
  <c r="Y11" i="761"/>
  <c r="X11" i="761"/>
  <c r="W11" i="761"/>
  <c r="V11" i="761"/>
  <c r="U11" i="761"/>
  <c r="T11" i="761"/>
  <c r="S11" i="761"/>
  <c r="R11" i="761"/>
  <c r="O11" i="761"/>
  <c r="N11" i="761"/>
  <c r="M11" i="761"/>
  <c r="L11" i="761"/>
  <c r="J11" i="761"/>
  <c r="I11" i="761"/>
  <c r="G11" i="761"/>
  <c r="F11" i="761"/>
  <c r="E11" i="761"/>
  <c r="D11" i="761"/>
  <c r="C11" i="761"/>
  <c r="Z10" i="761"/>
  <c r="Y10" i="761"/>
  <c r="X10" i="761"/>
  <c r="W10" i="761"/>
  <c r="V10" i="761"/>
  <c r="U10" i="761"/>
  <c r="T10" i="761"/>
  <c r="S10" i="761"/>
  <c r="R10" i="761"/>
  <c r="O10" i="761"/>
  <c r="N10" i="761"/>
  <c r="M10" i="761"/>
  <c r="L10" i="761"/>
  <c r="J10" i="761"/>
  <c r="I10" i="761"/>
  <c r="G10" i="761"/>
  <c r="F10" i="761"/>
  <c r="E10" i="761"/>
  <c r="D10" i="761"/>
  <c r="C10" i="761"/>
  <c r="F70" i="760"/>
  <c r="AX60" i="760"/>
  <c r="AW60" i="760"/>
  <c r="AV60" i="760"/>
  <c r="AU60" i="760"/>
  <c r="AT60" i="760"/>
  <c r="AS60" i="760"/>
  <c r="AR60" i="760"/>
  <c r="AQ60" i="760"/>
  <c r="AP60" i="760"/>
  <c r="AO60" i="760"/>
  <c r="AN60" i="760"/>
  <c r="AM60" i="760"/>
  <c r="AL60" i="760"/>
  <c r="AK60" i="760"/>
  <c r="AJ60" i="760"/>
  <c r="AI60" i="760"/>
  <c r="AH60" i="760"/>
  <c r="AG60" i="760"/>
  <c r="AF60" i="760"/>
  <c r="AE60" i="760"/>
  <c r="AD60" i="760"/>
  <c r="AC60" i="760"/>
  <c r="AB60" i="760"/>
  <c r="K58" i="760"/>
  <c r="K67" i="760" s="1"/>
  <c r="G58" i="760"/>
  <c r="B58" i="760"/>
  <c r="K53" i="760"/>
  <c r="D51" i="760"/>
  <c r="M44" i="760"/>
  <c r="L44" i="760"/>
  <c r="M36" i="760"/>
  <c r="M35" i="760"/>
  <c r="L35" i="760"/>
  <c r="K35" i="760"/>
  <c r="M34" i="760"/>
  <c r="M32" i="760"/>
  <c r="L32" i="760"/>
  <c r="K32" i="760"/>
  <c r="C32" i="760"/>
  <c r="L31" i="760"/>
  <c r="K31" i="760"/>
  <c r="C31" i="760"/>
  <c r="M30" i="760"/>
  <c r="L30" i="760"/>
  <c r="K30" i="760"/>
  <c r="C30" i="760"/>
  <c r="K29" i="760"/>
  <c r="C29" i="760"/>
  <c r="B29" i="760"/>
  <c r="Z28" i="760"/>
  <c r="Y28" i="760"/>
  <c r="X28" i="760"/>
  <c r="W28" i="760"/>
  <c r="V28" i="760"/>
  <c r="U28" i="760"/>
  <c r="T28" i="760"/>
  <c r="S28" i="760"/>
  <c r="R28" i="760"/>
  <c r="Z27" i="760"/>
  <c r="Y27" i="760"/>
  <c r="X27" i="760"/>
  <c r="W27" i="760"/>
  <c r="V27" i="760"/>
  <c r="U27" i="760"/>
  <c r="T27" i="760"/>
  <c r="S27" i="760"/>
  <c r="R27" i="760"/>
  <c r="Z26" i="760"/>
  <c r="Y26" i="760"/>
  <c r="X26" i="760"/>
  <c r="W26" i="760"/>
  <c r="V26" i="760"/>
  <c r="U26" i="760"/>
  <c r="T26" i="760"/>
  <c r="S26" i="760"/>
  <c r="R26" i="760"/>
  <c r="Z25" i="760"/>
  <c r="Y25" i="760"/>
  <c r="X25" i="760"/>
  <c r="W25" i="760"/>
  <c r="V25" i="760"/>
  <c r="U25" i="760"/>
  <c r="T25" i="760"/>
  <c r="S25" i="760"/>
  <c r="R25" i="760"/>
  <c r="Z24" i="760"/>
  <c r="Y24" i="760"/>
  <c r="X24" i="760"/>
  <c r="W24" i="760"/>
  <c r="V24" i="760"/>
  <c r="U24" i="760"/>
  <c r="T24" i="760"/>
  <c r="S24" i="760"/>
  <c r="R24" i="760"/>
  <c r="Z23" i="760"/>
  <c r="Y23" i="760"/>
  <c r="X23" i="760"/>
  <c r="W23" i="760"/>
  <c r="V23" i="760"/>
  <c r="U23" i="760"/>
  <c r="T23" i="760"/>
  <c r="S23" i="760"/>
  <c r="R23" i="760"/>
  <c r="Z22" i="760"/>
  <c r="Y22" i="760"/>
  <c r="X22" i="760"/>
  <c r="W22" i="760"/>
  <c r="V22" i="760"/>
  <c r="U22" i="760"/>
  <c r="T22" i="760"/>
  <c r="S22" i="760"/>
  <c r="R22" i="760"/>
  <c r="Z21" i="760"/>
  <c r="Y21" i="760"/>
  <c r="X21" i="760"/>
  <c r="W21" i="760"/>
  <c r="V21" i="760"/>
  <c r="U21" i="760"/>
  <c r="T21" i="760"/>
  <c r="S21" i="760"/>
  <c r="R21" i="760"/>
  <c r="Z20" i="760"/>
  <c r="Y20" i="760"/>
  <c r="X20" i="760"/>
  <c r="W20" i="760"/>
  <c r="V20" i="760"/>
  <c r="U20" i="760"/>
  <c r="T20" i="760"/>
  <c r="S20" i="760"/>
  <c r="R20" i="760"/>
  <c r="Z19" i="760"/>
  <c r="Y19" i="760"/>
  <c r="X19" i="760"/>
  <c r="W19" i="760"/>
  <c r="V19" i="760"/>
  <c r="U19" i="760"/>
  <c r="T19" i="760"/>
  <c r="S19" i="760"/>
  <c r="R19" i="760"/>
  <c r="Z17" i="760"/>
  <c r="Y17" i="760"/>
  <c r="X17" i="760"/>
  <c r="W17" i="760"/>
  <c r="V17" i="760"/>
  <c r="U17" i="760"/>
  <c r="T17" i="760"/>
  <c r="S17" i="760"/>
  <c r="R17" i="760"/>
  <c r="O17" i="760"/>
  <c r="N17" i="760"/>
  <c r="M17" i="760"/>
  <c r="L17" i="760"/>
  <c r="J17" i="760"/>
  <c r="I17" i="760"/>
  <c r="G17" i="760"/>
  <c r="F17" i="760"/>
  <c r="E17" i="760"/>
  <c r="D17" i="760"/>
  <c r="C17" i="760"/>
  <c r="Z16" i="760"/>
  <c r="Y16" i="760"/>
  <c r="X16" i="760"/>
  <c r="W16" i="760"/>
  <c r="V16" i="760"/>
  <c r="U16" i="760"/>
  <c r="T16" i="760"/>
  <c r="S16" i="760"/>
  <c r="R16" i="760"/>
  <c r="O16" i="760"/>
  <c r="N16" i="760"/>
  <c r="M16" i="760"/>
  <c r="L16" i="760"/>
  <c r="J16" i="760"/>
  <c r="I16" i="760"/>
  <c r="G16" i="760"/>
  <c r="F16" i="760"/>
  <c r="E16" i="760"/>
  <c r="D16" i="760"/>
  <c r="C16" i="760"/>
  <c r="Z15" i="760"/>
  <c r="Y15" i="760"/>
  <c r="X15" i="760"/>
  <c r="W15" i="760"/>
  <c r="V15" i="760"/>
  <c r="U15" i="760"/>
  <c r="T15" i="760"/>
  <c r="S15" i="760"/>
  <c r="R15" i="760"/>
  <c r="O15" i="760"/>
  <c r="N15" i="760"/>
  <c r="M15" i="760"/>
  <c r="L15" i="760"/>
  <c r="J15" i="760"/>
  <c r="I15" i="760"/>
  <c r="G15" i="760"/>
  <c r="F15" i="760"/>
  <c r="E15" i="760"/>
  <c r="D15" i="760"/>
  <c r="C15" i="760"/>
  <c r="Z14" i="760"/>
  <c r="Y14" i="760"/>
  <c r="X14" i="760"/>
  <c r="W14" i="760"/>
  <c r="V14" i="760"/>
  <c r="U14" i="760"/>
  <c r="T14" i="760"/>
  <c r="S14" i="760"/>
  <c r="R14" i="760"/>
  <c r="O14" i="760"/>
  <c r="N14" i="760"/>
  <c r="M14" i="760"/>
  <c r="L14" i="760"/>
  <c r="J14" i="760"/>
  <c r="I14" i="760"/>
  <c r="G14" i="760"/>
  <c r="F14" i="760"/>
  <c r="E14" i="760"/>
  <c r="D14" i="760"/>
  <c r="C14" i="760"/>
  <c r="Z13" i="760"/>
  <c r="Y13" i="760"/>
  <c r="X13" i="760"/>
  <c r="W13" i="760"/>
  <c r="V13" i="760"/>
  <c r="U13" i="760"/>
  <c r="T13" i="760"/>
  <c r="S13" i="760"/>
  <c r="R13" i="760"/>
  <c r="O13" i="760"/>
  <c r="N13" i="760"/>
  <c r="M13" i="760"/>
  <c r="L13" i="760"/>
  <c r="J13" i="760"/>
  <c r="I13" i="760"/>
  <c r="G13" i="760"/>
  <c r="F13" i="760"/>
  <c r="E13" i="760"/>
  <c r="D13" i="760"/>
  <c r="C13" i="760"/>
  <c r="Z12" i="760"/>
  <c r="Y12" i="760"/>
  <c r="X12" i="760"/>
  <c r="W12" i="760"/>
  <c r="V12" i="760"/>
  <c r="U12" i="760"/>
  <c r="T12" i="760"/>
  <c r="S12" i="760"/>
  <c r="R12" i="760"/>
  <c r="O12" i="760"/>
  <c r="N12" i="760"/>
  <c r="M12" i="760"/>
  <c r="L12" i="760"/>
  <c r="J12" i="760"/>
  <c r="I12" i="760"/>
  <c r="G12" i="760"/>
  <c r="F12" i="760"/>
  <c r="E12" i="760"/>
  <c r="D12" i="760"/>
  <c r="C12" i="760"/>
  <c r="Z11" i="760"/>
  <c r="Y11" i="760"/>
  <c r="X11" i="760"/>
  <c r="W11" i="760"/>
  <c r="V11" i="760"/>
  <c r="U11" i="760"/>
  <c r="T11" i="760"/>
  <c r="S11" i="760"/>
  <c r="R11" i="760"/>
  <c r="O11" i="760"/>
  <c r="N11" i="760"/>
  <c r="M11" i="760"/>
  <c r="L11" i="760"/>
  <c r="J11" i="760"/>
  <c r="I11" i="760"/>
  <c r="G11" i="760"/>
  <c r="F11" i="760"/>
  <c r="E11" i="760"/>
  <c r="D11" i="760"/>
  <c r="C11" i="760"/>
  <c r="Z10" i="760"/>
  <c r="Y10" i="760"/>
  <c r="X10" i="760"/>
  <c r="W10" i="760"/>
  <c r="V10" i="760"/>
  <c r="U10" i="760"/>
  <c r="T10" i="760"/>
  <c r="S10" i="760"/>
  <c r="R10" i="760"/>
  <c r="O10" i="760"/>
  <c r="N10" i="760"/>
  <c r="M10" i="760"/>
  <c r="L10" i="760"/>
  <c r="J10" i="760"/>
  <c r="I10" i="760"/>
  <c r="G10" i="760"/>
  <c r="F10" i="760"/>
  <c r="E10" i="760"/>
  <c r="D10" i="760"/>
  <c r="C10" i="760"/>
  <c r="F70" i="759"/>
  <c r="AX60" i="759"/>
  <c r="AW60" i="759"/>
  <c r="AV60" i="759"/>
  <c r="AU60" i="759"/>
  <c r="AT60" i="759"/>
  <c r="AS60" i="759"/>
  <c r="AR60" i="759"/>
  <c r="AQ60" i="759"/>
  <c r="AP60" i="759"/>
  <c r="AO60" i="759"/>
  <c r="AN60" i="759"/>
  <c r="AM60" i="759"/>
  <c r="AL60" i="759"/>
  <c r="AK60" i="759"/>
  <c r="AJ60" i="759"/>
  <c r="AI60" i="759"/>
  <c r="AH60" i="759"/>
  <c r="AG60" i="759"/>
  <c r="AF60" i="759"/>
  <c r="AE60" i="759"/>
  <c r="AD60" i="759"/>
  <c r="AC60" i="759"/>
  <c r="AB60" i="759"/>
  <c r="K58" i="759"/>
  <c r="K66" i="759" s="1"/>
  <c r="G58" i="759"/>
  <c r="B58" i="759"/>
  <c r="K53" i="759"/>
  <c r="D51" i="759"/>
  <c r="M44" i="759"/>
  <c r="L44" i="759"/>
  <c r="C38" i="759"/>
  <c r="C37" i="759"/>
  <c r="M36" i="759"/>
  <c r="C36" i="759"/>
  <c r="M35" i="759"/>
  <c r="L35" i="759"/>
  <c r="K35" i="759"/>
  <c r="C35" i="759"/>
  <c r="M34" i="759"/>
  <c r="C34" i="759"/>
  <c r="C33" i="759"/>
  <c r="M32" i="759"/>
  <c r="L32" i="759"/>
  <c r="K32" i="759"/>
  <c r="C32" i="759"/>
  <c r="L31" i="759"/>
  <c r="K31" i="759"/>
  <c r="C31" i="759"/>
  <c r="M30" i="759"/>
  <c r="L30" i="759"/>
  <c r="K30" i="759"/>
  <c r="C30" i="759"/>
  <c r="K29" i="759"/>
  <c r="C29" i="759"/>
  <c r="B29" i="759"/>
  <c r="Z28" i="759"/>
  <c r="Y28" i="759"/>
  <c r="X28" i="759"/>
  <c r="W28" i="759"/>
  <c r="V28" i="759"/>
  <c r="U28" i="759"/>
  <c r="T28" i="759"/>
  <c r="S28" i="759"/>
  <c r="R28" i="759"/>
  <c r="Z27" i="759"/>
  <c r="Y27" i="759"/>
  <c r="X27" i="759"/>
  <c r="W27" i="759"/>
  <c r="V27" i="759"/>
  <c r="U27" i="759"/>
  <c r="T27" i="759"/>
  <c r="S27" i="759"/>
  <c r="R27" i="759"/>
  <c r="Z26" i="759"/>
  <c r="Y26" i="759"/>
  <c r="X26" i="759"/>
  <c r="W26" i="759"/>
  <c r="V26" i="759"/>
  <c r="U26" i="759"/>
  <c r="T26" i="759"/>
  <c r="S26" i="759"/>
  <c r="R26" i="759"/>
  <c r="Z25" i="759"/>
  <c r="Y25" i="759"/>
  <c r="X25" i="759"/>
  <c r="W25" i="759"/>
  <c r="V25" i="759"/>
  <c r="U25" i="759"/>
  <c r="T25" i="759"/>
  <c r="S25" i="759"/>
  <c r="R25" i="759"/>
  <c r="Z24" i="759"/>
  <c r="Y24" i="759"/>
  <c r="X24" i="759"/>
  <c r="W24" i="759"/>
  <c r="V24" i="759"/>
  <c r="U24" i="759"/>
  <c r="T24" i="759"/>
  <c r="S24" i="759"/>
  <c r="R24" i="759"/>
  <c r="Z23" i="759"/>
  <c r="Y23" i="759"/>
  <c r="X23" i="759"/>
  <c r="W23" i="759"/>
  <c r="V23" i="759"/>
  <c r="U23" i="759"/>
  <c r="T23" i="759"/>
  <c r="S23" i="759"/>
  <c r="R23" i="759"/>
  <c r="Z22" i="759"/>
  <c r="Y22" i="759"/>
  <c r="X22" i="759"/>
  <c r="W22" i="759"/>
  <c r="V22" i="759"/>
  <c r="U22" i="759"/>
  <c r="T22" i="759"/>
  <c r="S22" i="759"/>
  <c r="R22" i="759"/>
  <c r="Z21" i="759"/>
  <c r="Y21" i="759"/>
  <c r="X21" i="759"/>
  <c r="W21" i="759"/>
  <c r="V21" i="759"/>
  <c r="U21" i="759"/>
  <c r="T21" i="759"/>
  <c r="S21" i="759"/>
  <c r="R21" i="759"/>
  <c r="Z20" i="759"/>
  <c r="Y20" i="759"/>
  <c r="X20" i="759"/>
  <c r="W20" i="759"/>
  <c r="V20" i="759"/>
  <c r="U20" i="759"/>
  <c r="T20" i="759"/>
  <c r="S20" i="759"/>
  <c r="R20" i="759"/>
  <c r="Z19" i="759"/>
  <c r="Y19" i="759"/>
  <c r="X19" i="759"/>
  <c r="W19" i="759"/>
  <c r="V19" i="759"/>
  <c r="U19" i="759"/>
  <c r="T19" i="759"/>
  <c r="S19" i="759"/>
  <c r="R19" i="759"/>
  <c r="Z17" i="759"/>
  <c r="Y17" i="759"/>
  <c r="X17" i="759"/>
  <c r="W17" i="759"/>
  <c r="V17" i="759"/>
  <c r="U17" i="759"/>
  <c r="T17" i="759"/>
  <c r="S17" i="759"/>
  <c r="R17" i="759"/>
  <c r="Z16" i="759"/>
  <c r="Y16" i="759"/>
  <c r="X16" i="759"/>
  <c r="W16" i="759"/>
  <c r="V16" i="759"/>
  <c r="U16" i="759"/>
  <c r="T16" i="759"/>
  <c r="S16" i="759"/>
  <c r="R16" i="759"/>
  <c r="O16" i="759"/>
  <c r="N16" i="759"/>
  <c r="M16" i="759"/>
  <c r="L16" i="759"/>
  <c r="K16" i="759"/>
  <c r="J16" i="759"/>
  <c r="I16" i="759"/>
  <c r="G16" i="759"/>
  <c r="F16" i="759"/>
  <c r="E16" i="759"/>
  <c r="D16" i="759"/>
  <c r="C16" i="759"/>
  <c r="Z15" i="759"/>
  <c r="Y15" i="759"/>
  <c r="X15" i="759"/>
  <c r="W15" i="759"/>
  <c r="V15" i="759"/>
  <c r="U15" i="759"/>
  <c r="T15" i="759"/>
  <c r="S15" i="759"/>
  <c r="R15" i="759"/>
  <c r="O15" i="759"/>
  <c r="N15" i="759"/>
  <c r="M15" i="759"/>
  <c r="L15" i="759"/>
  <c r="K15" i="759"/>
  <c r="J15" i="759"/>
  <c r="I15" i="759"/>
  <c r="G15" i="759"/>
  <c r="F15" i="759"/>
  <c r="E15" i="759"/>
  <c r="D15" i="759"/>
  <c r="C15" i="759"/>
  <c r="Z14" i="759"/>
  <c r="Y14" i="759"/>
  <c r="X14" i="759"/>
  <c r="W14" i="759"/>
  <c r="V14" i="759"/>
  <c r="U14" i="759"/>
  <c r="T14" i="759"/>
  <c r="S14" i="759"/>
  <c r="R14" i="759"/>
  <c r="O14" i="759"/>
  <c r="N14" i="759"/>
  <c r="M14" i="759"/>
  <c r="L14" i="759"/>
  <c r="K14" i="759"/>
  <c r="J14" i="759"/>
  <c r="I14" i="759"/>
  <c r="G14" i="759"/>
  <c r="F14" i="759"/>
  <c r="E14" i="759"/>
  <c r="D14" i="759"/>
  <c r="C14" i="759"/>
  <c r="Z13" i="759"/>
  <c r="Y13" i="759"/>
  <c r="X13" i="759"/>
  <c r="W13" i="759"/>
  <c r="V13" i="759"/>
  <c r="U13" i="759"/>
  <c r="T13" i="759"/>
  <c r="S13" i="759"/>
  <c r="R13" i="759"/>
  <c r="O13" i="759"/>
  <c r="N13" i="759"/>
  <c r="M13" i="759"/>
  <c r="L13" i="759"/>
  <c r="K13" i="759"/>
  <c r="J13" i="759"/>
  <c r="I13" i="759"/>
  <c r="G13" i="759"/>
  <c r="F13" i="759"/>
  <c r="E13" i="759"/>
  <c r="D13" i="759"/>
  <c r="C13" i="759"/>
  <c r="Z12" i="759"/>
  <c r="Y12" i="759"/>
  <c r="X12" i="759"/>
  <c r="W12" i="759"/>
  <c r="V12" i="759"/>
  <c r="U12" i="759"/>
  <c r="T12" i="759"/>
  <c r="S12" i="759"/>
  <c r="R12" i="759"/>
  <c r="O12" i="759"/>
  <c r="N12" i="759"/>
  <c r="M12" i="759"/>
  <c r="L12" i="759"/>
  <c r="K12" i="759"/>
  <c r="J12" i="759"/>
  <c r="I12" i="759"/>
  <c r="G12" i="759"/>
  <c r="F12" i="759"/>
  <c r="E12" i="759"/>
  <c r="D12" i="759"/>
  <c r="C12" i="759"/>
  <c r="Z11" i="759"/>
  <c r="Y11" i="759"/>
  <c r="X11" i="759"/>
  <c r="W11" i="759"/>
  <c r="V11" i="759"/>
  <c r="U11" i="759"/>
  <c r="T11" i="759"/>
  <c r="S11" i="759"/>
  <c r="R11" i="759"/>
  <c r="O11" i="759"/>
  <c r="N11" i="759"/>
  <c r="M11" i="759"/>
  <c r="L11" i="759"/>
  <c r="K11" i="759"/>
  <c r="J11" i="759"/>
  <c r="I11" i="759"/>
  <c r="G11" i="759"/>
  <c r="F11" i="759"/>
  <c r="E11" i="759"/>
  <c r="D11" i="759"/>
  <c r="C11" i="759"/>
  <c r="Z10" i="759"/>
  <c r="Y10" i="759"/>
  <c r="X10" i="759"/>
  <c r="W10" i="759"/>
  <c r="V10" i="759"/>
  <c r="U10" i="759"/>
  <c r="T10" i="759"/>
  <c r="S10" i="759"/>
  <c r="R10" i="759"/>
  <c r="F70" i="758"/>
  <c r="AX60" i="758"/>
  <c r="AW60" i="758"/>
  <c r="AV60" i="758"/>
  <c r="AU60" i="758"/>
  <c r="AT60" i="758"/>
  <c r="AS60" i="758"/>
  <c r="AR60" i="758"/>
  <c r="AQ60" i="758"/>
  <c r="AP60" i="758"/>
  <c r="AO60" i="758"/>
  <c r="AN60" i="758"/>
  <c r="AM60" i="758"/>
  <c r="AL60" i="758"/>
  <c r="AK60" i="758"/>
  <c r="AJ60" i="758"/>
  <c r="AI60" i="758"/>
  <c r="AH60" i="758"/>
  <c r="AG60" i="758"/>
  <c r="AF60" i="758"/>
  <c r="AE60" i="758"/>
  <c r="AD60" i="758"/>
  <c r="AC60" i="758"/>
  <c r="AB60" i="758"/>
  <c r="K58" i="758"/>
  <c r="K66" i="758" s="1"/>
  <c r="B58" i="758"/>
  <c r="K53" i="758"/>
  <c r="D51" i="758"/>
  <c r="M44" i="758"/>
  <c r="L44" i="758"/>
  <c r="K43" i="758"/>
  <c r="M36" i="758"/>
  <c r="M35" i="758"/>
  <c r="L35" i="758"/>
  <c r="K35" i="758"/>
  <c r="M34" i="758"/>
  <c r="M32" i="758"/>
  <c r="L32" i="758"/>
  <c r="K32" i="758"/>
  <c r="L31" i="758"/>
  <c r="K31" i="758"/>
  <c r="M30" i="758"/>
  <c r="L30" i="758"/>
  <c r="K30" i="758"/>
  <c r="K29" i="758"/>
  <c r="C29" i="758" a="1"/>
  <c r="C29" i="758" s="1"/>
  <c r="B29" i="758"/>
  <c r="Z28" i="758"/>
  <c r="Y28" i="758"/>
  <c r="X28" i="758"/>
  <c r="W28" i="758"/>
  <c r="V28" i="758"/>
  <c r="U28" i="758"/>
  <c r="T28" i="758"/>
  <c r="S28" i="758"/>
  <c r="R28" i="758"/>
  <c r="Z27" i="758"/>
  <c r="Y27" i="758"/>
  <c r="X27" i="758"/>
  <c r="W27" i="758"/>
  <c r="V27" i="758"/>
  <c r="U27" i="758"/>
  <c r="T27" i="758"/>
  <c r="S27" i="758"/>
  <c r="R27" i="758"/>
  <c r="Z26" i="758"/>
  <c r="Y26" i="758"/>
  <c r="X26" i="758"/>
  <c r="W26" i="758"/>
  <c r="V26" i="758"/>
  <c r="U26" i="758"/>
  <c r="T26" i="758"/>
  <c r="S26" i="758"/>
  <c r="R26" i="758"/>
  <c r="Z25" i="758"/>
  <c r="Y25" i="758"/>
  <c r="X25" i="758"/>
  <c r="W25" i="758"/>
  <c r="V25" i="758"/>
  <c r="U25" i="758"/>
  <c r="T25" i="758"/>
  <c r="S25" i="758"/>
  <c r="R25" i="758"/>
  <c r="Z24" i="758"/>
  <c r="Y24" i="758"/>
  <c r="X24" i="758"/>
  <c r="W24" i="758"/>
  <c r="V24" i="758"/>
  <c r="U24" i="758"/>
  <c r="T24" i="758"/>
  <c r="S24" i="758"/>
  <c r="R24" i="758"/>
  <c r="Z23" i="758"/>
  <c r="Y23" i="758"/>
  <c r="X23" i="758"/>
  <c r="W23" i="758"/>
  <c r="V23" i="758"/>
  <c r="U23" i="758"/>
  <c r="T23" i="758"/>
  <c r="S23" i="758"/>
  <c r="R23" i="758"/>
  <c r="Z22" i="758"/>
  <c r="Y22" i="758"/>
  <c r="X22" i="758"/>
  <c r="W22" i="758"/>
  <c r="V22" i="758"/>
  <c r="U22" i="758"/>
  <c r="T22" i="758"/>
  <c r="S22" i="758"/>
  <c r="R22" i="758"/>
  <c r="Z21" i="758"/>
  <c r="Y21" i="758"/>
  <c r="X21" i="758"/>
  <c r="W21" i="758"/>
  <c r="V21" i="758"/>
  <c r="U21" i="758"/>
  <c r="T21" i="758"/>
  <c r="S21" i="758"/>
  <c r="R21" i="758"/>
  <c r="Z20" i="758"/>
  <c r="Y20" i="758"/>
  <c r="X20" i="758"/>
  <c r="W20" i="758"/>
  <c r="V20" i="758"/>
  <c r="U20" i="758"/>
  <c r="T20" i="758"/>
  <c r="S20" i="758"/>
  <c r="R20" i="758"/>
  <c r="O20" i="758"/>
  <c r="N20" i="758"/>
  <c r="M20" i="758"/>
  <c r="L20" i="758"/>
  <c r="K20" i="758"/>
  <c r="J20" i="758"/>
  <c r="I20" i="758"/>
  <c r="G20" i="758"/>
  <c r="F20" i="758"/>
  <c r="E20" i="758"/>
  <c r="D20" i="758"/>
  <c r="C20" i="758"/>
  <c r="Z19" i="758"/>
  <c r="Y19" i="758"/>
  <c r="X19" i="758"/>
  <c r="W19" i="758"/>
  <c r="V19" i="758"/>
  <c r="U19" i="758"/>
  <c r="T19" i="758"/>
  <c r="S19" i="758"/>
  <c r="R19" i="758"/>
  <c r="O19" i="758"/>
  <c r="N19" i="758"/>
  <c r="M19" i="758"/>
  <c r="L19" i="758"/>
  <c r="K19" i="758"/>
  <c r="J19" i="758"/>
  <c r="I19" i="758"/>
  <c r="J30" i="758" s="1"/>
  <c r="G19" i="758"/>
  <c r="F19" i="758"/>
  <c r="E19" i="758"/>
  <c r="D19" i="758"/>
  <c r="C19" i="758"/>
  <c r="Z17" i="758"/>
  <c r="Y17" i="758"/>
  <c r="X17" i="758"/>
  <c r="W17" i="758"/>
  <c r="V17" i="758"/>
  <c r="U17" i="758"/>
  <c r="T17" i="758"/>
  <c r="S17" i="758"/>
  <c r="R17" i="758"/>
  <c r="O17" i="758"/>
  <c r="N17" i="758"/>
  <c r="M17" i="758"/>
  <c r="L17" i="758"/>
  <c r="K17" i="758"/>
  <c r="J17" i="758"/>
  <c r="G17" i="758"/>
  <c r="F17" i="758"/>
  <c r="E17" i="758"/>
  <c r="D17" i="758"/>
  <c r="C17" i="758"/>
  <c r="Z16" i="758"/>
  <c r="Y16" i="758"/>
  <c r="X16" i="758"/>
  <c r="W16" i="758"/>
  <c r="V16" i="758"/>
  <c r="U16" i="758"/>
  <c r="T16" i="758"/>
  <c r="S16" i="758"/>
  <c r="R16" i="758"/>
  <c r="O16" i="758"/>
  <c r="N16" i="758"/>
  <c r="M16" i="758"/>
  <c r="L16" i="758"/>
  <c r="K16" i="758"/>
  <c r="J16" i="758"/>
  <c r="G16" i="758"/>
  <c r="F16" i="758"/>
  <c r="E16" i="758"/>
  <c r="D16" i="758"/>
  <c r="C16" i="758"/>
  <c r="Z15" i="758"/>
  <c r="Y15" i="758"/>
  <c r="X15" i="758"/>
  <c r="W15" i="758"/>
  <c r="V15" i="758"/>
  <c r="U15" i="758"/>
  <c r="T15" i="758"/>
  <c r="S15" i="758"/>
  <c r="R15" i="758"/>
  <c r="O15" i="758"/>
  <c r="N15" i="758"/>
  <c r="M15" i="758"/>
  <c r="L15" i="758"/>
  <c r="K15" i="758"/>
  <c r="J15" i="758"/>
  <c r="G15" i="758"/>
  <c r="F15" i="758"/>
  <c r="E15" i="758"/>
  <c r="D15" i="758"/>
  <c r="C15" i="758"/>
  <c r="Z14" i="758"/>
  <c r="Y14" i="758"/>
  <c r="X14" i="758"/>
  <c r="W14" i="758"/>
  <c r="V14" i="758"/>
  <c r="U14" i="758"/>
  <c r="T14" i="758"/>
  <c r="S14" i="758"/>
  <c r="R14" i="758"/>
  <c r="O14" i="758"/>
  <c r="N14" i="758"/>
  <c r="M14" i="758"/>
  <c r="L14" i="758"/>
  <c r="K14" i="758"/>
  <c r="J14" i="758"/>
  <c r="G14" i="758"/>
  <c r="F14" i="758"/>
  <c r="E14" i="758"/>
  <c r="D14" i="758"/>
  <c r="C14" i="758"/>
  <c r="Z13" i="758"/>
  <c r="Y13" i="758"/>
  <c r="X13" i="758"/>
  <c r="W13" i="758"/>
  <c r="V13" i="758"/>
  <c r="U13" i="758"/>
  <c r="T13" i="758"/>
  <c r="S13" i="758"/>
  <c r="R13" i="758"/>
  <c r="O13" i="758"/>
  <c r="N13" i="758"/>
  <c r="M13" i="758"/>
  <c r="L13" i="758"/>
  <c r="K13" i="758"/>
  <c r="J13" i="758"/>
  <c r="G13" i="758"/>
  <c r="F13" i="758"/>
  <c r="E13" i="758"/>
  <c r="D13" i="758"/>
  <c r="C13" i="758"/>
  <c r="Z12" i="758"/>
  <c r="Y12" i="758"/>
  <c r="X12" i="758"/>
  <c r="W12" i="758"/>
  <c r="V12" i="758"/>
  <c r="U12" i="758"/>
  <c r="T12" i="758"/>
  <c r="S12" i="758"/>
  <c r="R12" i="758"/>
  <c r="O12" i="758"/>
  <c r="N12" i="758"/>
  <c r="M12" i="758"/>
  <c r="L12" i="758"/>
  <c r="K12" i="758"/>
  <c r="J12" i="758"/>
  <c r="G12" i="758"/>
  <c r="F12" i="758"/>
  <c r="E12" i="758"/>
  <c r="D12" i="758"/>
  <c r="C12" i="758"/>
  <c r="Z11" i="758"/>
  <c r="Y11" i="758"/>
  <c r="X11" i="758"/>
  <c r="W11" i="758"/>
  <c r="V11" i="758"/>
  <c r="U11" i="758"/>
  <c r="T11" i="758"/>
  <c r="S11" i="758"/>
  <c r="R11" i="758"/>
  <c r="O11" i="758"/>
  <c r="N11" i="758"/>
  <c r="M11" i="758"/>
  <c r="L11" i="758"/>
  <c r="K11" i="758"/>
  <c r="J11" i="758"/>
  <c r="G11" i="758"/>
  <c r="F11" i="758"/>
  <c r="E11" i="758"/>
  <c r="D11" i="758"/>
  <c r="C11" i="758"/>
  <c r="Z10" i="758"/>
  <c r="Y10" i="758"/>
  <c r="X10" i="758"/>
  <c r="W10" i="758"/>
  <c r="V10" i="758"/>
  <c r="U10" i="758"/>
  <c r="T10" i="758"/>
  <c r="S10" i="758"/>
  <c r="R10" i="758"/>
  <c r="O10" i="758"/>
  <c r="N10" i="758"/>
  <c r="M10" i="758"/>
  <c r="L10" i="758"/>
  <c r="K10" i="758"/>
  <c r="J10" i="758"/>
  <c r="G10" i="758"/>
  <c r="F10" i="758"/>
  <c r="E10" i="758"/>
  <c r="D10" i="758"/>
  <c r="C10" i="758"/>
  <c r="F70" i="757"/>
  <c r="AX60" i="757"/>
  <c r="AW60" i="757"/>
  <c r="AV60" i="757"/>
  <c r="AU60" i="757"/>
  <c r="AT60" i="757"/>
  <c r="AS60" i="757"/>
  <c r="AR60" i="757"/>
  <c r="AQ60" i="757"/>
  <c r="AP60" i="757"/>
  <c r="AO60" i="757"/>
  <c r="AN60" i="757"/>
  <c r="AM60" i="757"/>
  <c r="AL60" i="757"/>
  <c r="AK60" i="757"/>
  <c r="AJ60" i="757"/>
  <c r="AI60" i="757"/>
  <c r="AH60" i="757"/>
  <c r="AG60" i="757"/>
  <c r="AF60" i="757"/>
  <c r="AE60" i="757"/>
  <c r="AD60" i="757"/>
  <c r="AC60" i="757"/>
  <c r="AB60" i="757"/>
  <c r="K60" i="757"/>
  <c r="G60" i="757"/>
  <c r="B60" i="757"/>
  <c r="K58" i="757"/>
  <c r="G58" i="757"/>
  <c r="B58" i="757"/>
  <c r="K53" i="757"/>
  <c r="D51" i="757"/>
  <c r="M44" i="757"/>
  <c r="L44" i="757"/>
  <c r="K43" i="757"/>
  <c r="M36" i="757"/>
  <c r="M35" i="757"/>
  <c r="L35" i="757"/>
  <c r="K35" i="757"/>
  <c r="M34" i="757"/>
  <c r="M32" i="757"/>
  <c r="L32" i="757"/>
  <c r="K32" i="757"/>
  <c r="L31" i="757"/>
  <c r="K31" i="757"/>
  <c r="M30" i="757"/>
  <c r="L30" i="757"/>
  <c r="K30" i="757"/>
  <c r="M29" i="757"/>
  <c r="L29" i="757"/>
  <c r="K29" i="757"/>
  <c r="C29" i="757" a="1"/>
  <c r="C29" i="757" s="1"/>
  <c r="B29" i="757"/>
  <c r="Z28" i="757"/>
  <c r="Y28" i="757"/>
  <c r="X28" i="757"/>
  <c r="W28" i="757"/>
  <c r="V28" i="757"/>
  <c r="U28" i="757"/>
  <c r="T28" i="757"/>
  <c r="S28" i="757"/>
  <c r="R28" i="757"/>
  <c r="Z27" i="757"/>
  <c r="Y27" i="757"/>
  <c r="X27" i="757"/>
  <c r="W27" i="757"/>
  <c r="V27" i="757"/>
  <c r="U27" i="757"/>
  <c r="T27" i="757"/>
  <c r="S27" i="757"/>
  <c r="R27" i="757"/>
  <c r="Z26" i="757"/>
  <c r="Y26" i="757"/>
  <c r="X26" i="757"/>
  <c r="W26" i="757"/>
  <c r="V26" i="757"/>
  <c r="U26" i="757"/>
  <c r="T26" i="757"/>
  <c r="S26" i="757"/>
  <c r="R26" i="757"/>
  <c r="Z25" i="757"/>
  <c r="Y25" i="757"/>
  <c r="X25" i="757"/>
  <c r="W25" i="757"/>
  <c r="V25" i="757"/>
  <c r="U25" i="757"/>
  <c r="T25" i="757"/>
  <c r="S25" i="757"/>
  <c r="R25" i="757"/>
  <c r="Z24" i="757"/>
  <c r="Y24" i="757"/>
  <c r="X24" i="757"/>
  <c r="W24" i="757"/>
  <c r="V24" i="757"/>
  <c r="U24" i="757"/>
  <c r="T24" i="757"/>
  <c r="S24" i="757"/>
  <c r="R24" i="757"/>
  <c r="Z23" i="757"/>
  <c r="Y23" i="757"/>
  <c r="X23" i="757"/>
  <c r="W23" i="757"/>
  <c r="V23" i="757"/>
  <c r="U23" i="757"/>
  <c r="T23" i="757"/>
  <c r="S23" i="757"/>
  <c r="R23" i="757"/>
  <c r="Z22" i="757"/>
  <c r="Y22" i="757"/>
  <c r="X22" i="757"/>
  <c r="W22" i="757"/>
  <c r="V22" i="757"/>
  <c r="U22" i="757"/>
  <c r="T22" i="757"/>
  <c r="S22" i="757"/>
  <c r="R22" i="757"/>
  <c r="Z21" i="757"/>
  <c r="Y21" i="757"/>
  <c r="X21" i="757"/>
  <c r="W21" i="757"/>
  <c r="V21" i="757"/>
  <c r="U21" i="757"/>
  <c r="T21" i="757"/>
  <c r="S21" i="757"/>
  <c r="R21" i="757"/>
  <c r="Z20" i="757"/>
  <c r="Y20" i="757"/>
  <c r="X20" i="757"/>
  <c r="W20" i="757"/>
  <c r="V20" i="757"/>
  <c r="U20" i="757"/>
  <c r="T20" i="757"/>
  <c r="S20" i="757"/>
  <c r="R20" i="757"/>
  <c r="Z19" i="757"/>
  <c r="Y19" i="757"/>
  <c r="X19" i="757"/>
  <c r="W19" i="757"/>
  <c r="V19" i="757"/>
  <c r="U19" i="757"/>
  <c r="T19" i="757"/>
  <c r="S19" i="757"/>
  <c r="R19" i="757"/>
  <c r="O19" i="757"/>
  <c r="N19" i="757"/>
  <c r="M19" i="757"/>
  <c r="L19" i="757"/>
  <c r="K19" i="757"/>
  <c r="J19" i="757"/>
  <c r="I19" i="757"/>
  <c r="G19" i="757"/>
  <c r="F19" i="757"/>
  <c r="E19" i="757"/>
  <c r="D19" i="757"/>
  <c r="C19" i="757"/>
  <c r="Z17" i="757"/>
  <c r="Y17" i="757"/>
  <c r="X17" i="757"/>
  <c r="W17" i="757"/>
  <c r="V17" i="757"/>
  <c r="U17" i="757"/>
  <c r="T17" i="757"/>
  <c r="S17" i="757"/>
  <c r="R17" i="757"/>
  <c r="O17" i="757"/>
  <c r="N17" i="757"/>
  <c r="M17" i="757"/>
  <c r="L17" i="757"/>
  <c r="K17" i="757"/>
  <c r="J17" i="757"/>
  <c r="I17" i="757"/>
  <c r="G17" i="757"/>
  <c r="F17" i="757"/>
  <c r="E17" i="757"/>
  <c r="D17" i="757"/>
  <c r="C17" i="757"/>
  <c r="Z16" i="757"/>
  <c r="Y16" i="757"/>
  <c r="X16" i="757"/>
  <c r="W16" i="757"/>
  <c r="V16" i="757"/>
  <c r="U16" i="757"/>
  <c r="T16" i="757"/>
  <c r="S16" i="757"/>
  <c r="R16" i="757"/>
  <c r="O16" i="757"/>
  <c r="N16" i="757"/>
  <c r="M16" i="757"/>
  <c r="L16" i="757"/>
  <c r="K16" i="757"/>
  <c r="J16" i="757"/>
  <c r="I16" i="757"/>
  <c r="G16" i="757"/>
  <c r="F16" i="757"/>
  <c r="E16" i="757"/>
  <c r="D16" i="757"/>
  <c r="C16" i="757"/>
  <c r="Z15" i="757"/>
  <c r="Y15" i="757"/>
  <c r="X15" i="757"/>
  <c r="W15" i="757"/>
  <c r="V15" i="757"/>
  <c r="U15" i="757"/>
  <c r="T15" i="757"/>
  <c r="S15" i="757"/>
  <c r="R15" i="757"/>
  <c r="O15" i="757"/>
  <c r="N15" i="757"/>
  <c r="M15" i="757"/>
  <c r="L15" i="757"/>
  <c r="K15" i="757"/>
  <c r="J15" i="757"/>
  <c r="I15" i="757"/>
  <c r="G15" i="757"/>
  <c r="F15" i="757"/>
  <c r="E15" i="757"/>
  <c r="D15" i="757"/>
  <c r="C15" i="757"/>
  <c r="Z14" i="757"/>
  <c r="Y14" i="757"/>
  <c r="X14" i="757"/>
  <c r="W14" i="757"/>
  <c r="V14" i="757"/>
  <c r="U14" i="757"/>
  <c r="T14" i="757"/>
  <c r="S14" i="757"/>
  <c r="R14" i="757"/>
  <c r="O14" i="757"/>
  <c r="N14" i="757"/>
  <c r="M14" i="757"/>
  <c r="L14" i="757"/>
  <c r="K14" i="757"/>
  <c r="J14" i="757"/>
  <c r="I14" i="757"/>
  <c r="G14" i="757"/>
  <c r="F14" i="757"/>
  <c r="E14" i="757"/>
  <c r="D14" i="757"/>
  <c r="C14" i="757"/>
  <c r="Z13" i="757"/>
  <c r="Y13" i="757"/>
  <c r="X13" i="757"/>
  <c r="W13" i="757"/>
  <c r="V13" i="757"/>
  <c r="U13" i="757"/>
  <c r="T13" i="757"/>
  <c r="S13" i="757"/>
  <c r="R13" i="757"/>
  <c r="O13" i="757"/>
  <c r="N13" i="757"/>
  <c r="M13" i="757"/>
  <c r="L13" i="757"/>
  <c r="K13" i="757"/>
  <c r="J13" i="757"/>
  <c r="I13" i="757"/>
  <c r="G13" i="757"/>
  <c r="F13" i="757"/>
  <c r="E13" i="757"/>
  <c r="D13" i="757"/>
  <c r="C13" i="757"/>
  <c r="Z12" i="757"/>
  <c r="Y12" i="757"/>
  <c r="X12" i="757"/>
  <c r="W12" i="757"/>
  <c r="V12" i="757"/>
  <c r="U12" i="757"/>
  <c r="T12" i="757"/>
  <c r="S12" i="757"/>
  <c r="R12" i="757"/>
  <c r="O12" i="757"/>
  <c r="N12" i="757"/>
  <c r="M12" i="757"/>
  <c r="L12" i="757"/>
  <c r="K12" i="757"/>
  <c r="J12" i="757"/>
  <c r="I12" i="757"/>
  <c r="G12" i="757"/>
  <c r="F12" i="757"/>
  <c r="E12" i="757"/>
  <c r="D12" i="757"/>
  <c r="C12" i="757"/>
  <c r="Z11" i="757"/>
  <c r="Y11" i="757"/>
  <c r="X11" i="757"/>
  <c r="W11" i="757"/>
  <c r="V11" i="757"/>
  <c r="U11" i="757"/>
  <c r="T11" i="757"/>
  <c r="S11" i="757"/>
  <c r="R11" i="757"/>
  <c r="O11" i="757"/>
  <c r="N11" i="757"/>
  <c r="M11" i="757"/>
  <c r="L11" i="757"/>
  <c r="K11" i="757"/>
  <c r="J11" i="757"/>
  <c r="I11" i="757"/>
  <c r="G11" i="757"/>
  <c r="F11" i="757"/>
  <c r="E11" i="757"/>
  <c r="D11" i="757"/>
  <c r="C11" i="757"/>
  <c r="Z10" i="757"/>
  <c r="Y10" i="757"/>
  <c r="X10" i="757"/>
  <c r="W10" i="757"/>
  <c r="V10" i="757"/>
  <c r="U10" i="757"/>
  <c r="T10" i="757"/>
  <c r="S10" i="757"/>
  <c r="R10" i="757"/>
  <c r="O10" i="757"/>
  <c r="N10" i="757"/>
  <c r="M10" i="757"/>
  <c r="L10" i="757"/>
  <c r="K10" i="757"/>
  <c r="J10" i="757"/>
  <c r="I10" i="757"/>
  <c r="G10" i="757"/>
  <c r="F10" i="757"/>
  <c r="E10" i="757"/>
  <c r="D10" i="757"/>
  <c r="C10" i="757"/>
  <c r="F66" i="756"/>
  <c r="K61" i="756"/>
  <c r="AX56" i="756"/>
  <c r="AW56" i="756"/>
  <c r="AV56" i="756"/>
  <c r="AU56" i="756"/>
  <c r="AT56" i="756"/>
  <c r="AS56" i="756"/>
  <c r="AR56" i="756"/>
  <c r="AQ56" i="756"/>
  <c r="AP56" i="756"/>
  <c r="AO56" i="756"/>
  <c r="AN56" i="756"/>
  <c r="AM56" i="756"/>
  <c r="AL56" i="756"/>
  <c r="AK56" i="756"/>
  <c r="AJ56" i="756"/>
  <c r="AI56" i="756"/>
  <c r="AH56" i="756"/>
  <c r="AG56" i="756"/>
  <c r="AF56" i="756"/>
  <c r="AE56" i="756"/>
  <c r="AD56" i="756"/>
  <c r="AC56" i="756"/>
  <c r="AB56" i="756"/>
  <c r="K56" i="756"/>
  <c r="G56" i="756"/>
  <c r="B56" i="756"/>
  <c r="K54" i="756"/>
  <c r="G54" i="756"/>
  <c r="B54" i="756"/>
  <c r="K49" i="756"/>
  <c r="D47" i="756"/>
  <c r="M40" i="756"/>
  <c r="L40" i="756"/>
  <c r="K39" i="756"/>
  <c r="M32" i="756"/>
  <c r="M31" i="756"/>
  <c r="L31" i="756"/>
  <c r="K31" i="756"/>
  <c r="M30" i="756"/>
  <c r="C29" i="756" a="1"/>
  <c r="C29" i="756" s="1"/>
  <c r="M28" i="756"/>
  <c r="L28" i="756"/>
  <c r="K28" i="756"/>
  <c r="L27" i="756"/>
  <c r="K27" i="756"/>
  <c r="C27" i="756" a="1"/>
  <c r="C27" i="756" s="1"/>
  <c r="M26" i="756"/>
  <c r="L26" i="756"/>
  <c r="K26" i="756"/>
  <c r="C26" i="756"/>
  <c r="M25" i="756"/>
  <c r="L25" i="756"/>
  <c r="K25" i="756"/>
  <c r="C25" i="756"/>
  <c r="Z24" i="756"/>
  <c r="Y24" i="756"/>
  <c r="X24" i="756"/>
  <c r="W24" i="756"/>
  <c r="V24" i="756"/>
  <c r="U24" i="756"/>
  <c r="T24" i="756"/>
  <c r="S24" i="756"/>
  <c r="R24" i="756"/>
  <c r="Z23" i="756"/>
  <c r="Y23" i="756"/>
  <c r="X23" i="756"/>
  <c r="W23" i="756"/>
  <c r="V23" i="756"/>
  <c r="U23" i="756"/>
  <c r="T23" i="756"/>
  <c r="S23" i="756"/>
  <c r="R23" i="756"/>
  <c r="Z22" i="756"/>
  <c r="Y22" i="756"/>
  <c r="X22" i="756"/>
  <c r="W22" i="756"/>
  <c r="V22" i="756"/>
  <c r="U22" i="756"/>
  <c r="T22" i="756"/>
  <c r="S22" i="756"/>
  <c r="R22" i="756"/>
  <c r="Z21" i="756"/>
  <c r="Y21" i="756"/>
  <c r="X21" i="756"/>
  <c r="W21" i="756"/>
  <c r="V21" i="756"/>
  <c r="U21" i="756"/>
  <c r="T21" i="756"/>
  <c r="S21" i="756"/>
  <c r="R21" i="756"/>
  <c r="Z20" i="756"/>
  <c r="Y20" i="756"/>
  <c r="X20" i="756"/>
  <c r="W20" i="756"/>
  <c r="V20" i="756"/>
  <c r="U20" i="756"/>
  <c r="T20" i="756"/>
  <c r="S20" i="756"/>
  <c r="R20" i="756"/>
  <c r="Z19" i="756"/>
  <c r="Y19" i="756"/>
  <c r="X19" i="756"/>
  <c r="W19" i="756"/>
  <c r="V19" i="756"/>
  <c r="U19" i="756"/>
  <c r="T19" i="756"/>
  <c r="S19" i="756"/>
  <c r="R19" i="756"/>
  <c r="Z18" i="756"/>
  <c r="Y18" i="756"/>
  <c r="X18" i="756"/>
  <c r="W18" i="756"/>
  <c r="V18" i="756"/>
  <c r="U18" i="756"/>
  <c r="T18" i="756"/>
  <c r="S18" i="756"/>
  <c r="R18" i="756"/>
  <c r="Z17" i="756"/>
  <c r="Y17" i="756"/>
  <c r="X17" i="756"/>
  <c r="W17" i="756"/>
  <c r="V17" i="756"/>
  <c r="U17" i="756"/>
  <c r="T17" i="756"/>
  <c r="S17" i="756"/>
  <c r="R17" i="756"/>
  <c r="Z16" i="756"/>
  <c r="Y16" i="756"/>
  <c r="X16" i="756"/>
  <c r="W16" i="756"/>
  <c r="V16" i="756"/>
  <c r="U16" i="756"/>
  <c r="T16" i="756"/>
  <c r="S16" i="756"/>
  <c r="R16" i="756"/>
  <c r="O16" i="756"/>
  <c r="N16" i="756"/>
  <c r="M16" i="756"/>
  <c r="L16" i="756"/>
  <c r="J16" i="756"/>
  <c r="I16" i="756"/>
  <c r="G16" i="756"/>
  <c r="F16" i="756"/>
  <c r="E16" i="756"/>
  <c r="D16" i="756"/>
  <c r="C16" i="756"/>
  <c r="Z15" i="756"/>
  <c r="Y15" i="756"/>
  <c r="X15" i="756"/>
  <c r="W15" i="756"/>
  <c r="V15" i="756"/>
  <c r="U15" i="756"/>
  <c r="T15" i="756"/>
  <c r="S15" i="756"/>
  <c r="R15" i="756"/>
  <c r="O15" i="756"/>
  <c r="N15" i="756"/>
  <c r="M15" i="756"/>
  <c r="L15" i="756"/>
  <c r="K15" i="756"/>
  <c r="J15" i="756"/>
  <c r="I15" i="756"/>
  <c r="G15" i="756"/>
  <c r="F15" i="756"/>
  <c r="E15" i="756"/>
  <c r="D15" i="756"/>
  <c r="C15" i="756"/>
  <c r="Z14" i="756"/>
  <c r="Y14" i="756"/>
  <c r="X14" i="756"/>
  <c r="W14" i="756"/>
  <c r="V14" i="756"/>
  <c r="U14" i="756"/>
  <c r="T14" i="756"/>
  <c r="S14" i="756"/>
  <c r="R14" i="756"/>
  <c r="O14" i="756"/>
  <c r="N14" i="756"/>
  <c r="M14" i="756"/>
  <c r="L14" i="756"/>
  <c r="K14" i="756"/>
  <c r="J14" i="756"/>
  <c r="I14" i="756"/>
  <c r="G14" i="756"/>
  <c r="F14" i="756"/>
  <c r="E14" i="756"/>
  <c r="D14" i="756"/>
  <c r="C14" i="756"/>
  <c r="Z13" i="756"/>
  <c r="Y13" i="756"/>
  <c r="X13" i="756"/>
  <c r="W13" i="756"/>
  <c r="V13" i="756"/>
  <c r="U13" i="756"/>
  <c r="T13" i="756"/>
  <c r="S13" i="756"/>
  <c r="R13" i="756"/>
  <c r="O13" i="756"/>
  <c r="N13" i="756"/>
  <c r="M13" i="756"/>
  <c r="L13" i="756"/>
  <c r="K13" i="756"/>
  <c r="J13" i="756"/>
  <c r="I13" i="756"/>
  <c r="G13" i="756"/>
  <c r="F13" i="756"/>
  <c r="E13" i="756"/>
  <c r="D13" i="756"/>
  <c r="C13" i="756"/>
  <c r="Z12" i="756"/>
  <c r="Y12" i="756"/>
  <c r="X12" i="756"/>
  <c r="W12" i="756"/>
  <c r="V12" i="756"/>
  <c r="U12" i="756"/>
  <c r="T12" i="756"/>
  <c r="S12" i="756"/>
  <c r="R12" i="756"/>
  <c r="O12" i="756"/>
  <c r="N12" i="756"/>
  <c r="M12" i="756"/>
  <c r="L12" i="756"/>
  <c r="K12" i="756"/>
  <c r="J12" i="756"/>
  <c r="I12" i="756"/>
  <c r="G12" i="756"/>
  <c r="F12" i="756"/>
  <c r="E12" i="756"/>
  <c r="D12" i="756"/>
  <c r="C12" i="756"/>
  <c r="Z11" i="756"/>
  <c r="Y11" i="756"/>
  <c r="X11" i="756"/>
  <c r="W11" i="756"/>
  <c r="V11" i="756"/>
  <c r="U11" i="756"/>
  <c r="T11" i="756"/>
  <c r="S11" i="756"/>
  <c r="R11" i="756"/>
  <c r="O11" i="756"/>
  <c r="N11" i="756"/>
  <c r="M11" i="756"/>
  <c r="L11" i="756"/>
  <c r="K11" i="756"/>
  <c r="J11" i="756"/>
  <c r="I11" i="756"/>
  <c r="G11" i="756"/>
  <c r="F11" i="756"/>
  <c r="E11" i="756"/>
  <c r="D11" i="756"/>
  <c r="C11" i="756"/>
  <c r="Z10" i="756"/>
  <c r="Y10" i="756"/>
  <c r="X10" i="756"/>
  <c r="W10" i="756"/>
  <c r="V10" i="756"/>
  <c r="U10" i="756"/>
  <c r="T10" i="756"/>
  <c r="S10" i="756"/>
  <c r="R10" i="756"/>
  <c r="O10" i="756"/>
  <c r="N10" i="756"/>
  <c r="M10" i="756"/>
  <c r="L10" i="756"/>
  <c r="K10" i="756"/>
  <c r="J10" i="756"/>
  <c r="I10" i="756"/>
  <c r="G10" i="756"/>
  <c r="F10" i="756"/>
  <c r="E10" i="756"/>
  <c r="D10" i="756"/>
  <c r="C10" i="756"/>
  <c r="F64" i="755"/>
  <c r="AX53" i="755"/>
  <c r="AW53" i="755"/>
  <c r="AV53" i="755"/>
  <c r="AU53" i="755"/>
  <c r="AT53" i="755"/>
  <c r="AS53" i="755"/>
  <c r="AR53" i="755"/>
  <c r="AQ53" i="755"/>
  <c r="AP53" i="755"/>
  <c r="AO53" i="755"/>
  <c r="AN53" i="755"/>
  <c r="AM53" i="755"/>
  <c r="AL53" i="755"/>
  <c r="AK53" i="755"/>
  <c r="AJ53" i="755"/>
  <c r="AI53" i="755"/>
  <c r="AH53" i="755"/>
  <c r="AG53" i="755"/>
  <c r="AF53" i="755"/>
  <c r="AE53" i="755"/>
  <c r="AD53" i="755"/>
  <c r="AC53" i="755"/>
  <c r="AB53" i="755"/>
  <c r="K48" i="755"/>
  <c r="D46" i="755"/>
  <c r="M39" i="755"/>
  <c r="L39" i="755"/>
  <c r="K38" i="755"/>
  <c r="M31" i="755"/>
  <c r="M30" i="755"/>
  <c r="L30" i="755"/>
  <c r="K30" i="755"/>
  <c r="M29" i="755"/>
  <c r="M27" i="755"/>
  <c r="L27" i="755"/>
  <c r="K27" i="755"/>
  <c r="L26" i="755"/>
  <c r="K26" i="755"/>
  <c r="M25" i="755"/>
  <c r="L25" i="755"/>
  <c r="K25" i="755"/>
  <c r="M24" i="755"/>
  <c r="L24" i="755"/>
  <c r="K24" i="755"/>
  <c r="Z23" i="755"/>
  <c r="Y23" i="755"/>
  <c r="X23" i="755"/>
  <c r="W23" i="755"/>
  <c r="V23" i="755"/>
  <c r="U23" i="755"/>
  <c r="T23" i="755"/>
  <c r="S23" i="755"/>
  <c r="R23" i="755"/>
  <c r="Z22" i="755"/>
  <c r="Y22" i="755"/>
  <c r="X22" i="755"/>
  <c r="W22" i="755"/>
  <c r="V22" i="755"/>
  <c r="U22" i="755"/>
  <c r="T22" i="755"/>
  <c r="S22" i="755"/>
  <c r="R22" i="755"/>
  <c r="Z21" i="755"/>
  <c r="Y21" i="755"/>
  <c r="X21" i="755"/>
  <c r="W21" i="755"/>
  <c r="V21" i="755"/>
  <c r="U21" i="755"/>
  <c r="T21" i="755"/>
  <c r="S21" i="755"/>
  <c r="R21" i="755"/>
  <c r="Z20" i="755"/>
  <c r="Y20" i="755"/>
  <c r="X20" i="755"/>
  <c r="W20" i="755"/>
  <c r="V20" i="755"/>
  <c r="U20" i="755"/>
  <c r="T20" i="755"/>
  <c r="S20" i="755"/>
  <c r="R20" i="755"/>
  <c r="Z19" i="755"/>
  <c r="Y19" i="755"/>
  <c r="X19" i="755"/>
  <c r="W19" i="755"/>
  <c r="V19" i="755"/>
  <c r="U19" i="755"/>
  <c r="T19" i="755"/>
  <c r="S19" i="755"/>
  <c r="R19" i="755"/>
  <c r="Z18" i="755"/>
  <c r="Y18" i="755"/>
  <c r="X18" i="755"/>
  <c r="W18" i="755"/>
  <c r="V18" i="755"/>
  <c r="U18" i="755"/>
  <c r="T18" i="755"/>
  <c r="S18" i="755"/>
  <c r="R18" i="755"/>
  <c r="Z17" i="755"/>
  <c r="Y17" i="755"/>
  <c r="X17" i="755"/>
  <c r="W17" i="755"/>
  <c r="V17" i="755"/>
  <c r="U17" i="755"/>
  <c r="T17" i="755"/>
  <c r="S17" i="755"/>
  <c r="R17" i="755"/>
  <c r="Z16" i="755"/>
  <c r="Y16" i="755"/>
  <c r="X16" i="755"/>
  <c r="W16" i="755"/>
  <c r="V16" i="755"/>
  <c r="U16" i="755"/>
  <c r="T16" i="755"/>
  <c r="S16" i="755"/>
  <c r="R16" i="755"/>
  <c r="Z15" i="755"/>
  <c r="Y15" i="755"/>
  <c r="X15" i="755"/>
  <c r="W15" i="755"/>
  <c r="V15" i="755"/>
  <c r="U15" i="755"/>
  <c r="T15" i="755"/>
  <c r="S15" i="755"/>
  <c r="R15" i="755"/>
  <c r="O15" i="755"/>
  <c r="N15" i="755"/>
  <c r="M15" i="755"/>
  <c r="L15" i="755"/>
  <c r="K15" i="755"/>
  <c r="J15" i="755"/>
  <c r="I15" i="755"/>
  <c r="G15" i="755"/>
  <c r="F15" i="755"/>
  <c r="E15" i="755"/>
  <c r="D15" i="755"/>
  <c r="C15" i="755"/>
  <c r="Z14" i="755"/>
  <c r="Y14" i="755"/>
  <c r="X14" i="755"/>
  <c r="W14" i="755"/>
  <c r="V14" i="755"/>
  <c r="U14" i="755"/>
  <c r="T14" i="755"/>
  <c r="S14" i="755"/>
  <c r="R14" i="755"/>
  <c r="O14" i="755"/>
  <c r="N14" i="755"/>
  <c r="M14" i="755"/>
  <c r="L14" i="755"/>
  <c r="K14" i="755"/>
  <c r="J14" i="755"/>
  <c r="I14" i="755"/>
  <c r="G14" i="755"/>
  <c r="F14" i="755"/>
  <c r="E14" i="755"/>
  <c r="D14" i="755"/>
  <c r="C14" i="755"/>
  <c r="Z13" i="755"/>
  <c r="Y13" i="755"/>
  <c r="X13" i="755"/>
  <c r="W13" i="755"/>
  <c r="V13" i="755"/>
  <c r="U13" i="755"/>
  <c r="T13" i="755"/>
  <c r="S13" i="755"/>
  <c r="R13" i="755"/>
  <c r="O13" i="755"/>
  <c r="N13" i="755"/>
  <c r="M13" i="755"/>
  <c r="L13" i="755"/>
  <c r="K13" i="755"/>
  <c r="J13" i="755"/>
  <c r="I13" i="755"/>
  <c r="G13" i="755"/>
  <c r="F13" i="755"/>
  <c r="E13" i="755"/>
  <c r="D13" i="755"/>
  <c r="C13" i="755"/>
  <c r="Z12" i="755"/>
  <c r="Y12" i="755"/>
  <c r="X12" i="755"/>
  <c r="W12" i="755"/>
  <c r="V12" i="755"/>
  <c r="U12" i="755"/>
  <c r="T12" i="755"/>
  <c r="S12" i="755"/>
  <c r="R12" i="755"/>
  <c r="O12" i="755"/>
  <c r="N12" i="755"/>
  <c r="M12" i="755"/>
  <c r="L12" i="755"/>
  <c r="J12" i="755"/>
  <c r="I12" i="755"/>
  <c r="G12" i="755"/>
  <c r="F12" i="755"/>
  <c r="E12" i="755"/>
  <c r="D12" i="755"/>
  <c r="C12" i="755"/>
  <c r="Z11" i="755"/>
  <c r="Y11" i="755"/>
  <c r="X11" i="755"/>
  <c r="W11" i="755"/>
  <c r="V11" i="755"/>
  <c r="U11" i="755"/>
  <c r="T11" i="755"/>
  <c r="S11" i="755"/>
  <c r="R11" i="755"/>
  <c r="O11" i="755"/>
  <c r="N11" i="755"/>
  <c r="M11" i="755"/>
  <c r="L11" i="755"/>
  <c r="K11" i="755"/>
  <c r="J11" i="755"/>
  <c r="I11" i="755"/>
  <c r="G11" i="755"/>
  <c r="F11" i="755"/>
  <c r="E11" i="755"/>
  <c r="D11" i="755"/>
  <c r="C11" i="755"/>
  <c r="Z10" i="755"/>
  <c r="Y10" i="755"/>
  <c r="X10" i="755"/>
  <c r="W10" i="755"/>
  <c r="V10" i="755"/>
  <c r="U10" i="755"/>
  <c r="T10" i="755"/>
  <c r="S10" i="755"/>
  <c r="R10" i="755"/>
  <c r="O10" i="755"/>
  <c r="N10" i="755"/>
  <c r="M10" i="755"/>
  <c r="L10" i="755"/>
  <c r="K10" i="755"/>
  <c r="J10" i="755"/>
  <c r="I10" i="755"/>
  <c r="G10" i="755"/>
  <c r="F10" i="755"/>
  <c r="E10" i="755"/>
  <c r="D10" i="755"/>
  <c r="C10" i="755"/>
  <c r="F68" i="754"/>
  <c r="AX57" i="754"/>
  <c r="AW57" i="754"/>
  <c r="AV57" i="754"/>
  <c r="AU57" i="754"/>
  <c r="AT57" i="754"/>
  <c r="AS57" i="754"/>
  <c r="AR57" i="754"/>
  <c r="AQ57" i="754"/>
  <c r="AP57" i="754"/>
  <c r="AO57" i="754"/>
  <c r="AN57" i="754"/>
  <c r="AM57" i="754"/>
  <c r="AL57" i="754"/>
  <c r="AK57" i="754"/>
  <c r="AJ57" i="754"/>
  <c r="AI57" i="754"/>
  <c r="AH57" i="754"/>
  <c r="AG57" i="754"/>
  <c r="AF57" i="754"/>
  <c r="AE57" i="754"/>
  <c r="AD57" i="754"/>
  <c r="AC57" i="754"/>
  <c r="AB57" i="754"/>
  <c r="K57" i="754"/>
  <c r="K64" i="754" s="1"/>
  <c r="G57" i="754"/>
  <c r="B57" i="754"/>
  <c r="K52" i="754"/>
  <c r="D50" i="754"/>
  <c r="M43" i="754"/>
  <c r="L43" i="754"/>
  <c r="K43" i="754"/>
  <c r="M35" i="754"/>
  <c r="M34" i="754"/>
  <c r="L34" i="754"/>
  <c r="K34" i="754"/>
  <c r="M33" i="754"/>
  <c r="C32" i="754" a="1"/>
  <c r="C32" i="754" s="1"/>
  <c r="M31" i="754"/>
  <c r="L31" i="754"/>
  <c r="K31" i="754"/>
  <c r="L30" i="754"/>
  <c r="K30" i="754"/>
  <c r="M29" i="754"/>
  <c r="L29" i="754"/>
  <c r="K29" i="754"/>
  <c r="M28" i="754"/>
  <c r="L28" i="754"/>
  <c r="K28" i="754"/>
  <c r="C28" i="754" a="1"/>
  <c r="C28" i="754" s="1"/>
  <c r="B28" i="754"/>
  <c r="Z27" i="754"/>
  <c r="Y27" i="754"/>
  <c r="X27" i="754"/>
  <c r="W27" i="754"/>
  <c r="V27" i="754"/>
  <c r="U27" i="754"/>
  <c r="T27" i="754"/>
  <c r="S27" i="754"/>
  <c r="R27" i="754"/>
  <c r="Z26" i="754"/>
  <c r="Y26" i="754"/>
  <c r="X26" i="754"/>
  <c r="W26" i="754"/>
  <c r="V26" i="754"/>
  <c r="U26" i="754"/>
  <c r="T26" i="754"/>
  <c r="S26" i="754"/>
  <c r="R26" i="754"/>
  <c r="Z25" i="754"/>
  <c r="Y25" i="754"/>
  <c r="X25" i="754"/>
  <c r="W25" i="754"/>
  <c r="V25" i="754"/>
  <c r="U25" i="754"/>
  <c r="T25" i="754"/>
  <c r="S25" i="754"/>
  <c r="R25" i="754"/>
  <c r="Z24" i="754"/>
  <c r="Y24" i="754"/>
  <c r="X24" i="754"/>
  <c r="W24" i="754"/>
  <c r="V24" i="754"/>
  <c r="U24" i="754"/>
  <c r="T24" i="754"/>
  <c r="S24" i="754"/>
  <c r="R24" i="754"/>
  <c r="Z23" i="754"/>
  <c r="Y23" i="754"/>
  <c r="X23" i="754"/>
  <c r="W23" i="754"/>
  <c r="V23" i="754"/>
  <c r="U23" i="754"/>
  <c r="T23" i="754"/>
  <c r="S23" i="754"/>
  <c r="R23" i="754"/>
  <c r="Z22" i="754"/>
  <c r="Y22" i="754"/>
  <c r="X22" i="754"/>
  <c r="W22" i="754"/>
  <c r="V22" i="754"/>
  <c r="U22" i="754"/>
  <c r="T22" i="754"/>
  <c r="S22" i="754"/>
  <c r="R22" i="754"/>
  <c r="Z21" i="754"/>
  <c r="Y21" i="754"/>
  <c r="X21" i="754"/>
  <c r="W21" i="754"/>
  <c r="V21" i="754"/>
  <c r="U21" i="754"/>
  <c r="T21" i="754"/>
  <c r="S21" i="754"/>
  <c r="R21" i="754"/>
  <c r="Z20" i="754"/>
  <c r="Y20" i="754"/>
  <c r="X20" i="754"/>
  <c r="W20" i="754"/>
  <c r="V20" i="754"/>
  <c r="U20" i="754"/>
  <c r="T20" i="754"/>
  <c r="S20" i="754"/>
  <c r="R20" i="754"/>
  <c r="Z19" i="754"/>
  <c r="Y19" i="754"/>
  <c r="X19" i="754"/>
  <c r="W19" i="754"/>
  <c r="V19" i="754"/>
  <c r="U19" i="754"/>
  <c r="T19" i="754"/>
  <c r="S19" i="754"/>
  <c r="R19" i="754"/>
  <c r="Z18" i="754"/>
  <c r="Y18" i="754"/>
  <c r="X18" i="754"/>
  <c r="W18" i="754"/>
  <c r="V18" i="754"/>
  <c r="U18" i="754"/>
  <c r="T18" i="754"/>
  <c r="S18" i="754"/>
  <c r="R18" i="754"/>
  <c r="Z17" i="754"/>
  <c r="Y17" i="754"/>
  <c r="X17" i="754"/>
  <c r="W17" i="754"/>
  <c r="V17" i="754"/>
  <c r="U17" i="754"/>
  <c r="T17" i="754"/>
  <c r="S17" i="754"/>
  <c r="R17" i="754"/>
  <c r="O17" i="754"/>
  <c r="N17" i="754"/>
  <c r="M17" i="754"/>
  <c r="L17" i="754"/>
  <c r="K17" i="754"/>
  <c r="J17" i="754"/>
  <c r="I17" i="754"/>
  <c r="G17" i="754"/>
  <c r="F17" i="754"/>
  <c r="E17" i="754"/>
  <c r="D17" i="754"/>
  <c r="C17" i="754"/>
  <c r="Z16" i="754"/>
  <c r="Y16" i="754"/>
  <c r="X16" i="754"/>
  <c r="W16" i="754"/>
  <c r="V16" i="754"/>
  <c r="U16" i="754"/>
  <c r="T16" i="754"/>
  <c r="S16" i="754"/>
  <c r="R16" i="754"/>
  <c r="O16" i="754"/>
  <c r="N16" i="754"/>
  <c r="L16" i="754"/>
  <c r="J16" i="754"/>
  <c r="I16" i="754"/>
  <c r="G16" i="754"/>
  <c r="F16" i="754"/>
  <c r="E16" i="754"/>
  <c r="D16" i="754"/>
  <c r="C16" i="754"/>
  <c r="Z15" i="754"/>
  <c r="Y15" i="754"/>
  <c r="X15" i="754"/>
  <c r="W15" i="754"/>
  <c r="V15" i="754"/>
  <c r="U15" i="754"/>
  <c r="T15" i="754"/>
  <c r="S15" i="754"/>
  <c r="R15" i="754"/>
  <c r="O15" i="754"/>
  <c r="N15" i="754"/>
  <c r="M15" i="754"/>
  <c r="L15" i="754"/>
  <c r="K15" i="754"/>
  <c r="J15" i="754"/>
  <c r="I15" i="754"/>
  <c r="G15" i="754"/>
  <c r="F15" i="754"/>
  <c r="E15" i="754"/>
  <c r="D15" i="754"/>
  <c r="C15" i="754"/>
  <c r="Z14" i="754"/>
  <c r="Y14" i="754"/>
  <c r="X14" i="754"/>
  <c r="W14" i="754"/>
  <c r="V14" i="754"/>
  <c r="U14" i="754"/>
  <c r="T14" i="754"/>
  <c r="S14" i="754"/>
  <c r="R14" i="754"/>
  <c r="O14" i="754"/>
  <c r="N14" i="754"/>
  <c r="M14" i="754"/>
  <c r="L14" i="754"/>
  <c r="K14" i="754"/>
  <c r="J14" i="754"/>
  <c r="I14" i="754"/>
  <c r="G14" i="754"/>
  <c r="F14" i="754"/>
  <c r="E14" i="754"/>
  <c r="D14" i="754"/>
  <c r="C14" i="754"/>
  <c r="Z13" i="754"/>
  <c r="Y13" i="754"/>
  <c r="X13" i="754"/>
  <c r="W13" i="754"/>
  <c r="V13" i="754"/>
  <c r="U13" i="754"/>
  <c r="T13" i="754"/>
  <c r="S13" i="754"/>
  <c r="R13" i="754"/>
  <c r="O13" i="754"/>
  <c r="N13" i="754"/>
  <c r="M13" i="754"/>
  <c r="L13" i="754"/>
  <c r="K13" i="754"/>
  <c r="J13" i="754"/>
  <c r="I13" i="754"/>
  <c r="G13" i="754"/>
  <c r="F13" i="754"/>
  <c r="E13" i="754"/>
  <c r="D13" i="754"/>
  <c r="C13" i="754"/>
  <c r="Z12" i="754"/>
  <c r="Y12" i="754"/>
  <c r="X12" i="754"/>
  <c r="W12" i="754"/>
  <c r="V12" i="754"/>
  <c r="U12" i="754"/>
  <c r="T12" i="754"/>
  <c r="S12" i="754"/>
  <c r="R12" i="754"/>
  <c r="O12" i="754"/>
  <c r="N12" i="754"/>
  <c r="M12" i="754"/>
  <c r="L12" i="754"/>
  <c r="K12" i="754"/>
  <c r="J12" i="754"/>
  <c r="I12" i="754"/>
  <c r="G12" i="754"/>
  <c r="F12" i="754"/>
  <c r="E12" i="754"/>
  <c r="D12" i="754"/>
  <c r="C12" i="754"/>
  <c r="Z11" i="754"/>
  <c r="Y11" i="754"/>
  <c r="X11" i="754"/>
  <c r="W11" i="754"/>
  <c r="V11" i="754"/>
  <c r="U11" i="754"/>
  <c r="T11" i="754"/>
  <c r="S11" i="754"/>
  <c r="R11" i="754"/>
  <c r="O11" i="754"/>
  <c r="L11" i="754"/>
  <c r="K11" i="754"/>
  <c r="J11" i="754"/>
  <c r="I11" i="754"/>
  <c r="G11" i="754"/>
  <c r="E11" i="754"/>
  <c r="D11" i="754"/>
  <c r="C11" i="754"/>
  <c r="Z10" i="754"/>
  <c r="Y10" i="754"/>
  <c r="X10" i="754"/>
  <c r="W10" i="754"/>
  <c r="V10" i="754"/>
  <c r="U10" i="754"/>
  <c r="T10" i="754"/>
  <c r="S10" i="754"/>
  <c r="R10" i="754"/>
  <c r="O10" i="754"/>
  <c r="N10" i="754"/>
  <c r="M10" i="754"/>
  <c r="L10" i="754"/>
  <c r="K10" i="754"/>
  <c r="J10" i="754"/>
  <c r="I10" i="754"/>
  <c r="G10" i="754"/>
  <c r="F10" i="754"/>
  <c r="E10" i="754"/>
  <c r="D10" i="754"/>
  <c r="C10" i="754"/>
  <c r="F65" i="753"/>
  <c r="AX54" i="753"/>
  <c r="AW54" i="753"/>
  <c r="AV54" i="753"/>
  <c r="AU54" i="753"/>
  <c r="AT54" i="753"/>
  <c r="AS54" i="753"/>
  <c r="AR54" i="753"/>
  <c r="AQ54" i="753"/>
  <c r="AP54" i="753"/>
  <c r="AO54" i="753"/>
  <c r="AN54" i="753"/>
  <c r="AM54" i="753"/>
  <c r="AL54" i="753"/>
  <c r="AK54" i="753"/>
  <c r="AJ54" i="753"/>
  <c r="AI54" i="753"/>
  <c r="AH54" i="753"/>
  <c r="AG54" i="753"/>
  <c r="AF54" i="753"/>
  <c r="AE54" i="753"/>
  <c r="AD54" i="753"/>
  <c r="AC54" i="753"/>
  <c r="AB54" i="753"/>
  <c r="K49" i="753"/>
  <c r="D47" i="753"/>
  <c r="M40" i="753"/>
  <c r="L40" i="753"/>
  <c r="K39" i="753"/>
  <c r="M32" i="753"/>
  <c r="M31" i="753"/>
  <c r="L31" i="753"/>
  <c r="K31" i="753"/>
  <c r="M30" i="753"/>
  <c r="M28" i="753"/>
  <c r="L28" i="753"/>
  <c r="K28" i="753"/>
  <c r="L27" i="753"/>
  <c r="K27" i="753"/>
  <c r="M26" i="753"/>
  <c r="L26" i="753"/>
  <c r="K26" i="753"/>
  <c r="M25" i="753"/>
  <c r="L25" i="753"/>
  <c r="K25" i="753"/>
  <c r="Z24" i="753"/>
  <c r="Y24" i="753"/>
  <c r="X24" i="753"/>
  <c r="W24" i="753"/>
  <c r="V24" i="753"/>
  <c r="U24" i="753"/>
  <c r="T24" i="753"/>
  <c r="S24" i="753"/>
  <c r="R24" i="753"/>
  <c r="Z23" i="753"/>
  <c r="Y23" i="753"/>
  <c r="X23" i="753"/>
  <c r="W23" i="753"/>
  <c r="V23" i="753"/>
  <c r="U23" i="753"/>
  <c r="T23" i="753"/>
  <c r="S23" i="753"/>
  <c r="R23" i="753"/>
  <c r="Z22" i="753"/>
  <c r="Y22" i="753"/>
  <c r="X22" i="753"/>
  <c r="W22" i="753"/>
  <c r="V22" i="753"/>
  <c r="U22" i="753"/>
  <c r="T22" i="753"/>
  <c r="S22" i="753"/>
  <c r="R22" i="753"/>
  <c r="Z21" i="753"/>
  <c r="Y21" i="753"/>
  <c r="X21" i="753"/>
  <c r="W21" i="753"/>
  <c r="V21" i="753"/>
  <c r="U21" i="753"/>
  <c r="T21" i="753"/>
  <c r="S21" i="753"/>
  <c r="R21" i="753"/>
  <c r="Z20" i="753"/>
  <c r="Y20" i="753"/>
  <c r="X20" i="753"/>
  <c r="W20" i="753"/>
  <c r="V20" i="753"/>
  <c r="U20" i="753"/>
  <c r="T20" i="753"/>
  <c r="S20" i="753"/>
  <c r="R20" i="753"/>
  <c r="Z19" i="753"/>
  <c r="Y19" i="753"/>
  <c r="X19" i="753"/>
  <c r="W19" i="753"/>
  <c r="V19" i="753"/>
  <c r="U19" i="753"/>
  <c r="T19" i="753"/>
  <c r="S19" i="753"/>
  <c r="R19" i="753"/>
  <c r="Z18" i="753"/>
  <c r="Y18" i="753"/>
  <c r="X18" i="753"/>
  <c r="W18" i="753"/>
  <c r="V18" i="753"/>
  <c r="U18" i="753"/>
  <c r="T18" i="753"/>
  <c r="S18" i="753"/>
  <c r="R18" i="753"/>
  <c r="O18" i="753"/>
  <c r="N18" i="753"/>
  <c r="M18" i="753"/>
  <c r="L18" i="753"/>
  <c r="K18" i="753"/>
  <c r="J18" i="753"/>
  <c r="I18" i="753"/>
  <c r="J26" i="753" s="1"/>
  <c r="G18" i="753"/>
  <c r="F18" i="753"/>
  <c r="E18" i="753"/>
  <c r="D18" i="753"/>
  <c r="C18" i="753"/>
  <c r="Z17" i="753"/>
  <c r="Y17" i="753"/>
  <c r="X17" i="753"/>
  <c r="W17" i="753"/>
  <c r="V17" i="753"/>
  <c r="U17" i="753"/>
  <c r="T17" i="753"/>
  <c r="S17" i="753"/>
  <c r="R17" i="753"/>
  <c r="Z16" i="753"/>
  <c r="Y16" i="753"/>
  <c r="X16" i="753"/>
  <c r="W16" i="753"/>
  <c r="V16" i="753"/>
  <c r="U16" i="753"/>
  <c r="T16" i="753"/>
  <c r="S16" i="753"/>
  <c r="R16" i="753"/>
  <c r="O16" i="753"/>
  <c r="N16" i="753"/>
  <c r="M16" i="753"/>
  <c r="L16" i="753"/>
  <c r="K16" i="753"/>
  <c r="J16" i="753"/>
  <c r="I16" i="753"/>
  <c r="G16" i="753"/>
  <c r="F16" i="753"/>
  <c r="E16" i="753"/>
  <c r="D16" i="753"/>
  <c r="C16" i="753"/>
  <c r="Z15" i="753"/>
  <c r="Y15" i="753"/>
  <c r="X15" i="753"/>
  <c r="W15" i="753"/>
  <c r="V15" i="753"/>
  <c r="U15" i="753"/>
  <c r="T15" i="753"/>
  <c r="S15" i="753"/>
  <c r="R15" i="753"/>
  <c r="O15" i="753"/>
  <c r="N15" i="753"/>
  <c r="M15" i="753"/>
  <c r="L15" i="753"/>
  <c r="K15" i="753"/>
  <c r="J15" i="753"/>
  <c r="I15" i="753"/>
  <c r="G15" i="753"/>
  <c r="F15" i="753"/>
  <c r="E15" i="753"/>
  <c r="D15" i="753"/>
  <c r="C15" i="753"/>
  <c r="Z14" i="753"/>
  <c r="Y14" i="753"/>
  <c r="X14" i="753"/>
  <c r="W14" i="753"/>
  <c r="V14" i="753"/>
  <c r="U14" i="753"/>
  <c r="T14" i="753"/>
  <c r="S14" i="753"/>
  <c r="R14" i="753"/>
  <c r="O14" i="753"/>
  <c r="N14" i="753"/>
  <c r="M14" i="753"/>
  <c r="L14" i="753"/>
  <c r="K14" i="753"/>
  <c r="J14" i="753"/>
  <c r="I14" i="753"/>
  <c r="G14" i="753"/>
  <c r="F14" i="753"/>
  <c r="E14" i="753"/>
  <c r="D14" i="753"/>
  <c r="C14" i="753"/>
  <c r="Z13" i="753"/>
  <c r="Y13" i="753"/>
  <c r="X13" i="753"/>
  <c r="W13" i="753"/>
  <c r="V13" i="753"/>
  <c r="U13" i="753"/>
  <c r="T13" i="753"/>
  <c r="S13" i="753"/>
  <c r="R13" i="753"/>
  <c r="O13" i="753"/>
  <c r="N13" i="753"/>
  <c r="M13" i="753"/>
  <c r="L13" i="753"/>
  <c r="K13" i="753"/>
  <c r="J13" i="753"/>
  <c r="I13" i="753"/>
  <c r="G13" i="753"/>
  <c r="F13" i="753"/>
  <c r="E13" i="753"/>
  <c r="D13" i="753"/>
  <c r="C13" i="753"/>
  <c r="Z12" i="753"/>
  <c r="Y12" i="753"/>
  <c r="X12" i="753"/>
  <c r="W12" i="753"/>
  <c r="V12" i="753"/>
  <c r="U12" i="753"/>
  <c r="T12" i="753"/>
  <c r="S12" i="753"/>
  <c r="R12" i="753"/>
  <c r="O12" i="753"/>
  <c r="N12" i="753"/>
  <c r="M12" i="753"/>
  <c r="L12" i="753"/>
  <c r="K12" i="753"/>
  <c r="J12" i="753"/>
  <c r="I12" i="753"/>
  <c r="G12" i="753"/>
  <c r="F12" i="753"/>
  <c r="E12" i="753"/>
  <c r="D12" i="753"/>
  <c r="C12" i="753"/>
  <c r="Z11" i="753"/>
  <c r="Y11" i="753"/>
  <c r="X11" i="753"/>
  <c r="W11" i="753"/>
  <c r="V11" i="753"/>
  <c r="U11" i="753"/>
  <c r="T11" i="753"/>
  <c r="S11" i="753"/>
  <c r="R11" i="753"/>
  <c r="O11" i="753"/>
  <c r="N11" i="753"/>
  <c r="M11" i="753"/>
  <c r="L11" i="753"/>
  <c r="K11" i="753"/>
  <c r="J11" i="753"/>
  <c r="I11" i="753"/>
  <c r="G11" i="753"/>
  <c r="F11" i="753"/>
  <c r="E11" i="753"/>
  <c r="D11" i="753"/>
  <c r="C11" i="753"/>
  <c r="Z10" i="753"/>
  <c r="Y10" i="753"/>
  <c r="X10" i="753"/>
  <c r="W10" i="753"/>
  <c r="V10" i="753"/>
  <c r="U10" i="753"/>
  <c r="T10" i="753"/>
  <c r="S10" i="753"/>
  <c r="R10" i="753"/>
  <c r="O10" i="753"/>
  <c r="N10" i="753"/>
  <c r="M10" i="753"/>
  <c r="L10" i="753"/>
  <c r="K10" i="753"/>
  <c r="J10" i="753"/>
  <c r="I10" i="753"/>
  <c r="G10" i="753"/>
  <c r="F10" i="753"/>
  <c r="E10" i="753"/>
  <c r="D10" i="753"/>
  <c r="C10" i="753"/>
  <c r="F66" i="752"/>
  <c r="AX55" i="752"/>
  <c r="AW55" i="752"/>
  <c r="AV55" i="752"/>
  <c r="AU55" i="752"/>
  <c r="AT55" i="752"/>
  <c r="AS55" i="752"/>
  <c r="AR55" i="752"/>
  <c r="AQ55" i="752"/>
  <c r="AP55" i="752"/>
  <c r="AO55" i="752"/>
  <c r="AN55" i="752"/>
  <c r="AM55" i="752"/>
  <c r="AL55" i="752"/>
  <c r="AK55" i="752"/>
  <c r="AJ55" i="752"/>
  <c r="AI55" i="752"/>
  <c r="AH55" i="752"/>
  <c r="AG55" i="752"/>
  <c r="AF55" i="752"/>
  <c r="AE55" i="752"/>
  <c r="AD55" i="752"/>
  <c r="AC55" i="752"/>
  <c r="AB55" i="752"/>
  <c r="K50" i="752"/>
  <c r="D48" i="752"/>
  <c r="M41" i="752"/>
  <c r="L41" i="752"/>
  <c r="K41" i="752"/>
  <c r="M33" i="752"/>
  <c r="M32" i="752"/>
  <c r="L32" i="752"/>
  <c r="K32" i="752"/>
  <c r="M31" i="752"/>
  <c r="M29" i="752"/>
  <c r="L29" i="752"/>
  <c r="K29" i="752"/>
  <c r="L28" i="752"/>
  <c r="K28" i="752"/>
  <c r="M27" i="752"/>
  <c r="L27" i="752"/>
  <c r="K27" i="752"/>
  <c r="M26" i="752"/>
  <c r="L26" i="752"/>
  <c r="K26" i="752"/>
  <c r="Z25" i="752"/>
  <c r="Y25" i="752"/>
  <c r="X25" i="752"/>
  <c r="W25" i="752"/>
  <c r="V25" i="752"/>
  <c r="U25" i="752"/>
  <c r="T25" i="752"/>
  <c r="S25" i="752"/>
  <c r="R25" i="752"/>
  <c r="Z24" i="752"/>
  <c r="Y24" i="752"/>
  <c r="X24" i="752"/>
  <c r="W24" i="752"/>
  <c r="V24" i="752"/>
  <c r="U24" i="752"/>
  <c r="T24" i="752"/>
  <c r="S24" i="752"/>
  <c r="R24" i="752"/>
  <c r="Z23" i="752"/>
  <c r="Y23" i="752"/>
  <c r="X23" i="752"/>
  <c r="W23" i="752"/>
  <c r="V23" i="752"/>
  <c r="U23" i="752"/>
  <c r="T23" i="752"/>
  <c r="S23" i="752"/>
  <c r="R23" i="752"/>
  <c r="Z22" i="752"/>
  <c r="Y22" i="752"/>
  <c r="X22" i="752"/>
  <c r="W22" i="752"/>
  <c r="V22" i="752"/>
  <c r="U22" i="752"/>
  <c r="T22" i="752"/>
  <c r="S22" i="752"/>
  <c r="R22" i="752"/>
  <c r="Z21" i="752"/>
  <c r="Y21" i="752"/>
  <c r="X21" i="752"/>
  <c r="W21" i="752"/>
  <c r="V21" i="752"/>
  <c r="U21" i="752"/>
  <c r="T21" i="752"/>
  <c r="S21" i="752"/>
  <c r="R21" i="752"/>
  <c r="Z20" i="752"/>
  <c r="Y20" i="752"/>
  <c r="X20" i="752"/>
  <c r="W20" i="752"/>
  <c r="V20" i="752"/>
  <c r="U20" i="752"/>
  <c r="T20" i="752"/>
  <c r="S20" i="752"/>
  <c r="R20" i="752"/>
  <c r="O20" i="752"/>
  <c r="N20" i="752"/>
  <c r="M20" i="752"/>
  <c r="L20" i="752"/>
  <c r="K20" i="752"/>
  <c r="J20" i="752"/>
  <c r="I20" i="752"/>
  <c r="J26" i="752" s="1"/>
  <c r="G20" i="752"/>
  <c r="F20" i="752"/>
  <c r="E20" i="752"/>
  <c r="D20" i="752"/>
  <c r="C20" i="752"/>
  <c r="Z19" i="752"/>
  <c r="Y19" i="752"/>
  <c r="X19" i="752"/>
  <c r="W19" i="752"/>
  <c r="V19" i="752"/>
  <c r="U19" i="752"/>
  <c r="T19" i="752"/>
  <c r="S19" i="752"/>
  <c r="R19" i="752"/>
  <c r="Z18" i="752"/>
  <c r="Y18" i="752"/>
  <c r="X18" i="752"/>
  <c r="W18" i="752"/>
  <c r="V18" i="752"/>
  <c r="U18" i="752"/>
  <c r="T18" i="752"/>
  <c r="S18" i="752"/>
  <c r="R18" i="752"/>
  <c r="O18" i="752"/>
  <c r="N18" i="752"/>
  <c r="M18" i="752"/>
  <c r="L18" i="752"/>
  <c r="K18" i="752"/>
  <c r="J18" i="752"/>
  <c r="I18" i="752"/>
  <c r="G18" i="752"/>
  <c r="F18" i="752"/>
  <c r="E18" i="752"/>
  <c r="D18" i="752"/>
  <c r="C18" i="752"/>
  <c r="Z17" i="752"/>
  <c r="Y17" i="752"/>
  <c r="X17" i="752"/>
  <c r="W17" i="752"/>
  <c r="V17" i="752"/>
  <c r="U17" i="752"/>
  <c r="T17" i="752"/>
  <c r="S17" i="752"/>
  <c r="R17" i="752"/>
  <c r="O17" i="752"/>
  <c r="N17" i="752"/>
  <c r="M17" i="752"/>
  <c r="L17" i="752"/>
  <c r="K17" i="752"/>
  <c r="J17" i="752"/>
  <c r="I17" i="752"/>
  <c r="G17" i="752"/>
  <c r="F17" i="752"/>
  <c r="E17" i="752"/>
  <c r="D17" i="752"/>
  <c r="C17" i="752"/>
  <c r="Z16" i="752"/>
  <c r="Y16" i="752"/>
  <c r="X16" i="752"/>
  <c r="W16" i="752"/>
  <c r="V16" i="752"/>
  <c r="U16" i="752"/>
  <c r="T16" i="752"/>
  <c r="S16" i="752"/>
  <c r="R16" i="752"/>
  <c r="O16" i="752"/>
  <c r="N16" i="752"/>
  <c r="M16" i="752"/>
  <c r="L16" i="752"/>
  <c r="K16" i="752"/>
  <c r="J16" i="752"/>
  <c r="I16" i="752"/>
  <c r="G16" i="752"/>
  <c r="F16" i="752"/>
  <c r="E16" i="752"/>
  <c r="D16" i="752"/>
  <c r="C16" i="752"/>
  <c r="Z15" i="752"/>
  <c r="Y15" i="752"/>
  <c r="X15" i="752"/>
  <c r="W15" i="752"/>
  <c r="V15" i="752"/>
  <c r="U15" i="752"/>
  <c r="T15" i="752"/>
  <c r="S15" i="752"/>
  <c r="R15" i="752"/>
  <c r="O15" i="752"/>
  <c r="N15" i="752"/>
  <c r="M15" i="752"/>
  <c r="L15" i="752"/>
  <c r="K15" i="752"/>
  <c r="J15" i="752"/>
  <c r="I15" i="752"/>
  <c r="G15" i="752"/>
  <c r="F15" i="752"/>
  <c r="E15" i="752"/>
  <c r="D15" i="752"/>
  <c r="C15" i="752"/>
  <c r="Z14" i="752"/>
  <c r="Y14" i="752"/>
  <c r="X14" i="752"/>
  <c r="W14" i="752"/>
  <c r="V14" i="752"/>
  <c r="U14" i="752"/>
  <c r="T14" i="752"/>
  <c r="S14" i="752"/>
  <c r="R14" i="752"/>
  <c r="O14" i="752"/>
  <c r="N14" i="752"/>
  <c r="M14" i="752"/>
  <c r="L14" i="752"/>
  <c r="K14" i="752"/>
  <c r="J14" i="752"/>
  <c r="I14" i="752"/>
  <c r="G14" i="752"/>
  <c r="F14" i="752"/>
  <c r="E14" i="752"/>
  <c r="D14" i="752"/>
  <c r="C14" i="752"/>
  <c r="Z13" i="752"/>
  <c r="Y13" i="752"/>
  <c r="X13" i="752"/>
  <c r="W13" i="752"/>
  <c r="V13" i="752"/>
  <c r="U13" i="752"/>
  <c r="T13" i="752"/>
  <c r="S13" i="752"/>
  <c r="R13" i="752"/>
  <c r="O13" i="752"/>
  <c r="N13" i="752"/>
  <c r="M13" i="752"/>
  <c r="L13" i="752"/>
  <c r="K13" i="752"/>
  <c r="J13" i="752"/>
  <c r="I13" i="752"/>
  <c r="G13" i="752"/>
  <c r="F13" i="752"/>
  <c r="E13" i="752"/>
  <c r="D13" i="752"/>
  <c r="C13" i="752"/>
  <c r="Z12" i="752"/>
  <c r="Y12" i="752"/>
  <c r="X12" i="752"/>
  <c r="W12" i="752"/>
  <c r="V12" i="752"/>
  <c r="U12" i="752"/>
  <c r="T12" i="752"/>
  <c r="S12" i="752"/>
  <c r="R12" i="752"/>
  <c r="O12" i="752"/>
  <c r="N12" i="752"/>
  <c r="M12" i="752"/>
  <c r="L12" i="752"/>
  <c r="K12" i="752"/>
  <c r="J12" i="752"/>
  <c r="I12" i="752"/>
  <c r="G12" i="752"/>
  <c r="F12" i="752"/>
  <c r="E12" i="752"/>
  <c r="D12" i="752"/>
  <c r="C12" i="752"/>
  <c r="Z11" i="752"/>
  <c r="Y11" i="752"/>
  <c r="X11" i="752"/>
  <c r="W11" i="752"/>
  <c r="V11" i="752"/>
  <c r="U11" i="752"/>
  <c r="T11" i="752"/>
  <c r="S11" i="752"/>
  <c r="R11" i="752"/>
  <c r="O11" i="752"/>
  <c r="N11" i="752"/>
  <c r="M11" i="752"/>
  <c r="L11" i="752"/>
  <c r="K11" i="752"/>
  <c r="J11" i="752"/>
  <c r="I11" i="752"/>
  <c r="G11" i="752"/>
  <c r="F11" i="752"/>
  <c r="E11" i="752"/>
  <c r="D11" i="752"/>
  <c r="C11" i="752"/>
  <c r="Z10" i="752"/>
  <c r="Y10" i="752"/>
  <c r="X10" i="752"/>
  <c r="W10" i="752"/>
  <c r="V10" i="752"/>
  <c r="U10" i="752"/>
  <c r="T10" i="752"/>
  <c r="S10" i="752"/>
  <c r="R10" i="752"/>
  <c r="O10" i="752"/>
  <c r="N10" i="752"/>
  <c r="M10" i="752"/>
  <c r="L10" i="752"/>
  <c r="K10" i="752"/>
  <c r="J10" i="752"/>
  <c r="I10" i="752"/>
  <c r="G10" i="752"/>
  <c r="F10" i="752"/>
  <c r="E10" i="752"/>
  <c r="D10" i="752"/>
  <c r="C10" i="752"/>
  <c r="F61" i="751"/>
  <c r="AX50" i="751"/>
  <c r="AW50" i="751"/>
  <c r="AV50" i="751"/>
  <c r="AU50" i="751"/>
  <c r="AT50" i="751"/>
  <c r="AS50" i="751"/>
  <c r="AR50" i="751"/>
  <c r="AQ50" i="751"/>
  <c r="AP50" i="751"/>
  <c r="AO50" i="751"/>
  <c r="AN50" i="751"/>
  <c r="AM50" i="751"/>
  <c r="AL50" i="751"/>
  <c r="AK50" i="751"/>
  <c r="AJ50" i="751"/>
  <c r="AI50" i="751"/>
  <c r="AH50" i="751"/>
  <c r="AG50" i="751"/>
  <c r="AF50" i="751"/>
  <c r="AE50" i="751"/>
  <c r="AD50" i="751"/>
  <c r="AC50" i="751"/>
  <c r="AB50" i="751"/>
  <c r="K50" i="751"/>
  <c r="K59" i="751" s="1"/>
  <c r="G50" i="751"/>
  <c r="E50" i="751"/>
  <c r="B50" i="751"/>
  <c r="K45" i="751"/>
  <c r="D43" i="751"/>
  <c r="M36" i="751"/>
  <c r="L36" i="751"/>
  <c r="K35" i="751"/>
  <c r="M28" i="751"/>
  <c r="M27" i="751"/>
  <c r="L27" i="751"/>
  <c r="K27" i="751"/>
  <c r="M26" i="751"/>
  <c r="M24" i="751"/>
  <c r="L24" i="751"/>
  <c r="K24" i="751"/>
  <c r="L23" i="751"/>
  <c r="K23" i="751"/>
  <c r="M22" i="751"/>
  <c r="L22" i="751"/>
  <c r="K22" i="751"/>
  <c r="M21" i="751"/>
  <c r="L21" i="751"/>
  <c r="K21" i="751"/>
  <c r="C21" i="751" a="1"/>
  <c r="C21" i="751" s="1"/>
  <c r="B21" i="751"/>
  <c r="Z20" i="751"/>
  <c r="Y20" i="751"/>
  <c r="X20" i="751"/>
  <c r="W20" i="751"/>
  <c r="V20" i="751"/>
  <c r="U20" i="751"/>
  <c r="T20" i="751"/>
  <c r="S20" i="751"/>
  <c r="R20" i="751"/>
  <c r="Z19" i="751"/>
  <c r="Y19" i="751"/>
  <c r="X19" i="751"/>
  <c r="W19" i="751"/>
  <c r="V19" i="751"/>
  <c r="U19" i="751"/>
  <c r="T19" i="751"/>
  <c r="S19" i="751"/>
  <c r="R19" i="751"/>
  <c r="Z18" i="751"/>
  <c r="Y18" i="751"/>
  <c r="X18" i="751"/>
  <c r="W18" i="751"/>
  <c r="V18" i="751"/>
  <c r="U18" i="751"/>
  <c r="T18" i="751"/>
  <c r="S18" i="751"/>
  <c r="R18" i="751"/>
  <c r="Z17" i="751"/>
  <c r="Y17" i="751"/>
  <c r="X17" i="751"/>
  <c r="W17" i="751"/>
  <c r="V17" i="751"/>
  <c r="U17" i="751"/>
  <c r="T17" i="751"/>
  <c r="S17" i="751"/>
  <c r="R17" i="751"/>
  <c r="Z16" i="751"/>
  <c r="Y16" i="751"/>
  <c r="X16" i="751"/>
  <c r="W16" i="751"/>
  <c r="V16" i="751"/>
  <c r="U16" i="751"/>
  <c r="T16" i="751"/>
  <c r="S16" i="751"/>
  <c r="R16" i="751"/>
  <c r="Z15" i="751"/>
  <c r="Y15" i="751"/>
  <c r="X15" i="751"/>
  <c r="W15" i="751"/>
  <c r="V15" i="751"/>
  <c r="U15" i="751"/>
  <c r="T15" i="751"/>
  <c r="S15" i="751"/>
  <c r="R15" i="751"/>
  <c r="Z14" i="751"/>
  <c r="Y14" i="751"/>
  <c r="X14" i="751"/>
  <c r="W14" i="751"/>
  <c r="V14" i="751"/>
  <c r="U14" i="751"/>
  <c r="T14" i="751"/>
  <c r="S14" i="751"/>
  <c r="R14" i="751"/>
  <c r="O14" i="751"/>
  <c r="N14" i="751"/>
  <c r="M14" i="751"/>
  <c r="L14" i="751"/>
  <c r="K14" i="751"/>
  <c r="J14" i="751"/>
  <c r="I14" i="751"/>
  <c r="G14" i="751"/>
  <c r="F14" i="751"/>
  <c r="E14" i="751"/>
  <c r="D14" i="751"/>
  <c r="C14" i="751"/>
  <c r="Z13" i="751"/>
  <c r="Y13" i="751"/>
  <c r="X13" i="751"/>
  <c r="W13" i="751"/>
  <c r="V13" i="751"/>
  <c r="U13" i="751"/>
  <c r="T13" i="751"/>
  <c r="S13" i="751"/>
  <c r="R13" i="751"/>
  <c r="O13" i="751"/>
  <c r="N13" i="751"/>
  <c r="M13" i="751"/>
  <c r="L13" i="751"/>
  <c r="K13" i="751"/>
  <c r="J13" i="751"/>
  <c r="I13" i="751"/>
  <c r="G13" i="751"/>
  <c r="F13" i="751"/>
  <c r="E13" i="751"/>
  <c r="D13" i="751"/>
  <c r="C13" i="751"/>
  <c r="Z12" i="751"/>
  <c r="Y12" i="751"/>
  <c r="X12" i="751"/>
  <c r="W12" i="751"/>
  <c r="V12" i="751"/>
  <c r="U12" i="751"/>
  <c r="T12" i="751"/>
  <c r="S12" i="751"/>
  <c r="R12" i="751"/>
  <c r="O12" i="751"/>
  <c r="N12" i="751"/>
  <c r="M12" i="751"/>
  <c r="L12" i="751"/>
  <c r="K12" i="751"/>
  <c r="J12" i="751"/>
  <c r="I12" i="751"/>
  <c r="G12" i="751"/>
  <c r="F12" i="751"/>
  <c r="E12" i="751"/>
  <c r="D12" i="751"/>
  <c r="C12" i="751"/>
  <c r="Z11" i="751"/>
  <c r="Y11" i="751"/>
  <c r="X11" i="751"/>
  <c r="W11" i="751"/>
  <c r="V11" i="751"/>
  <c r="U11" i="751"/>
  <c r="T11" i="751"/>
  <c r="S11" i="751"/>
  <c r="R11" i="751"/>
  <c r="O11" i="751"/>
  <c r="N11" i="751"/>
  <c r="M11" i="751"/>
  <c r="L11" i="751"/>
  <c r="K11" i="751"/>
  <c r="J11" i="751"/>
  <c r="I11" i="751"/>
  <c r="G11" i="751"/>
  <c r="F11" i="751"/>
  <c r="E11" i="751"/>
  <c r="D11" i="751"/>
  <c r="C11" i="751"/>
  <c r="Z10" i="751"/>
  <c r="Y10" i="751"/>
  <c r="X10" i="751"/>
  <c r="W10" i="751"/>
  <c r="V10" i="751"/>
  <c r="U10" i="751"/>
  <c r="T10" i="751"/>
  <c r="S10" i="751"/>
  <c r="R10" i="751"/>
  <c r="O10" i="751"/>
  <c r="N10" i="751"/>
  <c r="M10" i="751"/>
  <c r="L10" i="751"/>
  <c r="K10" i="751"/>
  <c r="J10" i="751"/>
  <c r="I10" i="751"/>
  <c r="G10" i="751"/>
  <c r="F10" i="751"/>
  <c r="E10" i="751"/>
  <c r="D10" i="751"/>
  <c r="C10" i="751"/>
  <c r="F59" i="750"/>
  <c r="AX48" i="750"/>
  <c r="AW48" i="750"/>
  <c r="AV48" i="750"/>
  <c r="AU48" i="750"/>
  <c r="AT48" i="750"/>
  <c r="AS48" i="750"/>
  <c r="AR48" i="750"/>
  <c r="AQ48" i="750"/>
  <c r="AP48" i="750"/>
  <c r="AO48" i="750"/>
  <c r="AN48" i="750"/>
  <c r="AM48" i="750"/>
  <c r="AL48" i="750"/>
  <c r="AK48" i="750"/>
  <c r="AJ48" i="750"/>
  <c r="AI48" i="750"/>
  <c r="AH48" i="750"/>
  <c r="AG48" i="750"/>
  <c r="AF48" i="750"/>
  <c r="AE48" i="750"/>
  <c r="AD48" i="750"/>
  <c r="AC48" i="750"/>
  <c r="AB48" i="750"/>
  <c r="K48" i="750"/>
  <c r="K54" i="750" s="1"/>
  <c r="G48" i="750"/>
  <c r="B48" i="750"/>
  <c r="K43" i="750"/>
  <c r="D41" i="750"/>
  <c r="M34" i="750"/>
  <c r="L34" i="750"/>
  <c r="K33" i="750"/>
  <c r="M26" i="750"/>
  <c r="M25" i="750"/>
  <c r="L25" i="750"/>
  <c r="K25" i="750"/>
  <c r="M24" i="750"/>
  <c r="M22" i="750"/>
  <c r="L22" i="750"/>
  <c r="K22" i="750"/>
  <c r="L21" i="750"/>
  <c r="K21" i="750"/>
  <c r="M20" i="750"/>
  <c r="L20" i="750"/>
  <c r="K20" i="750"/>
  <c r="M19" i="750"/>
  <c r="L19" i="750"/>
  <c r="K19" i="750"/>
  <c r="C19" i="750" a="1"/>
  <c r="C19" i="750" s="1"/>
  <c r="B19" i="750"/>
  <c r="Z17" i="750"/>
  <c r="Y17" i="750"/>
  <c r="X17" i="750"/>
  <c r="W17" i="750"/>
  <c r="V17" i="750"/>
  <c r="U17" i="750"/>
  <c r="T17" i="750"/>
  <c r="S17" i="750"/>
  <c r="R17" i="750"/>
  <c r="Z16" i="750"/>
  <c r="Y16" i="750"/>
  <c r="X16" i="750"/>
  <c r="W16" i="750"/>
  <c r="V16" i="750"/>
  <c r="U16" i="750"/>
  <c r="T16" i="750"/>
  <c r="S16" i="750"/>
  <c r="R16" i="750"/>
  <c r="Z15" i="750"/>
  <c r="Y15" i="750"/>
  <c r="X15" i="750"/>
  <c r="W15" i="750"/>
  <c r="V15" i="750"/>
  <c r="U15" i="750"/>
  <c r="T15" i="750"/>
  <c r="S15" i="750"/>
  <c r="R15" i="750"/>
  <c r="Z14" i="750"/>
  <c r="Y14" i="750"/>
  <c r="X14" i="750"/>
  <c r="W14" i="750"/>
  <c r="V14" i="750"/>
  <c r="U14" i="750"/>
  <c r="T14" i="750"/>
  <c r="S14" i="750"/>
  <c r="R14" i="750"/>
  <c r="Z13" i="750"/>
  <c r="Y13" i="750"/>
  <c r="X13" i="750"/>
  <c r="W13" i="750"/>
  <c r="V13" i="750"/>
  <c r="U13" i="750"/>
  <c r="T13" i="750"/>
  <c r="S13" i="750"/>
  <c r="R13" i="750"/>
  <c r="Z12" i="750"/>
  <c r="Y12" i="750"/>
  <c r="X12" i="750"/>
  <c r="W12" i="750"/>
  <c r="V12" i="750"/>
  <c r="U12" i="750"/>
  <c r="T12" i="750"/>
  <c r="S12" i="750"/>
  <c r="R12" i="750"/>
  <c r="O12" i="750"/>
  <c r="N12" i="750"/>
  <c r="M12" i="750"/>
  <c r="L12" i="750"/>
  <c r="K12" i="750"/>
  <c r="J12" i="750"/>
  <c r="I12" i="750"/>
  <c r="G12" i="750"/>
  <c r="F12" i="750"/>
  <c r="E12" i="750"/>
  <c r="D12" i="750"/>
  <c r="C12" i="750"/>
  <c r="Z11" i="750"/>
  <c r="Y11" i="750"/>
  <c r="X11" i="750"/>
  <c r="W11" i="750"/>
  <c r="V11" i="750"/>
  <c r="U11" i="750"/>
  <c r="T11" i="750"/>
  <c r="S11" i="750"/>
  <c r="R11" i="750"/>
  <c r="O11" i="750"/>
  <c r="N11" i="750"/>
  <c r="M11" i="750"/>
  <c r="L11" i="750"/>
  <c r="K11" i="750"/>
  <c r="J11" i="750"/>
  <c r="I11" i="750"/>
  <c r="G11" i="750"/>
  <c r="F11" i="750"/>
  <c r="E11" i="750"/>
  <c r="D11" i="750"/>
  <c r="C11" i="750"/>
  <c r="Z10" i="750"/>
  <c r="Y10" i="750"/>
  <c r="X10" i="750"/>
  <c r="W10" i="750"/>
  <c r="V10" i="750"/>
  <c r="U10" i="750"/>
  <c r="T10" i="750"/>
  <c r="S10" i="750"/>
  <c r="R10" i="750"/>
  <c r="O10" i="750"/>
  <c r="N10" i="750"/>
  <c r="M10" i="750"/>
  <c r="L10" i="750"/>
  <c r="K10" i="750"/>
  <c r="J10" i="750"/>
  <c r="I10" i="750"/>
  <c r="G10" i="750"/>
  <c r="F10" i="750"/>
  <c r="E10" i="750"/>
  <c r="D10" i="750"/>
  <c r="C10" i="750"/>
  <c r="F76" i="749"/>
  <c r="K72" i="749"/>
  <c r="AX65" i="749"/>
  <c r="AW65" i="749"/>
  <c r="AV65" i="749"/>
  <c r="AU65" i="749"/>
  <c r="AT65" i="749"/>
  <c r="AS65" i="749"/>
  <c r="AR65" i="749"/>
  <c r="AQ65" i="749"/>
  <c r="AP65" i="749"/>
  <c r="AO65" i="749"/>
  <c r="AN65" i="749"/>
  <c r="AM65" i="749"/>
  <c r="AL65" i="749"/>
  <c r="AK65" i="749"/>
  <c r="AJ65" i="749"/>
  <c r="AI65" i="749"/>
  <c r="AH65" i="749"/>
  <c r="AG65" i="749"/>
  <c r="AF65" i="749"/>
  <c r="AE65" i="749"/>
  <c r="AD65" i="749"/>
  <c r="AC65" i="749"/>
  <c r="AB65" i="749"/>
  <c r="K65" i="749"/>
  <c r="G65" i="749"/>
  <c r="B65" i="749"/>
  <c r="K60" i="749"/>
  <c r="I60" i="749"/>
  <c r="D58" i="749"/>
  <c r="I53" i="749"/>
  <c r="M51" i="749"/>
  <c r="L51" i="749"/>
  <c r="K51" i="749"/>
  <c r="I50" i="749"/>
  <c r="M43" i="749"/>
  <c r="M42" i="749"/>
  <c r="L42" i="749"/>
  <c r="K42" i="749"/>
  <c r="M41" i="749"/>
  <c r="M39" i="749"/>
  <c r="L39" i="749"/>
  <c r="K39" i="749"/>
  <c r="L38" i="749"/>
  <c r="K38" i="749"/>
  <c r="M37" i="749"/>
  <c r="L37" i="749"/>
  <c r="K37" i="749"/>
  <c r="M36" i="749"/>
  <c r="L36" i="749"/>
  <c r="K36" i="749"/>
  <c r="C36" i="749" a="1"/>
  <c r="C36" i="749" s="1"/>
  <c r="B36" i="749"/>
  <c r="Z34" i="749"/>
  <c r="Y34" i="749"/>
  <c r="X34" i="749"/>
  <c r="W34" i="749"/>
  <c r="V34" i="749"/>
  <c r="U34" i="749"/>
  <c r="T34" i="749"/>
  <c r="S34" i="749"/>
  <c r="R34" i="749"/>
  <c r="Z33" i="749"/>
  <c r="Y33" i="749"/>
  <c r="X33" i="749"/>
  <c r="W33" i="749"/>
  <c r="V33" i="749"/>
  <c r="U33" i="749"/>
  <c r="T33" i="749"/>
  <c r="S33" i="749"/>
  <c r="R33" i="749"/>
  <c r="Z32" i="749"/>
  <c r="Y32" i="749"/>
  <c r="X32" i="749"/>
  <c r="W32" i="749"/>
  <c r="V32" i="749"/>
  <c r="U32" i="749"/>
  <c r="T32" i="749"/>
  <c r="S32" i="749"/>
  <c r="R32" i="749"/>
  <c r="Z31" i="749"/>
  <c r="Y31" i="749"/>
  <c r="X31" i="749"/>
  <c r="W31" i="749"/>
  <c r="V31" i="749"/>
  <c r="U31" i="749"/>
  <c r="T31" i="749"/>
  <c r="S31" i="749"/>
  <c r="R31" i="749"/>
  <c r="Z30" i="749"/>
  <c r="Y30" i="749"/>
  <c r="X30" i="749"/>
  <c r="W30" i="749"/>
  <c r="V30" i="749"/>
  <c r="U30" i="749"/>
  <c r="T30" i="749"/>
  <c r="S30" i="749"/>
  <c r="R30" i="749"/>
  <c r="Z29" i="749"/>
  <c r="Y29" i="749"/>
  <c r="X29" i="749"/>
  <c r="W29" i="749"/>
  <c r="V29" i="749"/>
  <c r="U29" i="749"/>
  <c r="T29" i="749"/>
  <c r="S29" i="749"/>
  <c r="R29" i="749"/>
  <c r="Z28" i="749"/>
  <c r="Y28" i="749"/>
  <c r="X28" i="749"/>
  <c r="W28" i="749"/>
  <c r="V28" i="749"/>
  <c r="U28" i="749"/>
  <c r="T28" i="749"/>
  <c r="S28" i="749"/>
  <c r="R28" i="749"/>
  <c r="Z27" i="749"/>
  <c r="Y27" i="749"/>
  <c r="X27" i="749"/>
  <c r="W27" i="749"/>
  <c r="V27" i="749"/>
  <c r="U27" i="749"/>
  <c r="T27" i="749"/>
  <c r="S27" i="749"/>
  <c r="R27" i="749"/>
  <c r="Z26" i="749"/>
  <c r="Y26" i="749"/>
  <c r="X26" i="749"/>
  <c r="W26" i="749"/>
  <c r="V26" i="749"/>
  <c r="U26" i="749"/>
  <c r="T26" i="749"/>
  <c r="S26" i="749"/>
  <c r="R26" i="749"/>
  <c r="O26" i="749"/>
  <c r="N26" i="749"/>
  <c r="M26" i="749"/>
  <c r="L26" i="749"/>
  <c r="K26" i="749"/>
  <c r="J26" i="749"/>
  <c r="I26" i="749"/>
  <c r="G26" i="749"/>
  <c r="F26" i="749"/>
  <c r="E26" i="749"/>
  <c r="D26" i="749"/>
  <c r="C26" i="749"/>
  <c r="Z25" i="749"/>
  <c r="Y25" i="749"/>
  <c r="X25" i="749"/>
  <c r="W25" i="749"/>
  <c r="V25" i="749"/>
  <c r="U25" i="749"/>
  <c r="T25" i="749"/>
  <c r="S25" i="749"/>
  <c r="R25" i="749"/>
  <c r="O25" i="749"/>
  <c r="N25" i="749"/>
  <c r="M25" i="749"/>
  <c r="L25" i="749"/>
  <c r="K25" i="749"/>
  <c r="J25" i="749"/>
  <c r="I25" i="749"/>
  <c r="G25" i="749"/>
  <c r="F25" i="749"/>
  <c r="E25" i="749"/>
  <c r="D25" i="749"/>
  <c r="C25" i="749"/>
  <c r="Z24" i="749"/>
  <c r="Y24" i="749"/>
  <c r="X24" i="749"/>
  <c r="W24" i="749"/>
  <c r="V24" i="749"/>
  <c r="U24" i="749"/>
  <c r="T24" i="749"/>
  <c r="S24" i="749"/>
  <c r="R24" i="749"/>
  <c r="Z23" i="749"/>
  <c r="Y23" i="749"/>
  <c r="X23" i="749"/>
  <c r="W23" i="749"/>
  <c r="V23" i="749"/>
  <c r="U23" i="749"/>
  <c r="T23" i="749"/>
  <c r="S23" i="749"/>
  <c r="R23" i="749"/>
  <c r="Z22" i="749"/>
  <c r="Y22" i="749"/>
  <c r="X22" i="749"/>
  <c r="W22" i="749"/>
  <c r="V22" i="749"/>
  <c r="U22" i="749"/>
  <c r="T22" i="749"/>
  <c r="S22" i="749"/>
  <c r="R22" i="749"/>
  <c r="O22" i="749"/>
  <c r="N22" i="749"/>
  <c r="M22" i="749"/>
  <c r="L22" i="749"/>
  <c r="J22" i="749"/>
  <c r="I22" i="749"/>
  <c r="G22" i="749"/>
  <c r="F22" i="749"/>
  <c r="E22" i="749"/>
  <c r="D22" i="749"/>
  <c r="C22" i="749"/>
  <c r="Z21" i="749"/>
  <c r="Y21" i="749"/>
  <c r="X21" i="749"/>
  <c r="W21" i="749"/>
  <c r="V21" i="749"/>
  <c r="U21" i="749"/>
  <c r="T21" i="749"/>
  <c r="S21" i="749"/>
  <c r="R21" i="749"/>
  <c r="O21" i="749"/>
  <c r="N21" i="749"/>
  <c r="M21" i="749"/>
  <c r="L21" i="749"/>
  <c r="J21" i="749"/>
  <c r="I21" i="749"/>
  <c r="G21" i="749"/>
  <c r="F21" i="749"/>
  <c r="E21" i="749"/>
  <c r="D21" i="749"/>
  <c r="C21" i="749"/>
  <c r="Z20" i="749"/>
  <c r="Y20" i="749"/>
  <c r="X20" i="749"/>
  <c r="W20" i="749"/>
  <c r="V20" i="749"/>
  <c r="U20" i="749"/>
  <c r="T20" i="749"/>
  <c r="S20" i="749"/>
  <c r="R20" i="749"/>
  <c r="O20" i="749"/>
  <c r="N20" i="749"/>
  <c r="M20" i="749"/>
  <c r="L20" i="749"/>
  <c r="J20" i="749"/>
  <c r="I20" i="749"/>
  <c r="G20" i="749"/>
  <c r="F20" i="749"/>
  <c r="E20" i="749"/>
  <c r="D20" i="749"/>
  <c r="C20" i="749"/>
  <c r="Z19" i="749"/>
  <c r="Y19" i="749"/>
  <c r="X19" i="749"/>
  <c r="W19" i="749"/>
  <c r="V19" i="749"/>
  <c r="U19" i="749"/>
  <c r="T19" i="749"/>
  <c r="S19" i="749"/>
  <c r="R19" i="749"/>
  <c r="O19" i="749"/>
  <c r="N19" i="749"/>
  <c r="M19" i="749"/>
  <c r="L19" i="749"/>
  <c r="J19" i="749"/>
  <c r="I19" i="749"/>
  <c r="G19" i="749"/>
  <c r="F19" i="749"/>
  <c r="E19" i="749"/>
  <c r="D19" i="749"/>
  <c r="C19" i="749"/>
  <c r="Z18" i="749"/>
  <c r="Y18" i="749"/>
  <c r="X18" i="749"/>
  <c r="W18" i="749"/>
  <c r="V18" i="749"/>
  <c r="U18" i="749"/>
  <c r="T18" i="749"/>
  <c r="S18" i="749"/>
  <c r="R18" i="749"/>
  <c r="O18" i="749"/>
  <c r="N18" i="749"/>
  <c r="M18" i="749"/>
  <c r="L18" i="749"/>
  <c r="J18" i="749"/>
  <c r="I18" i="749"/>
  <c r="G18" i="749"/>
  <c r="F18" i="749"/>
  <c r="E18" i="749"/>
  <c r="D18" i="749"/>
  <c r="C18" i="749"/>
  <c r="Z17" i="749"/>
  <c r="Y17" i="749"/>
  <c r="X17" i="749"/>
  <c r="W17" i="749"/>
  <c r="V17" i="749"/>
  <c r="U17" i="749"/>
  <c r="T17" i="749"/>
  <c r="S17" i="749"/>
  <c r="R17" i="749"/>
  <c r="O17" i="749"/>
  <c r="N17" i="749"/>
  <c r="M17" i="749"/>
  <c r="L17" i="749"/>
  <c r="J17" i="749"/>
  <c r="I17" i="749"/>
  <c r="G17" i="749"/>
  <c r="F17" i="749"/>
  <c r="E17" i="749"/>
  <c r="D17" i="749"/>
  <c r="C17" i="749"/>
  <c r="Z16" i="749"/>
  <c r="Y16" i="749"/>
  <c r="X16" i="749"/>
  <c r="W16" i="749"/>
  <c r="V16" i="749"/>
  <c r="U16" i="749"/>
  <c r="T16" i="749"/>
  <c r="S16" i="749"/>
  <c r="R16" i="749"/>
  <c r="Z15" i="749"/>
  <c r="Y15" i="749"/>
  <c r="X15" i="749"/>
  <c r="W15" i="749"/>
  <c r="V15" i="749"/>
  <c r="U15" i="749"/>
  <c r="T15" i="749"/>
  <c r="S15" i="749"/>
  <c r="R15" i="749"/>
  <c r="Z14" i="749"/>
  <c r="Y14" i="749"/>
  <c r="X14" i="749"/>
  <c r="W14" i="749"/>
  <c r="V14" i="749"/>
  <c r="U14" i="749"/>
  <c r="T14" i="749"/>
  <c r="S14" i="749"/>
  <c r="R14" i="749"/>
  <c r="O14" i="749"/>
  <c r="N14" i="749"/>
  <c r="M14" i="749"/>
  <c r="L14" i="749"/>
  <c r="K14" i="749"/>
  <c r="J14" i="749"/>
  <c r="I14" i="749"/>
  <c r="G14" i="749"/>
  <c r="F14" i="749"/>
  <c r="E14" i="749"/>
  <c r="C14" i="749"/>
  <c r="Z13" i="749"/>
  <c r="Y13" i="749"/>
  <c r="X13" i="749"/>
  <c r="W13" i="749"/>
  <c r="V13" i="749"/>
  <c r="U13" i="749"/>
  <c r="T13" i="749"/>
  <c r="S13" i="749"/>
  <c r="R13" i="749"/>
  <c r="O13" i="749"/>
  <c r="N13" i="749"/>
  <c r="M13" i="749"/>
  <c r="L13" i="749"/>
  <c r="K13" i="749"/>
  <c r="J13" i="749"/>
  <c r="I13" i="749"/>
  <c r="G13" i="749"/>
  <c r="F13" i="749"/>
  <c r="E13" i="749"/>
  <c r="D13" i="749"/>
  <c r="C13" i="749"/>
  <c r="Z12" i="749"/>
  <c r="Y12" i="749"/>
  <c r="X12" i="749"/>
  <c r="W12" i="749"/>
  <c r="V12" i="749"/>
  <c r="U12" i="749"/>
  <c r="T12" i="749"/>
  <c r="S12" i="749"/>
  <c r="R12" i="749"/>
  <c r="O12" i="749"/>
  <c r="N12" i="749"/>
  <c r="M12" i="749"/>
  <c r="L12" i="749"/>
  <c r="K12" i="749"/>
  <c r="J12" i="749"/>
  <c r="I12" i="749"/>
  <c r="G12" i="749"/>
  <c r="F12" i="749"/>
  <c r="E12" i="749"/>
  <c r="D12" i="749"/>
  <c r="C12" i="749"/>
  <c r="Z11" i="749"/>
  <c r="Y11" i="749"/>
  <c r="X11" i="749"/>
  <c r="W11" i="749"/>
  <c r="V11" i="749"/>
  <c r="U11" i="749"/>
  <c r="T11" i="749"/>
  <c r="S11" i="749"/>
  <c r="R11" i="749"/>
  <c r="O11" i="749"/>
  <c r="N11" i="749"/>
  <c r="M11" i="749"/>
  <c r="L11" i="749"/>
  <c r="K11" i="749"/>
  <c r="J11" i="749"/>
  <c r="I11" i="749"/>
  <c r="G11" i="749"/>
  <c r="F11" i="749"/>
  <c r="E11" i="749"/>
  <c r="D11" i="749"/>
  <c r="C11" i="749"/>
  <c r="Z10" i="749"/>
  <c r="Y10" i="749"/>
  <c r="X10" i="749"/>
  <c r="W10" i="749"/>
  <c r="V10" i="749"/>
  <c r="U10" i="749"/>
  <c r="T10" i="749"/>
  <c r="S10" i="749"/>
  <c r="R10" i="749"/>
  <c r="O10" i="749"/>
  <c r="N10" i="749"/>
  <c r="M10" i="749"/>
  <c r="L10" i="749"/>
  <c r="K10" i="749"/>
  <c r="J10" i="749"/>
  <c r="I10" i="749"/>
  <c r="G10" i="749"/>
  <c r="F10" i="749"/>
  <c r="E10" i="749"/>
  <c r="D10" i="749"/>
  <c r="C10" i="749"/>
  <c r="F69" i="748"/>
  <c r="K60" i="748"/>
  <c r="K70" i="748" s="1"/>
  <c r="G60" i="748"/>
  <c r="B60" i="748"/>
  <c r="AX58" i="748"/>
  <c r="AW58" i="748"/>
  <c r="AV58" i="748"/>
  <c r="AU58" i="748"/>
  <c r="AT58" i="748"/>
  <c r="AS58" i="748"/>
  <c r="AR58" i="748"/>
  <c r="AQ58" i="748"/>
  <c r="AP58" i="748"/>
  <c r="AO58" i="748"/>
  <c r="AN58" i="748"/>
  <c r="AM58" i="748"/>
  <c r="AL58" i="748"/>
  <c r="AK58" i="748"/>
  <c r="AJ58" i="748"/>
  <c r="AI58" i="748"/>
  <c r="AH58" i="748"/>
  <c r="AG58" i="748"/>
  <c r="AF58" i="748"/>
  <c r="AE58" i="748"/>
  <c r="AD58" i="748"/>
  <c r="AC58" i="748"/>
  <c r="AB58" i="748"/>
  <c r="K58" i="748"/>
  <c r="K64" i="748" s="1"/>
  <c r="G58" i="748"/>
  <c r="B58" i="748"/>
  <c r="K53" i="748"/>
  <c r="D51" i="748"/>
  <c r="M44" i="748"/>
  <c r="L44" i="748"/>
  <c r="K44" i="748"/>
  <c r="K43" i="748"/>
  <c r="C43" i="748" a="1"/>
  <c r="C43" i="748" s="1"/>
  <c r="C41" i="748" a="1"/>
  <c r="C41" i="748" s="1"/>
  <c r="B41" i="748"/>
  <c r="M36" i="748"/>
  <c r="M35" i="748"/>
  <c r="L35" i="748"/>
  <c r="K35" i="748"/>
  <c r="M34" i="748"/>
  <c r="M32" i="748"/>
  <c r="L31" i="748"/>
  <c r="K31" i="748"/>
  <c r="C31" i="748" a="1"/>
  <c r="C31" i="748" s="1"/>
  <c r="M30" i="748"/>
  <c r="L30" i="748"/>
  <c r="K30" i="748"/>
  <c r="M29" i="748"/>
  <c r="L29" i="748"/>
  <c r="K29" i="748"/>
  <c r="C29" i="748" a="1"/>
  <c r="C29" i="748" s="1"/>
  <c r="B29" i="748"/>
  <c r="Z27" i="748"/>
  <c r="Y27" i="748"/>
  <c r="X27" i="748"/>
  <c r="W27" i="748"/>
  <c r="V27" i="748"/>
  <c r="U27" i="748"/>
  <c r="T27" i="748"/>
  <c r="S27" i="748"/>
  <c r="R27" i="748"/>
  <c r="Z26" i="748"/>
  <c r="Y26" i="748"/>
  <c r="X26" i="748"/>
  <c r="W26" i="748"/>
  <c r="V26" i="748"/>
  <c r="U26" i="748"/>
  <c r="T26" i="748"/>
  <c r="S26" i="748"/>
  <c r="R26" i="748"/>
  <c r="Z25" i="748"/>
  <c r="Y25" i="748"/>
  <c r="X25" i="748"/>
  <c r="W25" i="748"/>
  <c r="V25" i="748"/>
  <c r="U25" i="748"/>
  <c r="T25" i="748"/>
  <c r="S25" i="748"/>
  <c r="R25" i="748"/>
  <c r="Z24" i="748"/>
  <c r="Y24" i="748"/>
  <c r="X24" i="748"/>
  <c r="W24" i="748"/>
  <c r="V24" i="748"/>
  <c r="U24" i="748"/>
  <c r="T24" i="748"/>
  <c r="S24" i="748"/>
  <c r="R24" i="748"/>
  <c r="Z23" i="748"/>
  <c r="Y23" i="748"/>
  <c r="X23" i="748"/>
  <c r="W23" i="748"/>
  <c r="V23" i="748"/>
  <c r="U23" i="748"/>
  <c r="T23" i="748"/>
  <c r="S23" i="748"/>
  <c r="R23" i="748"/>
  <c r="Z22" i="748"/>
  <c r="Y22" i="748"/>
  <c r="X22" i="748"/>
  <c r="W22" i="748"/>
  <c r="V22" i="748"/>
  <c r="U22" i="748"/>
  <c r="T22" i="748"/>
  <c r="S22" i="748"/>
  <c r="R22" i="748"/>
  <c r="Z21" i="748"/>
  <c r="Y21" i="748"/>
  <c r="X21" i="748"/>
  <c r="W21" i="748"/>
  <c r="V21" i="748"/>
  <c r="U21" i="748"/>
  <c r="T21" i="748"/>
  <c r="S21" i="748"/>
  <c r="R21" i="748"/>
  <c r="Z20" i="748"/>
  <c r="Y20" i="748"/>
  <c r="X20" i="748"/>
  <c r="W20" i="748"/>
  <c r="V20" i="748"/>
  <c r="U20" i="748"/>
  <c r="T20" i="748"/>
  <c r="S20" i="748"/>
  <c r="R20" i="748"/>
  <c r="O19" i="748"/>
  <c r="N19" i="748"/>
  <c r="M19" i="748"/>
  <c r="L19" i="748"/>
  <c r="K19" i="748"/>
  <c r="J19" i="748"/>
  <c r="I19" i="748"/>
  <c r="G19" i="748"/>
  <c r="F19" i="748"/>
  <c r="E19" i="748"/>
  <c r="D19" i="748"/>
  <c r="C19" i="748"/>
  <c r="Z18" i="748"/>
  <c r="Y18" i="748"/>
  <c r="X18" i="748"/>
  <c r="W18" i="748"/>
  <c r="V18" i="748"/>
  <c r="U18" i="748"/>
  <c r="T18" i="748"/>
  <c r="S18" i="748"/>
  <c r="R18" i="748"/>
  <c r="O18" i="748"/>
  <c r="N18" i="748"/>
  <c r="M18" i="748"/>
  <c r="L18" i="748"/>
  <c r="K18" i="748"/>
  <c r="J18" i="748"/>
  <c r="I18" i="748"/>
  <c r="G18" i="748"/>
  <c r="F18" i="748"/>
  <c r="E18" i="748"/>
  <c r="D18" i="748"/>
  <c r="C18" i="748"/>
  <c r="Z17" i="748"/>
  <c r="Y17" i="748"/>
  <c r="X17" i="748"/>
  <c r="W17" i="748"/>
  <c r="V17" i="748"/>
  <c r="U17" i="748"/>
  <c r="T17" i="748"/>
  <c r="S17" i="748"/>
  <c r="R17" i="748"/>
  <c r="O17" i="748"/>
  <c r="N17" i="748"/>
  <c r="M17" i="748"/>
  <c r="L17" i="748"/>
  <c r="K17" i="748"/>
  <c r="J17" i="748"/>
  <c r="I17" i="748"/>
  <c r="G17" i="748"/>
  <c r="F17" i="748"/>
  <c r="E17" i="748"/>
  <c r="D17" i="748"/>
  <c r="C17" i="748"/>
  <c r="Z16" i="748"/>
  <c r="Y16" i="748"/>
  <c r="X16" i="748"/>
  <c r="W16" i="748"/>
  <c r="V16" i="748"/>
  <c r="U16" i="748"/>
  <c r="T16" i="748"/>
  <c r="S16" i="748"/>
  <c r="R16" i="748"/>
  <c r="Z15" i="748"/>
  <c r="Y15" i="748"/>
  <c r="X15" i="748"/>
  <c r="W15" i="748"/>
  <c r="V15" i="748"/>
  <c r="U15" i="748"/>
  <c r="T15" i="748"/>
  <c r="S15" i="748"/>
  <c r="R15" i="748"/>
  <c r="O15" i="748"/>
  <c r="N15" i="748"/>
  <c r="M15" i="748"/>
  <c r="L15" i="748"/>
  <c r="K15" i="748"/>
  <c r="J15" i="748"/>
  <c r="I15" i="748"/>
  <c r="G15" i="748"/>
  <c r="F15" i="748"/>
  <c r="E15" i="748"/>
  <c r="D15" i="748"/>
  <c r="C15" i="748"/>
  <c r="Z14" i="748"/>
  <c r="Y14" i="748"/>
  <c r="X14" i="748"/>
  <c r="W14" i="748"/>
  <c r="V14" i="748"/>
  <c r="U14" i="748"/>
  <c r="T14" i="748"/>
  <c r="S14" i="748"/>
  <c r="R14" i="748"/>
  <c r="O14" i="748"/>
  <c r="N14" i="748"/>
  <c r="M14" i="748"/>
  <c r="L14" i="748"/>
  <c r="K14" i="748"/>
  <c r="J14" i="748"/>
  <c r="I14" i="748"/>
  <c r="G14" i="748"/>
  <c r="F14" i="748"/>
  <c r="E14" i="748"/>
  <c r="D14" i="748"/>
  <c r="C14" i="748"/>
  <c r="Z13" i="748"/>
  <c r="Y13" i="748"/>
  <c r="X13" i="748"/>
  <c r="W13" i="748"/>
  <c r="V13" i="748"/>
  <c r="U13" i="748"/>
  <c r="T13" i="748"/>
  <c r="S13" i="748"/>
  <c r="R13" i="748"/>
  <c r="O13" i="748"/>
  <c r="N13" i="748"/>
  <c r="M13" i="748"/>
  <c r="L13" i="748"/>
  <c r="K13" i="748"/>
  <c r="J13" i="748"/>
  <c r="I13" i="748"/>
  <c r="G13" i="748"/>
  <c r="F13" i="748"/>
  <c r="E13" i="748"/>
  <c r="D13" i="748"/>
  <c r="C13" i="748"/>
  <c r="Z12" i="748"/>
  <c r="Y12" i="748"/>
  <c r="X12" i="748"/>
  <c r="W12" i="748"/>
  <c r="V12" i="748"/>
  <c r="U12" i="748"/>
  <c r="T12" i="748"/>
  <c r="S12" i="748"/>
  <c r="R12" i="748"/>
  <c r="O12" i="748"/>
  <c r="N12" i="748"/>
  <c r="M12" i="748"/>
  <c r="L12" i="748"/>
  <c r="K12" i="748"/>
  <c r="J12" i="748"/>
  <c r="I12" i="748"/>
  <c r="G12" i="748"/>
  <c r="F12" i="748"/>
  <c r="E12" i="748"/>
  <c r="D12" i="748"/>
  <c r="C12" i="748"/>
  <c r="Z11" i="748"/>
  <c r="Y11" i="748"/>
  <c r="X11" i="748"/>
  <c r="W11" i="748"/>
  <c r="V11" i="748"/>
  <c r="U11" i="748"/>
  <c r="T11" i="748"/>
  <c r="S11" i="748"/>
  <c r="R11" i="748"/>
  <c r="O11" i="748"/>
  <c r="N11" i="748"/>
  <c r="M11" i="748"/>
  <c r="L11" i="748"/>
  <c r="K11" i="748"/>
  <c r="J11" i="748"/>
  <c r="I11" i="748"/>
  <c r="G11" i="748"/>
  <c r="F11" i="748"/>
  <c r="E11" i="748"/>
  <c r="D11" i="748"/>
  <c r="C11" i="748"/>
  <c r="Z10" i="748"/>
  <c r="Y10" i="748"/>
  <c r="X10" i="748"/>
  <c r="W10" i="748"/>
  <c r="V10" i="748"/>
  <c r="U10" i="748"/>
  <c r="T10" i="748"/>
  <c r="S10" i="748"/>
  <c r="R10" i="748"/>
  <c r="O10" i="748"/>
  <c r="N10" i="748"/>
  <c r="M10" i="748"/>
  <c r="L10" i="748"/>
  <c r="K10" i="748"/>
  <c r="J10" i="748"/>
  <c r="I10" i="748"/>
  <c r="G10" i="748"/>
  <c r="F10" i="748"/>
  <c r="E10" i="748"/>
  <c r="D10" i="748"/>
  <c r="C10" i="748"/>
  <c r="F73" i="747"/>
  <c r="K64" i="747"/>
  <c r="K74" i="747" s="1"/>
  <c r="G64" i="747"/>
  <c r="B64" i="747"/>
  <c r="AX62" i="747"/>
  <c r="AW62" i="747"/>
  <c r="AV62" i="747"/>
  <c r="AU62" i="747"/>
  <c r="AT62" i="747"/>
  <c r="AS62" i="747"/>
  <c r="AR62" i="747"/>
  <c r="AQ62" i="747"/>
  <c r="AP62" i="747"/>
  <c r="AO62" i="747"/>
  <c r="AN62" i="747"/>
  <c r="AM62" i="747"/>
  <c r="AL62" i="747"/>
  <c r="AK62" i="747"/>
  <c r="AJ62" i="747"/>
  <c r="AI62" i="747"/>
  <c r="AH62" i="747"/>
  <c r="AG62" i="747"/>
  <c r="AF62" i="747"/>
  <c r="AE62" i="747"/>
  <c r="AD62" i="747"/>
  <c r="AC62" i="747"/>
  <c r="AB62" i="747"/>
  <c r="K62" i="747"/>
  <c r="K68" i="747" s="1"/>
  <c r="G62" i="747"/>
  <c r="B62" i="747"/>
  <c r="K57" i="747"/>
  <c r="D55" i="747"/>
  <c r="K49" i="747"/>
  <c r="M48" i="747"/>
  <c r="L48" i="747"/>
  <c r="K47" i="747"/>
  <c r="C47" i="747" a="1"/>
  <c r="C47" i="747" s="1"/>
  <c r="C45" i="747" a="1"/>
  <c r="C45" i="747" s="1"/>
  <c r="B45" i="747"/>
  <c r="M40" i="747"/>
  <c r="M39" i="747"/>
  <c r="L39" i="747"/>
  <c r="K39" i="747"/>
  <c r="M38" i="747"/>
  <c r="M36" i="747"/>
  <c r="L35" i="747"/>
  <c r="K35" i="747"/>
  <c r="C35" i="747" a="1"/>
  <c r="C35" i="747" s="1"/>
  <c r="M34" i="747"/>
  <c r="L34" i="747"/>
  <c r="K34" i="747"/>
  <c r="M33" i="747"/>
  <c r="L33" i="747"/>
  <c r="K33" i="747"/>
  <c r="C33" i="747" a="1"/>
  <c r="C33" i="747" s="1"/>
  <c r="B33" i="747"/>
  <c r="Z31" i="747"/>
  <c r="Y31" i="747"/>
  <c r="X31" i="747"/>
  <c r="W31" i="747"/>
  <c r="V31" i="747"/>
  <c r="U31" i="747"/>
  <c r="T31" i="747"/>
  <c r="S31" i="747"/>
  <c r="R31" i="747"/>
  <c r="Z30" i="747"/>
  <c r="Y30" i="747"/>
  <c r="X30" i="747"/>
  <c r="W30" i="747"/>
  <c r="V30" i="747"/>
  <c r="U30" i="747"/>
  <c r="T30" i="747"/>
  <c r="S30" i="747"/>
  <c r="R30" i="747"/>
  <c r="Z29" i="747"/>
  <c r="Y29" i="747"/>
  <c r="X29" i="747"/>
  <c r="W29" i="747"/>
  <c r="V29" i="747"/>
  <c r="U29" i="747"/>
  <c r="T29" i="747"/>
  <c r="S29" i="747"/>
  <c r="R29" i="747"/>
  <c r="Z28" i="747"/>
  <c r="Y28" i="747"/>
  <c r="X28" i="747"/>
  <c r="W28" i="747"/>
  <c r="V28" i="747"/>
  <c r="U28" i="747"/>
  <c r="T28" i="747"/>
  <c r="S28" i="747"/>
  <c r="R28" i="747"/>
  <c r="Z27" i="747"/>
  <c r="Y27" i="747"/>
  <c r="X27" i="747"/>
  <c r="W27" i="747"/>
  <c r="V27" i="747"/>
  <c r="U27" i="747"/>
  <c r="T27" i="747"/>
  <c r="S27" i="747"/>
  <c r="R27" i="747"/>
  <c r="Z26" i="747"/>
  <c r="Y26" i="747"/>
  <c r="X26" i="747"/>
  <c r="W26" i="747"/>
  <c r="V26" i="747"/>
  <c r="U26" i="747"/>
  <c r="T26" i="747"/>
  <c r="S26" i="747"/>
  <c r="R26" i="747"/>
  <c r="Z25" i="747"/>
  <c r="Y25" i="747"/>
  <c r="X25" i="747"/>
  <c r="W25" i="747"/>
  <c r="V25" i="747"/>
  <c r="U25" i="747"/>
  <c r="T25" i="747"/>
  <c r="S25" i="747"/>
  <c r="R25" i="747"/>
  <c r="Z24" i="747"/>
  <c r="Y24" i="747"/>
  <c r="X24" i="747"/>
  <c r="W24" i="747"/>
  <c r="V24" i="747"/>
  <c r="U24" i="747"/>
  <c r="T24" i="747"/>
  <c r="S24" i="747"/>
  <c r="R24" i="747"/>
  <c r="Z22" i="747"/>
  <c r="Y22" i="747"/>
  <c r="X22" i="747"/>
  <c r="W22" i="747"/>
  <c r="V22" i="747"/>
  <c r="U22" i="747"/>
  <c r="T22" i="747"/>
  <c r="S22" i="747"/>
  <c r="R22" i="747"/>
  <c r="Z21" i="747"/>
  <c r="Y21" i="747"/>
  <c r="X21" i="747"/>
  <c r="W21" i="747"/>
  <c r="V21" i="747"/>
  <c r="U21" i="747"/>
  <c r="T21" i="747"/>
  <c r="S21" i="747"/>
  <c r="R21" i="747"/>
  <c r="Z20" i="747"/>
  <c r="Y20" i="747"/>
  <c r="X20" i="747"/>
  <c r="W20" i="747"/>
  <c r="V20" i="747"/>
  <c r="U20" i="747"/>
  <c r="T20" i="747"/>
  <c r="S20" i="747"/>
  <c r="R20" i="747"/>
  <c r="Z19" i="747"/>
  <c r="Y19" i="747"/>
  <c r="X19" i="747"/>
  <c r="W19" i="747"/>
  <c r="V19" i="747"/>
  <c r="U19" i="747"/>
  <c r="T19" i="747"/>
  <c r="S19" i="747"/>
  <c r="R19" i="747"/>
  <c r="Z18" i="747"/>
  <c r="Y18" i="747"/>
  <c r="X18" i="747"/>
  <c r="W18" i="747"/>
  <c r="V18" i="747"/>
  <c r="U18" i="747"/>
  <c r="T18" i="747"/>
  <c r="S18" i="747"/>
  <c r="R18" i="747"/>
  <c r="O18" i="747"/>
  <c r="N18" i="747"/>
  <c r="M18" i="747"/>
  <c r="L18" i="747"/>
  <c r="K18" i="747"/>
  <c r="J18" i="747"/>
  <c r="I18" i="747"/>
  <c r="G18" i="747"/>
  <c r="F18" i="747"/>
  <c r="E18" i="747"/>
  <c r="D18" i="747"/>
  <c r="C18" i="747"/>
  <c r="Z17" i="747"/>
  <c r="Y17" i="747"/>
  <c r="X17" i="747"/>
  <c r="W17" i="747"/>
  <c r="V17" i="747"/>
  <c r="U17" i="747"/>
  <c r="T17" i="747"/>
  <c r="S17" i="747"/>
  <c r="R17" i="747"/>
  <c r="O17" i="747"/>
  <c r="N17" i="747"/>
  <c r="M17" i="747"/>
  <c r="L17" i="747"/>
  <c r="K17" i="747"/>
  <c r="J17" i="747"/>
  <c r="I17" i="747"/>
  <c r="G17" i="747"/>
  <c r="F17" i="747"/>
  <c r="E17" i="747"/>
  <c r="D17" i="747"/>
  <c r="C17" i="747"/>
  <c r="Z16" i="747"/>
  <c r="Y16" i="747"/>
  <c r="X16" i="747"/>
  <c r="W16" i="747"/>
  <c r="V16" i="747"/>
  <c r="U16" i="747"/>
  <c r="T16" i="747"/>
  <c r="S16" i="747"/>
  <c r="R16" i="747"/>
  <c r="Z15" i="747"/>
  <c r="Y15" i="747"/>
  <c r="X15" i="747"/>
  <c r="W15" i="747"/>
  <c r="V15" i="747"/>
  <c r="U15" i="747"/>
  <c r="T15" i="747"/>
  <c r="S15" i="747"/>
  <c r="R15" i="747"/>
  <c r="O15" i="747"/>
  <c r="N15" i="747"/>
  <c r="M15" i="747"/>
  <c r="L15" i="747"/>
  <c r="J15" i="747"/>
  <c r="I15" i="747"/>
  <c r="G15" i="747"/>
  <c r="F15" i="747"/>
  <c r="E15" i="747"/>
  <c r="D15" i="747"/>
  <c r="C15" i="747"/>
  <c r="Z14" i="747"/>
  <c r="Y14" i="747"/>
  <c r="X14" i="747"/>
  <c r="W14" i="747"/>
  <c r="V14" i="747"/>
  <c r="U14" i="747"/>
  <c r="T14" i="747"/>
  <c r="S14" i="747"/>
  <c r="R14" i="747"/>
  <c r="O14" i="747"/>
  <c r="N14" i="747"/>
  <c r="M14" i="747"/>
  <c r="L14" i="747"/>
  <c r="J14" i="747"/>
  <c r="I14" i="747"/>
  <c r="G14" i="747"/>
  <c r="F14" i="747"/>
  <c r="E14" i="747"/>
  <c r="D14" i="747"/>
  <c r="C14" i="747"/>
  <c r="Z13" i="747"/>
  <c r="Y13" i="747"/>
  <c r="X13" i="747"/>
  <c r="W13" i="747"/>
  <c r="V13" i="747"/>
  <c r="U13" i="747"/>
  <c r="T13" i="747"/>
  <c r="S13" i="747"/>
  <c r="R13" i="747"/>
  <c r="O13" i="747"/>
  <c r="N13" i="747"/>
  <c r="M13" i="747"/>
  <c r="L13" i="747"/>
  <c r="J13" i="747"/>
  <c r="I13" i="747"/>
  <c r="G13" i="747"/>
  <c r="F13" i="747"/>
  <c r="E13" i="747"/>
  <c r="D13" i="747"/>
  <c r="C13" i="747"/>
  <c r="Z12" i="747"/>
  <c r="Y12" i="747"/>
  <c r="X12" i="747"/>
  <c r="W12" i="747"/>
  <c r="V12" i="747"/>
  <c r="U12" i="747"/>
  <c r="T12" i="747"/>
  <c r="S12" i="747"/>
  <c r="R12" i="747"/>
  <c r="O12" i="747"/>
  <c r="N12" i="747"/>
  <c r="M12" i="747"/>
  <c r="L12" i="747"/>
  <c r="J12" i="747"/>
  <c r="I12" i="747"/>
  <c r="G12" i="747"/>
  <c r="F12" i="747"/>
  <c r="E12" i="747"/>
  <c r="D12" i="747"/>
  <c r="C12" i="747"/>
  <c r="Z11" i="747"/>
  <c r="Y11" i="747"/>
  <c r="X11" i="747"/>
  <c r="W11" i="747"/>
  <c r="V11" i="747"/>
  <c r="U11" i="747"/>
  <c r="T11" i="747"/>
  <c r="S11" i="747"/>
  <c r="R11" i="747"/>
  <c r="O11" i="747"/>
  <c r="N11" i="747"/>
  <c r="M11" i="747"/>
  <c r="L11" i="747"/>
  <c r="J11" i="747"/>
  <c r="I11" i="747"/>
  <c r="G11" i="747"/>
  <c r="F11" i="747"/>
  <c r="E11" i="747"/>
  <c r="D11" i="747"/>
  <c r="C11" i="747"/>
  <c r="Z10" i="747"/>
  <c r="Y10" i="747"/>
  <c r="X10" i="747"/>
  <c r="W10" i="747"/>
  <c r="V10" i="747"/>
  <c r="U10" i="747"/>
  <c r="T10" i="747"/>
  <c r="S10" i="747"/>
  <c r="R10" i="747"/>
  <c r="O10" i="747"/>
  <c r="N10" i="747"/>
  <c r="M10" i="747"/>
  <c r="L10" i="747"/>
  <c r="J10" i="747"/>
  <c r="I10" i="747"/>
  <c r="G10" i="747"/>
  <c r="F10" i="747"/>
  <c r="E10" i="747"/>
  <c r="D10" i="747"/>
  <c r="C10" i="747"/>
  <c r="F76" i="746"/>
  <c r="AX65" i="746"/>
  <c r="AW65" i="746"/>
  <c r="AV65" i="746"/>
  <c r="AU65" i="746"/>
  <c r="AT65" i="746"/>
  <c r="AS65" i="746"/>
  <c r="AR65" i="746"/>
  <c r="AQ65" i="746"/>
  <c r="AP65" i="746"/>
  <c r="AO65" i="746"/>
  <c r="AN65" i="746"/>
  <c r="AM65" i="746"/>
  <c r="AL65" i="746"/>
  <c r="AK65" i="746"/>
  <c r="AJ65" i="746"/>
  <c r="AI65" i="746"/>
  <c r="AH65" i="746"/>
  <c r="AG65" i="746"/>
  <c r="AF65" i="746"/>
  <c r="AE65" i="746"/>
  <c r="AD65" i="746"/>
  <c r="AC65" i="746"/>
  <c r="AB65" i="746"/>
  <c r="K65" i="746"/>
  <c r="K71" i="746" s="1"/>
  <c r="G65" i="746"/>
  <c r="B65" i="746"/>
  <c r="K60" i="746"/>
  <c r="D58" i="746"/>
  <c r="K54" i="746"/>
  <c r="K52" i="746"/>
  <c r="M51" i="746"/>
  <c r="L51" i="746"/>
  <c r="M43" i="746"/>
  <c r="M42" i="746"/>
  <c r="L42" i="746"/>
  <c r="K42" i="746"/>
  <c r="C42" i="746" a="1"/>
  <c r="C42" i="746" s="1"/>
  <c r="M41" i="746"/>
  <c r="C40" i="746" a="1"/>
  <c r="C40" i="746" s="1"/>
  <c r="M39" i="746"/>
  <c r="L38" i="746"/>
  <c r="K38" i="746"/>
  <c r="M37" i="746"/>
  <c r="L37" i="746"/>
  <c r="K37" i="746"/>
  <c r="M36" i="746"/>
  <c r="L36" i="746"/>
  <c r="K36" i="746"/>
  <c r="C36" i="746" a="1"/>
  <c r="C36" i="746" s="1"/>
  <c r="Z34" i="746"/>
  <c r="Y34" i="746"/>
  <c r="X34" i="746"/>
  <c r="W34" i="746"/>
  <c r="V34" i="746"/>
  <c r="U34" i="746"/>
  <c r="T34" i="746"/>
  <c r="S34" i="746"/>
  <c r="R34" i="746"/>
  <c r="Z33" i="746"/>
  <c r="Y33" i="746"/>
  <c r="X33" i="746"/>
  <c r="W33" i="746"/>
  <c r="V33" i="746"/>
  <c r="U33" i="746"/>
  <c r="T33" i="746"/>
  <c r="S33" i="746"/>
  <c r="R33" i="746"/>
  <c r="Z32" i="746"/>
  <c r="Y32" i="746"/>
  <c r="X32" i="746"/>
  <c r="W32" i="746"/>
  <c r="V32" i="746"/>
  <c r="U32" i="746"/>
  <c r="T32" i="746"/>
  <c r="S32" i="746"/>
  <c r="R32" i="746"/>
  <c r="Z31" i="746"/>
  <c r="Y31" i="746"/>
  <c r="X31" i="746"/>
  <c r="W31" i="746"/>
  <c r="V31" i="746"/>
  <c r="U31" i="746"/>
  <c r="T31" i="746"/>
  <c r="S31" i="746"/>
  <c r="R31" i="746"/>
  <c r="Z30" i="746"/>
  <c r="Y30" i="746"/>
  <c r="X30" i="746"/>
  <c r="W30" i="746"/>
  <c r="V30" i="746"/>
  <c r="U30" i="746"/>
  <c r="T30" i="746"/>
  <c r="S30" i="746"/>
  <c r="R30" i="746"/>
  <c r="Z29" i="746"/>
  <c r="Y29" i="746"/>
  <c r="X29" i="746"/>
  <c r="W29" i="746"/>
  <c r="V29" i="746"/>
  <c r="U29" i="746"/>
  <c r="T29" i="746"/>
  <c r="S29" i="746"/>
  <c r="R29" i="746"/>
  <c r="Z28" i="746"/>
  <c r="Y28" i="746"/>
  <c r="X28" i="746"/>
  <c r="W28" i="746"/>
  <c r="V28" i="746"/>
  <c r="U28" i="746"/>
  <c r="T28" i="746"/>
  <c r="S28" i="746"/>
  <c r="R28" i="746"/>
  <c r="Z27" i="746"/>
  <c r="Y27" i="746"/>
  <c r="X27" i="746"/>
  <c r="W27" i="746"/>
  <c r="V27" i="746"/>
  <c r="U27" i="746"/>
  <c r="T27" i="746"/>
  <c r="S27" i="746"/>
  <c r="R27" i="746"/>
  <c r="Z26" i="746"/>
  <c r="Y26" i="746"/>
  <c r="X26" i="746"/>
  <c r="W26" i="746"/>
  <c r="V26" i="746"/>
  <c r="U26" i="746"/>
  <c r="T26" i="746"/>
  <c r="S26" i="746"/>
  <c r="R26" i="746"/>
  <c r="Z25" i="746"/>
  <c r="Y25" i="746"/>
  <c r="X25" i="746"/>
  <c r="W25" i="746"/>
  <c r="V25" i="746"/>
  <c r="U25" i="746"/>
  <c r="T25" i="746"/>
  <c r="S25" i="746"/>
  <c r="R25" i="746"/>
  <c r="Z24" i="746"/>
  <c r="Y24" i="746"/>
  <c r="X24" i="746"/>
  <c r="W24" i="746"/>
  <c r="V24" i="746"/>
  <c r="U24" i="746"/>
  <c r="T24" i="746"/>
  <c r="S24" i="746"/>
  <c r="R24" i="746"/>
  <c r="Z23" i="746"/>
  <c r="Y23" i="746"/>
  <c r="X23" i="746"/>
  <c r="W23" i="746"/>
  <c r="V23" i="746"/>
  <c r="U23" i="746"/>
  <c r="T23" i="746"/>
  <c r="S23" i="746"/>
  <c r="R23" i="746"/>
  <c r="Z22" i="746"/>
  <c r="Y22" i="746"/>
  <c r="X22" i="746"/>
  <c r="W22" i="746"/>
  <c r="V22" i="746"/>
  <c r="U22" i="746"/>
  <c r="T22" i="746"/>
  <c r="S22" i="746"/>
  <c r="R22" i="746"/>
  <c r="Z21" i="746"/>
  <c r="Y21" i="746"/>
  <c r="X21" i="746"/>
  <c r="W21" i="746"/>
  <c r="V21" i="746"/>
  <c r="U21" i="746"/>
  <c r="T21" i="746"/>
  <c r="S21" i="746"/>
  <c r="R21" i="746"/>
  <c r="Z20" i="746"/>
  <c r="Y20" i="746"/>
  <c r="X20" i="746"/>
  <c r="W20" i="746"/>
  <c r="V20" i="746"/>
  <c r="U20" i="746"/>
  <c r="T20" i="746"/>
  <c r="S20" i="746"/>
  <c r="R20" i="746"/>
  <c r="O20" i="746"/>
  <c r="N20" i="746"/>
  <c r="M20" i="746"/>
  <c r="L20" i="746"/>
  <c r="J20" i="746"/>
  <c r="I20" i="746"/>
  <c r="G20" i="746"/>
  <c r="F20" i="746"/>
  <c r="E20" i="746"/>
  <c r="D20" i="746"/>
  <c r="C20" i="746"/>
  <c r="Z19" i="746"/>
  <c r="Y19" i="746"/>
  <c r="X19" i="746"/>
  <c r="W19" i="746"/>
  <c r="V19" i="746"/>
  <c r="U19" i="746"/>
  <c r="T19" i="746"/>
  <c r="S19" i="746"/>
  <c r="R19" i="746"/>
  <c r="O19" i="746"/>
  <c r="N19" i="746"/>
  <c r="M19" i="746"/>
  <c r="L19" i="746"/>
  <c r="J19" i="746"/>
  <c r="I19" i="746"/>
  <c r="G19" i="746"/>
  <c r="F19" i="746"/>
  <c r="E19" i="746"/>
  <c r="D19" i="746"/>
  <c r="C19" i="746"/>
  <c r="Z18" i="746"/>
  <c r="Y18" i="746"/>
  <c r="X18" i="746"/>
  <c r="W18" i="746"/>
  <c r="V18" i="746"/>
  <c r="U18" i="746"/>
  <c r="T18" i="746"/>
  <c r="S18" i="746"/>
  <c r="R18" i="746"/>
  <c r="Z17" i="746"/>
  <c r="Y17" i="746"/>
  <c r="X17" i="746"/>
  <c r="W17" i="746"/>
  <c r="V17" i="746"/>
  <c r="U17" i="746"/>
  <c r="T17" i="746"/>
  <c r="S17" i="746"/>
  <c r="R17" i="746"/>
  <c r="Z16" i="746"/>
  <c r="Y16" i="746"/>
  <c r="X16" i="746"/>
  <c r="W16" i="746"/>
  <c r="V16" i="746"/>
  <c r="U16" i="746"/>
  <c r="T16" i="746"/>
  <c r="S16" i="746"/>
  <c r="R16" i="746"/>
  <c r="O16" i="746"/>
  <c r="N16" i="746"/>
  <c r="M16" i="746"/>
  <c r="L16" i="746"/>
  <c r="K16" i="746"/>
  <c r="J16" i="746"/>
  <c r="I16" i="746"/>
  <c r="G16" i="746"/>
  <c r="F16" i="746"/>
  <c r="E16" i="746"/>
  <c r="D16" i="746"/>
  <c r="C16" i="746"/>
  <c r="Z15" i="746"/>
  <c r="Y15" i="746"/>
  <c r="X15" i="746"/>
  <c r="W15" i="746"/>
  <c r="V15" i="746"/>
  <c r="U15" i="746"/>
  <c r="T15" i="746"/>
  <c r="S15" i="746"/>
  <c r="R15" i="746"/>
  <c r="O15" i="746"/>
  <c r="N15" i="746"/>
  <c r="M15" i="746"/>
  <c r="L15" i="746"/>
  <c r="K15" i="746"/>
  <c r="J15" i="746"/>
  <c r="I15" i="746"/>
  <c r="G15" i="746"/>
  <c r="F15" i="746"/>
  <c r="E15" i="746"/>
  <c r="D15" i="746"/>
  <c r="C15" i="746"/>
  <c r="Z14" i="746"/>
  <c r="Y14" i="746"/>
  <c r="X14" i="746"/>
  <c r="W14" i="746"/>
  <c r="V14" i="746"/>
  <c r="U14" i="746"/>
  <c r="T14" i="746"/>
  <c r="S14" i="746"/>
  <c r="R14" i="746"/>
  <c r="O14" i="746"/>
  <c r="N14" i="746"/>
  <c r="M14" i="746"/>
  <c r="L14" i="746"/>
  <c r="K14" i="746"/>
  <c r="J14" i="746"/>
  <c r="I14" i="746"/>
  <c r="G14" i="746"/>
  <c r="F14" i="746"/>
  <c r="E14" i="746"/>
  <c r="D14" i="746"/>
  <c r="C14" i="746"/>
  <c r="Z13" i="746"/>
  <c r="Y13" i="746"/>
  <c r="X13" i="746"/>
  <c r="W13" i="746"/>
  <c r="V13" i="746"/>
  <c r="U13" i="746"/>
  <c r="T13" i="746"/>
  <c r="S13" i="746"/>
  <c r="R13" i="746"/>
  <c r="O13" i="746"/>
  <c r="N13" i="746"/>
  <c r="M13" i="746"/>
  <c r="L13" i="746"/>
  <c r="K13" i="746"/>
  <c r="J13" i="746"/>
  <c r="I13" i="746"/>
  <c r="G13" i="746"/>
  <c r="F13" i="746"/>
  <c r="E13" i="746"/>
  <c r="D13" i="746"/>
  <c r="C13" i="746"/>
  <c r="Z12" i="746"/>
  <c r="Y12" i="746"/>
  <c r="X12" i="746"/>
  <c r="W12" i="746"/>
  <c r="V12" i="746"/>
  <c r="U12" i="746"/>
  <c r="T12" i="746"/>
  <c r="S12" i="746"/>
  <c r="R12" i="746"/>
  <c r="O12" i="746"/>
  <c r="N12" i="746"/>
  <c r="M12" i="746"/>
  <c r="L12" i="746"/>
  <c r="K12" i="746"/>
  <c r="J12" i="746"/>
  <c r="I12" i="746"/>
  <c r="G12" i="746"/>
  <c r="F12" i="746"/>
  <c r="E12" i="746"/>
  <c r="D12" i="746"/>
  <c r="C12" i="746"/>
  <c r="Z11" i="746"/>
  <c r="Y11" i="746"/>
  <c r="X11" i="746"/>
  <c r="W11" i="746"/>
  <c r="V11" i="746"/>
  <c r="U11" i="746"/>
  <c r="T11" i="746"/>
  <c r="S11" i="746"/>
  <c r="R11" i="746"/>
  <c r="O11" i="746"/>
  <c r="N11" i="746"/>
  <c r="M11" i="746"/>
  <c r="L11" i="746"/>
  <c r="K11" i="746"/>
  <c r="J11" i="746"/>
  <c r="I11" i="746"/>
  <c r="G11" i="746"/>
  <c r="F11" i="746"/>
  <c r="E11" i="746"/>
  <c r="D11" i="746"/>
  <c r="C11" i="746"/>
  <c r="Z10" i="746"/>
  <c r="Y10" i="746"/>
  <c r="X10" i="746"/>
  <c r="W10" i="746"/>
  <c r="V10" i="746"/>
  <c r="U10" i="746"/>
  <c r="T10" i="746"/>
  <c r="S10" i="746"/>
  <c r="R10" i="746"/>
  <c r="O10" i="746"/>
  <c r="N10" i="746"/>
  <c r="M10" i="746"/>
  <c r="L10" i="746"/>
  <c r="K10" i="746"/>
  <c r="J10" i="746"/>
  <c r="I10" i="746"/>
  <c r="G10" i="746"/>
  <c r="F10" i="746"/>
  <c r="E10" i="746"/>
  <c r="D10" i="746"/>
  <c r="C10" i="746"/>
  <c r="F93" i="744"/>
  <c r="AX82" i="744"/>
  <c r="AW82" i="744"/>
  <c r="AV82" i="744"/>
  <c r="AU82" i="744"/>
  <c r="AT82" i="744"/>
  <c r="AS82" i="744"/>
  <c r="AR82" i="744"/>
  <c r="AQ82" i="744"/>
  <c r="AP82" i="744"/>
  <c r="AO82" i="744"/>
  <c r="AN82" i="744"/>
  <c r="AM82" i="744"/>
  <c r="AL82" i="744"/>
  <c r="AK82" i="744"/>
  <c r="AJ82" i="744"/>
  <c r="AI82" i="744"/>
  <c r="AH82" i="744"/>
  <c r="AG82" i="744"/>
  <c r="AF82" i="744"/>
  <c r="AE82" i="744"/>
  <c r="AD82" i="744"/>
  <c r="AC82" i="744"/>
  <c r="AB82" i="744"/>
  <c r="K77" i="744"/>
  <c r="D75" i="744"/>
  <c r="K71" i="744"/>
  <c r="M68" i="744"/>
  <c r="L68" i="744"/>
  <c r="K68" i="744"/>
  <c r="M60" i="744"/>
  <c r="M59" i="744"/>
  <c r="L59" i="744"/>
  <c r="K59" i="744"/>
  <c r="M58" i="744"/>
  <c r="M56" i="744"/>
  <c r="M54" i="744"/>
  <c r="L54" i="744"/>
  <c r="K54" i="744"/>
  <c r="M53" i="744"/>
  <c r="L53" i="744"/>
  <c r="K53" i="744"/>
  <c r="Z51" i="744"/>
  <c r="Y51" i="744"/>
  <c r="X51" i="744"/>
  <c r="W51" i="744"/>
  <c r="V51" i="744"/>
  <c r="U51" i="744"/>
  <c r="T51" i="744"/>
  <c r="S51" i="744"/>
  <c r="R51" i="744"/>
  <c r="Z50" i="744"/>
  <c r="Y50" i="744"/>
  <c r="X50" i="744"/>
  <c r="W50" i="744"/>
  <c r="V50" i="744"/>
  <c r="U50" i="744"/>
  <c r="T50" i="744"/>
  <c r="S50" i="744"/>
  <c r="R50" i="744"/>
  <c r="Z49" i="744"/>
  <c r="Y49" i="744"/>
  <c r="X49" i="744"/>
  <c r="W49" i="744"/>
  <c r="V49" i="744"/>
  <c r="U49" i="744"/>
  <c r="T49" i="744"/>
  <c r="S49" i="744"/>
  <c r="R49" i="744"/>
  <c r="Z48" i="744"/>
  <c r="Y48" i="744"/>
  <c r="X48" i="744"/>
  <c r="W48" i="744"/>
  <c r="V48" i="744"/>
  <c r="U48" i="744"/>
  <c r="T48" i="744"/>
  <c r="S48" i="744"/>
  <c r="R48" i="744"/>
  <c r="Z47" i="744"/>
  <c r="Y47" i="744"/>
  <c r="X47" i="744"/>
  <c r="W47" i="744"/>
  <c r="V47" i="744"/>
  <c r="U47" i="744"/>
  <c r="T47" i="744"/>
  <c r="S47" i="744"/>
  <c r="R47" i="744"/>
  <c r="Z46" i="744"/>
  <c r="Y46" i="744"/>
  <c r="X46" i="744"/>
  <c r="W46" i="744"/>
  <c r="V46" i="744"/>
  <c r="U46" i="744"/>
  <c r="T46" i="744"/>
  <c r="S46" i="744"/>
  <c r="R46" i="744"/>
  <c r="Z45" i="744"/>
  <c r="Y45" i="744"/>
  <c r="X45" i="744"/>
  <c r="W45" i="744"/>
  <c r="V45" i="744"/>
  <c r="U45" i="744"/>
  <c r="T45" i="744"/>
  <c r="S45" i="744"/>
  <c r="R45" i="744"/>
  <c r="Z44" i="744"/>
  <c r="Y44" i="744"/>
  <c r="X44" i="744"/>
  <c r="W44" i="744"/>
  <c r="V44" i="744"/>
  <c r="U44" i="744"/>
  <c r="T44" i="744"/>
  <c r="S44" i="744"/>
  <c r="R44" i="744"/>
  <c r="Z43" i="744"/>
  <c r="Y43" i="744"/>
  <c r="X43" i="744"/>
  <c r="W43" i="744"/>
  <c r="V43" i="744"/>
  <c r="U43" i="744"/>
  <c r="T43" i="744"/>
  <c r="S43" i="744"/>
  <c r="R43" i="744"/>
  <c r="Z42" i="744"/>
  <c r="Y42" i="744"/>
  <c r="X42" i="744"/>
  <c r="W42" i="744"/>
  <c r="V42" i="744"/>
  <c r="U42" i="744"/>
  <c r="T42" i="744"/>
  <c r="S42" i="744"/>
  <c r="R42" i="744"/>
  <c r="O31" i="744"/>
  <c r="N31" i="744"/>
  <c r="M31" i="744"/>
  <c r="L31" i="744"/>
  <c r="K31" i="744"/>
  <c r="J31" i="744"/>
  <c r="I31" i="744"/>
  <c r="J59" i="744" s="1"/>
  <c r="G31" i="744"/>
  <c r="F31" i="744"/>
  <c r="E31" i="744"/>
  <c r="D31" i="744"/>
  <c r="C31" i="744"/>
  <c r="Z29" i="744"/>
  <c r="Y29" i="744"/>
  <c r="X29" i="744"/>
  <c r="W29" i="744"/>
  <c r="V29" i="744"/>
  <c r="U29" i="744"/>
  <c r="T29" i="744"/>
  <c r="S29" i="744"/>
  <c r="R29" i="744"/>
  <c r="O29" i="744"/>
  <c r="N29" i="744"/>
  <c r="M29" i="744"/>
  <c r="L29" i="744"/>
  <c r="K29" i="744"/>
  <c r="J29" i="744"/>
  <c r="I29" i="744"/>
  <c r="G29" i="744"/>
  <c r="F29" i="744"/>
  <c r="E29" i="744"/>
  <c r="D29" i="744"/>
  <c r="C29" i="744"/>
  <c r="Z28" i="744"/>
  <c r="Y28" i="744"/>
  <c r="X28" i="744"/>
  <c r="W28" i="744"/>
  <c r="V28" i="744"/>
  <c r="U28" i="744"/>
  <c r="T28" i="744"/>
  <c r="S28" i="744"/>
  <c r="R28" i="744"/>
  <c r="O28" i="744"/>
  <c r="N28" i="744"/>
  <c r="M28" i="744"/>
  <c r="L28" i="744"/>
  <c r="K28" i="744"/>
  <c r="J28" i="744"/>
  <c r="I28" i="744"/>
  <c r="G28" i="744"/>
  <c r="F28" i="744"/>
  <c r="E28" i="744"/>
  <c r="D28" i="744"/>
  <c r="C28" i="744"/>
  <c r="Z27" i="744"/>
  <c r="Y27" i="744"/>
  <c r="X27" i="744"/>
  <c r="W27" i="744"/>
  <c r="V27" i="744"/>
  <c r="U27" i="744"/>
  <c r="T27" i="744"/>
  <c r="S27" i="744"/>
  <c r="R27" i="744"/>
  <c r="O27" i="744"/>
  <c r="N27" i="744"/>
  <c r="M27" i="744"/>
  <c r="L27" i="744"/>
  <c r="K27" i="744"/>
  <c r="J27" i="744"/>
  <c r="I27" i="744"/>
  <c r="G27" i="744"/>
  <c r="F27" i="744"/>
  <c r="E27" i="744"/>
  <c r="D27" i="744"/>
  <c r="C27" i="744"/>
  <c r="Z26" i="744"/>
  <c r="Y26" i="744"/>
  <c r="X26" i="744"/>
  <c r="W26" i="744"/>
  <c r="V26" i="744"/>
  <c r="U26" i="744"/>
  <c r="T26" i="744"/>
  <c r="S26" i="744"/>
  <c r="R26" i="744"/>
  <c r="O26" i="744"/>
  <c r="N26" i="744"/>
  <c r="M26" i="744"/>
  <c r="L26" i="744"/>
  <c r="K26" i="744"/>
  <c r="J26" i="744"/>
  <c r="I26" i="744"/>
  <c r="G26" i="744"/>
  <c r="F26" i="744"/>
  <c r="E26" i="744"/>
  <c r="D26" i="744"/>
  <c r="C26" i="744"/>
  <c r="Z25" i="744"/>
  <c r="Y25" i="744"/>
  <c r="X25" i="744"/>
  <c r="W25" i="744"/>
  <c r="V25" i="744"/>
  <c r="U25" i="744"/>
  <c r="T25" i="744"/>
  <c r="S25" i="744"/>
  <c r="R25" i="744"/>
  <c r="O25" i="744"/>
  <c r="N25" i="744"/>
  <c r="M25" i="744"/>
  <c r="L25" i="744"/>
  <c r="K25" i="744"/>
  <c r="J25" i="744"/>
  <c r="I25" i="744"/>
  <c r="G25" i="744"/>
  <c r="F25" i="744"/>
  <c r="E25" i="744"/>
  <c r="D25" i="744"/>
  <c r="C25" i="744"/>
  <c r="Z24" i="744"/>
  <c r="Y24" i="744"/>
  <c r="X24" i="744"/>
  <c r="W24" i="744"/>
  <c r="V24" i="744"/>
  <c r="U24" i="744"/>
  <c r="T24" i="744"/>
  <c r="S24" i="744"/>
  <c r="R24" i="744"/>
  <c r="O24" i="744"/>
  <c r="N24" i="744"/>
  <c r="M24" i="744"/>
  <c r="L24" i="744"/>
  <c r="K24" i="744"/>
  <c r="J24" i="744"/>
  <c r="I24" i="744"/>
  <c r="G24" i="744"/>
  <c r="F24" i="744"/>
  <c r="E24" i="744"/>
  <c r="D24" i="744"/>
  <c r="C24" i="744"/>
  <c r="Z23" i="744"/>
  <c r="Y23" i="744"/>
  <c r="X23" i="744"/>
  <c r="W23" i="744"/>
  <c r="V23" i="744"/>
  <c r="U23" i="744"/>
  <c r="T23" i="744"/>
  <c r="S23" i="744"/>
  <c r="R23" i="744"/>
  <c r="O23" i="744"/>
  <c r="N23" i="744"/>
  <c r="M23" i="744"/>
  <c r="L23" i="744"/>
  <c r="K23" i="744"/>
  <c r="J23" i="744"/>
  <c r="I23" i="744"/>
  <c r="G23" i="744"/>
  <c r="F23" i="744"/>
  <c r="E23" i="744"/>
  <c r="D23" i="744"/>
  <c r="C23" i="744"/>
  <c r="Z22" i="744"/>
  <c r="Y22" i="744"/>
  <c r="X22" i="744"/>
  <c r="W22" i="744"/>
  <c r="V22" i="744"/>
  <c r="U22" i="744"/>
  <c r="T22" i="744"/>
  <c r="S22" i="744"/>
  <c r="R22" i="744"/>
  <c r="O22" i="744"/>
  <c r="N22" i="744"/>
  <c r="M22" i="744"/>
  <c r="L22" i="744"/>
  <c r="K22" i="744"/>
  <c r="J22" i="744"/>
  <c r="I22" i="744"/>
  <c r="G22" i="744"/>
  <c r="F22" i="744"/>
  <c r="E22" i="744"/>
  <c r="D22" i="744"/>
  <c r="C22" i="744"/>
  <c r="Z21" i="744"/>
  <c r="Y21" i="744"/>
  <c r="X21" i="744"/>
  <c r="W21" i="744"/>
  <c r="V21" i="744"/>
  <c r="U21" i="744"/>
  <c r="T21" i="744"/>
  <c r="S21" i="744"/>
  <c r="R21" i="744"/>
  <c r="Z20" i="744"/>
  <c r="Y20" i="744"/>
  <c r="X20" i="744"/>
  <c r="W20" i="744"/>
  <c r="V20" i="744"/>
  <c r="U20" i="744"/>
  <c r="T20" i="744"/>
  <c r="S20" i="744"/>
  <c r="R20" i="744"/>
  <c r="Z19" i="744"/>
  <c r="Y19" i="744"/>
  <c r="X19" i="744"/>
  <c r="W19" i="744"/>
  <c r="V19" i="744"/>
  <c r="U19" i="744"/>
  <c r="T19" i="744"/>
  <c r="S19" i="744"/>
  <c r="R19" i="744"/>
  <c r="Z18" i="744"/>
  <c r="Y18" i="744"/>
  <c r="X18" i="744"/>
  <c r="W18" i="744"/>
  <c r="V18" i="744"/>
  <c r="U18" i="744"/>
  <c r="T18" i="744"/>
  <c r="S18" i="744"/>
  <c r="R18" i="744"/>
  <c r="Z17" i="744"/>
  <c r="Y17" i="744"/>
  <c r="X17" i="744"/>
  <c r="W17" i="744"/>
  <c r="V17" i="744"/>
  <c r="U17" i="744"/>
  <c r="T17" i="744"/>
  <c r="S17" i="744"/>
  <c r="R17" i="744"/>
  <c r="Z16" i="744"/>
  <c r="Y16" i="744"/>
  <c r="X16" i="744"/>
  <c r="W16" i="744"/>
  <c r="V16" i="744"/>
  <c r="U16" i="744"/>
  <c r="T16" i="744"/>
  <c r="S16" i="744"/>
  <c r="R16" i="744"/>
  <c r="Z15" i="744"/>
  <c r="Y15" i="744"/>
  <c r="X15" i="744"/>
  <c r="W15" i="744"/>
  <c r="V15" i="744"/>
  <c r="U15" i="744"/>
  <c r="T15" i="744"/>
  <c r="S15" i="744"/>
  <c r="R15" i="744"/>
  <c r="Z14" i="744"/>
  <c r="Y14" i="744"/>
  <c r="X14" i="744"/>
  <c r="W14" i="744"/>
  <c r="V14" i="744"/>
  <c r="U14" i="744"/>
  <c r="T14" i="744"/>
  <c r="S14" i="744"/>
  <c r="R14" i="744"/>
  <c r="Z13" i="744"/>
  <c r="Y13" i="744"/>
  <c r="X13" i="744"/>
  <c r="W13" i="744"/>
  <c r="V13" i="744"/>
  <c r="U13" i="744"/>
  <c r="T13" i="744"/>
  <c r="S13" i="744"/>
  <c r="R13" i="744"/>
  <c r="Z12" i="744"/>
  <c r="Y12" i="744"/>
  <c r="X12" i="744"/>
  <c r="W12" i="744"/>
  <c r="V12" i="744"/>
  <c r="U12" i="744"/>
  <c r="T12" i="744"/>
  <c r="S12" i="744"/>
  <c r="R12" i="744"/>
  <c r="Z11" i="744"/>
  <c r="Y11" i="744"/>
  <c r="X11" i="744"/>
  <c r="W11" i="744"/>
  <c r="V11" i="744"/>
  <c r="U11" i="744"/>
  <c r="T11" i="744"/>
  <c r="S11" i="744"/>
  <c r="R11" i="744"/>
  <c r="Z10" i="744"/>
  <c r="Y10" i="744"/>
  <c r="X10" i="744"/>
  <c r="W10" i="744"/>
  <c r="V10" i="744"/>
  <c r="U10" i="744"/>
  <c r="T10" i="744"/>
  <c r="S10" i="744"/>
  <c r="R10" i="744"/>
  <c r="F86" i="745"/>
  <c r="L77" i="745"/>
  <c r="AX75" i="745"/>
  <c r="AW75" i="745"/>
  <c r="AV75" i="745"/>
  <c r="AU75" i="745"/>
  <c r="AT75" i="745"/>
  <c r="AS75" i="745"/>
  <c r="AR75" i="745"/>
  <c r="AQ75" i="745"/>
  <c r="AP75" i="745"/>
  <c r="AO75" i="745"/>
  <c r="AN75" i="745"/>
  <c r="AM75" i="745"/>
  <c r="AL75" i="745"/>
  <c r="AK75" i="745"/>
  <c r="AJ75" i="745"/>
  <c r="AI75" i="745"/>
  <c r="AH75" i="745"/>
  <c r="AG75" i="745"/>
  <c r="AF75" i="745"/>
  <c r="AE75" i="745"/>
  <c r="AD75" i="745"/>
  <c r="AC75" i="745"/>
  <c r="AB75" i="745"/>
  <c r="L75" i="745"/>
  <c r="K70" i="745"/>
  <c r="I70" i="745"/>
  <c r="D68" i="745"/>
  <c r="M61" i="745"/>
  <c r="L61" i="745"/>
  <c r="M53" i="745"/>
  <c r="M52" i="745"/>
  <c r="M51" i="745"/>
  <c r="M49" i="745"/>
  <c r="M47" i="745"/>
  <c r="M46" i="745"/>
  <c r="L46" i="745"/>
  <c r="K46" i="745"/>
  <c r="K56" i="745" s="1"/>
  <c r="Z44" i="745"/>
  <c r="Y44" i="745"/>
  <c r="X44" i="745"/>
  <c r="W44" i="745"/>
  <c r="V44" i="745"/>
  <c r="U44" i="745"/>
  <c r="T44" i="745"/>
  <c r="S44" i="745"/>
  <c r="R44" i="745"/>
  <c r="Z43" i="745"/>
  <c r="Y43" i="745"/>
  <c r="X43" i="745"/>
  <c r="W43" i="745"/>
  <c r="V43" i="745"/>
  <c r="U43" i="745"/>
  <c r="T43" i="745"/>
  <c r="S43" i="745"/>
  <c r="R43" i="745"/>
  <c r="Z42" i="745"/>
  <c r="Y42" i="745"/>
  <c r="X42" i="745"/>
  <c r="W42" i="745"/>
  <c r="V42" i="745"/>
  <c r="U42" i="745"/>
  <c r="T42" i="745"/>
  <c r="S42" i="745"/>
  <c r="R42" i="745"/>
  <c r="Z41" i="745"/>
  <c r="Y41" i="745"/>
  <c r="X41" i="745"/>
  <c r="W41" i="745"/>
  <c r="V41" i="745"/>
  <c r="U41" i="745"/>
  <c r="T41" i="745"/>
  <c r="S41" i="745"/>
  <c r="R41" i="745"/>
  <c r="Z40" i="745"/>
  <c r="Y40" i="745"/>
  <c r="X40" i="745"/>
  <c r="W40" i="745"/>
  <c r="V40" i="745"/>
  <c r="U40" i="745"/>
  <c r="T40" i="745"/>
  <c r="S40" i="745"/>
  <c r="R40" i="745"/>
  <c r="Z39" i="745"/>
  <c r="Y39" i="745"/>
  <c r="X39" i="745"/>
  <c r="W39" i="745"/>
  <c r="V39" i="745"/>
  <c r="U39" i="745"/>
  <c r="T39" i="745"/>
  <c r="S39" i="745"/>
  <c r="R39" i="745"/>
  <c r="Z38" i="745"/>
  <c r="Y38" i="745"/>
  <c r="X38" i="745"/>
  <c r="W38" i="745"/>
  <c r="V38" i="745"/>
  <c r="U38" i="745"/>
  <c r="T38" i="745"/>
  <c r="S38" i="745"/>
  <c r="R38" i="745"/>
  <c r="Z37" i="745"/>
  <c r="Y37" i="745"/>
  <c r="X37" i="745"/>
  <c r="W37" i="745"/>
  <c r="V37" i="745"/>
  <c r="U37" i="745"/>
  <c r="T37" i="745"/>
  <c r="S37" i="745"/>
  <c r="R37" i="745"/>
  <c r="Z36" i="745"/>
  <c r="Y36" i="745"/>
  <c r="X36" i="745"/>
  <c r="W36" i="745"/>
  <c r="V36" i="745"/>
  <c r="U36" i="745"/>
  <c r="T36" i="745"/>
  <c r="S36" i="745"/>
  <c r="R36" i="745"/>
  <c r="Z35" i="745"/>
  <c r="Y35" i="745"/>
  <c r="X35" i="745"/>
  <c r="W35" i="745"/>
  <c r="V35" i="745"/>
  <c r="U35" i="745"/>
  <c r="T35" i="745"/>
  <c r="S35" i="745"/>
  <c r="R35" i="745"/>
  <c r="Z34" i="745"/>
  <c r="Y34" i="745"/>
  <c r="X34" i="745"/>
  <c r="W34" i="745"/>
  <c r="V34" i="745"/>
  <c r="U34" i="745"/>
  <c r="T34" i="745"/>
  <c r="S34" i="745"/>
  <c r="R34" i="745"/>
  <c r="Z28" i="745"/>
  <c r="Y28" i="745"/>
  <c r="X28" i="745"/>
  <c r="W28" i="745"/>
  <c r="V28" i="745"/>
  <c r="U28" i="745"/>
  <c r="T28" i="745"/>
  <c r="S28" i="745"/>
  <c r="R28" i="745"/>
  <c r="O28" i="745"/>
  <c r="N28" i="745"/>
  <c r="M28" i="745"/>
  <c r="L28" i="745"/>
  <c r="K28" i="745"/>
  <c r="J28" i="745"/>
  <c r="I28" i="745"/>
  <c r="G28" i="745"/>
  <c r="F28" i="745"/>
  <c r="E28" i="745"/>
  <c r="D28" i="745"/>
  <c r="C28" i="745"/>
  <c r="Z27" i="745"/>
  <c r="Y27" i="745"/>
  <c r="X27" i="745"/>
  <c r="W27" i="745"/>
  <c r="V27" i="745"/>
  <c r="U27" i="745"/>
  <c r="T27" i="745"/>
  <c r="S27" i="745"/>
  <c r="R27" i="745"/>
  <c r="O27" i="745"/>
  <c r="N27" i="745"/>
  <c r="M27" i="745"/>
  <c r="L27" i="745"/>
  <c r="K27" i="745"/>
  <c r="J27" i="745"/>
  <c r="I27" i="745"/>
  <c r="G27" i="745"/>
  <c r="F27" i="745"/>
  <c r="E27" i="745"/>
  <c r="D27" i="745"/>
  <c r="C27" i="745"/>
  <c r="Z26" i="745"/>
  <c r="Y26" i="745"/>
  <c r="X26" i="745"/>
  <c r="W26" i="745"/>
  <c r="V26" i="745"/>
  <c r="U26" i="745"/>
  <c r="T26" i="745"/>
  <c r="S26" i="745"/>
  <c r="R26" i="745"/>
  <c r="O26" i="745"/>
  <c r="N26" i="745"/>
  <c r="M26" i="745"/>
  <c r="L26" i="745"/>
  <c r="K26" i="745"/>
  <c r="J26" i="745"/>
  <c r="I26" i="745"/>
  <c r="G26" i="745"/>
  <c r="F26" i="745"/>
  <c r="E26" i="745"/>
  <c r="D26" i="745"/>
  <c r="C26" i="745"/>
  <c r="Z25" i="745"/>
  <c r="Y25" i="745"/>
  <c r="X25" i="745"/>
  <c r="W25" i="745"/>
  <c r="V25" i="745"/>
  <c r="U25" i="745"/>
  <c r="T25" i="745"/>
  <c r="S25" i="745"/>
  <c r="R25" i="745"/>
  <c r="O25" i="745"/>
  <c r="N25" i="745"/>
  <c r="M25" i="745"/>
  <c r="L25" i="745"/>
  <c r="K25" i="745"/>
  <c r="J25" i="745"/>
  <c r="I25" i="745"/>
  <c r="G25" i="745"/>
  <c r="F25" i="745"/>
  <c r="E25" i="745"/>
  <c r="D25" i="745"/>
  <c r="C25" i="745"/>
  <c r="Z24" i="745"/>
  <c r="Y24" i="745"/>
  <c r="X24" i="745"/>
  <c r="W24" i="745"/>
  <c r="V24" i="745"/>
  <c r="U24" i="745"/>
  <c r="T24" i="745"/>
  <c r="S24" i="745"/>
  <c r="R24" i="745"/>
  <c r="O24" i="745"/>
  <c r="N24" i="745"/>
  <c r="M24" i="745"/>
  <c r="L24" i="745"/>
  <c r="K24" i="745"/>
  <c r="J24" i="745"/>
  <c r="I24" i="745"/>
  <c r="G24" i="745"/>
  <c r="F24" i="745"/>
  <c r="E24" i="745"/>
  <c r="D24" i="745"/>
  <c r="C24" i="745"/>
  <c r="Z23" i="745"/>
  <c r="Y23" i="745"/>
  <c r="X23" i="745"/>
  <c r="W23" i="745"/>
  <c r="V23" i="745"/>
  <c r="U23" i="745"/>
  <c r="T23" i="745"/>
  <c r="S23" i="745"/>
  <c r="R23" i="745"/>
  <c r="O23" i="745"/>
  <c r="N23" i="745"/>
  <c r="M23" i="745"/>
  <c r="L23" i="745"/>
  <c r="K23" i="745"/>
  <c r="J23" i="745"/>
  <c r="I23" i="745"/>
  <c r="G23" i="745"/>
  <c r="F23" i="745"/>
  <c r="E23" i="745"/>
  <c r="D23" i="745"/>
  <c r="C23" i="745"/>
  <c r="Z22" i="745"/>
  <c r="Y22" i="745"/>
  <c r="X22" i="745"/>
  <c r="W22" i="745"/>
  <c r="V22" i="745"/>
  <c r="U22" i="745"/>
  <c r="T22" i="745"/>
  <c r="S22" i="745"/>
  <c r="R22" i="745"/>
  <c r="O22" i="745"/>
  <c r="N22" i="745"/>
  <c r="M22" i="745"/>
  <c r="L22" i="745"/>
  <c r="K22" i="745"/>
  <c r="J22" i="745"/>
  <c r="I22" i="745"/>
  <c r="G22" i="745"/>
  <c r="F22" i="745"/>
  <c r="E22" i="745"/>
  <c r="D22" i="745"/>
  <c r="C22" i="745"/>
  <c r="Z21" i="745"/>
  <c r="Y21" i="745"/>
  <c r="X21" i="745"/>
  <c r="W21" i="745"/>
  <c r="V21" i="745"/>
  <c r="U21" i="745"/>
  <c r="T21" i="745"/>
  <c r="S21" i="745"/>
  <c r="R21" i="745"/>
  <c r="O21" i="745"/>
  <c r="N21" i="745"/>
  <c r="M21" i="745"/>
  <c r="L21" i="745"/>
  <c r="K21" i="745"/>
  <c r="J21" i="745"/>
  <c r="I21" i="745"/>
  <c r="G21" i="745"/>
  <c r="F21" i="745"/>
  <c r="E21" i="745"/>
  <c r="D21" i="745"/>
  <c r="C21" i="745"/>
  <c r="Z20" i="745"/>
  <c r="Y20" i="745"/>
  <c r="X20" i="745"/>
  <c r="W20" i="745"/>
  <c r="V20" i="745"/>
  <c r="U20" i="745"/>
  <c r="T20" i="745"/>
  <c r="S20" i="745"/>
  <c r="R20" i="745"/>
  <c r="O20" i="745"/>
  <c r="N20" i="745"/>
  <c r="M20" i="745"/>
  <c r="L20" i="745"/>
  <c r="K20" i="745"/>
  <c r="J20" i="745"/>
  <c r="I20" i="745"/>
  <c r="G20" i="745"/>
  <c r="F20" i="745"/>
  <c r="E20" i="745"/>
  <c r="D20" i="745"/>
  <c r="C20" i="745"/>
  <c r="Z17" i="745"/>
  <c r="Y17" i="745"/>
  <c r="X17" i="745"/>
  <c r="W17" i="745"/>
  <c r="V17" i="745"/>
  <c r="U17" i="745"/>
  <c r="T17" i="745"/>
  <c r="S17" i="745"/>
  <c r="R17" i="745"/>
  <c r="O17" i="745"/>
  <c r="N17" i="745"/>
  <c r="M17" i="745"/>
  <c r="L17" i="745"/>
  <c r="K17" i="745"/>
  <c r="J17" i="745"/>
  <c r="I17" i="745"/>
  <c r="G17" i="745"/>
  <c r="F17" i="745"/>
  <c r="E17" i="745"/>
  <c r="D17" i="745"/>
  <c r="C17" i="745"/>
  <c r="Z16" i="745"/>
  <c r="Y16" i="745"/>
  <c r="X16" i="745"/>
  <c r="W16" i="745"/>
  <c r="V16" i="745"/>
  <c r="U16" i="745"/>
  <c r="T16" i="745"/>
  <c r="S16" i="745"/>
  <c r="R16" i="745"/>
  <c r="O16" i="745"/>
  <c r="N16" i="745"/>
  <c r="M16" i="745"/>
  <c r="L16" i="745"/>
  <c r="K16" i="745"/>
  <c r="J16" i="745"/>
  <c r="I16" i="745"/>
  <c r="G16" i="745"/>
  <c r="F16" i="745"/>
  <c r="E16" i="745"/>
  <c r="D16" i="745"/>
  <c r="C16" i="745"/>
  <c r="Z15" i="745"/>
  <c r="Y15" i="745"/>
  <c r="X15" i="745"/>
  <c r="W15" i="745"/>
  <c r="V15" i="745"/>
  <c r="U15" i="745"/>
  <c r="T15" i="745"/>
  <c r="S15" i="745"/>
  <c r="R15" i="745"/>
  <c r="O15" i="745"/>
  <c r="N15" i="745"/>
  <c r="M15" i="745"/>
  <c r="L15" i="745"/>
  <c r="K15" i="745"/>
  <c r="J15" i="745"/>
  <c r="I15" i="745"/>
  <c r="G15" i="745"/>
  <c r="F15" i="745"/>
  <c r="E15" i="745"/>
  <c r="D15" i="745"/>
  <c r="C15" i="745"/>
  <c r="Z14" i="745"/>
  <c r="Y14" i="745"/>
  <c r="X14" i="745"/>
  <c r="W14" i="745"/>
  <c r="V14" i="745"/>
  <c r="U14" i="745"/>
  <c r="T14" i="745"/>
  <c r="S14" i="745"/>
  <c r="R14" i="745"/>
  <c r="O14" i="745"/>
  <c r="N14" i="745"/>
  <c r="M14" i="745"/>
  <c r="L14" i="745"/>
  <c r="K14" i="745"/>
  <c r="J14" i="745"/>
  <c r="I14" i="745"/>
  <c r="G14" i="745"/>
  <c r="F14" i="745"/>
  <c r="E14" i="745"/>
  <c r="D14" i="745"/>
  <c r="C14" i="745"/>
  <c r="Z13" i="745"/>
  <c r="Y13" i="745"/>
  <c r="X13" i="745"/>
  <c r="W13" i="745"/>
  <c r="V13" i="745"/>
  <c r="U13" i="745"/>
  <c r="T13" i="745"/>
  <c r="S13" i="745"/>
  <c r="R13" i="745"/>
  <c r="O13" i="745"/>
  <c r="N13" i="745"/>
  <c r="M13" i="745"/>
  <c r="L13" i="745"/>
  <c r="K13" i="745"/>
  <c r="J13" i="745"/>
  <c r="I13" i="745"/>
  <c r="G13" i="745"/>
  <c r="F13" i="745"/>
  <c r="E13" i="745"/>
  <c r="D13" i="745"/>
  <c r="C13" i="745"/>
  <c r="Z12" i="745"/>
  <c r="Y12" i="745"/>
  <c r="X12" i="745"/>
  <c r="W12" i="745"/>
  <c r="V12" i="745"/>
  <c r="U12" i="745"/>
  <c r="T12" i="745"/>
  <c r="S12" i="745"/>
  <c r="R12" i="745"/>
  <c r="O12" i="745"/>
  <c r="N12" i="745"/>
  <c r="M12" i="745"/>
  <c r="L12" i="745"/>
  <c r="K12" i="745"/>
  <c r="J12" i="745"/>
  <c r="I12" i="745"/>
  <c r="G12" i="745"/>
  <c r="F12" i="745"/>
  <c r="E12" i="745"/>
  <c r="D12" i="745"/>
  <c r="C12" i="745"/>
  <c r="Z11" i="745"/>
  <c r="Y11" i="745"/>
  <c r="X11" i="745"/>
  <c r="W11" i="745"/>
  <c r="V11" i="745"/>
  <c r="U11" i="745"/>
  <c r="T11" i="745"/>
  <c r="S11" i="745"/>
  <c r="R11" i="745"/>
  <c r="O11" i="745"/>
  <c r="N11" i="745"/>
  <c r="M11" i="745"/>
  <c r="L11" i="745"/>
  <c r="K11" i="745"/>
  <c r="J11" i="745"/>
  <c r="I11" i="745"/>
  <c r="G11" i="745"/>
  <c r="F11" i="745"/>
  <c r="E11" i="745"/>
  <c r="D11" i="745"/>
  <c r="C11" i="745"/>
  <c r="Z10" i="745"/>
  <c r="Y10" i="745"/>
  <c r="X10" i="745"/>
  <c r="W10" i="745"/>
  <c r="V10" i="745"/>
  <c r="U10" i="745"/>
  <c r="T10" i="745"/>
  <c r="S10" i="745"/>
  <c r="R10" i="745"/>
  <c r="F94" i="658"/>
  <c r="K90" i="658"/>
  <c r="G90" i="658"/>
  <c r="C90" i="658"/>
  <c r="AY80" i="658"/>
  <c r="AX80" i="658"/>
  <c r="AW80" i="658"/>
  <c r="AV80" i="658"/>
  <c r="AU80" i="658"/>
  <c r="AT80" i="658"/>
  <c r="AS80" i="658"/>
  <c r="AR80" i="658"/>
  <c r="AQ80" i="658"/>
  <c r="AP80" i="658"/>
  <c r="AO80" i="658"/>
  <c r="AN80" i="658"/>
  <c r="AM80" i="658"/>
  <c r="AL80" i="658"/>
  <c r="AK80" i="658"/>
  <c r="AJ80" i="658"/>
  <c r="AI80" i="658"/>
  <c r="AH80" i="658"/>
  <c r="AG80" i="658"/>
  <c r="AF80" i="658"/>
  <c r="AE80" i="658"/>
  <c r="AD80" i="658"/>
  <c r="AC80" i="658"/>
  <c r="AB80" i="658"/>
  <c r="AA80" i="658"/>
  <c r="Z80" i="658"/>
  <c r="Y80" i="658"/>
  <c r="X80" i="658"/>
  <c r="W80" i="658"/>
  <c r="V80" i="658"/>
  <c r="U80" i="658"/>
  <c r="L79" i="658"/>
  <c r="K79" i="658"/>
  <c r="G79" i="658"/>
  <c r="D79" i="658"/>
  <c r="K74" i="658"/>
  <c r="D72" i="658"/>
  <c r="M65" i="658"/>
  <c r="L65" i="658"/>
  <c r="M58" i="658"/>
  <c r="M57" i="658"/>
  <c r="M56" i="658"/>
  <c r="L56" i="658"/>
  <c r="K56" i="658"/>
  <c r="M55" i="658"/>
  <c r="M53" i="658"/>
  <c r="L53" i="658"/>
  <c r="K53" i="658"/>
  <c r="M52" i="658"/>
  <c r="L52" i="658"/>
  <c r="K52" i="658"/>
  <c r="M51" i="658"/>
  <c r="L51" i="658"/>
  <c r="K51" i="658"/>
  <c r="M50" i="658"/>
  <c r="L50" i="658"/>
  <c r="K50" i="658"/>
  <c r="K59" i="658" s="1"/>
  <c r="AA47" i="658"/>
  <c r="Z47" i="658"/>
  <c r="Y47" i="658"/>
  <c r="X47" i="658"/>
  <c r="W47" i="658"/>
  <c r="V47" i="658"/>
  <c r="U47" i="658"/>
  <c r="T47" i="658"/>
  <c r="S47" i="658"/>
  <c r="AA46" i="658"/>
  <c r="Z46" i="658"/>
  <c r="Y46" i="658"/>
  <c r="X46" i="658"/>
  <c r="W46" i="658"/>
  <c r="V46" i="658"/>
  <c r="U46" i="658"/>
  <c r="T46" i="658"/>
  <c r="S46" i="658"/>
  <c r="AA45" i="658"/>
  <c r="Z45" i="658"/>
  <c r="Y45" i="658"/>
  <c r="X45" i="658"/>
  <c r="W45" i="658"/>
  <c r="V45" i="658"/>
  <c r="U45" i="658"/>
  <c r="T45" i="658"/>
  <c r="S45" i="658"/>
  <c r="AA44" i="658"/>
  <c r="Z44" i="658"/>
  <c r="Y44" i="658"/>
  <c r="X44" i="658"/>
  <c r="W44" i="658"/>
  <c r="V44" i="658"/>
  <c r="U44" i="658"/>
  <c r="T44" i="658"/>
  <c r="S44" i="658"/>
  <c r="AA43" i="658"/>
  <c r="Z43" i="658"/>
  <c r="Y43" i="658"/>
  <c r="X43" i="658"/>
  <c r="W43" i="658"/>
  <c r="V43" i="658"/>
  <c r="U43" i="658"/>
  <c r="T43" i="658"/>
  <c r="S43" i="658"/>
  <c r="AA42" i="658"/>
  <c r="Z42" i="658"/>
  <c r="Y42" i="658"/>
  <c r="X42" i="658"/>
  <c r="W42" i="658"/>
  <c r="V42" i="658"/>
  <c r="U42" i="658"/>
  <c r="T42" i="658"/>
  <c r="S42" i="658"/>
  <c r="AA41" i="658"/>
  <c r="Z41" i="658"/>
  <c r="Y41" i="658"/>
  <c r="X41" i="658"/>
  <c r="W41" i="658"/>
  <c r="V41" i="658"/>
  <c r="U41" i="658"/>
  <c r="T41" i="658"/>
  <c r="S41" i="658"/>
  <c r="AA40" i="658"/>
  <c r="Z40" i="658"/>
  <c r="Y40" i="658"/>
  <c r="X40" i="658"/>
  <c r="W40" i="658"/>
  <c r="V40" i="658"/>
  <c r="U40" i="658"/>
  <c r="T40" i="658"/>
  <c r="S40" i="658"/>
  <c r="AA39" i="658"/>
  <c r="Z39" i="658"/>
  <c r="Y39" i="658"/>
  <c r="X39" i="658"/>
  <c r="W39" i="658"/>
  <c r="V39" i="658"/>
  <c r="U39" i="658"/>
  <c r="T39" i="658"/>
  <c r="S39" i="658"/>
  <c r="AA38" i="658"/>
  <c r="Z38" i="658"/>
  <c r="Y38" i="658"/>
  <c r="X38" i="658"/>
  <c r="W38" i="658"/>
  <c r="V38" i="658"/>
  <c r="U38" i="658"/>
  <c r="T38" i="658"/>
  <c r="S38" i="658"/>
  <c r="AA37" i="658"/>
  <c r="Z37" i="658"/>
  <c r="Y37" i="658"/>
  <c r="X37" i="658"/>
  <c r="W37" i="658"/>
  <c r="V37" i="658"/>
  <c r="U37" i="658"/>
  <c r="T37" i="658"/>
  <c r="S37" i="658"/>
  <c r="AA36" i="658"/>
  <c r="Z36" i="658"/>
  <c r="Y36" i="658"/>
  <c r="X36" i="658"/>
  <c r="W36" i="658"/>
  <c r="V36" i="658"/>
  <c r="U36" i="658"/>
  <c r="T36" i="658"/>
  <c r="S36" i="658"/>
  <c r="AA35" i="658"/>
  <c r="Z35" i="658"/>
  <c r="Y35" i="658"/>
  <c r="X35" i="658"/>
  <c r="W35" i="658"/>
  <c r="V35" i="658"/>
  <c r="U35" i="658"/>
  <c r="T35" i="658"/>
  <c r="S35" i="658"/>
  <c r="AA34" i="658"/>
  <c r="Z34" i="658"/>
  <c r="Y34" i="658"/>
  <c r="X34" i="658"/>
  <c r="W34" i="658"/>
  <c r="V34" i="658"/>
  <c r="U34" i="658"/>
  <c r="T34" i="658"/>
  <c r="S34" i="658"/>
  <c r="AA33" i="658"/>
  <c r="Z33" i="658"/>
  <c r="Y33" i="658"/>
  <c r="X33" i="658"/>
  <c r="W33" i="658"/>
  <c r="V33" i="658"/>
  <c r="U33" i="658"/>
  <c r="T33" i="658"/>
  <c r="S33" i="658"/>
  <c r="AA32" i="658"/>
  <c r="Z32" i="658"/>
  <c r="Y32" i="658"/>
  <c r="X32" i="658"/>
  <c r="W32" i="658"/>
  <c r="V32" i="658"/>
  <c r="U32" i="658"/>
  <c r="T32" i="658"/>
  <c r="S32" i="658"/>
  <c r="AA31" i="658"/>
  <c r="Z31" i="658"/>
  <c r="Y31" i="658"/>
  <c r="X31" i="658"/>
  <c r="W31" i="658"/>
  <c r="V31" i="658"/>
  <c r="U31" i="658"/>
  <c r="T31" i="658"/>
  <c r="S31" i="658"/>
  <c r="AA30" i="658"/>
  <c r="Z30" i="658"/>
  <c r="Y30" i="658"/>
  <c r="X30" i="658"/>
  <c r="W30" i="658"/>
  <c r="V30" i="658"/>
  <c r="U30" i="658"/>
  <c r="T30" i="658"/>
  <c r="S30" i="658"/>
  <c r="AA29" i="658"/>
  <c r="Z29" i="658"/>
  <c r="Y29" i="658"/>
  <c r="X29" i="658"/>
  <c r="W29" i="658"/>
  <c r="V29" i="658"/>
  <c r="U29" i="658"/>
  <c r="T29" i="658"/>
  <c r="S29" i="658"/>
  <c r="AA28" i="658"/>
  <c r="Z28" i="658"/>
  <c r="Y28" i="658"/>
  <c r="X28" i="658"/>
  <c r="W28" i="658"/>
  <c r="V28" i="658"/>
  <c r="U28" i="658"/>
  <c r="T28" i="658"/>
  <c r="S28" i="658"/>
  <c r="AA27" i="658"/>
  <c r="Z27" i="658"/>
  <c r="Y27" i="658"/>
  <c r="X27" i="658"/>
  <c r="W27" i="658"/>
  <c r="V27" i="658"/>
  <c r="U27" i="658"/>
  <c r="T27" i="658"/>
  <c r="S27" i="658"/>
  <c r="AA26" i="658"/>
  <c r="Z26" i="658"/>
  <c r="Y26" i="658"/>
  <c r="X26" i="658"/>
  <c r="W26" i="658"/>
  <c r="V26" i="658"/>
  <c r="U26" i="658"/>
  <c r="T26" i="658"/>
  <c r="S26" i="658"/>
  <c r="AA25" i="658"/>
  <c r="Z25" i="658"/>
  <c r="Y25" i="658"/>
  <c r="X25" i="658"/>
  <c r="W25" i="658"/>
  <c r="V25" i="658"/>
  <c r="U25" i="658"/>
  <c r="T25" i="658"/>
  <c r="S25" i="658"/>
  <c r="AA24" i="658"/>
  <c r="Z24" i="658"/>
  <c r="Y24" i="658"/>
  <c r="X24" i="658"/>
  <c r="W24" i="658"/>
  <c r="V24" i="658"/>
  <c r="U24" i="658"/>
  <c r="T24" i="658"/>
  <c r="S24" i="658"/>
  <c r="AA23" i="658"/>
  <c r="Z23" i="658"/>
  <c r="Y23" i="658"/>
  <c r="X23" i="658"/>
  <c r="W23" i="658"/>
  <c r="V23" i="658"/>
  <c r="U23" i="658"/>
  <c r="T23" i="658"/>
  <c r="S23" i="658"/>
  <c r="AA22" i="658"/>
  <c r="Z22" i="658"/>
  <c r="Y22" i="658"/>
  <c r="X22" i="658"/>
  <c r="W22" i="658"/>
  <c r="V22" i="658"/>
  <c r="U22" i="658"/>
  <c r="T22" i="658"/>
  <c r="S22" i="658"/>
  <c r="AA21" i="658"/>
  <c r="Z21" i="658"/>
  <c r="Y21" i="658"/>
  <c r="X21" i="658"/>
  <c r="W21" i="658"/>
  <c r="V21" i="658"/>
  <c r="U21" i="658"/>
  <c r="T21" i="658"/>
  <c r="S21" i="658"/>
  <c r="AA20" i="658"/>
  <c r="Z20" i="658"/>
  <c r="Y20" i="658"/>
  <c r="X20" i="658"/>
  <c r="W20" i="658"/>
  <c r="V20" i="658"/>
  <c r="U20" i="658"/>
  <c r="T20" i="658"/>
  <c r="S20" i="658"/>
  <c r="AA19" i="658"/>
  <c r="Z19" i="658"/>
  <c r="Y19" i="658"/>
  <c r="X19" i="658"/>
  <c r="W19" i="658"/>
  <c r="V19" i="658"/>
  <c r="U19" i="658"/>
  <c r="T19" i="658"/>
  <c r="S19" i="658"/>
  <c r="AA18" i="658"/>
  <c r="Z18" i="658"/>
  <c r="Y18" i="658"/>
  <c r="X18" i="658"/>
  <c r="W18" i="658"/>
  <c r="V18" i="658"/>
  <c r="U18" i="658"/>
  <c r="T18" i="658"/>
  <c r="S18" i="658"/>
  <c r="AA17" i="658"/>
  <c r="Z17" i="658"/>
  <c r="Y17" i="658"/>
  <c r="X17" i="658"/>
  <c r="W17" i="658"/>
  <c r="V17" i="658"/>
  <c r="U17" i="658"/>
  <c r="T17" i="658"/>
  <c r="S17" i="658"/>
  <c r="AA16" i="658"/>
  <c r="Z16" i="658"/>
  <c r="Y16" i="658"/>
  <c r="X16" i="658"/>
  <c r="W16" i="658"/>
  <c r="V16" i="658"/>
  <c r="U16" i="658"/>
  <c r="T16" i="658"/>
  <c r="S16" i="658"/>
  <c r="AA15" i="658"/>
  <c r="Z15" i="658"/>
  <c r="Y15" i="658"/>
  <c r="X15" i="658"/>
  <c r="W15" i="658"/>
  <c r="V15" i="658"/>
  <c r="U15" i="658"/>
  <c r="T15" i="658"/>
  <c r="S15" i="658"/>
  <c r="AA14" i="658"/>
  <c r="Z14" i="658"/>
  <c r="Y14" i="658"/>
  <c r="X14" i="658"/>
  <c r="W14" i="658"/>
  <c r="V14" i="658"/>
  <c r="U14" i="658"/>
  <c r="T14" i="658"/>
  <c r="S14" i="658"/>
  <c r="AA13" i="658"/>
  <c r="Z13" i="658"/>
  <c r="Y13" i="658"/>
  <c r="X13" i="658"/>
  <c r="W13" i="658"/>
  <c r="V13" i="658"/>
  <c r="U13" i="658"/>
  <c r="T13" i="658"/>
  <c r="S13" i="658"/>
  <c r="AA12" i="658"/>
  <c r="Z12" i="658"/>
  <c r="Y12" i="658"/>
  <c r="X12" i="658"/>
  <c r="W12" i="658"/>
  <c r="V12" i="658"/>
  <c r="U12" i="658"/>
  <c r="T12" i="658"/>
  <c r="S12" i="658"/>
  <c r="AA11" i="658"/>
  <c r="Z11" i="658"/>
  <c r="Y11" i="658"/>
  <c r="X11" i="658"/>
  <c r="W11" i="658"/>
  <c r="V11" i="658"/>
  <c r="U11" i="658"/>
  <c r="T11" i="658"/>
  <c r="S11" i="658"/>
  <c r="AA10" i="658"/>
  <c r="Z10" i="658"/>
  <c r="Y10" i="658"/>
  <c r="X10" i="658"/>
  <c r="W10" i="658"/>
  <c r="V10" i="658"/>
  <c r="U10" i="658"/>
  <c r="T10" i="658"/>
  <c r="S10" i="658"/>
  <c r="K17" i="749"/>
  <c r="K18" i="749"/>
  <c r="K19" i="749"/>
  <c r="K20" i="749"/>
  <c r="K21" i="749"/>
  <c r="K22" i="749"/>
  <c r="K10" i="761"/>
  <c r="K11" i="761"/>
  <c r="K12" i="761"/>
  <c r="K13" i="761"/>
  <c r="K14" i="761"/>
  <c r="K15" i="761"/>
  <c r="J30" i="761" l="1"/>
  <c r="L59" i="658"/>
  <c r="M59" i="658" s="1"/>
  <c r="J32" i="761"/>
  <c r="L56" i="745"/>
  <c r="M56" i="745" s="1"/>
  <c r="J33" i="747"/>
  <c r="J39" i="749"/>
  <c r="J35" i="747"/>
  <c r="J38" i="746"/>
  <c r="J31" i="760"/>
  <c r="J30" i="759"/>
  <c r="J42" i="746"/>
  <c r="M42" i="763"/>
  <c r="J36" i="749"/>
  <c r="J29" i="748"/>
  <c r="J29" i="757"/>
  <c r="J21" i="751"/>
  <c r="J25" i="753"/>
  <c r="J30" i="748"/>
  <c r="J24" i="755"/>
  <c r="J46" i="745"/>
  <c r="J19" i="750"/>
  <c r="J25" i="756"/>
  <c r="K46" i="746"/>
  <c r="L46" i="746" s="1"/>
  <c r="M46" i="746" s="1"/>
  <c r="K39" i="748"/>
  <c r="L39" i="748" s="1"/>
  <c r="M39" i="748" s="1"/>
  <c r="J27" i="752"/>
  <c r="K39" i="757"/>
  <c r="L39" i="757" s="1"/>
  <c r="M39" i="757" s="1"/>
  <c r="K63" i="744"/>
  <c r="L63" i="744" s="1"/>
  <c r="M63" i="744" s="1"/>
  <c r="K38" i="754"/>
  <c r="L38" i="754" s="1"/>
  <c r="M38" i="754" s="1"/>
  <c r="K36" i="752"/>
  <c r="L36" i="752" s="1"/>
  <c r="M36" i="752" s="1"/>
  <c r="K29" i="750"/>
  <c r="L29" i="750" s="1"/>
  <c r="M29" i="750" s="1"/>
  <c r="K39" i="759"/>
  <c r="K39" i="760"/>
  <c r="K46" i="749"/>
  <c r="L46" i="749" s="1"/>
  <c r="M46" i="749" s="1"/>
  <c r="K34" i="755"/>
  <c r="L34" i="755" s="1"/>
  <c r="M34" i="755" s="1"/>
  <c r="K43" i="747"/>
  <c r="L43" i="747" s="1"/>
  <c r="M43" i="747" s="1"/>
  <c r="K35" i="753"/>
  <c r="L35" i="753" s="1"/>
  <c r="M35" i="753" s="1"/>
  <c r="K35" i="756"/>
  <c r="L35" i="756" s="1"/>
  <c r="M35" i="756" s="1"/>
  <c r="K39" i="758"/>
  <c r="L36" i="762"/>
  <c r="M36" i="762" s="1"/>
  <c r="K31" i="762"/>
  <c r="J54" i="744"/>
  <c r="J29" i="754"/>
  <c r="J37" i="749"/>
  <c r="K39" i="761"/>
  <c r="K31" i="751"/>
  <c r="L31" i="751" s="1"/>
  <c r="M31" i="751" s="1"/>
  <c r="N10" i="762" l="1"/>
  <c r="N11" i="762"/>
  <c r="K10" i="762"/>
  <c r="K11" i="762"/>
  <c r="J10" i="762"/>
  <c r="J11" i="762"/>
  <c r="I10" i="762"/>
  <c r="I11" i="762" l="1"/>
  <c r="J22" i="762" s="1"/>
  <c r="D63" i="19"/>
  <c r="D60" i="19"/>
  <c r="D61" i="19"/>
  <c r="D64" i="19" l="1"/>
  <c r="D58" i="758" l="1"/>
  <c r="D58" i="760"/>
  <c r="L58" i="758"/>
  <c r="C66" i="758" s="1"/>
  <c r="D65" i="749"/>
  <c r="L65" i="749" s="1"/>
  <c r="C72" i="749" s="1"/>
  <c r="D62" i="747"/>
  <c r="G66" i="759"/>
  <c r="D58" i="759"/>
  <c r="L58" i="759" s="1"/>
  <c r="C66" i="759" s="1"/>
  <c r="L58" i="760" l="1"/>
  <c r="C67" i="760" s="1"/>
  <c r="G67" i="760"/>
  <c r="G64" i="754"/>
  <c r="D57" i="754"/>
  <c r="L57" i="754" s="1"/>
  <c r="C64" i="754" s="1"/>
  <c r="L62" i="747"/>
  <c r="C69" i="747" s="1"/>
  <c r="G54" i="750"/>
  <c r="G72" i="749"/>
  <c r="G69" i="747" l="1"/>
  <c r="G58" i="18"/>
  <c r="D58" i="763" l="1"/>
  <c r="L58" i="763" s="1"/>
  <c r="C66" i="763" s="1"/>
  <c r="G63" i="763"/>
  <c r="D56" i="763"/>
  <c r="G66" i="763"/>
  <c r="D56" i="756"/>
  <c r="L56" i="756" s="1"/>
  <c r="D58" i="757"/>
  <c r="L58" i="757" s="1"/>
  <c r="D54" i="756"/>
  <c r="L54" i="756" s="1"/>
  <c r="D58" i="748"/>
  <c r="L58" i="748" s="1"/>
  <c r="C64" i="748" s="1"/>
  <c r="D48" i="750"/>
  <c r="D65" i="746"/>
  <c r="G71" i="746"/>
  <c r="K19" i="746"/>
  <c r="K20" i="746"/>
  <c r="K10" i="747"/>
  <c r="K11" i="747"/>
  <c r="K12" i="747"/>
  <c r="K13" i="747"/>
  <c r="K14" i="747"/>
  <c r="K15" i="747"/>
  <c r="K10" i="760"/>
  <c r="K11" i="760"/>
  <c r="K12" i="760"/>
  <c r="K13" i="760"/>
  <c r="K14" i="760"/>
  <c r="K15" i="760"/>
  <c r="K16" i="760"/>
  <c r="K17" i="760"/>
  <c r="L65" i="746" l="1"/>
  <c r="C71" i="746" s="1"/>
  <c r="D64" i="747"/>
  <c r="L64" i="747" s="1"/>
  <c r="C74" i="747" s="1"/>
  <c r="L56" i="763"/>
  <c r="C63" i="763" s="1"/>
  <c r="D60" i="748"/>
  <c r="L60" i="748" s="1"/>
  <c r="C70" i="748" s="1"/>
  <c r="L48" i="750"/>
  <c r="C54" i="750" s="1"/>
  <c r="G74" i="747"/>
  <c r="D60" i="757"/>
  <c r="L60" i="757" s="1"/>
  <c r="C65" i="757" s="1"/>
  <c r="D50" i="751"/>
  <c r="L50" i="751" s="1"/>
  <c r="C59" i="751" s="1"/>
  <c r="G65" i="761"/>
  <c r="D58" i="761"/>
  <c r="C61" i="756"/>
  <c r="G64" i="748"/>
  <c r="G59" i="751"/>
  <c r="G65" i="757"/>
  <c r="L58" i="761" l="1"/>
  <c r="C65" i="761" s="1"/>
  <c r="G70" i="748"/>
  <c r="M29" i="763"/>
  <c r="M31" i="761"/>
  <c r="M27" i="756"/>
  <c r="M31" i="748"/>
  <c r="M21" i="750"/>
  <c r="M48" i="745"/>
  <c r="M31" i="759"/>
  <c r="M31" i="760"/>
  <c r="M35" i="747"/>
  <c r="M55" i="744"/>
  <c r="M38" i="746"/>
  <c r="M26" i="755"/>
  <c r="M30" i="754"/>
  <c r="M38" i="749"/>
  <c r="M27" i="753"/>
  <c r="M31" i="757"/>
  <c r="M23" i="751"/>
  <c r="M31" i="758"/>
  <c r="M23" i="762"/>
  <c r="M28" i="752"/>
  <c r="G61" i="756"/>
  <c r="G57" i="18"/>
  <c r="G59" i="18"/>
  <c r="G62" i="18"/>
  <c r="G56" i="18"/>
  <c r="G62" i="19" l="1"/>
  <c r="G57" i="19" l="1"/>
  <c r="J57" i="19"/>
  <c r="J59" i="19"/>
  <c r="J58" i="19"/>
  <c r="J62" i="19"/>
  <c r="J64" i="19"/>
  <c r="G65" i="18"/>
  <c r="G61" i="19"/>
  <c r="G56" i="19"/>
  <c r="G58" i="19"/>
  <c r="J56" i="19" l="1"/>
  <c r="J65" i="19"/>
  <c r="G65" i="19"/>
  <c r="G64" i="19"/>
  <c r="G59" i="19"/>
  <c r="I13" i="762" l="1"/>
  <c r="J21" i="762" s="1"/>
  <c r="I17" i="758" l="1"/>
  <c r="I16" i="758"/>
  <c r="I12" i="758"/>
  <c r="I13" i="758"/>
  <c r="I14" i="758"/>
  <c r="I15" i="758"/>
  <c r="I11" i="758"/>
  <c r="M27" i="763" l="1"/>
  <c r="L27" i="763"/>
  <c r="I10" i="758"/>
  <c r="M21" i="762"/>
  <c r="M29" i="758"/>
  <c r="L21" i="762"/>
  <c r="L31" i="762" s="1"/>
  <c r="M31" i="762" s="1"/>
  <c r="L29" i="758"/>
  <c r="L39" i="758" s="1"/>
  <c r="M39" i="758" s="1"/>
  <c r="L29" i="761"/>
  <c r="L39" i="761" s="1"/>
  <c r="M39" i="761" s="1"/>
  <c r="M29" i="760"/>
  <c r="M29" i="761"/>
  <c r="L29" i="760"/>
  <c r="L39" i="760" s="1"/>
  <c r="M39" i="760" s="1"/>
  <c r="L29" i="759"/>
  <c r="L39" i="759" s="1"/>
  <c r="M39" i="759" s="1"/>
  <c r="M29" i="759"/>
  <c r="J29" i="758"/>
  <c r="L37" i="763" l="1"/>
  <c r="F56" i="763"/>
  <c r="F58" i="761"/>
  <c r="F58" i="760"/>
  <c r="D62" i="19" l="1"/>
  <c r="D62" i="18"/>
  <c r="D57" i="19"/>
  <c r="D57" i="18"/>
  <c r="D59" i="19"/>
  <c r="D59" i="18"/>
  <c r="F48" i="750"/>
  <c r="I56" i="763"/>
  <c r="H56" i="763"/>
  <c r="I58" i="760"/>
  <c r="H58" i="760"/>
  <c r="F65" i="746"/>
  <c r="F62" i="747"/>
  <c r="I58" i="761"/>
  <c r="H58" i="761"/>
  <c r="I48" i="750" l="1"/>
  <c r="H48" i="750"/>
  <c r="I65" i="746"/>
  <c r="H65" i="746"/>
  <c r="D58" i="18"/>
  <c r="D58" i="19"/>
  <c r="D56" i="18"/>
  <c r="I62" i="747"/>
  <c r="H62" i="747"/>
  <c r="D56" i="19" l="1"/>
  <c r="D65" i="19" l="1"/>
  <c r="D65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V3" authorId="0" shapeId="0" xr:uid="{EF1F6E66-18DD-4077-9D03-81A5E75AC25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V4" authorId="0" shapeId="0" xr:uid="{36C2866C-0128-443E-900A-885D0ED885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C38040F8-D023-429E-B8F5-09C5137BA5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W5" authorId="0" shapeId="0" xr:uid="{842231B0-DF58-4498-B8AB-6E63151227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T6" authorId="0" shapeId="0" xr:uid="{6F888C63-44F1-4C10-BE19-1703D7AA65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U6" authorId="0" shapeId="0" xr:uid="{30DC34E3-879A-491E-8A28-2320E6267A8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V6" authorId="0" shapeId="0" xr:uid="{388573A8-AFDB-4EC6-8147-E3D5E69861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T7" authorId="0" shapeId="0" xr:uid="{33B133D5-4EE7-48E7-9932-35D5829D8A5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V7" authorId="0" shapeId="0" xr:uid="{0313F1B7-8B43-4B82-84C2-5D1CF95A9B4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V9" authorId="0" shapeId="0" xr:uid="{EA1037DD-8911-4DFC-A38E-43C64558C9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63" authorId="0" shapeId="0" xr:uid="{EF0D0E60-B8D7-4708-80DC-7BF0A8CA04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No Cacl2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B0874BBD-0B64-46FD-8974-ECC517B349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084233DA-C9DD-4B7A-BDEA-64BC0B3EAE3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68C993E-A9E5-4304-8AFB-37DB4A77BA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B269CF88-D3D9-4C79-8FB3-DB4B7213CC6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68D577F0-0D89-4BDA-8582-9728C72EE7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86468368-B779-4AAA-BB99-888C58439A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9285AF9-F95B-401A-8B3D-8786A7A21CD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49D76FF-1306-4F1B-861F-35D83050C27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E8AE9D0B-A1E4-4A74-94BD-9B05478EFF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C4838DA7-7999-4724-BAD9-433D39A24D4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784259E6-ECC1-4F0D-AA46-2A9E53B688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F842A24-461D-461D-BB3B-04C60C05F9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71DD142-6EF0-4F4A-B1CF-F9F26A616F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53790EA-7BC1-4BCA-98C6-2EEF871D080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177D322-599E-48AA-86C7-BF0ADC15BF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61928C96-5D7B-4579-9524-DDCD08BC199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076318F3-63F4-4630-B4EF-DD5BDA37C93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A215483-8832-40D0-9CE1-02F5DDBD10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812F8322-3279-4B46-A5C0-B9E0FB9A06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4F21A239-A4F0-408B-9668-85B7A77F8A9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81D260E9-8A9E-4AAA-90F9-8D40BFCDB03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23EF33DC-F0FA-454A-93F9-2280F885D3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F4AE03D-509B-4EB2-B044-A3356ADE87E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38676D5-CF8C-40D0-BE19-68A4811261D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F3EDAA4-FFF1-479B-A4B8-2E47B68186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13B36B0-C18A-4D83-BF5E-C1B5077A87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F87631A-C920-443A-A0B7-F8D64EDD7CF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6EBA2E25-8821-4A49-81C4-9068AA6DFB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4707CA07-7AE6-43A6-9F0E-72EEF80E23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38E54203-DADB-49BA-88F9-45853DA68D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H10" authorId="1" shapeId="0" xr:uid="{2A6988D1-F8B0-4DAB-A405-4AC4A4ABC0FA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hydrometer broken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E022561E-DA76-477D-BB36-E396CFB3BB1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0170787-6723-4F82-9D9F-ADF8B2939B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B6827F7-8C7E-438F-AFF3-A19CADA1C8B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72CAE0BB-D24D-4A3B-B508-38844CE095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3758ACB-A469-4D2C-A693-819912CB1B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B268965-63B5-4C9B-9F75-D8902158E22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367BF5E4-B222-4583-BC49-20D243D0231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771C244A-A1F0-43A7-B215-F7F41C00D49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BF99361-818F-426E-BDFC-F12C556C264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E91C0100-E0A4-4664-922E-7A700CD142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5EE5811A-DB75-464F-B50D-8566EAB65FA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1B88C11-6D4F-4716-8502-2985330A636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4F26E9DA-BF9A-4958-B099-CC2B80468C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20AD91A1-3414-4760-B23F-CC55482A197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54E52315-2F7A-454C-8A51-C2FC6E066C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00B4748-31DA-4C1C-B1D9-8FCCC2A9029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E27811C0-531F-480E-85FE-65469A55D8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BAFDA41-3B12-4DB6-A11E-20BF046CCB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0598802C-1F1D-4CEB-95F8-9F7A640A98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BA7634C5-A1B3-4A00-92F2-55BA9054225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81A65BA5-FD76-4547-8787-CA5F74CCF48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A8615B1A-A4D0-47D2-BD04-08BE914637A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34430A1-789C-4632-8DF3-A1CA910D4A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32ABDAB9-6A17-4A06-9292-8287ACA1C7B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100C2C0-A3A6-45A9-AEEE-0318AFF5C8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107ED6A3-7E4E-4BE3-9FFB-EA7C831B0C3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8CB9DD88-E9E7-4B9F-826E-675DC1BE0A6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98C8657E-ADA3-4CDB-9153-A9767C1F9DD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3AAB37A7-6A26-45E0-9CBA-3767DC2C872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295F8EF9-54AC-4AEA-8079-F2ADF3F8813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9FC47193-9354-4723-A2FB-ABFB44B881D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305DCFC-7B34-4F94-AA1A-C3A8F16227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C1BB146-9C7C-4231-8188-BF17AFD14D0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C204195-8A6F-48C0-9842-3AEE612BC3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2C1780E7-5323-4744-8348-62E93C8F8E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095CDCB-9BA4-4123-9278-713523F17F3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C33F576-A295-47D4-8BAD-8C8AD4DDDF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4A2B753-907E-480D-9882-152586519F8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645AFFE1-81CC-4E82-A57E-8E6B7D4E46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E8B89782-86DA-44B0-B64B-AC1461F4FF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527E4486-3725-4660-BBA5-12C6B6A341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9B78786B-1417-437D-AA51-73CF5CB9611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90F4013B-C14F-4A2F-8581-792D778855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BA82116-90E3-4E84-9B52-85B120618AB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7F79D0C-5CFF-4653-988E-936E6D40F8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5A7069F-C3A1-4B0F-8DEA-256676F65B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588BF78-8D40-42A0-971C-A29C576678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BDBDE5CF-7CB0-4E87-A9DC-E284F6F977B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ACA6F182-9805-432B-BCC0-97B4D63871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B1778A68-0C85-4599-B322-7077E5E410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F4273515-30D2-44A1-9AFF-E6EAF39003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7B7B1D3-B00E-4FB9-87CB-5C40E22588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F3D884B4-5506-4742-8BC9-765605BA45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A4074970-E4BF-4512-AFEF-8B354CAAB80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230D3E2-E290-4124-9061-53823660DB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9ABDA8E7-3FAD-4FCE-A330-4BD75CFA4A2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C2F69B8-7470-42A8-AECC-8C0D8963F8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1C864495-E494-4F9F-A4D4-8B453E9F2A5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B35117C4-4113-49F0-9448-3C0EB3AB9D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14B29FFC-85B6-44A2-BE03-DCD3854EE31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852F2906-36E2-4BA5-B20C-AB7A84382CE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8ACA54A8-1762-4F45-A7A8-52950941C38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712AE70-F089-4657-B44F-BEA1473CDF7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437FE64F-EEC5-40B2-B806-72A53B0C0A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9E50E9D0-0D8F-4169-A0DF-E66CD322EA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B91A487-183F-4955-A3DD-A3F495033DC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14AC70B-4F0C-4778-86D4-31E64E7909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09DAC59D-C6E3-4A6F-8040-B99153AD764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20A2F6EF-04C6-493C-AAFA-01844BD1F1A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318D2B3D-3E8B-4434-B19D-A64D1E86891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9F44B439-B615-4929-BA72-A270C907E79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35E56DFC-0E49-4B01-9E87-7E386C888B3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227962B-A0D3-48CD-A095-08D20D2C9CC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8C12960F-912C-4E12-B733-64DB57E76C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7FFE7FBE-8F1E-4B64-AA30-C61A636A2B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59ACFBF0-9AFF-4E2F-98B0-625EADC1D2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BA29867C-7961-4F42-A218-F0BC906A726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B24317A-145C-49AE-8736-44B562AD172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8411B095-BCDC-4289-A5B7-9124135AC85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E49A586E-F5E5-4D89-B00E-7E396839E9B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N11" authorId="1" shapeId="0" xr:uid="{AE7C8655-7B18-48BF-8D3E-B87A2B91A81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information unable to calculate times</t>
        </r>
      </text>
    </comment>
    <comment ref="K16" authorId="1" shapeId="0" xr:uid="{0E3AD30A-4522-4B6F-8C56-91108D566424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data</t>
        </r>
      </text>
    </comment>
    <comment ref="M16" authorId="1" shapeId="0" xr:uid="{77116E2C-5BDE-45E6-B411-C9A9B4B749AD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missing information unable to calculate times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BDC24D20-E290-4322-A8B3-0C0EA70EDD8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63170CDD-9675-4510-AC5B-DF1F0806C50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A738C138-201D-4129-B002-52B19EA23EA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6B6CDE0-3A92-4C9D-BACA-0258B4738A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D84B113-EC2C-40F1-960F-8047567A1F3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B4EC94F-70BE-4C2F-AC6E-ACA31271070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287154CB-CB78-48FC-8D1B-ACD3D9A5B80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2A3E546-24DE-433C-9049-2F76C6AAEF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5F97D06B-840F-40D9-8006-2F2562A27F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D8B9A26C-097F-4EDD-80EF-6C7AC0F8574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K38" authorId="0" shapeId="0" xr:uid="{2D004515-484F-4AC0-9BED-EEF0DE5E41D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waiting for tanks to continue brrewing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197C8DED-5DB0-4293-B105-88D73D3610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4070055F-D601-4177-A279-CE33A976409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6A7B4409-EE00-4E63-9FC6-DF2B1D7520A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F485F9C1-7FDF-4473-91F9-192FDC635E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F3E56F12-1A66-48EE-A2BC-F26FE88D38F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EEEC9796-63AC-4E55-AE6D-568EEE5BE6F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497C4B13-2D80-4089-8FF8-962B04AF8B3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24E6BC4-BB6A-4E4A-8861-FF1C1B6F427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1552091E-337C-4727-A7C4-42DFA683D16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743370E3-AC38-4B1F-9774-11C7D62F749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54" authorId="1" shapeId="0" xr:uid="{FE838A6D-36A9-429C-B4EE-F4E34D89551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Started filtering with BMF- stopped due to high haze; filtration continued on plate and frame</t>
        </r>
      </text>
    </comment>
    <comment ref="J56" authorId="1" shapeId="0" xr:uid="{93B713F3-7443-467E-A3E9-080CA9A153E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13hls filtered on plate and framebefore switching to BMF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D767C715-20BD-4B7B-9AF7-BAF48F7CF21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C166B0C-827B-4253-A7CC-253B14A6852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D1A9CF8A-FAAA-40D8-9DB8-0C580339A29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C19AD0F-5D5D-4CCF-8B72-64D537BF122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F7E4537-BCF3-4C32-8D09-78150C25DE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AEEF7985-304C-43C6-8FB7-97917FC5346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1A1981B5-25C2-413D-97B0-B60657CD4A9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4DCA3A3-23EE-4F1E-AADE-149FF5E4A3A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AC7AADE2-FE1E-41AE-B150-BE2854C92AD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2D9E5DC8-11E3-4F70-94CD-96C22F7F19D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58" authorId="1" shapeId="0" xr:uid="{B0A920CB-B95F-4F4A-B7A7-37EA0803AFCF}">
      <text>
        <r>
          <rPr>
            <b/>
            <sz val="12"/>
            <color indexed="81"/>
            <rFont val="Tahoma"/>
            <family val="2"/>
          </rPr>
          <t>Kaylil Baptiste:</t>
        </r>
        <r>
          <rPr>
            <sz val="12"/>
            <color indexed="81"/>
            <rFont val="Tahoma"/>
            <family val="2"/>
          </rPr>
          <t xml:space="preserve">
Stopped filtration on BMF due to high haze issues- switched to plate and farme</t>
        </r>
      </text>
    </comment>
    <comment ref="J60" authorId="1" shapeId="0" xr:uid="{2713CAF9-B1FC-4DF2-BEC1-5647C99AF102}">
      <text>
        <r>
          <rPr>
            <b/>
            <sz val="12"/>
            <color indexed="81"/>
            <rFont val="Tahoma"/>
            <family val="2"/>
          </rPr>
          <t>Kaylil Baptiste:</t>
        </r>
        <r>
          <rPr>
            <sz val="12"/>
            <color indexed="81"/>
            <rFont val="Tahoma"/>
            <family val="2"/>
          </rPr>
          <t xml:space="preserve">
BBT5 was refiltered into BBT2 using plate and frame high haze issues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  <author>Kaylil Baptiste</author>
  </authors>
  <commentList>
    <comment ref="U3" authorId="0" shapeId="0" xr:uid="{7BF43071-91A0-4820-89E4-EAEFDDC2AF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D0372BFD-6A67-4D30-93BB-129FC1A0276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B53BBA35-AD48-444C-A8FE-8D122444C01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09D2234F-545A-41B8-970D-16EE4142CE5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340C58FA-F229-426D-81F2-689598A2F88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47AAA52C-5C52-49FE-8B02-D5A0F28F5D0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A879654F-F68C-473B-952A-6273117D095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35BC3C30-BB55-42DB-B11F-5845E0B52F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FF876B9-4418-4089-9F10-7114582323E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1A4F1F9F-3B4D-495A-A9F5-4DAB0CAC18F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  <comment ref="J58" authorId="1" shapeId="0" xr:uid="{5EAC5283-EE52-40BB-8584-70C05013E151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Filtration stopped due to high haze only SV11 completed on BMF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D809E8BE-AF31-4073-9362-9C8260B2878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E871FB51-BFCD-4278-98D3-1CC76887AB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8231F939-4828-4322-BED9-1BBD5929FD0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C11081D-3BE3-4BE6-BFD8-E2BB96AA54B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9E5931F-0E74-4020-8322-BA5FFF68ED9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5099523-32FB-4F72-ABFB-04C72B2F9D7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5A442C14-CC41-4FA0-A47C-81CDCBEE18C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5171870F-0A79-4EE7-B7F2-84B265272C8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79973F90-4806-492D-8B65-B323661E0A1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AE127A62-4695-44ED-A808-BB05183C834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7BED8C30-A952-43F4-8CDD-E0230FC12A3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1C6BA0A-C894-4854-958A-EA66D2363C1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EC40DD5F-1B6B-42C7-8091-5C141F36C6E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5B5C31AB-48DA-4D90-9237-7E62F14511D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BC55FE10-B1A1-41F0-AE90-7518D81B2048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73C52D1-6580-44B5-A19C-BB652D1C3DC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DDF7B7CB-EB09-4EA9-8557-BE09B0992A1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D9EFCCC9-564C-466E-84C5-FDA81796BFF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9620611D-7F3D-44BC-AEA0-F2FC3A7B512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95C5A171-8F19-4D9E-8F6A-13FC1716BF7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770A0713-E7C9-4232-92CF-A74CDBB4AA5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F8A609DE-0C9C-4B95-BA56-875C8D4F5984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26A1615B-3B4E-4129-AB1C-23947DA71A5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DDFC302F-8F28-43A7-B6EE-CE43C870F3B1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D956E840-E324-4FA4-B99D-412ECB91612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0EFE1712-6815-4E79-BD41-9A13DCAA8D5F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9CF232C5-65D2-4E57-AD96-056B64937FEE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E10C4CF6-E67E-430A-AF01-E6DA08EC197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8A4508E2-7D8D-43AD-8C9F-FD6B1CC3A84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D84369EF-ED43-4969-B769-9F630357289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7245A55C-7C08-477A-8407-AE20EFA427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BF9780A6-B195-4B1B-9E61-89574593935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C9CDE692-52FB-411E-9F14-3CCC8477EBA5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65214826-6CB8-4D82-AD42-D82CE3EC3E1C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47F5F282-A0FC-4C4F-9DDC-4CD4D05DB26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73B3D56F-2888-438D-AB30-07A273B44019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6295D7FA-00D7-4A12-8A25-CC113143A8E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826F1E36-8BA3-44E3-A094-ACFDE83BE22A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16421576-BC25-4B3D-BF0B-39436155B73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FE5CC90B-8FDE-450B-BCD8-4537C060007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Reshelle Fleming</author>
  </authors>
  <commentList>
    <comment ref="U3" authorId="0" shapeId="0" xr:uid="{540C3499-BC02-4383-AFBF-BBE371D11D9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
2:30am</t>
        </r>
      </text>
    </comment>
    <comment ref="U4" authorId="0" shapeId="0" xr:uid="{5302676A-E42C-47A0-B9E0-B0C539CC26F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U5" authorId="0" shapeId="0" xr:uid="{5BDAE5C3-EFF1-409D-8264-3C919F93B4A6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150</t>
        </r>
      </text>
    </comment>
    <comment ref="V5" authorId="0" shapeId="0" xr:uid="{E7A1B085-2786-4B86-8B09-7A461105E6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170</t>
        </r>
      </text>
    </comment>
    <comment ref="S6" authorId="0" shapeId="0" xr:uid="{8073BC48-D327-48DD-8E5A-BFF3250BE80B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13.4</t>
        </r>
      </text>
    </comment>
    <comment ref="T6" authorId="0" shapeId="0" xr:uid="{D5AE55ED-71D2-4F80-A627-E3E28EA3F732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13.6</t>
        </r>
      </text>
    </comment>
    <comment ref="U6" authorId="0" shapeId="0" xr:uid="{C0661B81-5017-4E03-AB4F-736FAD1C749D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165
2:45:50am</t>
        </r>
      </text>
    </comment>
    <comment ref="S7" authorId="0" shapeId="0" xr:uid="{A6C9F4A2-9B33-4308-9C20-C1643FBB8150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Spec changed in October 2019- Sherilyn</t>
        </r>
      </text>
    </comment>
    <comment ref="U7" authorId="0" shapeId="0" xr:uid="{C7797E92-CD27-46EF-AD5A-5388B6C40357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175
2:55:55am</t>
        </r>
      </text>
    </comment>
    <comment ref="U9" authorId="0" shapeId="0" xr:uid="{326198C3-757D-4136-A38C-597290087CE3}">
      <text>
        <r>
          <rPr>
            <b/>
            <sz val="9"/>
            <color indexed="81"/>
            <rFont val="Tahoma"/>
            <family val="2"/>
          </rPr>
          <t>Reshelle Fleming:</t>
        </r>
        <r>
          <rPr>
            <sz val="9"/>
            <color indexed="81"/>
            <rFont val="Tahoma"/>
            <family val="2"/>
          </rPr>
          <t xml:space="preserve">
180
3:00:14am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</authors>
  <commentList>
    <comment ref="G42" authorId="0" shapeId="0" xr:uid="{D8E8AFA0-D691-4A54-AD3E-8CFCB2EDDCE7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2days</t>
        </r>
      </text>
    </comment>
    <comment ref="D45" authorId="0" shapeId="0" xr:uid="{FF1551A6-B51A-4CE8-B073-D15FFA344B45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Brewed for 5days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<sst xmlns="http://schemas.openxmlformats.org/spreadsheetml/2006/main" count="3120" uniqueCount="228">
  <si>
    <t>P.G.</t>
  </si>
  <si>
    <t>Hot Time</t>
  </si>
  <si>
    <t>Process Time</t>
  </si>
  <si>
    <t>Brewing Department Daily Process Loss Report</t>
  </si>
  <si>
    <t>Lower</t>
  </si>
  <si>
    <t>Upper</t>
  </si>
  <si>
    <t>CARIB</t>
  </si>
  <si>
    <t>Date:</t>
  </si>
  <si>
    <r>
      <t xml:space="preserve">Filter Sheets </t>
    </r>
    <r>
      <rPr>
        <b/>
        <i/>
        <sz val="9"/>
        <rFont val="Arial"/>
        <family val="2"/>
      </rPr>
      <t xml:space="preserve">(Target </t>
    </r>
    <r>
      <rPr>
        <b/>
        <i/>
        <u/>
        <sz val="9"/>
        <rFont val="Arial"/>
        <family val="2"/>
      </rPr>
      <t>20</t>
    </r>
    <r>
      <rPr>
        <b/>
        <i/>
        <sz val="9"/>
        <rFont val="Arial"/>
        <family val="2"/>
      </rPr>
      <t xml:space="preserve"> days)</t>
    </r>
  </si>
  <si>
    <t>STAG</t>
  </si>
  <si>
    <t>Double</t>
  </si>
  <si>
    <t>Single</t>
  </si>
  <si>
    <t>GUINNESS</t>
  </si>
  <si>
    <t>Brewhouse:</t>
  </si>
  <si>
    <t>Sheet Day</t>
  </si>
  <si>
    <t>MACKESON</t>
  </si>
  <si>
    <t>STARMALT</t>
  </si>
  <si>
    <t>Brand</t>
  </si>
  <si>
    <t>Brew no.</t>
  </si>
  <si>
    <t>Kett. Hls</t>
  </si>
  <si>
    <t>Wort</t>
  </si>
  <si>
    <t>Cool Time(Mins)</t>
  </si>
  <si>
    <t>Cast. P.G. (Lab Result)</t>
  </si>
  <si>
    <t>Theor. Extr. (77.5%)</t>
  </si>
  <si>
    <t xml:space="preserve"> Boil Time</t>
  </si>
  <si>
    <t>Total Hot</t>
  </si>
  <si>
    <t>Brewing</t>
  </si>
  <si>
    <t>Operator</t>
  </si>
  <si>
    <t>Comments</t>
  </si>
  <si>
    <t>MAXIMALT</t>
  </si>
  <si>
    <t>Meter (Hls)</t>
  </si>
  <si>
    <t>Target(&lt; 60Mins)</t>
  </si>
  <si>
    <t>Time</t>
  </si>
  <si>
    <t>VITAMALT</t>
  </si>
  <si>
    <t>EXTRACT RECOVERY</t>
  </si>
  <si>
    <t>BBT P.G./ O.G</t>
  </si>
  <si>
    <t>Actual</t>
  </si>
  <si>
    <t>MTD</t>
  </si>
  <si>
    <t>YTD</t>
  </si>
  <si>
    <t>Target</t>
  </si>
  <si>
    <t>GUINN</t>
  </si>
  <si>
    <t xml:space="preserve"> </t>
  </si>
  <si>
    <t>Process:</t>
  </si>
  <si>
    <t>Fermentation/Filtration</t>
  </si>
  <si>
    <t>Filt. Date</t>
  </si>
  <si>
    <t>FV Hls</t>
  </si>
  <si>
    <t xml:space="preserve">GFE/ Prim/ Vita Blend (Hls) </t>
  </si>
  <si>
    <t>SV Hls</t>
  </si>
  <si>
    <t>BBT Hls</t>
  </si>
  <si>
    <t xml:space="preserve"> Loss (%) Ferm</t>
  </si>
  <si>
    <t xml:space="preserve"> Loss (%) Filt</t>
  </si>
  <si>
    <t>Throughput</t>
  </si>
  <si>
    <t>Process Loss (%)</t>
  </si>
  <si>
    <t>Filt. Operator</t>
  </si>
  <si>
    <t>hls</t>
  </si>
  <si>
    <t>Process Loss (Volume)</t>
  </si>
  <si>
    <t>Process Loss (Extract)</t>
  </si>
  <si>
    <t>:</t>
  </si>
  <si>
    <t>Process Department Daily Loss Report</t>
  </si>
  <si>
    <t>Date</t>
  </si>
  <si>
    <t>1st Run</t>
  </si>
  <si>
    <r>
      <t xml:space="preserve">Extr. Rec </t>
    </r>
    <r>
      <rPr>
        <b/>
        <sz val="9"/>
        <rFont val="Arial"/>
        <family val="2"/>
      </rPr>
      <t>(79.5%)</t>
    </r>
  </si>
  <si>
    <r>
      <t xml:space="preserve">Theor. Extr. </t>
    </r>
    <r>
      <rPr>
        <b/>
        <sz val="9"/>
        <rFont val="Arial"/>
        <family val="2"/>
      </rPr>
      <t>(</t>
    </r>
    <r>
      <rPr>
        <b/>
        <i/>
        <sz val="9"/>
        <rFont val="Arial"/>
        <family val="2"/>
      </rPr>
      <t>77.5</t>
    </r>
    <r>
      <rPr>
        <b/>
        <sz val="9"/>
        <rFont val="Arial"/>
        <family val="2"/>
      </rPr>
      <t>%)</t>
    </r>
  </si>
  <si>
    <t>Target(65Mins)</t>
  </si>
  <si>
    <t>Carib</t>
  </si>
  <si>
    <t>.</t>
  </si>
  <si>
    <t>Cooling Temperatures</t>
  </si>
  <si>
    <t>RU 5</t>
  </si>
  <si>
    <t>Brew No.</t>
  </si>
  <si>
    <t>Alcohol Temp.</t>
  </si>
  <si>
    <t>Start</t>
  </si>
  <si>
    <t>End</t>
  </si>
  <si>
    <t>Stag</t>
  </si>
  <si>
    <t>Guinn</t>
  </si>
  <si>
    <t>Vitamalt</t>
  </si>
  <si>
    <t>Maximalt</t>
  </si>
  <si>
    <t>Mackeson</t>
  </si>
  <si>
    <t>MaltaCarib</t>
  </si>
  <si>
    <t>Filtration</t>
  </si>
  <si>
    <t>GFE/ Prim</t>
  </si>
  <si>
    <t>Without VitaMalt adjustment</t>
  </si>
  <si>
    <t>Filtration Throughput</t>
  </si>
  <si>
    <t>StarMalt</t>
  </si>
  <si>
    <t>Bad Dog</t>
  </si>
  <si>
    <t>TARGET</t>
  </si>
  <si>
    <t>BRANDS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</si>
  <si>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</si>
  <si>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</si>
  <si>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</si>
  <si>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</si>
  <si>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</si>
  <si>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</si>
  <si>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</si>
  <si>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</si>
  <si>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</si>
  <si>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</si>
  <si>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Guinness</t>
  </si>
  <si>
    <t xml:space="preserve">Maximalt </t>
  </si>
  <si>
    <t>Star Malt</t>
  </si>
  <si>
    <t>OVERALL</t>
  </si>
  <si>
    <t>PROCESS VOLUME LOSSES</t>
  </si>
  <si>
    <t>PROCESS VOLUME EXTRACT</t>
  </si>
  <si>
    <t xml:space="preserve">BREWER PERFORMANCE MTD </t>
  </si>
  <si>
    <t>NAME</t>
  </si>
  <si>
    <t>LAST BREW</t>
  </si>
  <si>
    <t>KEIRAN BENJAMIN</t>
  </si>
  <si>
    <t>JOHNNY GREENIDGE</t>
  </si>
  <si>
    <t>JAMES GRANT</t>
  </si>
  <si>
    <t>RODNEY REGIS</t>
  </si>
  <si>
    <t xml:space="preserve">    OVERALL MONTHLY PROGRESSION</t>
  </si>
  <si>
    <t>TARGET OF 98%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</si>
  <si>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</si>
  <si>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</si>
  <si>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</si>
  <si>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</si>
  <si>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</si>
  <si>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</si>
  <si>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</si>
  <si>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</si>
  <si>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</si>
  <si>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</si>
  <si>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</si>
  <si>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</si>
  <si>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PROGESSION GRAPH</t>
  </si>
  <si>
    <t>Cooling  Time</t>
  </si>
  <si>
    <t>Hurricane Reef</t>
  </si>
  <si>
    <t>Actual Pilsen Malt</t>
  </si>
  <si>
    <t>HURRICANE REEF</t>
  </si>
  <si>
    <t>HR</t>
  </si>
  <si>
    <t>Daily Brewing Plan</t>
  </si>
  <si>
    <t>Total</t>
  </si>
  <si>
    <t>CARIBE</t>
  </si>
  <si>
    <t>DESEAN EMERY</t>
  </si>
  <si>
    <t xml:space="preserve">Date: </t>
  </si>
  <si>
    <t xml:space="preserve">HR- PILSNER </t>
  </si>
  <si>
    <t>HR- PISNER</t>
  </si>
  <si>
    <t>Average Brews per day</t>
  </si>
  <si>
    <t>HR- P</t>
  </si>
  <si>
    <t>MTD No. of Brews</t>
  </si>
  <si>
    <t xml:space="preserve">AVERAGE </t>
  </si>
  <si>
    <t xml:space="preserve">GEMMON MASON </t>
  </si>
  <si>
    <t>CAMULUS PHILLIP</t>
  </si>
  <si>
    <t>Boil Off /Vol.  (4-6%)</t>
  </si>
  <si>
    <t xml:space="preserve">      MTD GRAPH OCTOBER 2022</t>
  </si>
  <si>
    <t>Cast P.G. (Cellar Operator)-gravity</t>
  </si>
  <si>
    <t>BRAND</t>
  </si>
  <si>
    <t xml:space="preserve">Actual </t>
  </si>
  <si>
    <t xml:space="preserve">Brews Achieved </t>
  </si>
  <si>
    <t>HURRICANE REEF- APA</t>
  </si>
  <si>
    <t>HURRICANE REEF- IPA</t>
  </si>
  <si>
    <t>NO BREAK</t>
  </si>
  <si>
    <t xml:space="preserve"> MALT LOT: Lot 8</t>
  </si>
  <si>
    <t>Extr. Rec (79.1%)</t>
  </si>
  <si>
    <t>LOT WORT COLOUR: 3.4</t>
  </si>
  <si>
    <t xml:space="preserve">K.Hosten </t>
  </si>
  <si>
    <t xml:space="preserve">Operator </t>
  </si>
  <si>
    <t>HR- APA</t>
  </si>
  <si>
    <t>HR- IPA</t>
  </si>
  <si>
    <t>HR- Pils</t>
  </si>
  <si>
    <t>HR PILS</t>
  </si>
  <si>
    <t>HR APA</t>
  </si>
  <si>
    <t>HURRICANE REEF PILS</t>
  </si>
  <si>
    <t>1 SBF</t>
  </si>
  <si>
    <t xml:space="preserve"> MALT LOT: Lot 35</t>
  </si>
  <si>
    <t>LOT WORT COLOUR: 3.5</t>
  </si>
  <si>
    <t xml:space="preserve">May 2nd </t>
  </si>
  <si>
    <t>May 3rd</t>
  </si>
  <si>
    <t>Brews Achieved 2nd</t>
  </si>
  <si>
    <t>Brews Achieved 3rd</t>
  </si>
  <si>
    <t>Extr. Rec (78.95%)</t>
  </si>
  <si>
    <t xml:space="preserve">Poor cooling </t>
  </si>
  <si>
    <t>Spent grain rake didn't go down automatically</t>
  </si>
  <si>
    <t>Brew copper up in pre-run tank</t>
  </si>
  <si>
    <t xml:space="preserve">Extra boiled </t>
  </si>
  <si>
    <t xml:space="preserve">Heating up problem </t>
  </si>
  <si>
    <t>Compensation brews</t>
  </si>
  <si>
    <t>Compressor down</t>
  </si>
  <si>
    <t>NO BREAK- Poor cooling</t>
  </si>
  <si>
    <t>D. Emery</t>
  </si>
  <si>
    <t xml:space="preserve">Brew held up due to CIP on whirlpool </t>
  </si>
  <si>
    <t>Steam pressure low- extra boil</t>
  </si>
  <si>
    <t>Copper up in pre-run tank</t>
  </si>
  <si>
    <t>Pump keeps stopping transfer</t>
  </si>
  <si>
    <t>2 SBF</t>
  </si>
  <si>
    <t>K. Hosten</t>
  </si>
  <si>
    <t>Steam pressure low and extra boil</t>
  </si>
  <si>
    <t xml:space="preserve">Copper up pre-run tank and extra boil </t>
  </si>
  <si>
    <t>Extra boil 10mins</t>
  </si>
  <si>
    <t>NO SBF</t>
  </si>
  <si>
    <t>Brews Achieved</t>
  </si>
  <si>
    <t>Brews Achieved 9th</t>
  </si>
  <si>
    <t>10th</t>
  </si>
  <si>
    <t>Extra boil</t>
  </si>
  <si>
    <t>Copper up pre-run tank &amp; extra boil</t>
  </si>
  <si>
    <t>Brew copper in pre-run tank due to delay on previous brew &amp; 15min extra boil</t>
  </si>
  <si>
    <t xml:space="preserve">Extra boil to verfiy gravity </t>
  </si>
  <si>
    <t>Brew took 2mins in final rest</t>
  </si>
  <si>
    <t xml:space="preserve">Extra boil </t>
  </si>
  <si>
    <t xml:space="preserve">15mins extra boil to correct low gravity </t>
  </si>
  <si>
    <t>Copper up in pre-run and extra boil</t>
  </si>
  <si>
    <t>R. Regis</t>
  </si>
  <si>
    <t>G. Mason</t>
  </si>
  <si>
    <t xml:space="preserve">    </t>
  </si>
  <si>
    <t>Copper up in pre-run tank and low steam pressure</t>
  </si>
  <si>
    <t>Mash tun kept pausing during brew transferred brew to copper up in pre-run tank due to delay on previous brew</t>
  </si>
  <si>
    <t xml:space="preserve">Low steam pressure </t>
  </si>
  <si>
    <t>Brew held back due to steam issues with previous brew to avoid back up. Mashtun kept pausing during transfer to LT (compressor went down)</t>
  </si>
  <si>
    <t>Compressor went down (extra boil)</t>
  </si>
  <si>
    <t>Boiler was down causing heat up delay</t>
  </si>
  <si>
    <t>Air compressor went down</t>
  </si>
  <si>
    <t>J. Nelson</t>
  </si>
  <si>
    <t>3 BREAKS</t>
  </si>
  <si>
    <t>NO  BREAK</t>
  </si>
  <si>
    <t>T. Charles</t>
  </si>
  <si>
    <t>2  BREAKS</t>
  </si>
  <si>
    <t>LOT WORT COLOUR: 3.6</t>
  </si>
  <si>
    <t xml:space="preserve"> MALT LOT: Lot 37</t>
  </si>
  <si>
    <t>Lauter tun kept pausing + 15mins extra boil</t>
  </si>
  <si>
    <t xml:space="preserve"> 1 SBF</t>
  </si>
  <si>
    <t xml:space="preserve"> SBF</t>
  </si>
  <si>
    <t>Extra boil (10mins)</t>
  </si>
  <si>
    <t>Skip personnel arrived late for spent grain removal</t>
  </si>
  <si>
    <t>Mash tun kept pausing without any fault or alarm</t>
  </si>
  <si>
    <t xml:space="preserve">Mash tun kept pausing </t>
  </si>
  <si>
    <t xml:space="preserve"> NO SBF</t>
  </si>
  <si>
    <t xml:space="preserve">R. Regis </t>
  </si>
  <si>
    <t>May 31st, 2025</t>
  </si>
  <si>
    <t>31st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</si>
</sst>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[$-409]mmmm\ d\,\ yyyy;@"/>
    <numFmt numFmtId="166" formatCode="0.0"/>
    <numFmt numFmtId="167" formatCode="[m]"/>
    <numFmt numFmtId="168" formatCode="0.000"/>
    <numFmt numFmtId="169" formatCode="[$-409]d\-mmm;@"/>
    <numFmt numFmtId="170" formatCode="0.0%"/>
    <numFmt numFmtId="171" formatCode="#,##0.0"/>
  </numFmts>
  <fonts count="9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Tahoma"/>
      <family val="2"/>
    </font>
    <font>
      <sz val="11"/>
      <name val="Tahoma"/>
      <family val="2"/>
    </font>
    <font>
      <b/>
      <sz val="11"/>
      <color rgb="FF963634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i/>
      <u/>
      <sz val="9"/>
      <name val="Arial"/>
      <family val="2"/>
    </font>
    <font>
      <i/>
      <sz val="11"/>
      <name val="Calibri"/>
      <family val="2"/>
    </font>
    <font>
      <b/>
      <sz val="11"/>
      <name val="Tahoma"/>
      <family val="2"/>
    </font>
    <font>
      <b/>
      <u/>
      <sz val="11"/>
      <name val="Arial"/>
      <family val="2"/>
    </font>
    <font>
      <b/>
      <sz val="11"/>
      <color rgb="FF0000FF"/>
      <name val="Arial"/>
      <family val="2"/>
    </font>
    <font>
      <sz val="11"/>
      <color theme="1"/>
      <name val="Arial"/>
      <family val="2"/>
    </font>
    <font>
      <b/>
      <i/>
      <sz val="11"/>
      <name val="Arial"/>
      <family val="2"/>
    </font>
    <font>
      <b/>
      <sz val="11"/>
      <color indexed="53"/>
      <name val="Arial"/>
      <family val="2"/>
    </font>
    <font>
      <sz val="11"/>
      <color theme="0"/>
      <name val="Arial"/>
      <family val="2"/>
    </font>
    <font>
      <i/>
      <sz val="11"/>
      <color theme="1"/>
      <name val="Arial"/>
      <family val="2"/>
    </font>
    <font>
      <b/>
      <sz val="11"/>
      <color indexed="12"/>
      <name val="Arial"/>
      <family val="2"/>
    </font>
    <font>
      <b/>
      <sz val="11"/>
      <color indexed="17"/>
      <name val="Arial"/>
      <family val="2"/>
    </font>
    <font>
      <b/>
      <sz val="11"/>
      <color indexed="10"/>
      <name val="Arial"/>
      <family val="2"/>
    </font>
    <font>
      <b/>
      <sz val="11"/>
      <color indexed="20"/>
      <name val="Arial"/>
      <family val="2"/>
    </font>
    <font>
      <b/>
      <sz val="11"/>
      <color indexed="16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 Narrow"/>
      <family val="2"/>
    </font>
    <font>
      <b/>
      <sz val="11"/>
      <color theme="2" tint="-0.89999084444715716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2" tint="-0.89999084444715716"/>
      <name val="Arial"/>
      <family val="2"/>
    </font>
    <font>
      <sz val="12"/>
      <name val="Tahoma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9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FF0000"/>
      <name val="Arial"/>
      <family val="2"/>
    </font>
    <font>
      <b/>
      <sz val="10"/>
      <color indexed="17"/>
      <name val="Arial"/>
      <family val="2"/>
    </font>
    <font>
      <b/>
      <sz val="10"/>
      <color indexed="10"/>
      <name val="Arial"/>
      <family val="2"/>
    </font>
    <font>
      <b/>
      <sz val="10"/>
      <color indexed="16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12"/>
      <name val="Arial"/>
      <family val="2"/>
    </font>
    <font>
      <b/>
      <sz val="10"/>
      <color theme="1"/>
      <name val="Arial"/>
      <family val="2"/>
    </font>
    <font>
      <b/>
      <sz val="10"/>
      <color indexed="53"/>
      <name val="Arial"/>
      <family val="2"/>
    </font>
    <font>
      <b/>
      <sz val="10"/>
      <color indexed="20"/>
      <name val="Arial"/>
      <family val="2"/>
    </font>
    <font>
      <b/>
      <sz val="9"/>
      <color indexed="63"/>
      <name val="Arial"/>
      <family val="2"/>
    </font>
    <font>
      <sz val="10"/>
      <color indexed="10"/>
      <name val="Arial"/>
      <family val="2"/>
    </font>
    <font>
      <b/>
      <sz val="8"/>
      <name val="Arial"/>
      <family val="2"/>
    </font>
    <font>
      <b/>
      <sz val="8"/>
      <color theme="2" tint="-0.89999084444715716"/>
      <name val="Arial"/>
      <family val="2"/>
    </font>
    <font>
      <sz val="10"/>
      <color theme="2" tint="-0.89999084444715716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8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BankGothic Lt BT"/>
      <family val="2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color theme="0"/>
      <name val="BankGothic Md BT"/>
      <family val="2"/>
    </font>
    <font>
      <b/>
      <i/>
      <sz val="14"/>
      <color theme="0"/>
      <name val="Calibri"/>
      <family val="2"/>
      <scheme val="minor"/>
    </font>
    <font>
      <sz val="16"/>
      <color theme="1"/>
      <name val="BankGothic Md BT"/>
      <family val="2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Arial"/>
      <family val="2"/>
    </font>
    <font>
      <b/>
      <sz val="11"/>
      <color rgb="FFCC66FF"/>
      <name val="Arial"/>
      <family val="2"/>
    </font>
    <font>
      <b/>
      <sz val="11"/>
      <color rgb="FFFFC000"/>
      <name val="Arial"/>
      <family val="2"/>
    </font>
    <font>
      <b/>
      <sz val="11"/>
      <color rgb="FFFF0000"/>
      <name val="Arial"/>
      <family val="2"/>
    </font>
    <font>
      <b/>
      <sz val="11"/>
      <color rgb="FF008200"/>
      <name val="Arial"/>
      <family val="2"/>
    </font>
    <font>
      <b/>
      <sz val="11"/>
      <color rgb="FF00B050"/>
      <name val="Arial"/>
      <family val="2"/>
    </font>
    <font>
      <b/>
      <sz val="11"/>
      <color theme="8" tint="0.39997558519241921"/>
      <name val="Arial"/>
      <family val="2"/>
    </font>
    <font>
      <b/>
      <sz val="11"/>
      <color rgb="FFFF66FF"/>
      <name val="Arial"/>
      <family val="2"/>
    </font>
    <font>
      <b/>
      <sz val="11"/>
      <color theme="9" tint="0.39997558519241921"/>
      <name val="Arial"/>
      <family val="2"/>
    </font>
    <font>
      <b/>
      <sz val="11"/>
      <color rgb="FFC00000"/>
      <name val="Arial"/>
      <family val="2"/>
    </font>
    <font>
      <b/>
      <sz val="11"/>
      <color theme="9" tint="-0.249977111117893"/>
      <name val="Arial"/>
      <family val="2"/>
    </font>
    <font>
      <b/>
      <sz val="11"/>
      <color theme="5"/>
      <name val="Arial"/>
      <family val="2"/>
    </font>
    <font>
      <b/>
      <sz val="12"/>
      <color indexed="81"/>
      <name val="Tahoma"/>
      <family val="2"/>
    </font>
    <font>
      <sz val="12"/>
      <color indexed="81"/>
      <name val="Tahoma"/>
      <family val="2"/>
    </font>
  </fonts>
  <fills count="2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 style="mediumDashed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theme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1">
    <xf numFmtId="165" fontId="0" fillId="0" borderId="0"/>
    <xf numFmtId="164" fontId="7" fillId="0" borderId="0" applyFont="0" applyFill="0" applyBorder="0" applyAlignment="0" applyProtection="0"/>
    <xf numFmtId="0" fontId="5" fillId="2" borderId="0" applyNumberFormat="0" applyBorder="0" applyAlignment="0" applyProtection="0"/>
    <xf numFmtId="165" fontId="7" fillId="0" borderId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586">
    <xf numFmtId="165" fontId="0" fillId="0" borderId="0" xfId="0"/>
    <xf numFmtId="165" fontId="9" fillId="0" borderId="0" xfId="3" applyFont="1"/>
    <xf numFmtId="165" fontId="9" fillId="0" borderId="0" xfId="3" applyFont="1" applyAlignment="1">
      <alignment wrapText="1"/>
    </xf>
    <xf numFmtId="165" fontId="10" fillId="3" borderId="1" xfId="0" applyFont="1" applyFill="1" applyBorder="1"/>
    <xf numFmtId="165" fontId="11" fillId="0" borderId="0" xfId="3" applyFont="1" applyAlignment="1">
      <alignment horizontal="center" wrapText="1"/>
    </xf>
    <xf numFmtId="165" fontId="12" fillId="0" borderId="0" xfId="3" applyFont="1"/>
    <xf numFmtId="165" fontId="8" fillId="0" borderId="0" xfId="3" applyFont="1" applyAlignment="1">
      <alignment wrapText="1"/>
    </xf>
    <xf numFmtId="166" fontId="10" fillId="3" borderId="1" xfId="0" applyNumberFormat="1" applyFont="1" applyFill="1" applyBorder="1"/>
    <xf numFmtId="166" fontId="10" fillId="3" borderId="2" xfId="0" applyNumberFormat="1" applyFont="1" applyFill="1" applyBorder="1"/>
    <xf numFmtId="167" fontId="9" fillId="3" borderId="1" xfId="3" applyNumberFormat="1" applyFont="1" applyFill="1" applyBorder="1" applyAlignment="1">
      <alignment horizontal="right"/>
    </xf>
    <xf numFmtId="167" fontId="9" fillId="3" borderId="1" xfId="3" applyNumberFormat="1" applyFont="1" applyFill="1" applyBorder="1" applyAlignment="1">
      <alignment horizontal="right" vertical="center"/>
    </xf>
    <xf numFmtId="166" fontId="8" fillId="0" borderId="0" xfId="3" applyNumberFormat="1" applyFont="1"/>
    <xf numFmtId="165" fontId="9" fillId="0" borderId="0" xfId="3" applyFont="1" applyAlignment="1">
      <alignment horizontal="center" wrapText="1"/>
    </xf>
    <xf numFmtId="165" fontId="9" fillId="0" borderId="0" xfId="3" applyFont="1" applyAlignment="1">
      <alignment vertical="center"/>
    </xf>
    <xf numFmtId="165" fontId="17" fillId="0" borderId="1" xfId="3" applyFont="1" applyBorder="1"/>
    <xf numFmtId="165" fontId="18" fillId="0" borderId="0" xfId="3" applyFont="1"/>
    <xf numFmtId="1" fontId="8" fillId="0" borderId="0" xfId="3" applyNumberFormat="1" applyFont="1" applyAlignment="1">
      <alignment horizontal="center" wrapText="1"/>
    </xf>
    <xf numFmtId="165" fontId="9" fillId="5" borderId="7" xfId="3" applyFont="1" applyFill="1" applyBorder="1" applyAlignment="1">
      <alignment horizontal="center" vertical="center" wrapText="1"/>
    </xf>
    <xf numFmtId="165" fontId="8" fillId="0" borderId="9" xfId="3" applyFont="1" applyBorder="1" applyAlignment="1">
      <alignment horizontal="center"/>
    </xf>
    <xf numFmtId="20" fontId="9" fillId="0" borderId="0" xfId="3" applyNumberFormat="1" applyFont="1"/>
    <xf numFmtId="165" fontId="9" fillId="0" borderId="11" xfId="3" applyFont="1" applyBorder="1" applyAlignment="1">
      <alignment horizontal="center" vertical="top" wrapText="1"/>
    </xf>
    <xf numFmtId="165" fontId="9" fillId="5" borderId="11" xfId="3" applyFont="1" applyFill="1" applyBorder="1" applyAlignment="1">
      <alignment horizontal="center" vertical="top" wrapText="1"/>
    </xf>
    <xf numFmtId="165" fontId="23" fillId="0" borderId="13" xfId="3" applyFont="1" applyBorder="1" applyAlignment="1">
      <alignment horizontal="left"/>
    </xf>
    <xf numFmtId="2" fontId="9" fillId="0" borderId="0" xfId="3" applyNumberFormat="1" applyFont="1"/>
    <xf numFmtId="165" fontId="9" fillId="0" borderId="20" xfId="3" applyFont="1" applyBorder="1" applyAlignment="1">
      <alignment horizontal="left"/>
    </xf>
    <xf numFmtId="165" fontId="9" fillId="0" borderId="21" xfId="3" applyFont="1" applyBorder="1" applyAlignment="1">
      <alignment horizontal="center"/>
    </xf>
    <xf numFmtId="165" fontId="9" fillId="0" borderId="21" xfId="3" applyFont="1" applyBorder="1" applyAlignment="1">
      <alignment horizontal="center" wrapText="1"/>
    </xf>
    <xf numFmtId="165" fontId="9" fillId="0" borderId="22" xfId="3" applyFont="1" applyBorder="1" applyAlignment="1">
      <alignment horizontal="center"/>
    </xf>
    <xf numFmtId="165" fontId="24" fillId="0" borderId="0" xfId="3" applyFont="1"/>
    <xf numFmtId="165" fontId="26" fillId="0" borderId="13" xfId="3" applyFont="1" applyBorder="1" applyAlignment="1">
      <alignment horizontal="left"/>
    </xf>
    <xf numFmtId="166" fontId="8" fillId="0" borderId="15" xfId="3" applyNumberFormat="1" applyFont="1" applyBorder="1"/>
    <xf numFmtId="166" fontId="8" fillId="0" borderId="0" xfId="3" applyNumberFormat="1" applyFont="1" applyAlignment="1">
      <alignment wrapText="1"/>
    </xf>
    <xf numFmtId="2" fontId="8" fillId="0" borderId="0" xfId="3" quotePrefix="1" applyNumberFormat="1" applyFont="1" applyAlignment="1">
      <alignment horizontal="center"/>
    </xf>
    <xf numFmtId="165" fontId="27" fillId="0" borderId="13" xfId="3" applyFont="1" applyBorder="1"/>
    <xf numFmtId="165" fontId="28" fillId="0" borderId="13" xfId="3" applyFont="1" applyBorder="1"/>
    <xf numFmtId="165" fontId="29" fillId="0" borderId="13" xfId="3" applyFont="1" applyBorder="1"/>
    <xf numFmtId="165" fontId="30" fillId="0" borderId="13" xfId="3" applyFont="1" applyBorder="1" applyAlignment="1">
      <alignment horizontal="left"/>
    </xf>
    <xf numFmtId="165" fontId="13" fillId="0" borderId="13" xfId="3" applyFont="1" applyBorder="1"/>
    <xf numFmtId="165" fontId="32" fillId="0" borderId="31" xfId="3" applyFont="1" applyBorder="1"/>
    <xf numFmtId="166" fontId="8" fillId="0" borderId="0" xfId="3" applyNumberFormat="1" applyFont="1" applyAlignment="1">
      <alignment horizontal="right"/>
    </xf>
    <xf numFmtId="166" fontId="8" fillId="4" borderId="0" xfId="3" applyNumberFormat="1" applyFont="1" applyFill="1"/>
    <xf numFmtId="2" fontId="8" fillId="0" borderId="0" xfId="3" applyNumberFormat="1" applyFont="1" applyAlignment="1">
      <alignment horizontal="center"/>
    </xf>
    <xf numFmtId="2" fontId="9" fillId="0" borderId="0" xfId="3" applyNumberFormat="1" applyFont="1" applyAlignment="1">
      <alignment horizontal="center"/>
    </xf>
    <xf numFmtId="166" fontId="9" fillId="0" borderId="0" xfId="3" applyNumberFormat="1" applyFont="1" applyAlignment="1">
      <alignment horizontal="center"/>
    </xf>
    <xf numFmtId="2" fontId="24" fillId="0" borderId="0" xfId="3" applyNumberFormat="1" applyFont="1"/>
    <xf numFmtId="165" fontId="13" fillId="0" borderId="0" xfId="3" applyFont="1"/>
    <xf numFmtId="2" fontId="33" fillId="0" borderId="0" xfId="3" applyNumberFormat="1" applyFont="1" applyAlignment="1">
      <alignment horizontal="center"/>
    </xf>
    <xf numFmtId="165" fontId="8" fillId="0" borderId="4" xfId="3" applyFont="1" applyBorder="1" applyAlignment="1">
      <alignment horizontal="center"/>
    </xf>
    <xf numFmtId="165" fontId="8" fillId="0" borderId="0" xfId="3" applyFont="1" applyAlignment="1">
      <alignment horizontal="center"/>
    </xf>
    <xf numFmtId="165" fontId="8" fillId="0" borderId="0" xfId="3" applyFont="1" applyAlignment="1">
      <alignment horizontal="center" wrapText="1"/>
    </xf>
    <xf numFmtId="165" fontId="9" fillId="0" borderId="0" xfId="3" applyFont="1" applyAlignment="1">
      <alignment horizontal="center" vertical="center" wrapText="1"/>
    </xf>
    <xf numFmtId="169" fontId="34" fillId="0" borderId="41" xfId="0" applyNumberFormat="1" applyFont="1" applyBorder="1" applyAlignment="1">
      <alignment horizontal="center" vertical="center"/>
    </xf>
    <xf numFmtId="170" fontId="8" fillId="0" borderId="42" xfId="4" applyNumberFormat="1" applyFont="1" applyBorder="1" applyAlignment="1">
      <alignment horizontal="center" vertical="center"/>
    </xf>
    <xf numFmtId="2" fontId="31" fillId="0" borderId="2" xfId="3" applyNumberFormat="1" applyFont="1" applyBorder="1" applyAlignment="1">
      <alignment horizontal="center" vertical="center"/>
    </xf>
    <xf numFmtId="165" fontId="8" fillId="0" borderId="0" xfId="3" applyFont="1" applyAlignment="1">
      <alignment horizontal="center" vertical="center"/>
    </xf>
    <xf numFmtId="165" fontId="9" fillId="0" borderId="43" xfId="3" applyFont="1" applyBorder="1" applyAlignment="1">
      <alignment vertical="center" wrapText="1"/>
    </xf>
    <xf numFmtId="165" fontId="9" fillId="0" borderId="0" xfId="3" applyFont="1" applyAlignment="1">
      <alignment vertical="center" wrapText="1"/>
    </xf>
    <xf numFmtId="170" fontId="8" fillId="0" borderId="0" xfId="3" applyNumberFormat="1" applyFont="1" applyAlignment="1">
      <alignment horizontal="center" vertical="center"/>
    </xf>
    <xf numFmtId="165" fontId="9" fillId="0" borderId="44" xfId="3" applyFont="1" applyBorder="1" applyAlignment="1">
      <alignment horizontal="center" shrinkToFit="1"/>
    </xf>
    <xf numFmtId="165" fontId="9" fillId="0" borderId="45" xfId="3" applyFont="1" applyBorder="1" applyAlignment="1">
      <alignment horizontal="center" shrinkToFit="1"/>
    </xf>
    <xf numFmtId="165" fontId="9" fillId="0" borderId="0" xfId="3" applyFont="1" applyAlignment="1">
      <alignment horizontal="center" wrapText="1" shrinkToFit="1"/>
    </xf>
    <xf numFmtId="165" fontId="9" fillId="0" borderId="50" xfId="3" applyFont="1" applyBorder="1" applyAlignment="1">
      <alignment horizontal="left"/>
    </xf>
    <xf numFmtId="165" fontId="9" fillId="0" borderId="10" xfId="3" applyFont="1" applyBorder="1" applyAlignment="1">
      <alignment horizontal="left"/>
    </xf>
    <xf numFmtId="165" fontId="9" fillId="0" borderId="12" xfId="3" applyFont="1" applyBorder="1" applyAlignment="1">
      <alignment horizontal="left"/>
    </xf>
    <xf numFmtId="165" fontId="9" fillId="0" borderId="0" xfId="3" applyFont="1" applyAlignment="1">
      <alignment horizontal="left" wrapText="1"/>
    </xf>
    <xf numFmtId="2" fontId="35" fillId="0" borderId="1" xfId="3" applyNumberFormat="1" applyFont="1" applyBorder="1" applyAlignment="1">
      <alignment horizontal="right"/>
    </xf>
    <xf numFmtId="166" fontId="8" fillId="0" borderId="15" xfId="3" applyNumberFormat="1" applyFont="1" applyBorder="1" applyAlignment="1">
      <alignment horizontal="right"/>
    </xf>
    <xf numFmtId="170" fontId="31" fillId="0" borderId="1" xfId="3" applyNumberFormat="1" applyFont="1" applyBorder="1" applyAlignment="1">
      <alignment horizontal="right"/>
    </xf>
    <xf numFmtId="9" fontId="8" fillId="0" borderId="15" xfId="3" applyNumberFormat="1" applyFont="1" applyBorder="1" applyAlignment="1">
      <alignment horizontal="right"/>
    </xf>
    <xf numFmtId="9" fontId="8" fillId="0" borderId="0" xfId="3" applyNumberFormat="1" applyFont="1" applyAlignment="1">
      <alignment horizontal="right" wrapText="1"/>
    </xf>
    <xf numFmtId="166" fontId="8" fillId="0" borderId="51" xfId="3" applyNumberFormat="1" applyFont="1" applyBorder="1" applyAlignment="1">
      <alignment horizontal="right"/>
    </xf>
    <xf numFmtId="9" fontId="8" fillId="0" borderId="51" xfId="3" applyNumberFormat="1" applyFont="1" applyBorder="1" applyAlignment="1">
      <alignment horizontal="right"/>
    </xf>
    <xf numFmtId="166" fontId="8" fillId="0" borderId="36" xfId="3" applyNumberFormat="1" applyFont="1" applyBorder="1" applyAlignment="1">
      <alignment horizontal="right"/>
    </xf>
    <xf numFmtId="2" fontId="9" fillId="0" borderId="31" xfId="3" applyNumberFormat="1" applyFont="1" applyBorder="1" applyAlignment="1">
      <alignment horizontal="right"/>
    </xf>
    <xf numFmtId="165" fontId="8" fillId="0" borderId="0" xfId="3" applyFont="1" applyAlignment="1">
      <alignment horizontal="right"/>
    </xf>
    <xf numFmtId="165" fontId="8" fillId="0" borderId="0" xfId="3" applyFont="1" applyAlignment="1">
      <alignment horizontal="right" wrapText="1"/>
    </xf>
    <xf numFmtId="2" fontId="38" fillId="0" borderId="1" xfId="3" applyNumberFormat="1" applyFont="1" applyBorder="1" applyAlignment="1">
      <alignment horizontal="right"/>
    </xf>
    <xf numFmtId="165" fontId="9" fillId="0" borderId="37" xfId="3" applyFont="1" applyBorder="1" applyAlignment="1">
      <alignment vertical="center"/>
    </xf>
    <xf numFmtId="165" fontId="7" fillId="0" borderId="0" xfId="3"/>
    <xf numFmtId="165" fontId="39" fillId="0" borderId="0" xfId="3" applyFont="1"/>
    <xf numFmtId="165" fontId="40" fillId="0" borderId="6" xfId="3" applyFont="1" applyBorder="1" applyAlignment="1">
      <alignment horizontal="center" vertical="center" wrapText="1"/>
    </xf>
    <xf numFmtId="165" fontId="14" fillId="0" borderId="6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2" fillId="0" borderId="10" xfId="3" applyFont="1" applyBorder="1" applyAlignment="1">
      <alignment horizontal="center" vertical="center" wrapText="1"/>
    </xf>
    <xf numFmtId="165" fontId="40" fillId="0" borderId="11" xfId="3" applyFont="1" applyBorder="1" applyAlignment="1">
      <alignment horizontal="center" vertical="center" wrapText="1"/>
    </xf>
    <xf numFmtId="165" fontId="40" fillId="0" borderId="0" xfId="3" applyFont="1" applyAlignment="1">
      <alignment horizontal="left"/>
    </xf>
    <xf numFmtId="165" fontId="43" fillId="0" borderId="13" xfId="3" applyFont="1" applyBorder="1" applyAlignment="1">
      <alignment horizontal="left"/>
    </xf>
    <xf numFmtId="16" fontId="7" fillId="0" borderId="10" xfId="3" applyNumberFormat="1" applyBorder="1" applyAlignment="1">
      <alignment horizontal="center"/>
    </xf>
    <xf numFmtId="166" fontId="44" fillId="0" borderId="1" xfId="3" applyNumberFormat="1" applyFont="1" applyBorder="1" applyAlignment="1">
      <alignment horizontal="center"/>
    </xf>
    <xf numFmtId="1" fontId="44" fillId="0" borderId="10" xfId="3" applyNumberFormat="1" applyFont="1" applyBorder="1" applyAlignment="1">
      <alignment horizontal="center"/>
    </xf>
    <xf numFmtId="166" fontId="45" fillId="0" borderId="10" xfId="3" applyNumberFormat="1" applyFont="1" applyBorder="1" applyAlignment="1">
      <alignment horizontal="center"/>
    </xf>
    <xf numFmtId="166" fontId="7" fillId="0" borderId="1" xfId="3" applyNumberFormat="1" applyBorder="1" applyAlignment="1">
      <alignment horizontal="center"/>
    </xf>
    <xf numFmtId="167" fontId="7" fillId="0" borderId="11" xfId="3" applyNumberFormat="1" applyBorder="1" applyAlignment="1">
      <alignment horizontal="center"/>
    </xf>
    <xf numFmtId="165" fontId="46" fillId="8" borderId="43" xfId="3" applyFont="1" applyFill="1" applyBorder="1" applyAlignment="1">
      <alignment horizontal="center" wrapText="1"/>
    </xf>
    <xf numFmtId="165" fontId="40" fillId="0" borderId="0" xfId="3" applyFont="1"/>
    <xf numFmtId="165" fontId="7" fillId="0" borderId="13" xfId="3" applyBorder="1"/>
    <xf numFmtId="166" fontId="7" fillId="0" borderId="0" xfId="3" applyNumberFormat="1" applyAlignment="1">
      <alignment horizontal="center"/>
    </xf>
    <xf numFmtId="165" fontId="47" fillId="8" borderId="43" xfId="3" applyFont="1" applyFill="1" applyBorder="1" applyAlignment="1">
      <alignment horizontal="center" wrapText="1"/>
    </xf>
    <xf numFmtId="165" fontId="48" fillId="0" borderId="13" xfId="3" applyFont="1" applyBorder="1"/>
    <xf numFmtId="166" fontId="7" fillId="0" borderId="0" xfId="3" applyNumberFormat="1"/>
    <xf numFmtId="165" fontId="49" fillId="0" borderId="13" xfId="3" applyFont="1" applyBorder="1"/>
    <xf numFmtId="165" fontId="50" fillId="0" borderId="52" xfId="3" applyFont="1" applyBorder="1" applyAlignment="1">
      <alignment horizontal="left"/>
    </xf>
    <xf numFmtId="15" fontId="7" fillId="0" borderId="10" xfId="3" applyNumberFormat="1" applyBorder="1" applyAlignment="1">
      <alignment horizontal="center"/>
    </xf>
    <xf numFmtId="166" fontId="7" fillId="8" borderId="1" xfId="3" applyNumberFormat="1" applyFill="1" applyBorder="1" applyAlignment="1">
      <alignment horizontal="center"/>
    </xf>
    <xf numFmtId="166" fontId="7" fillId="8" borderId="11" xfId="3" applyNumberFormat="1" applyFill="1" applyBorder="1" applyAlignment="1">
      <alignment horizontal="center"/>
    </xf>
    <xf numFmtId="165" fontId="14" fillId="8" borderId="43" xfId="3" applyFont="1" applyFill="1" applyBorder="1" applyAlignment="1">
      <alignment horizontal="center"/>
    </xf>
    <xf numFmtId="165" fontId="48" fillId="0" borderId="31" xfId="3" applyFont="1" applyBorder="1"/>
    <xf numFmtId="16" fontId="7" fillId="0" borderId="32" xfId="3" applyNumberFormat="1" applyBorder="1" applyAlignment="1">
      <alignment horizontal="center"/>
    </xf>
    <xf numFmtId="15" fontId="7" fillId="0" borderId="32" xfId="3" applyNumberFormat="1" applyBorder="1" applyAlignment="1">
      <alignment horizontal="center"/>
    </xf>
    <xf numFmtId="166" fontId="7" fillId="0" borderId="32" xfId="3" applyNumberFormat="1" applyBorder="1" applyAlignment="1">
      <alignment horizontal="center"/>
    </xf>
    <xf numFmtId="1" fontId="44" fillId="0" borderId="32" xfId="3" applyNumberFormat="1" applyFont="1" applyBorder="1" applyAlignment="1">
      <alignment horizontal="center"/>
    </xf>
    <xf numFmtId="166" fontId="45" fillId="0" borderId="32" xfId="3" applyNumberFormat="1" applyFont="1" applyBorder="1" applyAlignment="1">
      <alignment horizontal="center"/>
    </xf>
    <xf numFmtId="166" fontId="7" fillId="8" borderId="32" xfId="3" applyNumberFormat="1" applyFill="1" applyBorder="1" applyAlignment="1">
      <alignment horizontal="center"/>
    </xf>
    <xf numFmtId="166" fontId="7" fillId="8" borderId="53" xfId="3" applyNumberFormat="1" applyFill="1" applyBorder="1" applyAlignment="1">
      <alignment horizontal="center"/>
    </xf>
    <xf numFmtId="167" fontId="7" fillId="0" borderId="53" xfId="3" applyNumberFormat="1" applyBorder="1" applyAlignment="1">
      <alignment horizontal="center"/>
    </xf>
    <xf numFmtId="165" fontId="51" fillId="0" borderId="54" xfId="3" applyFont="1" applyBorder="1" applyAlignment="1">
      <alignment horizontal="center"/>
    </xf>
    <xf numFmtId="165" fontId="7" fillId="0" borderId="0" xfId="3" applyAlignment="1">
      <alignment horizontal="center"/>
    </xf>
    <xf numFmtId="15" fontId="7" fillId="0" borderId="0" xfId="3" applyNumberFormat="1" applyAlignment="1">
      <alignment horizontal="center"/>
    </xf>
    <xf numFmtId="166" fontId="52" fillId="0" borderId="0" xfId="3" applyNumberFormat="1" applyFont="1" applyAlignment="1">
      <alignment horizontal="center"/>
    </xf>
    <xf numFmtId="2" fontId="7" fillId="0" borderId="0" xfId="3" applyNumberFormat="1" applyAlignment="1">
      <alignment horizontal="center"/>
    </xf>
    <xf numFmtId="166" fontId="40" fillId="0" borderId="33" xfId="3" applyNumberFormat="1" applyFont="1" applyBorder="1"/>
    <xf numFmtId="165" fontId="51" fillId="0" borderId="0" xfId="3" applyFont="1" applyAlignment="1">
      <alignment horizontal="center"/>
    </xf>
    <xf numFmtId="166" fontId="44" fillId="0" borderId="20" xfId="3" applyNumberFormat="1" applyFont="1" applyBorder="1" applyAlignment="1">
      <alignment horizontal="center"/>
    </xf>
    <xf numFmtId="166" fontId="44" fillId="0" borderId="21" xfId="3" applyNumberFormat="1" applyFont="1" applyBorder="1" applyAlignment="1">
      <alignment horizontal="center"/>
    </xf>
    <xf numFmtId="2" fontId="40" fillId="0" borderId="0" xfId="3" applyNumberFormat="1" applyFont="1" applyAlignment="1">
      <alignment horizontal="center"/>
    </xf>
    <xf numFmtId="2" fontId="40" fillId="0" borderId="57" xfId="3" applyNumberFormat="1" applyFont="1" applyBorder="1" applyAlignment="1">
      <alignment horizontal="center"/>
    </xf>
    <xf numFmtId="166" fontId="7" fillId="0" borderId="13" xfId="3" applyNumberFormat="1" applyBorder="1" applyAlignment="1">
      <alignment horizontal="center"/>
    </xf>
    <xf numFmtId="2" fontId="7" fillId="0" borderId="1" xfId="3" applyNumberFormat="1" applyBorder="1" applyAlignment="1">
      <alignment horizontal="center"/>
    </xf>
    <xf numFmtId="165" fontId="7" fillId="0" borderId="2" xfId="3" applyBorder="1" applyAlignment="1">
      <alignment horizontal="center"/>
    </xf>
    <xf numFmtId="165" fontId="49" fillId="0" borderId="58" xfId="3" applyFont="1" applyBorder="1" applyAlignment="1">
      <alignment horizontal="center"/>
    </xf>
    <xf numFmtId="165" fontId="53" fillId="0" borderId="13" xfId="3" applyFont="1" applyBorder="1" applyAlignment="1">
      <alignment horizontal="center"/>
    </xf>
    <xf numFmtId="2" fontId="45" fillId="0" borderId="15" xfId="3" applyNumberFormat="1" applyFont="1" applyBorder="1" applyAlignment="1">
      <alignment horizontal="center"/>
    </xf>
    <xf numFmtId="2" fontId="45" fillId="0" borderId="2" xfId="3" applyNumberFormat="1" applyFont="1" applyBorder="1" applyAlignment="1">
      <alignment horizontal="center"/>
    </xf>
    <xf numFmtId="166" fontId="40" fillId="0" borderId="0" xfId="3" applyNumberFormat="1" applyFont="1" applyAlignment="1">
      <alignment horizontal="center"/>
    </xf>
    <xf numFmtId="1" fontId="7" fillId="0" borderId="58" xfId="3" applyNumberFormat="1" applyBorder="1" applyAlignment="1">
      <alignment horizontal="center"/>
    </xf>
    <xf numFmtId="166" fontId="54" fillId="0" borderId="59" xfId="3" applyNumberFormat="1" applyFont="1" applyBorder="1" applyAlignment="1">
      <alignment horizontal="center"/>
    </xf>
    <xf numFmtId="15" fontId="7" fillId="0" borderId="31" xfId="3" applyNumberFormat="1" applyBorder="1" applyAlignment="1">
      <alignment horizontal="center"/>
    </xf>
    <xf numFmtId="2" fontId="7" fillId="0" borderId="36" xfId="3" applyNumberFormat="1" applyBorder="1" applyAlignment="1">
      <alignment horizontal="center"/>
    </xf>
    <xf numFmtId="2" fontId="7" fillId="0" borderId="53" xfId="3" applyNumberFormat="1" applyBorder="1" applyAlignment="1">
      <alignment horizontal="center"/>
    </xf>
    <xf numFmtId="166" fontId="7" fillId="0" borderId="61" xfId="3" applyNumberFormat="1" applyBorder="1" applyAlignment="1">
      <alignment horizontal="center"/>
    </xf>
    <xf numFmtId="165" fontId="40" fillId="0" borderId="20" xfId="3" applyFont="1" applyBorder="1" applyAlignment="1">
      <alignment horizontal="left"/>
    </xf>
    <xf numFmtId="165" fontId="40" fillId="0" borderId="21" xfId="3" applyFont="1" applyBorder="1" applyAlignment="1">
      <alignment horizontal="center"/>
    </xf>
    <xf numFmtId="165" fontId="40" fillId="0" borderId="56" xfId="3" applyFont="1" applyBorder="1" applyAlignment="1">
      <alignment horizontal="center"/>
    </xf>
    <xf numFmtId="165" fontId="40" fillId="0" borderId="0" xfId="3" applyFont="1" applyAlignment="1">
      <alignment horizontal="center"/>
    </xf>
    <xf numFmtId="166" fontId="7" fillId="0" borderId="1" xfId="3" applyNumberFormat="1" applyBorder="1" applyAlignment="1">
      <alignment horizontal="right"/>
    </xf>
    <xf numFmtId="166" fontId="40" fillId="0" borderId="1" xfId="3" applyNumberFormat="1" applyFont="1" applyBorder="1" applyAlignment="1">
      <alignment horizontal="right"/>
    </xf>
    <xf numFmtId="166" fontId="7" fillId="0" borderId="59" xfId="3" applyNumberFormat="1" applyBorder="1"/>
    <xf numFmtId="165" fontId="55" fillId="0" borderId="13" xfId="3" applyFont="1" applyBorder="1" applyAlignment="1">
      <alignment horizontal="left"/>
    </xf>
    <xf numFmtId="166" fontId="54" fillId="0" borderId="1" xfId="3" applyNumberFormat="1" applyFont="1" applyBorder="1" applyAlignment="1">
      <alignment horizontal="right"/>
    </xf>
    <xf numFmtId="165" fontId="56" fillId="0" borderId="13" xfId="3" applyFont="1" applyBorder="1"/>
    <xf numFmtId="166" fontId="40" fillId="0" borderId="1" xfId="3" applyNumberFormat="1" applyFont="1" applyBorder="1"/>
    <xf numFmtId="166" fontId="45" fillId="0" borderId="1" xfId="3" applyNumberFormat="1" applyFont="1" applyBorder="1" applyAlignment="1">
      <alignment horizontal="right"/>
    </xf>
    <xf numFmtId="166" fontId="54" fillId="0" borderId="14" xfId="3" applyNumberFormat="1" applyFont="1" applyBorder="1"/>
    <xf numFmtId="165" fontId="57" fillId="0" borderId="31" xfId="3" applyFont="1" applyBorder="1"/>
    <xf numFmtId="166" fontId="7" fillId="0" borderId="32" xfId="3" applyNumberFormat="1" applyBorder="1" applyAlignment="1">
      <alignment horizontal="right"/>
    </xf>
    <xf numFmtId="166" fontId="40" fillId="0" borderId="14" xfId="3" applyNumberFormat="1" applyFont="1" applyBorder="1"/>
    <xf numFmtId="166" fontId="7" fillId="0" borderId="60" xfId="3" applyNumberFormat="1" applyBorder="1"/>
    <xf numFmtId="165" fontId="57" fillId="0" borderId="0" xfId="3" applyFont="1"/>
    <xf numFmtId="166" fontId="7" fillId="0" borderId="0" xfId="3" applyNumberFormat="1" applyAlignment="1">
      <alignment horizontal="right"/>
    </xf>
    <xf numFmtId="16" fontId="7" fillId="0" borderId="10" xfId="3" applyNumberFormat="1" applyBorder="1" applyAlignment="1">
      <alignment horizontal="center" vertical="center"/>
    </xf>
    <xf numFmtId="15" fontId="7" fillId="0" borderId="6" xfId="3" applyNumberFormat="1" applyBorder="1" applyAlignment="1">
      <alignment vertical="center"/>
    </xf>
    <xf numFmtId="2" fontId="7" fillId="0" borderId="1" xfId="3" applyNumberFormat="1" applyBorder="1" applyAlignment="1">
      <alignment horizontal="right" vertical="center"/>
    </xf>
    <xf numFmtId="166" fontId="7" fillId="0" borderId="1" xfId="3" applyNumberFormat="1" applyBorder="1" applyAlignment="1">
      <alignment horizontal="center" vertical="center"/>
    </xf>
    <xf numFmtId="170" fontId="7" fillId="0" borderId="6" xfId="3" applyNumberFormat="1" applyBorder="1" applyAlignment="1">
      <alignment vertical="center"/>
    </xf>
    <xf numFmtId="165" fontId="40" fillId="0" borderId="23" xfId="3" applyFont="1" applyBorder="1" applyAlignment="1">
      <alignment vertical="center" wrapText="1"/>
    </xf>
    <xf numFmtId="165" fontId="58" fillId="0" borderId="0" xfId="3" applyFont="1"/>
    <xf numFmtId="15" fontId="7" fillId="0" borderId="1" xfId="3" applyNumberFormat="1" applyBorder="1" applyAlignment="1">
      <alignment horizontal="center" vertical="center"/>
    </xf>
    <xf numFmtId="165" fontId="7" fillId="0" borderId="1" xfId="3" applyBorder="1"/>
    <xf numFmtId="165" fontId="59" fillId="0" borderId="43" xfId="3" applyFont="1" applyBorder="1" applyAlignment="1">
      <alignment vertical="center" wrapText="1"/>
    </xf>
    <xf numFmtId="2" fontId="7" fillId="0" borderId="1" xfId="3" applyNumberFormat="1" applyBorder="1" applyAlignment="1">
      <alignment horizontal="center" vertical="center"/>
    </xf>
    <xf numFmtId="2" fontId="7" fillId="0" borderId="1" xfId="3" applyNumberFormat="1" applyBorder="1" applyAlignment="1">
      <alignment horizontal="right"/>
    </xf>
    <xf numFmtId="165" fontId="40" fillId="0" borderId="43" xfId="3" applyFont="1" applyBorder="1" applyAlignment="1">
      <alignment vertical="center" wrapText="1"/>
    </xf>
    <xf numFmtId="165" fontId="52" fillId="0" borderId="13" xfId="3" applyFont="1" applyBorder="1"/>
    <xf numFmtId="165" fontId="52" fillId="0" borderId="52" xfId="3" applyFont="1" applyBorder="1"/>
    <xf numFmtId="165" fontId="7" fillId="0" borderId="14" xfId="3" applyBorder="1"/>
    <xf numFmtId="166" fontId="7" fillId="0" borderId="14" xfId="3" applyNumberFormat="1" applyBorder="1" applyAlignment="1">
      <alignment horizontal="right"/>
    </xf>
    <xf numFmtId="165" fontId="40" fillId="0" borderId="66" xfId="3" applyFont="1" applyBorder="1" applyAlignment="1">
      <alignment vertical="center" wrapText="1"/>
    </xf>
    <xf numFmtId="165" fontId="40" fillId="0" borderId="31" xfId="3" applyFont="1" applyBorder="1" applyAlignment="1">
      <alignment horizontal="center" shrinkToFit="1"/>
    </xf>
    <xf numFmtId="165" fontId="7" fillId="0" borderId="32" xfId="3" applyBorder="1" applyAlignment="1">
      <alignment horizontal="center"/>
    </xf>
    <xf numFmtId="15" fontId="7" fillId="0" borderId="39" xfId="3" applyNumberFormat="1" applyBorder="1"/>
    <xf numFmtId="165" fontId="7" fillId="0" borderId="32" xfId="3" applyBorder="1"/>
    <xf numFmtId="165" fontId="7" fillId="0" borderId="32" xfId="3" applyBorder="1" applyAlignment="1">
      <alignment horizontal="right"/>
    </xf>
    <xf numFmtId="165" fontId="40" fillId="0" borderId="54" xfId="3" applyFont="1" applyBorder="1" applyAlignment="1">
      <alignment vertical="center" wrapText="1"/>
    </xf>
    <xf numFmtId="165" fontId="40" fillId="0" borderId="0" xfId="3" applyFont="1" applyAlignment="1">
      <alignment horizontal="center" shrinkToFit="1"/>
    </xf>
    <xf numFmtId="165" fontId="40" fillId="0" borderId="0" xfId="3" applyFont="1" applyAlignment="1">
      <alignment vertical="center" wrapText="1"/>
    </xf>
    <xf numFmtId="165" fontId="38" fillId="0" borderId="50" xfId="3" applyFont="1" applyBorder="1" applyAlignment="1">
      <alignment horizontal="left"/>
    </xf>
    <xf numFmtId="165" fontId="38" fillId="0" borderId="10" xfId="3" applyFont="1" applyBorder="1" applyAlignment="1">
      <alignment horizontal="left"/>
    </xf>
    <xf numFmtId="165" fontId="38" fillId="0" borderId="12" xfId="3" applyFont="1" applyBorder="1" applyAlignment="1">
      <alignment horizontal="left"/>
    </xf>
    <xf numFmtId="165" fontId="40" fillId="0" borderId="10" xfId="3" applyFont="1" applyBorder="1" applyAlignment="1">
      <alignment horizontal="left"/>
    </xf>
    <xf numFmtId="165" fontId="40" fillId="0" borderId="12" xfId="3" applyFont="1" applyBorder="1" applyAlignment="1">
      <alignment horizontal="left"/>
    </xf>
    <xf numFmtId="2" fontId="61" fillId="0" borderId="1" xfId="4" applyNumberFormat="1" applyFont="1" applyBorder="1" applyAlignment="1">
      <alignment horizontal="right"/>
    </xf>
    <xf numFmtId="166" fontId="61" fillId="0" borderId="15" xfId="3" applyNumberFormat="1" applyFont="1" applyBorder="1" applyAlignment="1">
      <alignment horizontal="right"/>
    </xf>
    <xf numFmtId="170" fontId="7" fillId="0" borderId="52" xfId="4" applyNumberFormat="1" applyBorder="1" applyAlignment="1">
      <alignment horizontal="right" vertical="center"/>
    </xf>
    <xf numFmtId="170" fontId="54" fillId="0" borderId="1" xfId="3" applyNumberFormat="1" applyFont="1" applyBorder="1" applyAlignment="1">
      <alignment horizontal="right"/>
    </xf>
    <xf numFmtId="9" fontId="7" fillId="0" borderId="15" xfId="3" applyNumberFormat="1" applyBorder="1" applyAlignment="1">
      <alignment horizontal="right"/>
    </xf>
    <xf numFmtId="170" fontId="7" fillId="0" borderId="1" xfId="4" applyNumberFormat="1" applyBorder="1" applyAlignment="1">
      <alignment horizontal="right"/>
    </xf>
    <xf numFmtId="165" fontId="23" fillId="0" borderId="13" xfId="3" applyFont="1" applyBorder="1"/>
    <xf numFmtId="2" fontId="61" fillId="0" borderId="0" xfId="3" applyNumberFormat="1" applyFont="1" applyAlignment="1">
      <alignment horizontal="right"/>
    </xf>
    <xf numFmtId="165" fontId="30" fillId="0" borderId="52" xfId="3" applyFont="1" applyBorder="1" applyAlignment="1">
      <alignment horizontal="left"/>
    </xf>
    <xf numFmtId="166" fontId="61" fillId="0" borderId="51" xfId="3" applyNumberFormat="1" applyFont="1" applyBorder="1" applyAlignment="1">
      <alignment horizontal="right"/>
    </xf>
    <xf numFmtId="165" fontId="31" fillId="0" borderId="52" xfId="3" applyFont="1" applyBorder="1" applyAlignment="1">
      <alignment horizontal="left"/>
    </xf>
    <xf numFmtId="2" fontId="61" fillId="0" borderId="14" xfId="4" applyNumberFormat="1" applyFont="1" applyBorder="1" applyAlignment="1">
      <alignment horizontal="right"/>
    </xf>
    <xf numFmtId="170" fontId="7" fillId="0" borderId="14" xfId="4" applyNumberFormat="1" applyBorder="1" applyAlignment="1">
      <alignment horizontal="right"/>
    </xf>
    <xf numFmtId="9" fontId="7" fillId="0" borderId="51" xfId="3" applyNumberFormat="1" applyBorder="1" applyAlignment="1">
      <alignment horizontal="right"/>
    </xf>
    <xf numFmtId="2" fontId="61" fillId="0" borderId="32" xfId="3" applyNumberFormat="1" applyFont="1" applyBorder="1" applyAlignment="1">
      <alignment horizontal="right"/>
    </xf>
    <xf numFmtId="166" fontId="61" fillId="0" borderId="36" xfId="3" applyNumberFormat="1" applyFont="1" applyBorder="1" applyAlignment="1">
      <alignment horizontal="right"/>
    </xf>
    <xf numFmtId="170" fontId="7" fillId="0" borderId="32" xfId="3" applyNumberFormat="1" applyBorder="1" applyAlignment="1">
      <alignment horizontal="right"/>
    </xf>
    <xf numFmtId="9" fontId="7" fillId="0" borderId="36" xfId="3" applyNumberFormat="1" applyBorder="1" applyAlignment="1">
      <alignment horizontal="right"/>
    </xf>
    <xf numFmtId="165" fontId="61" fillId="0" borderId="0" xfId="3" applyFont="1"/>
    <xf numFmtId="165" fontId="61" fillId="0" borderId="0" xfId="3" applyFont="1" applyAlignment="1">
      <alignment horizontal="right"/>
    </xf>
    <xf numFmtId="2" fontId="38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right"/>
    </xf>
    <xf numFmtId="165" fontId="7" fillId="0" borderId="0" xfId="3" applyAlignment="1">
      <alignment horizontal="right"/>
    </xf>
    <xf numFmtId="165" fontId="62" fillId="0" borderId="0" xfId="3" applyFont="1"/>
    <xf numFmtId="165" fontId="53" fillId="0" borderId="0" xfId="0" applyFont="1"/>
    <xf numFmtId="165" fontId="53" fillId="0" borderId="0" xfId="0" applyFont="1" applyAlignment="1">
      <alignment horizontal="center"/>
    </xf>
    <xf numFmtId="165" fontId="63" fillId="3" borderId="1" xfId="0" applyFont="1" applyFill="1" applyBorder="1"/>
    <xf numFmtId="165" fontId="63" fillId="9" borderId="1" xfId="0" applyFont="1" applyFill="1" applyBorder="1" applyAlignment="1">
      <alignment horizontal="center"/>
    </xf>
    <xf numFmtId="165" fontId="0" fillId="0" borderId="0" xfId="0" applyAlignment="1">
      <alignment horizontal="center"/>
    </xf>
    <xf numFmtId="166" fontId="53" fillId="3" borderId="1" xfId="0" applyNumberFormat="1" applyFont="1" applyFill="1" applyBorder="1" applyAlignment="1">
      <alignment horizontal="center"/>
    </xf>
    <xf numFmtId="40" fontId="53" fillId="10" borderId="27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center"/>
    </xf>
    <xf numFmtId="40" fontId="53" fillId="12" borderId="27" xfId="1" applyNumberFormat="1" applyFont="1" applyFill="1" applyBorder="1" applyAlignment="1">
      <alignment horizontal="center"/>
    </xf>
    <xf numFmtId="40" fontId="53" fillId="13" borderId="27" xfId="1" applyNumberFormat="1" applyFont="1" applyFill="1" applyBorder="1" applyAlignment="1">
      <alignment horizontal="center"/>
    </xf>
    <xf numFmtId="40" fontId="53" fillId="14" borderId="27" xfId="1" applyNumberFormat="1" applyFont="1" applyFill="1" applyBorder="1" applyAlignment="1">
      <alignment horizontal="center"/>
    </xf>
    <xf numFmtId="40" fontId="53" fillId="15" borderId="27" xfId="1" applyNumberFormat="1" applyFont="1" applyFill="1" applyBorder="1" applyAlignment="1">
      <alignment horizontal="center"/>
    </xf>
    <xf numFmtId="40" fontId="53" fillId="16" borderId="27" xfId="1" applyNumberFormat="1" applyFont="1" applyFill="1" applyBorder="1" applyAlignment="1">
      <alignment horizontal="center"/>
    </xf>
    <xf numFmtId="40" fontId="53" fillId="17" borderId="27" xfId="1" applyNumberFormat="1" applyFont="1" applyFill="1" applyBorder="1" applyAlignment="1">
      <alignment horizontal="center"/>
    </xf>
    <xf numFmtId="40" fontId="53" fillId="18" borderId="27" xfId="1" applyNumberFormat="1" applyFont="1" applyFill="1" applyBorder="1" applyAlignment="1">
      <alignment horizontal="center"/>
    </xf>
    <xf numFmtId="166" fontId="63" fillId="4" borderId="1" xfId="0" applyNumberFormat="1" applyFont="1" applyFill="1" applyBorder="1" applyAlignment="1">
      <alignment horizontal="center"/>
    </xf>
    <xf numFmtId="165" fontId="63" fillId="19" borderId="1" xfId="0" applyFont="1" applyFill="1" applyBorder="1" applyAlignment="1">
      <alignment horizontal="center"/>
    </xf>
    <xf numFmtId="2" fontId="63" fillId="19" borderId="1" xfId="0" applyNumberFormat="1" applyFont="1" applyFill="1" applyBorder="1" applyAlignment="1">
      <alignment horizontal="center"/>
    </xf>
    <xf numFmtId="2" fontId="63" fillId="0" borderId="1" xfId="0" applyNumberFormat="1" applyFont="1" applyBorder="1" applyAlignment="1">
      <alignment horizontal="center"/>
    </xf>
    <xf numFmtId="165" fontId="63" fillId="9" borderId="3" xfId="0" applyFont="1" applyFill="1" applyBorder="1" applyAlignment="1">
      <alignment horizontal="center"/>
    </xf>
    <xf numFmtId="40" fontId="53" fillId="10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/>
    <xf numFmtId="40" fontId="53" fillId="12" borderId="68" xfId="1" applyNumberFormat="1" applyFont="1" applyFill="1" applyBorder="1" applyAlignment="1">
      <alignment horizontal="center"/>
    </xf>
    <xf numFmtId="2" fontId="53" fillId="0" borderId="1" xfId="0" applyNumberFormat="1" applyFont="1" applyBorder="1"/>
    <xf numFmtId="40" fontId="53" fillId="13" borderId="68" xfId="1" applyNumberFormat="1" applyFont="1" applyFill="1" applyBorder="1" applyAlignment="1">
      <alignment horizontal="center"/>
    </xf>
    <xf numFmtId="40" fontId="53" fillId="14" borderId="68" xfId="1" applyNumberFormat="1" applyFont="1" applyFill="1" applyBorder="1" applyAlignment="1">
      <alignment horizontal="center"/>
    </xf>
    <xf numFmtId="40" fontId="53" fillId="15" borderId="68" xfId="1" applyNumberFormat="1" applyFont="1" applyFill="1" applyBorder="1" applyAlignment="1">
      <alignment horizontal="center"/>
    </xf>
    <xf numFmtId="2" fontId="53" fillId="11" borderId="1" xfId="0" applyNumberFormat="1" applyFont="1" applyFill="1" applyBorder="1" applyAlignment="1">
      <alignment horizontal="right"/>
    </xf>
    <xf numFmtId="40" fontId="53" fillId="16" borderId="68" xfId="1" applyNumberFormat="1" applyFont="1" applyFill="1" applyBorder="1" applyAlignment="1">
      <alignment horizontal="center"/>
    </xf>
    <xf numFmtId="2" fontId="53" fillId="0" borderId="1" xfId="0" applyNumberFormat="1" applyFont="1" applyBorder="1" applyAlignment="1">
      <alignment horizontal="right"/>
    </xf>
    <xf numFmtId="40" fontId="53" fillId="17" borderId="68" xfId="1" applyNumberFormat="1" applyFont="1" applyFill="1" applyBorder="1" applyAlignment="1">
      <alignment horizontal="center"/>
    </xf>
    <xf numFmtId="40" fontId="53" fillId="18" borderId="68" xfId="1" applyNumberFormat="1" applyFont="1" applyFill="1" applyBorder="1" applyAlignment="1">
      <alignment horizontal="center"/>
    </xf>
    <xf numFmtId="165" fontId="63" fillId="19" borderId="3" xfId="0" applyFont="1" applyFill="1" applyBorder="1"/>
    <xf numFmtId="2" fontId="63" fillId="19" borderId="1" xfId="0" applyNumberFormat="1" applyFont="1" applyFill="1" applyBorder="1"/>
    <xf numFmtId="165" fontId="6" fillId="0" borderId="0" xfId="0" applyFont="1"/>
    <xf numFmtId="165" fontId="10" fillId="0" borderId="0" xfId="0" applyFont="1"/>
    <xf numFmtId="165" fontId="65" fillId="0" borderId="0" xfId="0" applyFont="1"/>
    <xf numFmtId="165" fontId="66" fillId="19" borderId="70" xfId="0" applyFont="1" applyFill="1" applyBorder="1" applyAlignment="1">
      <alignment vertical="center"/>
    </xf>
    <xf numFmtId="165" fontId="66" fillId="19" borderId="71" xfId="0" applyFont="1" applyFill="1" applyBorder="1" applyAlignment="1">
      <alignment vertical="center"/>
    </xf>
    <xf numFmtId="165" fontId="66" fillId="19" borderId="72" xfId="0" applyFont="1" applyFill="1" applyBorder="1" applyAlignment="1">
      <alignment vertical="center"/>
    </xf>
    <xf numFmtId="165" fontId="66" fillId="21" borderId="72" xfId="0" applyFont="1" applyFill="1" applyBorder="1" applyAlignment="1">
      <alignment vertical="center"/>
    </xf>
    <xf numFmtId="165" fontId="67" fillId="0" borderId="50" xfId="0" applyFont="1" applyBorder="1"/>
    <xf numFmtId="2" fontId="68" fillId="0" borderId="12" xfId="0" applyNumberFormat="1" applyFont="1" applyBorder="1"/>
    <xf numFmtId="2" fontId="68" fillId="0" borderId="10" xfId="0" applyNumberFormat="1" applyFont="1" applyBorder="1"/>
    <xf numFmtId="2" fontId="68" fillId="6" borderId="10" xfId="0" applyNumberFormat="1" applyFont="1" applyFill="1" applyBorder="1"/>
    <xf numFmtId="166" fontId="67" fillId="21" borderId="12" xfId="0" applyNumberFormat="1" applyFont="1" applyFill="1" applyBorder="1"/>
    <xf numFmtId="2" fontId="69" fillId="0" borderId="73" xfId="0" applyNumberFormat="1" applyFont="1" applyBorder="1"/>
    <xf numFmtId="165" fontId="67" fillId="0" borderId="13" xfId="0" applyFont="1" applyBorder="1"/>
    <xf numFmtId="165" fontId="70" fillId="20" borderId="38" xfId="0" applyFont="1" applyFill="1" applyBorder="1" applyAlignment="1">
      <alignment vertical="center"/>
    </xf>
    <xf numFmtId="2" fontId="71" fillId="20" borderId="39" xfId="0" applyNumberFormat="1" applyFont="1" applyFill="1" applyBorder="1" applyAlignment="1">
      <alignment vertical="center"/>
    </xf>
    <xf numFmtId="165" fontId="66" fillId="22" borderId="72" xfId="0" applyFont="1" applyFill="1" applyBorder="1" applyAlignment="1">
      <alignment vertical="center"/>
    </xf>
    <xf numFmtId="2" fontId="68" fillId="0" borderId="12" xfId="0" applyNumberFormat="1" applyFont="1" applyBorder="1" applyAlignment="1">
      <alignment horizontal="right" vertical="center"/>
    </xf>
    <xf numFmtId="2" fontId="74" fillId="22" borderId="12" xfId="0" applyNumberFormat="1" applyFont="1" applyFill="1" applyBorder="1"/>
    <xf numFmtId="165" fontId="70" fillId="20" borderId="31" xfId="0" applyFont="1" applyFill="1" applyBorder="1" applyAlignment="1">
      <alignment vertical="center"/>
    </xf>
    <xf numFmtId="2" fontId="71" fillId="20" borderId="32" xfId="0" applyNumberFormat="1" applyFont="1" applyFill="1" applyBorder="1" applyAlignment="1">
      <alignment vertical="center"/>
    </xf>
    <xf numFmtId="2" fontId="71" fillId="22" borderId="36" xfId="0" applyNumberFormat="1" applyFont="1" applyFill="1" applyBorder="1" applyAlignment="1">
      <alignment vertical="center"/>
    </xf>
    <xf numFmtId="165" fontId="9" fillId="0" borderId="0" xfId="3" applyFont="1" applyAlignment="1">
      <alignment horizontal="center" vertical="center"/>
    </xf>
    <xf numFmtId="1" fontId="10" fillId="3" borderId="1" xfId="0" applyNumberFormat="1" applyFont="1" applyFill="1" applyBorder="1" applyAlignment="1">
      <alignment horizontal="center"/>
    </xf>
    <xf numFmtId="166" fontId="10" fillId="3" borderId="14" xfId="0" applyNumberFormat="1" applyFont="1" applyFill="1" applyBorder="1"/>
    <xf numFmtId="165" fontId="8" fillId="0" borderId="0" xfId="3" applyFont="1"/>
    <xf numFmtId="1" fontId="8" fillId="0" borderId="1" xfId="3" applyNumberFormat="1" applyFont="1" applyBorder="1" applyAlignment="1">
      <alignment horizontal="center" vertical="center"/>
    </xf>
    <xf numFmtId="165" fontId="8" fillId="0" borderId="0" xfId="3" applyFont="1" applyAlignment="1">
      <alignment vertical="center"/>
    </xf>
    <xf numFmtId="1" fontId="9" fillId="0" borderId="1" xfId="3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center" vertical="center"/>
    </xf>
    <xf numFmtId="2" fontId="9" fillId="0" borderId="1" xfId="3" applyNumberFormat="1" applyFont="1" applyBorder="1" applyAlignment="1">
      <alignment horizontal="right"/>
    </xf>
    <xf numFmtId="16" fontId="8" fillId="0" borderId="10" xfId="3" applyNumberFormat="1" applyFont="1" applyBorder="1" applyAlignment="1">
      <alignment horizontal="center" vertical="center"/>
    </xf>
    <xf numFmtId="1" fontId="9" fillId="0" borderId="1" xfId="3" applyNumberFormat="1" applyFont="1" applyBorder="1" applyAlignment="1">
      <alignment horizontal="right"/>
    </xf>
    <xf numFmtId="166" fontId="10" fillId="23" borderId="0" xfId="0" applyNumberFormat="1" applyFont="1" applyFill="1"/>
    <xf numFmtId="170" fontId="8" fillId="0" borderId="42" xfId="4" applyNumberFormat="1" applyFont="1" applyFill="1" applyBorder="1" applyAlignment="1">
      <alignment horizontal="center" vertical="center"/>
    </xf>
    <xf numFmtId="165" fontId="26" fillId="4" borderId="1" xfId="3" applyFont="1" applyFill="1" applyBorder="1" applyAlignment="1">
      <alignment horizontal="left"/>
    </xf>
    <xf numFmtId="165" fontId="28" fillId="4" borderId="1" xfId="3" applyFont="1" applyFill="1" applyBorder="1"/>
    <xf numFmtId="165" fontId="23" fillId="4" borderId="1" xfId="3" applyFont="1" applyFill="1" applyBorder="1" applyAlignment="1">
      <alignment horizontal="left"/>
    </xf>
    <xf numFmtId="165" fontId="29" fillId="4" borderId="1" xfId="3" applyFont="1" applyFill="1" applyBorder="1"/>
    <xf numFmtId="165" fontId="30" fillId="4" borderId="1" xfId="3" applyFont="1" applyFill="1" applyBorder="1" applyAlignment="1">
      <alignment horizontal="left"/>
    </xf>
    <xf numFmtId="165" fontId="9" fillId="4" borderId="1" xfId="3" applyFont="1" applyFill="1" applyBorder="1" applyAlignment="1">
      <alignment horizontal="left" vertical="center" wrapText="1"/>
    </xf>
    <xf numFmtId="1" fontId="9" fillId="4" borderId="1" xfId="3" applyNumberFormat="1" applyFont="1" applyFill="1" applyBorder="1" applyAlignment="1">
      <alignment horizontal="center" vertical="center" wrapText="1"/>
    </xf>
    <xf numFmtId="165" fontId="9" fillId="0" borderId="0" xfId="3" applyFont="1" applyAlignment="1">
      <alignment horizontal="center"/>
    </xf>
    <xf numFmtId="165" fontId="77" fillId="4" borderId="1" xfId="3" applyFont="1" applyFill="1" applyBorder="1" applyAlignment="1">
      <alignment horizontal="left"/>
    </xf>
    <xf numFmtId="166" fontId="10" fillId="0" borderId="0" xfId="0" applyNumberFormat="1" applyFont="1" applyAlignment="1">
      <alignment vertical="center"/>
    </xf>
    <xf numFmtId="167" fontId="9" fillId="0" borderId="0" xfId="3" applyNumberFormat="1" applyFont="1" applyAlignment="1">
      <alignment horizontal="right" vertical="center"/>
    </xf>
    <xf numFmtId="166" fontId="71" fillId="20" borderId="39" xfId="0" applyNumberFormat="1" applyFont="1" applyFill="1" applyBorder="1" applyAlignment="1">
      <alignment vertical="center"/>
    </xf>
    <xf numFmtId="166" fontId="69" fillId="0" borderId="73" xfId="0" applyNumberFormat="1" applyFont="1" applyBorder="1"/>
    <xf numFmtId="1" fontId="69" fillId="0" borderId="73" xfId="0" applyNumberFormat="1" applyFont="1" applyBorder="1"/>
    <xf numFmtId="14" fontId="9" fillId="0" borderId="0" xfId="3" applyNumberFormat="1" applyFont="1"/>
    <xf numFmtId="166" fontId="9" fillId="0" borderId="1" xfId="3" applyNumberFormat="1" applyFont="1" applyBorder="1" applyAlignment="1">
      <alignment horizontal="right"/>
    </xf>
    <xf numFmtId="4" fontId="8" fillId="0" borderId="11" xfId="3" applyNumberFormat="1" applyFont="1" applyBorder="1" applyAlignment="1">
      <alignment horizontal="center" vertical="center"/>
    </xf>
    <xf numFmtId="4" fontId="8" fillId="0" borderId="1" xfId="3" applyNumberFormat="1" applyFont="1" applyBorder="1" applyAlignment="1">
      <alignment horizontal="center" vertical="center"/>
    </xf>
    <xf numFmtId="166" fontId="9" fillId="0" borderId="14" xfId="3" applyNumberFormat="1" applyFont="1" applyBorder="1" applyAlignment="1">
      <alignment horizontal="right"/>
    </xf>
    <xf numFmtId="165" fontId="78" fillId="0" borderId="52" xfId="3" applyFont="1" applyBorder="1"/>
    <xf numFmtId="20" fontId="9" fillId="4" borderId="18" xfId="0" applyNumberFormat="1" applyFont="1" applyFill="1" applyBorder="1" applyAlignment="1">
      <alignment horizontal="center" vertical="center" wrapText="1"/>
    </xf>
    <xf numFmtId="1" fontId="9" fillId="0" borderId="63" xfId="3" applyNumberFormat="1" applyFont="1" applyBorder="1" applyAlignment="1">
      <alignment horizontal="center"/>
    </xf>
    <xf numFmtId="16" fontId="8" fillId="0" borderId="77" xfId="3" applyNumberFormat="1" applyFont="1" applyBorder="1" applyAlignment="1">
      <alignment vertical="center"/>
    </xf>
    <xf numFmtId="16" fontId="8" fillId="0" borderId="32" xfId="3" applyNumberFormat="1" applyFont="1" applyBorder="1" applyAlignment="1">
      <alignment vertical="center"/>
    </xf>
    <xf numFmtId="165" fontId="9" fillId="0" borderId="3" xfId="3" applyFont="1" applyBorder="1" applyAlignment="1">
      <alignment horizontal="center"/>
    </xf>
    <xf numFmtId="2" fontId="9" fillId="7" borderId="34" xfId="3" applyNumberFormat="1" applyFont="1" applyFill="1" applyBorder="1" applyAlignment="1">
      <alignment horizontal="center" vertical="center"/>
    </xf>
    <xf numFmtId="2" fontId="25" fillId="7" borderId="34" xfId="3" applyNumberFormat="1" applyFont="1" applyFill="1" applyBorder="1" applyAlignment="1">
      <alignment horizontal="center" vertical="center"/>
    </xf>
    <xf numFmtId="2" fontId="79" fillId="0" borderId="1" xfId="3" applyNumberFormat="1" applyFont="1" applyBorder="1" applyAlignment="1">
      <alignment horizontal="center" vertical="center"/>
    </xf>
    <xf numFmtId="2" fontId="8" fillId="0" borderId="0" xfId="3" applyNumberFormat="1" applyFont="1"/>
    <xf numFmtId="165" fontId="67" fillId="0" borderId="52" xfId="0" applyFont="1" applyBorder="1"/>
    <xf numFmtId="2" fontId="68" fillId="0" borderId="76" xfId="0" applyNumberFormat="1" applyFont="1" applyBorder="1"/>
    <xf numFmtId="2" fontId="68" fillId="0" borderId="80" xfId="0" applyNumberFormat="1" applyFont="1" applyBorder="1"/>
    <xf numFmtId="2" fontId="74" fillId="22" borderId="81" xfId="0" applyNumberFormat="1" applyFont="1" applyFill="1" applyBorder="1"/>
    <xf numFmtId="2" fontId="31" fillId="0" borderId="10" xfId="4" applyNumberFormat="1" applyFont="1" applyFill="1" applyBorder="1" applyAlignment="1">
      <alignment horizontal="center" vertical="center"/>
    </xf>
    <xf numFmtId="2" fontId="31" fillId="0" borderId="2" xfId="4" applyNumberFormat="1" applyFont="1" applyBorder="1" applyAlignment="1">
      <alignment horizontal="center" vertical="center"/>
    </xf>
    <xf numFmtId="2" fontId="31" fillId="0" borderId="2" xfId="4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/>
    </xf>
    <xf numFmtId="1" fontId="9" fillId="0" borderId="1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/>
    </xf>
    <xf numFmtId="166" fontId="9" fillId="0" borderId="14" xfId="3" applyNumberFormat="1" applyFont="1" applyBorder="1" applyAlignment="1">
      <alignment horizontal="center"/>
    </xf>
    <xf numFmtId="166" fontId="9" fillId="0" borderId="32" xfId="3" applyNumberFormat="1" applyFont="1" applyBorder="1" applyAlignment="1">
      <alignment horizontal="center"/>
    </xf>
    <xf numFmtId="166" fontId="9" fillId="0" borderId="14" xfId="3" applyNumberFormat="1" applyFont="1" applyBorder="1"/>
    <xf numFmtId="166" fontId="9" fillId="4" borderId="33" xfId="3" applyNumberFormat="1" applyFont="1" applyFill="1" applyBorder="1"/>
    <xf numFmtId="1" fontId="9" fillId="4" borderId="33" xfId="3" applyNumberFormat="1" applyFont="1" applyFill="1" applyBorder="1"/>
    <xf numFmtId="2" fontId="68" fillId="4" borderId="12" xfId="0" applyNumberFormat="1" applyFont="1" applyFill="1" applyBorder="1"/>
    <xf numFmtId="2" fontId="68" fillId="4" borderId="12" xfId="0" quotePrefix="1" applyNumberFormat="1" applyFont="1" applyFill="1" applyBorder="1"/>
    <xf numFmtId="2" fontId="68" fillId="4" borderId="80" xfId="0" applyNumberFormat="1" applyFont="1" applyFill="1" applyBorder="1"/>
    <xf numFmtId="2" fontId="8" fillId="0" borderId="0" xfId="3" applyNumberFormat="1" applyFont="1" applyAlignment="1">
      <alignment wrapText="1"/>
    </xf>
    <xf numFmtId="165" fontId="7" fillId="0" borderId="0" xfId="3" applyAlignment="1">
      <alignment horizontal="left"/>
    </xf>
    <xf numFmtId="2" fontId="7" fillId="0" borderId="60" xfId="3" applyNumberFormat="1" applyBorder="1" applyAlignment="1">
      <alignment horizontal="center"/>
    </xf>
    <xf numFmtId="2" fontId="40" fillId="0" borderId="26" xfId="3" applyNumberFormat="1" applyFont="1" applyBorder="1" applyAlignment="1">
      <alignment horizontal="center"/>
    </xf>
    <xf numFmtId="165" fontId="7" fillId="0" borderId="56" xfId="3" applyBorder="1" applyAlignment="1">
      <alignment horizontal="center"/>
    </xf>
    <xf numFmtId="165" fontId="9" fillId="0" borderId="1" xfId="3" applyFont="1" applyBorder="1" applyAlignment="1">
      <alignment horizontal="center" vertical="center" wrapText="1"/>
    </xf>
    <xf numFmtId="1" fontId="8" fillId="0" borderId="1" xfId="3" applyNumberFormat="1" applyFont="1" applyBorder="1"/>
    <xf numFmtId="2" fontId="35" fillId="23" borderId="1" xfId="3" applyNumberFormat="1" applyFont="1" applyFill="1" applyBorder="1" applyAlignment="1">
      <alignment horizontal="right"/>
    </xf>
    <xf numFmtId="2" fontId="9" fillId="23" borderId="21" xfId="3" applyNumberFormat="1" applyFont="1" applyFill="1" applyBorder="1" applyAlignment="1">
      <alignment horizontal="right"/>
    </xf>
    <xf numFmtId="20" fontId="9" fillId="4" borderId="17" xfId="0" applyNumberFormat="1" applyFont="1" applyFill="1" applyBorder="1" applyAlignment="1">
      <alignment horizontal="center" vertical="center" wrapText="1"/>
    </xf>
    <xf numFmtId="1" fontId="9" fillId="0" borderId="19" xfId="3" applyNumberFormat="1" applyFont="1" applyBorder="1" applyAlignment="1">
      <alignment horizontal="center"/>
    </xf>
    <xf numFmtId="165" fontId="27" fillId="4" borderId="1" xfId="3" applyFont="1" applyFill="1" applyBorder="1"/>
    <xf numFmtId="2" fontId="76" fillId="6" borderId="1" xfId="3" applyNumberFormat="1" applyFont="1" applyFill="1" applyBorder="1"/>
    <xf numFmtId="0" fontId="22" fillId="0" borderId="59" xfId="3" applyNumberFormat="1" applyFont="1" applyBorder="1" applyAlignment="1">
      <alignment vertical="top" wrapText="1"/>
    </xf>
    <xf numFmtId="166" fontId="9" fillId="0" borderId="0" xfId="3" applyNumberFormat="1" applyFont="1"/>
    <xf numFmtId="2" fontId="25" fillId="0" borderId="43" xfId="3" applyNumberFormat="1" applyFont="1" applyBorder="1" applyAlignment="1">
      <alignment horizontal="center" vertical="center"/>
    </xf>
    <xf numFmtId="2" fontId="25" fillId="0" borderId="54" xfId="3" applyNumberFormat="1" applyFont="1" applyBorder="1" applyAlignment="1">
      <alignment horizontal="center" vertical="center"/>
    </xf>
    <xf numFmtId="1" fontId="9" fillId="0" borderId="0" xfId="3" applyNumberFormat="1" applyFont="1"/>
    <xf numFmtId="2" fontId="9" fillId="0" borderId="76" xfId="6" applyNumberFormat="1" applyFont="1" applyBorder="1" applyAlignment="1">
      <alignment horizontal="center" vertical="center"/>
    </xf>
    <xf numFmtId="2" fontId="9" fillId="0" borderId="80" xfId="3" applyNumberFormat="1" applyFont="1" applyBorder="1" applyAlignment="1">
      <alignment horizontal="center" vertical="center"/>
    </xf>
    <xf numFmtId="165" fontId="9" fillId="0" borderId="1" xfId="3" applyFont="1" applyBorder="1" applyAlignment="1">
      <alignment vertical="center" wrapText="1"/>
    </xf>
    <xf numFmtId="165" fontId="9" fillId="0" borderId="0" xfId="3" applyFont="1" applyAlignment="1">
      <alignment horizontal="left"/>
    </xf>
    <xf numFmtId="165" fontId="9" fillId="0" borderId="6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9" fillId="0" borderId="7" xfId="3" applyFont="1" applyBorder="1" applyAlignment="1">
      <alignment horizontal="center" vertical="center" wrapText="1"/>
    </xf>
    <xf numFmtId="2" fontId="9" fillId="4" borderId="23" xfId="3" applyNumberFormat="1" applyFont="1" applyFill="1" applyBorder="1" applyAlignment="1">
      <alignment horizontal="center" vertical="center"/>
    </xf>
    <xf numFmtId="165" fontId="26" fillId="0" borderId="13" xfId="3" applyFont="1" applyBorder="1" applyAlignment="1">
      <alignment horizontal="left" vertical="center"/>
    </xf>
    <xf numFmtId="2" fontId="25" fillId="0" borderId="35" xfId="3" applyNumberFormat="1" applyFont="1" applyBorder="1" applyAlignment="1">
      <alignment horizontal="center" vertical="center"/>
    </xf>
    <xf numFmtId="2" fontId="9" fillId="7" borderId="0" xfId="3" applyNumberFormat="1" applyFont="1" applyFill="1" applyAlignment="1">
      <alignment horizontal="center" vertical="center"/>
    </xf>
    <xf numFmtId="2" fontId="25" fillId="7" borderId="0" xfId="3" applyNumberFormat="1" applyFont="1" applyFill="1" applyAlignment="1">
      <alignment horizontal="center" vertical="center"/>
    </xf>
    <xf numFmtId="166" fontId="9" fillId="7" borderId="0" xfId="3" applyNumberFormat="1" applyFont="1" applyFill="1" applyAlignment="1">
      <alignment horizontal="center" vertical="center"/>
    </xf>
    <xf numFmtId="16" fontId="8" fillId="0" borderId="1" xfId="3" applyNumberFormat="1" applyFont="1" applyBorder="1" applyAlignment="1">
      <alignment horizontal="center" vertical="center"/>
    </xf>
    <xf numFmtId="166" fontId="8" fillId="4" borderId="1" xfId="3" applyNumberFormat="1" applyFont="1" applyFill="1" applyBorder="1" applyAlignment="1">
      <alignment horizontal="center" vertical="center"/>
    </xf>
    <xf numFmtId="166" fontId="9" fillId="0" borderId="1" xfId="3" applyNumberFormat="1" applyFont="1" applyBorder="1" applyAlignment="1">
      <alignment horizontal="center" vertical="center"/>
    </xf>
    <xf numFmtId="1" fontId="31" fillId="0" borderId="1" xfId="3" applyNumberFormat="1" applyFont="1" applyBorder="1" applyAlignment="1">
      <alignment vertical="center" wrapText="1"/>
    </xf>
    <xf numFmtId="167" fontId="21" fillId="5" borderId="11" xfId="3" applyNumberFormat="1" applyFont="1" applyFill="1" applyBorder="1" applyAlignment="1">
      <alignment horizontal="center" vertical="center"/>
    </xf>
    <xf numFmtId="165" fontId="8" fillId="0" borderId="2" xfId="3" applyFont="1" applyBorder="1" applyAlignment="1">
      <alignment vertical="center"/>
    </xf>
    <xf numFmtId="170" fontId="8" fillId="0" borderId="1" xfId="4" applyNumberFormat="1" applyFont="1" applyBorder="1" applyAlignment="1">
      <alignment horizontal="center" vertical="center"/>
    </xf>
    <xf numFmtId="165" fontId="20" fillId="0" borderId="13" xfId="3" applyFont="1" applyBorder="1"/>
    <xf numFmtId="167" fontId="21" fillId="0" borderId="11" xfId="3" applyNumberFormat="1" applyFont="1" applyBorder="1" applyAlignment="1">
      <alignment horizontal="center" vertical="center"/>
    </xf>
    <xf numFmtId="1" fontId="31" fillId="0" borderId="51" xfId="3" applyNumberFormat="1" applyFont="1" applyBorder="1" applyAlignment="1">
      <alignment vertical="center" wrapText="1"/>
    </xf>
    <xf numFmtId="170" fontId="8" fillId="0" borderId="3" xfId="4" applyNumberFormat="1" applyFont="1" applyBorder="1" applyAlignment="1">
      <alignment horizontal="center" vertical="center"/>
    </xf>
    <xf numFmtId="4" fontId="8" fillId="0" borderId="10" xfId="3" applyNumberFormat="1" applyFont="1" applyBorder="1" applyAlignment="1">
      <alignment horizontal="center" vertical="center"/>
    </xf>
    <xf numFmtId="171" fontId="8" fillId="0" borderId="10" xfId="3" applyNumberFormat="1" applyFont="1" applyBorder="1" applyAlignment="1">
      <alignment horizontal="center" vertical="center"/>
    </xf>
    <xf numFmtId="2" fontId="8" fillId="0" borderId="10" xfId="3" applyNumberFormat="1" applyFont="1" applyBorder="1" applyAlignment="1">
      <alignment horizontal="center" vertical="center"/>
    </xf>
    <xf numFmtId="170" fontId="8" fillId="0" borderId="10" xfId="4" applyNumberFormat="1" applyFont="1" applyBorder="1" applyAlignment="1">
      <alignment horizontal="center" vertical="center"/>
    </xf>
    <xf numFmtId="2" fontId="31" fillId="0" borderId="1" xfId="4" applyNumberFormat="1" applyFont="1" applyFill="1" applyBorder="1" applyAlignment="1">
      <alignment horizontal="center" vertical="center"/>
    </xf>
    <xf numFmtId="2" fontId="31" fillId="0" borderId="1" xfId="4" applyNumberFormat="1" applyFont="1" applyBorder="1" applyAlignment="1">
      <alignment horizontal="center" vertical="center"/>
    </xf>
    <xf numFmtId="166" fontId="8" fillId="0" borderId="1" xfId="3" applyNumberFormat="1" applyFont="1" applyBorder="1" applyAlignment="1">
      <alignment horizontal="center"/>
    </xf>
    <xf numFmtId="2" fontId="9" fillId="0" borderId="1" xfId="3" applyNumberFormat="1" applyFont="1" applyBorder="1" applyAlignment="1">
      <alignment horizontal="left" vertical="center"/>
    </xf>
    <xf numFmtId="165" fontId="27" fillId="0" borderId="13" xfId="3" applyFont="1" applyBorder="1" applyAlignment="1">
      <alignment vertical="center"/>
    </xf>
    <xf numFmtId="170" fontId="9" fillId="23" borderId="1" xfId="3" applyNumberFormat="1" applyFont="1" applyFill="1" applyBorder="1" applyAlignment="1">
      <alignment horizontal="right"/>
    </xf>
    <xf numFmtId="165" fontId="26" fillId="0" borderId="13" xfId="3" applyFont="1" applyBorder="1" applyAlignment="1">
      <alignment horizontal="center" vertical="center"/>
    </xf>
    <xf numFmtId="165" fontId="9" fillId="0" borderId="18" xfId="3" applyFont="1" applyBorder="1"/>
    <xf numFmtId="2" fontId="9" fillId="0" borderId="10" xfId="3" applyNumberFormat="1" applyFont="1" applyBorder="1" applyAlignment="1">
      <alignment horizontal="center" vertical="center"/>
    </xf>
    <xf numFmtId="2" fontId="9" fillId="4" borderId="18" xfId="3" applyNumberFormat="1" applyFont="1" applyFill="1" applyBorder="1" applyAlignment="1">
      <alignment horizontal="center" vertical="center"/>
    </xf>
    <xf numFmtId="2" fontId="31" fillId="0" borderId="1" xfId="3" applyNumberFormat="1" applyFont="1" applyBorder="1" applyAlignment="1">
      <alignment horizontal="center" vertical="center"/>
    </xf>
    <xf numFmtId="2" fontId="9" fillId="4" borderId="1" xfId="3" applyNumberFormat="1" applyFont="1" applyFill="1" applyBorder="1" applyAlignment="1">
      <alignment horizontal="center" vertical="center"/>
    </xf>
    <xf numFmtId="165" fontId="27" fillId="0" borderId="1" xfId="3" applyFont="1" applyBorder="1" applyAlignment="1">
      <alignment vertical="center"/>
    </xf>
    <xf numFmtId="166" fontId="21" fillId="4" borderId="1" xfId="3" applyNumberFormat="1" applyFont="1" applyFill="1" applyBorder="1" applyAlignment="1">
      <alignment horizontal="center" vertical="center"/>
    </xf>
    <xf numFmtId="167" fontId="8" fillId="0" borderId="1" xfId="3" applyNumberFormat="1" applyFont="1" applyBorder="1" applyAlignment="1">
      <alignment horizontal="center" vertical="center"/>
    </xf>
    <xf numFmtId="166" fontId="8" fillId="7" borderId="1" xfId="3" applyNumberFormat="1" applyFont="1" applyFill="1" applyBorder="1" applyAlignment="1">
      <alignment horizontal="center" vertical="center"/>
    </xf>
    <xf numFmtId="167" fontId="8" fillId="0" borderId="11" xfId="3" applyNumberFormat="1" applyFont="1" applyBorder="1" applyAlignment="1">
      <alignment horizontal="center"/>
    </xf>
    <xf numFmtId="2" fontId="9" fillId="23" borderId="1" xfId="3" applyNumberFormat="1" applyFont="1" applyFill="1" applyBorder="1" applyAlignment="1">
      <alignment horizontal="center" vertical="center"/>
    </xf>
    <xf numFmtId="165" fontId="13" fillId="4" borderId="0" xfId="3" applyFont="1" applyFill="1" applyAlignment="1">
      <alignment horizontal="center" vertical="center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" fontId="9" fillId="4" borderId="34" xfId="3" applyNumberFormat="1" applyFont="1" applyFill="1" applyBorder="1"/>
    <xf numFmtId="166" fontId="9" fillId="4" borderId="34" xfId="3" applyNumberFormat="1" applyFont="1" applyFill="1" applyBorder="1"/>
    <xf numFmtId="165" fontId="78" fillId="0" borderId="31" xfId="3" applyFont="1" applyBorder="1"/>
    <xf numFmtId="1" fontId="9" fillId="0" borderId="32" xfId="3" applyNumberFormat="1" applyFont="1" applyBorder="1" applyAlignment="1">
      <alignment horizontal="right"/>
    </xf>
    <xf numFmtId="166" fontId="9" fillId="0" borderId="32" xfId="3" applyNumberFormat="1" applyFont="1" applyBorder="1"/>
    <xf numFmtId="166" fontId="8" fillId="0" borderId="36" xfId="3" applyNumberFormat="1" applyFont="1" applyBorder="1"/>
    <xf numFmtId="165" fontId="81" fillId="0" borderId="52" xfId="3" applyFont="1" applyBorder="1"/>
    <xf numFmtId="165" fontId="82" fillId="0" borderId="52" xfId="3" applyFont="1" applyBorder="1"/>
    <xf numFmtId="170" fontId="7" fillId="0" borderId="0" xfId="3" applyNumberFormat="1" applyAlignment="1">
      <alignment horizontal="right"/>
    </xf>
    <xf numFmtId="165" fontId="83" fillId="0" borderId="31" xfId="3" applyFont="1" applyBorder="1"/>
    <xf numFmtId="165" fontId="20" fillId="0" borderId="13" xfId="3" applyFont="1" applyBorder="1" applyAlignment="1">
      <alignment horizontal="center" vertical="center"/>
    </xf>
    <xf numFmtId="170" fontId="8" fillId="0" borderId="3" xfId="4" applyNumberFormat="1" applyFont="1" applyFill="1" applyBorder="1" applyAlignment="1">
      <alignment horizontal="center" vertical="center"/>
    </xf>
    <xf numFmtId="165" fontId="84" fillId="0" borderId="31" xfId="3" applyFont="1" applyBorder="1"/>
    <xf numFmtId="166" fontId="8" fillId="0" borderId="0" xfId="3" applyNumberFormat="1" applyFont="1" applyAlignment="1">
      <alignment horizontal="center" vertical="center"/>
    </xf>
    <xf numFmtId="165" fontId="9" fillId="0" borderId="12" xfId="3" applyFont="1" applyBorder="1" applyAlignment="1">
      <alignment horizontal="center" vertical="center" wrapText="1"/>
    </xf>
    <xf numFmtId="166" fontId="9" fillId="26" borderId="63" xfId="3" applyNumberFormat="1" applyFont="1" applyFill="1" applyBorder="1" applyAlignment="1">
      <alignment horizontal="center"/>
    </xf>
    <xf numFmtId="166" fontId="9" fillId="23" borderId="1" xfId="3" applyNumberFormat="1" applyFont="1" applyFill="1" applyBorder="1" applyAlignment="1">
      <alignment horizontal="center" vertical="center"/>
    </xf>
    <xf numFmtId="0" fontId="9" fillId="0" borderId="0" xfId="3" applyNumberFormat="1" applyFont="1" applyAlignment="1">
      <alignment horizontal="center"/>
    </xf>
    <xf numFmtId="0" fontId="22" fillId="0" borderId="1" xfId="3" applyNumberFormat="1" applyFont="1" applyBorder="1" applyAlignment="1">
      <alignment vertical="top" wrapText="1"/>
    </xf>
    <xf numFmtId="165" fontId="8" fillId="0" borderId="0" xfId="3" applyFont="1" applyAlignment="1">
      <alignment horizontal="left" vertical="center"/>
    </xf>
    <xf numFmtId="165" fontId="79" fillId="0" borderId="13" xfId="3" applyFont="1" applyBorder="1" applyAlignment="1">
      <alignment horizontal="center" vertical="center"/>
    </xf>
    <xf numFmtId="2" fontId="9" fillId="0" borderId="15" xfId="3" applyNumberFormat="1" applyFont="1" applyBorder="1" applyAlignment="1">
      <alignment horizontal="center" vertical="center"/>
    </xf>
    <xf numFmtId="2" fontId="9" fillId="4" borderId="84" xfId="3" applyNumberFormat="1" applyFont="1" applyFill="1" applyBorder="1" applyAlignment="1">
      <alignment horizontal="center" vertical="center"/>
    </xf>
    <xf numFmtId="165" fontId="76" fillId="4" borderId="13" xfId="3" applyFont="1" applyFill="1" applyBorder="1" applyAlignment="1">
      <alignment horizontal="left"/>
    </xf>
    <xf numFmtId="165" fontId="8" fillId="23" borderId="2" xfId="3" applyFont="1" applyFill="1" applyBorder="1" applyAlignment="1">
      <alignment vertical="center"/>
    </xf>
    <xf numFmtId="165" fontId="80" fillId="0" borderId="13" xfId="3" applyFont="1" applyBorder="1" applyAlignment="1">
      <alignment horizontal="center" vertical="center"/>
    </xf>
    <xf numFmtId="165" fontId="85" fillId="0" borderId="13" xfId="3" applyFont="1" applyBorder="1" applyAlignment="1">
      <alignment horizontal="center" vertical="center"/>
    </xf>
    <xf numFmtId="165" fontId="9" fillId="0" borderId="13" xfId="3" applyFont="1" applyBorder="1" applyAlignment="1">
      <alignment horizontal="left"/>
    </xf>
    <xf numFmtId="1" fontId="8" fillId="0" borderId="11" xfId="3" applyNumberFormat="1" applyFont="1" applyBorder="1" applyAlignment="1">
      <alignment horizontal="center" vertical="center"/>
    </xf>
    <xf numFmtId="165" fontId="87" fillId="0" borderId="13" xfId="3" applyFont="1" applyBorder="1" applyAlignment="1">
      <alignment horizontal="center" vertical="center"/>
    </xf>
    <xf numFmtId="167" fontId="21" fillId="4" borderId="11" xfId="3" applyNumberFormat="1" applyFont="1" applyFill="1" applyBorder="1" applyAlignment="1">
      <alignment horizontal="center" vertical="center"/>
    </xf>
    <xf numFmtId="1" fontId="9" fillId="4" borderId="1" xfId="3" applyNumberFormat="1" applyFont="1" applyFill="1" applyBorder="1" applyAlignment="1">
      <alignment horizontal="center" vertical="center"/>
    </xf>
    <xf numFmtId="165" fontId="28" fillId="0" borderId="13" xfId="3" applyFont="1" applyBorder="1" applyAlignment="1">
      <alignment vertical="center"/>
    </xf>
    <xf numFmtId="165" fontId="23" fillId="0" borderId="13" xfId="3" applyFont="1" applyBorder="1" applyAlignment="1">
      <alignment horizontal="center" vertical="center"/>
    </xf>
    <xf numFmtId="165" fontId="9" fillId="0" borderId="23" xfId="3" applyFont="1" applyBorder="1" applyAlignment="1">
      <alignment horizontal="center" vertical="center"/>
    </xf>
    <xf numFmtId="165" fontId="9" fillId="0" borderId="34" xfId="3" applyFont="1" applyBorder="1" applyAlignment="1">
      <alignment horizontal="center" vertical="center"/>
    </xf>
    <xf numFmtId="165" fontId="9" fillId="0" borderId="46" xfId="3" applyFont="1" applyBorder="1" applyAlignment="1">
      <alignment horizontal="center" vertical="center"/>
    </xf>
    <xf numFmtId="165" fontId="9" fillId="0" borderId="47" xfId="3" applyFont="1" applyBorder="1" applyAlignment="1">
      <alignment horizontal="center" vertical="center"/>
    </xf>
    <xf numFmtId="165" fontId="9" fillId="0" borderId="48" xfId="3" applyFont="1" applyBorder="1" applyAlignment="1">
      <alignment horizontal="center" vertical="center"/>
    </xf>
    <xf numFmtId="165" fontId="9" fillId="0" borderId="49" xfId="3" applyFont="1" applyBorder="1" applyAlignment="1">
      <alignment horizontal="center" vertical="center"/>
    </xf>
    <xf numFmtId="165" fontId="9" fillId="0" borderId="25" xfId="3" applyFont="1" applyBorder="1" applyAlignment="1">
      <alignment horizontal="center" vertical="center" wrapText="1"/>
    </xf>
    <xf numFmtId="165" fontId="9" fillId="0" borderId="75" xfId="3" applyFont="1" applyBorder="1" applyAlignment="1">
      <alignment horizontal="center" vertical="center" wrapText="1"/>
    </xf>
    <xf numFmtId="165" fontId="9" fillId="0" borderId="23" xfId="3" applyFont="1" applyBorder="1" applyAlignment="1">
      <alignment horizontal="center" vertical="center" wrapText="1"/>
    </xf>
    <xf numFmtId="165" fontId="9" fillId="0" borderId="34" xfId="3" applyFont="1" applyBorder="1" applyAlignment="1">
      <alignment horizontal="center" vertical="center" wrapText="1"/>
    </xf>
    <xf numFmtId="165" fontId="9" fillId="0" borderId="26" xfId="3" applyFont="1" applyBorder="1" applyAlignment="1">
      <alignment horizontal="center" vertical="center" wrapText="1"/>
    </xf>
    <xf numFmtId="165" fontId="9" fillId="0" borderId="63" xfId="3" applyFont="1" applyBorder="1" applyAlignment="1">
      <alignment horizontal="center" vertical="center" wrapText="1"/>
    </xf>
    <xf numFmtId="165" fontId="9" fillId="0" borderId="5" xfId="3" applyFont="1" applyBorder="1" applyAlignment="1">
      <alignment horizontal="center" vertical="center" wrapText="1"/>
    </xf>
    <xf numFmtId="165" fontId="9" fillId="0" borderId="38" xfId="3" applyFont="1" applyBorder="1" applyAlignment="1">
      <alignment horizontal="center" vertical="center" wrapText="1"/>
    </xf>
    <xf numFmtId="165" fontId="9" fillId="0" borderId="8" xfId="3" applyFont="1" applyBorder="1" applyAlignment="1">
      <alignment horizontal="center" vertical="center" wrapText="1"/>
    </xf>
    <xf numFmtId="165" fontId="9" fillId="0" borderId="40" xfId="3" applyFont="1" applyBorder="1" applyAlignment="1">
      <alignment horizontal="center" vertical="center" wrapText="1"/>
    </xf>
    <xf numFmtId="165" fontId="9" fillId="0" borderId="7" xfId="3" applyFont="1" applyBorder="1" applyAlignment="1">
      <alignment horizontal="center" vertical="center" wrapText="1"/>
    </xf>
    <xf numFmtId="165" fontId="9" fillId="0" borderId="62" xfId="3" applyFont="1" applyBorder="1" applyAlignment="1">
      <alignment horizontal="center" vertical="center" wrapText="1"/>
    </xf>
    <xf numFmtId="166" fontId="9" fillId="7" borderId="75" xfId="3" applyNumberFormat="1" applyFont="1" applyFill="1" applyBorder="1" applyAlignment="1">
      <alignment horizontal="center" vertical="center"/>
    </xf>
    <xf numFmtId="166" fontId="9" fillId="7" borderId="63" xfId="3" applyNumberFormat="1" applyFont="1" applyFill="1" applyBorder="1" applyAlignment="1">
      <alignment horizontal="center" vertical="center"/>
    </xf>
    <xf numFmtId="168" fontId="9" fillId="0" borderId="78" xfId="3" applyNumberFormat="1" applyFont="1" applyBorder="1" applyAlignment="1">
      <alignment horizontal="center" vertical="center" wrapText="1"/>
    </xf>
    <xf numFmtId="168" fontId="9" fillId="0" borderId="79" xfId="3" applyNumberFormat="1" applyFont="1" applyBorder="1" applyAlignment="1">
      <alignment horizontal="center" vertical="center" wrapText="1"/>
    </xf>
    <xf numFmtId="165" fontId="9" fillId="0" borderId="6" xfId="3" applyFont="1" applyBorder="1" applyAlignment="1">
      <alignment horizontal="center" vertical="center" wrapText="1"/>
    </xf>
    <xf numFmtId="165" fontId="9" fillId="0" borderId="39" xfId="3" applyFont="1" applyBorder="1" applyAlignment="1">
      <alignment horizontal="center" vertical="center" wrapText="1"/>
    </xf>
    <xf numFmtId="165" fontId="26" fillId="0" borderId="66" xfId="3" applyFont="1" applyBorder="1" applyAlignment="1">
      <alignment horizontal="center" vertical="center"/>
    </xf>
    <xf numFmtId="165" fontId="26" fillId="0" borderId="27" xfId="3" applyFont="1" applyBorder="1" applyAlignment="1">
      <alignment horizontal="center" vertical="center"/>
    </xf>
    <xf numFmtId="165" fontId="26" fillId="0" borderId="35" xfId="3" applyFont="1" applyBorder="1" applyAlignment="1">
      <alignment horizontal="center" vertical="center"/>
    </xf>
    <xf numFmtId="166" fontId="8" fillId="0" borderId="25" xfId="3" applyNumberFormat="1" applyFont="1" applyBorder="1" applyAlignment="1">
      <alignment horizontal="center" vertical="center"/>
    </xf>
    <xf numFmtId="166" fontId="8" fillId="0" borderId="26" xfId="3" applyNumberFormat="1" applyFont="1" applyBorder="1" applyAlignment="1">
      <alignment horizontal="center" vertical="center"/>
    </xf>
    <xf numFmtId="166" fontId="8" fillId="0" borderId="28" xfId="3" applyNumberFormat="1" applyFont="1" applyBorder="1" applyAlignment="1">
      <alignment horizontal="center" vertical="center"/>
    </xf>
    <xf numFmtId="166" fontId="8" fillId="0" borderId="24" xfId="3" applyNumberFormat="1" applyFont="1" applyBorder="1" applyAlignment="1">
      <alignment horizontal="center" vertical="center"/>
    </xf>
    <xf numFmtId="2" fontId="31" fillId="24" borderId="74" xfId="3" applyNumberFormat="1" applyFont="1" applyFill="1" applyBorder="1" applyAlignment="1">
      <alignment horizontal="center"/>
    </xf>
    <xf numFmtId="165" fontId="9" fillId="25" borderId="16" xfId="3" applyFont="1" applyFill="1" applyBorder="1" applyAlignment="1">
      <alignment horizontal="center"/>
    </xf>
    <xf numFmtId="165" fontId="9" fillId="25" borderId="19" xfId="3" applyFont="1" applyFill="1" applyBorder="1" applyAlignment="1">
      <alignment horizontal="center"/>
    </xf>
    <xf numFmtId="166" fontId="8" fillId="0" borderId="37" xfId="3" applyNumberFormat="1" applyFont="1" applyBorder="1" applyAlignment="1">
      <alignment horizontal="center" vertical="center"/>
    </xf>
    <xf numFmtId="166" fontId="8" fillId="0" borderId="68" xfId="3" applyNumberFormat="1" applyFont="1" applyBorder="1" applyAlignment="1">
      <alignment horizontal="center" vertical="center"/>
    </xf>
    <xf numFmtId="166" fontId="8" fillId="0" borderId="29" xfId="3" applyNumberFormat="1" applyFont="1" applyBorder="1" applyAlignment="1">
      <alignment horizontal="center"/>
    </xf>
    <xf numFmtId="166" fontId="8" fillId="0" borderId="30" xfId="3" applyNumberFormat="1" applyFont="1" applyBorder="1" applyAlignment="1">
      <alignment horizontal="center"/>
    </xf>
    <xf numFmtId="166" fontId="8" fillId="0" borderId="75" xfId="3" applyNumberFormat="1" applyFont="1" applyBorder="1" applyAlignment="1">
      <alignment horizontal="center"/>
    </xf>
    <xf numFmtId="166" fontId="8" fillId="0" borderId="63" xfId="3" applyNumberFormat="1" applyFont="1" applyBorder="1" applyAlignment="1">
      <alignment horizontal="center"/>
    </xf>
    <xf numFmtId="165" fontId="9" fillId="0" borderId="78" xfId="3" applyFont="1" applyBorder="1" applyAlignment="1">
      <alignment horizontal="center" vertical="center" wrapText="1"/>
    </xf>
    <xf numFmtId="165" fontId="9" fillId="0" borderId="42" xfId="3" applyFont="1" applyBorder="1" applyAlignment="1">
      <alignment horizontal="center" vertical="center" wrapText="1"/>
    </xf>
    <xf numFmtId="165" fontId="9" fillId="0" borderId="4" xfId="3" applyFont="1" applyBorder="1" applyAlignment="1">
      <alignment horizontal="center"/>
    </xf>
    <xf numFmtId="165" fontId="80" fillId="0" borderId="23" xfId="3" applyFont="1" applyBorder="1" applyAlignment="1">
      <alignment horizontal="center" vertical="center"/>
    </xf>
    <xf numFmtId="165" fontId="80" fillId="0" borderId="27" xfId="3" applyFont="1" applyBorder="1" applyAlignment="1">
      <alignment horizontal="center" vertical="center"/>
    </xf>
    <xf numFmtId="165" fontId="80" fillId="0" borderId="35" xfId="3" applyFont="1" applyBorder="1" applyAlignment="1">
      <alignment horizontal="center" vertical="center"/>
    </xf>
    <xf numFmtId="166" fontId="8" fillId="0" borderId="0" xfId="3" applyNumberFormat="1" applyFont="1" applyAlignment="1">
      <alignment horizontal="center" vertical="center"/>
    </xf>
    <xf numFmtId="166" fontId="8" fillId="0" borderId="74" xfId="3" applyNumberFormat="1" applyFont="1" applyBorder="1" applyAlignment="1">
      <alignment horizontal="center" vertical="center"/>
    </xf>
    <xf numFmtId="166" fontId="8" fillId="0" borderId="82" xfId="3" applyNumberFormat="1" applyFont="1" applyBorder="1" applyAlignment="1">
      <alignment horizontal="center"/>
    </xf>
    <xf numFmtId="166" fontId="8" fillId="0" borderId="74" xfId="3" applyNumberFormat="1" applyFont="1" applyBorder="1" applyAlignment="1">
      <alignment horizontal="center"/>
    </xf>
    <xf numFmtId="166" fontId="8" fillId="0" borderId="24" xfId="3" applyNumberFormat="1" applyFont="1" applyBorder="1" applyAlignment="1">
      <alignment horizontal="center"/>
    </xf>
    <xf numFmtId="166" fontId="8" fillId="0" borderId="0" xfId="3" applyNumberFormat="1" applyFont="1" applyAlignment="1">
      <alignment horizontal="center"/>
    </xf>
    <xf numFmtId="166" fontId="8" fillId="0" borderId="68" xfId="3" applyNumberFormat="1" applyFont="1" applyBorder="1" applyAlignment="1">
      <alignment horizontal="center"/>
    </xf>
    <xf numFmtId="165" fontId="10" fillId="3" borderId="1" xfId="0" applyFont="1" applyFill="1" applyBorder="1" applyAlignment="1">
      <alignment horizontal="center"/>
    </xf>
    <xf numFmtId="165" fontId="11" fillId="0" borderId="0" xfId="3" applyFont="1" applyAlignment="1">
      <alignment horizontal="center"/>
    </xf>
    <xf numFmtId="165" fontId="9" fillId="0" borderId="83" xfId="3" applyFont="1" applyBorder="1" applyAlignment="1">
      <alignment horizontal="center" wrapText="1"/>
    </xf>
    <xf numFmtId="165" fontId="9" fillId="0" borderId="19" xfId="3" applyFont="1" applyBorder="1" applyAlignment="1">
      <alignment horizontal="center" wrapText="1"/>
    </xf>
    <xf numFmtId="165" fontId="13" fillId="4" borderId="25" xfId="3" applyFont="1" applyFill="1" applyBorder="1" applyAlignment="1">
      <alignment horizontal="center" vertical="center"/>
    </xf>
    <xf numFmtId="165" fontId="13" fillId="4" borderId="26" xfId="3" applyFont="1" applyFill="1" applyBorder="1" applyAlignment="1">
      <alignment horizontal="center" vertical="center"/>
    </xf>
    <xf numFmtId="165" fontId="13" fillId="4" borderId="75" xfId="3" applyFont="1" applyFill="1" applyBorder="1" applyAlignment="1">
      <alignment horizontal="center" vertical="center"/>
    </xf>
    <xf numFmtId="165" fontId="13" fillId="4" borderId="63" xfId="3" applyFont="1" applyFill="1" applyBorder="1" applyAlignment="1">
      <alignment horizontal="center" vertical="center"/>
    </xf>
    <xf numFmtId="165" fontId="9" fillId="0" borderId="50" xfId="3" applyFont="1" applyBorder="1" applyAlignment="1">
      <alignment horizontal="center" vertical="center" wrapText="1"/>
    </xf>
    <xf numFmtId="165" fontId="9" fillId="0" borderId="10" xfId="3" applyFont="1" applyBorder="1" applyAlignment="1">
      <alignment horizontal="center" vertical="center" wrapText="1"/>
    </xf>
    <xf numFmtId="165" fontId="9" fillId="7" borderId="6" xfId="3" applyFont="1" applyFill="1" applyBorder="1" applyAlignment="1">
      <alignment horizontal="center" vertical="center" wrapText="1"/>
    </xf>
    <xf numFmtId="165" fontId="9" fillId="7" borderId="10" xfId="3" applyFont="1" applyFill="1" applyBorder="1" applyAlignment="1">
      <alignment horizontal="center" vertical="center" wrapText="1"/>
    </xf>
    <xf numFmtId="165" fontId="5" fillId="2" borderId="6" xfId="2" applyNumberFormat="1" applyBorder="1" applyAlignment="1">
      <alignment horizontal="center" vertical="center" wrapText="1"/>
    </xf>
    <xf numFmtId="165" fontId="5" fillId="2" borderId="10" xfId="2" applyNumberFormat="1" applyBorder="1" applyAlignment="1">
      <alignment horizontal="center" vertical="center" wrapText="1"/>
    </xf>
    <xf numFmtId="165" fontId="9" fillId="4" borderId="6" xfId="3" applyFont="1" applyFill="1" applyBorder="1" applyAlignment="1">
      <alignment horizontal="center" vertical="center" wrapText="1"/>
    </xf>
    <xf numFmtId="165" fontId="9" fillId="4" borderId="10" xfId="3" applyFont="1" applyFill="1" applyBorder="1" applyAlignment="1">
      <alignment horizontal="center" vertical="center" wrapText="1"/>
    </xf>
    <xf numFmtId="165" fontId="19" fillId="0" borderId="6" xfId="3" applyFont="1" applyBorder="1" applyAlignment="1">
      <alignment horizontal="center" vertical="center" wrapText="1"/>
    </xf>
    <xf numFmtId="165" fontId="19" fillId="0" borderId="10" xfId="3" applyFont="1" applyBorder="1" applyAlignment="1">
      <alignment horizontal="center" vertical="center" wrapText="1"/>
    </xf>
    <xf numFmtId="165" fontId="9" fillId="0" borderId="12" xfId="3" applyFont="1" applyBorder="1" applyAlignment="1">
      <alignment horizontal="center" vertical="center" wrapText="1"/>
    </xf>
    <xf numFmtId="165" fontId="9" fillId="0" borderId="0" xfId="3" applyFont="1" applyAlignment="1">
      <alignment horizontal="left"/>
    </xf>
    <xf numFmtId="165" fontId="13" fillId="4" borderId="0" xfId="3" applyFont="1" applyFill="1" applyAlignment="1">
      <alignment horizontal="center" vertical="center"/>
    </xf>
    <xf numFmtId="165" fontId="13" fillId="4" borderId="4" xfId="3" applyFont="1" applyFill="1" applyBorder="1" applyAlignment="1">
      <alignment horizontal="center" vertical="center"/>
    </xf>
    <xf numFmtId="165" fontId="14" fillId="0" borderId="2" xfId="3" applyFont="1" applyBorder="1" applyAlignment="1">
      <alignment horizontal="center" wrapText="1"/>
    </xf>
    <xf numFmtId="165" fontId="14" fillId="0" borderId="3" xfId="3" applyFont="1" applyBorder="1" applyAlignment="1">
      <alignment horizontal="center" wrapText="1"/>
    </xf>
    <xf numFmtId="165" fontId="79" fillId="0" borderId="66" xfId="3" applyFont="1" applyBorder="1" applyAlignment="1">
      <alignment horizontal="center" vertical="center"/>
    </xf>
    <xf numFmtId="165" fontId="79" fillId="0" borderId="27" xfId="3" applyFont="1" applyBorder="1" applyAlignment="1">
      <alignment horizontal="center" vertical="center"/>
    </xf>
    <xf numFmtId="165" fontId="79" fillId="0" borderId="35" xfId="3" applyFont="1" applyBorder="1" applyAlignment="1">
      <alignment horizontal="center" vertical="center"/>
    </xf>
    <xf numFmtId="2" fontId="31" fillId="24" borderId="1" xfId="3" applyNumberFormat="1" applyFont="1" applyFill="1" applyBorder="1" applyAlignment="1">
      <alignment horizontal="center"/>
    </xf>
    <xf numFmtId="165" fontId="20" fillId="0" borderId="23" xfId="3" applyFont="1" applyBorder="1" applyAlignment="1">
      <alignment horizontal="center" vertical="center"/>
    </xf>
    <xf numFmtId="165" fontId="20" fillId="0" borderId="27" xfId="3" applyFont="1" applyBorder="1" applyAlignment="1">
      <alignment horizontal="center" vertical="center"/>
    </xf>
    <xf numFmtId="165" fontId="20" fillId="0" borderId="35" xfId="3" applyFont="1" applyBorder="1" applyAlignment="1">
      <alignment horizontal="center" vertical="center"/>
    </xf>
    <xf numFmtId="165" fontId="9" fillId="0" borderId="1" xfId="3" applyFont="1" applyBorder="1" applyAlignment="1">
      <alignment horizontal="center" vertical="center" wrapText="1"/>
    </xf>
    <xf numFmtId="165" fontId="9" fillId="0" borderId="11" xfId="3" applyFont="1" applyBorder="1" applyAlignment="1">
      <alignment horizontal="center" vertical="center" wrapText="1"/>
    </xf>
    <xf numFmtId="165" fontId="85" fillId="0" borderId="66" xfId="3" applyFont="1" applyBorder="1" applyAlignment="1">
      <alignment horizontal="center" vertical="center"/>
    </xf>
    <xf numFmtId="165" fontId="85" fillId="0" borderId="27" xfId="3" applyFont="1" applyBorder="1" applyAlignment="1">
      <alignment horizontal="center" vertical="center"/>
    </xf>
    <xf numFmtId="165" fontId="85" fillId="0" borderId="35" xfId="3" applyFont="1" applyBorder="1" applyAlignment="1">
      <alignment horizontal="center" vertical="center"/>
    </xf>
    <xf numFmtId="165" fontId="20" fillId="0" borderId="66" xfId="3" applyFont="1" applyBorder="1" applyAlignment="1">
      <alignment horizontal="center" vertical="center"/>
    </xf>
    <xf numFmtId="165" fontId="85" fillId="0" borderId="23" xfId="3" applyFont="1" applyBorder="1" applyAlignment="1">
      <alignment horizontal="center" vertical="center"/>
    </xf>
    <xf numFmtId="165" fontId="86" fillId="0" borderId="23" xfId="3" applyFont="1" applyBorder="1" applyAlignment="1">
      <alignment horizontal="center" vertical="center"/>
    </xf>
    <xf numFmtId="165" fontId="86" fillId="0" borderId="27" xfId="3" applyFont="1" applyBorder="1" applyAlignment="1">
      <alignment horizontal="center" vertical="center"/>
    </xf>
    <xf numFmtId="165" fontId="86" fillId="0" borderId="35" xfId="3" applyFont="1" applyBorder="1" applyAlignment="1">
      <alignment horizontal="center" vertical="center"/>
    </xf>
    <xf numFmtId="165" fontId="87" fillId="0" borderId="23" xfId="3" applyFont="1" applyBorder="1" applyAlignment="1">
      <alignment horizontal="center" vertical="center"/>
    </xf>
    <xf numFmtId="165" fontId="87" fillId="0" borderId="27" xfId="3" applyFont="1" applyBorder="1" applyAlignment="1">
      <alignment horizontal="center" vertical="center"/>
    </xf>
    <xf numFmtId="165" fontId="87" fillId="0" borderId="35" xfId="3" applyFont="1" applyBorder="1" applyAlignment="1">
      <alignment horizontal="center" vertical="center"/>
    </xf>
    <xf numFmtId="165" fontId="28" fillId="0" borderId="23" xfId="3" applyFont="1" applyBorder="1" applyAlignment="1">
      <alignment horizontal="center" vertical="center"/>
    </xf>
    <xf numFmtId="165" fontId="28" fillId="0" borderId="27" xfId="3" applyFont="1" applyBorder="1" applyAlignment="1">
      <alignment horizontal="center" vertical="center"/>
    </xf>
    <xf numFmtId="165" fontId="28" fillId="0" borderId="35" xfId="3" applyFont="1" applyBorder="1" applyAlignment="1">
      <alignment horizontal="center" vertical="center"/>
    </xf>
    <xf numFmtId="165" fontId="26" fillId="0" borderId="23" xfId="3" applyFont="1" applyBorder="1" applyAlignment="1">
      <alignment horizontal="center" vertical="center"/>
    </xf>
    <xf numFmtId="165" fontId="23" fillId="0" borderId="66" xfId="3" applyFont="1" applyBorder="1" applyAlignment="1">
      <alignment horizontal="center" vertical="center"/>
    </xf>
    <xf numFmtId="165" fontId="23" fillId="0" borderId="27" xfId="3" applyFont="1" applyBorder="1" applyAlignment="1">
      <alignment horizontal="center" vertical="center"/>
    </xf>
    <xf numFmtId="165" fontId="23" fillId="0" borderId="35" xfId="3" applyFont="1" applyBorder="1" applyAlignment="1">
      <alignment horizontal="center" vertical="center"/>
    </xf>
    <xf numFmtId="165" fontId="7" fillId="0" borderId="53" xfId="3" applyBorder="1" applyAlignment="1">
      <alignment horizontal="center"/>
    </xf>
    <xf numFmtId="165" fontId="7" fillId="0" borderId="67" xfId="3" applyBorder="1" applyAlignment="1">
      <alignment horizontal="center"/>
    </xf>
    <xf numFmtId="15" fontId="40" fillId="0" borderId="44" xfId="3" applyNumberFormat="1" applyFont="1" applyBorder="1" applyAlignment="1">
      <alignment horizontal="center"/>
    </xf>
    <xf numFmtId="165" fontId="60" fillId="0" borderId="46" xfId="3" applyFont="1" applyBorder="1" applyAlignment="1">
      <alignment horizontal="center" vertical="center"/>
    </xf>
    <xf numFmtId="165" fontId="60" fillId="0" borderId="47" xfId="3" applyFont="1" applyBorder="1" applyAlignment="1">
      <alignment horizontal="center" vertical="center"/>
    </xf>
    <xf numFmtId="165" fontId="60" fillId="0" borderId="48" xfId="3" applyFont="1" applyBorder="1" applyAlignment="1">
      <alignment horizontal="center" vertical="center"/>
    </xf>
    <xf numFmtId="165" fontId="59" fillId="0" borderId="46" xfId="3" applyFont="1" applyBorder="1" applyAlignment="1">
      <alignment horizontal="center" vertical="center"/>
    </xf>
    <xf numFmtId="165" fontId="59" fillId="0" borderId="47" xfId="3" applyFont="1" applyBorder="1" applyAlignment="1">
      <alignment horizontal="center" vertical="center"/>
    </xf>
    <xf numFmtId="165" fontId="59" fillId="0" borderId="48" xfId="3" applyFont="1" applyBorder="1" applyAlignment="1">
      <alignment horizontal="center" vertical="center"/>
    </xf>
    <xf numFmtId="165" fontId="7" fillId="0" borderId="2" xfId="3" applyBorder="1" applyAlignment="1">
      <alignment horizontal="center"/>
    </xf>
    <xf numFmtId="165" fontId="7" fillId="0" borderId="65" xfId="3" applyBorder="1" applyAlignment="1">
      <alignment horizontal="center"/>
    </xf>
    <xf numFmtId="165" fontId="40" fillId="0" borderId="6" xfId="3" applyFont="1" applyBorder="1" applyAlignment="1">
      <alignment horizontal="center" vertical="center" wrapText="1"/>
    </xf>
    <xf numFmtId="165" fontId="40" fillId="0" borderId="39" xfId="3" applyFont="1" applyBorder="1" applyAlignment="1">
      <alignment horizontal="center" vertical="center" wrapText="1"/>
    </xf>
    <xf numFmtId="165" fontId="40" fillId="0" borderId="7" xfId="3" applyFont="1" applyBorder="1" applyAlignment="1">
      <alignment horizontal="center" vertical="center" wrapText="1"/>
    </xf>
    <xf numFmtId="165" fontId="40" fillId="0" borderId="17" xfId="3" applyFont="1" applyBorder="1" applyAlignment="1">
      <alignment horizontal="center" vertical="center" wrapText="1"/>
    </xf>
    <xf numFmtId="165" fontId="40" fillId="0" borderId="62" xfId="3" applyFont="1" applyBorder="1" applyAlignment="1">
      <alignment horizontal="center" vertical="center" wrapText="1"/>
    </xf>
    <xf numFmtId="165" fontId="40" fillId="0" borderId="4" xfId="3" applyFont="1" applyBorder="1" applyAlignment="1">
      <alignment horizontal="center" vertical="center" wrapText="1"/>
    </xf>
    <xf numFmtId="165" fontId="40" fillId="0" borderId="2" xfId="3" applyFont="1" applyBorder="1" applyAlignment="1">
      <alignment horizontal="center"/>
    </xf>
    <xf numFmtId="165" fontId="40" fillId="0" borderId="65" xfId="3" applyFont="1" applyBorder="1" applyAlignment="1">
      <alignment horizontal="center"/>
    </xf>
    <xf numFmtId="2" fontId="7" fillId="0" borderId="55" xfId="3" applyNumberFormat="1" applyBorder="1" applyAlignment="1">
      <alignment horizontal="center"/>
    </xf>
    <xf numFmtId="2" fontId="7" fillId="0" borderId="56" xfId="3" applyNumberFormat="1" applyBorder="1" applyAlignment="1">
      <alignment horizontal="center"/>
    </xf>
    <xf numFmtId="165" fontId="40" fillId="0" borderId="23" xfId="3" applyFont="1" applyBorder="1" applyAlignment="1">
      <alignment horizontal="center" vertical="center"/>
    </xf>
    <xf numFmtId="165" fontId="40" fillId="0" borderId="34" xfId="3" applyFont="1" applyBorder="1" applyAlignment="1">
      <alignment horizontal="center" vertical="center"/>
    </xf>
    <xf numFmtId="165" fontId="40" fillId="0" borderId="55" xfId="3" applyFont="1" applyBorder="1" applyAlignment="1">
      <alignment horizontal="center" vertical="center"/>
    </xf>
    <xf numFmtId="165" fontId="40" fillId="0" borderId="64" xfId="3" applyFont="1" applyBorder="1" applyAlignment="1">
      <alignment horizontal="center" vertical="center"/>
    </xf>
    <xf numFmtId="165" fontId="40" fillId="0" borderId="5" xfId="3" applyFont="1" applyBorder="1" applyAlignment="1">
      <alignment horizontal="center" vertical="center" wrapText="1"/>
    </xf>
    <xf numFmtId="165" fontId="40" fillId="0" borderId="38" xfId="3" applyFont="1" applyBorder="1" applyAlignment="1">
      <alignment horizontal="center" vertical="center" wrapText="1"/>
    </xf>
    <xf numFmtId="165" fontId="39" fillId="0" borderId="0" xfId="3" applyFont="1" applyAlignment="1">
      <alignment horizontal="center"/>
    </xf>
    <xf numFmtId="165" fontId="7" fillId="0" borderId="0" xfId="3" applyAlignment="1">
      <alignment horizontal="left"/>
    </xf>
    <xf numFmtId="165" fontId="40" fillId="0" borderId="50" xfId="3" applyFont="1" applyBorder="1" applyAlignment="1">
      <alignment horizontal="center" vertical="center" wrapText="1"/>
    </xf>
    <xf numFmtId="165" fontId="40" fillId="0" borderId="10" xfId="3" applyFont="1" applyBorder="1" applyAlignment="1">
      <alignment horizontal="center" vertical="center" wrapText="1"/>
    </xf>
    <xf numFmtId="165" fontId="41" fillId="0" borderId="6" xfId="3" applyFont="1" applyBorder="1" applyAlignment="1">
      <alignment horizontal="center" vertical="center" wrapText="1"/>
    </xf>
    <xf numFmtId="165" fontId="41" fillId="0" borderId="10" xfId="3" applyFont="1" applyBorder="1" applyAlignment="1">
      <alignment horizontal="center" vertical="center" wrapText="1"/>
    </xf>
    <xf numFmtId="165" fontId="40" fillId="0" borderId="35" xfId="3" applyFont="1" applyBorder="1" applyAlignment="1">
      <alignment horizontal="center" vertical="center"/>
    </xf>
    <xf numFmtId="165" fontId="63" fillId="4" borderId="0" xfId="0" applyFont="1" applyFill="1" applyAlignment="1">
      <alignment horizontal="center"/>
    </xf>
    <xf numFmtId="165" fontId="75" fillId="0" borderId="0" xfId="0" applyFont="1" applyAlignment="1">
      <alignment horizontal="center" vertical="top"/>
    </xf>
    <xf numFmtId="165" fontId="64" fillId="20" borderId="41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left" vertical="center"/>
    </xf>
    <xf numFmtId="165" fontId="64" fillId="20" borderId="69" xfId="0" applyFont="1" applyFill="1" applyBorder="1" applyAlignment="1">
      <alignment horizontal="center" vertical="center"/>
    </xf>
    <xf numFmtId="165" fontId="72" fillId="0" borderId="0" xfId="0" applyFont="1" applyAlignment="1">
      <alignment horizontal="center" vertical="top"/>
    </xf>
    <xf numFmtId="165" fontId="64" fillId="20" borderId="4" xfId="0" applyFont="1" applyFill="1" applyBorder="1" applyAlignment="1">
      <alignment horizontal="center" vertical="center"/>
    </xf>
    <xf numFmtId="165" fontId="64" fillId="20" borderId="4" xfId="0" applyFont="1" applyFill="1" applyBorder="1" applyAlignment="1">
      <alignment horizontal="left" vertical="center"/>
    </xf>
    <xf numFmtId="165" fontId="73" fillId="20" borderId="4" xfId="0" applyFont="1" applyFill="1" applyBorder="1" applyAlignment="1">
      <alignment horizontal="right" vertical="center"/>
    </xf>
  </cellXfs>
  <cellStyles count="11">
    <cellStyle name="Comma" xfId="1" builtinId="3"/>
    <cellStyle name="Neutral" xfId="2" builtinId="28"/>
    <cellStyle name="Normal" xfId="0" builtinId="0"/>
    <cellStyle name="Normal 2" xfId="3" xr:uid="{C80A2C66-3E2C-4179-9159-DBCA8D9B0E56}"/>
    <cellStyle name="Normal 3" xfId="9" xr:uid="{CF2ABADC-5070-4BF5-85BE-C6735585C6D9}"/>
    <cellStyle name="Percent 2" xfId="4" xr:uid="{CE2CDC16-AD31-4ED8-AE2A-FCD60A61219D}"/>
    <cellStyle name="Percent 3" xfId="5" xr:uid="{146671D8-AF93-4F7C-A417-29B4344625B7}"/>
    <cellStyle name="Percent 3 2" xfId="7" xr:uid="{D9E4557F-C4B0-46CD-A4D0-A5F6371463AD}"/>
    <cellStyle name="Percent 4" xfId="6" xr:uid="{4AD98EB2-9BB4-4842-A408-0E56A74ED11E}"/>
    <cellStyle name="Percent 4 2" xfId="8" xr:uid="{4E10984A-3ADE-4C2D-B6E7-76DD6D94E726}"/>
    <cellStyle name="Percent 4 3" xfId="10" xr:uid="{01053475-F444-4128-81F2-2F08DC4F4A0B}"/>
  </cellStyles>
  <dxfs count="2548"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/>
        <color rgb="FFFF0000"/>
      </font>
      <fill>
        <patternFill>
          <bgColor theme="4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theme="9" tint="-0.2499465926084170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ndense val="0"/>
        <extend val="0"/>
        <color indexed="10"/>
      </font>
    </dxf>
    <dxf>
      <font>
        <b/>
        <i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b/>
        <i val="0"/>
        <color rgb="FFFF0000"/>
      </font>
      <fill>
        <patternFill>
          <bgColor theme="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008200"/>
      <color rgb="FF0000FF"/>
      <color rgb="FFFF66FF"/>
      <color rgb="FFCC66FF"/>
      <color rgb="FFC288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22.xml"/><Relationship Id="rId63" Type="http://schemas.openxmlformats.org/officeDocument/2006/relationships/externalLink" Target="externalLinks/externalLink38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4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7.xml"/><Relationship Id="rId37" Type="http://schemas.openxmlformats.org/officeDocument/2006/relationships/externalLink" Target="externalLinks/externalLink12.xml"/><Relationship Id="rId40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20.xml"/><Relationship Id="rId53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33.xml"/><Relationship Id="rId66" Type="http://schemas.openxmlformats.org/officeDocument/2006/relationships/externalLink" Target="externalLinks/externalLink41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36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externalLink" Target="externalLinks/externalLink5.xml"/><Relationship Id="rId35" Type="http://schemas.openxmlformats.org/officeDocument/2006/relationships/externalLink" Target="externalLinks/externalLink10.xml"/><Relationship Id="rId43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23.xml"/><Relationship Id="rId56" Type="http://schemas.openxmlformats.org/officeDocument/2006/relationships/externalLink" Target="externalLinks/externalLink31.xml"/><Relationship Id="rId64" Type="http://schemas.openxmlformats.org/officeDocument/2006/relationships/externalLink" Target="externalLinks/externalLink39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6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8.xml"/><Relationship Id="rId38" Type="http://schemas.openxmlformats.org/officeDocument/2006/relationships/externalLink" Target="externalLinks/externalLink13.xml"/><Relationship Id="rId46" Type="http://schemas.openxmlformats.org/officeDocument/2006/relationships/externalLink" Target="externalLinks/externalLink21.xml"/><Relationship Id="rId59" Type="http://schemas.openxmlformats.org/officeDocument/2006/relationships/externalLink" Target="externalLinks/externalLink34.xml"/><Relationship Id="rId67" Type="http://schemas.openxmlformats.org/officeDocument/2006/relationships/externalLink" Target="externalLinks/externalLink42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6.xml"/><Relationship Id="rId54" Type="http://schemas.openxmlformats.org/officeDocument/2006/relationships/externalLink" Target="externalLinks/externalLink29.xml"/><Relationship Id="rId62" Type="http://schemas.openxmlformats.org/officeDocument/2006/relationships/externalLink" Target="externalLinks/externalLink37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3.xml"/><Relationship Id="rId36" Type="http://schemas.openxmlformats.org/officeDocument/2006/relationships/externalLink" Target="externalLinks/externalLink11.xml"/><Relationship Id="rId49" Type="http://schemas.openxmlformats.org/officeDocument/2006/relationships/externalLink" Target="externalLinks/externalLink24.xml"/><Relationship Id="rId57" Type="http://schemas.openxmlformats.org/officeDocument/2006/relationships/externalLink" Target="externalLinks/externalLink32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6.xml"/><Relationship Id="rId44" Type="http://schemas.openxmlformats.org/officeDocument/2006/relationships/externalLink" Target="externalLinks/externalLink19.xml"/><Relationship Id="rId52" Type="http://schemas.openxmlformats.org/officeDocument/2006/relationships/externalLink" Target="externalLinks/externalLink27.xml"/><Relationship Id="rId60" Type="http://schemas.openxmlformats.org/officeDocument/2006/relationships/externalLink" Target="externalLinks/externalLink35.xml"/><Relationship Id="rId65" Type="http://schemas.openxmlformats.org/officeDocument/2006/relationships/externalLink" Target="externalLinks/externalLink4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14.xml"/><Relationship Id="rId34" Type="http://schemas.openxmlformats.org/officeDocument/2006/relationships/externalLink" Target="externalLinks/externalLink9.xml"/><Relationship Id="rId50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'Brewer Performance'!$E$4</c:f>
              <c:strCache>
                <c:ptCount val="1"/>
                <c:pt idx="0">
                  <c:v>MTD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'Brewer Performance'!$C$5:$C$9</c:f>
              <c:strCache>
                <c:ptCount val="5"/>
                <c:pt idx="0">
                  <c:v>KEIRAN BENJAMIN</c:v>
                </c:pt>
                <c:pt idx="1">
                  <c:v>JOHNNY GREENIDGE</c:v>
                </c:pt>
                <c:pt idx="2">
                  <c:v>JAMES GRANT</c:v>
                </c:pt>
                <c:pt idx="3">
                  <c:v>RODNEY REGIS</c:v>
                </c:pt>
                <c:pt idx="4">
                  <c:v>DESEAN EMERY</c:v>
                </c:pt>
              </c:strCache>
            </c:strRef>
          </c:cat>
          <c:val>
            <c:numRef>
              <c:f>'Brewer Performance'!$E$5:$E$9</c:f>
              <c:numCache>
                <c:formatCode>0.00</c:formatCode>
                <c:ptCount val="5"/>
                <c:pt idx="0">
                  <c:v>98.214734207097663</c:v>
                </c:pt>
                <c:pt idx="1">
                  <c:v>97.831216272750581</c:v>
                </c:pt>
                <c:pt idx="2">
                  <c:v>100.82497251003979</c:v>
                </c:pt>
                <c:pt idx="3">
                  <c:v>97.759800403711807</c:v>
                </c:pt>
                <c:pt idx="4">
                  <c:v>98.186950219332687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12-4AB4-ABF6-AFB5CBFC3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73214208"/>
        <c:axId val="3732160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'Brewer Performance'!$G$4</c15:sqref>
                        </c15:formulaRef>
                      </c:ext>
                    </c:extLst>
                    <c:strCache>
                      <c:ptCount val="1"/>
                      <c:pt idx="0">
                        <c:v>TARGET</c:v>
                      </c:pt>
                    </c:strCache>
                  </c:strRef>
                </c:tx>
                <c:spPr>
                  <a:solidFill>
                    <a:schemeClr val="accent3">
                      <a:lumMod val="75000"/>
                    </a:schemeClr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'Brewer Performance'!$C$5:$C$9</c15:sqref>
                        </c15:formulaRef>
                      </c:ext>
                    </c:extLst>
                    <c:strCache>
                      <c:ptCount val="5"/>
                      <c:pt idx="0">
                        <c:v>KEIRAN BENJAMIN</c:v>
                      </c:pt>
                      <c:pt idx="1">
                        <c:v>JOHNNY GREENIDGE</c:v>
                      </c:pt>
                      <c:pt idx="2">
                        <c:v>JAMES GRANT</c:v>
                      </c:pt>
                      <c:pt idx="3">
                        <c:v>RODNEY REGIS</c:v>
                      </c:pt>
                      <c:pt idx="4">
                        <c:v>DESEAN EMERY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Performance'!$G$5:$G$9</c15:sqref>
                        </c15:formulaRef>
                      </c:ext>
                    </c:extLst>
                    <c:numCache>
                      <c:formatCode>0.0</c:formatCode>
                      <c:ptCount val="5"/>
                      <c:pt idx="0">
                        <c:v>98</c:v>
                      </c:pt>
                      <c:pt idx="1">
                        <c:v>98</c:v>
                      </c:pt>
                      <c:pt idx="2">
                        <c:v>98</c:v>
                      </c:pt>
                      <c:pt idx="3">
                        <c:v>98</c:v>
                      </c:pt>
                      <c:pt idx="4">
                        <c:v>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9F12-4AB4-ABF6-AFB5CBFC33A6}"/>
                  </c:ext>
                </c:extLst>
              </c15:ser>
            </c15:filteredBarSeries>
          </c:ext>
        </c:extLst>
      </c:barChart>
      <c:catAx>
        <c:axId val="37321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6000"/>
        <c:crosses val="autoZero"/>
        <c:auto val="1"/>
        <c:lblAlgn val="ctr"/>
        <c:lblOffset val="100"/>
        <c:noMultiLvlLbl val="0"/>
      </c:catAx>
      <c:valAx>
        <c:axId val="373216000"/>
        <c:scaling>
          <c:orientation val="minMax"/>
          <c:max val="100"/>
          <c:min val="90"/>
        </c:scaling>
        <c:delete val="0"/>
        <c:axPos val="l"/>
        <c:majorGridlines/>
        <c:numFmt formatCode="#,##0.00" sourceLinked="0"/>
        <c:majorTickMark val="out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3732142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0" b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" l="0.70000000000000062" r="0.70000000000000062" t="0.750000000000002" header="0.30000000000000032" footer="0.30000000000000032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'Brewer Performance'!$C$40</c:f>
              <c:strCache>
                <c:ptCount val="1"/>
                <c:pt idx="0">
                  <c:v>KEIRAN BENJAMIN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Performance'!$D$40:$O$40</c:f>
              <c:numCache>
                <c:formatCode>0.00</c:formatCode>
                <c:ptCount val="12"/>
                <c:pt idx="0">
                  <c:v>96.507822129582451</c:v>
                </c:pt>
                <c:pt idx="1">
                  <c:v>98.284801217583563</c:v>
                </c:pt>
                <c:pt idx="2">
                  <c:v>98.226686244092193</c:v>
                </c:pt>
                <c:pt idx="3">
                  <c:v>98.210530202427222</c:v>
                </c:pt>
                <c:pt idx="4">
                  <c:v>98.517352497406634</c:v>
                </c:pt>
                <c:pt idx="5">
                  <c:v>98.214734207097663</c:v>
                </c:pt>
                <c:pt idx="6">
                  <c:v>98.198803831827249</c:v>
                </c:pt>
                <c:pt idx="7">
                  <c:v>97.486490472733735</c:v>
                </c:pt>
                <c:pt idx="8">
                  <c:v>97.932459358923822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C4-4B61-A360-434F4872A4EA}"/>
            </c:ext>
          </c:extLst>
        </c:ser>
        <c:ser>
          <c:idx val="1"/>
          <c:order val="1"/>
          <c:tx>
            <c:strRef>
              <c:f>'Brewer Performance'!$C$41</c:f>
              <c:strCache>
                <c:ptCount val="1"/>
                <c:pt idx="0">
                  <c:v>JOHNNY GREENIDGE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Performance'!$D$41:$O$41</c:f>
              <c:numCache>
                <c:formatCode>0.00</c:formatCode>
                <c:ptCount val="12"/>
                <c:pt idx="0">
                  <c:v>97.99738587335284</c:v>
                </c:pt>
                <c:pt idx="1">
                  <c:v>97.918121549662388</c:v>
                </c:pt>
                <c:pt idx="2">
                  <c:v>98.070081368185257</c:v>
                </c:pt>
                <c:pt idx="3">
                  <c:v>97.79453968977019</c:v>
                </c:pt>
                <c:pt idx="4">
                  <c:v>98.442574874312371</c:v>
                </c:pt>
                <c:pt idx="5">
                  <c:v>97.831216272750581</c:v>
                </c:pt>
                <c:pt idx="6">
                  <c:v>98.459260197488078</c:v>
                </c:pt>
                <c:pt idx="7">
                  <c:v>98.711428992063503</c:v>
                </c:pt>
                <c:pt idx="8">
                  <c:v>97.854862054451985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C4-4B61-A360-434F4872A4EA}"/>
            </c:ext>
          </c:extLst>
        </c:ser>
        <c:ser>
          <c:idx val="2"/>
          <c:order val="2"/>
          <c:tx>
            <c:strRef>
              <c:f>'Brewer Performance'!$C$42</c:f>
              <c:strCache>
                <c:ptCount val="1"/>
                <c:pt idx="0">
                  <c:v>JAMES GRANT</c:v>
                </c:pt>
              </c:strCache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'Brewer Performance'!$D$42:$O$42</c:f>
              <c:numCache>
                <c:formatCode>0.00</c:formatCode>
                <c:ptCount val="12"/>
                <c:pt idx="3">
                  <c:v>98.305001734453086</c:v>
                </c:pt>
                <c:pt idx="5">
                  <c:v>100.82497251003979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C4-4B61-A360-434F4872A4EA}"/>
            </c:ext>
          </c:extLst>
        </c:ser>
        <c:ser>
          <c:idx val="3"/>
          <c:order val="3"/>
          <c:tx>
            <c:strRef>
              <c:f>'Brewer Performance'!$C$44</c:f>
              <c:strCache>
                <c:ptCount val="1"/>
                <c:pt idx="0">
                  <c:v>RODNEY REGIS</c:v>
                </c:pt>
              </c:strCache>
              <c:extLst xmlns:c15="http://schemas.microsoft.com/office/drawing/2012/chart"/>
            </c:strRef>
          </c:tx>
          <c:marker>
            <c:spPr>
              <a:solidFill>
                <a:srgbClr val="7030A0"/>
              </a:solidFill>
            </c:spPr>
          </c:marker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Performance'!$D$44:$O$44</c:f>
              <c:numCache>
                <c:formatCode>0.00</c:formatCode>
                <c:ptCount val="12"/>
                <c:pt idx="0">
                  <c:v>98.304611060419475</c:v>
                </c:pt>
                <c:pt idx="1">
                  <c:v>97.289162940824014</c:v>
                </c:pt>
                <c:pt idx="2">
                  <c:v>98.163642226187022</c:v>
                </c:pt>
                <c:pt idx="3">
                  <c:v>97.964054285784258</c:v>
                </c:pt>
                <c:pt idx="4">
                  <c:v>98.685415156420575</c:v>
                </c:pt>
                <c:pt idx="5">
                  <c:v>97.759800403711807</c:v>
                </c:pt>
                <c:pt idx="6">
                  <c:v>98.532266745142223</c:v>
                </c:pt>
                <c:pt idx="7">
                  <c:v>98.484140672420295</c:v>
                </c:pt>
                <c:pt idx="8">
                  <c:v>97.916815501712691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AEC4-4B61-A360-434F4872A4EA}"/>
            </c:ext>
          </c:extLst>
        </c:ser>
        <c:ser>
          <c:idx val="4"/>
          <c:order val="4"/>
          <c:tx>
            <c:strRef>
              <c:f>'Brewer Performance'!$C$45</c:f>
              <c:strCache>
                <c:ptCount val="1"/>
                <c:pt idx="0">
                  <c:v>DESEAN EMERY</c:v>
                </c:pt>
              </c:strCache>
              <c:extLst xmlns:c15="http://schemas.microsoft.com/office/drawing/2012/chart"/>
            </c:strRef>
          </c:tx>
          <c:cat>
            <c:strRef>
              <c:f>'Brewer Performance'!$D$39:$O$39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 xmlns:c15="http://schemas.microsoft.com/office/drawing/2012/chart"/>
            </c:strRef>
          </c:cat>
          <c:val>
            <c:numRef>
              <c:f>'Brewer Performance'!$D$45:$O$45</c:f>
              <c:numCache>
                <c:formatCode>0.00</c:formatCode>
                <c:ptCount val="12"/>
                <c:pt idx="0">
                  <c:v>98.673584433402866</c:v>
                </c:pt>
                <c:pt idx="5">
                  <c:v>98.186950219332687</c:v>
                </c:pt>
                <c:pt idx="6">
                  <c:v>97.888270164748889</c:v>
                </c:pt>
                <c:pt idx="7">
                  <c:v>97.609604379501235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EC4-4B61-A360-434F4872A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3286016"/>
        <c:axId val="373287552"/>
        <c:extLst>
          <c:ext xmlns:c15="http://schemas.microsoft.com/office/drawing/2012/chart" uri="{02D57815-91ED-43cb-92C2-25804820EDAC}">
            <c15:filteredLine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>
                      <c:ext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AEC4-4B61-A360-434F4872A4E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marker>
                  <c:spPr>
                    <a:solidFill>
                      <a:srgbClr val="FFFF99"/>
                    </a:solidFill>
                    <a:ln>
                      <a:solidFill>
                        <a:srgbClr val="FFFF00"/>
                      </a:solidFill>
                    </a:ln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EC4-4B61-A360-434F4872A4E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AEC4-4B61-A360-434F4872A4E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Performance'!$D$39:$O$39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'Brewer Performance'!#REF!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EC4-4B61-A360-434F4872A4EA}"/>
                  </c:ext>
                </c:extLst>
              </c15:ser>
            </c15:filteredLineSeries>
          </c:ext>
        </c:extLst>
      </c:lineChart>
      <c:catAx>
        <c:axId val="37328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en-US"/>
          </a:p>
        </c:txPr>
        <c:crossAx val="373287552"/>
        <c:crosses val="autoZero"/>
        <c:auto val="1"/>
        <c:lblAlgn val="ctr"/>
        <c:lblOffset val="100"/>
        <c:noMultiLvlLbl val="0"/>
      </c:catAx>
      <c:valAx>
        <c:axId val="373287552"/>
        <c:scaling>
          <c:orientation val="minMax"/>
          <c:max val="100"/>
          <c:min val="90.5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1300" b="1"/>
            </a:pPr>
            <a:endParaRPr lang="en-US"/>
          </a:p>
        </c:txPr>
        <c:crossAx val="373286016"/>
        <c:crosses val="autoZero"/>
        <c:crossBetween val="between"/>
      </c:valAx>
      <c:spPr>
        <a:gradFill rotWithShape="1">
          <a:gsLst>
            <a:gs pos="0">
              <a:schemeClr val="dk1">
                <a:tint val="50000"/>
                <a:satMod val="300000"/>
              </a:schemeClr>
            </a:gs>
            <a:gs pos="35000">
              <a:schemeClr val="dk1">
                <a:tint val="37000"/>
                <a:satMod val="300000"/>
              </a:schemeClr>
            </a:gs>
            <a:gs pos="100000">
              <a:schemeClr val="dk1">
                <a:tint val="15000"/>
                <a:satMod val="350000"/>
              </a:schemeClr>
            </a:gs>
          </a:gsLst>
          <a:lin ang="16200000" scaled="1"/>
        </a:gradFill>
        <a:ln w="9525" cap="flat" cmpd="sng" algn="ctr">
          <a:solidFill>
            <a:schemeClr val="dk1">
              <a:shade val="95000"/>
              <a:satMod val="105000"/>
            </a:schemeClr>
          </a:solidFill>
          <a:prstDash val="solid"/>
        </a:ln>
        <a:effectLst>
          <a:outerShdw blurRad="40000" dist="20000" dir="5400000" rotWithShape="0">
            <a:srgbClr val="000000">
              <a:alpha val="38000"/>
            </a:srgbClr>
          </a:outerShdw>
        </a:effectLst>
      </c:spPr>
    </c:plotArea>
    <c:legend>
      <c:legendPos val="r"/>
      <c:overlay val="0"/>
      <c:txPr>
        <a:bodyPr/>
        <a:lstStyle/>
        <a:p>
          <a:pPr>
            <a:defRPr sz="1400" b="1" i="1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352283</xdr:colOff>
      <xdr:row>14</xdr:row>
      <xdr:rowOff>16246</xdr:rowOff>
    </xdr:from>
    <xdr:to>
      <xdr:col>8</xdr:col>
      <xdr:colOff>27873</xdr:colOff>
      <xdr:row>33</xdr:row>
      <xdr:rowOff>106174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51162C-1400-4B7D-927D-16D885EB38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251011</xdr:colOff>
      <xdr:row>48</xdr:row>
      <xdr:rowOff>79841</xdr:rowOff>
    </xdr:from>
    <xdr:to>
      <xdr:col>15</xdr:col>
      <xdr:colOff>679636</xdr:colOff>
      <xdr:row>75</xdr:row>
      <xdr:rowOff>36979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3D5D15-1D00-488B-99AD-7941550F4D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May'18%20Daily%20Process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Reports%20Local\Daily%20Process%20Report\January'20%20Daily%20Process%20Report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CaribLog2022.xlsx" TargetMode="External"/><Relationship Id="rId1" Type="http://schemas.openxmlformats.org/officeDocument/2006/relationships/externalLinkPath" Target="/Operations/Brewing/Logbooks/Logbooks%202022/NewCaribLog202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tagLog2022.xls" TargetMode="External"/><Relationship Id="rId1" Type="http://schemas.openxmlformats.org/officeDocument/2006/relationships/externalLinkPath" Target="/Operations/Brewing/Logbooks/Logbooks%202022/NewStagLog2022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GuinnLog2022.xls" TargetMode="External"/><Relationship Id="rId1" Type="http://schemas.openxmlformats.org/officeDocument/2006/relationships/externalLinkPath" Target="/Operations/Brewing/Logbooks/Logbooks%202022/NewGuinnLog2022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VMaltLog2022.xls" TargetMode="External"/><Relationship Id="rId1" Type="http://schemas.openxmlformats.org/officeDocument/2006/relationships/externalLinkPath" Target="/Operations/Brewing/Logbooks/Logbooks%202022/NewVMaltLog2022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MackLog2022.xls" TargetMode="External"/><Relationship Id="rId1" Type="http://schemas.openxmlformats.org/officeDocument/2006/relationships/externalLinkPath" Target="/Operations/Brewing/Logbooks/Logbooks%202022/NewMackLog2022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SMaltLog2022.xls" TargetMode="External"/><Relationship Id="rId1" Type="http://schemas.openxmlformats.org/officeDocument/2006/relationships/externalLinkPath" Target="/Operations/Brewing/Logbooks/Logbooks%202022/NewSMaltLog2022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2\NewHRLog2022.xls" TargetMode="External"/><Relationship Id="rId1" Type="http://schemas.openxmlformats.org/officeDocument/2006/relationships/externalLinkPath" Target="/Operations/Brewing/Logbooks/Logbooks%202022/NewHRLog2022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an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anuary%20'23%20Daily%20Process%20Report%202023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Februar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February%20'23%20Daily%20Process%20Report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March%20'23%20Daily%20Process%20Report%20202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3%20Daily%20Process%20Report/April%20'23%20Daily%20Process%20Report%202023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ne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ne%20'23%20Daily%20Process%20Report%202023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July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July%20'23%20Daily%20Process%20Report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August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August%20'23%20Daily%20Process%20Report%202023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3%20Daily%20Process%20Report\October%20'23%20Daily%20Process%20Report%202023.xlsx" TargetMode="External"/><Relationship Id="rId1" Type="http://schemas.openxmlformats.org/officeDocument/2006/relationships/externalLinkPath" Target="/Operations/Brewing/Reports%20Local/Daily%20Process%20Report/2023%20Daily%20Process%20Report/October%20'23%20Daily%20Process%20Report%202023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3.xls" TargetMode="External"/><Relationship Id="rId1" Type="http://schemas.openxmlformats.org/officeDocument/2006/relationships/externalLinkPath" Target="/Operations/Reshelle/Brewing/Daily_Brewhouse_Efficiency/Daily_Brewhouse_Efficiency_2023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3.xlsx" TargetMode="External"/><Relationship Id="rId1" Type="http://schemas.openxmlformats.org/officeDocument/2006/relationships/externalLinkPath" Target="/Operations/Reshelle/Brewing/Filtration_Throughput/Filtration_Throughput_2023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Filtration_Throughput/Filtration_Throughput_2019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Royd/Brewing/Daily_Brewhouse_Efficiency/Daily_Brewhouse_Efficiency_2022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CaribLog2025.xlsx" TargetMode="External"/><Relationship Id="rId1" Type="http://schemas.openxmlformats.org/officeDocument/2006/relationships/externalLinkPath" Target="/Operations/Brewing/Logbooks/Logbooks%202025/NewCaribLog2025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tagLog2025.xls" TargetMode="External"/><Relationship Id="rId1" Type="http://schemas.openxmlformats.org/officeDocument/2006/relationships/externalLinkPath" Target="/Operations/Brewing/Logbooks/Logbooks%202025/NewStagLog2025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GuinnLog2025.xls" TargetMode="External"/><Relationship Id="rId1" Type="http://schemas.openxmlformats.org/officeDocument/2006/relationships/externalLinkPath" Target="/Operations/Brewing/Logbooks/Logbooks%202025/NewGuinnLog2025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VMaltLog2025.xls" TargetMode="External"/><Relationship Id="rId1" Type="http://schemas.openxmlformats.org/officeDocument/2006/relationships/externalLinkPath" Target="/Operations/Brewing/Logbooks/Logbooks%202025/NewVMaltLog2025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MackLog2025.xls" TargetMode="External"/><Relationship Id="rId1" Type="http://schemas.openxmlformats.org/officeDocument/2006/relationships/externalLinkPath" Target="/Operations/Brewing/Logbooks/Logbooks%202025/NewMackLog2025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SMaltLog2025.xls" TargetMode="External"/><Relationship Id="rId1" Type="http://schemas.openxmlformats.org/officeDocument/2006/relationships/externalLinkPath" Target="/Operations/Brewing/Logbooks/Logbooks%202025/NewSMaltLog2025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Logbooks%202025\NewHRPilsLog2025.xlsx" TargetMode="External"/><Relationship Id="rId1" Type="http://schemas.openxmlformats.org/officeDocument/2006/relationships/externalLinkPath" Target="/Operations/Brewing/Logbooks/Logbooks%202025/NewHRPilsLog2025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January'25%20Daily%20Process%20Report%202025.xlsx" TargetMode="External"/><Relationship Id="rId1" Type="http://schemas.openxmlformats.org/officeDocument/2006/relationships/externalLinkPath" Target="January'25%20Daily%20Process%20Report%202025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February'25%20Daily%20Process%20Report%202025.xlsx" TargetMode="External"/><Relationship Id="rId1" Type="http://schemas.openxmlformats.org/officeDocument/2006/relationships/externalLinkPath" Target="February'25%20Daily%20Process%20Report%202025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March'25%20Daily%20Process%20Report%202025.xlsx" TargetMode="External"/><Relationship Id="rId1" Type="http://schemas.openxmlformats.org/officeDocument/2006/relationships/externalLinkPath" Target="March'25%20Daily%20Process%20Report%202025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Daily%20Process%20Report\2025%20Daily%20Process%20Report\April%20'25%20Daily%20Process%20Report%202025.xlsx" TargetMode="External"/><Relationship Id="rId1" Type="http://schemas.openxmlformats.org/officeDocument/2006/relationships/externalLinkPath" Target="April%20'25%20Daily%20Process%20Report%202025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Daily_Brewhouse_Efficiency\Daily_Brewhouse_Efficiency_2025.xls" TargetMode="External"/><Relationship Id="rId1" Type="http://schemas.openxmlformats.org/officeDocument/2006/relationships/externalLinkPath" Target="/Operations/Reshelle/Brewing/Daily_Brewhouse_Efficiency/Daily_Brewhouse_Efficiency_2025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Reports%20Local\Losses%202025\May_2025.xls" TargetMode="External"/><Relationship Id="rId1" Type="http://schemas.openxmlformats.org/officeDocument/2006/relationships/externalLinkPath" Target="/Operations/Brewing/Reports%20Local/Losses%202025/May_2025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Reshelle\Brewing\Filtration_Throughput\Filtration_Throughput_2025.xlsx" TargetMode="External"/><Relationship Id="rId1" Type="http://schemas.openxmlformats.org/officeDocument/2006/relationships/externalLinkPath" Target="/Operations/Reshelle/Brewing/Filtration_Throughput/Filtration_Throughput_2025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CaribLog2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REN-DC\Shared\Operations\Brewing\Logbooks\Copy%20of%20NewStagLog2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Operations\Brewing\Logbooks\NewVMaltLog.xls" TargetMode="External"/><Relationship Id="rId1" Type="http://schemas.openxmlformats.org/officeDocument/2006/relationships/externalLinkPath" Target="/Operations/Brewing/Logbooks/NewVMaltLog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Logbooks/NewMMaltLog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January%20'22%20Daily%20Process%20Report%202022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February%20'22%20Daily%20Process%20Report%202022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Operations/Brewing/Reports%20Local/Daily%20Process%20Report/2022%20Daily%20Process%20Report/May%20'22%20Daily%20Process%20Report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MTD_Links"/>
      <sheetName val="YTD_Link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10">
          <cell r="I10">
            <v>99.750932208295694</v>
          </cell>
        </row>
      </sheetData>
      <sheetData sheetId="137">
        <row r="10">
          <cell r="I10">
            <v>92.554657395524345</v>
          </cell>
        </row>
      </sheetData>
      <sheetData sheetId="138">
        <row r="10">
          <cell r="I10">
            <v>93.061018396064128</v>
          </cell>
        </row>
      </sheetData>
      <sheetData sheetId="139">
        <row r="10">
          <cell r="I10">
            <v>94.662435717962396</v>
          </cell>
        </row>
      </sheetData>
      <sheetData sheetId="140">
        <row r="10">
          <cell r="I10">
            <v>92.045957227088977</v>
          </cell>
        </row>
      </sheetData>
      <sheetData sheetId="141">
        <row r="10">
          <cell r="I10">
            <v>91.890983117060841</v>
          </cell>
        </row>
      </sheetData>
      <sheetData sheetId="142">
        <row r="10">
          <cell r="I10">
            <v>91.025110697731037</v>
          </cell>
        </row>
      </sheetData>
      <sheetData sheetId="143"/>
      <sheetData sheetId="144">
        <row r="10">
          <cell r="I10">
            <v>90.366953732682646</v>
          </cell>
        </row>
      </sheetData>
      <sheetData sheetId="145">
        <row r="10">
          <cell r="I10">
            <v>97.702971903640275</v>
          </cell>
        </row>
      </sheetData>
      <sheetData sheetId="146">
        <row r="10">
          <cell r="I10">
            <v>99.810032745121021</v>
          </cell>
        </row>
      </sheetData>
      <sheetData sheetId="147">
        <row r="10">
          <cell r="I10">
            <v>94.627590963754557</v>
          </cell>
        </row>
      </sheetData>
      <sheetData sheetId="148">
        <row r="10">
          <cell r="I10">
            <v>94.899173579696182</v>
          </cell>
        </row>
      </sheetData>
      <sheetData sheetId="149"/>
      <sheetData sheetId="150">
        <row r="10">
          <cell r="I10">
            <v>96.082518252933426</v>
          </cell>
        </row>
      </sheetData>
      <sheetData sheetId="151">
        <row r="10">
          <cell r="I10">
            <v>93.775699444109193</v>
          </cell>
        </row>
      </sheetData>
      <sheetData sheetId="152">
        <row r="11">
          <cell r="I11">
            <v>96.926141806735757</v>
          </cell>
        </row>
      </sheetData>
      <sheetData sheetId="153"/>
      <sheetData sheetId="154">
        <row r="10">
          <cell r="I10">
            <v>94.523973772447604</v>
          </cell>
        </row>
      </sheetData>
      <sheetData sheetId="155">
        <row r="10">
          <cell r="I10">
            <v>94.570474921386278</v>
          </cell>
        </row>
      </sheetData>
      <sheetData sheetId="156">
        <row r="10">
          <cell r="I10">
            <v>93.068442573487985</v>
          </cell>
        </row>
      </sheetData>
      <sheetData sheetId="157"/>
      <sheetData sheetId="158">
        <row r="10">
          <cell r="I10">
            <v>93.966969001465571</v>
          </cell>
        </row>
      </sheetData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>
        <row r="10">
          <cell r="I10">
            <v>94.746744496090514</v>
          </cell>
        </row>
      </sheetData>
      <sheetData sheetId="181">
        <row r="10">
          <cell r="I10">
            <v>81.610633396186259</v>
          </cell>
        </row>
      </sheetData>
      <sheetData sheetId="182">
        <row r="10">
          <cell r="I10">
            <v>89.881069793572991</v>
          </cell>
        </row>
      </sheetData>
      <sheetData sheetId="183">
        <row r="10">
          <cell r="I10">
            <v>92.308295030910401</v>
          </cell>
        </row>
      </sheetData>
      <sheetData sheetId="184">
        <row r="10">
          <cell r="I10">
            <v>90.815839711253389</v>
          </cell>
        </row>
      </sheetData>
      <sheetData sheetId="185">
        <row r="10">
          <cell r="I10">
            <v>93.204137247268804</v>
          </cell>
        </row>
      </sheetData>
      <sheetData sheetId="186">
        <row r="10">
          <cell r="I10">
            <v>92.808947037217479</v>
          </cell>
        </row>
      </sheetData>
      <sheetData sheetId="187">
        <row r="10">
          <cell r="I10">
            <v>95.493653491136698</v>
          </cell>
        </row>
      </sheetData>
      <sheetData sheetId="188">
        <row r="10">
          <cell r="I10">
            <v>93.032943465571279</v>
          </cell>
        </row>
      </sheetData>
      <sheetData sheetId="189">
        <row r="10">
          <cell r="I10">
            <v>95.082477249706741</v>
          </cell>
        </row>
      </sheetData>
      <sheetData sheetId="190">
        <row r="10">
          <cell r="I10">
            <v>94.086430493781364</v>
          </cell>
        </row>
      </sheetData>
      <sheetData sheetId="191">
        <row r="10">
          <cell r="I10">
            <v>95.237068907803788</v>
          </cell>
        </row>
      </sheetData>
      <sheetData sheetId="192">
        <row r="10">
          <cell r="I10">
            <v>93.696594322135354</v>
          </cell>
        </row>
      </sheetData>
      <sheetData sheetId="193">
        <row r="10">
          <cell r="I10">
            <v>95.035429294750102</v>
          </cell>
        </row>
      </sheetData>
      <sheetData sheetId="194">
        <row r="10">
          <cell r="I10">
            <v>95.845120933176332</v>
          </cell>
        </row>
      </sheetData>
      <sheetData sheetId="195">
        <row r="10">
          <cell r="I10">
            <v>96.575612538518712</v>
          </cell>
        </row>
      </sheetData>
      <sheetData sheetId="196">
        <row r="10">
          <cell r="I10">
            <v>95.60390348648707</v>
          </cell>
        </row>
      </sheetData>
      <sheetData sheetId="197">
        <row r="10">
          <cell r="I10">
            <v>94.900683340102304</v>
          </cell>
        </row>
      </sheetData>
      <sheetData sheetId="198">
        <row r="10">
          <cell r="I10">
            <v>93.675056093360212</v>
          </cell>
        </row>
      </sheetData>
      <sheetData sheetId="199">
        <row r="10">
          <cell r="I10">
            <v>94.141326868887788</v>
          </cell>
        </row>
      </sheetData>
      <sheetData sheetId="200">
        <row r="10">
          <cell r="I10">
            <v>94.400570300845345</v>
          </cell>
        </row>
      </sheetData>
      <sheetData sheetId="201">
        <row r="11">
          <cell r="I11">
            <v>94.497356214098588</v>
          </cell>
        </row>
      </sheetData>
      <sheetData sheetId="202">
        <row r="10">
          <cell r="I10">
            <v>91.531580743624872</v>
          </cell>
        </row>
      </sheetData>
      <sheetData sheetId="203">
        <row r="10">
          <cell r="I10">
            <v>93.571794724463402</v>
          </cell>
        </row>
      </sheetData>
      <sheetData sheetId="204">
        <row r="10">
          <cell r="I10">
            <v>95.684805072230873</v>
          </cell>
        </row>
      </sheetData>
      <sheetData sheetId="205">
        <row r="10">
          <cell r="I10">
            <v>94.899817680638733</v>
          </cell>
        </row>
      </sheetData>
      <sheetData sheetId="206">
        <row r="10">
          <cell r="I10">
            <v>98.148777849881043</v>
          </cell>
        </row>
      </sheetData>
      <sheetData sheetId="207">
        <row r="10">
          <cell r="I10">
            <v>91.33164066384883</v>
          </cell>
        </row>
      </sheetData>
      <sheetData sheetId="208">
        <row r="10">
          <cell r="I10">
            <v>95.746955675971961</v>
          </cell>
        </row>
      </sheetData>
      <sheetData sheetId="209">
        <row r="10">
          <cell r="I10">
            <v>95.863617376516174</v>
          </cell>
        </row>
      </sheetData>
      <sheetData sheetId="210"/>
      <sheetData sheetId="211">
        <row r="10">
          <cell r="I10">
            <v>93.577418863812994</v>
          </cell>
        </row>
      </sheetData>
      <sheetData sheetId="212">
        <row r="10">
          <cell r="I10">
            <v>95.118868459634214</v>
          </cell>
        </row>
      </sheetData>
      <sheetData sheetId="213">
        <row r="10">
          <cell r="I10">
            <v>93.134820383580376</v>
          </cell>
        </row>
      </sheetData>
      <sheetData sheetId="214">
        <row r="10">
          <cell r="I10">
            <v>95.49640692397216</v>
          </cell>
        </row>
      </sheetData>
      <sheetData sheetId="215">
        <row r="10">
          <cell r="I10">
            <v>91.053396528745949</v>
          </cell>
        </row>
      </sheetData>
      <sheetData sheetId="216">
        <row r="10">
          <cell r="I10">
            <v>95.765002805481018</v>
          </cell>
        </row>
      </sheetData>
      <sheetData sheetId="217">
        <row r="10">
          <cell r="I10">
            <v>92.921491614246094</v>
          </cell>
        </row>
      </sheetData>
      <sheetData sheetId="218">
        <row r="10">
          <cell r="I10">
            <v>92.833655936590446</v>
          </cell>
        </row>
      </sheetData>
      <sheetData sheetId="219">
        <row r="10">
          <cell r="I10">
            <v>86.080188720816224</v>
          </cell>
        </row>
      </sheetData>
      <sheetData sheetId="220">
        <row r="10">
          <cell r="I10">
            <v>98.758814208396146</v>
          </cell>
        </row>
      </sheetData>
      <sheetData sheetId="221">
        <row r="10">
          <cell r="I10">
            <v>95.215143108531947</v>
          </cell>
        </row>
      </sheetData>
      <sheetData sheetId="222">
        <row r="10">
          <cell r="I10">
            <v>94.448105220636052</v>
          </cell>
        </row>
      </sheetData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>
        <row r="10">
          <cell r="I10">
            <v>92.662727799254284</v>
          </cell>
        </row>
      </sheetData>
      <sheetData sheetId="235">
        <row r="10">
          <cell r="I10">
            <v>85.997635221262584</v>
          </cell>
        </row>
      </sheetData>
      <sheetData sheetId="236">
        <row r="10">
          <cell r="I10">
            <v>93.392916824918487</v>
          </cell>
        </row>
      </sheetData>
      <sheetData sheetId="237">
        <row r="10">
          <cell r="I10">
            <v>98.419688132633198</v>
          </cell>
        </row>
      </sheetData>
      <sheetData sheetId="238">
        <row r="10">
          <cell r="I10">
            <v>98.896182519195435</v>
          </cell>
        </row>
      </sheetData>
      <sheetData sheetId="239">
        <row r="10">
          <cell r="I10">
            <v>89.706959355738562</v>
          </cell>
        </row>
      </sheetData>
      <sheetData sheetId="240">
        <row r="10">
          <cell r="I10">
            <v>92.665294455101332</v>
          </cell>
        </row>
      </sheetData>
      <sheetData sheetId="241">
        <row r="10">
          <cell r="I10">
            <v>93.157946425620224</v>
          </cell>
        </row>
      </sheetData>
      <sheetData sheetId="242">
        <row r="10">
          <cell r="I10">
            <v>93.127008978016477</v>
          </cell>
        </row>
      </sheetData>
      <sheetData sheetId="243">
        <row r="10">
          <cell r="I10">
            <v>89.118933714764424</v>
          </cell>
        </row>
      </sheetData>
      <sheetData sheetId="244">
        <row r="10">
          <cell r="I10">
            <v>92.080920589691559</v>
          </cell>
        </row>
      </sheetData>
      <sheetData sheetId="245">
        <row r="10">
          <cell r="I10">
            <v>83.486440442093041</v>
          </cell>
        </row>
      </sheetData>
      <sheetData sheetId="246">
        <row r="10">
          <cell r="I10">
            <v>93.388712454229619</v>
          </cell>
        </row>
      </sheetData>
      <sheetData sheetId="247">
        <row r="10">
          <cell r="I10">
            <v>97.30268556743809</v>
          </cell>
        </row>
      </sheetData>
      <sheetData sheetId="248">
        <row r="10">
          <cell r="I10">
            <v>91.263443885169522</v>
          </cell>
        </row>
      </sheetData>
      <sheetData sheetId="249">
        <row r="10">
          <cell r="I10">
            <v>97.225481973555304</v>
          </cell>
        </row>
      </sheetData>
      <sheetData sheetId="250">
        <row r="10">
          <cell r="I10">
            <v>97.225481973555304</v>
          </cell>
        </row>
      </sheetData>
      <sheetData sheetId="251"/>
      <sheetData sheetId="252"/>
      <sheetData sheetId="25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ewer Performance (2)"/>
      <sheetName val="July3"/>
      <sheetName val="July 4"/>
      <sheetName val="July 5"/>
      <sheetName val="July 6"/>
      <sheetName val="July 7"/>
      <sheetName val="July 10"/>
      <sheetName val="July11"/>
      <sheetName val="July12"/>
      <sheetName val="July13"/>
      <sheetName val="July14"/>
      <sheetName val="July15"/>
      <sheetName val="July16"/>
      <sheetName val="July17"/>
      <sheetName val="July18"/>
      <sheetName val="July19"/>
      <sheetName val="July20"/>
      <sheetName val="July21"/>
      <sheetName val="July24"/>
      <sheetName val="July25"/>
      <sheetName val="July26"/>
      <sheetName val="July27"/>
      <sheetName val="July28"/>
      <sheetName val="July31"/>
      <sheetName val="August1"/>
      <sheetName val="August2"/>
      <sheetName val="August3"/>
      <sheetName val="August4"/>
      <sheetName val="August7"/>
      <sheetName val="August8"/>
      <sheetName val="August9"/>
      <sheetName val="August10"/>
      <sheetName val="August11&amp;13"/>
      <sheetName val="August16"/>
      <sheetName val="August17"/>
      <sheetName val="August18"/>
      <sheetName val="August21"/>
      <sheetName val="August22"/>
      <sheetName val="August23"/>
      <sheetName val="August24"/>
      <sheetName val="August28"/>
      <sheetName val="August29"/>
      <sheetName val="August30"/>
      <sheetName val="August31"/>
      <sheetName val="September1"/>
      <sheetName val="September4"/>
      <sheetName val="September5"/>
      <sheetName val="September6"/>
      <sheetName val="September 7"/>
      <sheetName val="September 8"/>
      <sheetName val="September 11"/>
      <sheetName val="September12"/>
      <sheetName val="September13"/>
      <sheetName val="September14"/>
      <sheetName val="September15"/>
      <sheetName val="September16"/>
      <sheetName val="September18"/>
      <sheetName val="September19"/>
      <sheetName val="September20"/>
      <sheetName val="September21"/>
      <sheetName val="September22"/>
      <sheetName val="September25"/>
      <sheetName val="September26"/>
      <sheetName val="September27"/>
      <sheetName val="September28"/>
      <sheetName val="September29"/>
      <sheetName val="October02 "/>
      <sheetName val="October03"/>
      <sheetName val="October04"/>
      <sheetName val="October05"/>
      <sheetName val="October06"/>
      <sheetName val="October07 "/>
      <sheetName val="October09"/>
      <sheetName val="October10"/>
      <sheetName val="October11"/>
      <sheetName val="October12"/>
      <sheetName val="October13"/>
      <sheetName val="October16"/>
      <sheetName val="October17"/>
      <sheetName val="October18"/>
      <sheetName val="October19"/>
      <sheetName val="October20"/>
      <sheetName val="October23"/>
      <sheetName val="October24"/>
      <sheetName val="October26"/>
      <sheetName val="October27"/>
      <sheetName val="October30"/>
      <sheetName val="October31"/>
      <sheetName val="November 1"/>
      <sheetName val="November 2"/>
      <sheetName val="November 3"/>
      <sheetName val="November 4"/>
      <sheetName val="November 6"/>
      <sheetName val="November 8"/>
      <sheetName val="November 9"/>
      <sheetName val="November10"/>
      <sheetName val="November11"/>
      <sheetName val="November13"/>
      <sheetName val="November14"/>
      <sheetName val="November15"/>
      <sheetName val="November16"/>
      <sheetName val="November17"/>
      <sheetName val="November18"/>
      <sheetName val="November20"/>
      <sheetName val="November21"/>
      <sheetName val="November22"/>
      <sheetName val="November23"/>
      <sheetName val="November24"/>
      <sheetName val="November25"/>
      <sheetName val="November27"/>
      <sheetName val="November28"/>
      <sheetName val="November29"/>
      <sheetName val="November30"/>
      <sheetName val="December1 "/>
      <sheetName val="December2"/>
      <sheetName val="December3"/>
      <sheetName val="December4"/>
      <sheetName val="December5"/>
      <sheetName val="December6"/>
      <sheetName val="December7"/>
      <sheetName val="December 8"/>
      <sheetName val="December 9-10"/>
      <sheetName val="December 11"/>
      <sheetName val="December12"/>
      <sheetName val="December13"/>
      <sheetName val="December14"/>
      <sheetName val="December15"/>
      <sheetName val="December16"/>
      <sheetName val="December18"/>
      <sheetName val="December19"/>
      <sheetName val="December20"/>
      <sheetName val="December21"/>
      <sheetName val="December22"/>
      <sheetName val="December27"/>
      <sheetName val="December28"/>
      <sheetName val="December29"/>
      <sheetName val="December30"/>
      <sheetName val="January 02"/>
      <sheetName val="January 03"/>
      <sheetName val="January 04"/>
      <sheetName val="January 05"/>
      <sheetName val="January 06"/>
      <sheetName val="January 08"/>
      <sheetName val="January 09"/>
      <sheetName val="January 10"/>
      <sheetName val="January12"/>
      <sheetName val="January13"/>
      <sheetName val="January15"/>
      <sheetName val="January16"/>
      <sheetName val="January17"/>
      <sheetName val="January18"/>
      <sheetName val="January19"/>
      <sheetName val="January22"/>
      <sheetName val="January23"/>
      <sheetName val="January24"/>
      <sheetName val="January25"/>
      <sheetName val="January26"/>
      <sheetName val="January29"/>
      <sheetName val="January30"/>
      <sheetName val="January31"/>
      <sheetName val="February1"/>
      <sheetName val="February2"/>
      <sheetName val="February4"/>
      <sheetName val="February5"/>
      <sheetName val="February6"/>
      <sheetName val="February8"/>
      <sheetName val="February9"/>
      <sheetName val="February10"/>
      <sheetName val="February12"/>
      <sheetName val="February13"/>
      <sheetName val="February14"/>
      <sheetName val="February15"/>
      <sheetName val="February16,17&amp;18"/>
      <sheetName val="February19"/>
      <sheetName val="February20"/>
      <sheetName val="February21"/>
      <sheetName val="February22 &amp;23"/>
      <sheetName val="February24"/>
      <sheetName val="February26"/>
      <sheetName val="February27"/>
      <sheetName val="February28"/>
      <sheetName val="March1"/>
      <sheetName val="March2"/>
      <sheetName val="March3"/>
      <sheetName val="March5"/>
      <sheetName val="March6"/>
      <sheetName val="March7"/>
      <sheetName val="March8"/>
      <sheetName val="March9,10"/>
      <sheetName val="March11 "/>
      <sheetName val="March12"/>
      <sheetName val="March13"/>
      <sheetName val="March15"/>
      <sheetName val="March16"/>
      <sheetName val="March19"/>
      <sheetName val="March20"/>
      <sheetName val="March21"/>
      <sheetName val="March22"/>
      <sheetName val="March23"/>
      <sheetName val="March24"/>
      <sheetName val="March26"/>
      <sheetName val="March27"/>
      <sheetName val="March28"/>
      <sheetName val="March29"/>
      <sheetName val="April3"/>
      <sheetName val="April4"/>
      <sheetName val="April5"/>
      <sheetName val="April6"/>
      <sheetName val="April7&amp;8"/>
      <sheetName val="April8"/>
      <sheetName val="April9"/>
      <sheetName val="April10"/>
      <sheetName val="April11"/>
      <sheetName val="April12"/>
      <sheetName val="April13"/>
      <sheetName val="April14"/>
      <sheetName val="April15"/>
      <sheetName val="April16"/>
      <sheetName val="April17"/>
      <sheetName val="April19"/>
      <sheetName val="April20"/>
      <sheetName val="April21"/>
      <sheetName val="April22"/>
      <sheetName val="April23"/>
      <sheetName val="April24"/>
      <sheetName val="April25"/>
      <sheetName val="April26"/>
      <sheetName val="April27"/>
      <sheetName val="April30"/>
      <sheetName val="May2"/>
      <sheetName val="May3"/>
      <sheetName val="May6"/>
      <sheetName val="May 7"/>
      <sheetName val="May 8"/>
      <sheetName val="May 9"/>
      <sheetName val="May 10"/>
      <sheetName val="May 11"/>
      <sheetName val="May 12&amp;13"/>
      <sheetName val="May 14"/>
      <sheetName val="May 15"/>
      <sheetName val="May 16"/>
      <sheetName val="May 17"/>
      <sheetName val="May 18"/>
      <sheetName val="May 19"/>
      <sheetName val="May 21"/>
      <sheetName val="May 22"/>
      <sheetName val="May 23"/>
      <sheetName val="May 24"/>
      <sheetName val="May 25"/>
      <sheetName val="May 28"/>
      <sheetName val="May 29"/>
      <sheetName val="May 30"/>
      <sheetName val="June 1"/>
      <sheetName val="June 4"/>
      <sheetName val="June 5"/>
      <sheetName val="June 6"/>
      <sheetName val="June 7"/>
      <sheetName val="June 8"/>
      <sheetName val="June 11"/>
      <sheetName val="June 12"/>
      <sheetName val="June 16"/>
      <sheetName val="June 17"/>
      <sheetName val="June 18"/>
      <sheetName val="June 19"/>
      <sheetName val="June 20"/>
      <sheetName val="June 21"/>
      <sheetName val="June 22"/>
      <sheetName val="June 24"/>
      <sheetName val="June 25"/>
      <sheetName val="June 26"/>
      <sheetName val="June 27"/>
      <sheetName val="June 28"/>
      <sheetName val="June 29"/>
      <sheetName val="July 1"/>
      <sheetName val="July 2"/>
      <sheetName val="July 3"/>
      <sheetName val="July4"/>
      <sheetName val="July5"/>
      <sheetName val="July 8"/>
      <sheetName val="July 9"/>
      <sheetName val="July10"/>
      <sheetName val="July 11"/>
      <sheetName val="July 12"/>
      <sheetName val="July 13"/>
      <sheetName val="July 14 &amp;15"/>
      <sheetName val="July 16"/>
      <sheetName val="July 17"/>
      <sheetName val="July 18"/>
      <sheetName val="July 19"/>
      <sheetName val="July 21&amp;22"/>
      <sheetName val="July23"/>
      <sheetName val="July 24&amp;25"/>
      <sheetName val="July 25"/>
      <sheetName val="July 26"/>
      <sheetName val="July 27"/>
      <sheetName val="July 29"/>
      <sheetName val="July 30"/>
      <sheetName val="July 31"/>
      <sheetName val="Aug1"/>
      <sheetName val="Aug2"/>
      <sheetName val="Aug3&amp;4"/>
      <sheetName val="Aug7"/>
      <sheetName val="Aug8"/>
      <sheetName val="Aug9"/>
      <sheetName val="Aug10"/>
      <sheetName val="Aug15"/>
      <sheetName val="Aug16"/>
      <sheetName val="Aug17"/>
      <sheetName val="Aug20"/>
      <sheetName val="Aug21"/>
      <sheetName val="Aug22"/>
      <sheetName val="Aug27"/>
      <sheetName val="Aug28"/>
      <sheetName val="Aug29"/>
      <sheetName val="Aug30"/>
      <sheetName val="Aug31"/>
      <sheetName val="September2"/>
      <sheetName val="September3"/>
      <sheetName val="Sept.4"/>
      <sheetName val="Sept.5"/>
      <sheetName val="Sept.6"/>
      <sheetName val="Sept.7 &amp;8"/>
      <sheetName val="Sept.10"/>
      <sheetName val="Sept.11"/>
      <sheetName val="Sept.12"/>
      <sheetName val="Sept.13"/>
      <sheetName val="Sept.14"/>
      <sheetName val="Sept.17"/>
      <sheetName val="Sept.18"/>
      <sheetName val="Sept.19"/>
      <sheetName val="Sept.20"/>
      <sheetName val="Sept.21"/>
      <sheetName val="Sept.22"/>
      <sheetName val="Sept.23"/>
      <sheetName val="Sept.24"/>
      <sheetName val="Sept.25"/>
      <sheetName val="Sept.26"/>
      <sheetName val="Sept.27"/>
      <sheetName val="Sept.28"/>
      <sheetName val="Sept.29"/>
      <sheetName val="Oct.1"/>
      <sheetName val="Oct.2"/>
      <sheetName val="Oct.3"/>
      <sheetName val="Oct.4"/>
      <sheetName val="Oct.5"/>
      <sheetName val="Oct.6"/>
      <sheetName val="Oct.7"/>
      <sheetName val="Oct.8"/>
      <sheetName val="Oct.9"/>
      <sheetName val="Oct.10"/>
      <sheetName val="Oct.11"/>
      <sheetName val="Oct.12"/>
      <sheetName val="Oct.13"/>
      <sheetName val="Oct.15"/>
      <sheetName val="Oct.16"/>
      <sheetName val="Oct.17"/>
      <sheetName val="Oct.18"/>
      <sheetName val="Oct.19"/>
      <sheetName val="Oct.21"/>
      <sheetName val="Oct.22"/>
      <sheetName val="Oct.23"/>
      <sheetName val="Oct.24"/>
      <sheetName val="Oct.26"/>
      <sheetName val="Oct.28"/>
      <sheetName val="Oct.29"/>
      <sheetName val="Oct.30"/>
      <sheetName val="Oct.31"/>
      <sheetName val="Nov. 1"/>
      <sheetName val="Nov. 2,3 &amp;4"/>
      <sheetName val="Nov. 5"/>
      <sheetName val="Nov. 6"/>
      <sheetName val="Nov. 8"/>
      <sheetName val="Nov. 9"/>
      <sheetName val="Nov. 10"/>
      <sheetName val="Nov. 11"/>
      <sheetName val="Nov. 12&amp;13"/>
      <sheetName val="Nov. 14"/>
      <sheetName val="Nov. 15"/>
      <sheetName val="Nov. 16&amp;17"/>
      <sheetName val="Nov. 19"/>
      <sheetName val="Nov. 20"/>
      <sheetName val="Nov. 21"/>
      <sheetName val="Nov. 22"/>
      <sheetName val="Nov. 23"/>
      <sheetName val="Nov.24"/>
      <sheetName val="Nov.25"/>
      <sheetName val="Nov.26"/>
      <sheetName val="Nov.27&amp;28th"/>
      <sheetName val="Nov.29"/>
      <sheetName val="Nov.30"/>
      <sheetName val="Dec.1 &amp;2"/>
      <sheetName val="Dec.3"/>
      <sheetName val="Dec. 4"/>
      <sheetName val="Dec. 5"/>
      <sheetName val="Dec. 6 "/>
      <sheetName val="Dec. 7"/>
      <sheetName val="Dec. 8 "/>
      <sheetName val="Dec. 9"/>
      <sheetName val="Dec. 10"/>
      <sheetName val="Dec. 11"/>
      <sheetName val="Dec. 12"/>
      <sheetName val="Dec. 13"/>
      <sheetName val="Dec. 14"/>
      <sheetName val="Dec. 15"/>
      <sheetName val="Dec. 17"/>
      <sheetName val="Dec. 18"/>
      <sheetName val="Dec. 19"/>
      <sheetName val="Dec. 20"/>
      <sheetName val="Dec. 21"/>
      <sheetName val="Dec. 22"/>
      <sheetName val="Dec. 26"/>
      <sheetName val="Dec. 27"/>
      <sheetName val="Dec. 28"/>
      <sheetName val="Dec. 31"/>
      <sheetName val="Jan. 02"/>
      <sheetName val="Jan. 03"/>
      <sheetName val="Jan. 04"/>
      <sheetName val="Jan. 07"/>
      <sheetName val="Jan. 08"/>
      <sheetName val="Jan. 09"/>
      <sheetName val="Jan. 10"/>
      <sheetName val="Jan. 11"/>
      <sheetName val="Jan. 13"/>
      <sheetName val="Jan. 14"/>
      <sheetName val="Jan. 15"/>
      <sheetName val="Jan. 16"/>
      <sheetName val="Jan. 17"/>
      <sheetName val="Jan. 18"/>
      <sheetName val="Jan. 21"/>
      <sheetName val="Jan. 22"/>
      <sheetName val="Jan. 23"/>
      <sheetName val="Jan. 24"/>
      <sheetName val="Jan. 25"/>
      <sheetName val="Jan. 28"/>
      <sheetName val="Jan. 29"/>
      <sheetName val="Jan. 30"/>
      <sheetName val="Feb. 3"/>
      <sheetName val="Feb. 4"/>
      <sheetName val="Feb. 5"/>
      <sheetName val="Feb.6"/>
      <sheetName val="Feb.8"/>
      <sheetName val="Feb. 9"/>
      <sheetName val="Feb. 11"/>
      <sheetName val="Feb. 14"/>
      <sheetName val="Feb. 17"/>
      <sheetName val="Feb. 18"/>
      <sheetName val="Feb. 19"/>
      <sheetName val="Feb.20"/>
      <sheetName val="Feb.21"/>
      <sheetName val="Feb.22"/>
      <sheetName val="Feb.24"/>
      <sheetName val="Feb.25"/>
      <sheetName val="Feb.26"/>
      <sheetName val="Feb.27"/>
      <sheetName val="Feb.28"/>
      <sheetName val="March.1"/>
      <sheetName val="March.3"/>
      <sheetName val="March.4"/>
      <sheetName val="March.6"/>
      <sheetName val="March.7"/>
      <sheetName val="March.8"/>
      <sheetName val="March.11"/>
      <sheetName val="March.12"/>
      <sheetName val="March.13"/>
      <sheetName val="March.14"/>
      <sheetName val="March.15"/>
      <sheetName val="March.16"/>
      <sheetName val="March.18"/>
      <sheetName val="March.19"/>
      <sheetName val="March.20"/>
      <sheetName val="March.21"/>
      <sheetName val="March.22"/>
      <sheetName val="March.24"/>
      <sheetName val="March.25"/>
      <sheetName val="March.26"/>
      <sheetName val="March.27"/>
      <sheetName val="March.28"/>
      <sheetName val="March.29"/>
      <sheetName val="March.31"/>
      <sheetName val="April.1"/>
      <sheetName val="April.2"/>
      <sheetName val="April.3"/>
      <sheetName val="April.4"/>
      <sheetName val="April.5"/>
      <sheetName val="April.8"/>
      <sheetName val="April.9"/>
      <sheetName val="April.10"/>
      <sheetName val="April.11"/>
      <sheetName val="April.12"/>
      <sheetName val="April.14"/>
      <sheetName val="April.15"/>
      <sheetName val="April.16"/>
      <sheetName val="April.17"/>
      <sheetName val="April.18"/>
      <sheetName val="April.23"/>
      <sheetName val="April.24"/>
      <sheetName val="April.25"/>
      <sheetName val="April.26"/>
      <sheetName val="April.28"/>
      <sheetName val="April.29"/>
      <sheetName val="April.30"/>
      <sheetName val="May.1&amp;2"/>
      <sheetName val="May.3"/>
      <sheetName val="May.5"/>
      <sheetName val="May.6 "/>
      <sheetName val="May.7"/>
      <sheetName val="May.8"/>
      <sheetName val="May.9"/>
      <sheetName val="May.10"/>
      <sheetName val="May.11"/>
      <sheetName val="May.13"/>
      <sheetName val="May.14"/>
      <sheetName val="May.15"/>
      <sheetName val="May.16"/>
      <sheetName val="May.17"/>
      <sheetName val="May.18"/>
      <sheetName val="May.19"/>
      <sheetName val="May.20"/>
      <sheetName val="May.21"/>
      <sheetName val="May.22"/>
      <sheetName val="May.23"/>
      <sheetName val="May.31"/>
      <sheetName val="June1"/>
      <sheetName val="June3"/>
      <sheetName val="June4"/>
      <sheetName val="June5"/>
      <sheetName val="June6"/>
      <sheetName val="June7"/>
      <sheetName val="June8"/>
      <sheetName val="June11"/>
      <sheetName val="June12"/>
      <sheetName val="June13"/>
      <sheetName val="June14"/>
      <sheetName val="June17"/>
      <sheetName val="June18"/>
      <sheetName val="June19"/>
      <sheetName val="June21"/>
      <sheetName val="June22"/>
      <sheetName val="June23"/>
      <sheetName val="June24"/>
      <sheetName val="June25"/>
      <sheetName val="June26"/>
      <sheetName val="June27"/>
      <sheetName val="June28"/>
      <sheetName val="July1"/>
      <sheetName val="July2"/>
      <sheetName val="July03"/>
      <sheetName val="July04"/>
      <sheetName val="July05"/>
      <sheetName val="July08"/>
      <sheetName val="July09"/>
      <sheetName val="July-10"/>
      <sheetName val="July-11"/>
      <sheetName val="July-12"/>
      <sheetName val="July-15"/>
      <sheetName val="July-16"/>
      <sheetName val="July-17"/>
      <sheetName val="July-18"/>
      <sheetName val="July-19"/>
      <sheetName val="July-22 "/>
      <sheetName val="July-23"/>
      <sheetName val="July-24 "/>
      <sheetName val="July-25 "/>
      <sheetName val="July-27 "/>
      <sheetName val="July-29 "/>
      <sheetName val="July-30 "/>
      <sheetName val="July-31 "/>
      <sheetName val="August-1"/>
      <sheetName val="August-2"/>
      <sheetName val="August-3"/>
      <sheetName val="August-6"/>
      <sheetName val="August-7"/>
      <sheetName val="August-8"/>
      <sheetName val="August-9"/>
      <sheetName val="August-14"/>
      <sheetName val="August-15"/>
      <sheetName val="August-16"/>
      <sheetName val="August-19"/>
      <sheetName val="August-20"/>
      <sheetName val="August-21"/>
      <sheetName val="August-22"/>
      <sheetName val="August-23"/>
      <sheetName val="August-26"/>
      <sheetName val="August-27"/>
      <sheetName val="August-28 "/>
      <sheetName val="August-30 "/>
      <sheetName val="September-2"/>
      <sheetName val="September-3"/>
      <sheetName val="September-4"/>
      <sheetName val="September-5"/>
      <sheetName val="September-6"/>
      <sheetName val="September-9"/>
      <sheetName val="September-10"/>
      <sheetName val="September-11"/>
      <sheetName val="September-12"/>
      <sheetName val="September-13"/>
      <sheetName val="September-16"/>
      <sheetName val="September-17"/>
      <sheetName val="September-18"/>
      <sheetName val="September-19"/>
      <sheetName val="September-20"/>
      <sheetName val="September-23"/>
      <sheetName val="September-24"/>
      <sheetName val="September-25"/>
      <sheetName val="September-26"/>
      <sheetName val="September-30"/>
      <sheetName val="October-1"/>
      <sheetName val="October-2"/>
      <sheetName val="October-3"/>
      <sheetName val="October-4"/>
      <sheetName val="October-7"/>
      <sheetName val="October-8"/>
      <sheetName val="October-9"/>
      <sheetName val="October-10"/>
      <sheetName val="October-11"/>
      <sheetName val="October-12"/>
      <sheetName val="October-14"/>
      <sheetName val="October-15"/>
      <sheetName val="October-16"/>
      <sheetName val="October-17"/>
      <sheetName val="October-18"/>
      <sheetName val="October-21"/>
      <sheetName val="October-22"/>
      <sheetName val="October-23"/>
      <sheetName val="October-24"/>
      <sheetName val="October-26"/>
      <sheetName val="October-27"/>
      <sheetName val="October-28"/>
      <sheetName val="October-29"/>
      <sheetName val="November-4"/>
      <sheetName val="November-5"/>
      <sheetName val="November-6"/>
      <sheetName val="November-7"/>
      <sheetName val="November-8"/>
      <sheetName val="November-9"/>
      <sheetName val="November-10"/>
      <sheetName val="November-11"/>
      <sheetName val="November-12"/>
      <sheetName val="November-13"/>
      <sheetName val="November-14"/>
      <sheetName val="November-15"/>
      <sheetName val="November-16"/>
      <sheetName val="November-17"/>
      <sheetName val="November-18"/>
      <sheetName val="November-19"/>
      <sheetName val="November-20"/>
      <sheetName val="November-21"/>
      <sheetName val="November-22"/>
      <sheetName val="November-23"/>
      <sheetName val="November-24"/>
      <sheetName val="November-25"/>
      <sheetName val="November-26"/>
      <sheetName val="November-27"/>
      <sheetName val="November-28"/>
      <sheetName val="November-29"/>
      <sheetName val="December-1"/>
      <sheetName val="December-2"/>
      <sheetName val="December-3"/>
      <sheetName val="December-4"/>
      <sheetName val="December-5"/>
      <sheetName val="December-6"/>
      <sheetName val="December-9"/>
      <sheetName val="December-10"/>
      <sheetName val="December-11"/>
      <sheetName val="December-12"/>
      <sheetName val="December-13"/>
      <sheetName val="December-14"/>
      <sheetName val="December-16"/>
      <sheetName val="December-17"/>
      <sheetName val="December-18"/>
      <sheetName val="December-19"/>
      <sheetName val="December-20"/>
      <sheetName val="December-22"/>
      <sheetName val="December-23"/>
      <sheetName val="December-24"/>
      <sheetName val="December-27"/>
      <sheetName val="December-30"/>
      <sheetName val="December-31"/>
      <sheetName val="January-2 "/>
      <sheetName val="January-3"/>
      <sheetName val="January-4"/>
      <sheetName val="January-7"/>
      <sheetName val="January-8"/>
      <sheetName val="January-9"/>
      <sheetName val="January-10"/>
      <sheetName val="January-11"/>
      <sheetName val="January-13"/>
      <sheetName val="January-14"/>
      <sheetName val="January-15"/>
      <sheetName val="January-16"/>
      <sheetName val="January-17"/>
      <sheetName val="January-20"/>
      <sheetName val="January-21"/>
      <sheetName val="January-22"/>
      <sheetName val="Janurary-23"/>
      <sheetName val="MTD_Links"/>
      <sheetName val="YTD_Links"/>
      <sheetName val="KPIs"/>
      <sheetName val="Brewer Perform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>
        <row r="3">
          <cell r="R3" t="str">
            <v>CARIB</v>
          </cell>
        </row>
        <row r="4">
          <cell r="R4" t="str">
            <v>STAG</v>
          </cell>
        </row>
        <row r="5">
          <cell r="R5" t="str">
            <v>GUINNESS</v>
          </cell>
        </row>
        <row r="6">
          <cell r="R6" t="str">
            <v>MACKESON</v>
          </cell>
        </row>
        <row r="7">
          <cell r="R7" t="str">
            <v>STARMALT</v>
          </cell>
        </row>
        <row r="8">
          <cell r="R8" t="str">
            <v>MAXIMALT</v>
          </cell>
        </row>
        <row r="9">
          <cell r="R9" t="str">
            <v>VITAMALT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/>
      <sheetData sheetId="696"/>
      <sheetData sheetId="697" refreshError="1"/>
      <sheetData sheetId="698">
        <row r="4">
          <cell r="E4" t="str">
            <v>MTD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"/>
      <sheetName val="Summary September '23"/>
      <sheetName val="Summary August '23"/>
      <sheetName val="Summary July '23 "/>
      <sheetName val="Summary June '23"/>
      <sheetName val="Summary May '23 "/>
      <sheetName val="Summary April '23 "/>
      <sheetName val="Summary March '23 "/>
      <sheetName val="Summary February '23"/>
      <sheetName val="Summary January '23"/>
      <sheetName val="Summary December '22  "/>
      <sheetName val="Summary November '22   "/>
      <sheetName val="Summary October '22  "/>
      <sheetName val="Summary September '22  "/>
      <sheetName val="Summary August '22 "/>
      <sheetName val="Summary July '22 "/>
      <sheetName val="Summary June '22"/>
      <sheetName val="Summary May '22"/>
      <sheetName val="Summary April '22"/>
      <sheetName val="Summary March '22"/>
      <sheetName val="Summary February '22"/>
      <sheetName val="Summary January '22"/>
      <sheetName val="Summary December '21  "/>
    </sheetNames>
    <sheetDataSet>
      <sheetData sheetId="0"/>
      <sheetData sheetId="1"/>
      <sheetData sheetId="2"/>
      <sheetData sheetId="3"/>
      <sheetData sheetId="4"/>
      <sheetData sheetId="5">
        <row r="39">
          <cell r="AI39">
            <v>53</v>
          </cell>
        </row>
        <row r="849">
          <cell r="AU849">
            <v>95.663863833483461</v>
          </cell>
        </row>
        <row r="850">
          <cell r="AU850">
            <v>98.161203140703776</v>
          </cell>
        </row>
        <row r="851">
          <cell r="AU851">
            <v>99.759332436323248</v>
          </cell>
        </row>
        <row r="852">
          <cell r="AU852">
            <v>98.333283107625732</v>
          </cell>
        </row>
        <row r="853">
          <cell r="AU853">
            <v>98.502602722865149</v>
          </cell>
        </row>
        <row r="854">
          <cell r="AU854">
            <v>98.818687834716542</v>
          </cell>
        </row>
        <row r="855">
          <cell r="AU855">
            <v>97.298297014350211</v>
          </cell>
        </row>
        <row r="856">
          <cell r="AU856">
            <v>99.281443283645203</v>
          </cell>
        </row>
        <row r="857">
          <cell r="AU857">
            <v>96.092752278453332</v>
          </cell>
        </row>
        <row r="858">
          <cell r="AU858">
            <v>98.055003537976447</v>
          </cell>
        </row>
        <row r="859">
          <cell r="AU859">
            <v>100.91885920195962</v>
          </cell>
        </row>
        <row r="860">
          <cell r="AU860">
            <v>99.63105429686064</v>
          </cell>
        </row>
        <row r="861">
          <cell r="AU861">
            <v>96.873994166896026</v>
          </cell>
        </row>
        <row r="862">
          <cell r="AU862">
            <v>98.919847621112098</v>
          </cell>
        </row>
        <row r="863">
          <cell r="AU863">
            <v>98.631788415892132</v>
          </cell>
        </row>
        <row r="864">
          <cell r="AU864">
            <v>98.525744642541923</v>
          </cell>
        </row>
        <row r="865">
          <cell r="AU865">
            <v>97.946144197753199</v>
          </cell>
        </row>
        <row r="866">
          <cell r="AU866">
            <v>99.535261451801944</v>
          </cell>
        </row>
        <row r="867">
          <cell r="AU867">
            <v>99.041877420655766</v>
          </cell>
        </row>
        <row r="868">
          <cell r="AU868">
            <v>98.619710487506779</v>
          </cell>
        </row>
        <row r="869">
          <cell r="AU869">
            <v>94.871478991746045</v>
          </cell>
        </row>
        <row r="870">
          <cell r="AU870">
            <v>99.145590755635325</v>
          </cell>
        </row>
        <row r="871">
          <cell r="AU871">
            <v>97.414766781431112</v>
          </cell>
        </row>
        <row r="872">
          <cell r="AU872">
            <v>98.168689841970789</v>
          </cell>
        </row>
        <row r="873">
          <cell r="AU873">
            <v>94.708468285483022</v>
          </cell>
        </row>
        <row r="874">
          <cell r="AU874">
            <v>98.19572334957715</v>
          </cell>
        </row>
        <row r="875">
          <cell r="AU875">
            <v>98.090148410725448</v>
          </cell>
        </row>
        <row r="876">
          <cell r="AU876">
            <v>95.118761951292143</v>
          </cell>
        </row>
        <row r="877">
          <cell r="AU877">
            <v>100.60583188656503</v>
          </cell>
        </row>
        <row r="878">
          <cell r="AU878">
            <v>97.290406760145842</v>
          </cell>
        </row>
        <row r="879">
          <cell r="AU879">
            <v>104.72566854096057</v>
          </cell>
        </row>
        <row r="880">
          <cell r="AU880">
            <v>103.17490716902564</v>
          </cell>
        </row>
        <row r="881">
          <cell r="AU881">
            <v>97.832871362942271</v>
          </cell>
        </row>
        <row r="882">
          <cell r="AU882">
            <v>98.196537042622353</v>
          </cell>
        </row>
        <row r="883">
          <cell r="AU883">
            <v>92.067139526743475</v>
          </cell>
        </row>
        <row r="884">
          <cell r="AU884">
            <v>98.407062059761429</v>
          </cell>
        </row>
        <row r="885">
          <cell r="AU885">
            <v>99.192747185987045</v>
          </cell>
        </row>
        <row r="886">
          <cell r="AU886">
            <v>97.51961651056078</v>
          </cell>
        </row>
        <row r="887">
          <cell r="AU887">
            <v>95.491313123678665</v>
          </cell>
        </row>
        <row r="888">
          <cell r="AU888">
            <v>100.23142048831002</v>
          </cell>
        </row>
        <row r="889">
          <cell r="AU889">
            <v>98.187310276793937</v>
          </cell>
        </row>
        <row r="890">
          <cell r="AU890">
            <v>101.25839273474642</v>
          </cell>
        </row>
        <row r="891">
          <cell r="AU891">
            <v>95.290840272543946</v>
          </cell>
        </row>
        <row r="892">
          <cell r="AU892">
            <v>102.08768838931368</v>
          </cell>
        </row>
        <row r="893">
          <cell r="AU893">
            <v>97.360408780157954</v>
          </cell>
        </row>
        <row r="894">
          <cell r="AU894">
            <v>99.045402987088693</v>
          </cell>
        </row>
        <row r="895">
          <cell r="AU895">
            <v>98.034529195153198</v>
          </cell>
        </row>
        <row r="896">
          <cell r="AU896">
            <v>99.66368637303772</v>
          </cell>
        </row>
        <row r="897">
          <cell r="AU897">
            <v>96.39159653002244</v>
          </cell>
        </row>
        <row r="898">
          <cell r="AU898">
            <v>99.215504360195723</v>
          </cell>
        </row>
        <row r="899">
          <cell r="AU899">
            <v>100.22728441960062</v>
          </cell>
        </row>
        <row r="900">
          <cell r="AU900">
            <v>98.989483943049265</v>
          </cell>
        </row>
        <row r="901">
          <cell r="AU901">
            <v>96.280432251303537</v>
          </cell>
        </row>
        <row r="902">
          <cell r="AU902">
            <v>99.202811624094949</v>
          </cell>
        </row>
        <row r="903">
          <cell r="AU903">
            <v>98.506489670004697</v>
          </cell>
        </row>
        <row r="904">
          <cell r="AU904">
            <v>99.769040261812833</v>
          </cell>
        </row>
        <row r="905">
          <cell r="AU905">
            <v>98.326320918982461</v>
          </cell>
        </row>
        <row r="906">
          <cell r="AU906">
            <v>98.719626202658404</v>
          </cell>
        </row>
        <row r="907">
          <cell r="AU907">
            <v>99.117823502588735</v>
          </cell>
        </row>
        <row r="908">
          <cell r="AU908">
            <v>98.631008731909759</v>
          </cell>
        </row>
        <row r="909">
          <cell r="AU909">
            <v>93.901686844433655</v>
          </cell>
        </row>
        <row r="910">
          <cell r="AU910">
            <v>98.42963897912486</v>
          </cell>
        </row>
        <row r="911">
          <cell r="AU911">
            <v>99.240374252811307</v>
          </cell>
        </row>
        <row r="912">
          <cell r="AU912">
            <v>99.893905017469535</v>
          </cell>
        </row>
        <row r="913">
          <cell r="AU913">
            <v>99.245314300729845</v>
          </cell>
        </row>
        <row r="914">
          <cell r="AU914">
            <v>98.818173928722587</v>
          </cell>
        </row>
        <row r="915">
          <cell r="AU915">
            <v>98.331257677886271</v>
          </cell>
        </row>
        <row r="916">
          <cell r="AU916">
            <v>98.612545635425107</v>
          </cell>
        </row>
        <row r="917">
          <cell r="AU917">
            <v>98.631417127445459</v>
          </cell>
        </row>
        <row r="918">
          <cell r="AU918">
            <v>98.07782155982369</v>
          </cell>
        </row>
        <row r="919">
          <cell r="AU919">
            <v>98.33388042408815</v>
          </cell>
        </row>
        <row r="920">
          <cell r="AU920">
            <v>95.468071678126762</v>
          </cell>
        </row>
        <row r="921">
          <cell r="AU921">
            <v>101.41851984313148</v>
          </cell>
        </row>
        <row r="922">
          <cell r="AU922">
            <v>98.594095369450585</v>
          </cell>
        </row>
        <row r="923">
          <cell r="AU923">
            <v>101.0306887695094</v>
          </cell>
        </row>
        <row r="924">
          <cell r="AU924">
            <v>97.117338355034519</v>
          </cell>
        </row>
        <row r="926">
          <cell r="AU926">
            <v>93.014529112498508</v>
          </cell>
        </row>
        <row r="927">
          <cell r="AU927">
            <v>94.905180294691831</v>
          </cell>
        </row>
        <row r="928">
          <cell r="AU928">
            <v>98.612734606795939</v>
          </cell>
        </row>
        <row r="929">
          <cell r="AU929">
            <v>98.193089516568449</v>
          </cell>
        </row>
        <row r="930">
          <cell r="AU930">
            <v>99.166902562351495</v>
          </cell>
        </row>
        <row r="931">
          <cell r="AU931">
            <v>98.545871344503041</v>
          </cell>
        </row>
        <row r="932">
          <cell r="AU932">
            <v>96.633045006550262</v>
          </cell>
        </row>
        <row r="933">
          <cell r="AU933">
            <v>97.21114174432509</v>
          </cell>
        </row>
        <row r="934">
          <cell r="AU934">
            <v>99.369101617770809</v>
          </cell>
        </row>
        <row r="935">
          <cell r="AU935">
            <v>98.036954958046238</v>
          </cell>
        </row>
        <row r="936">
          <cell r="AU936">
            <v>91.207086008373878</v>
          </cell>
        </row>
        <row r="937">
          <cell r="AU937">
            <v>95.860786445249929</v>
          </cell>
        </row>
        <row r="938">
          <cell r="AU938">
            <v>97.986863363409327</v>
          </cell>
        </row>
        <row r="939">
          <cell r="AU939">
            <v>95.87755710705413</v>
          </cell>
        </row>
        <row r="940">
          <cell r="AU940">
            <v>96.069312221268248</v>
          </cell>
        </row>
        <row r="941">
          <cell r="AU941">
            <v>94.699654196675027</v>
          </cell>
        </row>
        <row r="942">
          <cell r="AU942">
            <v>101.67252999852943</v>
          </cell>
        </row>
        <row r="943">
          <cell r="AU943">
            <v>101.17913775574701</v>
          </cell>
        </row>
        <row r="944">
          <cell r="AU944">
            <v>100.86273713130642</v>
          </cell>
        </row>
        <row r="945">
          <cell r="AU945">
            <v>100.10873722587988</v>
          </cell>
        </row>
        <row r="946">
          <cell r="AU946">
            <v>95.50082306179263</v>
          </cell>
        </row>
        <row r="947">
          <cell r="AU947">
            <v>98.277382858959044</v>
          </cell>
        </row>
        <row r="948">
          <cell r="AU948">
            <v>93.3808876329188</v>
          </cell>
        </row>
        <row r="949">
          <cell r="AU949">
            <v>96.175569134464126</v>
          </cell>
        </row>
        <row r="950">
          <cell r="AU950">
            <v>97.078303486097681</v>
          </cell>
        </row>
        <row r="951">
          <cell r="AU951">
            <v>101.56030805211434</v>
          </cell>
        </row>
        <row r="952">
          <cell r="AU952">
            <v>91.935041652671885</v>
          </cell>
        </row>
        <row r="953">
          <cell r="AU953">
            <v>97.123997414216163</v>
          </cell>
        </row>
        <row r="954">
          <cell r="AU954">
            <v>95.617584994183886</v>
          </cell>
        </row>
        <row r="955">
          <cell r="AU955">
            <v>96.610674074757526</v>
          </cell>
        </row>
        <row r="956">
          <cell r="AU956">
            <v>97.487635532948119</v>
          </cell>
        </row>
        <row r="957">
          <cell r="AU957">
            <v>97.412227635198136</v>
          </cell>
        </row>
        <row r="958">
          <cell r="AU958">
            <v>97.20950210143495</v>
          </cell>
        </row>
        <row r="959">
          <cell r="AU959">
            <v>99.297987498145474</v>
          </cell>
        </row>
        <row r="960">
          <cell r="AU960">
            <v>97.024782991571257</v>
          </cell>
        </row>
        <row r="961">
          <cell r="AU961">
            <v>97.243298870014883</v>
          </cell>
        </row>
        <row r="962">
          <cell r="AU962">
            <v>97.023260123118732</v>
          </cell>
        </row>
        <row r="963">
          <cell r="AU963">
            <v>100.22026650558166</v>
          </cell>
        </row>
        <row r="964">
          <cell r="AU964">
            <v>100.00923853982306</v>
          </cell>
        </row>
        <row r="965">
          <cell r="AU965">
            <v>99.906331130627905</v>
          </cell>
        </row>
        <row r="966">
          <cell r="AU966">
            <v>98.850227095727348</v>
          </cell>
        </row>
        <row r="967">
          <cell r="AU967">
            <v>99.441114455440584</v>
          </cell>
        </row>
        <row r="968">
          <cell r="AU968">
            <v>98.304977340690357</v>
          </cell>
        </row>
        <row r="969">
          <cell r="AU969">
            <v>98.86983616014237</v>
          </cell>
        </row>
        <row r="970">
          <cell r="AU970">
            <v>98.488143394733228</v>
          </cell>
        </row>
        <row r="971">
          <cell r="AU971">
            <v>99.471038525077589</v>
          </cell>
        </row>
        <row r="973">
          <cell r="AU973">
            <v>95.888708244918675</v>
          </cell>
        </row>
        <row r="974">
          <cell r="AU974">
            <v>96.395259825577298</v>
          </cell>
        </row>
        <row r="975">
          <cell r="AU975">
            <v>99.192144221194894</v>
          </cell>
        </row>
        <row r="976">
          <cell r="AU976">
            <v>100.49472440540761</v>
          </cell>
        </row>
        <row r="977">
          <cell r="AU977">
            <v>99.145148742060812</v>
          </cell>
        </row>
        <row r="978">
          <cell r="AU978">
            <v>98.313224898090724</v>
          </cell>
        </row>
        <row r="979">
          <cell r="AU979">
            <v>98.891816600796247</v>
          </cell>
        </row>
        <row r="980">
          <cell r="AU980">
            <v>97.007802280437417</v>
          </cell>
        </row>
        <row r="981">
          <cell r="AU981">
            <v>100.03609063865832</v>
          </cell>
        </row>
        <row r="982">
          <cell r="AU982">
            <v>99.262117016695768</v>
          </cell>
        </row>
        <row r="983">
          <cell r="AU983">
            <v>98.760316095676714</v>
          </cell>
        </row>
        <row r="984">
          <cell r="AU984">
            <v>99.083839545652168</v>
          </cell>
        </row>
        <row r="985">
          <cell r="AU985">
            <v>98.648533109164021</v>
          </cell>
        </row>
        <row r="986">
          <cell r="AU986">
            <v>98.395181345142205</v>
          </cell>
        </row>
        <row r="987">
          <cell r="AU987">
            <v>99.66128871437337</v>
          </cell>
        </row>
        <row r="988">
          <cell r="AU988">
            <v>98.814121830608798</v>
          </cell>
        </row>
        <row r="989">
          <cell r="AU989">
            <v>98.703252611359233</v>
          </cell>
        </row>
        <row r="990">
          <cell r="AU990">
            <v>101.08312040923842</v>
          </cell>
        </row>
        <row r="991">
          <cell r="AU991">
            <v>96.089556432038236</v>
          </cell>
        </row>
        <row r="992">
          <cell r="AU992">
            <v>96.950696980249873</v>
          </cell>
        </row>
        <row r="993">
          <cell r="AU993">
            <v>98.421661720388187</v>
          </cell>
        </row>
        <row r="994">
          <cell r="AU994">
            <v>97.938417583872493</v>
          </cell>
        </row>
        <row r="995">
          <cell r="AU995">
            <v>97.650858846700444</v>
          </cell>
        </row>
        <row r="996">
          <cell r="AU996">
            <v>98.704675821172387</v>
          </cell>
        </row>
        <row r="997">
          <cell r="AU997">
            <v>98.77401974110343</v>
          </cell>
        </row>
        <row r="998">
          <cell r="AU998">
            <v>100.39222978751012</v>
          </cell>
        </row>
        <row r="999">
          <cell r="AU999">
            <v>97.59336349013391</v>
          </cell>
        </row>
        <row r="1000">
          <cell r="AU1000">
            <v>101.5239334145885</v>
          </cell>
        </row>
        <row r="1001">
          <cell r="AU1001">
            <v>98.465315588133734</v>
          </cell>
        </row>
        <row r="1002">
          <cell r="AU1002">
            <v>96.186092769917465</v>
          </cell>
        </row>
        <row r="1003">
          <cell r="AU1003">
            <v>94.13399521979872</v>
          </cell>
        </row>
        <row r="1004">
          <cell r="AU1004">
            <v>97.393648773101731</v>
          </cell>
        </row>
        <row r="1005">
          <cell r="AU1005">
            <v>100.84475180839827</v>
          </cell>
        </row>
        <row r="1006">
          <cell r="AU1006">
            <v>96.923784228632613</v>
          </cell>
        </row>
        <row r="1007">
          <cell r="AU1007">
            <v>98.943374580547371</v>
          </cell>
        </row>
        <row r="1008">
          <cell r="AU1008">
            <v>97.616244018038586</v>
          </cell>
        </row>
        <row r="1009">
          <cell r="AU1009">
            <v>97.200120753042128</v>
          </cell>
        </row>
        <row r="1010">
          <cell r="AU1010">
            <v>98.309661023974598</v>
          </cell>
        </row>
        <row r="1011">
          <cell r="AU1011">
            <v>98.11180818418508</v>
          </cell>
        </row>
        <row r="1012">
          <cell r="AU1012">
            <v>95.802126010985702</v>
          </cell>
        </row>
        <row r="1013">
          <cell r="AU1013">
            <v>97.933739877262411</v>
          </cell>
        </row>
        <row r="1014">
          <cell r="AU1014">
            <v>98.390432949172776</v>
          </cell>
        </row>
        <row r="1015">
          <cell r="AU1015">
            <v>97.811665696530596</v>
          </cell>
        </row>
        <row r="1016">
          <cell r="AU1016">
            <v>95.923441158121605</v>
          </cell>
        </row>
        <row r="1017">
          <cell r="AU1017">
            <v>100.63802460760101</v>
          </cell>
        </row>
        <row r="1018">
          <cell r="AU1018">
            <v>97.734702345258398</v>
          </cell>
        </row>
        <row r="1019">
          <cell r="AU1019">
            <v>93.252429030364738</v>
          </cell>
        </row>
        <row r="1020">
          <cell r="AU1020">
            <v>99.384746343388471</v>
          </cell>
        </row>
        <row r="1021">
          <cell r="AU1021">
            <v>98.117256569111035</v>
          </cell>
        </row>
        <row r="1022">
          <cell r="AU1022">
            <v>98.116637806062727</v>
          </cell>
        </row>
        <row r="1023">
          <cell r="AU1023">
            <v>97.657860016366371</v>
          </cell>
        </row>
        <row r="1024">
          <cell r="AU1024">
            <v>97.972529900423893</v>
          </cell>
        </row>
        <row r="1025">
          <cell r="AU1025">
            <v>98.310667164973324</v>
          </cell>
        </row>
        <row r="1026">
          <cell r="AU1026">
            <v>99.134259503986243</v>
          </cell>
        </row>
        <row r="1027">
          <cell r="AU1027">
            <v>97.265959206532798</v>
          </cell>
        </row>
        <row r="1028">
          <cell r="AU1028">
            <v>98.760591325256911</v>
          </cell>
        </row>
        <row r="1029">
          <cell r="AU1029">
            <v>98.74404787856021</v>
          </cell>
        </row>
        <row r="1030">
          <cell r="AU1030">
            <v>98.23571717622653</v>
          </cell>
        </row>
        <row r="1031">
          <cell r="AU1031">
            <v>95.983832685957111</v>
          </cell>
        </row>
        <row r="1032">
          <cell r="AU1032">
            <v>96.780419003256441</v>
          </cell>
        </row>
        <row r="1033">
          <cell r="AU1033">
            <v>98.118278383828581</v>
          </cell>
        </row>
        <row r="1034">
          <cell r="AU1034">
            <v>98.40572115021881</v>
          </cell>
        </row>
        <row r="1035">
          <cell r="AU1035">
            <v>98.528391993821813</v>
          </cell>
        </row>
        <row r="1036">
          <cell r="AU1036">
            <v>97.465240963079651</v>
          </cell>
        </row>
        <row r="1037">
          <cell r="AU1037">
            <v>97.173958918165667</v>
          </cell>
        </row>
        <row r="1038">
          <cell r="AU1038">
            <v>98.211277757924051</v>
          </cell>
        </row>
        <row r="1039">
          <cell r="AU1039">
            <v>94.563206145249396</v>
          </cell>
        </row>
        <row r="1040">
          <cell r="AU1040">
            <v>95.635088600851034</v>
          </cell>
        </row>
        <row r="1041">
          <cell r="AU1041">
            <v>98.498414606864543</v>
          </cell>
        </row>
        <row r="1042">
          <cell r="AU1042">
            <v>91.938484218600379</v>
          </cell>
        </row>
        <row r="1043">
          <cell r="AU1043">
            <v>91.492245116111022</v>
          </cell>
        </row>
        <row r="1044">
          <cell r="AU1044">
            <v>101.15378252437304</v>
          </cell>
        </row>
        <row r="1045">
          <cell r="AU1045">
            <v>101.1444879830546</v>
          </cell>
        </row>
        <row r="1046">
          <cell r="AU1046">
            <v>101.75764547610389</v>
          </cell>
        </row>
        <row r="1047">
          <cell r="AU1047">
            <v>102.02807739161611</v>
          </cell>
        </row>
        <row r="1048">
          <cell r="AU1048">
            <v>102.33822588732673</v>
          </cell>
        </row>
        <row r="1049">
          <cell r="AU1049">
            <v>98.392068701489933</v>
          </cell>
        </row>
        <row r="1050">
          <cell r="AU1050">
            <v>102.06536408817584</v>
          </cell>
        </row>
        <row r="1051">
          <cell r="AU1051">
            <v>101.99297305280595</v>
          </cell>
        </row>
        <row r="1052">
          <cell r="AU1052">
            <v>102.04523247984621</v>
          </cell>
        </row>
        <row r="1053">
          <cell r="AU1053">
            <v>102.06637748595027</v>
          </cell>
        </row>
        <row r="1054">
          <cell r="AU1054">
            <v>100.85142188790077</v>
          </cell>
        </row>
        <row r="1055">
          <cell r="AU1055">
            <v>98.583226688478646</v>
          </cell>
        </row>
        <row r="1056">
          <cell r="AU1056">
            <v>101.06682882622262</v>
          </cell>
        </row>
        <row r="1057">
          <cell r="AU1057">
            <v>102.15521087119062</v>
          </cell>
        </row>
        <row r="1058">
          <cell r="AU1058">
            <v>99.285782200097586</v>
          </cell>
        </row>
        <row r="1059">
          <cell r="AU1059">
            <v>105.62916732880055</v>
          </cell>
        </row>
        <row r="1060">
          <cell r="AU1060">
            <v>101.36255994882586</v>
          </cell>
        </row>
        <row r="1061">
          <cell r="AU1061">
            <v>102.6647233531194</v>
          </cell>
        </row>
        <row r="1062">
          <cell r="AU1062">
            <v>101.83246684789979</v>
          </cell>
        </row>
        <row r="1063">
          <cell r="AU1063">
            <v>101.53192838019653</v>
          </cell>
        </row>
        <row r="1064">
          <cell r="AU1064">
            <v>102.44706710711155</v>
          </cell>
        </row>
        <row r="1065">
          <cell r="AU1065">
            <v>101.93933661160513</v>
          </cell>
        </row>
        <row r="1066">
          <cell r="AU1066">
            <v>105.97819225470263</v>
          </cell>
        </row>
        <row r="1068">
          <cell r="AU1068">
            <v>98.849674543469746</v>
          </cell>
        </row>
        <row r="1069">
          <cell r="AU1069">
            <v>100.1446862302372</v>
          </cell>
        </row>
        <row r="1070">
          <cell r="AU1070">
            <v>101.6362578559</v>
          </cell>
        </row>
        <row r="1071">
          <cell r="AU1071">
            <v>99.778769949625442</v>
          </cell>
        </row>
        <row r="1072">
          <cell r="AU1072">
            <v>103.16967203867529</v>
          </cell>
        </row>
        <row r="1073">
          <cell r="AU1073">
            <v>102.73418524015567</v>
          </cell>
        </row>
        <row r="1074">
          <cell r="AU1074">
            <v>101.54191229732984</v>
          </cell>
        </row>
        <row r="1075">
          <cell r="AU1075">
            <v>102.73418524015567</v>
          </cell>
        </row>
        <row r="1076">
          <cell r="AU1076">
            <v>101.80414267915592</v>
          </cell>
        </row>
        <row r="1077">
          <cell r="AU1077">
            <v>101.43225651769654</v>
          </cell>
        </row>
        <row r="1078">
          <cell r="AU1078">
            <v>97.320280453397089</v>
          </cell>
        </row>
        <row r="1079">
          <cell r="AU1079">
            <v>97.857959507039951</v>
          </cell>
        </row>
        <row r="1080">
          <cell r="AU1080">
            <v>95.535610244737128</v>
          </cell>
        </row>
        <row r="1081">
          <cell r="AU1081">
            <v>100.5392960523547</v>
          </cell>
        </row>
        <row r="1082">
          <cell r="AU1082">
            <v>99.599362260640163</v>
          </cell>
        </row>
        <row r="1083">
          <cell r="AU1083">
            <v>99.529676899631809</v>
          </cell>
        </row>
        <row r="1084">
          <cell r="AU1084">
            <v>98.65805869904662</v>
          </cell>
        </row>
        <row r="1085">
          <cell r="AU1085">
            <v>97.900683336699984</v>
          </cell>
        </row>
        <row r="1086">
          <cell r="AU1086">
            <v>96.022081664943912</v>
          </cell>
        </row>
        <row r="1087">
          <cell r="AU1087">
            <v>97.304624413158848</v>
          </cell>
        </row>
        <row r="1088">
          <cell r="AU1088">
            <v>95.35734626639821</v>
          </cell>
        </row>
        <row r="1089">
          <cell r="AU1089">
            <v>97.495031010465411</v>
          </cell>
        </row>
        <row r="1090">
          <cell r="AU1090">
            <v>99.297715486103399</v>
          </cell>
        </row>
        <row r="1091">
          <cell r="AU1091">
            <v>105.06246935933015</v>
          </cell>
        </row>
        <row r="1092">
          <cell r="AU1092">
            <v>97.34355913227499</v>
          </cell>
        </row>
        <row r="1093">
          <cell r="AU1093">
            <v>97.997395733282133</v>
          </cell>
        </row>
        <row r="1094">
          <cell r="AU1094">
            <v>96.614488908385596</v>
          </cell>
        </row>
        <row r="1095">
          <cell r="AU1095">
            <v>99.082583941163421</v>
          </cell>
        </row>
        <row r="1096">
          <cell r="AU1096">
            <v>98.29841509955078</v>
          </cell>
        </row>
        <row r="1097">
          <cell r="AU1097">
            <v>96.453761885803175</v>
          </cell>
        </row>
        <row r="1098">
          <cell r="AU1098">
            <v>98.75856341553218</v>
          </cell>
        </row>
        <row r="1099">
          <cell r="AU1099">
            <v>97.435426934039398</v>
          </cell>
        </row>
        <row r="1100">
          <cell r="AU1100">
            <v>97.927954392332211</v>
          </cell>
        </row>
        <row r="1101">
          <cell r="AU1101">
            <v>96.858355595507177</v>
          </cell>
        </row>
        <row r="1102">
          <cell r="AU1102">
            <v>98.313322709326911</v>
          </cell>
        </row>
        <row r="1103">
          <cell r="AU1103">
            <v>96.213262583906172</v>
          </cell>
        </row>
        <row r="1104">
          <cell r="AU1104">
            <v>99.205057766702964</v>
          </cell>
        </row>
        <row r="1105">
          <cell r="AU1105">
            <v>98.616510565062583</v>
          </cell>
        </row>
        <row r="1106">
          <cell r="AU1106">
            <v>99.62335715244869</v>
          </cell>
        </row>
        <row r="1107">
          <cell r="AU1107">
            <v>98.353854199762637</v>
          </cell>
        </row>
        <row r="1108">
          <cell r="AU1108">
            <v>97.851876301229794</v>
          </cell>
        </row>
        <row r="1109">
          <cell r="AU1109">
            <v>96.784826520048185</v>
          </cell>
        </row>
        <row r="1110">
          <cell r="AU1110">
            <v>99.306008905273842</v>
          </cell>
        </row>
        <row r="1111">
          <cell r="AU1111">
            <v>103.8755853825819</v>
          </cell>
        </row>
        <row r="1113">
          <cell r="AU1113">
            <v>94.594411695767121</v>
          </cell>
        </row>
        <row r="1114">
          <cell r="AU1114">
            <v>95.442259414411609</v>
          </cell>
        </row>
        <row r="1115">
          <cell r="AU1115">
            <v>97.799087255527326</v>
          </cell>
        </row>
        <row r="1116">
          <cell r="AU1116">
            <v>99.719532753381543</v>
          </cell>
        </row>
        <row r="1117">
          <cell r="AU1117">
            <v>97.267166338056526</v>
          </cell>
        </row>
        <row r="1118">
          <cell r="AU1118">
            <v>100.44764077118069</v>
          </cell>
        </row>
        <row r="1119">
          <cell r="AU1119">
            <v>93.827567421687206</v>
          </cell>
        </row>
        <row r="1120">
          <cell r="AU1120">
            <v>96.394036031473647</v>
          </cell>
        </row>
        <row r="1121">
          <cell r="AU1121">
            <v>97.578305165931454</v>
          </cell>
        </row>
        <row r="1122">
          <cell r="AU1122">
            <v>96.932364975155807</v>
          </cell>
        </row>
        <row r="1123">
          <cell r="AU1123">
            <v>97.997104085958256</v>
          </cell>
        </row>
        <row r="1124">
          <cell r="AU1124">
            <v>97.759544843715418</v>
          </cell>
        </row>
        <row r="1125">
          <cell r="AU1125">
            <v>94.633810861424649</v>
          </cell>
        </row>
        <row r="1126">
          <cell r="AU1126">
            <v>96.862779824852581</v>
          </cell>
        </row>
        <row r="1127">
          <cell r="AU1127">
            <v>97.346818027874249</v>
          </cell>
        </row>
        <row r="1128">
          <cell r="AU1128">
            <v>97.629135536293958</v>
          </cell>
        </row>
        <row r="1129">
          <cell r="AU1129">
            <v>96.246567851915756</v>
          </cell>
        </row>
        <row r="1130">
          <cell r="AU1130">
            <v>99.254098267973902</v>
          </cell>
        </row>
        <row r="1131">
          <cell r="AU1131">
            <v>99.144169147157214</v>
          </cell>
        </row>
        <row r="1132">
          <cell r="AU1132">
            <v>99.23496199785825</v>
          </cell>
        </row>
        <row r="1134">
          <cell r="AU1134">
            <v>99.19314463412546</v>
          </cell>
        </row>
        <row r="1135">
          <cell r="AU1135">
            <v>102.92280154888711</v>
          </cell>
        </row>
        <row r="1136">
          <cell r="AU1136">
            <v>99.829359344619434</v>
          </cell>
        </row>
        <row r="1137">
          <cell r="AU1137">
            <v>99.761609789296614</v>
          </cell>
        </row>
        <row r="1138">
          <cell r="AU1138">
            <v>99.596399217459179</v>
          </cell>
        </row>
        <row r="1139">
          <cell r="AU1139">
            <v>100.37908211897162</v>
          </cell>
        </row>
        <row r="1140">
          <cell r="AU1140">
            <v>97.418312766765041</v>
          </cell>
        </row>
        <row r="1141">
          <cell r="AU1141">
            <v>97.968907607982743</v>
          </cell>
        </row>
        <row r="1142">
          <cell r="AU1142">
            <v>100.17029027008138</v>
          </cell>
        </row>
        <row r="1143">
          <cell r="AU1143">
            <v>99.993228708722555</v>
          </cell>
        </row>
        <row r="1144">
          <cell r="AU1144">
            <v>97.765751264487974</v>
          </cell>
        </row>
        <row r="1145">
          <cell r="AU1145">
            <v>100.62180093955595</v>
          </cell>
        </row>
        <row r="1146">
          <cell r="AU1146">
            <v>99.629475486503139</v>
          </cell>
        </row>
        <row r="1147">
          <cell r="AU1147">
            <v>102.31969069772103</v>
          </cell>
        </row>
        <row r="1148">
          <cell r="AU1148">
            <v>99.701418936924441</v>
          </cell>
        </row>
        <row r="1149">
          <cell r="AU1149">
            <v>102.89444634839793</v>
          </cell>
        </row>
        <row r="1150">
          <cell r="AU1150">
            <v>98.3471950616252</v>
          </cell>
        </row>
        <row r="1151">
          <cell r="AU1151">
            <v>105.60928359110704</v>
          </cell>
        </row>
        <row r="1152">
          <cell r="AU1152">
            <v>99.212780781016363</v>
          </cell>
        </row>
        <row r="1153">
          <cell r="AU1153">
            <v>100.63709509811707</v>
          </cell>
        </row>
        <row r="1154">
          <cell r="AU1154">
            <v>103.96526783220462</v>
          </cell>
        </row>
        <row r="1155">
          <cell r="AU1155">
            <v>102.33610142522622</v>
          </cell>
        </row>
        <row r="1156">
          <cell r="AU1156">
            <v>99.64102382490708</v>
          </cell>
        </row>
        <row r="1157">
          <cell r="AU1157">
            <v>97.359035191556657</v>
          </cell>
        </row>
        <row r="1158">
          <cell r="AU1158">
            <v>97.039812457212648</v>
          </cell>
        </row>
        <row r="1159">
          <cell r="AU1159">
            <v>99.191907080373852</v>
          </cell>
        </row>
        <row r="1160">
          <cell r="AU1160">
            <v>97.085988871154981</v>
          </cell>
        </row>
        <row r="1161">
          <cell r="AU1161">
            <v>98.839848274994736</v>
          </cell>
        </row>
        <row r="1162">
          <cell r="AU1162">
            <v>97.093900728710452</v>
          </cell>
        </row>
        <row r="1163">
          <cell r="AU1163">
            <v>98.663229460189456</v>
          </cell>
        </row>
        <row r="1164">
          <cell r="AU1164">
            <v>98.007580302489345</v>
          </cell>
        </row>
        <row r="1165">
          <cell r="AU1165">
            <v>96.82899132340151</v>
          </cell>
        </row>
        <row r="1166">
          <cell r="AU1166">
            <v>98.296064945454376</v>
          </cell>
        </row>
        <row r="1167">
          <cell r="AU1167">
            <v>101.25530046681963</v>
          </cell>
        </row>
        <row r="1169">
          <cell r="AU1169">
            <v>98.660529574241494</v>
          </cell>
        </row>
        <row r="1170">
          <cell r="AU1170">
            <v>98.683683341984477</v>
          </cell>
        </row>
        <row r="1171">
          <cell r="AU1171">
            <v>96.46565272128187</v>
          </cell>
        </row>
        <row r="1172">
          <cell r="AU1172">
            <v>98.213482405754576</v>
          </cell>
        </row>
        <row r="1173">
          <cell r="AU1173">
            <v>98.248215187248647</v>
          </cell>
        </row>
        <row r="1174">
          <cell r="AU1174">
            <v>99.347419892330862</v>
          </cell>
        </row>
        <row r="1175">
          <cell r="AU1175">
            <v>95.129579928527363</v>
          </cell>
        </row>
        <row r="1176">
          <cell r="AU1176">
            <v>97.379668362256893</v>
          </cell>
        </row>
        <row r="1177">
          <cell r="AU1177">
            <v>99.069063562092396</v>
          </cell>
        </row>
        <row r="1178">
          <cell r="AU1178">
            <v>98.284977928895344</v>
          </cell>
        </row>
        <row r="1179">
          <cell r="AU1179">
            <v>97.697220967368324</v>
          </cell>
        </row>
        <row r="1180">
          <cell r="AU1180">
            <v>101.77283360791213</v>
          </cell>
        </row>
        <row r="1181">
          <cell r="AU1181">
            <v>100.11664075277199</v>
          </cell>
        </row>
        <row r="1182">
          <cell r="AU1182">
            <v>98.96717887047059</v>
          </cell>
        </row>
        <row r="1183">
          <cell r="AU1183">
            <v>101.63639408836093</v>
          </cell>
        </row>
        <row r="1184">
          <cell r="AU1184">
            <v>98.708712830779419</v>
          </cell>
        </row>
        <row r="1185">
          <cell r="AU1185">
            <v>101.97508681628864</v>
          </cell>
        </row>
        <row r="1186">
          <cell r="AU1186">
            <v>100.72072842071967</v>
          </cell>
        </row>
        <row r="1187">
          <cell r="AU1187">
            <v>97.365017903467503</v>
          </cell>
        </row>
        <row r="1188">
          <cell r="AU1188">
            <v>101.01311282542125</v>
          </cell>
        </row>
        <row r="1189">
          <cell r="AU1189">
            <v>100.53358360397915</v>
          </cell>
        </row>
        <row r="1190">
          <cell r="AU1190">
            <v>100.26027269838312</v>
          </cell>
        </row>
        <row r="1191">
          <cell r="AU1191">
            <v>100.63192255012645</v>
          </cell>
        </row>
        <row r="1192">
          <cell r="AU1192">
            <v>99.244367423501714</v>
          </cell>
        </row>
        <row r="1193">
          <cell r="AU1193">
            <v>100.38350189359957</v>
          </cell>
        </row>
        <row r="1194">
          <cell r="AU1194">
            <v>99.785915212785909</v>
          </cell>
        </row>
        <row r="1195">
          <cell r="AU1195">
            <v>97.50865977837762</v>
          </cell>
        </row>
        <row r="1196">
          <cell r="AU1196">
            <v>100.0636839283863</v>
          </cell>
        </row>
        <row r="1197">
          <cell r="AU1197">
            <v>99.399695194472216</v>
          </cell>
        </row>
        <row r="1198">
          <cell r="AU1198">
            <v>100.80828631126168</v>
          </cell>
        </row>
        <row r="1199">
          <cell r="AU1199">
            <v>104.29383532084293</v>
          </cell>
        </row>
        <row r="1200">
          <cell r="AU1200">
            <v>102.06806155794258</v>
          </cell>
        </row>
        <row r="1201">
          <cell r="AU1201">
            <v>98.068435070509224</v>
          </cell>
        </row>
        <row r="1202">
          <cell r="AU1202">
            <v>99.818028096023355</v>
          </cell>
        </row>
        <row r="1203">
          <cell r="AU1203">
            <v>105.43737145342024</v>
          </cell>
        </row>
        <row r="1204">
          <cell r="AU1204">
            <v>97.871405694667857</v>
          </cell>
        </row>
        <row r="1205">
          <cell r="AU1205">
            <v>96.721541095846874</v>
          </cell>
        </row>
        <row r="1206">
          <cell r="AU1206">
            <v>102.17987166054657</v>
          </cell>
        </row>
        <row r="1207">
          <cell r="AU1207">
            <v>96.176672749058383</v>
          </cell>
        </row>
        <row r="1208">
          <cell r="AU1208">
            <v>99.766559934627637</v>
          </cell>
        </row>
        <row r="1209">
          <cell r="AU1209">
            <v>100.49829989218999</v>
          </cell>
        </row>
        <row r="1210">
          <cell r="AU1210">
            <v>99.790091501759747</v>
          </cell>
        </row>
        <row r="1211">
          <cell r="AU1211">
            <v>100.55981487206185</v>
          </cell>
        </row>
        <row r="1212">
          <cell r="AU1212">
            <v>97.788116609006309</v>
          </cell>
        </row>
        <row r="1213">
          <cell r="AU1213">
            <v>101.98103091751247</v>
          </cell>
        </row>
        <row r="1214">
          <cell r="AU1214">
            <v>99.012001119679738</v>
          </cell>
        </row>
        <row r="1215">
          <cell r="AU1215">
            <v>91.261489968985217</v>
          </cell>
        </row>
        <row r="1216">
          <cell r="AU1216">
            <v>99.707698219426462</v>
          </cell>
        </row>
        <row r="1217">
          <cell r="AU1217">
            <v>99.614769231653739</v>
          </cell>
        </row>
        <row r="1218">
          <cell r="AU1218">
            <v>99.614769231653739</v>
          </cell>
        </row>
        <row r="1219">
          <cell r="AU1219">
            <v>97.686659012038731</v>
          </cell>
        </row>
        <row r="1220">
          <cell r="AU1220">
            <v>99.41593735693985</v>
          </cell>
        </row>
        <row r="1221">
          <cell r="AU1221">
            <v>100.33556993750601</v>
          </cell>
        </row>
        <row r="1222">
          <cell r="AU1222">
            <v>100.36284236973283</v>
          </cell>
        </row>
        <row r="1223">
          <cell r="AU1223">
            <v>96.707064243265734</v>
          </cell>
        </row>
        <row r="1224">
          <cell r="AU1224">
            <v>98.684983751011956</v>
          </cell>
        </row>
        <row r="1225">
          <cell r="AU1225">
            <v>100.32666613792978</v>
          </cell>
        </row>
        <row r="1226">
          <cell r="AU1226">
            <v>99.075472038593162</v>
          </cell>
        </row>
        <row r="1227">
          <cell r="AU1227">
            <v>100.36025727184756</v>
          </cell>
        </row>
        <row r="1228">
          <cell r="AU1228">
            <v>98.501847436225248</v>
          </cell>
        </row>
        <row r="1229">
          <cell r="AU1229">
            <v>98.135747551553138</v>
          </cell>
        </row>
        <row r="1230">
          <cell r="AU1230">
            <v>96.024350814782196</v>
          </cell>
        </row>
        <row r="1232">
          <cell r="AU1232">
            <v>98.179789785028689</v>
          </cell>
        </row>
        <row r="1233">
          <cell r="AU1233">
            <v>98.291928859171279</v>
          </cell>
        </row>
        <row r="1234">
          <cell r="AU1234">
            <v>97.797767256682306</v>
          </cell>
        </row>
        <row r="1235">
          <cell r="AU1235">
            <v>100.58641598521527</v>
          </cell>
        </row>
        <row r="1236">
          <cell r="AU1236">
            <v>96.111582389487964</v>
          </cell>
        </row>
        <row r="1237">
          <cell r="AU1237">
            <v>98.073236826407097</v>
          </cell>
        </row>
        <row r="1238">
          <cell r="AU1238">
            <v>97.333813603818271</v>
          </cell>
        </row>
        <row r="1239">
          <cell r="AU1239">
            <v>97.488035418419599</v>
          </cell>
        </row>
        <row r="1240">
          <cell r="AU1240">
            <v>96.443069000306991</v>
          </cell>
        </row>
        <row r="1241">
          <cell r="AU1241">
            <v>97.660098295963977</v>
          </cell>
        </row>
        <row r="1242">
          <cell r="AU1242">
            <v>100.1925094291288</v>
          </cell>
        </row>
        <row r="1243">
          <cell r="AU1243">
            <v>102.02975819555886</v>
          </cell>
        </row>
        <row r="1244">
          <cell r="AU1244">
            <v>99.251334851868066</v>
          </cell>
        </row>
        <row r="1245">
          <cell r="AU1245">
            <v>98.988031079610636</v>
          </cell>
        </row>
        <row r="1246">
          <cell r="AU1246">
            <v>93.84492272914629</v>
          </cell>
        </row>
        <row r="1247">
          <cell r="AU1247">
            <v>97.675973893190388</v>
          </cell>
        </row>
        <row r="1248">
          <cell r="AU1248">
            <v>96.128859563942299</v>
          </cell>
        </row>
        <row r="1249">
          <cell r="AU1249">
            <v>96.23019957287525</v>
          </cell>
        </row>
        <row r="1250">
          <cell r="AU1250">
            <v>95.554648042025462</v>
          </cell>
        </row>
        <row r="1251">
          <cell r="AU1251">
            <v>98.040839419924865</v>
          </cell>
        </row>
        <row r="1252">
          <cell r="AU1252">
            <v>96.199420039592823</v>
          </cell>
        </row>
        <row r="1253">
          <cell r="AU1253">
            <v>97.234243270288488</v>
          </cell>
        </row>
        <row r="1254">
          <cell r="AU1254">
            <v>98.44605815756691</v>
          </cell>
        </row>
        <row r="1255">
          <cell r="AU1255">
            <v>97.382459789895933</v>
          </cell>
        </row>
        <row r="1256">
          <cell r="AU1256">
            <v>98.328884904956453</v>
          </cell>
        </row>
        <row r="1257">
          <cell r="AU1257">
            <v>99.176349471390083</v>
          </cell>
        </row>
        <row r="1258">
          <cell r="AU1258">
            <v>99.725213620870562</v>
          </cell>
        </row>
        <row r="1259">
          <cell r="AU1259">
            <v>100.48066422868867</v>
          </cell>
        </row>
        <row r="1260">
          <cell r="AU1260">
            <v>101.04881107834257</v>
          </cell>
        </row>
        <row r="1261">
          <cell r="AU1261">
            <v>96.684054663353407</v>
          </cell>
        </row>
        <row r="1262">
          <cell r="AU1262">
            <v>100.11748114942228</v>
          </cell>
        </row>
        <row r="1263">
          <cell r="AU1263">
            <v>100.51795107401998</v>
          </cell>
        </row>
        <row r="1264">
          <cell r="AU1264">
            <v>99.207896402187785</v>
          </cell>
        </row>
        <row r="1265">
          <cell r="AU1265">
            <v>100.95368553039596</v>
          </cell>
        </row>
        <row r="1266">
          <cell r="AU1266">
            <v>97.17675724343205</v>
          </cell>
        </row>
        <row r="1267">
          <cell r="AU1267">
            <v>100.27568850272728</v>
          </cell>
        </row>
        <row r="1268">
          <cell r="AU1268">
            <v>95.840653755436676</v>
          </cell>
        </row>
        <row r="1269">
          <cell r="AU1269">
            <v>97.856182069825209</v>
          </cell>
        </row>
        <row r="1270">
          <cell r="AU1270">
            <v>96.19901229369458</v>
          </cell>
        </row>
        <row r="1271">
          <cell r="AU1271">
            <v>99.768698757120475</v>
          </cell>
        </row>
        <row r="1272">
          <cell r="AU1272">
            <v>96.963110760980143</v>
          </cell>
        </row>
        <row r="1273">
          <cell r="AU1273">
            <v>95.387189095245446</v>
          </cell>
        </row>
        <row r="1274">
          <cell r="AU1274">
            <v>97.66276675900059</v>
          </cell>
        </row>
        <row r="1275">
          <cell r="AU1275">
            <v>96.722609742578882</v>
          </cell>
        </row>
        <row r="1276">
          <cell r="AU1276">
            <v>95.21341030938089</v>
          </cell>
        </row>
        <row r="1277">
          <cell r="AU1277">
            <v>100.58641598521527</v>
          </cell>
        </row>
        <row r="1278">
          <cell r="AU1278">
            <v>98.728481909993832</v>
          </cell>
        </row>
        <row r="1279">
          <cell r="AU1279">
            <v>97.363389883580609</v>
          </cell>
        </row>
        <row r="1280">
          <cell r="AU1280">
            <v>96.368222565528768</v>
          </cell>
        </row>
        <row r="1281">
          <cell r="AU1281">
            <v>99.403685713959135</v>
          </cell>
        </row>
        <row r="1282">
          <cell r="AU1282">
            <v>99.376781450914166</v>
          </cell>
        </row>
        <row r="1283">
          <cell r="AU1283">
            <v>100.1873369871003</v>
          </cell>
        </row>
        <row r="1284">
          <cell r="AU1284">
            <v>99.697907762622791</v>
          </cell>
        </row>
        <row r="1285">
          <cell r="AU1285">
            <v>100.26548026974599</v>
          </cell>
        </row>
        <row r="1286">
          <cell r="AU1286">
            <v>102.4523707111142</v>
          </cell>
        </row>
        <row r="1287">
          <cell r="AU1287">
            <v>100.73490880151181</v>
          </cell>
        </row>
        <row r="1288">
          <cell r="AU1288">
            <v>99.528027585112525</v>
          </cell>
        </row>
        <row r="1289">
          <cell r="AU1289">
            <v>100.40167185692117</v>
          </cell>
        </row>
        <row r="1290">
          <cell r="AU1290">
            <v>95.757943444168916</v>
          </cell>
        </row>
        <row r="1291">
          <cell r="AU1291">
            <v>100.64852804849632</v>
          </cell>
        </row>
        <row r="1292">
          <cell r="AU1292">
            <v>98.923494874166224</v>
          </cell>
        </row>
        <row r="1293">
          <cell r="AU1293">
            <v>100.60809464584524</v>
          </cell>
        </row>
        <row r="1294">
          <cell r="AU1294">
            <v>101.56245729868796</v>
          </cell>
        </row>
        <row r="1295">
          <cell r="AU1295">
            <v>100.73265147899326</v>
          </cell>
        </row>
        <row r="1296">
          <cell r="AU1296">
            <v>96.496722132654568</v>
          </cell>
        </row>
        <row r="1297">
          <cell r="AU1297">
            <v>104.73769347324765</v>
          </cell>
        </row>
        <row r="1298">
          <cell r="AU1298">
            <v>106.35297340389174</v>
          </cell>
        </row>
        <row r="1299">
          <cell r="AU1299">
            <v>97.675981598068034</v>
          </cell>
        </row>
        <row r="1301">
          <cell r="AU1301">
            <v>100.69636349625802</v>
          </cell>
        </row>
        <row r="1302">
          <cell r="AU1302">
            <v>98.184391941531558</v>
          </cell>
        </row>
        <row r="1303">
          <cell r="AU1303">
            <v>100.28460594143462</v>
          </cell>
        </row>
        <row r="1304">
          <cell r="AU1304">
            <v>99.054172804783235</v>
          </cell>
        </row>
        <row r="1305">
          <cell r="AU1305">
            <v>97.279357172003117</v>
          </cell>
        </row>
        <row r="1306">
          <cell r="AU1306">
            <v>99.364064980818199</v>
          </cell>
        </row>
        <row r="1307">
          <cell r="AU1307">
            <v>96.124556479651858</v>
          </cell>
        </row>
        <row r="1308">
          <cell r="AU1308">
            <v>94.991504047027817</v>
          </cell>
        </row>
        <row r="1309">
          <cell r="AU1309">
            <v>99.356858720757813</v>
          </cell>
        </row>
        <row r="1310">
          <cell r="AU1310">
            <v>99.85019705163522</v>
          </cell>
        </row>
        <row r="1311">
          <cell r="AU1311">
            <v>99.172910782795725</v>
          </cell>
        </row>
        <row r="1312">
          <cell r="AU1312">
            <v>96.169426096286429</v>
          </cell>
        </row>
        <row r="1313">
          <cell r="AU1313">
            <v>98.505525515629415</v>
          </cell>
        </row>
        <row r="1314">
          <cell r="AU1314">
            <v>96.258588846991714</v>
          </cell>
        </row>
        <row r="1315">
          <cell r="AU1315">
            <v>94.232141766092681</v>
          </cell>
        </row>
        <row r="1316">
          <cell r="AU1316">
            <v>95.570750074834052</v>
          </cell>
        </row>
        <row r="1317">
          <cell r="AU1317">
            <v>96.288795653844687</v>
          </cell>
        </row>
        <row r="1318">
          <cell r="AU1318">
            <v>95.645642237820567</v>
          </cell>
        </row>
        <row r="1319">
          <cell r="AU1319">
            <v>96.403544949878381</v>
          </cell>
        </row>
        <row r="1320">
          <cell r="AU1320">
            <v>97.131757704740778</v>
          </cell>
        </row>
        <row r="1321">
          <cell r="AU1321">
            <v>99.958438788996091</v>
          </cell>
        </row>
        <row r="1322">
          <cell r="AU1322">
            <v>97.297010458054217</v>
          </cell>
        </row>
        <row r="1323">
          <cell r="AU1323">
            <v>98.657901147288669</v>
          </cell>
        </row>
        <row r="1324">
          <cell r="AU1324">
            <v>99.981282874675273</v>
          </cell>
        </row>
        <row r="1325">
          <cell r="AU1325">
            <v>99.580050341134651</v>
          </cell>
        </row>
        <row r="1326">
          <cell r="AU1326">
            <v>96.929558501285911</v>
          </cell>
        </row>
        <row r="1327">
          <cell r="AU1327">
            <v>100.30553206082334</v>
          </cell>
        </row>
        <row r="1328">
          <cell r="AU1328">
            <v>99.722360362795285</v>
          </cell>
        </row>
        <row r="1329">
          <cell r="AU1329">
            <v>98.944798098757886</v>
          </cell>
        </row>
        <row r="1330">
          <cell r="AU1330">
            <v>95.580638204051326</v>
          </cell>
        </row>
        <row r="1331">
          <cell r="AU1331">
            <v>98.735458005641846</v>
          </cell>
        </row>
        <row r="1332">
          <cell r="AU1332">
            <v>99.650000628755876</v>
          </cell>
        </row>
        <row r="1333">
          <cell r="AU1333">
            <v>101.84109606479639</v>
          </cell>
        </row>
        <row r="1334">
          <cell r="AU1334">
            <v>96.796751766607542</v>
          </cell>
        </row>
        <row r="1335">
          <cell r="AU1335">
            <v>98.193610604613141</v>
          </cell>
        </row>
        <row r="1336">
          <cell r="AU1336">
            <v>98.093894811424491</v>
          </cell>
        </row>
        <row r="1337">
          <cell r="AU1337">
            <v>99.544408891882213</v>
          </cell>
        </row>
        <row r="1338">
          <cell r="AU1338">
            <v>95.943650597628519</v>
          </cell>
        </row>
        <row r="1339">
          <cell r="AU1339">
            <v>98.489487551374054</v>
          </cell>
        </row>
        <row r="1340">
          <cell r="AU1340">
            <v>99.461015338477637</v>
          </cell>
        </row>
        <row r="1341">
          <cell r="AU1341">
            <v>98.205094303313913</v>
          </cell>
        </row>
        <row r="1342">
          <cell r="AU1342">
            <v>96.57736653253302</v>
          </cell>
        </row>
        <row r="1343">
          <cell r="AU1343">
            <v>99.162258965139586</v>
          </cell>
        </row>
        <row r="1344">
          <cell r="AU1344">
            <v>97.752006327292591</v>
          </cell>
        </row>
        <row r="1345">
          <cell r="AU1345">
            <v>98.25226189331751</v>
          </cell>
        </row>
        <row r="1346">
          <cell r="AU1346">
            <v>92.330641979085215</v>
          </cell>
        </row>
        <row r="1347">
          <cell r="AU1347">
            <v>96.92616235214588</v>
          </cell>
        </row>
        <row r="1348">
          <cell r="AU1348">
            <v>98.250904314108695</v>
          </cell>
        </row>
        <row r="1349">
          <cell r="AU1349">
            <v>97.226742284610296</v>
          </cell>
        </row>
        <row r="1350">
          <cell r="AU1350">
            <v>97.131846766978995</v>
          </cell>
        </row>
        <row r="1351">
          <cell r="AU1351">
            <v>96.993217019795154</v>
          </cell>
        </row>
        <row r="1352">
          <cell r="AU1352">
            <v>98.417594218830985</v>
          </cell>
        </row>
        <row r="1353">
          <cell r="AU1353">
            <v>102.82252082705443</v>
          </cell>
        </row>
        <row r="1354">
          <cell r="AU1354">
            <v>98.816203939292336</v>
          </cell>
        </row>
        <row r="1355">
          <cell r="AU1355">
            <v>96.798324627985608</v>
          </cell>
        </row>
        <row r="1356">
          <cell r="AU1356">
            <v>94.452452072698932</v>
          </cell>
        </row>
        <row r="1357">
          <cell r="AU1357">
            <v>97.56033572665082</v>
          </cell>
        </row>
        <row r="1358">
          <cell r="AU1358">
            <v>98.27460163662704</v>
          </cell>
        </row>
        <row r="1359">
          <cell r="AU1359">
            <v>97.762952703699071</v>
          </cell>
        </row>
        <row r="1360">
          <cell r="AU1360">
            <v>98.536776457125086</v>
          </cell>
        </row>
        <row r="1361">
          <cell r="AU1361">
            <v>98.239874351747247</v>
          </cell>
        </row>
        <row r="1362">
          <cell r="AU1362">
            <v>98.540391691402434</v>
          </cell>
        </row>
        <row r="1363">
          <cell r="AU1363">
            <v>98.858098536373518</v>
          </cell>
        </row>
        <row r="1365">
          <cell r="AU1365">
            <v>100.41719648574204</v>
          </cell>
        </row>
        <row r="1366">
          <cell r="AU1366">
            <v>99.322262234372474</v>
          </cell>
        </row>
        <row r="1367">
          <cell r="AU1367">
            <v>101.39091759147669</v>
          </cell>
        </row>
        <row r="1368">
          <cell r="AU1368">
            <v>97.734817712523011</v>
          </cell>
        </row>
        <row r="1369">
          <cell r="AU1369">
            <v>99.071270960746133</v>
          </cell>
        </row>
        <row r="1370">
          <cell r="AU1370">
            <v>99.447784717664206</v>
          </cell>
        </row>
        <row r="1371">
          <cell r="AU1371">
            <v>93.59468551560397</v>
          </cell>
        </row>
        <row r="1372">
          <cell r="AU1372">
            <v>94.563283703778581</v>
          </cell>
        </row>
        <row r="1373">
          <cell r="AU1373">
            <v>98.67921311815266</v>
          </cell>
        </row>
        <row r="1374">
          <cell r="AU1374">
            <v>96.36809033051874</v>
          </cell>
        </row>
        <row r="1375">
          <cell r="AU1375">
            <v>96.920303781973502</v>
          </cell>
        </row>
        <row r="1376">
          <cell r="AU1376">
            <v>102.56831615190862</v>
          </cell>
        </row>
        <row r="1377">
          <cell r="AU1377">
            <v>98.929739255873997</v>
          </cell>
        </row>
        <row r="1378">
          <cell r="AU1378">
            <v>99.322262234372474</v>
          </cell>
        </row>
        <row r="1379">
          <cell r="AU1379">
            <v>95.465966670266354</v>
          </cell>
        </row>
        <row r="1380">
          <cell r="AU1380">
            <v>97.114144389537444</v>
          </cell>
        </row>
        <row r="1381">
          <cell r="AU1381">
            <v>97.159907020096412</v>
          </cell>
        </row>
        <row r="1382">
          <cell r="AU1382">
            <v>98.101341699400351</v>
          </cell>
        </row>
        <row r="1383">
          <cell r="AU1383">
            <v>97.478202149506544</v>
          </cell>
        </row>
        <row r="1384">
          <cell r="AU1384">
            <v>98.929739255873997</v>
          </cell>
        </row>
        <row r="1385">
          <cell r="AU1385">
            <v>98.623493119770274</v>
          </cell>
        </row>
        <row r="1386">
          <cell r="AU1386">
            <v>98.431618619537275</v>
          </cell>
        </row>
        <row r="1387">
          <cell r="AU1387">
            <v>99.671010145829698</v>
          </cell>
        </row>
        <row r="1388">
          <cell r="AU1388">
            <v>101.88601915572946</v>
          </cell>
        </row>
        <row r="1389">
          <cell r="AU1389">
            <v>94.965720341288431</v>
          </cell>
        </row>
        <row r="1390">
          <cell r="AU1390">
            <v>96.435091480311513</v>
          </cell>
        </row>
        <row r="1391">
          <cell r="AU1391">
            <v>97.482674355194135</v>
          </cell>
        </row>
        <row r="1392">
          <cell r="AU1392">
            <v>98.364442828340316</v>
          </cell>
        </row>
        <row r="1393">
          <cell r="AU1393">
            <v>98.267944863963734</v>
          </cell>
        </row>
        <row r="1394">
          <cell r="AU1394">
            <v>97.750930172236252</v>
          </cell>
        </row>
        <row r="1395">
          <cell r="AU1395">
            <v>97.737910056068699</v>
          </cell>
        </row>
        <row r="1396">
          <cell r="AU1396">
            <v>96.540559150897863</v>
          </cell>
        </row>
        <row r="1397">
          <cell r="AU1397">
            <v>97.822972408587717</v>
          </cell>
        </row>
        <row r="1398">
          <cell r="AU1398">
            <v>98.261703641432518</v>
          </cell>
        </row>
        <row r="1399">
          <cell r="AU1399">
            <v>95.461164108361956</v>
          </cell>
        </row>
        <row r="1400">
          <cell r="AU1400">
            <v>96.415086891174909</v>
          </cell>
        </row>
        <row r="1401">
          <cell r="AU1401">
            <v>99.640125910776376</v>
          </cell>
        </row>
        <row r="1402">
          <cell r="AU1402">
            <v>96.114626501610672</v>
          </cell>
        </row>
        <row r="1403">
          <cell r="AU1403">
            <v>97.097205687046483</v>
          </cell>
        </row>
        <row r="1404">
          <cell r="AU1404">
            <v>97.933176072044361</v>
          </cell>
        </row>
        <row r="1405">
          <cell r="AU1405">
            <v>97.359348868497207</v>
          </cell>
        </row>
        <row r="1406">
          <cell r="AU1406">
            <v>95.274933067771656</v>
          </cell>
        </row>
        <row r="1407">
          <cell r="AU1407">
            <v>96.905759405529636</v>
          </cell>
        </row>
        <row r="1408">
          <cell r="AU1408">
            <v>98.743467786078526</v>
          </cell>
        </row>
        <row r="1409">
          <cell r="AU1409">
            <v>98.336500376686118</v>
          </cell>
        </row>
        <row r="1410">
          <cell r="AU1410">
            <v>97.914891452662474</v>
          </cell>
        </row>
        <row r="1411">
          <cell r="AU1411">
            <v>99.253173965491797</v>
          </cell>
        </row>
        <row r="1412">
          <cell r="AU1412">
            <v>99.409086961911157</v>
          </cell>
        </row>
        <row r="1413">
          <cell r="AU1413">
            <v>95.652853192916908</v>
          </cell>
        </row>
        <row r="1414">
          <cell r="AU1414">
            <v>98.479270074922681</v>
          </cell>
        </row>
        <row r="1415">
          <cell r="AU1415">
            <v>98.176669890806309</v>
          </cell>
        </row>
        <row r="1416">
          <cell r="AU1416">
            <v>96.714179234632098</v>
          </cell>
        </row>
        <row r="1417">
          <cell r="AU1417">
            <v>99.115564785646797</v>
          </cell>
        </row>
        <row r="1418">
          <cell r="AU1418">
            <v>98.541044413027265</v>
          </cell>
        </row>
        <row r="1419">
          <cell r="AU1419">
            <v>97.452215171322351</v>
          </cell>
        </row>
        <row r="1420">
          <cell r="AU1420">
            <v>98.648885620396499</v>
          </cell>
        </row>
        <row r="1421">
          <cell r="AU1421">
            <v>98.936703535170665</v>
          </cell>
        </row>
        <row r="1422">
          <cell r="AU1422">
            <v>99.623676980281815</v>
          </cell>
        </row>
        <row r="1423">
          <cell r="AU1423">
            <v>98.120445907560153</v>
          </cell>
        </row>
        <row r="1424">
          <cell r="AU1424">
            <v>98.572209097474968</v>
          </cell>
        </row>
        <row r="1425">
          <cell r="AU1425">
            <v>95.646266460157364</v>
          </cell>
        </row>
        <row r="1426">
          <cell r="AU1426">
            <v>97.742482894211975</v>
          </cell>
        </row>
        <row r="1427">
          <cell r="AU1427">
            <v>98.330113051892596</v>
          </cell>
        </row>
        <row r="1428">
          <cell r="AU1428">
            <v>97.169799152857877</v>
          </cell>
        </row>
        <row r="1429">
          <cell r="AU1429">
            <v>99.208647670497314</v>
          </cell>
        </row>
        <row r="1430">
          <cell r="AU1430">
            <v>98.525989771119455</v>
          </cell>
        </row>
        <row r="1431">
          <cell r="AU1431">
            <v>98.461659837743611</v>
          </cell>
        </row>
        <row r="1432">
          <cell r="AU1432">
            <v>98.62620942585643</v>
          </cell>
        </row>
        <row r="1433">
          <cell r="AU1433">
            <v>100.21609106830478</v>
          </cell>
        </row>
        <row r="1434">
          <cell r="AU1434">
            <v>89.640220918832952</v>
          </cell>
        </row>
        <row r="1435">
          <cell r="AU1435">
            <v>93.282679447096996</v>
          </cell>
        </row>
        <row r="1436">
          <cell r="AU1436">
            <v>107.10597490816951</v>
          </cell>
        </row>
        <row r="1437">
          <cell r="AU1437">
            <v>96.299726205571716</v>
          </cell>
        </row>
        <row r="1438">
          <cell r="AU1438">
            <v>98.309867057290148</v>
          </cell>
        </row>
        <row r="1439">
          <cell r="AU1439">
            <v>99.629209558382172</v>
          </cell>
        </row>
        <row r="1440">
          <cell r="AU1440">
            <v>98.060245628328929</v>
          </cell>
        </row>
        <row r="1441">
          <cell r="AU1441">
            <v>98.94333918173038</v>
          </cell>
        </row>
        <row r="1442">
          <cell r="AU1442">
            <v>98.871999428059297</v>
          </cell>
        </row>
        <row r="1443">
          <cell r="AU1443">
            <v>98.554563782195103</v>
          </cell>
        </row>
        <row r="1444">
          <cell r="AU1444">
            <v>98.69767718374888</v>
          </cell>
        </row>
        <row r="1446">
          <cell r="AU1446">
            <v>98.403676881234972</v>
          </cell>
        </row>
        <row r="1447">
          <cell r="AU1447">
            <v>98.208043328787198</v>
          </cell>
        </row>
        <row r="1448">
          <cell r="AU1448">
            <v>97.971400682892167</v>
          </cell>
        </row>
        <row r="1449">
          <cell r="AU1449">
            <v>97.602470858445898</v>
          </cell>
        </row>
        <row r="1450">
          <cell r="AU1450">
            <v>94.959570970106483</v>
          </cell>
        </row>
        <row r="1451">
          <cell r="AU1451">
            <v>95.939132123377576</v>
          </cell>
        </row>
        <row r="1452">
          <cell r="AU1452">
            <v>97.349907896919447</v>
          </cell>
        </row>
        <row r="1453">
          <cell r="AU1453">
            <v>102.89636630362016</v>
          </cell>
        </row>
        <row r="1454">
          <cell r="AU1454">
            <v>95.461604124855526</v>
          </cell>
        </row>
        <row r="1455">
          <cell r="AU1455">
            <v>97.647870047840527</v>
          </cell>
        </row>
        <row r="1456">
          <cell r="AU1456">
            <v>98.432063344309483</v>
          </cell>
        </row>
        <row r="1457">
          <cell r="AU1457">
            <v>96.068380428080829</v>
          </cell>
        </row>
        <row r="1458">
          <cell r="AU1458">
            <v>99.788621268905345</v>
          </cell>
        </row>
        <row r="1459">
          <cell r="AU1459">
            <v>99.171782801163587</v>
          </cell>
        </row>
        <row r="1460">
          <cell r="AU1460">
            <v>97.849625099668586</v>
          </cell>
        </row>
        <row r="1461">
          <cell r="AU1461">
            <v>98.820355507403406</v>
          </cell>
        </row>
        <row r="1462">
          <cell r="AU1462">
            <v>98.013249025769767</v>
          </cell>
        </row>
        <row r="1463">
          <cell r="AU1463">
            <v>97.816776223891637</v>
          </cell>
        </row>
        <row r="1464">
          <cell r="AU1464">
            <v>95.104846006797871</v>
          </cell>
        </row>
        <row r="1465">
          <cell r="AU1465">
            <v>97.801074685859348</v>
          </cell>
        </row>
        <row r="1466">
          <cell r="AU1466">
            <v>96.232788591939283</v>
          </cell>
        </row>
        <row r="1467">
          <cell r="AU1467">
            <v>98.97820607044973</v>
          </cell>
        </row>
        <row r="1468">
          <cell r="AU1468">
            <v>97.713592048259329</v>
          </cell>
        </row>
        <row r="1469">
          <cell r="AU1469">
            <v>98.768967717547937</v>
          </cell>
        </row>
        <row r="1470">
          <cell r="AU1470">
            <v>97.849625099668586</v>
          </cell>
        </row>
        <row r="1471">
          <cell r="AU1471">
            <v>94.116046142772348</v>
          </cell>
        </row>
        <row r="1472">
          <cell r="AU1472">
            <v>98.888478397355001</v>
          </cell>
        </row>
        <row r="1473">
          <cell r="AU1473">
            <v>96.988435329123845</v>
          </cell>
        </row>
        <row r="1474">
          <cell r="AU1474">
            <v>95.732299004591454</v>
          </cell>
        </row>
        <row r="1475">
          <cell r="AU1475">
            <v>98.377484500921341</v>
          </cell>
        </row>
        <row r="1476">
          <cell r="AU1476">
            <v>100.05551202869533</v>
          </cell>
        </row>
        <row r="1477">
          <cell r="AU1477">
            <v>98.424375293096418</v>
          </cell>
        </row>
        <row r="1478">
          <cell r="AU1478">
            <v>97.811296698949192</v>
          </cell>
        </row>
        <row r="1479">
          <cell r="AU1479">
            <v>98.634699122165827</v>
          </cell>
        </row>
        <row r="1480">
          <cell r="AU1480">
            <v>98.235349044445485</v>
          </cell>
        </row>
        <row r="1481">
          <cell r="AU1481">
            <v>98.200208415446014</v>
          </cell>
        </row>
        <row r="1482">
          <cell r="AU1482">
            <v>98.22247134082383</v>
          </cell>
        </row>
        <row r="1483">
          <cell r="AU1483">
            <v>98.022782936884127</v>
          </cell>
        </row>
        <row r="1484">
          <cell r="AU1484">
            <v>107.52183094840358</v>
          </cell>
        </row>
        <row r="1485">
          <cell r="AU1485">
            <v>98.538852324222177</v>
          </cell>
        </row>
        <row r="1486">
          <cell r="AU1486">
            <v>98.214233684807724</v>
          </cell>
        </row>
        <row r="1487">
          <cell r="AU1487">
            <v>98.825308599286103</v>
          </cell>
        </row>
        <row r="1488">
          <cell r="AU1488">
            <v>97.839545060236915</v>
          </cell>
        </row>
        <row r="1489">
          <cell r="AU1489">
            <v>97.92367945623333</v>
          </cell>
        </row>
        <row r="1490">
          <cell r="AU1490">
            <v>96.732530464388148</v>
          </cell>
        </row>
        <row r="1491">
          <cell r="AU1491">
            <v>98.003054578841031</v>
          </cell>
        </row>
        <row r="1492">
          <cell r="AU1492">
            <v>99.071222574861054</v>
          </cell>
        </row>
        <row r="1493">
          <cell r="AU1493">
            <v>99.190386905250023</v>
          </cell>
        </row>
        <row r="1494">
          <cell r="AU1494">
            <v>94.679848778277758</v>
          </cell>
        </row>
        <row r="1495">
          <cell r="AU1495">
            <v>97.590582017147952</v>
          </cell>
        </row>
        <row r="1496">
          <cell r="AU1496">
            <v>99.140905281436531</v>
          </cell>
        </row>
        <row r="1497">
          <cell r="AU1497">
            <v>102.13728013602423</v>
          </cell>
        </row>
        <row r="1498">
          <cell r="AU1498">
            <v>95.017154952630335</v>
          </cell>
        </row>
        <row r="1499">
          <cell r="AU1499">
            <v>99.494185297436474</v>
          </cell>
        </row>
        <row r="1500">
          <cell r="AU1500">
            <v>98.303188897575154</v>
          </cell>
        </row>
        <row r="1501">
          <cell r="AU1501">
            <v>97.497104151681953</v>
          </cell>
        </row>
        <row r="1502">
          <cell r="AU1502">
            <v>98.154558638154512</v>
          </cell>
        </row>
        <row r="1503">
          <cell r="AU1503">
            <v>97.859878257858369</v>
          </cell>
        </row>
        <row r="1504">
          <cell r="AU1504">
            <v>98.978031848439642</v>
          </cell>
        </row>
        <row r="1505">
          <cell r="AU1505">
            <v>97.469998264799159</v>
          </cell>
        </row>
        <row r="1506">
          <cell r="AU1506">
            <v>93.791761347926894</v>
          </cell>
        </row>
        <row r="1507">
          <cell r="AU1507">
            <v>95.268532624941997</v>
          </cell>
        </row>
        <row r="1508">
          <cell r="AU1508">
            <v>96.513617944475655</v>
          </cell>
        </row>
        <row r="1509">
          <cell r="AU1509">
            <v>97.248358280048336</v>
          </cell>
        </row>
        <row r="1510">
          <cell r="AU1510">
            <v>93.198485438419098</v>
          </cell>
        </row>
        <row r="1511">
          <cell r="AU1511">
            <v>96.777213485441976</v>
          </cell>
        </row>
        <row r="1512">
          <cell r="AU1512">
            <v>97.664938261328771</v>
          </cell>
        </row>
        <row r="1513">
          <cell r="AU1513">
            <v>98.18014861875028</v>
          </cell>
        </row>
        <row r="1514">
          <cell r="AU1514">
            <v>96.846983069370367</v>
          </cell>
        </row>
        <row r="1515">
          <cell r="AU1515">
            <v>101.76554486222224</v>
          </cell>
        </row>
        <row r="1516">
          <cell r="AU1516">
            <v>96.733120964420081</v>
          </cell>
        </row>
        <row r="1517">
          <cell r="AU1517">
            <v>96.375325079354994</v>
          </cell>
        </row>
        <row r="1518">
          <cell r="AU1518">
            <v>93.164094726996794</v>
          </cell>
        </row>
        <row r="1519">
          <cell r="AU1519">
            <v>98.762583234484524</v>
          </cell>
        </row>
        <row r="1520">
          <cell r="AU1520">
            <v>96.244744743561299</v>
          </cell>
        </row>
        <row r="1521">
          <cell r="AU1521">
            <v>97.139838277575777</v>
          </cell>
        </row>
        <row r="1522">
          <cell r="AU1522">
            <v>96.354517751252075</v>
          </cell>
        </row>
        <row r="1523">
          <cell r="AU1523">
            <v>95.509845236065445</v>
          </cell>
        </row>
        <row r="1524">
          <cell r="AU1524">
            <v>97.067635434515111</v>
          </cell>
        </row>
        <row r="1525">
          <cell r="AU1525">
            <v>95.891884617009708</v>
          </cell>
        </row>
        <row r="1526">
          <cell r="AU1526">
            <v>96.657398300051142</v>
          </cell>
        </row>
        <row r="1527">
          <cell r="AU1527">
            <v>96.623887599326139</v>
          </cell>
        </row>
        <row r="1529">
          <cell r="AU1529">
            <v>95.888750997466246</v>
          </cell>
        </row>
        <row r="1531">
          <cell r="AU1531">
            <v>97.358845453483937</v>
          </cell>
        </row>
        <row r="1532">
          <cell r="AU1532">
            <v>97.787993076807993</v>
          </cell>
        </row>
        <row r="1533">
          <cell r="AU1533">
            <v>100.77221550889792</v>
          </cell>
        </row>
        <row r="1534">
          <cell r="AU1534">
            <v>100.09537521022919</v>
          </cell>
        </row>
        <row r="1535">
          <cell r="AU1535">
            <v>98.57435184706199</v>
          </cell>
        </row>
        <row r="1536">
          <cell r="AU1536">
            <v>99.846927004097182</v>
          </cell>
        </row>
        <row r="1537">
          <cell r="AU1537">
            <v>96.692192927553478</v>
          </cell>
        </row>
        <row r="1538">
          <cell r="AU1538">
            <v>99.379452386908071</v>
          </cell>
        </row>
        <row r="1539">
          <cell r="AU1539">
            <v>96.468737875235774</v>
          </cell>
        </row>
        <row r="1540">
          <cell r="AU1540">
            <v>98.530094641761735</v>
          </cell>
        </row>
        <row r="1541">
          <cell r="AU1541">
            <v>99.945184755444359</v>
          </cell>
        </row>
        <row r="1542">
          <cell r="AU1542">
            <v>98.272858173411109</v>
          </cell>
        </row>
        <row r="1543">
          <cell r="AU1543">
            <v>98.746806466395398</v>
          </cell>
        </row>
        <row r="1544">
          <cell r="AU1544">
            <v>96.892528769528354</v>
          </cell>
        </row>
        <row r="1545">
          <cell r="AU1545">
            <v>99.329779569836703</v>
          </cell>
        </row>
        <row r="1546">
          <cell r="AU1546">
            <v>99.358891682499532</v>
          </cell>
        </row>
        <row r="1547">
          <cell r="AU1547">
            <v>98.070660675032357</v>
          </cell>
        </row>
        <row r="1548">
          <cell r="AU1548">
            <v>88.286344931162546</v>
          </cell>
        </row>
        <row r="1549">
          <cell r="AU1549">
            <v>98.933858232911817</v>
          </cell>
        </row>
        <row r="1550">
          <cell r="AU1550">
            <v>98.78625201233416</v>
          </cell>
        </row>
        <row r="1551">
          <cell r="AU1551">
            <v>99.187212042641292</v>
          </cell>
        </row>
        <row r="1552">
          <cell r="AU1552">
            <v>99.413670162626218</v>
          </cell>
        </row>
        <row r="1553">
          <cell r="AU1553">
            <v>99.773815293205345</v>
          </cell>
        </row>
        <row r="1554">
          <cell r="AU1554">
            <v>98.936394304213565</v>
          </cell>
        </row>
        <row r="1555">
          <cell r="AU1555">
            <v>97.793709002359662</v>
          </cell>
        </row>
        <row r="1556">
          <cell r="AU1556">
            <v>99.385581117917994</v>
          </cell>
        </row>
        <row r="1557">
          <cell r="AU1557">
            <v>99.648210827388539</v>
          </cell>
        </row>
        <row r="1558">
          <cell r="AU1558">
            <v>99.453053524791059</v>
          </cell>
        </row>
        <row r="1559">
          <cell r="AU1559">
            <v>99.231986204607509</v>
          </cell>
        </row>
        <row r="1560">
          <cell r="AU1560">
            <v>96.222035971414087</v>
          </cell>
        </row>
        <row r="1561">
          <cell r="AU1561">
            <v>94.663130443127486</v>
          </cell>
        </row>
        <row r="1562">
          <cell r="AU1562">
            <v>96.516010017933652</v>
          </cell>
        </row>
        <row r="1563">
          <cell r="AU1563">
            <v>102.73678009446101</v>
          </cell>
        </row>
        <row r="1564">
          <cell r="AU1564">
            <v>95.090687552741997</v>
          </cell>
        </row>
        <row r="1565">
          <cell r="AU1565">
            <v>100.06817952322191</v>
          </cell>
        </row>
        <row r="1566">
          <cell r="AU1566">
            <v>98.700115637317481</v>
          </cell>
        </row>
        <row r="1567">
          <cell r="AU1567">
            <v>93.610559392957626</v>
          </cell>
        </row>
        <row r="1568">
          <cell r="AU1568">
            <v>95.294477877540658</v>
          </cell>
        </row>
        <row r="1569">
          <cell r="AU1569">
            <v>97.613203013475982</v>
          </cell>
        </row>
        <row r="1570">
          <cell r="AU1570">
            <v>99.916594677284749</v>
          </cell>
        </row>
        <row r="1571">
          <cell r="AU1571">
            <v>91.390694141109606</v>
          </cell>
        </row>
        <row r="1572">
          <cell r="AU1572">
            <v>101.32228077167503</v>
          </cell>
        </row>
        <row r="1573">
          <cell r="AU1573">
            <v>90.434272634553253</v>
          </cell>
        </row>
        <row r="1574">
          <cell r="AU1574">
            <v>97.259954723457597</v>
          </cell>
        </row>
        <row r="1575">
          <cell r="AU1575">
            <v>98.9853434339648</v>
          </cell>
        </row>
        <row r="1576">
          <cell r="AU1576">
            <v>98.86278199656256</v>
          </cell>
        </row>
        <row r="1577">
          <cell r="AU1577">
            <v>98.499331655873206</v>
          </cell>
        </row>
        <row r="1578">
          <cell r="AU1578">
            <v>98.499331655873206</v>
          </cell>
        </row>
        <row r="1579">
          <cell r="AU1579">
            <v>98.312959470172288</v>
          </cell>
        </row>
        <row r="1580">
          <cell r="AU1580">
            <v>99.490286512588028</v>
          </cell>
        </row>
        <row r="1581">
          <cell r="AU1581">
            <v>99.391995087405974</v>
          </cell>
        </row>
        <row r="1582">
          <cell r="AU1582">
            <v>99.223765625776068</v>
          </cell>
        </row>
        <row r="1583">
          <cell r="AU1583">
            <v>99.509173515320853</v>
          </cell>
        </row>
        <row r="1584">
          <cell r="AU1584">
            <v>98.814760108037234</v>
          </cell>
        </row>
        <row r="1585">
          <cell r="AU1585">
            <v>95.512404307838978</v>
          </cell>
        </row>
        <row r="1586">
          <cell r="AU1586">
            <v>99.394444364848241</v>
          </cell>
        </row>
        <row r="1587">
          <cell r="AU1587">
            <v>95.108679119700511</v>
          </cell>
        </row>
        <row r="1588">
          <cell r="AU1588">
            <v>99.050098791613507</v>
          </cell>
        </row>
        <row r="1589">
          <cell r="AU1589">
            <v>99.897881224365065</v>
          </cell>
        </row>
        <row r="1590">
          <cell r="AU1590">
            <v>100.71733673028096</v>
          </cell>
        </row>
        <row r="1591">
          <cell r="AU1591">
            <v>97.993617253854779</v>
          </cell>
        </row>
        <row r="1592">
          <cell r="AU1592">
            <v>99.123599290834477</v>
          </cell>
        </row>
        <row r="1593">
          <cell r="AU1593">
            <v>100.91355866471055</v>
          </cell>
        </row>
        <row r="1594">
          <cell r="AU1594">
            <v>98.239258499914229</v>
          </cell>
        </row>
        <row r="1596">
          <cell r="A1596" t="str">
            <v>CA737</v>
          </cell>
          <cell r="AU1596">
            <v>96.140007674122913</v>
          </cell>
        </row>
        <row r="1597">
          <cell r="A1597" t="str">
            <v>CA738</v>
          </cell>
          <cell r="AU1597">
            <v>98.862127909667777</v>
          </cell>
        </row>
        <row r="1598">
          <cell r="A1598" t="str">
            <v>CA739</v>
          </cell>
          <cell r="AU1598">
            <v>99.196916635814219</v>
          </cell>
        </row>
        <row r="1599">
          <cell r="A1599" t="str">
            <v>CA740</v>
          </cell>
          <cell r="AU1599">
            <v>102.87694546953874</v>
          </cell>
        </row>
        <row r="1600">
          <cell r="A1600" t="str">
            <v>CA741</v>
          </cell>
          <cell r="AU1600">
            <v>96.591695445097898</v>
          </cell>
        </row>
        <row r="1601">
          <cell r="A1601" t="str">
            <v>CA742</v>
          </cell>
          <cell r="AU1601">
            <v>97.778380143088455</v>
          </cell>
        </row>
        <row r="1602">
          <cell r="A1602" t="str">
            <v>CA743</v>
          </cell>
          <cell r="AU1602">
            <v>98.483754072592433</v>
          </cell>
        </row>
        <row r="1603">
          <cell r="A1603" t="str">
            <v>CA744</v>
          </cell>
          <cell r="AU1603">
            <v>102.64449836329833</v>
          </cell>
        </row>
        <row r="1604">
          <cell r="A1604" t="str">
            <v>CA745</v>
          </cell>
          <cell r="AU1604">
            <v>97.459769969122391</v>
          </cell>
        </row>
        <row r="1605">
          <cell r="A1605" t="str">
            <v>CA746</v>
          </cell>
          <cell r="AU1605">
            <v>98.47106395112759</v>
          </cell>
        </row>
        <row r="1606">
          <cell r="A1606" t="str">
            <v>CA747</v>
          </cell>
          <cell r="AU1606">
            <v>98.368893630377599</v>
          </cell>
        </row>
        <row r="1607">
          <cell r="A1607" t="str">
            <v>CA748</v>
          </cell>
          <cell r="AU1607">
            <v>98.0656739447262</v>
          </cell>
        </row>
        <row r="1608">
          <cell r="A1608" t="str">
            <v>CA749</v>
          </cell>
          <cell r="AU1608">
            <v>98.328536151991386</v>
          </cell>
        </row>
        <row r="1609">
          <cell r="A1609" t="str">
            <v>CA750</v>
          </cell>
          <cell r="AU1609">
            <v>98.610869614426989</v>
          </cell>
        </row>
        <row r="1610">
          <cell r="A1610" t="str">
            <v>CA751</v>
          </cell>
          <cell r="AU1610">
            <v>98.181504213358579</v>
          </cell>
        </row>
        <row r="1611">
          <cell r="A1611" t="str">
            <v>CA752</v>
          </cell>
          <cell r="AU1611">
            <v>97.771873602277154</v>
          </cell>
        </row>
        <row r="1612">
          <cell r="A1612" t="str">
            <v>CA753</v>
          </cell>
          <cell r="AU1612">
            <v>98.518334591745614</v>
          </cell>
        </row>
        <row r="1613">
          <cell r="A1613" t="str">
            <v>CA754</v>
          </cell>
          <cell r="AU1613">
            <v>98.060255244619768</v>
          </cell>
        </row>
        <row r="1614">
          <cell r="A1614" t="str">
            <v>CA755</v>
          </cell>
          <cell r="AU1614">
            <v>98.789089698523057</v>
          </cell>
        </row>
        <row r="1615">
          <cell r="A1615" t="str">
            <v>CA756</v>
          </cell>
          <cell r="AU1615">
            <v>98.004244968244933</v>
          </cell>
        </row>
        <row r="1616">
          <cell r="A1616" t="str">
            <v>CA757</v>
          </cell>
          <cell r="AU1616">
            <v>95.930243309637774</v>
          </cell>
        </row>
        <row r="1617">
          <cell r="A1617" t="str">
            <v>CA758</v>
          </cell>
          <cell r="AU1617">
            <v>98.685384517162291</v>
          </cell>
        </row>
        <row r="1618">
          <cell r="A1618" t="str">
            <v>CA759</v>
          </cell>
          <cell r="AU1618">
            <v>98.743419762147283</v>
          </cell>
        </row>
        <row r="1619">
          <cell r="A1619" t="str">
            <v>CA760</v>
          </cell>
          <cell r="AU1619">
            <v>98.527956697616446</v>
          </cell>
        </row>
      </sheetData>
      <sheetData sheetId="6">
        <row r="6">
          <cell r="D6">
            <v>11.6</v>
          </cell>
        </row>
      </sheetData>
      <sheetData sheetId="7"/>
      <sheetData sheetId="8"/>
      <sheetData sheetId="9">
        <row r="6">
          <cell r="H6">
            <v>2008.7500000000005</v>
          </cell>
        </row>
      </sheetData>
      <sheetData sheetId="10">
        <row r="6">
          <cell r="P6"/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December '23 "/>
      <sheetName val="Summary November '23"/>
      <sheetName val="Summary October '23 "/>
      <sheetName val="Summary September '23 "/>
      <sheetName val="Summary August '23"/>
      <sheetName val="Summary July '23"/>
      <sheetName val="Summary June '23 "/>
      <sheetName val="Summary May '23"/>
      <sheetName val="Summary April '23   "/>
      <sheetName val="Summary March '23  "/>
      <sheetName val="Summary February '23 "/>
      <sheetName val="Summary January '23"/>
      <sheetName val="Summary December '22   "/>
      <sheetName val="Summary November '22  "/>
      <sheetName val="Summary October '22 "/>
      <sheetName val="Summary September '22 "/>
      <sheetName val="Summary August '22 "/>
      <sheetName val="Summary July '22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76">
          <cell r="AS76">
            <v>93.401228986840337</v>
          </cell>
        </row>
        <row r="577">
          <cell r="AS577">
            <v>96.252483291748931</v>
          </cell>
        </row>
        <row r="578">
          <cell r="AS578">
            <v>96.763055268385216</v>
          </cell>
        </row>
        <row r="579">
          <cell r="AS579">
            <v>99.07159368104702</v>
          </cell>
        </row>
        <row r="580">
          <cell r="AS580">
            <v>99.474323736661034</v>
          </cell>
        </row>
        <row r="581">
          <cell r="AS581">
            <v>99.055509044316352</v>
          </cell>
        </row>
        <row r="582">
          <cell r="AS582">
            <v>93.192210426599971</v>
          </cell>
        </row>
        <row r="583">
          <cell r="AS583">
            <v>99.214524668093944</v>
          </cell>
        </row>
        <row r="584">
          <cell r="AS584">
            <v>100.47597500168524</v>
          </cell>
        </row>
        <row r="585">
          <cell r="AS585">
            <v>99.267847045753157</v>
          </cell>
        </row>
        <row r="586">
          <cell r="AS586">
            <v>99.258908446871416</v>
          </cell>
        </row>
        <row r="587">
          <cell r="AS587">
            <v>97.107849520154573</v>
          </cell>
        </row>
        <row r="588">
          <cell r="AS588">
            <v>98.668863625433005</v>
          </cell>
        </row>
        <row r="589">
          <cell r="AS589">
            <v>98.142973914193277</v>
          </cell>
        </row>
        <row r="590">
          <cell r="AS590">
            <v>98.888083030736681</v>
          </cell>
        </row>
        <row r="591">
          <cell r="AS591">
            <v>98.795858839752356</v>
          </cell>
        </row>
        <row r="592">
          <cell r="AS592">
            <v>91.889557472352934</v>
          </cell>
        </row>
        <row r="593">
          <cell r="AS593">
            <v>98.277925070817602</v>
          </cell>
        </row>
        <row r="594">
          <cell r="AS594">
            <v>107.23727799236048</v>
          </cell>
        </row>
        <row r="595">
          <cell r="AS595">
            <v>96.947059611002658</v>
          </cell>
        </row>
        <row r="596">
          <cell r="AS596">
            <v>99.069170741587214</v>
          </cell>
        </row>
        <row r="597">
          <cell r="AS597">
            <v>98.950757400048701</v>
          </cell>
        </row>
        <row r="598">
          <cell r="AS598">
            <v>98.750452223125535</v>
          </cell>
        </row>
        <row r="599">
          <cell r="AS599">
            <v>98.797669427914244</v>
          </cell>
        </row>
        <row r="600">
          <cell r="AS600">
            <v>98.951450980542759</v>
          </cell>
        </row>
        <row r="601">
          <cell r="AS601">
            <v>98.358927321976608</v>
          </cell>
        </row>
        <row r="602">
          <cell r="AS602">
            <v>99.324019004612524</v>
          </cell>
        </row>
        <row r="603">
          <cell r="AS603">
            <v>95.711826504698735</v>
          </cell>
        </row>
        <row r="604">
          <cell r="AS604">
            <v>97.25483690737326</v>
          </cell>
        </row>
        <row r="605">
          <cell r="AS605">
            <v>99.197396562770763</v>
          </cell>
        </row>
        <row r="606">
          <cell r="AS606">
            <v>98.964857855624871</v>
          </cell>
        </row>
        <row r="607">
          <cell r="AS607">
            <v>98.670900841589486</v>
          </cell>
        </row>
        <row r="608">
          <cell r="AS608">
            <v>99.087053728189062</v>
          </cell>
        </row>
        <row r="609">
          <cell r="AS609">
            <v>98.611632976203893</v>
          </cell>
        </row>
        <row r="610">
          <cell r="AS610">
            <v>99.407921699666332</v>
          </cell>
        </row>
        <row r="611">
          <cell r="AS611">
            <v>94.124926180840106</v>
          </cell>
        </row>
        <row r="612">
          <cell r="AS612">
            <v>98.397610268960591</v>
          </cell>
        </row>
        <row r="613">
          <cell r="AS613">
            <v>98.595593388214027</v>
          </cell>
        </row>
        <row r="614">
          <cell r="AS614">
            <v>99.479970950945599</v>
          </cell>
        </row>
        <row r="615">
          <cell r="AS615">
            <v>99.087084140183208</v>
          </cell>
        </row>
        <row r="616">
          <cell r="AS616">
            <v>98.153313875331278</v>
          </cell>
        </row>
        <row r="617">
          <cell r="AS617">
            <v>99.059044031723758</v>
          </cell>
        </row>
        <row r="618">
          <cell r="AS618">
            <v>101.95499860919848</v>
          </cell>
        </row>
        <row r="620">
          <cell r="AS620">
            <v>96.869096710983925</v>
          </cell>
        </row>
        <row r="621">
          <cell r="AS621">
            <v>99.547292209557895</v>
          </cell>
        </row>
        <row r="622">
          <cell r="AS622">
            <v>99.147503887431171</v>
          </cell>
        </row>
        <row r="623">
          <cell r="AS623">
            <v>99.620723106468503</v>
          </cell>
        </row>
        <row r="624">
          <cell r="AS624">
            <v>98.668324843238935</v>
          </cell>
        </row>
        <row r="625">
          <cell r="AS625">
            <v>98.878395024922369</v>
          </cell>
        </row>
        <row r="626">
          <cell r="AS626">
            <v>98.954136148816616</v>
          </cell>
        </row>
        <row r="627">
          <cell r="AS627">
            <v>99.271695094228932</v>
          </cell>
        </row>
        <row r="628">
          <cell r="AS628">
            <v>101.89668600638116</v>
          </cell>
        </row>
        <row r="629">
          <cell r="AS629">
            <v>95.119246955670206</v>
          </cell>
        </row>
        <row r="630">
          <cell r="AS630">
            <v>98.490589508289219</v>
          </cell>
        </row>
        <row r="631">
          <cell r="AS631">
            <v>96.628314379016032</v>
          </cell>
        </row>
        <row r="632">
          <cell r="AS632">
            <v>94.847826299850496</v>
          </cell>
        </row>
        <row r="633">
          <cell r="AS633">
            <v>96.093928131654877</v>
          </cell>
        </row>
        <row r="634">
          <cell r="AS634">
            <v>99.093782747396475</v>
          </cell>
        </row>
        <row r="635">
          <cell r="AS635">
            <v>96.829566042226901</v>
          </cell>
        </row>
        <row r="636">
          <cell r="AS636">
            <v>92.651350322380281</v>
          </cell>
        </row>
        <row r="637">
          <cell r="AS637">
            <v>97.966465095398789</v>
          </cell>
        </row>
        <row r="638">
          <cell r="AS638">
            <v>96.902732836089029</v>
          </cell>
        </row>
        <row r="639">
          <cell r="AS639">
            <v>98.199317114722348</v>
          </cell>
        </row>
        <row r="640">
          <cell r="AS640">
            <v>97.961385739540034</v>
          </cell>
        </row>
        <row r="641">
          <cell r="AS641">
            <v>98.446315281893988</v>
          </cell>
        </row>
        <row r="642">
          <cell r="AS642">
            <v>97.257828578289633</v>
          </cell>
        </row>
        <row r="643">
          <cell r="AS643">
            <v>96.848003938337612</v>
          </cell>
        </row>
        <row r="644">
          <cell r="AS644">
            <v>94.268489640003139</v>
          </cell>
        </row>
        <row r="645">
          <cell r="AS645">
            <v>95.831746861950919</v>
          </cell>
        </row>
        <row r="646">
          <cell r="AS646">
            <v>94.58421149597136</v>
          </cell>
        </row>
        <row r="647">
          <cell r="AS647">
            <v>94.58421149597136</v>
          </cell>
        </row>
        <row r="648">
          <cell r="AS648">
            <v>96.15161614729854</v>
          </cell>
        </row>
        <row r="649">
          <cell r="AS649">
            <v>96.847824985200191</v>
          </cell>
        </row>
        <row r="650">
          <cell r="AS650">
            <v>99.045523542150946</v>
          </cell>
        </row>
        <row r="651">
          <cell r="AS651">
            <v>98.806499870618765</v>
          </cell>
        </row>
        <row r="653">
          <cell r="AS653">
            <v>94.97910754548144</v>
          </cell>
        </row>
        <row r="654">
          <cell r="AS654">
            <v>100.24919512912089</v>
          </cell>
        </row>
        <row r="655">
          <cell r="AS655">
            <v>99.670803955960778</v>
          </cell>
        </row>
        <row r="656">
          <cell r="AS656">
            <v>98.879686910798952</v>
          </cell>
        </row>
        <row r="657">
          <cell r="AS657">
            <v>99.590889443663684</v>
          </cell>
        </row>
        <row r="658">
          <cell r="AS658">
            <v>100.09856640654033</v>
          </cell>
        </row>
        <row r="659">
          <cell r="AS659">
            <v>99.619880103820094</v>
          </cell>
        </row>
        <row r="660">
          <cell r="AS660">
            <v>97.647209210675157</v>
          </cell>
        </row>
        <row r="661">
          <cell r="AS661">
            <v>99.625318640384748</v>
          </cell>
        </row>
        <row r="662">
          <cell r="AS662">
            <v>99.822596499078585</v>
          </cell>
        </row>
        <row r="663">
          <cell r="AS663">
            <v>96.66615075997727</v>
          </cell>
        </row>
        <row r="664">
          <cell r="AS664">
            <v>99.42804078169091</v>
          </cell>
        </row>
        <row r="665">
          <cell r="AS665">
            <v>98.619884998487549</v>
          </cell>
        </row>
        <row r="666">
          <cell r="AS666">
            <v>99.696020271350051</v>
          </cell>
        </row>
        <row r="667">
          <cell r="AS667">
            <v>99.401032602435976</v>
          </cell>
        </row>
        <row r="668">
          <cell r="AS668">
            <v>100.09007568744232</v>
          </cell>
        </row>
        <row r="669">
          <cell r="AS669">
            <v>99.596319503423089</v>
          </cell>
        </row>
        <row r="670">
          <cell r="AS670">
            <v>99.401032602435976</v>
          </cell>
        </row>
        <row r="671">
          <cell r="AS671">
            <v>97.07287270411102</v>
          </cell>
        </row>
        <row r="672">
          <cell r="AS672">
            <v>97.985891681833053</v>
          </cell>
        </row>
        <row r="673">
          <cell r="AS673">
            <v>98.776100485718814</v>
          </cell>
        </row>
        <row r="674">
          <cell r="AS674">
            <v>98.973652686690244</v>
          </cell>
        </row>
        <row r="675">
          <cell r="AS675">
            <v>99.278502850194101</v>
          </cell>
        </row>
        <row r="676">
          <cell r="AS676">
            <v>98.561912949528178</v>
          </cell>
        </row>
        <row r="677">
          <cell r="AS677">
            <v>99.861447517561885</v>
          </cell>
        </row>
        <row r="678">
          <cell r="AS678">
            <v>99.861447517561885</v>
          </cell>
        </row>
        <row r="679">
          <cell r="AS679">
            <v>101.21133303492269</v>
          </cell>
        </row>
        <row r="680">
          <cell r="AS680">
            <v>96.698904908769507</v>
          </cell>
        </row>
        <row r="681">
          <cell r="AS681">
            <v>102.00606382936222</v>
          </cell>
        </row>
        <row r="682">
          <cell r="AS682">
            <v>97.427677408967256</v>
          </cell>
        </row>
        <row r="683">
          <cell r="AS683">
            <v>98.108921308356997</v>
          </cell>
        </row>
        <row r="684">
          <cell r="AS684">
            <v>98.694063980176225</v>
          </cell>
        </row>
        <row r="685">
          <cell r="AS685">
            <v>100.2652450226567</v>
          </cell>
        </row>
        <row r="686">
          <cell r="AS686">
            <v>100.74539413116692</v>
          </cell>
        </row>
        <row r="687">
          <cell r="AS687">
            <v>101.27598337973996</v>
          </cell>
        </row>
        <row r="688">
          <cell r="AS688">
            <v>102.20244053927394</v>
          </cell>
        </row>
        <row r="689">
          <cell r="AS689">
            <v>99.163481197267728</v>
          </cell>
        </row>
        <row r="690">
          <cell r="AS690">
            <v>101.59733613737035</v>
          </cell>
        </row>
        <row r="691">
          <cell r="AS691">
            <v>102.18443014405814</v>
          </cell>
        </row>
        <row r="692">
          <cell r="AS692">
            <v>99.719071879528798</v>
          </cell>
        </row>
        <row r="693">
          <cell r="AS693">
            <v>100.84603073482505</v>
          </cell>
        </row>
        <row r="694">
          <cell r="AS694">
            <v>103.38659991045883</v>
          </cell>
        </row>
        <row r="695">
          <cell r="AS695">
            <v>103.24183379000793</v>
          </cell>
        </row>
        <row r="696">
          <cell r="AS696">
            <v>102.1830837779485</v>
          </cell>
        </row>
        <row r="698">
          <cell r="AS698">
            <v>96.429908671540403</v>
          </cell>
        </row>
        <row r="699">
          <cell r="AS699">
            <v>95.810688139372886</v>
          </cell>
        </row>
        <row r="700">
          <cell r="AS700">
            <v>96.451517171751576</v>
          </cell>
        </row>
        <row r="701">
          <cell r="AS701">
            <v>98.91585168536264</v>
          </cell>
        </row>
        <row r="702">
          <cell r="AS702">
            <v>98.741297270858453</v>
          </cell>
        </row>
        <row r="703">
          <cell r="AS703">
            <v>98.639026691655275</v>
          </cell>
        </row>
        <row r="704">
          <cell r="AS704">
            <v>99.708764324123052</v>
          </cell>
        </row>
        <row r="705">
          <cell r="AS705">
            <v>96.393313724689648</v>
          </cell>
        </row>
        <row r="706">
          <cell r="AS706">
            <v>99.872119258602709</v>
          </cell>
        </row>
        <row r="707">
          <cell r="AS707">
            <v>95.475287240863395</v>
          </cell>
        </row>
        <row r="708">
          <cell r="AS708">
            <v>100.07702758723762</v>
          </cell>
        </row>
        <row r="710">
          <cell r="AS710">
            <v>98.599223019705548</v>
          </cell>
        </row>
        <row r="711">
          <cell r="AS711">
            <v>95.550338344212662</v>
          </cell>
        </row>
        <row r="712">
          <cell r="AS712">
            <v>101.78290005234547</v>
          </cell>
        </row>
        <row r="713">
          <cell r="AS713">
            <v>99.28115997304883</v>
          </cell>
        </row>
        <row r="714">
          <cell r="AS714">
            <v>99.405266910839558</v>
          </cell>
        </row>
        <row r="715">
          <cell r="AS715">
            <v>100.88361338521632</v>
          </cell>
        </row>
        <row r="716">
          <cell r="AS716">
            <v>97.505342034239277</v>
          </cell>
        </row>
        <row r="717">
          <cell r="AS717">
            <v>99.114393178251547</v>
          </cell>
        </row>
        <row r="718">
          <cell r="AS718">
            <v>100.25044099616535</v>
          </cell>
        </row>
        <row r="719">
          <cell r="AS719">
            <v>98.090470150181261</v>
          </cell>
        </row>
        <row r="720">
          <cell r="AS720">
            <v>100.10522064350327</v>
          </cell>
        </row>
        <row r="721">
          <cell r="AS721">
            <v>99.700868877531136</v>
          </cell>
        </row>
        <row r="722">
          <cell r="AS722">
            <v>99.158966709289359</v>
          </cell>
        </row>
        <row r="723">
          <cell r="AS723">
            <v>101.64126027501119</v>
          </cell>
        </row>
        <row r="724">
          <cell r="AS724">
            <v>98.030709113713215</v>
          </cell>
        </row>
        <row r="725">
          <cell r="AS725">
            <v>103.30273119645332</v>
          </cell>
        </row>
        <row r="726">
          <cell r="AS726">
            <v>101.15019753270298</v>
          </cell>
        </row>
        <row r="727">
          <cell r="AS727">
            <v>105.78508118562733</v>
          </cell>
        </row>
        <row r="728">
          <cell r="AS728">
            <v>104.23720728533692</v>
          </cell>
        </row>
        <row r="729">
          <cell r="AS729">
            <v>103.57495308095812</v>
          </cell>
        </row>
        <row r="730">
          <cell r="AS730">
            <v>96.457778749263497</v>
          </cell>
        </row>
        <row r="731">
          <cell r="AS731">
            <v>98.26394823520674</v>
          </cell>
        </row>
        <row r="732">
          <cell r="AS732">
            <v>96.781019314036527</v>
          </cell>
        </row>
        <row r="733">
          <cell r="AS733">
            <v>98.535206939635856</v>
          </cell>
        </row>
        <row r="735">
          <cell r="AS735">
            <v>98.95536987190583</v>
          </cell>
        </row>
        <row r="736">
          <cell r="AS736">
            <v>100.69991425551854</v>
          </cell>
        </row>
        <row r="737">
          <cell r="AS737">
            <v>97.491795209253013</v>
          </cell>
        </row>
        <row r="738">
          <cell r="AS738">
            <v>99.907901362483045</v>
          </cell>
        </row>
        <row r="739">
          <cell r="AS739">
            <v>95.681008986054323</v>
          </cell>
        </row>
        <row r="740">
          <cell r="AS740">
            <v>101.34178018250964</v>
          </cell>
        </row>
        <row r="741">
          <cell r="AS741">
            <v>97.155168767938704</v>
          </cell>
        </row>
        <row r="742">
          <cell r="AS742">
            <v>98.829691341458499</v>
          </cell>
        </row>
        <row r="743">
          <cell r="AS743">
            <v>97.46378758207527</v>
          </cell>
        </row>
        <row r="744">
          <cell r="AS744">
            <v>95.215943842430946</v>
          </cell>
        </row>
        <row r="745">
          <cell r="AS745">
            <v>97.760584286850658</v>
          </cell>
        </row>
        <row r="746">
          <cell r="AS746">
            <v>100.17576788642711</v>
          </cell>
        </row>
        <row r="747">
          <cell r="AS747">
            <v>99.164002830183804</v>
          </cell>
        </row>
        <row r="748">
          <cell r="AS748">
            <v>98.282647159217547</v>
          </cell>
        </row>
        <row r="749">
          <cell r="AS749">
            <v>0</v>
          </cell>
        </row>
        <row r="750">
          <cell r="AS750">
            <v>98.310617012597305</v>
          </cell>
        </row>
        <row r="751">
          <cell r="AS751">
            <v>102.08679626615999</v>
          </cell>
        </row>
        <row r="752">
          <cell r="AS752">
            <v>100.5755863884288</v>
          </cell>
        </row>
        <row r="753">
          <cell r="AS753">
            <v>100.22177492564568</v>
          </cell>
        </row>
        <row r="754">
          <cell r="AS754">
            <v>101.02676910175529</v>
          </cell>
        </row>
        <row r="755">
          <cell r="AS755">
            <v>97.404295309262068</v>
          </cell>
        </row>
        <row r="756">
          <cell r="AS756">
            <v>96.82326614378033</v>
          </cell>
        </row>
        <row r="757">
          <cell r="AS757">
            <v>99.687040472011219</v>
          </cell>
        </row>
        <row r="758">
          <cell r="AS758">
            <v>98.111807696210434</v>
          </cell>
        </row>
        <row r="759">
          <cell r="AS759">
            <v>100.85106845139266</v>
          </cell>
        </row>
        <row r="760">
          <cell r="AS760">
            <v>100.21828140142605</v>
          </cell>
        </row>
        <row r="761">
          <cell r="AS761">
            <v>100.80172659044324</v>
          </cell>
        </row>
        <row r="762">
          <cell r="AS762">
            <v>101.5570974757542</v>
          </cell>
        </row>
        <row r="763">
          <cell r="AS763">
            <v>100.90521204600731</v>
          </cell>
        </row>
        <row r="764">
          <cell r="AS764">
            <v>100.54979181092753</v>
          </cell>
        </row>
        <row r="765">
          <cell r="AS765">
            <v>100.16529365581646</v>
          </cell>
        </row>
        <row r="766">
          <cell r="AS766">
            <v>98.790466396560987</v>
          </cell>
        </row>
        <row r="767">
          <cell r="AS767">
            <v>99.598542228550073</v>
          </cell>
        </row>
        <row r="768">
          <cell r="AS768">
            <v>97.527184757292375</v>
          </cell>
        </row>
        <row r="769">
          <cell r="AS769">
            <v>98.373863755008472</v>
          </cell>
        </row>
        <row r="770">
          <cell r="AS770">
            <v>99.931009421690447</v>
          </cell>
        </row>
        <row r="771">
          <cell r="AS771">
            <v>95.744176615880463</v>
          </cell>
        </row>
        <row r="772">
          <cell r="AS772">
            <v>101.39705127935868</v>
          </cell>
        </row>
        <row r="773">
          <cell r="AS773">
            <v>99.847915705494756</v>
          </cell>
        </row>
        <row r="774">
          <cell r="AS774">
            <v>93.951214784385911</v>
          </cell>
        </row>
        <row r="775">
          <cell r="AS775">
            <v>104.00634438574011</v>
          </cell>
        </row>
        <row r="776">
          <cell r="AS776">
            <v>96.391641700304547</v>
          </cell>
        </row>
        <row r="777">
          <cell r="AS777">
            <v>99.213409957842245</v>
          </cell>
        </row>
        <row r="779">
          <cell r="AS779">
            <v>97.077069258769328</v>
          </cell>
        </row>
        <row r="780">
          <cell r="AS780">
            <v>98.5575805155583</v>
          </cell>
        </row>
        <row r="781">
          <cell r="AS781">
            <v>97.286594404390684</v>
          </cell>
        </row>
        <row r="782">
          <cell r="AS782">
            <v>98.856766711971432</v>
          </cell>
        </row>
        <row r="783">
          <cell r="AS783">
            <v>101.26297533851098</v>
          </cell>
        </row>
        <row r="784">
          <cell r="AS784">
            <v>101.14713620940017</v>
          </cell>
        </row>
        <row r="785">
          <cell r="AS785">
            <v>97.0937677333973</v>
          </cell>
        </row>
        <row r="786">
          <cell r="AS786">
            <v>100.28174495732387</v>
          </cell>
        </row>
        <row r="787">
          <cell r="AS787">
            <v>95.812766380910489</v>
          </cell>
        </row>
        <row r="788">
          <cell r="AS788">
            <v>101.65546749098584</v>
          </cell>
        </row>
        <row r="789">
          <cell r="AS789">
            <v>97.853490599541431</v>
          </cell>
        </row>
        <row r="790">
          <cell r="AS790">
            <v>98.55010674540874</v>
          </cell>
        </row>
        <row r="791">
          <cell r="AS791">
            <v>97.613412018070761</v>
          </cell>
        </row>
        <row r="792">
          <cell r="AS792">
            <v>99.561158181986798</v>
          </cell>
        </row>
        <row r="793">
          <cell r="AS793">
            <v>100.24613889822621</v>
          </cell>
        </row>
        <row r="794">
          <cell r="AS794">
            <v>100.37170454522671</v>
          </cell>
        </row>
        <row r="795">
          <cell r="AS795">
            <v>100.70061057164963</v>
          </cell>
        </row>
        <row r="796">
          <cell r="AS796">
            <v>100.47480022325537</v>
          </cell>
        </row>
        <row r="797">
          <cell r="AS797">
            <v>99.841103993586884</v>
          </cell>
        </row>
        <row r="798">
          <cell r="AS798">
            <v>100.27740375916254</v>
          </cell>
        </row>
        <row r="799">
          <cell r="AS799">
            <v>97.48002702939435</v>
          </cell>
        </row>
        <row r="800">
          <cell r="AS800">
            <v>98.598067999045995</v>
          </cell>
        </row>
        <row r="801">
          <cell r="AS801">
            <v>100.85369125518513</v>
          </cell>
        </row>
        <row r="802">
          <cell r="AS802">
            <v>100.51892746653148</v>
          </cell>
        </row>
        <row r="803">
          <cell r="AS803">
            <v>101.64201292749718</v>
          </cell>
        </row>
        <row r="804">
          <cell r="AS804">
            <v>98.677122821490286</v>
          </cell>
        </row>
        <row r="805">
          <cell r="AS805">
            <v>94.602663444886986</v>
          </cell>
        </row>
        <row r="806">
          <cell r="AS806">
            <v>98.947982015755926</v>
          </cell>
        </row>
        <row r="807">
          <cell r="AS807">
            <v>99.1420270769014</v>
          </cell>
        </row>
        <row r="808">
          <cell r="AS808">
            <v>97.516997840525605</v>
          </cell>
        </row>
        <row r="809">
          <cell r="AS809">
            <v>99.751255694747158</v>
          </cell>
        </row>
        <row r="810">
          <cell r="AS810">
            <v>96.891431370869441</v>
          </cell>
        </row>
        <row r="811">
          <cell r="AS811">
            <v>100.18085577032127</v>
          </cell>
        </row>
        <row r="812">
          <cell r="AS812">
            <v>99.659757981465702</v>
          </cell>
        </row>
        <row r="813">
          <cell r="AS813">
            <v>107.34365755487836</v>
          </cell>
        </row>
        <row r="814">
          <cell r="AS814">
            <v>99.968736134069019</v>
          </cell>
        </row>
        <row r="815">
          <cell r="AS815">
            <v>99.217726998153125</v>
          </cell>
        </row>
        <row r="816">
          <cell r="AS816">
            <v>99.27225455813722</v>
          </cell>
        </row>
        <row r="817">
          <cell r="AS817">
            <v>97.215757839186651</v>
          </cell>
        </row>
        <row r="818">
          <cell r="AS818">
            <v>97.999909522417397</v>
          </cell>
        </row>
        <row r="819">
          <cell r="AS819">
            <v>99.644096363428588</v>
          </cell>
        </row>
        <row r="820">
          <cell r="AS820">
            <v>100.2807941835346</v>
          </cell>
        </row>
        <row r="821">
          <cell r="AS821">
            <v>98.168564653147371</v>
          </cell>
        </row>
        <row r="822">
          <cell r="AS822">
            <v>99.822806736202935</v>
          </cell>
        </row>
        <row r="824">
          <cell r="AS824">
            <v>99.414978940495374</v>
          </cell>
        </row>
        <row r="825">
          <cell r="AS825">
            <v>94.676492860195467</v>
          </cell>
        </row>
        <row r="826">
          <cell r="AS826">
            <v>101.52790626522442</v>
          </cell>
        </row>
        <row r="827">
          <cell r="AS827">
            <v>98.660106268344649</v>
          </cell>
        </row>
        <row r="828">
          <cell r="AS828">
            <v>97.981976311886754</v>
          </cell>
        </row>
        <row r="829">
          <cell r="AS829">
            <v>100.54504817750203</v>
          </cell>
        </row>
        <row r="830">
          <cell r="AS830">
            <v>99.549781561862332</v>
          </cell>
        </row>
        <row r="831">
          <cell r="AS831">
            <v>97.870128246333465</v>
          </cell>
        </row>
        <row r="832">
          <cell r="AS832">
            <v>98.918044513526468</v>
          </cell>
        </row>
        <row r="833">
          <cell r="AS833">
            <v>100.23810470072885</v>
          </cell>
        </row>
        <row r="834">
          <cell r="AS834">
            <v>98.141058126939669</v>
          </cell>
        </row>
        <row r="835">
          <cell r="AS835">
            <v>99.464351820346025</v>
          </cell>
        </row>
        <row r="836">
          <cell r="AS836">
            <v>99.891260601944538</v>
          </cell>
        </row>
        <row r="837">
          <cell r="AS837">
            <v>98.825303504106472</v>
          </cell>
        </row>
        <row r="838">
          <cell r="AS838">
            <v>99.811583978199351</v>
          </cell>
        </row>
        <row r="839">
          <cell r="AS839">
            <v>100.14229891746602</v>
          </cell>
        </row>
        <row r="840">
          <cell r="AS840">
            <v>96.508807516019175</v>
          </cell>
        </row>
        <row r="841">
          <cell r="AS841">
            <v>101.43378785819282</v>
          </cell>
        </row>
        <row r="842">
          <cell r="AS842">
            <v>97.423134038373789</v>
          </cell>
        </row>
        <row r="843">
          <cell r="AS843">
            <v>98.971240412158565</v>
          </cell>
        </row>
        <row r="844">
          <cell r="AS844">
            <v>99.48938955321573</v>
          </cell>
        </row>
        <row r="845">
          <cell r="AS845">
            <v>102.57854383778138</v>
          </cell>
        </row>
        <row r="846">
          <cell r="AS846">
            <v>98.992760119033306</v>
          </cell>
        </row>
        <row r="847">
          <cell r="AS847">
            <v>98.504346092292792</v>
          </cell>
        </row>
        <row r="848">
          <cell r="AS848">
            <v>96.413335590373151</v>
          </cell>
        </row>
        <row r="849">
          <cell r="AS849">
            <v>98.159547445229293</v>
          </cell>
        </row>
        <row r="850">
          <cell r="AS850">
            <v>99.986663333079832</v>
          </cell>
        </row>
        <row r="851">
          <cell r="AS851">
            <v>99.625287378566313</v>
          </cell>
        </row>
        <row r="852">
          <cell r="AS852">
            <v>95.365817891823511</v>
          </cell>
        </row>
        <row r="853">
          <cell r="AS853">
            <v>98.859846723026621</v>
          </cell>
        </row>
        <row r="854">
          <cell r="AS854">
            <v>98.241036026878831</v>
          </cell>
        </row>
        <row r="855">
          <cell r="AS855">
            <v>99.825568866022024</v>
          </cell>
        </row>
        <row r="856">
          <cell r="AS856">
            <v>98.645282808431347</v>
          </cell>
        </row>
        <row r="857">
          <cell r="AS857">
            <v>98.914939752442152</v>
          </cell>
        </row>
        <row r="858">
          <cell r="AS858">
            <v>97.758039872296649</v>
          </cell>
        </row>
        <row r="859">
          <cell r="AS859">
            <v>99.744802672280059</v>
          </cell>
        </row>
        <row r="860">
          <cell r="AS860">
            <v>94.213153736760106</v>
          </cell>
        </row>
        <row r="861">
          <cell r="AS861">
            <v>97.33408636572112</v>
          </cell>
        </row>
        <row r="862">
          <cell r="AS862">
            <v>98.687851500360367</v>
          </cell>
        </row>
        <row r="863">
          <cell r="AS863">
            <v>98.15830941278702</v>
          </cell>
        </row>
        <row r="865">
          <cell r="AS865">
            <v>95.322225589235501</v>
          </cell>
        </row>
        <row r="866">
          <cell r="AS866">
            <v>98.967121553081768</v>
          </cell>
        </row>
        <row r="867">
          <cell r="AS867">
            <v>99.238723942766654</v>
          </cell>
        </row>
        <row r="868">
          <cell r="AS868">
            <v>98.002274187869418</v>
          </cell>
        </row>
        <row r="869">
          <cell r="AS869">
            <v>99.648174106091631</v>
          </cell>
        </row>
        <row r="870">
          <cell r="AS870">
            <v>98.585621058035315</v>
          </cell>
        </row>
        <row r="871">
          <cell r="AS871">
            <v>98.936161390139659</v>
          </cell>
        </row>
        <row r="872">
          <cell r="AS872">
            <v>99.298623297788069</v>
          </cell>
        </row>
        <row r="873">
          <cell r="AS873">
            <v>95.78908667395234</v>
          </cell>
        </row>
        <row r="874">
          <cell r="AS874">
            <v>97.043689776083454</v>
          </cell>
        </row>
        <row r="875">
          <cell r="AS875">
            <v>99.899219809669859</v>
          </cell>
        </row>
        <row r="876">
          <cell r="AS876">
            <v>99.613745193751541</v>
          </cell>
        </row>
        <row r="877">
          <cell r="AS877">
            <v>97.024100682701572</v>
          </cell>
        </row>
        <row r="878">
          <cell r="AS878">
            <v>99.401026369834483</v>
          </cell>
        </row>
        <row r="879">
          <cell r="AS879">
            <v>99.42119726743698</v>
          </cell>
        </row>
        <row r="880">
          <cell r="AS880">
            <v>99.42119726743698</v>
          </cell>
        </row>
        <row r="881">
          <cell r="AS881">
            <v>99.934567640109535</v>
          </cell>
        </row>
        <row r="882">
          <cell r="AS882">
            <v>98.222358072958968</v>
          </cell>
        </row>
        <row r="883">
          <cell r="AS883">
            <v>99.47232737989826</v>
          </cell>
        </row>
        <row r="884">
          <cell r="AS884">
            <v>100.16108688972618</v>
          </cell>
        </row>
        <row r="885">
          <cell r="AS885">
            <v>97.436742232158792</v>
          </cell>
        </row>
        <row r="886">
          <cell r="AS886">
            <v>97.469417997799923</v>
          </cell>
        </row>
        <row r="887">
          <cell r="AS887">
            <v>100.01653377802042</v>
          </cell>
        </row>
        <row r="888">
          <cell r="AS888">
            <v>97.541487691308987</v>
          </cell>
        </row>
        <row r="889">
          <cell r="AS889">
            <v>99.793915802126293</v>
          </cell>
        </row>
        <row r="890">
          <cell r="AS890">
            <v>99.544198235265355</v>
          </cell>
        </row>
        <row r="891">
          <cell r="AS891">
            <v>99.434422211804062</v>
          </cell>
        </row>
        <row r="892">
          <cell r="AS892">
            <v>99.320165825298616</v>
          </cell>
        </row>
        <row r="893">
          <cell r="AS893">
            <v>96.667344780276736</v>
          </cell>
        </row>
        <row r="894">
          <cell r="AS894">
            <v>97.898322636248054</v>
          </cell>
        </row>
        <row r="895">
          <cell r="AS895">
            <v>98.729354665356169</v>
          </cell>
        </row>
        <row r="896">
          <cell r="AS896">
            <v>96.885068018319615</v>
          </cell>
        </row>
        <row r="897">
          <cell r="AS897">
            <v>99.160395090357554</v>
          </cell>
        </row>
        <row r="898">
          <cell r="AS898">
            <v>98.888094805680922</v>
          </cell>
        </row>
        <row r="899">
          <cell r="AS899">
            <v>99.712714771584814</v>
          </cell>
        </row>
        <row r="900">
          <cell r="AS900">
            <v>99.287176443605802</v>
          </cell>
        </row>
        <row r="901">
          <cell r="AS901">
            <v>97.739565481027867</v>
          </cell>
        </row>
        <row r="902">
          <cell r="AS902">
            <v>98.776041662093803</v>
          </cell>
        </row>
        <row r="903">
          <cell r="AS903">
            <v>100.04976276206206</v>
          </cell>
        </row>
        <row r="904">
          <cell r="AS904">
            <v>98.960447208711898</v>
          </cell>
        </row>
        <row r="905">
          <cell r="AS905">
            <v>91.188634381833737</v>
          </cell>
        </row>
        <row r="906">
          <cell r="AS906">
            <v>97.51764886680489</v>
          </cell>
        </row>
        <row r="907">
          <cell r="AS907">
            <v>93.374743432540484</v>
          </cell>
        </row>
        <row r="908">
          <cell r="AS908">
            <v>96.532622110574522</v>
          </cell>
        </row>
        <row r="909">
          <cell r="AS909">
            <v>98.302894296350672</v>
          </cell>
        </row>
        <row r="910">
          <cell r="AS910">
            <v>95.819139923451573</v>
          </cell>
        </row>
        <row r="911">
          <cell r="AS911">
            <v>98.815899469497609</v>
          </cell>
        </row>
        <row r="912">
          <cell r="AS912">
            <v>98.646048448871909</v>
          </cell>
        </row>
        <row r="913">
          <cell r="AS913">
            <v>99.820406168501322</v>
          </cell>
        </row>
        <row r="914">
          <cell r="AS914">
            <v>98.912440266800218</v>
          </cell>
        </row>
        <row r="915">
          <cell r="AS915">
            <v>99.698457329259341</v>
          </cell>
        </row>
        <row r="916">
          <cell r="AS916">
            <v>98.111238801725193</v>
          </cell>
        </row>
        <row r="917">
          <cell r="AS917">
            <v>99.424312497735059</v>
          </cell>
        </row>
        <row r="918">
          <cell r="AS918">
            <v>97.398766236179426</v>
          </cell>
        </row>
        <row r="919">
          <cell r="AS919">
            <v>99.073036673111616</v>
          </cell>
        </row>
        <row r="920">
          <cell r="AS920">
            <v>96.99725046263336</v>
          </cell>
        </row>
        <row r="921">
          <cell r="AS921">
            <v>99.014735311838592</v>
          </cell>
        </row>
        <row r="922">
          <cell r="AS922">
            <v>99.905301205894347</v>
          </cell>
        </row>
        <row r="923">
          <cell r="AS923">
            <v>99.584353447659552</v>
          </cell>
        </row>
        <row r="924">
          <cell r="AS924">
            <v>99.150286529956631</v>
          </cell>
        </row>
        <row r="925">
          <cell r="AS925">
            <v>94.442580550045619</v>
          </cell>
        </row>
        <row r="926">
          <cell r="AS926">
            <v>98.425890832697604</v>
          </cell>
        </row>
        <row r="927">
          <cell r="AS927">
            <v>96.309744781187845</v>
          </cell>
        </row>
        <row r="928">
          <cell r="AS928">
            <v>98.046206145005172</v>
          </cell>
        </row>
        <row r="929">
          <cell r="AS929">
            <v>98.295512714820589</v>
          </cell>
        </row>
        <row r="930">
          <cell r="AS930">
            <v>98.418510288190774</v>
          </cell>
        </row>
        <row r="931">
          <cell r="AS931">
            <v>98.353066766503787</v>
          </cell>
        </row>
        <row r="932">
          <cell r="AS932">
            <v>99.738823521857796</v>
          </cell>
        </row>
        <row r="933">
          <cell r="AS933">
            <v>95.285092230611866</v>
          </cell>
        </row>
        <row r="934">
          <cell r="AS934">
            <v>93.46325576838143</v>
          </cell>
        </row>
        <row r="935">
          <cell r="AS935">
            <v>97.692294560648392</v>
          </cell>
        </row>
        <row r="936">
          <cell r="AS936">
            <v>99.372075719358918</v>
          </cell>
        </row>
        <row r="937">
          <cell r="AS937">
            <v>98.77103493879828</v>
          </cell>
        </row>
        <row r="938">
          <cell r="AS938">
            <v>98.026774266751971</v>
          </cell>
        </row>
        <row r="939">
          <cell r="AS939">
            <v>99.321626062749729</v>
          </cell>
        </row>
        <row r="940">
          <cell r="AS940">
            <v>99.884127061726787</v>
          </cell>
        </row>
        <row r="941">
          <cell r="AS941">
            <v>94.752766498544304</v>
          </cell>
        </row>
        <row r="942">
          <cell r="AS942">
            <v>98.508753446513779</v>
          </cell>
        </row>
        <row r="943">
          <cell r="AS943">
            <v>101.68061311991168</v>
          </cell>
        </row>
        <row r="944">
          <cell r="AS944">
            <v>98.570688011944725</v>
          </cell>
        </row>
        <row r="945">
          <cell r="AS945">
            <v>99.162557027956495</v>
          </cell>
        </row>
        <row r="946">
          <cell r="AS946">
            <v>99.897543560915992</v>
          </cell>
        </row>
        <row r="947">
          <cell r="AS947">
            <v>97.786032279928818</v>
          </cell>
        </row>
        <row r="948">
          <cell r="AS948">
            <v>99.458598669556125</v>
          </cell>
        </row>
        <row r="949">
          <cell r="AS949">
            <v>98.98951864826472</v>
          </cell>
        </row>
        <row r="950">
          <cell r="AS950">
            <v>99.795950572079505</v>
          </cell>
        </row>
        <row r="951">
          <cell r="AS951">
            <v>100.03354018722838</v>
          </cell>
        </row>
        <row r="952">
          <cell r="AS952">
            <v>95.509530117217736</v>
          </cell>
        </row>
        <row r="953">
          <cell r="AS953">
            <v>98.628019884552387</v>
          </cell>
        </row>
        <row r="954">
          <cell r="AS954">
            <v>99.50828870315982</v>
          </cell>
        </row>
        <row r="955">
          <cell r="AS955">
            <v>97.44554981572918</v>
          </cell>
        </row>
        <row r="956">
          <cell r="AS956">
            <v>99.235165302311827</v>
          </cell>
        </row>
        <row r="957">
          <cell r="AS957">
            <v>99.345922764916011</v>
          </cell>
        </row>
        <row r="958">
          <cell r="AS958">
            <v>99.812648191819761</v>
          </cell>
        </row>
        <row r="959">
          <cell r="AS959">
            <v>99.110255548347155</v>
          </cell>
        </row>
        <row r="960">
          <cell r="AS960">
            <v>99.313907853259352</v>
          </cell>
        </row>
        <row r="961">
          <cell r="AS961">
            <v>99.459186839916782</v>
          </cell>
        </row>
        <row r="962">
          <cell r="AS962">
            <v>100.26127705636773</v>
          </cell>
        </row>
        <row r="963">
          <cell r="AS963">
            <v>95.275709637646131</v>
          </cell>
        </row>
        <row r="964">
          <cell r="AS964">
            <v>97.991827926819525</v>
          </cell>
        </row>
        <row r="965">
          <cell r="AS965">
            <v>99.059893854825532</v>
          </cell>
        </row>
        <row r="966">
          <cell r="AS966">
            <v>99.584378575324806</v>
          </cell>
        </row>
        <row r="967">
          <cell r="AS967">
            <v>98.761833735786624</v>
          </cell>
        </row>
        <row r="968">
          <cell r="AS968">
            <v>97.606431269436612</v>
          </cell>
        </row>
        <row r="969">
          <cell r="AS969">
            <v>96.421062953071228</v>
          </cell>
        </row>
        <row r="970">
          <cell r="AS970">
            <v>94.252076084576643</v>
          </cell>
        </row>
        <row r="971">
          <cell r="AS971">
            <v>97.076888940242085</v>
          </cell>
        </row>
        <row r="972">
          <cell r="AS972">
            <v>99.141534843347159</v>
          </cell>
        </row>
        <row r="973">
          <cell r="AS973">
            <v>99.634376452290198</v>
          </cell>
        </row>
        <row r="974">
          <cell r="AS974">
            <v>100.5587546462191</v>
          </cell>
        </row>
        <row r="976">
          <cell r="A976" t="str">
            <v>ST389</v>
          </cell>
          <cell r="AS976">
            <v>95.84769954565148</v>
          </cell>
        </row>
        <row r="977">
          <cell r="A977" t="str">
            <v>ST390</v>
          </cell>
          <cell r="AS977">
            <v>100.26238441701008</v>
          </cell>
        </row>
        <row r="978">
          <cell r="A978" t="str">
            <v>ST391</v>
          </cell>
          <cell r="AS978">
            <v>98.835712833337951</v>
          </cell>
        </row>
        <row r="979">
          <cell r="A979" t="str">
            <v>ST392</v>
          </cell>
          <cell r="AS979">
            <v>99.563123412098136</v>
          </cell>
        </row>
        <row r="980">
          <cell r="A980" t="str">
            <v>ST393</v>
          </cell>
        </row>
        <row r="981">
          <cell r="A981" t="str">
            <v>ST394</v>
          </cell>
          <cell r="AS981">
            <v>99.438369618907075</v>
          </cell>
        </row>
        <row r="982">
          <cell r="A982" t="str">
            <v>ST395</v>
          </cell>
          <cell r="AS982">
            <v>98.642275622859415</v>
          </cell>
        </row>
        <row r="983">
          <cell r="A983" t="str">
            <v>ST396</v>
          </cell>
          <cell r="AS983">
            <v>99.614073029250193</v>
          </cell>
        </row>
        <row r="984">
          <cell r="A984" t="str">
            <v>ST397</v>
          </cell>
          <cell r="AS984">
            <v>99.740392122501049</v>
          </cell>
        </row>
        <row r="985">
          <cell r="A985" t="str">
            <v>ST398</v>
          </cell>
          <cell r="AS985">
            <v>100.69666248352205</v>
          </cell>
        </row>
        <row r="986">
          <cell r="A986" t="str">
            <v>ST399</v>
          </cell>
          <cell r="AS986">
            <v>100.31792758418116</v>
          </cell>
        </row>
        <row r="987">
          <cell r="A987" t="str">
            <v>ST400</v>
          </cell>
          <cell r="AS987">
            <v>100.84109483792494</v>
          </cell>
        </row>
        <row r="988">
          <cell r="A988" t="str">
            <v>ST401</v>
          </cell>
          <cell r="AS988">
            <v>95.905620939078773</v>
          </cell>
        </row>
        <row r="989">
          <cell r="A989" t="str">
            <v>ST402</v>
          </cell>
          <cell r="AS989">
            <v>96.760533281323376</v>
          </cell>
        </row>
        <row r="990">
          <cell r="A990" t="str">
            <v>ST403</v>
          </cell>
          <cell r="AS990">
            <v>99.090851111924238</v>
          </cell>
        </row>
        <row r="991">
          <cell r="A991" t="str">
            <v>ST404</v>
          </cell>
          <cell r="AS991">
            <v>100.28953076247171</v>
          </cell>
        </row>
        <row r="992">
          <cell r="A992" t="str">
            <v>ST405</v>
          </cell>
          <cell r="AS992">
            <v>98.68100870163795</v>
          </cell>
        </row>
        <row r="993">
          <cell r="A993" t="str">
            <v>ST406</v>
          </cell>
          <cell r="AS993">
            <v>98.657011703724478</v>
          </cell>
        </row>
        <row r="994">
          <cell r="A994" t="str">
            <v>ST407</v>
          </cell>
          <cell r="AS994">
            <v>98.539725565001788</v>
          </cell>
        </row>
        <row r="995">
          <cell r="A995" t="str">
            <v>ST408</v>
          </cell>
          <cell r="AS995">
            <v>98.853539615484877</v>
          </cell>
        </row>
        <row r="996">
          <cell r="A996" t="str">
            <v>ST409</v>
          </cell>
          <cell r="AS996">
            <v>97.026739234878065</v>
          </cell>
        </row>
        <row r="997">
          <cell r="A997" t="str">
            <v>ST410</v>
          </cell>
          <cell r="AS997">
            <v>99.348173755912001</v>
          </cell>
        </row>
        <row r="998">
          <cell r="A998" t="str">
            <v>ST411</v>
          </cell>
          <cell r="AS998">
            <v>97.865007404547399</v>
          </cell>
        </row>
        <row r="999">
          <cell r="A999" t="str">
            <v>ST412</v>
          </cell>
          <cell r="AS999">
            <v>99.015667179643799</v>
          </cell>
        </row>
        <row r="1000">
          <cell r="A1000" t="str">
            <v>ST413</v>
          </cell>
          <cell r="AS1000">
            <v>92.840729271609433</v>
          </cell>
        </row>
        <row r="1001">
          <cell r="A1001" t="str">
            <v>ST414</v>
          </cell>
          <cell r="AS1001">
            <v>96.937453604595234</v>
          </cell>
        </row>
        <row r="1002">
          <cell r="A1002" t="str">
            <v>ST415</v>
          </cell>
          <cell r="AS1002">
            <v>96.267168950908413</v>
          </cell>
        </row>
        <row r="1003">
          <cell r="A1003" t="str">
            <v>ST416</v>
          </cell>
          <cell r="AS1003">
            <v>102.55783677768659</v>
          </cell>
        </row>
        <row r="1004">
          <cell r="A1004" t="str">
            <v>ST417</v>
          </cell>
          <cell r="AS1004">
            <v>101.12268847023552</v>
          </cell>
        </row>
        <row r="1005">
          <cell r="A1005" t="str">
            <v>ST418</v>
          </cell>
          <cell r="AS1005">
            <v>98.872876183901013</v>
          </cell>
        </row>
        <row r="1006">
          <cell r="A1006" t="str">
            <v>ST419</v>
          </cell>
          <cell r="AS1006">
            <v>97.893936815743572</v>
          </cell>
        </row>
        <row r="1007">
          <cell r="A1007" t="str">
            <v>ST420</v>
          </cell>
          <cell r="AS1007">
            <v>94.369755090376813</v>
          </cell>
        </row>
      </sheetData>
      <sheetData sheetId="7">
        <row r="16">
          <cell r="D16">
            <v>11.8</v>
          </cell>
        </row>
      </sheetData>
      <sheetData sheetId="8"/>
      <sheetData sheetId="9"/>
      <sheetData sheetId="10">
        <row r="6">
          <cell r="H6">
            <v>1387.6999999999996</v>
          </cell>
        </row>
      </sheetData>
      <sheetData sheetId="11">
        <row r="18">
          <cell r="E18">
            <v>26275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December '23"/>
      <sheetName val="Summary November '23"/>
      <sheetName val="Summary October '23"/>
      <sheetName val="Summary August '23"/>
      <sheetName val="Summary July '23  "/>
      <sheetName val="Summary June '23 "/>
      <sheetName val="Summary May '23 "/>
      <sheetName val="Summary April '23"/>
      <sheetName val="Summary March '23 "/>
      <sheetName val="Summary February '23 "/>
      <sheetName val="Summary January '23"/>
      <sheetName val="Summary December '22  "/>
      <sheetName val="Summary November '22 "/>
      <sheetName val="Summary October '22  "/>
      <sheetName val="Summary September '22 "/>
      <sheetName val="Summary August '22"/>
      <sheetName val="Summary July '22"/>
      <sheetName val="Summary June '22 "/>
      <sheetName val="Summary May '22"/>
      <sheetName val="Summary April '22"/>
      <sheetName val="Summary March '22 "/>
      <sheetName val="Summary February '22"/>
      <sheetName val="Summary January '22  "/>
      <sheetName val="Summary December '21  "/>
      <sheetName val="Brew Time"/>
    </sheetNames>
    <sheetDataSet>
      <sheetData sheetId="0"/>
      <sheetData sheetId="1">
        <row r="24">
          <cell r="AU24">
            <v>95.033114450535422</v>
          </cell>
        </row>
        <row r="161">
          <cell r="AU161">
            <v>93.965368107965062</v>
          </cell>
        </row>
        <row r="162">
          <cell r="AU162">
            <v>96.592804250515826</v>
          </cell>
        </row>
        <row r="163">
          <cell r="AU163">
            <v>96.855226146869683</v>
          </cell>
        </row>
        <row r="164">
          <cell r="AU164">
            <v>99.719563433141545</v>
          </cell>
        </row>
        <row r="165">
          <cell r="AU165">
            <v>93.977747984844711</v>
          </cell>
        </row>
        <row r="166">
          <cell r="AU166">
            <v>96.800755402267797</v>
          </cell>
        </row>
        <row r="167">
          <cell r="AU167">
            <v>99.262577009986543</v>
          </cell>
        </row>
        <row r="168">
          <cell r="AU168">
            <v>97.617284872705341</v>
          </cell>
        </row>
        <row r="169">
          <cell r="AU169">
            <v>93.882081223571518</v>
          </cell>
        </row>
        <row r="170">
          <cell r="AU170">
            <v>96.880311362448069</v>
          </cell>
        </row>
        <row r="171">
          <cell r="AU171">
            <v>96.195289997407556</v>
          </cell>
        </row>
        <row r="172">
          <cell r="AU172">
            <v>94.522516586223233</v>
          </cell>
        </row>
        <row r="173">
          <cell r="AU173">
            <v>96.272098390562704</v>
          </cell>
        </row>
        <row r="174">
          <cell r="AU174">
            <v>97.145205727107424</v>
          </cell>
        </row>
        <row r="175">
          <cell r="AU175">
            <v>96.638158603901061</v>
          </cell>
        </row>
        <row r="176">
          <cell r="AU176">
            <v>97.558522019176309</v>
          </cell>
        </row>
        <row r="178">
          <cell r="AU178">
            <v>95.219650212398349</v>
          </cell>
        </row>
        <row r="179">
          <cell r="AU179">
            <v>96.915732176693737</v>
          </cell>
        </row>
        <row r="180">
          <cell r="AU180">
            <v>97.113229437227318</v>
          </cell>
        </row>
        <row r="181">
          <cell r="AU181">
            <v>96.11289270970039</v>
          </cell>
        </row>
        <row r="182">
          <cell r="AU182">
            <v>97.124856870387418</v>
          </cell>
        </row>
        <row r="183">
          <cell r="AU183">
            <v>95.95234352237965</v>
          </cell>
        </row>
        <row r="184">
          <cell r="AU184">
            <v>96.235994895137281</v>
          </cell>
        </row>
        <row r="185">
          <cell r="AU185">
            <v>96.793019114599005</v>
          </cell>
        </row>
        <row r="186">
          <cell r="AU186">
            <v>92.695309482159786</v>
          </cell>
        </row>
        <row r="187">
          <cell r="AU187">
            <v>97.112578466227518</v>
          </cell>
        </row>
        <row r="188">
          <cell r="AU188">
            <v>95.415425829106212</v>
          </cell>
        </row>
        <row r="189">
          <cell r="AU189">
            <v>94.650398073167125</v>
          </cell>
        </row>
        <row r="190">
          <cell r="AU190">
            <v>94.570799056132827</v>
          </cell>
        </row>
        <row r="191">
          <cell r="AU191">
            <v>94.719124067077729</v>
          </cell>
        </row>
        <row r="192">
          <cell r="AU192">
            <v>98.306178948356205</v>
          </cell>
        </row>
        <row r="193">
          <cell r="AU193">
            <v>97.925390388444455</v>
          </cell>
        </row>
        <row r="194">
          <cell r="AU194">
            <v>97.460735039452615</v>
          </cell>
        </row>
        <row r="195">
          <cell r="AU195">
            <v>98.199690790562769</v>
          </cell>
        </row>
        <row r="197">
          <cell r="AU197">
            <v>94.088744814062039</v>
          </cell>
        </row>
        <row r="198">
          <cell r="AU198">
            <v>96.46704124616916</v>
          </cell>
        </row>
        <row r="199">
          <cell r="AU199">
            <v>98.170890958243888</v>
          </cell>
        </row>
        <row r="200">
          <cell r="AU200">
            <v>94.209226425483408</v>
          </cell>
        </row>
        <row r="201">
          <cell r="AU201">
            <v>96.562972599320716</v>
          </cell>
        </row>
        <row r="202">
          <cell r="AU202">
            <v>97.230417534132712</v>
          </cell>
        </row>
        <row r="203">
          <cell r="AU203">
            <v>96.409854967197631</v>
          </cell>
        </row>
        <row r="204">
          <cell r="AU204">
            <v>96.223735556064042</v>
          </cell>
        </row>
        <row r="205">
          <cell r="AU205">
            <v>92.795938408997429</v>
          </cell>
        </row>
        <row r="206">
          <cell r="AU206">
            <v>98.244249996615551</v>
          </cell>
        </row>
        <row r="207">
          <cell r="AU207">
            <v>95.836438954768568</v>
          </cell>
        </row>
        <row r="208">
          <cell r="AU208">
            <v>95.89152658101861</v>
          </cell>
        </row>
        <row r="210">
          <cell r="AU210">
            <v>98.635700007401397</v>
          </cell>
        </row>
        <row r="211">
          <cell r="AU211">
            <v>99.515247118434473</v>
          </cell>
        </row>
        <row r="212">
          <cell r="AU212">
            <v>100.24798044319473</v>
          </cell>
        </row>
        <row r="213">
          <cell r="AU213">
            <v>98.642482588617568</v>
          </cell>
        </row>
        <row r="214">
          <cell r="AU214">
            <v>96.251461303435718</v>
          </cell>
        </row>
        <row r="215">
          <cell r="AU215">
            <v>98.419763453677945</v>
          </cell>
        </row>
        <row r="216">
          <cell r="AU216">
            <v>99.357094534189159</v>
          </cell>
        </row>
        <row r="217">
          <cell r="AU217">
            <v>99.078260666012184</v>
          </cell>
        </row>
        <row r="218">
          <cell r="AU218">
            <v>98.607229669780182</v>
          </cell>
        </row>
        <row r="219">
          <cell r="AU219">
            <v>100.06017468228244</v>
          </cell>
        </row>
        <row r="220">
          <cell r="AU220">
            <v>98.260147384785725</v>
          </cell>
        </row>
        <row r="221">
          <cell r="AU221">
            <v>99.115469296800924</v>
          </cell>
        </row>
        <row r="223">
          <cell r="AU223">
            <v>94.742021388622192</v>
          </cell>
        </row>
        <row r="224">
          <cell r="AU224">
            <v>95.167484764134443</v>
          </cell>
        </row>
        <row r="225">
          <cell r="AU225">
            <v>94.895677912202714</v>
          </cell>
        </row>
        <row r="226">
          <cell r="AU226">
            <v>96.401077155647016</v>
          </cell>
        </row>
        <row r="227">
          <cell r="AU227">
            <v>97.302930067568894</v>
          </cell>
        </row>
        <row r="228">
          <cell r="AU228">
            <v>96.314203603781138</v>
          </cell>
        </row>
        <row r="229">
          <cell r="AU229">
            <v>95.483762066712103</v>
          </cell>
        </row>
        <row r="230">
          <cell r="AU230">
            <v>96.625516268419005</v>
          </cell>
        </row>
        <row r="231">
          <cell r="AU231">
            <v>98.898456815142168</v>
          </cell>
        </row>
        <row r="232">
          <cell r="AU232">
            <v>98.225452926077566</v>
          </cell>
        </row>
        <row r="234">
          <cell r="AU234">
            <v>95.896677174536023</v>
          </cell>
        </row>
        <row r="235">
          <cell r="AU235">
            <v>97.936062938846518</v>
          </cell>
        </row>
        <row r="236">
          <cell r="AU236">
            <v>97.583693826153464</v>
          </cell>
        </row>
        <row r="237">
          <cell r="AU237">
            <v>98.994098566320872</v>
          </cell>
        </row>
        <row r="238">
          <cell r="AU238">
            <v>95.502837408186139</v>
          </cell>
        </row>
        <row r="239">
          <cell r="AU239">
            <v>98.869439166620126</v>
          </cell>
        </row>
        <row r="240">
          <cell r="AU240">
            <v>88.436653657881806</v>
          </cell>
        </row>
        <row r="241">
          <cell r="AU241">
            <v>102.62330939701198</v>
          </cell>
        </row>
        <row r="242">
          <cell r="AU242">
            <v>96.980346516944635</v>
          </cell>
        </row>
        <row r="243">
          <cell r="AU243">
            <v>94.08944508824446</v>
          </cell>
        </row>
        <row r="244">
          <cell r="AU244">
            <v>96.737333077403832</v>
          </cell>
        </row>
        <row r="245">
          <cell r="AU245">
            <v>94.446876631568699</v>
          </cell>
        </row>
        <row r="246">
          <cell r="AU246">
            <v>97.049787257774071</v>
          </cell>
        </row>
        <row r="247">
          <cell r="AU247">
            <v>97.142174485894344</v>
          </cell>
        </row>
        <row r="248">
          <cell r="AU248">
            <v>95.941599519115414</v>
          </cell>
        </row>
        <row r="249">
          <cell r="AU249">
            <v>96.627463359556657</v>
          </cell>
        </row>
        <row r="250">
          <cell r="AU250">
            <v>97.242672763693818</v>
          </cell>
        </row>
        <row r="251">
          <cell r="AU251">
            <v>98.084098750403911</v>
          </cell>
        </row>
        <row r="252">
          <cell r="AU252">
            <v>97.275212826418226</v>
          </cell>
        </row>
        <row r="253">
          <cell r="AU253">
            <v>96.463666376007339</v>
          </cell>
        </row>
        <row r="254">
          <cell r="AU254">
            <v>94.809860277644958</v>
          </cell>
        </row>
        <row r="255">
          <cell r="AU255">
            <v>95.372531830954301</v>
          </cell>
        </row>
        <row r="256">
          <cell r="AU256">
            <v>97.104793218026899</v>
          </cell>
        </row>
        <row r="257">
          <cell r="AU257">
            <v>101.15481250823689</v>
          </cell>
        </row>
        <row r="258">
          <cell r="AU258">
            <v>97.136421299139741</v>
          </cell>
        </row>
        <row r="259">
          <cell r="AU259">
            <v>97.470434535510464</v>
          </cell>
        </row>
        <row r="260">
          <cell r="AU260">
            <v>93.220228527399556</v>
          </cell>
        </row>
        <row r="261">
          <cell r="AU261">
            <v>97.417353739920216</v>
          </cell>
        </row>
        <row r="262">
          <cell r="AU262">
            <v>102.56453826919012</v>
          </cell>
        </row>
        <row r="263">
          <cell r="AU263">
            <v>94.2191347002763</v>
          </cell>
        </row>
        <row r="264">
          <cell r="AU264">
            <v>97.225537612550042</v>
          </cell>
        </row>
        <row r="265">
          <cell r="AU265">
            <v>95.46204926037683</v>
          </cell>
        </row>
        <row r="266">
          <cell r="AU266">
            <v>96.295198372398715</v>
          </cell>
        </row>
        <row r="267">
          <cell r="AU267">
            <v>94.766322071054688</v>
          </cell>
        </row>
        <row r="268">
          <cell r="AU268">
            <v>96.729944015905701</v>
          </cell>
        </row>
        <row r="269">
          <cell r="AU269">
            <v>93.515968326362071</v>
          </cell>
        </row>
        <row r="270">
          <cell r="AU270">
            <v>95.326405402124465</v>
          </cell>
        </row>
        <row r="271">
          <cell r="AU271">
            <v>96.578493608349746</v>
          </cell>
        </row>
        <row r="272">
          <cell r="AU272">
            <v>96.612052964288281</v>
          </cell>
        </row>
        <row r="273">
          <cell r="AU273">
            <v>95.101201382387686</v>
          </cell>
        </row>
        <row r="274">
          <cell r="AU274">
            <v>97.42245815143751</v>
          </cell>
        </row>
        <row r="275">
          <cell r="AU275">
            <v>96.319562398779738</v>
          </cell>
        </row>
        <row r="276">
          <cell r="AU276">
            <v>96.224117927496195</v>
          </cell>
        </row>
        <row r="277">
          <cell r="AU277">
            <v>94.401983484097656</v>
          </cell>
        </row>
        <row r="278">
          <cell r="AU278">
            <v>99.387627351361019</v>
          </cell>
        </row>
        <row r="279">
          <cell r="AU279">
            <v>96.627570521050842</v>
          </cell>
        </row>
        <row r="282">
          <cell r="A282" t="str">
            <v>GU113</v>
          </cell>
          <cell r="AU282">
            <v>93.663100829572898</v>
          </cell>
        </row>
        <row r="283">
          <cell r="A283" t="str">
            <v>GU114</v>
          </cell>
          <cell r="AU283">
            <v>97.254070900973858</v>
          </cell>
        </row>
        <row r="284">
          <cell r="A284" t="str">
            <v>GU115</v>
          </cell>
          <cell r="AU284">
            <v>99.149861756743334</v>
          </cell>
        </row>
        <row r="285">
          <cell r="A285" t="str">
            <v>GU116</v>
          </cell>
          <cell r="AU285">
            <v>94.471130452224315</v>
          </cell>
        </row>
        <row r="286">
          <cell r="A286" t="str">
            <v>GU117</v>
          </cell>
          <cell r="AU286">
            <v>97.247994648231</v>
          </cell>
        </row>
        <row r="287">
          <cell r="A287" t="str">
            <v>GU118</v>
          </cell>
          <cell r="AU287">
            <v>94.48140281101675</v>
          </cell>
        </row>
        <row r="288">
          <cell r="A288" t="str">
            <v>GU119</v>
          </cell>
          <cell r="AU288">
            <v>97.045557790227846</v>
          </cell>
        </row>
        <row r="289">
          <cell r="A289" t="str">
            <v>GU120</v>
          </cell>
          <cell r="AU289">
            <v>96.706799632100712</v>
          </cell>
        </row>
      </sheetData>
      <sheetData sheetId="2">
        <row r="5">
          <cell r="D5">
            <v>17.2</v>
          </cell>
        </row>
      </sheetData>
      <sheetData sheetId="3"/>
      <sheetData sheetId="4"/>
      <sheetData sheetId="5">
        <row r="7">
          <cell r="H7">
            <v>313.3</v>
          </cell>
        </row>
      </sheetData>
      <sheetData sheetId="6">
        <row r="19">
          <cell r="E19">
            <v>4299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19">
          <cell r="E19">
            <v>5839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December '23"/>
      <sheetName val="Summary September '23"/>
      <sheetName val="Summary August '23"/>
      <sheetName val="Summary July '23"/>
      <sheetName val="Summary June '23 "/>
      <sheetName val="Summary May '23 "/>
      <sheetName val="Summary April '23"/>
      <sheetName val="Summary March '23"/>
      <sheetName val="Summary August '22"/>
      <sheetName val="Summary July '22 "/>
      <sheetName val="Summary June '22 "/>
      <sheetName val="Summary May '22"/>
      <sheetName val="Summary April '22"/>
      <sheetName val="Summary March '22"/>
      <sheetName val="Summary February '22"/>
      <sheetName val="Summary January '22"/>
      <sheetName val="Summary December '21 "/>
      <sheetName val="Summary January '22 "/>
      <sheetName val="Summary December '21  "/>
    </sheetNames>
    <sheetDataSet>
      <sheetData sheetId="0" refreshError="1"/>
      <sheetData sheetId="1"/>
      <sheetData sheetId="2"/>
      <sheetData sheetId="3">
        <row r="20">
          <cell r="B20">
            <v>44581</v>
          </cell>
        </row>
        <row r="92">
          <cell r="AU92">
            <v>92.976230173617424</v>
          </cell>
        </row>
        <row r="93">
          <cell r="AU93">
            <v>97.891128934292908</v>
          </cell>
        </row>
        <row r="94">
          <cell r="AU94">
            <v>97.973301157018028</v>
          </cell>
        </row>
        <row r="95">
          <cell r="AU95">
            <v>98.096408180762808</v>
          </cell>
        </row>
        <row r="96">
          <cell r="AU96">
            <v>96.60797006312923</v>
          </cell>
        </row>
        <row r="97">
          <cell r="AU97">
            <v>95.944323197552052</v>
          </cell>
        </row>
        <row r="98">
          <cell r="AU98">
            <v>97.96934029451829</v>
          </cell>
        </row>
        <row r="99">
          <cell r="AU99">
            <v>97.61931982421288</v>
          </cell>
        </row>
        <row r="100">
          <cell r="AU100">
            <v>96.832510902681079</v>
          </cell>
        </row>
        <row r="101">
          <cell r="AU101">
            <v>97.477315897621679</v>
          </cell>
        </row>
        <row r="103">
          <cell r="AU103">
            <v>97.93333635326627</v>
          </cell>
        </row>
        <row r="104">
          <cell r="AU104">
            <v>97.891046918081088</v>
          </cell>
        </row>
        <row r="105">
          <cell r="AU105">
            <v>99.033412354868091</v>
          </cell>
        </row>
        <row r="106">
          <cell r="AU106">
            <v>97.512358148572076</v>
          </cell>
        </row>
        <row r="107">
          <cell r="AU107">
            <v>95.87273211620672</v>
          </cell>
        </row>
        <row r="108">
          <cell r="AU108">
            <v>98.818321955908743</v>
          </cell>
        </row>
        <row r="109">
          <cell r="AU109">
            <v>98.005339225475495</v>
          </cell>
        </row>
        <row r="110">
          <cell r="AU110">
            <v>97.743136116212952</v>
          </cell>
        </row>
        <row r="111">
          <cell r="AU111">
            <v>96.815316848596865</v>
          </cell>
        </row>
        <row r="112">
          <cell r="AU112">
            <v>95.263079291761272</v>
          </cell>
        </row>
        <row r="114">
          <cell r="AU114">
            <v>98.814785799478145</v>
          </cell>
        </row>
        <row r="115">
          <cell r="AU115">
            <v>95.902564497676096</v>
          </cell>
        </row>
        <row r="116">
          <cell r="AU116">
            <v>98.175518315541183</v>
          </cell>
        </row>
        <row r="117">
          <cell r="AU117">
            <v>96.874026079753961</v>
          </cell>
        </row>
        <row r="118">
          <cell r="AU118">
            <v>96.210568758972599</v>
          </cell>
        </row>
        <row r="119">
          <cell r="AU119">
            <v>98.185551655182479</v>
          </cell>
        </row>
        <row r="120">
          <cell r="AU120">
            <v>98.090666634651427</v>
          </cell>
        </row>
        <row r="121">
          <cell r="AU121">
            <v>97.545012872669332</v>
          </cell>
        </row>
        <row r="122">
          <cell r="AU122">
            <v>95.071812655510129</v>
          </cell>
        </row>
        <row r="123">
          <cell r="AU123">
            <v>99.43552908729977</v>
          </cell>
        </row>
        <row r="125">
          <cell r="AU125">
            <v>89.924292290392472</v>
          </cell>
        </row>
        <row r="126">
          <cell r="AU126">
            <v>94.537695289743212</v>
          </cell>
        </row>
        <row r="127">
          <cell r="AU127">
            <v>98.000013979580487</v>
          </cell>
        </row>
        <row r="128">
          <cell r="AU128">
            <v>95.186842986970504</v>
          </cell>
        </row>
        <row r="129">
          <cell r="AU129">
            <v>96.696641173491798</v>
          </cell>
        </row>
        <row r="130">
          <cell r="AU130">
            <v>95.944138129340132</v>
          </cell>
        </row>
        <row r="131">
          <cell r="AU131">
            <v>93.413051544866548</v>
          </cell>
        </row>
        <row r="132">
          <cell r="AU132">
            <v>96.069102087559131</v>
          </cell>
        </row>
        <row r="133">
          <cell r="AU133">
            <v>98.137125811557496</v>
          </cell>
        </row>
        <row r="134">
          <cell r="AU134">
            <v>97.168379942866267</v>
          </cell>
        </row>
        <row r="136">
          <cell r="AU136">
            <v>94.124868174530278</v>
          </cell>
        </row>
        <row r="137">
          <cell r="AU137">
            <v>95.154601054457146</v>
          </cell>
        </row>
        <row r="138">
          <cell r="AU138">
            <v>96.220811022939529</v>
          </cell>
        </row>
        <row r="139">
          <cell r="AU139">
            <v>97.517216436709603</v>
          </cell>
        </row>
        <row r="140">
          <cell r="AU140">
            <v>96.281980045545069</v>
          </cell>
        </row>
        <row r="141">
          <cell r="AU141">
            <v>95.840387117370994</v>
          </cell>
        </row>
        <row r="142">
          <cell r="AU142">
            <v>95.62272817509934</v>
          </cell>
        </row>
        <row r="143">
          <cell r="AU143">
            <v>97.419625508620229</v>
          </cell>
        </row>
        <row r="144">
          <cell r="AU144">
            <v>96.095204819099521</v>
          </cell>
        </row>
        <row r="145">
          <cell r="AU145">
            <v>95.427155830154973</v>
          </cell>
        </row>
        <row r="147">
          <cell r="AU147">
            <v>91.160130162104309</v>
          </cell>
        </row>
        <row r="148">
          <cell r="AU148">
            <v>96.404323693454927</v>
          </cell>
        </row>
        <row r="149">
          <cell r="AU149">
            <v>95.683417143594824</v>
          </cell>
        </row>
        <row r="150">
          <cell r="AU150">
            <v>95.809489237012428</v>
          </cell>
        </row>
        <row r="151">
          <cell r="AU151">
            <v>97.090758279891048</v>
          </cell>
        </row>
        <row r="152">
          <cell r="AU152">
            <v>94.091899893433379</v>
          </cell>
        </row>
        <row r="153">
          <cell r="AU153">
            <v>96.193480056158236</v>
          </cell>
        </row>
        <row r="154">
          <cell r="AU154">
            <v>94.865416286743525</v>
          </cell>
        </row>
        <row r="155">
          <cell r="AU155">
            <v>94.951993001600584</v>
          </cell>
        </row>
        <row r="156">
          <cell r="AU156">
            <v>94.607872565715482</v>
          </cell>
        </row>
        <row r="158">
          <cell r="A158" t="str">
            <v>VM061</v>
          </cell>
          <cell r="AU158">
            <v>93.00523973792491</v>
          </cell>
        </row>
        <row r="159">
          <cell r="A159" t="str">
            <v>VM062</v>
          </cell>
          <cell r="AU159">
            <v>95.154968494234055</v>
          </cell>
        </row>
        <row r="160">
          <cell r="A160" t="str">
            <v>VM063</v>
          </cell>
          <cell r="AU160">
            <v>97.138427856424443</v>
          </cell>
        </row>
        <row r="161">
          <cell r="A161" t="str">
            <v>VM064</v>
          </cell>
          <cell r="AU161">
            <v>95.267023489278699</v>
          </cell>
        </row>
        <row r="162">
          <cell r="A162" t="str">
            <v>VM065</v>
          </cell>
          <cell r="AU162">
            <v>98.162235648460509</v>
          </cell>
        </row>
        <row r="163">
          <cell r="A163" t="str">
            <v>VM066</v>
          </cell>
          <cell r="AU163">
            <v>88.890405461826575</v>
          </cell>
        </row>
      </sheetData>
      <sheetData sheetId="4">
        <row r="7">
          <cell r="D7">
            <v>14.3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September '23 "/>
      <sheetName val="Summary August '23 "/>
      <sheetName val="Summary July '23"/>
      <sheetName val="Summary January '23"/>
      <sheetName val="Summary December '22  "/>
      <sheetName val="Summary November '22  "/>
      <sheetName val="Summary October '22 "/>
      <sheetName val="Summary September '22 "/>
      <sheetName val="Summary August '22 "/>
      <sheetName val="Summary July '22 "/>
      <sheetName val="Summary June '22 "/>
      <sheetName val="Summary May '22 "/>
      <sheetName val="Summary April '22 "/>
      <sheetName val="Summary March '22 "/>
      <sheetName val="Summary February '22 "/>
      <sheetName val="Summary January '22 "/>
      <sheetName val="Summary December '21 "/>
      <sheetName val="Summary November '21 "/>
      <sheetName val="Summary September '21 "/>
      <sheetName val="Summary August '21"/>
      <sheetName val="Summary July'21"/>
      <sheetName val="Summary June '21 "/>
      <sheetName val="Summary May '21"/>
      <sheetName val="Summary April '21 "/>
      <sheetName val="Summary March '21"/>
      <sheetName val="Summary February '21"/>
      <sheetName val="Summary January '21"/>
      <sheetName val="Summary December '20 "/>
      <sheetName val="Summary November '20  "/>
      <sheetName val="Summary October '20 "/>
      <sheetName val="Summary September '20 "/>
      <sheetName val="Summary August '20  "/>
      <sheetName val="Summary July'20  "/>
      <sheetName val="Summary June'20 "/>
      <sheetName val="Summary May'20 "/>
      <sheetName val="Summary March'20 "/>
      <sheetName val="Summary February'20"/>
      <sheetName val="Summary January'20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1">
          <cell r="AT11">
            <v>90.812413514896079</v>
          </cell>
        </row>
        <row r="74">
          <cell r="AT74">
            <v>97.150248014703294</v>
          </cell>
        </row>
        <row r="75">
          <cell r="AT75">
            <v>95.674742958147831</v>
          </cell>
        </row>
        <row r="76">
          <cell r="AT76">
            <v>100.84803557336481</v>
          </cell>
        </row>
        <row r="77">
          <cell r="AT77">
            <v>88.652151049519262</v>
          </cell>
        </row>
        <row r="78">
          <cell r="AT78">
            <v>91.164092280279334</v>
          </cell>
        </row>
        <row r="79">
          <cell r="AT79">
            <v>90.269749115607993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December ' 23 "/>
      <sheetName val="Summary November ' 23 "/>
      <sheetName val="Summary October ' 23  "/>
      <sheetName val="Summary September ' 23  "/>
      <sheetName val="Summary August ' 23 "/>
      <sheetName val="Summary July ' 23 "/>
      <sheetName val="Summary June ' 23"/>
      <sheetName val="Summary May ' 23 "/>
      <sheetName val="Summary April ' 23"/>
      <sheetName val="Summary March ' 23 "/>
      <sheetName val="Summary February ' 23 "/>
      <sheetName val="Summary January ' 23"/>
      <sheetName val="Summary December ' 22"/>
      <sheetName val="Summary November ' 22"/>
      <sheetName val="Summary October ' 22"/>
      <sheetName val="Summary September ' 22"/>
      <sheetName val="Summary August' 22"/>
      <sheetName val="Summary July' 22"/>
      <sheetName val="Summary June' 22"/>
      <sheetName val="Summary May' 22 "/>
      <sheetName val="Summary April' 22 "/>
      <sheetName val="Summary March' 22"/>
      <sheetName val="Summary February' 22"/>
      <sheetName val="Summary January' 22"/>
      <sheetName val="Summary December' 21 "/>
      <sheetName val="Summary November' 21"/>
      <sheetName val="Summary October' 21  "/>
      <sheetName val="Summary August' 21 "/>
      <sheetName val="Summary July' 21"/>
      <sheetName val="Summary April' 21"/>
      <sheetName val="Summary March' 21  "/>
      <sheetName val="Summary February' 21 "/>
      <sheetName val="Summary January' 21  "/>
      <sheetName val="Summary December' 20  "/>
      <sheetName val="Summary November' 20  "/>
      <sheetName val="Summary September' 20  "/>
      <sheetName val="Summary August' 20  "/>
      <sheetName val="Summary July' 20 "/>
      <sheetName val="Summary June' 20 "/>
      <sheetName val="Summary May' 20 "/>
      <sheetName val="Summary March' 20 "/>
      <sheetName val="Summary February' 20"/>
      <sheetName val="Summary January' 20   "/>
    </sheetNames>
    <sheetDataSet>
      <sheetData sheetId="0"/>
      <sheetData sheetId="1"/>
      <sheetData sheetId="2"/>
      <sheetData sheetId="3">
        <row r="12">
          <cell r="AY12">
            <v>96.029058348682</v>
          </cell>
        </row>
        <row r="138">
          <cell r="AY138">
            <v>96.857330707129194</v>
          </cell>
        </row>
        <row r="139">
          <cell r="AY139">
            <v>98.558634236722384</v>
          </cell>
        </row>
        <row r="140">
          <cell r="AY140">
            <v>99.06939404796357</v>
          </cell>
        </row>
        <row r="141">
          <cell r="AY141">
            <v>97.738542500229343</v>
          </cell>
        </row>
        <row r="142">
          <cell r="AY142">
            <v>98.88256763553963</v>
          </cell>
        </row>
        <row r="143">
          <cell r="AY143">
            <v>97.355423733832453</v>
          </cell>
        </row>
        <row r="145">
          <cell r="AY145">
            <v>93.537197811356393</v>
          </cell>
        </row>
        <row r="146">
          <cell r="AY146">
            <v>97.637568539650758</v>
          </cell>
        </row>
        <row r="147">
          <cell r="AY147">
            <v>97.44649697695084</v>
          </cell>
        </row>
        <row r="148">
          <cell r="AY148">
            <v>98.773382829033523</v>
          </cell>
        </row>
        <row r="149">
          <cell r="AY149">
            <v>98.071154008854393</v>
          </cell>
        </row>
        <row r="150">
          <cell r="AY150">
            <v>97.063843510838709</v>
          </cell>
        </row>
        <row r="151">
          <cell r="AY151">
            <v>97.828640102350647</v>
          </cell>
        </row>
        <row r="152">
          <cell r="AY152">
            <v>98.087689047934177</v>
          </cell>
        </row>
        <row r="153">
          <cell r="AY153">
            <v>97.828640102350647</v>
          </cell>
        </row>
        <row r="155">
          <cell r="AY155">
            <v>99.698842686065035</v>
          </cell>
        </row>
        <row r="156">
          <cell r="AY156">
            <v>97.271717302321889</v>
          </cell>
        </row>
        <row r="157">
          <cell r="AY157">
            <v>98.289192483980855</v>
          </cell>
        </row>
        <row r="158">
          <cell r="AY158">
            <v>99.439999141619637</v>
          </cell>
        </row>
        <row r="159">
          <cell r="AY159">
            <v>96.974002051291038</v>
          </cell>
        </row>
        <row r="160">
          <cell r="AY160">
            <v>98.975628221718509</v>
          </cell>
        </row>
        <row r="161">
          <cell r="AY161">
            <v>101.59530290991161</v>
          </cell>
        </row>
        <row r="162">
          <cell r="AY162">
            <v>100.37351945912778</v>
          </cell>
        </row>
        <row r="163">
          <cell r="AY163">
            <v>99.626623297989596</v>
          </cell>
        </row>
        <row r="164">
          <cell r="AY164">
            <v>99.801046914684065</v>
          </cell>
        </row>
        <row r="165">
          <cell r="AY165">
            <v>100.42261588043316</v>
          </cell>
        </row>
        <row r="166">
          <cell r="AY166">
            <v>100.59254189240451</v>
          </cell>
        </row>
        <row r="167">
          <cell r="AY167">
            <v>102.82818274430574</v>
          </cell>
        </row>
        <row r="168">
          <cell r="AY168">
            <v>100.73932467067223</v>
          </cell>
        </row>
        <row r="169">
          <cell r="AY169">
            <v>102.03003131939195</v>
          </cell>
        </row>
        <row r="170">
          <cell r="AY170">
            <v>100.72183263222499</v>
          </cell>
        </row>
        <row r="171">
          <cell r="AY171">
            <v>99.794955739547987</v>
          </cell>
        </row>
        <row r="172">
          <cell r="AY172">
            <v>99.174713278737329</v>
          </cell>
        </row>
        <row r="173">
          <cell r="AY173">
            <v>99.745776886868242</v>
          </cell>
        </row>
        <row r="174">
          <cell r="AY174">
            <v>101.45896771126101</v>
          </cell>
        </row>
        <row r="176">
          <cell r="AY176">
            <v>98.50164878062526</v>
          </cell>
        </row>
        <row r="177">
          <cell r="AY177">
            <v>97.864376229539815</v>
          </cell>
        </row>
        <row r="178">
          <cell r="AY178">
            <v>96.213174293907031</v>
          </cell>
        </row>
        <row r="179">
          <cell r="AY179">
            <v>96.737733426605146</v>
          </cell>
        </row>
        <row r="180">
          <cell r="AY180">
            <v>98.671919625154061</v>
          </cell>
        </row>
        <row r="181">
          <cell r="AY181">
            <v>98.678382046481531</v>
          </cell>
        </row>
        <row r="182">
          <cell r="AY182">
            <v>97.166069677953075</v>
          </cell>
        </row>
        <row r="183">
          <cell r="AY183">
            <v>98.512845152088531</v>
          </cell>
        </row>
        <row r="184">
          <cell r="AY184">
            <v>98.221762980912644</v>
          </cell>
        </row>
        <row r="185">
          <cell r="AY185">
            <v>96.458672125242785</v>
          </cell>
        </row>
        <row r="187">
          <cell r="AY187">
            <v>99.38661333018382</v>
          </cell>
        </row>
        <row r="188">
          <cell r="AY188">
            <v>99.646849535565863</v>
          </cell>
        </row>
        <row r="189">
          <cell r="AY189">
            <v>96.44315275935341</v>
          </cell>
        </row>
        <row r="190">
          <cell r="AY190">
            <v>95.740088181090002</v>
          </cell>
        </row>
        <row r="191">
          <cell r="AY191">
            <v>101.96087155142641</v>
          </cell>
        </row>
        <row r="192">
          <cell r="AY192">
            <v>100.87431145241574</v>
          </cell>
        </row>
        <row r="193">
          <cell r="AY193">
            <v>100.77276941900652</v>
          </cell>
        </row>
        <row r="194">
          <cell r="AY194">
            <v>99.308077161646651</v>
          </cell>
        </row>
        <row r="195">
          <cell r="AY195">
            <v>97.966049625236295</v>
          </cell>
        </row>
        <row r="196">
          <cell r="AY196">
            <v>99.036532823513113</v>
          </cell>
        </row>
        <row r="197">
          <cell r="AY197">
            <v>99.829910580594287</v>
          </cell>
        </row>
        <row r="198">
          <cell r="AY198">
            <v>101.34551268586694</v>
          </cell>
        </row>
        <row r="200">
          <cell r="AY200">
            <v>95.787719035267713</v>
          </cell>
        </row>
        <row r="201">
          <cell r="AY201">
            <v>98.6328988085925</v>
          </cell>
        </row>
        <row r="202">
          <cell r="AY202">
            <v>94.459968474382819</v>
          </cell>
        </row>
        <row r="203">
          <cell r="AY203">
            <v>106.3879873741687</v>
          </cell>
        </row>
        <row r="204">
          <cell r="AY204">
            <v>98.690694600233016</v>
          </cell>
        </row>
        <row r="205">
          <cell r="AY205">
            <v>98.776855194864339</v>
          </cell>
        </row>
        <row r="206">
          <cell r="AY206">
            <v>97.717380143030724</v>
          </cell>
        </row>
        <row r="207">
          <cell r="AY207">
            <v>98.298402403340631</v>
          </cell>
        </row>
        <row r="208">
          <cell r="AY208">
            <v>99.150475857619696</v>
          </cell>
        </row>
        <row r="209">
          <cell r="AY209">
            <v>98.480851582747462</v>
          </cell>
        </row>
        <row r="210">
          <cell r="AY210">
            <v>98.900294442784613</v>
          </cell>
        </row>
        <row r="211">
          <cell r="AY211">
            <v>99.774000543159772</v>
          </cell>
        </row>
        <row r="212">
          <cell r="AY212">
            <v>100.01290942200356</v>
          </cell>
        </row>
        <row r="213">
          <cell r="AY213">
            <v>98.851572144784257</v>
          </cell>
        </row>
        <row r="214">
          <cell r="AY214">
            <v>95.961586054602336</v>
          </cell>
        </row>
        <row r="215">
          <cell r="AY215">
            <v>97.742034692393759</v>
          </cell>
        </row>
        <row r="216">
          <cell r="AY216">
            <v>98.204218222146736</v>
          </cell>
        </row>
        <row r="217">
          <cell r="AY217">
            <v>97.636227486705479</v>
          </cell>
        </row>
        <row r="218">
          <cell r="AY218">
            <v>97.478600605828163</v>
          </cell>
        </row>
        <row r="219">
          <cell r="AY219">
            <v>98.717661711315671</v>
          </cell>
        </row>
        <row r="220">
          <cell r="AY220">
            <v>98.398499623008561</v>
          </cell>
        </row>
        <row r="221">
          <cell r="AY221">
            <v>98.42316068921798</v>
          </cell>
        </row>
        <row r="222">
          <cell r="AY222">
            <v>95.64281835332649</v>
          </cell>
        </row>
        <row r="223">
          <cell r="AY223">
            <v>100.30596808204508</v>
          </cell>
        </row>
        <row r="224">
          <cell r="AY224">
            <v>97.851077552059024</v>
          </cell>
        </row>
        <row r="225">
          <cell r="AY225">
            <v>96.158768386089662</v>
          </cell>
        </row>
        <row r="226">
          <cell r="AY226">
            <v>102.14052505286946</v>
          </cell>
        </row>
        <row r="227">
          <cell r="AY227">
            <v>97.431150141503139</v>
          </cell>
        </row>
        <row r="228">
          <cell r="AY228">
            <v>100.92420324719012</v>
          </cell>
        </row>
        <row r="229">
          <cell r="AY229">
            <v>99.872915840059974</v>
          </cell>
        </row>
        <row r="230">
          <cell r="AY230">
            <v>98.084502197854505</v>
          </cell>
        </row>
        <row r="231">
          <cell r="AY231">
            <v>93.702421135620355</v>
          </cell>
        </row>
        <row r="232">
          <cell r="AY232">
            <v>98.855100098271564</v>
          </cell>
        </row>
        <row r="233">
          <cell r="AY233">
            <v>98.396198262432364</v>
          </cell>
        </row>
        <row r="234">
          <cell r="AY234">
            <v>97.777907843168137</v>
          </cell>
        </row>
        <row r="235">
          <cell r="AY235">
            <v>99.308677437581736</v>
          </cell>
        </row>
        <row r="236">
          <cell r="AY236">
            <v>98.038546530836541</v>
          </cell>
        </row>
        <row r="237">
          <cell r="AY237">
            <v>99.401997081305353</v>
          </cell>
        </row>
        <row r="238">
          <cell r="AY238">
            <v>97.48935368165435</v>
          </cell>
        </row>
        <row r="239">
          <cell r="AY239">
            <v>99.898950116799284</v>
          </cell>
        </row>
        <row r="240">
          <cell r="AY240">
            <v>99.398999137874881</v>
          </cell>
        </row>
        <row r="241">
          <cell r="AY241">
            <v>100.7519165779202</v>
          </cell>
        </row>
        <row r="242">
          <cell r="AY242">
            <v>93.544301682511559</v>
          </cell>
        </row>
        <row r="243">
          <cell r="AY243">
            <v>101.0188654292426</v>
          </cell>
        </row>
        <row r="244">
          <cell r="AY244">
            <v>99.528763203902798</v>
          </cell>
        </row>
        <row r="245">
          <cell r="AY245">
            <v>100.66092013193017</v>
          </cell>
        </row>
        <row r="246">
          <cell r="AY246">
            <v>100.08424635979156</v>
          </cell>
        </row>
        <row r="247">
          <cell r="AY247">
            <v>99.518279181903651</v>
          </cell>
        </row>
        <row r="249">
          <cell r="A249" t="str">
            <v>SM103</v>
          </cell>
          <cell r="AY249">
            <v>99.163679317628919</v>
          </cell>
        </row>
        <row r="250">
          <cell r="A250" t="str">
            <v>SM104</v>
          </cell>
          <cell r="AY250">
            <v>100.11534610570595</v>
          </cell>
        </row>
        <row r="251">
          <cell r="A251" t="str">
            <v>SM105</v>
          </cell>
          <cell r="AY251">
            <v>100.73961911513112</v>
          </cell>
        </row>
        <row r="252">
          <cell r="A252" t="str">
            <v>SM106</v>
          </cell>
          <cell r="AY252">
            <v>99.354012675244334</v>
          </cell>
        </row>
        <row r="253">
          <cell r="A253" t="str">
            <v>SM107</v>
          </cell>
          <cell r="AY253">
            <v>99.145167583223554</v>
          </cell>
        </row>
        <row r="254">
          <cell r="A254" t="str">
            <v>SM108</v>
          </cell>
          <cell r="AY254">
            <v>99.57415406203171</v>
          </cell>
        </row>
      </sheetData>
      <sheetData sheetId="4">
        <row r="5">
          <cell r="D5">
            <v>17.260000000000002</v>
          </cell>
        </row>
      </sheetData>
      <sheetData sheetId="5"/>
      <sheetData sheetId="6"/>
      <sheetData sheetId="7">
        <row r="10">
          <cell r="H10">
            <v>306.60000000000002</v>
          </cell>
        </row>
      </sheetData>
      <sheetData sheetId="8">
        <row r="22">
          <cell r="E22">
            <v>5897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22">
          <cell r="E22">
            <v>7513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Operator Performance '18"/>
      <sheetName val="BrewMaterials"/>
      <sheetName val="Brewhouse"/>
      <sheetName val="Process"/>
      <sheetName val="Packaging"/>
      <sheetName val="Summary July '23"/>
      <sheetName val="Summary March '23"/>
      <sheetName val="Summary February '23"/>
      <sheetName val="Summary November '22 "/>
      <sheetName val="Summary October '22 "/>
      <sheetName val="Summary March '22"/>
      <sheetName val="Summary February '22 "/>
      <sheetName val="Summary August '21 "/>
      <sheetName val="Summary July '21"/>
      <sheetName val="Summary October '20 "/>
      <sheetName val="Summary September '20  "/>
      <sheetName val="Summary August '20 "/>
      <sheetName val="Summary July '20"/>
      <sheetName val="Summary June '20 "/>
    </sheetNames>
    <sheetDataSet>
      <sheetData sheetId="0"/>
      <sheetData sheetId="1"/>
      <sheetData sheetId="2"/>
      <sheetData sheetId="3">
        <row r="5">
          <cell r="A5" t="str">
            <v>HR001</v>
          </cell>
        </row>
        <row r="13">
          <cell r="AW13">
            <v>84.648574567528044</v>
          </cell>
        </row>
        <row r="14">
          <cell r="AW14">
            <v>92.105311967909813</v>
          </cell>
        </row>
        <row r="16">
          <cell r="AW16">
            <v>95.019583228533136</v>
          </cell>
        </row>
        <row r="17">
          <cell r="AW17">
            <v>96.397043172756128</v>
          </cell>
        </row>
      </sheetData>
      <sheetData sheetId="4">
        <row r="4">
          <cell r="C4" t="str">
            <v>FV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. 3rd  "/>
      <sheetName val="Jan. 4th"/>
      <sheetName val="Jan.5th"/>
      <sheetName val="Jan.6th"/>
      <sheetName val="Jan.7th "/>
      <sheetName val="Jan.8th "/>
      <sheetName val="Jan.9th  "/>
      <sheetName val="Jan.10th  "/>
      <sheetName val="Jan.11th "/>
      <sheetName val="Jan.12th "/>
      <sheetName val="Jan.13th "/>
      <sheetName val="Jan.14th  "/>
      <sheetName val="Jan.16th &amp;17th  "/>
      <sheetName val="Closing- January 2023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2">
          <cell r="L42">
            <v>98.191435797113996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. 6th"/>
      <sheetName val="Feb. 8th"/>
      <sheetName val="Feb Summ. to 24th"/>
      <sheetName val="Feb. 27th"/>
      <sheetName val="Feb.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>
        <row r="42">
          <cell r="L42">
            <v>97.281713730188258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h 1st"/>
      <sheetName val="March 2nd"/>
      <sheetName val="March 3rd"/>
      <sheetName val="March 6th"/>
      <sheetName val="March 7th "/>
      <sheetName val="March 8th"/>
      <sheetName val="March 9th"/>
      <sheetName val="March10th "/>
      <sheetName val="March11th  "/>
      <sheetName val="March13th"/>
      <sheetName val="March14th "/>
      <sheetName val="March15th"/>
      <sheetName val="March 16th &amp;18th "/>
      <sheetName val="March 20th"/>
      <sheetName val="March 21st"/>
      <sheetName val="March 22nd"/>
      <sheetName val="March 23"/>
      <sheetName val="March 24 &amp; 25th &amp; 26th"/>
      <sheetName val="March 27th"/>
      <sheetName val="March 28th "/>
      <sheetName val="March 29th "/>
      <sheetName val="March 30th "/>
      <sheetName val="March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5">
          <cell r="L75">
            <v>98.782352819681904</v>
          </cell>
        </row>
        <row r="80">
          <cell r="L80">
            <v>7.04</v>
          </cell>
        </row>
      </sheetData>
      <sheetData sheetId="23"/>
      <sheetData sheetId="24"/>
      <sheetData sheetId="25"/>
      <sheetData sheetId="2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pril 1  "/>
      <sheetName val="April 3th "/>
      <sheetName val="April 4th "/>
      <sheetName val="April 5th "/>
      <sheetName val="April 6th"/>
      <sheetName val="Apri 8th"/>
      <sheetName val="Apri 11th"/>
      <sheetName val="Apri 12th "/>
      <sheetName val="Apri 13th "/>
      <sheetName val="Apri 14th  "/>
      <sheetName val="Apri 15th"/>
      <sheetName val="Apri 16th "/>
      <sheetName val="Apri 17th  "/>
      <sheetName val="Apri 18th "/>
      <sheetName val="Apri 19th"/>
      <sheetName val="Apri 20th &amp; 24th "/>
      <sheetName val="Apri 26th - 27th"/>
      <sheetName val="Apri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1">
          <cell r="L51">
            <v>98.125375133213936</v>
          </cell>
        </row>
      </sheetData>
      <sheetData sheetId="18"/>
      <sheetData sheetId="19"/>
      <sheetData sheetId="20"/>
      <sheetData sheetId="2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ne 1st"/>
      <sheetName val="June 6th"/>
      <sheetName val="June 12th"/>
      <sheetName val="June 13th "/>
      <sheetName val="June 14th "/>
      <sheetName val="June 15th"/>
      <sheetName val="June 16th"/>
      <sheetName val="June 19th"/>
      <sheetName val="June 20th"/>
      <sheetName val="June 21st"/>
      <sheetName val="June 22nd"/>
      <sheetName val="June 23rd"/>
      <sheetName val="June 26th"/>
      <sheetName val="June 27th "/>
      <sheetName val="June 28th "/>
      <sheetName val="June 29th  "/>
      <sheetName val="June 30th  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5">
          <cell r="L65">
            <v>98.889709416663237</v>
          </cell>
        </row>
        <row r="71">
          <cell r="L71">
            <v>7.3888888888888893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uly 3rd  "/>
      <sheetName val="July 5th"/>
      <sheetName val="July 6th"/>
      <sheetName val="July 7 &amp; 8th"/>
      <sheetName val="July 10th"/>
      <sheetName val="July 11th"/>
      <sheetName val="July 12th"/>
      <sheetName val="July 13th "/>
      <sheetName val="July 14th &amp; 15th  "/>
      <sheetName val="July 17th"/>
      <sheetName val="July 18th "/>
      <sheetName val="July 19th "/>
      <sheetName val="July 20th "/>
      <sheetName val="July 21st &amp;22nd"/>
      <sheetName val="July 24th"/>
      <sheetName val="July 25th"/>
      <sheetName val="July 26th "/>
      <sheetName val="July 27th"/>
      <sheetName val="July 28th "/>
      <sheetName val="Jul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02">
          <cell r="L102">
            <v>98.494349010083567</v>
          </cell>
        </row>
        <row r="108">
          <cell r="L108">
            <v>6.5909090909090908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g 1st"/>
      <sheetName val="Aug 2nd"/>
      <sheetName val="Aug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>
        <row r="118">
          <cell r="L118">
            <v>97.795315149035787</v>
          </cell>
        </row>
        <row r="124">
          <cell r="L124">
            <v>4.5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ct.2nd "/>
      <sheetName val="Oct.3rd"/>
      <sheetName val="Oct. 4th"/>
      <sheetName val="Oct. 5th "/>
      <sheetName val="Oct. 6th &amp;7th"/>
      <sheetName val="Oct. 9th"/>
      <sheetName val="Oct. 10th"/>
      <sheetName val="Oct. 11th"/>
      <sheetName val="Oct. 12th"/>
      <sheetName val="Oct. 13th &amp; 14th"/>
      <sheetName val="Oct. 16th"/>
      <sheetName val="Oct. 17th"/>
      <sheetName val="Oct. 18th"/>
      <sheetName val="Oct. 20th"/>
      <sheetName val="Oct. 23th"/>
      <sheetName val="Oct. 24th "/>
      <sheetName val="Oct. 26th  "/>
      <sheetName val="Oct. 27th &amp; 28th "/>
      <sheetName val="Oct.30th"/>
      <sheetName val="Oct.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97.702105534902586</v>
          </cell>
        </row>
        <row r="51">
          <cell r="L51">
            <v>5.291666666666667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18  (2)"/>
      <sheetName val="August_2023"/>
      <sheetName val="September_2023"/>
      <sheetName val="October_2023"/>
      <sheetName val="November_2023"/>
      <sheetName val="December_2023"/>
      <sheetName val="Average"/>
      <sheetName val="October_2022"/>
      <sheetName val="November_2022"/>
      <sheetName val="December_20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>
            <v>208.10000000000002</v>
          </cell>
        </row>
      </sheetData>
      <sheetData sheetId="9"/>
      <sheetData sheetId="10"/>
      <sheetData sheetId="11"/>
      <sheetData sheetId="12">
        <row r="3">
          <cell r="I3">
            <v>305.05</v>
          </cell>
        </row>
        <row r="13">
          <cell r="U13">
            <v>150.4</v>
          </cell>
        </row>
        <row r="17">
          <cell r="U17">
            <v>120.8</v>
          </cell>
        </row>
        <row r="21">
          <cell r="U21">
            <v>19.680851063829799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3"/>
      <sheetName val="February_2023"/>
      <sheetName val="March_2023"/>
      <sheetName val="April_2023"/>
      <sheetName val="May_2023"/>
      <sheetName val="June_2023"/>
      <sheetName val="July_2023"/>
      <sheetName val="August_2023"/>
      <sheetName val="August_2018 (2)"/>
      <sheetName val="September_2023"/>
      <sheetName val="October_2023"/>
      <sheetName val="November_2023"/>
      <sheetName val="December_2023"/>
      <sheetName val="October_2022"/>
      <sheetName val="November_2022"/>
      <sheetName val="December_202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3">
          <cell r="AN13">
            <v>0.67939571150097466</v>
          </cell>
        </row>
        <row r="25">
          <cell r="U25">
            <v>0.42385964912280699</v>
          </cell>
        </row>
      </sheetData>
      <sheetData sheetId="13"/>
      <sheetData sheetId="14"/>
      <sheetData sheetId="15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19"/>
      <sheetName val="February_2019"/>
      <sheetName val="March_2019"/>
      <sheetName val="April_2019"/>
      <sheetName val="May_2019"/>
      <sheetName val="June_2019"/>
      <sheetName val="July_2019"/>
      <sheetName val="August_2019"/>
      <sheetName val="August_2018 (2)"/>
      <sheetName val="September_2019"/>
      <sheetName val="October_2019"/>
      <sheetName val="November_2019"/>
      <sheetName val="December_2019"/>
    </sheetNames>
    <sheetDataSet>
      <sheetData sheetId="0" refreshError="1">
        <row r="7">
          <cell r="D7">
            <v>0</v>
          </cell>
        </row>
        <row r="8">
          <cell r="D8" t="e">
            <v>#DIV/0!</v>
          </cell>
          <cell r="E8">
            <v>1.0319298245614037</v>
          </cell>
          <cell r="F8">
            <v>1.7789473684210526</v>
          </cell>
          <cell r="G8">
            <v>0.51929824561403504</v>
          </cell>
          <cell r="H8" t="e">
            <v>#DIV/0!</v>
          </cell>
          <cell r="I8" t="e">
            <v>#DIV/0!</v>
          </cell>
          <cell r="J8">
            <v>1.365263157894737</v>
          </cell>
          <cell r="K8" t="e">
            <v>#DIV/0!</v>
          </cell>
          <cell r="L8">
            <v>1.0028070175438597</v>
          </cell>
          <cell r="M8">
            <v>1.7828070175438597</v>
          </cell>
          <cell r="N8" t="e">
            <v>#DIV/0!</v>
          </cell>
          <cell r="O8" t="e">
            <v>#DIV/0!</v>
          </cell>
          <cell r="P8">
            <v>0.19222222222222221</v>
          </cell>
          <cell r="Q8">
            <v>0.52219298245614032</v>
          </cell>
          <cell r="R8">
            <v>0.42912280701754385</v>
          </cell>
          <cell r="S8" t="e">
            <v>#DIV/0!</v>
          </cell>
          <cell r="T8">
            <v>1.0340350877192983</v>
          </cell>
          <cell r="U8">
            <v>0.98421052631578942</v>
          </cell>
          <cell r="V8" t="e">
            <v>#DIV/0!</v>
          </cell>
          <cell r="W8" t="e">
            <v>#DIV/0!</v>
          </cell>
          <cell r="X8">
            <v>0.66052631578947374</v>
          </cell>
          <cell r="Y8">
            <v>1.0375438596491227</v>
          </cell>
          <cell r="Z8">
            <v>0.90456140350877201</v>
          </cell>
          <cell r="AA8">
            <v>1.0217543859649123</v>
          </cell>
          <cell r="AB8">
            <v>0.65614035087719302</v>
          </cell>
          <cell r="AC8" t="e">
            <v>#DIV/0!</v>
          </cell>
          <cell r="AD8" t="e">
            <v>#DIV/0!</v>
          </cell>
          <cell r="AE8">
            <v>1.7021052631578948</v>
          </cell>
          <cell r="AF8">
            <v>0.60192982456140354</v>
          </cell>
          <cell r="AG8">
            <v>1.4870175438596491</v>
          </cell>
          <cell r="AH8" t="e">
            <v>#DIV/0!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uary_2022"/>
      <sheetName val="February_2022"/>
      <sheetName val="March_2022"/>
      <sheetName val="April_2022"/>
      <sheetName val="May_2022"/>
      <sheetName val="July_2022"/>
      <sheetName val="June_2022"/>
      <sheetName val="August_2018  (2)"/>
      <sheetName val="August_2022"/>
      <sheetName val="September_2022"/>
      <sheetName val="October_2022"/>
      <sheetName val="November_2022"/>
      <sheetName val="December_2022"/>
      <sheetName val="Average"/>
      <sheetName val="March_2021"/>
      <sheetName val="April_2021"/>
      <sheetName val="May_2021"/>
      <sheetName val="June_2021"/>
      <sheetName val="July_2021"/>
      <sheetName val="August_2021"/>
      <sheetName val="September_2021"/>
      <sheetName val="October_2021"/>
      <sheetName val="November_2021"/>
      <sheetName val="December_2021"/>
    </sheetNames>
    <sheetDataSet>
      <sheetData sheetId="0">
        <row r="7">
          <cell r="F7">
            <v>90.5</v>
          </cell>
        </row>
      </sheetData>
      <sheetData sheetId="1">
        <row r="3">
          <cell r="D3">
            <v>410.59999999999997</v>
          </cell>
        </row>
      </sheetData>
      <sheetData sheetId="2">
        <row r="7">
          <cell r="D7">
            <v>199.8</v>
          </cell>
        </row>
      </sheetData>
      <sheetData sheetId="3">
        <row r="7">
          <cell r="G7">
            <v>266.8</v>
          </cell>
        </row>
      </sheetData>
      <sheetData sheetId="4">
        <row r="7">
          <cell r="E7">
            <v>291.89999999999998</v>
          </cell>
        </row>
        <row r="43">
          <cell r="M43">
            <v>3.4878406700073312</v>
          </cell>
        </row>
      </sheetData>
      <sheetData sheetId="5">
        <row r="3">
          <cell r="G3">
            <v>319.81</v>
          </cell>
        </row>
      </sheetData>
      <sheetData sheetId="6">
        <row r="7">
          <cell r="D7">
            <v>190.7</v>
          </cell>
        </row>
      </sheetData>
      <sheetData sheetId="7"/>
      <sheetData sheetId="8">
        <row r="7">
          <cell r="E7">
            <v>293.3</v>
          </cell>
        </row>
      </sheetData>
      <sheetData sheetId="9">
        <row r="7">
          <cell r="E7">
            <v>374.7</v>
          </cell>
        </row>
      </sheetData>
      <sheetData sheetId="10">
        <row r="3">
          <cell r="G3">
            <v>207.23000000000002</v>
          </cell>
        </row>
      </sheetData>
      <sheetData sheetId="11">
        <row r="7">
          <cell r="E7">
            <v>572.10000000000014</v>
          </cell>
        </row>
      </sheetData>
      <sheetData sheetId="12">
        <row r="3">
          <cell r="D3">
            <v>315.21000000000004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May'25"/>
      <sheetName val="Summary April '25"/>
      <sheetName val="Summary March '25 "/>
      <sheetName val="Summary February '25 "/>
      <sheetName val="Summary January '25"/>
      <sheetName val="Summary December '24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02">
          <cell r="AU102">
            <v>92.721004414750013</v>
          </cell>
        </row>
        <row r="103">
          <cell r="AU103">
            <v>95.183546542203274</v>
          </cell>
        </row>
        <row r="104">
          <cell r="AU104">
            <v>95.186026119258216</v>
          </cell>
        </row>
        <row r="105">
          <cell r="AU105">
            <v>95.834588221072792</v>
          </cell>
        </row>
        <row r="106">
          <cell r="AU106">
            <v>95.701714072534301</v>
          </cell>
        </row>
        <row r="107">
          <cell r="AU107">
            <v>92.798968247797376</v>
          </cell>
        </row>
        <row r="108">
          <cell r="AU108">
            <v>95.637869985017701</v>
          </cell>
        </row>
        <row r="109">
          <cell r="AU109">
            <v>96.273574518798767</v>
          </cell>
        </row>
        <row r="110">
          <cell r="AU110">
            <v>94.86612185107694</v>
          </cell>
        </row>
        <row r="111">
          <cell r="AU111">
            <v>90.396256118959755</v>
          </cell>
        </row>
        <row r="112">
          <cell r="AU112">
            <v>96.811385381152121</v>
          </cell>
        </row>
        <row r="113">
          <cell r="AU113">
            <v>93.316641237557349</v>
          </cell>
        </row>
        <row r="114">
          <cell r="AU114">
            <v>97.63400510059688</v>
          </cell>
        </row>
        <row r="115">
          <cell r="AU115">
            <v>99.134858630299789</v>
          </cell>
        </row>
        <row r="116">
          <cell r="AU116">
            <v>92.554167304143249</v>
          </cell>
        </row>
        <row r="117">
          <cell r="AU117">
            <v>94.723161458360067</v>
          </cell>
        </row>
        <row r="118">
          <cell r="AU118">
            <v>94.836688212040571</v>
          </cell>
        </row>
        <row r="119">
          <cell r="AU119">
            <v>88.825216186637164</v>
          </cell>
        </row>
        <row r="120">
          <cell r="AU120">
            <v>93.256832532072352</v>
          </cell>
        </row>
        <row r="121">
          <cell r="AU121">
            <v>96.271194795735298</v>
          </cell>
        </row>
        <row r="122">
          <cell r="AU122">
            <v>90.611883285060202</v>
          </cell>
        </row>
        <row r="123">
          <cell r="AU123">
            <v>96.544443432374834</v>
          </cell>
        </row>
        <row r="124">
          <cell r="AU124">
            <v>94.232258322472063</v>
          </cell>
        </row>
        <row r="125">
          <cell r="AU125">
            <v>95.957942302884106</v>
          </cell>
        </row>
        <row r="126">
          <cell r="AU126">
            <v>95.337604364892485</v>
          </cell>
        </row>
        <row r="127">
          <cell r="AU127">
            <v>89.580178011311446</v>
          </cell>
        </row>
        <row r="128">
          <cell r="AU128">
            <v>90.548707098481913</v>
          </cell>
        </row>
        <row r="129">
          <cell r="AU129">
            <v>94.451373889375304</v>
          </cell>
        </row>
        <row r="130">
          <cell r="AU130">
            <v>92.379727168907181</v>
          </cell>
        </row>
        <row r="131">
          <cell r="AU131">
            <v>99.165328369665957</v>
          </cell>
        </row>
        <row r="132">
          <cell r="AU132">
            <v>93.744354514117632</v>
          </cell>
        </row>
        <row r="133">
          <cell r="AU133">
            <v>93.755953364927763</v>
          </cell>
        </row>
        <row r="134">
          <cell r="AU134">
            <v>94.510748705987353</v>
          </cell>
        </row>
        <row r="135">
          <cell r="AU135">
            <v>94.653823201385563</v>
          </cell>
        </row>
        <row r="136">
          <cell r="AU136">
            <v>94.703434335224557</v>
          </cell>
        </row>
        <row r="137">
          <cell r="AU137">
            <v>94.045467052799196</v>
          </cell>
        </row>
        <row r="138">
          <cell r="AU138">
            <v>95.023430747802905</v>
          </cell>
        </row>
        <row r="139">
          <cell r="AU139">
            <v>95.149931915355324</v>
          </cell>
        </row>
        <row r="140">
          <cell r="AU140">
            <v>92.54089949084161</v>
          </cell>
        </row>
        <row r="141">
          <cell r="AU141">
            <v>94.468287382263057</v>
          </cell>
        </row>
        <row r="142">
          <cell r="AU142">
            <v>90.693632481516147</v>
          </cell>
        </row>
        <row r="143">
          <cell r="AU143">
            <v>93.387729203040266</v>
          </cell>
        </row>
        <row r="144">
          <cell r="AU144">
            <v>92.301580285213745</v>
          </cell>
        </row>
        <row r="145">
          <cell r="AU145">
            <v>95.47146892959492</v>
          </cell>
        </row>
        <row r="146">
          <cell r="AU146">
            <v>95.327861606040415</v>
          </cell>
        </row>
        <row r="147">
          <cell r="AU147">
            <v>96.037505306647844</v>
          </cell>
        </row>
        <row r="148">
          <cell r="AU148">
            <v>90.435403081015338</v>
          </cell>
        </row>
        <row r="149">
          <cell r="AU149">
            <v>91.935604428876957</v>
          </cell>
        </row>
        <row r="150">
          <cell r="AU150">
            <v>90.096176580018806</v>
          </cell>
        </row>
        <row r="151">
          <cell r="AU151">
            <v>91.160984251356965</v>
          </cell>
        </row>
        <row r="152">
          <cell r="AU152">
            <v>97.110207612864656</v>
          </cell>
        </row>
        <row r="153">
          <cell r="AU153">
            <v>93.955688908867202</v>
          </cell>
        </row>
        <row r="154">
          <cell r="AU154">
            <v>93.201117045963912</v>
          </cell>
        </row>
        <row r="155">
          <cell r="AU155">
            <v>98.594401379338521</v>
          </cell>
        </row>
        <row r="156">
          <cell r="AU156">
            <v>92.001421037013401</v>
          </cell>
        </row>
        <row r="157">
          <cell r="AU157">
            <v>98.547841921632482</v>
          </cell>
        </row>
        <row r="158">
          <cell r="AU158">
            <v>95.30958953671977</v>
          </cell>
        </row>
        <row r="159">
          <cell r="AU159">
            <v>94.916368405240789</v>
          </cell>
        </row>
        <row r="160">
          <cell r="AU160">
            <v>94.672690305430109</v>
          </cell>
        </row>
        <row r="161">
          <cell r="AU161">
            <v>95.964139881158587</v>
          </cell>
        </row>
        <row r="162">
          <cell r="AU162">
            <v>96.907424929882168</v>
          </cell>
        </row>
        <row r="163">
          <cell r="AU163">
            <v>94.283239341838936</v>
          </cell>
        </row>
        <row r="164">
          <cell r="AU164">
            <v>89.622426366714592</v>
          </cell>
        </row>
        <row r="165">
          <cell r="AU165">
            <v>95.468836285735648</v>
          </cell>
        </row>
        <row r="166">
          <cell r="AU166">
            <v>95.468836285735648</v>
          </cell>
        </row>
        <row r="167">
          <cell r="AU167">
            <v>95.411155352297129</v>
          </cell>
        </row>
        <row r="168">
          <cell r="AU168">
            <v>97.574485486208175</v>
          </cell>
        </row>
        <row r="169">
          <cell r="AU169">
            <v>101.10646423110623</v>
          </cell>
        </row>
        <row r="170">
          <cell r="AU170">
            <v>98.374430517533199</v>
          </cell>
        </row>
        <row r="171">
          <cell r="AU171">
            <v>101.61477490794771</v>
          </cell>
        </row>
        <row r="173">
          <cell r="AU173">
            <v>91.322447267719596</v>
          </cell>
        </row>
        <row r="174">
          <cell r="AU174">
            <v>94.643337024811686</v>
          </cell>
        </row>
        <row r="175">
          <cell r="AU175">
            <v>90.625657788599028</v>
          </cell>
        </row>
        <row r="176">
          <cell r="AU176">
            <v>96.877995805558157</v>
          </cell>
        </row>
        <row r="177">
          <cell r="AU177">
            <v>92.135214898662127</v>
          </cell>
        </row>
        <row r="178">
          <cell r="AU178">
            <v>93.533472030969435</v>
          </cell>
        </row>
        <row r="179">
          <cell r="AU179">
            <v>94.139723416562532</v>
          </cell>
        </row>
        <row r="180">
          <cell r="AU180">
            <v>95.023430747802905</v>
          </cell>
        </row>
        <row r="181">
          <cell r="AU181">
            <v>88.206051282479294</v>
          </cell>
        </row>
        <row r="182">
          <cell r="AU182">
            <v>98.770467000417625</v>
          </cell>
        </row>
        <row r="183">
          <cell r="AU183">
            <v>92.689746877485774</v>
          </cell>
        </row>
        <row r="184">
          <cell r="AU184">
            <v>94.673754897931531</v>
          </cell>
        </row>
        <row r="185">
          <cell r="AU185">
            <v>98.858629653014077</v>
          </cell>
        </row>
        <row r="186">
          <cell r="AU186">
            <v>93.560901765557716</v>
          </cell>
        </row>
        <row r="187">
          <cell r="AU187">
            <v>94.294712759797378</v>
          </cell>
        </row>
        <row r="188">
          <cell r="AU188">
            <v>94.907296083516144</v>
          </cell>
        </row>
        <row r="189">
          <cell r="AU189">
            <v>98.512665561743688</v>
          </cell>
        </row>
        <row r="190">
          <cell r="AU190">
            <v>94.487755379468013</v>
          </cell>
        </row>
        <row r="191">
          <cell r="AU191">
            <v>95.057455440135968</v>
          </cell>
        </row>
        <row r="192">
          <cell r="AU192">
            <v>96.4155793854151</v>
          </cell>
        </row>
        <row r="193">
          <cell r="AU193">
            <v>93.674736941647851</v>
          </cell>
        </row>
        <row r="194">
          <cell r="AU194">
            <v>93.610787987459005</v>
          </cell>
        </row>
        <row r="195">
          <cell r="AU195">
            <v>99.406324820701613</v>
          </cell>
        </row>
        <row r="196">
          <cell r="AU196">
            <v>94.417924348057809</v>
          </cell>
        </row>
        <row r="197">
          <cell r="AU197">
            <v>98.829665455011778</v>
          </cell>
        </row>
        <row r="198">
          <cell r="AU198">
            <v>95.665215493250571</v>
          </cell>
        </row>
        <row r="199">
          <cell r="AU199">
            <v>95.72152488146294</v>
          </cell>
        </row>
        <row r="200">
          <cell r="AU200">
            <v>97.277748156420813</v>
          </cell>
        </row>
        <row r="201">
          <cell r="AU201">
            <v>95.45407223763587</v>
          </cell>
        </row>
        <row r="202">
          <cell r="AU202">
            <v>99.8213249704677</v>
          </cell>
        </row>
        <row r="203">
          <cell r="AU203">
            <v>97.307715934041752</v>
          </cell>
        </row>
        <row r="204">
          <cell r="AU204">
            <v>93.460879869520596</v>
          </cell>
        </row>
        <row r="205">
          <cell r="AU205">
            <v>95.737208896757963</v>
          </cell>
        </row>
        <row r="206">
          <cell r="AU206">
            <v>95.337604364892485</v>
          </cell>
        </row>
        <row r="207">
          <cell r="AU207">
            <v>95.008376934499935</v>
          </cell>
        </row>
        <row r="208">
          <cell r="AU208">
            <v>97.702216395203862</v>
          </cell>
        </row>
        <row r="209">
          <cell r="AU209">
            <v>96.725169759375845</v>
          </cell>
        </row>
        <row r="210">
          <cell r="AU210">
            <v>99.447332347643368</v>
          </cell>
        </row>
        <row r="211">
          <cell r="AU211">
            <v>99.011995036913419</v>
          </cell>
        </row>
        <row r="212">
          <cell r="AU212">
            <v>93.718965445074957</v>
          </cell>
        </row>
        <row r="213">
          <cell r="AU213">
            <v>95.16847300232179</v>
          </cell>
        </row>
        <row r="214">
          <cell r="AU214">
            <v>94.541944861235876</v>
          </cell>
        </row>
        <row r="215">
          <cell r="AU215">
            <v>98.338605562583197</v>
          </cell>
        </row>
        <row r="216">
          <cell r="AU216">
            <v>98.527718265588177</v>
          </cell>
        </row>
        <row r="217">
          <cell r="AU217">
            <v>96.039629364456829</v>
          </cell>
        </row>
        <row r="218">
          <cell r="AU218">
            <v>98.156085088814663</v>
          </cell>
        </row>
        <row r="219">
          <cell r="AU219">
            <v>100.09976994205851</v>
          </cell>
        </row>
        <row r="220">
          <cell r="AU220">
            <v>96.463639062115632</v>
          </cell>
        </row>
        <row r="221">
          <cell r="AU221">
            <v>95.879175892818452</v>
          </cell>
        </row>
        <row r="222">
          <cell r="AU222">
            <v>99.27872580517348</v>
          </cell>
        </row>
        <row r="223">
          <cell r="AU223">
            <v>94.977580053808055</v>
          </cell>
        </row>
        <row r="224">
          <cell r="AU224">
            <v>95.149931915355324</v>
          </cell>
        </row>
        <row r="225">
          <cell r="AU225">
            <v>99.623016105347048</v>
          </cell>
        </row>
        <row r="226">
          <cell r="AU226">
            <v>101.83502113105483</v>
          </cell>
        </row>
        <row r="227">
          <cell r="AU227">
            <v>103.48472802945992</v>
          </cell>
        </row>
        <row r="228">
          <cell r="AU228">
            <v>98.072332728747526</v>
          </cell>
        </row>
        <row r="229">
          <cell r="AU229">
            <v>94.067699935148468</v>
          </cell>
        </row>
        <row r="230">
          <cell r="AU230">
            <v>96.685102054151599</v>
          </cell>
        </row>
        <row r="231">
          <cell r="AU231">
            <v>99.351193785447862</v>
          </cell>
        </row>
        <row r="232">
          <cell r="AU232">
            <v>99.514424291923262</v>
          </cell>
        </row>
        <row r="233">
          <cell r="AU233">
            <v>93.800836048721479</v>
          </cell>
        </row>
        <row r="234">
          <cell r="AU234">
            <v>92.003521130299475</v>
          </cell>
        </row>
        <row r="235">
          <cell r="AU235">
            <v>94.351751735386642</v>
          </cell>
        </row>
        <row r="236">
          <cell r="AU236">
            <v>91.887467769179437</v>
          </cell>
        </row>
        <row r="237">
          <cell r="AU237">
            <v>94.651122076969358</v>
          </cell>
        </row>
        <row r="238">
          <cell r="AU238">
            <v>94.196420875147751</v>
          </cell>
        </row>
        <row r="239">
          <cell r="AU239">
            <v>94.983564269611392</v>
          </cell>
        </row>
        <row r="240">
          <cell r="AU240">
            <v>95.614884373859567</v>
          </cell>
        </row>
        <row r="241">
          <cell r="AU241">
            <v>92.238813509883116</v>
          </cell>
        </row>
        <row r="242">
          <cell r="AU242">
            <v>98.233595160056836</v>
          </cell>
        </row>
        <row r="243">
          <cell r="AU243">
            <v>97.914776616343687</v>
          </cell>
        </row>
        <row r="244">
          <cell r="AU244">
            <v>102.78475439772893</v>
          </cell>
        </row>
        <row r="245">
          <cell r="AU245">
            <v>98.608987287762162</v>
          </cell>
        </row>
        <row r="246">
          <cell r="AU246">
            <v>99.968040047087285</v>
          </cell>
        </row>
        <row r="247">
          <cell r="AU247">
            <v>100.63117662235325</v>
          </cell>
        </row>
        <row r="248">
          <cell r="AU248">
            <v>102.40288760061762</v>
          </cell>
        </row>
        <row r="249">
          <cell r="AU249">
            <v>98.753578648455701</v>
          </cell>
        </row>
        <row r="250">
          <cell r="AU250">
            <v>98.30806761549934</v>
          </cell>
        </row>
        <row r="251">
          <cell r="AU251">
            <v>100.19018778186395</v>
          </cell>
        </row>
        <row r="252">
          <cell r="AU252">
            <v>98.900119917031091</v>
          </cell>
        </row>
        <row r="253">
          <cell r="AU253">
            <v>104.59013374354345</v>
          </cell>
        </row>
        <row r="255">
          <cell r="AU255">
            <v>102.72900962852634</v>
          </cell>
        </row>
        <row r="256">
          <cell r="AU256">
            <v>97.709347146924856</v>
          </cell>
        </row>
        <row r="257">
          <cell r="AU257">
            <v>97.039020012695659</v>
          </cell>
        </row>
        <row r="258">
          <cell r="AU258">
            <v>100.56008067857034</v>
          </cell>
        </row>
        <row r="259">
          <cell r="AU259">
            <v>100.13520638196576</v>
          </cell>
        </row>
        <row r="260">
          <cell r="AU260">
            <v>99.006072770899991</v>
          </cell>
        </row>
        <row r="261">
          <cell r="AU261">
            <v>99.476489650339886</v>
          </cell>
        </row>
        <row r="262">
          <cell r="AU262">
            <v>103.44040315564746</v>
          </cell>
        </row>
        <row r="263">
          <cell r="AU263">
            <v>103.55524050594897</v>
          </cell>
        </row>
        <row r="264">
          <cell r="AU264">
            <v>103.31964719473716</v>
          </cell>
        </row>
        <row r="265">
          <cell r="AU265">
            <v>95.931616007214288</v>
          </cell>
        </row>
        <row r="266">
          <cell r="AU266">
            <v>106.48989247788745</v>
          </cell>
        </row>
        <row r="267">
          <cell r="AU267">
            <v>102.73439130971231</v>
          </cell>
        </row>
        <row r="268">
          <cell r="AU268">
            <v>101.93738806144394</v>
          </cell>
        </row>
        <row r="269">
          <cell r="AU269">
            <v>94.916087726339811</v>
          </cell>
        </row>
        <row r="270">
          <cell r="AU270">
            <v>96.181647145113629</v>
          </cell>
        </row>
        <row r="271">
          <cell r="AU271">
            <v>97.888884805156863</v>
          </cell>
        </row>
        <row r="272">
          <cell r="AU272">
            <v>96.606945507027518</v>
          </cell>
        </row>
        <row r="273">
          <cell r="AU273">
            <v>100.84824136478873</v>
          </cell>
        </row>
        <row r="274">
          <cell r="AU274">
            <v>96.736277075978393</v>
          </cell>
        </row>
        <row r="275">
          <cell r="AU275">
            <v>99.866724046583627</v>
          </cell>
        </row>
        <row r="276">
          <cell r="AU276">
            <v>97.312963605074586</v>
          </cell>
        </row>
        <row r="277">
          <cell r="AU277">
            <v>97.751802809548707</v>
          </cell>
        </row>
        <row r="278">
          <cell r="AU278">
            <v>108.34535319131975</v>
          </cell>
        </row>
        <row r="279">
          <cell r="AU279">
            <v>97.455960743822175</v>
          </cell>
        </row>
        <row r="280">
          <cell r="AU280">
            <v>96.084434808486492</v>
          </cell>
        </row>
        <row r="281">
          <cell r="AU281">
            <v>98.233712305667396</v>
          </cell>
        </row>
        <row r="282">
          <cell r="AU282">
            <v>98.24308419119933</v>
          </cell>
        </row>
        <row r="283">
          <cell r="AU283">
            <v>98.332506588615331</v>
          </cell>
        </row>
        <row r="284">
          <cell r="AU284">
            <v>92.662463281061918</v>
          </cell>
        </row>
        <row r="285">
          <cell r="AU285">
            <v>97.346014307803912</v>
          </cell>
        </row>
        <row r="286">
          <cell r="AU286">
            <v>98.678864505842682</v>
          </cell>
        </row>
        <row r="287">
          <cell r="AU287">
            <v>91.779024513115218</v>
          </cell>
        </row>
        <row r="288">
          <cell r="AU288">
            <v>93.197398193182465</v>
          </cell>
        </row>
        <row r="289">
          <cell r="AU289">
            <v>89.6398714567338</v>
          </cell>
        </row>
        <row r="290">
          <cell r="AU290">
            <v>100.14422471363589</v>
          </cell>
        </row>
        <row r="291">
          <cell r="AU291">
            <v>96.721958172382543</v>
          </cell>
        </row>
        <row r="292">
          <cell r="AU292">
            <v>99.66467104367139</v>
          </cell>
        </row>
        <row r="293">
          <cell r="AU293">
            <v>101.46018254984246</v>
          </cell>
        </row>
        <row r="294">
          <cell r="AU294">
            <v>102.67780014140652</v>
          </cell>
        </row>
        <row r="295">
          <cell r="AU295">
            <v>101.8514455792621</v>
          </cell>
        </row>
        <row r="296">
          <cell r="AU296">
            <v>100.31098207591012</v>
          </cell>
        </row>
        <row r="297">
          <cell r="AU297">
            <v>102.74010817185233</v>
          </cell>
        </row>
        <row r="298">
          <cell r="AU298">
            <v>98.313519336144523</v>
          </cell>
        </row>
        <row r="299">
          <cell r="AU299">
            <v>96.991620603991933</v>
          </cell>
        </row>
        <row r="300">
          <cell r="AU300">
            <v>98.291339046896496</v>
          </cell>
        </row>
        <row r="301">
          <cell r="AU301">
            <v>98.955013733627396</v>
          </cell>
        </row>
        <row r="302">
          <cell r="AU302">
            <v>99.112393932911999</v>
          </cell>
        </row>
        <row r="303">
          <cell r="AU303">
            <v>98.049377375814046</v>
          </cell>
        </row>
        <row r="304">
          <cell r="AU304">
            <v>97.140907627227477</v>
          </cell>
        </row>
        <row r="305">
          <cell r="AU305">
            <v>97.108675302847075</v>
          </cell>
        </row>
        <row r="306">
          <cell r="AU306">
            <v>99.955896952490676</v>
          </cell>
        </row>
        <row r="307">
          <cell r="AU307">
            <v>96.285477000540993</v>
          </cell>
        </row>
        <row r="308">
          <cell r="AU308">
            <v>95.136209191041715</v>
          </cell>
        </row>
        <row r="309">
          <cell r="AU309">
            <v>104.12720344993677</v>
          </cell>
        </row>
        <row r="310">
          <cell r="AU310">
            <v>99.544031672518045</v>
          </cell>
        </row>
        <row r="311">
          <cell r="AU311">
            <v>97.107689466916568</v>
          </cell>
        </row>
        <row r="312">
          <cell r="AU312">
            <v>95.640781997288045</v>
          </cell>
        </row>
        <row r="313">
          <cell r="AU313">
            <v>98.925414914366613</v>
          </cell>
        </row>
        <row r="314">
          <cell r="AU314">
            <v>100.41166904509818</v>
          </cell>
        </row>
        <row r="315">
          <cell r="AU315">
            <v>100.10153958094506</v>
          </cell>
        </row>
        <row r="316">
          <cell r="AU316">
            <v>102.1345698780635</v>
          </cell>
        </row>
        <row r="317">
          <cell r="AU317">
            <v>102.61615796495992</v>
          </cell>
        </row>
        <row r="318">
          <cell r="AU318">
            <v>103.66246391386404</v>
          </cell>
        </row>
        <row r="319">
          <cell r="AU319">
            <v>106.95998042120141</v>
          </cell>
        </row>
        <row r="320">
          <cell r="AU320">
            <v>94.2893537985222</v>
          </cell>
        </row>
        <row r="321">
          <cell r="AU321">
            <v>98.710610505273081</v>
          </cell>
        </row>
        <row r="322">
          <cell r="AU322">
            <v>96.128929587864761</v>
          </cell>
        </row>
        <row r="323">
          <cell r="AU323">
            <v>97.94439772053714</v>
          </cell>
        </row>
        <row r="324">
          <cell r="AU324">
            <v>97.705041554039269</v>
          </cell>
        </row>
        <row r="325">
          <cell r="AU325">
            <v>97.542503945319154</v>
          </cell>
        </row>
        <row r="326">
          <cell r="AU326">
            <v>97.820735625935143</v>
          </cell>
        </row>
        <row r="327">
          <cell r="AU327">
            <v>98.296844040938197</v>
          </cell>
        </row>
        <row r="328">
          <cell r="AU328">
            <v>97.046163433641169</v>
          </cell>
        </row>
        <row r="329">
          <cell r="AU329">
            <v>98.107009642147446</v>
          </cell>
        </row>
        <row r="330">
          <cell r="AU330">
            <v>97.822477372642041</v>
          </cell>
        </row>
        <row r="331">
          <cell r="AU331">
            <v>96.841006194248607</v>
          </cell>
        </row>
        <row r="332">
          <cell r="AU332">
            <v>94.353846621380328</v>
          </cell>
        </row>
        <row r="333">
          <cell r="AU333">
            <v>99.52869748499829</v>
          </cell>
        </row>
        <row r="334">
          <cell r="AU334">
            <v>98.285972690602023</v>
          </cell>
        </row>
        <row r="335">
          <cell r="AU335">
            <v>101.59569981419895</v>
          </cell>
        </row>
        <row r="336">
          <cell r="AU336">
            <v>100.35668628710914</v>
          </cell>
        </row>
        <row r="337">
          <cell r="AU337">
            <v>100.31331285198578</v>
          </cell>
        </row>
        <row r="338">
          <cell r="AU338">
            <v>99.745226951365936</v>
          </cell>
        </row>
        <row r="339">
          <cell r="AU339">
            <v>98.609928325637725</v>
          </cell>
        </row>
        <row r="341">
          <cell r="AU341">
            <v>95.054951532926523</v>
          </cell>
        </row>
        <row r="342">
          <cell r="AU342">
            <v>98.197263980295986</v>
          </cell>
        </row>
        <row r="343">
          <cell r="AU343">
            <v>97.89069649116648</v>
          </cell>
        </row>
        <row r="344">
          <cell r="AU344">
            <v>97.267564374285826</v>
          </cell>
        </row>
        <row r="345">
          <cell r="AU345">
            <v>100.78902433175921</v>
          </cell>
        </row>
        <row r="346">
          <cell r="AU346">
            <v>97.092129616887718</v>
          </cell>
        </row>
        <row r="348">
          <cell r="AU348">
            <v>96.346070116552426</v>
          </cell>
        </row>
        <row r="349">
          <cell r="AU349">
            <v>95.167732750673323</v>
          </cell>
        </row>
        <row r="350">
          <cell r="AU350">
            <v>99.535417664292453</v>
          </cell>
        </row>
        <row r="351">
          <cell r="AU351">
            <v>98.272039728735081</v>
          </cell>
        </row>
        <row r="352">
          <cell r="AU352">
            <v>97.452426605983504</v>
          </cell>
        </row>
        <row r="353">
          <cell r="AU353">
            <v>99.224854122831672</v>
          </cell>
        </row>
        <row r="354">
          <cell r="AU354">
            <v>99.637549112347273</v>
          </cell>
        </row>
        <row r="355">
          <cell r="AU355">
            <v>98.440467924232209</v>
          </cell>
        </row>
        <row r="356">
          <cell r="AU356">
            <v>99.13510971387187</v>
          </cell>
        </row>
        <row r="357">
          <cell r="AU357">
            <v>95.843374606839177</v>
          </cell>
        </row>
        <row r="358">
          <cell r="AU358">
            <v>100.8345162679376</v>
          </cell>
        </row>
        <row r="359">
          <cell r="AU359">
            <v>99.271537216316347</v>
          </cell>
        </row>
        <row r="360">
          <cell r="AU360">
            <v>98.251005719348782</v>
          </cell>
        </row>
        <row r="361">
          <cell r="AU361">
            <v>98.519246414669013</v>
          </cell>
        </row>
        <row r="362">
          <cell r="AU362">
            <v>99.544031672518045</v>
          </cell>
        </row>
        <row r="363">
          <cell r="AU363">
            <v>96.768319863223013</v>
          </cell>
        </row>
        <row r="364">
          <cell r="AU364">
            <v>99.07258993276939</v>
          </cell>
        </row>
        <row r="365">
          <cell r="AU365">
            <v>99.857323318375492</v>
          </cell>
        </row>
        <row r="366">
          <cell r="AU366">
            <v>98.374607891386887</v>
          </cell>
        </row>
        <row r="367">
          <cell r="AU367">
            <v>99.488368097360109</v>
          </cell>
        </row>
        <row r="368">
          <cell r="AU368">
            <v>98.731758097232401</v>
          </cell>
        </row>
        <row r="369">
          <cell r="AU369">
            <v>100.21736158844494</v>
          </cell>
        </row>
        <row r="370">
          <cell r="AU370">
            <v>103.18823199126446</v>
          </cell>
        </row>
        <row r="371">
          <cell r="AU371">
            <v>100.97805319324719</v>
          </cell>
        </row>
        <row r="372">
          <cell r="AU372">
            <v>99.240317373165226</v>
          </cell>
        </row>
        <row r="373">
          <cell r="AU373">
            <v>100.01930356159028</v>
          </cell>
        </row>
        <row r="374">
          <cell r="AU374">
            <v>99.117134605566818</v>
          </cell>
        </row>
        <row r="375">
          <cell r="AU375">
            <v>98.53409263729877</v>
          </cell>
        </row>
        <row r="376">
          <cell r="AU376">
            <v>98.267373085193</v>
          </cell>
        </row>
        <row r="377">
          <cell r="AU377">
            <v>99.400995056811297</v>
          </cell>
        </row>
        <row r="378">
          <cell r="AU378">
            <v>98.240672157315458</v>
          </cell>
        </row>
        <row r="379">
          <cell r="AU379">
            <v>100.08308943032193</v>
          </cell>
        </row>
        <row r="380">
          <cell r="AU380">
            <v>99.429215913383217</v>
          </cell>
        </row>
        <row r="381">
          <cell r="AU381">
            <v>99.082241304611145</v>
          </cell>
        </row>
        <row r="382">
          <cell r="AU382">
            <v>98.955478462844866</v>
          </cell>
        </row>
        <row r="383">
          <cell r="AU383">
            <v>103.64536563023121</v>
          </cell>
        </row>
        <row r="384">
          <cell r="AU384">
            <v>99.556372614317851</v>
          </cell>
        </row>
        <row r="385">
          <cell r="AU385">
            <v>100.23457211367787</v>
          </cell>
        </row>
        <row r="386">
          <cell r="AU386">
            <v>99.664904263017561</v>
          </cell>
        </row>
        <row r="387">
          <cell r="AU387">
            <v>110.18976831746323</v>
          </cell>
        </row>
        <row r="388">
          <cell r="AU388">
            <v>103.07975259792097</v>
          </cell>
        </row>
        <row r="389">
          <cell r="AU389">
            <v>104.26734312107473</v>
          </cell>
        </row>
        <row r="390">
          <cell r="AU390">
            <v>98.579471202485308</v>
          </cell>
        </row>
        <row r="391">
          <cell r="AU391">
            <v>95.963693495592068</v>
          </cell>
        </row>
        <row r="392">
          <cell r="AU392">
            <v>99.238971902138758</v>
          </cell>
        </row>
        <row r="393">
          <cell r="AU393">
            <v>99.040551339905747</v>
          </cell>
        </row>
        <row r="394">
          <cell r="AU394">
            <v>98.963144227374542</v>
          </cell>
        </row>
        <row r="395">
          <cell r="AU395">
            <v>99.471522456377443</v>
          </cell>
        </row>
        <row r="396">
          <cell r="AU396">
            <v>110.11836123964689</v>
          </cell>
        </row>
        <row r="397">
          <cell r="AU397">
            <v>100.93888664190121</v>
          </cell>
        </row>
        <row r="398">
          <cell r="AU398">
            <v>102.6092819559459</v>
          </cell>
        </row>
        <row r="399">
          <cell r="AU399">
            <v>103.4487635068831</v>
          </cell>
        </row>
        <row r="400">
          <cell r="AU400">
            <v>103.49216064482762</v>
          </cell>
        </row>
        <row r="401">
          <cell r="AU401">
            <v>95.297118868006976</v>
          </cell>
        </row>
        <row r="402">
          <cell r="AU402">
            <v>97.971265135622474</v>
          </cell>
        </row>
        <row r="403">
          <cell r="AU403">
            <v>101.35082928790086</v>
          </cell>
        </row>
        <row r="404">
          <cell r="AU404">
            <v>98.32516426656413</v>
          </cell>
        </row>
        <row r="405">
          <cell r="AU405">
            <v>96.338703059118458</v>
          </cell>
        </row>
        <row r="406">
          <cell r="AU406">
            <v>103.61202517173329</v>
          </cell>
        </row>
        <row r="408">
          <cell r="A408" t="str">
            <v>CA303</v>
          </cell>
          <cell r="P408">
            <v>56</v>
          </cell>
          <cell r="Q408">
            <v>8.2499999999999947</v>
          </cell>
          <cell r="T408">
            <v>0.55902777777777779</v>
          </cell>
          <cell r="U408">
            <v>0.67083333333333328</v>
          </cell>
          <cell r="V408">
            <v>63</v>
          </cell>
          <cell r="Z408">
            <v>0.25069444444444439</v>
          </cell>
          <cell r="AF408">
            <v>54.3</v>
          </cell>
          <cell r="AG408">
            <v>11.7</v>
          </cell>
          <cell r="AI408">
            <v>50.2</v>
          </cell>
          <cell r="AU408">
            <v>95.631382328480186</v>
          </cell>
          <cell r="AV408">
            <v>97.269006286449923</v>
          </cell>
          <cell r="AX408" t="str">
            <v>R. Sookram</v>
          </cell>
        </row>
        <row r="409">
          <cell r="A409" t="str">
            <v>CA304</v>
          </cell>
          <cell r="P409">
            <v>57</v>
          </cell>
          <cell r="Q409">
            <v>5.9074733096085419</v>
          </cell>
          <cell r="T409">
            <v>0.64583333333333337</v>
          </cell>
          <cell r="U409">
            <v>0.74513888888888891</v>
          </cell>
          <cell r="V409">
            <v>58</v>
          </cell>
          <cell r="Z409">
            <v>0.2416666666666667</v>
          </cell>
          <cell r="AF409">
            <v>54.9</v>
          </cell>
          <cell r="AG409">
            <v>11.9</v>
          </cell>
          <cell r="AI409">
            <v>51.3</v>
          </cell>
          <cell r="AU409">
            <v>99.607341973685323</v>
          </cell>
          <cell r="AV409">
            <v>101.31286537176972</v>
          </cell>
          <cell r="AX409" t="str">
            <v>R. Sookram</v>
          </cell>
        </row>
        <row r="410">
          <cell r="A410" t="str">
            <v>CA305</v>
          </cell>
          <cell r="P410">
            <v>57</v>
          </cell>
          <cell r="Q410">
            <v>5.581395348837205</v>
          </cell>
          <cell r="T410">
            <v>0.74305555555555558</v>
          </cell>
          <cell r="U410">
            <v>0.84513888888888888</v>
          </cell>
          <cell r="V410">
            <v>57</v>
          </cell>
          <cell r="Z410">
            <v>0.2583333333333333</v>
          </cell>
          <cell r="AF410">
            <v>53.5</v>
          </cell>
          <cell r="AG410">
            <v>11.9</v>
          </cell>
          <cell r="AI410">
            <v>49.8</v>
          </cell>
          <cell r="AU410">
            <v>96.93353609459146</v>
          </cell>
          <cell r="AV410">
            <v>98.592913538093612</v>
          </cell>
          <cell r="AX410" t="str">
            <v>R. Sookram</v>
          </cell>
        </row>
        <row r="411">
          <cell r="A411" t="str">
            <v>CA306</v>
          </cell>
          <cell r="P411">
            <v>58</v>
          </cell>
          <cell r="Q411">
            <v>6.3732394366197136</v>
          </cell>
          <cell r="T411">
            <v>0.83888888888888891</v>
          </cell>
          <cell r="U411">
            <v>0.94097222222222221</v>
          </cell>
          <cell r="V411">
            <v>53</v>
          </cell>
          <cell r="Z411">
            <v>0.26388888888888884</v>
          </cell>
          <cell r="AF411">
            <v>53.9</v>
          </cell>
          <cell r="AG411">
            <v>11.8</v>
          </cell>
          <cell r="AI411">
            <v>50.3</v>
          </cell>
          <cell r="AU411">
            <v>93.91214847753632</v>
          </cell>
          <cell r="AV411">
            <v>95.524420019819999</v>
          </cell>
          <cell r="AX411" t="str">
            <v>D. Gomez</v>
          </cell>
        </row>
        <row r="412">
          <cell r="A412" t="str">
            <v>CA307</v>
          </cell>
          <cell r="P412">
            <v>60</v>
          </cell>
          <cell r="Q412">
            <v>5.3546099290780074</v>
          </cell>
          <cell r="T412">
            <v>0.92986111111111114</v>
          </cell>
          <cell r="U412">
            <v>1.0423611111111111</v>
          </cell>
          <cell r="V412">
            <v>64</v>
          </cell>
          <cell r="Z412">
            <v>0.26736111111111105</v>
          </cell>
          <cell r="AF412">
            <v>55</v>
          </cell>
          <cell r="AG412">
            <v>11.9</v>
          </cell>
          <cell r="AI412">
            <v>51.6</v>
          </cell>
          <cell r="AU412">
            <v>100.64036643332561</v>
          </cell>
          <cell r="AV412">
            <v>102.43750556340798</v>
          </cell>
          <cell r="AX412" t="str">
            <v>D. Gomez</v>
          </cell>
        </row>
        <row r="413">
          <cell r="A413" t="str">
            <v>CA308</v>
          </cell>
          <cell r="P413">
            <v>62</v>
          </cell>
          <cell r="Q413">
            <v>5.5614973262032041</v>
          </cell>
          <cell r="T413">
            <v>1.0201388888888889</v>
          </cell>
          <cell r="U413">
            <v>1.1291666666666667</v>
          </cell>
          <cell r="V413">
            <v>64</v>
          </cell>
          <cell r="Z413">
            <v>0.25763888888888886</v>
          </cell>
          <cell r="AF413">
            <v>54.1</v>
          </cell>
          <cell r="AG413">
            <v>12</v>
          </cell>
          <cell r="AI413">
            <v>51.2</v>
          </cell>
          <cell r="AU413">
            <v>100.74250758539831</v>
          </cell>
          <cell r="AV413">
            <v>102.54147065420118</v>
          </cell>
          <cell r="AX413" t="str">
            <v>D. Gomez</v>
          </cell>
        </row>
        <row r="414">
          <cell r="A414" t="str">
            <v>CA309</v>
          </cell>
          <cell r="P414">
            <v>58</v>
          </cell>
          <cell r="Q414">
            <v>5.9180035650623886</v>
          </cell>
          <cell r="T414">
            <v>1.1256944444444446</v>
          </cell>
          <cell r="U414">
            <v>1.2319444444444445</v>
          </cell>
          <cell r="V414">
            <v>62</v>
          </cell>
          <cell r="Z414">
            <v>0.2597222222222223</v>
          </cell>
          <cell r="AF414">
            <v>54.8</v>
          </cell>
          <cell r="AG414">
            <v>11.8</v>
          </cell>
          <cell r="AI414">
            <v>51.3</v>
          </cell>
          <cell r="AU414">
            <v>98.561750329588534</v>
          </cell>
          <cell r="AV414">
            <v>100.32224854804825</v>
          </cell>
          <cell r="AX414" t="str">
            <v>D. Gomez</v>
          </cell>
        </row>
        <row r="415">
          <cell r="A415" t="str">
            <v>CA310</v>
          </cell>
          <cell r="P415">
            <v>60</v>
          </cell>
          <cell r="Q415">
            <v>1.5213358070500933</v>
          </cell>
          <cell r="T415">
            <v>0.21666666666666667</v>
          </cell>
          <cell r="U415">
            <v>0.32430555555555557</v>
          </cell>
          <cell r="V415">
            <v>64</v>
          </cell>
          <cell r="Z415">
            <v>0.24444444444444446</v>
          </cell>
          <cell r="AF415">
            <v>53.8</v>
          </cell>
          <cell r="AG415">
            <v>11.7</v>
          </cell>
          <cell r="AI415">
            <v>50.7</v>
          </cell>
          <cell r="AU415">
            <v>97.017660095904347</v>
          </cell>
          <cell r="AV415">
            <v>98.750202784295752</v>
          </cell>
          <cell r="AX415" t="str">
            <v>G. Mason</v>
          </cell>
        </row>
        <row r="416">
          <cell r="A416" t="str">
            <v>CA311</v>
          </cell>
          <cell r="P416">
            <v>57</v>
          </cell>
          <cell r="Q416">
            <v>6.46428571428571</v>
          </cell>
          <cell r="T416">
            <v>0.38263888888888886</v>
          </cell>
          <cell r="U416">
            <v>0.4861111111111111</v>
          </cell>
          <cell r="V416">
            <v>58</v>
          </cell>
          <cell r="Z416">
            <v>0.2361111111111111</v>
          </cell>
          <cell r="AF416">
            <v>53.9</v>
          </cell>
          <cell r="AG416">
            <v>11.9</v>
          </cell>
          <cell r="AI416">
            <v>49.9</v>
          </cell>
          <cell r="AU416">
            <v>96.889012952960968</v>
          </cell>
          <cell r="AV416">
            <v>98.547991852852036</v>
          </cell>
          <cell r="AX416" t="str">
            <v>G. Mason</v>
          </cell>
        </row>
        <row r="417">
          <cell r="A417" t="str">
            <v>CA312</v>
          </cell>
          <cell r="P417">
            <v>57</v>
          </cell>
          <cell r="Q417">
            <v>5.0357142857142865</v>
          </cell>
          <cell r="T417">
            <v>0.46736111111111112</v>
          </cell>
          <cell r="U417">
            <v>0.57361111111111107</v>
          </cell>
          <cell r="V417">
            <v>66</v>
          </cell>
          <cell r="Z417">
            <v>0.24027777777777776</v>
          </cell>
          <cell r="AF417">
            <v>54.3</v>
          </cell>
          <cell r="AG417">
            <v>12</v>
          </cell>
          <cell r="AI417">
            <v>50.8</v>
          </cell>
          <cell r="AU417">
            <v>99.141806688132675</v>
          </cell>
          <cell r="AV417">
            <v>100.83991369106779</v>
          </cell>
          <cell r="AX417" t="str">
            <v>G. Mason</v>
          </cell>
        </row>
        <row r="418">
          <cell r="A418" t="str">
            <v>CA313</v>
          </cell>
          <cell r="P418">
            <v>57</v>
          </cell>
          <cell r="Q418">
            <v>-1.2977099236641216</v>
          </cell>
          <cell r="T418">
            <v>0.55694444444444446</v>
          </cell>
          <cell r="U418">
            <v>0.66805555555555551</v>
          </cell>
          <cell r="V418">
            <v>61</v>
          </cell>
          <cell r="Z418">
            <v>0.25138888888888883</v>
          </cell>
          <cell r="AF418">
            <v>54.7</v>
          </cell>
          <cell r="AG418">
            <v>11.6</v>
          </cell>
          <cell r="AI418">
            <v>51.5</v>
          </cell>
          <cell r="AU418">
            <v>97.782920706629895</v>
          </cell>
          <cell r="AV418">
            <v>99.529034311771113</v>
          </cell>
          <cell r="AX418" t="str">
            <v>G. Mason</v>
          </cell>
        </row>
        <row r="419">
          <cell r="A419" t="str">
            <v>CA314</v>
          </cell>
          <cell r="P419">
            <v>57</v>
          </cell>
          <cell r="Q419">
            <v>6.0530973451327466</v>
          </cell>
          <cell r="T419">
            <v>0.64722222222222225</v>
          </cell>
          <cell r="U419">
            <v>0.75416666666666665</v>
          </cell>
          <cell r="V419">
            <v>64</v>
          </cell>
          <cell r="Z419">
            <v>0.24375000000000002</v>
          </cell>
          <cell r="AF419">
            <v>54.2</v>
          </cell>
          <cell r="AG419">
            <v>11.9</v>
          </cell>
          <cell r="AI419">
            <v>50.8</v>
          </cell>
          <cell r="AU419">
            <v>99.202738493744974</v>
          </cell>
          <cell r="AV419">
            <v>100.97410910552793</v>
          </cell>
          <cell r="AX419" t="str">
            <v>K.Benjamin</v>
          </cell>
        </row>
        <row r="420">
          <cell r="A420" t="str">
            <v>CA315</v>
          </cell>
          <cell r="P420">
            <v>58</v>
          </cell>
          <cell r="Q420">
            <v>4.822695035460991</v>
          </cell>
          <cell r="T420">
            <v>0.73402777777777772</v>
          </cell>
          <cell r="U420">
            <v>0.83680555555555558</v>
          </cell>
          <cell r="V420">
            <v>54</v>
          </cell>
          <cell r="Z420">
            <v>0.24305555555555558</v>
          </cell>
          <cell r="AF420">
            <v>55.3</v>
          </cell>
          <cell r="AG420">
            <v>11.7</v>
          </cell>
          <cell r="AI420">
            <v>52</v>
          </cell>
          <cell r="AU420">
            <v>98.938732278713488</v>
          </cell>
          <cell r="AV420">
            <v>100.63317693616453</v>
          </cell>
          <cell r="AX420" t="str">
            <v>K.Benjamin</v>
          </cell>
        </row>
        <row r="421">
          <cell r="A421" t="str">
            <v>CA316</v>
          </cell>
          <cell r="P421">
            <v>59</v>
          </cell>
          <cell r="Q421">
            <v>4.822695035460991</v>
          </cell>
          <cell r="T421">
            <v>0.8208333333333333</v>
          </cell>
          <cell r="U421">
            <v>0.9243055555555556</v>
          </cell>
          <cell r="V421">
            <v>60</v>
          </cell>
          <cell r="Z421">
            <v>0.24375000000000002</v>
          </cell>
          <cell r="AF421">
            <v>54.4</v>
          </cell>
          <cell r="AG421">
            <v>11.8</v>
          </cell>
          <cell r="AI421">
            <v>51.2</v>
          </cell>
          <cell r="AU421">
            <v>95.251170553166219</v>
          </cell>
          <cell r="AV421">
            <v>96.886931946904099</v>
          </cell>
          <cell r="AX421" t="str">
            <v>K.Benjamin</v>
          </cell>
        </row>
        <row r="422">
          <cell r="A422" t="str">
            <v>CA317</v>
          </cell>
          <cell r="P422">
            <v>60</v>
          </cell>
          <cell r="Q422">
            <v>7.7954144620811308</v>
          </cell>
          <cell r="T422">
            <v>0.90902777777777777</v>
          </cell>
          <cell r="U422">
            <v>1.0194444444444444</v>
          </cell>
          <cell r="V422">
            <v>64</v>
          </cell>
          <cell r="Z422">
            <v>0.25208333333333321</v>
          </cell>
          <cell r="AF422">
            <v>53</v>
          </cell>
          <cell r="AG422">
            <v>11.8</v>
          </cell>
          <cell r="AI422">
            <v>51.2</v>
          </cell>
          <cell r="AU422">
            <v>98.855650959942864</v>
          </cell>
          <cell r="AV422">
            <v>100.62101651408544</v>
          </cell>
          <cell r="AX422" t="str">
            <v>K.Benjamin</v>
          </cell>
        </row>
        <row r="423">
          <cell r="A423" t="str">
            <v>CA318</v>
          </cell>
          <cell r="P423">
            <v>58</v>
          </cell>
          <cell r="Q423">
            <v>6.5263157894736832</v>
          </cell>
          <cell r="T423">
            <v>0.99722222222222223</v>
          </cell>
          <cell r="U423">
            <v>1.1159722222222221</v>
          </cell>
          <cell r="V423">
            <v>58</v>
          </cell>
          <cell r="Z423">
            <v>0.24791666666666656</v>
          </cell>
          <cell r="AF423">
            <v>54</v>
          </cell>
          <cell r="AG423">
            <v>11.9</v>
          </cell>
          <cell r="AI423">
            <v>51.1</v>
          </cell>
          <cell r="AU423">
            <v>99.296756798842424</v>
          </cell>
          <cell r="AV423">
            <v>101.07019209384551</v>
          </cell>
          <cell r="AX423" t="str">
            <v>K.Benjamin</v>
          </cell>
        </row>
        <row r="424">
          <cell r="A424" t="str">
            <v>CA319</v>
          </cell>
          <cell r="P424">
            <v>57</v>
          </cell>
          <cell r="Q424">
            <v>5.1086956521739131</v>
          </cell>
          <cell r="T424">
            <v>0.97222222222222221</v>
          </cell>
          <cell r="U424">
            <v>1.1645833333333333</v>
          </cell>
          <cell r="V424">
            <v>56</v>
          </cell>
          <cell r="Z424">
            <v>0.33124999999999993</v>
          </cell>
          <cell r="AF424">
            <v>53.9</v>
          </cell>
          <cell r="AG424">
            <v>12</v>
          </cell>
          <cell r="AI424">
            <v>51</v>
          </cell>
          <cell r="AU424">
            <v>99.532128761708009</v>
          </cell>
          <cell r="AV424">
            <v>101.2369212252846</v>
          </cell>
          <cell r="AX424" t="str">
            <v>R. Sookram</v>
          </cell>
        </row>
        <row r="425">
          <cell r="A425" t="str">
            <v>CA320</v>
          </cell>
          <cell r="P425">
            <v>59</v>
          </cell>
          <cell r="Q425">
            <v>6.0854092526690415</v>
          </cell>
          <cell r="T425">
            <v>1.1256944444444446</v>
          </cell>
          <cell r="U425">
            <v>1.2250000000000001</v>
          </cell>
          <cell r="V425">
            <v>61</v>
          </cell>
          <cell r="Z425">
            <v>0.28750000000000009</v>
          </cell>
          <cell r="AF425">
            <v>53.9</v>
          </cell>
          <cell r="AG425">
            <v>11.98</v>
          </cell>
          <cell r="AI425">
            <v>50.5</v>
          </cell>
          <cell r="AU425">
            <v>98.677368246025509</v>
          </cell>
          <cell r="AV425">
            <v>100.36733673040825</v>
          </cell>
          <cell r="AX425" t="str">
            <v>R. Sookram</v>
          </cell>
        </row>
        <row r="426">
          <cell r="A426" t="str">
            <v>CA321</v>
          </cell>
          <cell r="P426">
            <v>58</v>
          </cell>
          <cell r="Q426">
            <v>4.9009009009008988</v>
          </cell>
          <cell r="T426">
            <v>0.26597222222222222</v>
          </cell>
          <cell r="U426">
            <v>0.36666666666666664</v>
          </cell>
          <cell r="V426">
            <v>57</v>
          </cell>
          <cell r="Z426">
            <v>0.24166666666666664</v>
          </cell>
          <cell r="AF426">
            <v>53.5</v>
          </cell>
          <cell r="AG426">
            <v>12</v>
          </cell>
          <cell r="AI426">
            <v>50.2</v>
          </cell>
          <cell r="AU426">
            <v>97.970840467406703</v>
          </cell>
          <cell r="AV426">
            <v>99.648891088417386</v>
          </cell>
          <cell r="AX426" t="str">
            <v>R. Sookram</v>
          </cell>
        </row>
        <row r="427">
          <cell r="A427" t="str">
            <v>CA322</v>
          </cell>
          <cell r="P427">
            <v>63</v>
          </cell>
          <cell r="Q427">
            <v>5.7193605683836575</v>
          </cell>
          <cell r="T427">
            <v>0.36527777777777776</v>
          </cell>
          <cell r="U427">
            <v>0.48333333333333334</v>
          </cell>
          <cell r="V427">
            <v>66</v>
          </cell>
          <cell r="Z427">
            <v>0.27152777777777781</v>
          </cell>
          <cell r="AF427">
            <v>54.2</v>
          </cell>
          <cell r="AG427">
            <v>11.7</v>
          </cell>
          <cell r="AI427">
            <v>51</v>
          </cell>
          <cell r="AU427">
            <v>89.72285586899315</v>
          </cell>
          <cell r="AV427">
            <v>91.325040567433561</v>
          </cell>
          <cell r="AX427" t="str">
            <v>K.Benjamin</v>
          </cell>
        </row>
        <row r="428">
          <cell r="A428" t="str">
            <v>CA323</v>
          </cell>
          <cell r="P428">
            <v>63</v>
          </cell>
          <cell r="Q428">
            <v>4.8398576512455493</v>
          </cell>
          <cell r="T428">
            <v>0.46597222222222223</v>
          </cell>
          <cell r="U428">
            <v>0.58125000000000004</v>
          </cell>
          <cell r="V428">
            <v>63</v>
          </cell>
          <cell r="Z428">
            <v>0.26527777777777783</v>
          </cell>
          <cell r="AF428">
            <v>54.2</v>
          </cell>
          <cell r="AG428">
            <v>11.9</v>
          </cell>
          <cell r="AI428">
            <v>51</v>
          </cell>
          <cell r="AU428">
            <v>91.480560970611876</v>
          </cell>
          <cell r="AV428">
            <v>93.114133080775957</v>
          </cell>
          <cell r="AX428" t="str">
            <v>K.Benjamin</v>
          </cell>
        </row>
        <row r="429">
          <cell r="A429" t="str">
            <v>CA324</v>
          </cell>
          <cell r="P429">
            <v>59</v>
          </cell>
          <cell r="Q429">
            <v>4.8056537102473476</v>
          </cell>
          <cell r="T429">
            <v>0.56874999999999998</v>
          </cell>
          <cell r="U429">
            <v>0.69513888888888886</v>
          </cell>
          <cell r="V429">
            <v>69</v>
          </cell>
          <cell r="Z429">
            <v>0.28194444444444444</v>
          </cell>
          <cell r="AF429">
            <v>55.1</v>
          </cell>
          <cell r="AG429">
            <v>12.05</v>
          </cell>
          <cell r="AI429">
            <v>51.8</v>
          </cell>
          <cell r="AU429">
            <v>102.81572231933967</v>
          </cell>
          <cell r="AV429">
            <v>104.65170686824514</v>
          </cell>
          <cell r="AX429" t="str">
            <v>K.Benjamin</v>
          </cell>
        </row>
        <row r="430">
          <cell r="A430" t="str">
            <v>CA325</v>
          </cell>
          <cell r="P430">
            <v>57</v>
          </cell>
          <cell r="Q430">
            <v>4.4839857651245607</v>
          </cell>
          <cell r="T430">
            <v>0.67847222222222225</v>
          </cell>
          <cell r="U430">
            <v>0.80902777777777779</v>
          </cell>
          <cell r="V430">
            <v>70</v>
          </cell>
          <cell r="Z430">
            <v>0.30555555555555558</v>
          </cell>
          <cell r="AF430">
            <v>54.4</v>
          </cell>
          <cell r="AG430">
            <v>12.12</v>
          </cell>
          <cell r="AI430">
            <v>51</v>
          </cell>
          <cell r="AU430">
            <v>97.53246147842853</v>
          </cell>
          <cell r="AV430">
            <v>99.207228964259869</v>
          </cell>
          <cell r="AX430" t="str">
            <v>D. Gomez</v>
          </cell>
        </row>
        <row r="431">
          <cell r="A431" t="str">
            <v>CA326</v>
          </cell>
          <cell r="P431">
            <v>62</v>
          </cell>
          <cell r="Q431">
            <v>3.5879218472468848</v>
          </cell>
          <cell r="T431">
            <v>0.79305555555555551</v>
          </cell>
          <cell r="U431">
            <v>0.92777777777777781</v>
          </cell>
          <cell r="V431">
            <v>71</v>
          </cell>
          <cell r="Z431">
            <v>0.32361111111111118</v>
          </cell>
          <cell r="AF431">
            <v>55</v>
          </cell>
          <cell r="AG431">
            <v>11.86</v>
          </cell>
          <cell r="AI431">
            <v>51.9</v>
          </cell>
          <cell r="AU431">
            <v>101.4764845382836</v>
          </cell>
          <cell r="AV431">
            <v>103.28835610878176</v>
          </cell>
          <cell r="AX431" t="str">
            <v>D. Gomez</v>
          </cell>
        </row>
        <row r="432">
          <cell r="A432" t="str">
            <v>CA327</v>
          </cell>
          <cell r="P432">
            <v>59</v>
          </cell>
          <cell r="Q432">
            <v>8.0217785843920169</v>
          </cell>
          <cell r="T432">
            <v>0.51597222222222228</v>
          </cell>
          <cell r="U432">
            <v>0.625</v>
          </cell>
          <cell r="V432">
            <v>54</v>
          </cell>
          <cell r="Z432">
            <v>0.25555555555555554</v>
          </cell>
          <cell r="AF432">
            <v>51.4</v>
          </cell>
          <cell r="AG432">
            <v>12.28</v>
          </cell>
          <cell r="AI432">
            <v>47.2</v>
          </cell>
          <cell r="AU432">
            <v>94.420432024783196</v>
          </cell>
          <cell r="AV432">
            <v>96.037846268551903</v>
          </cell>
          <cell r="AX432" t="str">
            <v>R. Sookram</v>
          </cell>
        </row>
        <row r="433">
          <cell r="A433" t="str">
            <v>CA328</v>
          </cell>
          <cell r="P433">
            <v>58</v>
          </cell>
          <cell r="Q433">
            <v>8.0363636363636406</v>
          </cell>
          <cell r="T433">
            <v>0.65902777777777777</v>
          </cell>
          <cell r="U433">
            <v>0.76249999999999996</v>
          </cell>
          <cell r="V433">
            <v>55</v>
          </cell>
          <cell r="Z433">
            <v>0.30972222222222218</v>
          </cell>
          <cell r="AF433">
            <v>51.7</v>
          </cell>
          <cell r="AG433">
            <v>12.43</v>
          </cell>
          <cell r="AI433">
            <v>48.4</v>
          </cell>
          <cell r="AU433">
            <v>98.691400341941531</v>
          </cell>
          <cell r="AV433">
            <v>100.45364046611355</v>
          </cell>
          <cell r="AX433" t="str">
            <v>R. Sookram</v>
          </cell>
        </row>
        <row r="434">
          <cell r="A434" t="str">
            <v>CA329</v>
          </cell>
          <cell r="P434">
            <v>61</v>
          </cell>
          <cell r="Q434">
            <v>-0.68840579710144101</v>
          </cell>
          <cell r="T434">
            <v>0.94097222222222221</v>
          </cell>
          <cell r="U434">
            <v>1.1069444444444445</v>
          </cell>
          <cell r="V434">
            <v>66</v>
          </cell>
          <cell r="Z434">
            <v>0.30138888888888893</v>
          </cell>
          <cell r="AF434">
            <v>56.3</v>
          </cell>
          <cell r="AG434">
            <v>11.97</v>
          </cell>
          <cell r="AI434">
            <v>51</v>
          </cell>
          <cell r="AU434">
            <v>103.55060702259473</v>
          </cell>
          <cell r="AV434">
            <v>105.39711274567536</v>
          </cell>
          <cell r="AX434" t="str">
            <v>K.Benjamin</v>
          </cell>
        </row>
        <row r="435">
          <cell r="A435" t="str">
            <v>CA330</v>
          </cell>
          <cell r="P435">
            <v>60</v>
          </cell>
          <cell r="Q435">
            <v>2.4652777777777808</v>
          </cell>
          <cell r="T435">
            <v>1.0756944444444445</v>
          </cell>
          <cell r="U435">
            <v>1.2277777777777779</v>
          </cell>
          <cell r="V435">
            <v>66</v>
          </cell>
          <cell r="Z435">
            <v>0.33888888888888902</v>
          </cell>
          <cell r="AF435">
            <v>56.9</v>
          </cell>
          <cell r="AG435">
            <v>11.32</v>
          </cell>
          <cell r="AI435">
            <v>53.6</v>
          </cell>
          <cell r="AU435">
            <v>102.15777570295772</v>
          </cell>
          <cell r="AV435">
            <v>103.97944457498602</v>
          </cell>
          <cell r="AX435" t="str">
            <v>D. Gomez</v>
          </cell>
        </row>
        <row r="436">
          <cell r="A436" t="str">
            <v>CA331</v>
          </cell>
          <cell r="P436">
            <v>60</v>
          </cell>
          <cell r="Q436">
            <v>6.5492957746478853</v>
          </cell>
          <cell r="T436">
            <v>1.1909722222222223</v>
          </cell>
          <cell r="U436">
            <v>1.3027777777777778</v>
          </cell>
          <cell r="V436">
            <v>68</v>
          </cell>
          <cell r="Z436">
            <v>0.32361111111111118</v>
          </cell>
          <cell r="AF436">
            <v>53.8</v>
          </cell>
          <cell r="AG436">
            <v>11.9</v>
          </cell>
          <cell r="AI436">
            <v>50.1</v>
          </cell>
          <cell r="AU436">
            <v>100.70383723233678</v>
          </cell>
          <cell r="AV436">
            <v>102.49968389583573</v>
          </cell>
          <cell r="AX436" t="str">
            <v>D. Gomez</v>
          </cell>
        </row>
        <row r="437">
          <cell r="A437" t="str">
            <v>CA332</v>
          </cell>
          <cell r="P437">
            <v>62</v>
          </cell>
          <cell r="Q437">
            <v>11.789473684210524</v>
          </cell>
          <cell r="T437">
            <v>0.26805555555555555</v>
          </cell>
          <cell r="U437">
            <v>0.38333333333333336</v>
          </cell>
          <cell r="V437">
            <v>61</v>
          </cell>
          <cell r="Z437">
            <v>0.27222222222222225</v>
          </cell>
          <cell r="AF437">
            <v>51</v>
          </cell>
          <cell r="AG437">
            <v>11.61</v>
          </cell>
          <cell r="AI437">
            <v>49.5</v>
          </cell>
          <cell r="AU437">
            <v>97.232300097496136</v>
          </cell>
          <cell r="AV437">
            <v>98.965936120759352</v>
          </cell>
          <cell r="AX437" t="str">
            <v>D. Gomez</v>
          </cell>
        </row>
        <row r="438">
          <cell r="A438" t="str">
            <v>CA333</v>
          </cell>
          <cell r="P438">
            <v>58</v>
          </cell>
          <cell r="Q438">
            <v>2.323943661971819</v>
          </cell>
          <cell r="T438">
            <v>0.36736111111111114</v>
          </cell>
          <cell r="U438">
            <v>0.47916666666666669</v>
          </cell>
          <cell r="V438">
            <v>65</v>
          </cell>
          <cell r="Z438">
            <v>0.2638888888888889</v>
          </cell>
          <cell r="AF438">
            <v>53.2</v>
          </cell>
          <cell r="AG438">
            <v>11.02</v>
          </cell>
          <cell r="AI438">
            <v>49.8</v>
          </cell>
          <cell r="AU438">
            <v>92.382202778407148</v>
          </cell>
          <cell r="AV438">
            <v>94.029650136778642</v>
          </cell>
          <cell r="AX438" t="str">
            <v>D. Gomez</v>
          </cell>
        </row>
        <row r="439">
          <cell r="A439" t="str">
            <v>CA334</v>
          </cell>
          <cell r="P439">
            <v>64</v>
          </cell>
          <cell r="Q439">
            <v>5.7340241796200351</v>
          </cell>
          <cell r="T439">
            <v>0.47083333333333333</v>
          </cell>
          <cell r="U439">
            <v>0.58472222222222225</v>
          </cell>
          <cell r="V439">
            <v>61</v>
          </cell>
          <cell r="Z439">
            <v>0.26875000000000004</v>
          </cell>
          <cell r="AF439">
            <v>55.3</v>
          </cell>
          <cell r="AG439">
            <v>11.6</v>
          </cell>
          <cell r="AI439">
            <v>51.4</v>
          </cell>
          <cell r="AU439">
            <v>97.59305095768498</v>
          </cell>
          <cell r="AV439">
            <v>99.335774050971565</v>
          </cell>
          <cell r="AX439" t="str">
            <v>R. Sookram</v>
          </cell>
        </row>
        <row r="440">
          <cell r="A440" t="str">
            <v>CA335</v>
          </cell>
          <cell r="P440">
            <v>59</v>
          </cell>
          <cell r="Q440">
            <v>6.1538461538461586</v>
          </cell>
          <cell r="T440">
            <v>0.57152777777777775</v>
          </cell>
          <cell r="U440">
            <v>0.69652777777777775</v>
          </cell>
          <cell r="V440">
            <v>60</v>
          </cell>
          <cell r="Z440">
            <v>0.28333333333333333</v>
          </cell>
          <cell r="AF440">
            <v>54.4</v>
          </cell>
          <cell r="AG440">
            <v>11.7</v>
          </cell>
          <cell r="AI440">
            <v>50.9</v>
          </cell>
          <cell r="AU440">
            <v>99.114352131140947</v>
          </cell>
          <cell r="AV440">
            <v>100.88296575742959</v>
          </cell>
          <cell r="AX440" t="str">
            <v>R. Sookram</v>
          </cell>
        </row>
        <row r="441">
          <cell r="A441" t="str">
            <v>CA336</v>
          </cell>
          <cell r="P441">
            <v>60</v>
          </cell>
          <cell r="Q441">
            <v>8.7915936952714588</v>
          </cell>
          <cell r="T441">
            <v>0.66666666666666663</v>
          </cell>
          <cell r="U441">
            <v>0.79166666666666663</v>
          </cell>
          <cell r="V441">
            <v>55</v>
          </cell>
          <cell r="Z441">
            <v>0.26874999999999993</v>
          </cell>
          <cell r="AF441">
            <v>54.4</v>
          </cell>
          <cell r="AG441">
            <v>11.9</v>
          </cell>
          <cell r="AI441">
            <v>51.2</v>
          </cell>
          <cell r="AU441">
            <v>101.74773831876141</v>
          </cell>
          <cell r="AV441">
            <v>103.56313730955213</v>
          </cell>
          <cell r="AX441" t="str">
            <v>K.Benjamin</v>
          </cell>
        </row>
        <row r="442">
          <cell r="A442" t="str">
            <v>CA337</v>
          </cell>
          <cell r="P442">
            <v>60</v>
          </cell>
          <cell r="Q442">
            <v>3.7857142857142811</v>
          </cell>
          <cell r="T442">
            <v>1.1416666666666666</v>
          </cell>
          <cell r="U442">
            <v>1.2562500000000001</v>
          </cell>
          <cell r="V442">
            <v>62</v>
          </cell>
          <cell r="Z442">
            <v>0.26666666666666672</v>
          </cell>
          <cell r="AF442">
            <v>54.6</v>
          </cell>
          <cell r="AG442">
            <v>11.45</v>
          </cell>
          <cell r="AI442">
            <v>51.9</v>
          </cell>
          <cell r="AU442">
            <v>101.15075411390035</v>
          </cell>
          <cell r="AV442">
            <v>102.95414996337564</v>
          </cell>
          <cell r="AX442" t="str">
            <v>R. Sookram</v>
          </cell>
        </row>
        <row r="443">
          <cell r="A443" t="str">
            <v>CA338</v>
          </cell>
          <cell r="P443">
            <v>57</v>
          </cell>
          <cell r="Q443">
            <v>8.9483065953654233</v>
          </cell>
          <cell r="T443">
            <v>0.26874999999999999</v>
          </cell>
          <cell r="U443">
            <v>0.38680555555555557</v>
          </cell>
          <cell r="V443">
            <v>62</v>
          </cell>
          <cell r="Z443">
            <v>0.31388888888888888</v>
          </cell>
          <cell r="AF443">
            <v>54.9</v>
          </cell>
          <cell r="AG443">
            <v>11.7</v>
          </cell>
          <cell r="AI443">
            <v>50.9</v>
          </cell>
          <cell r="AU443">
            <v>100.7608150740576</v>
          </cell>
          <cell r="AV443">
            <v>102.55746883592818</v>
          </cell>
          <cell r="AX443" t="str">
            <v>R. Sookram</v>
          </cell>
        </row>
        <row r="444">
          <cell r="A444" t="str">
            <v>CA339</v>
          </cell>
          <cell r="P444">
            <v>58</v>
          </cell>
          <cell r="Q444">
            <v>7.1530249110320341</v>
          </cell>
          <cell r="T444">
            <v>0.36805555555555558</v>
          </cell>
          <cell r="U444">
            <v>0.47222222222222221</v>
          </cell>
          <cell r="V444">
            <v>54</v>
          </cell>
          <cell r="Z444">
            <v>0.25347222222222221</v>
          </cell>
          <cell r="AF444">
            <v>54.2</v>
          </cell>
          <cell r="AG444">
            <v>11.9</v>
          </cell>
          <cell r="AI444">
            <v>50.8</v>
          </cell>
          <cell r="AU444">
            <v>102.11087687430556</v>
          </cell>
          <cell r="AV444">
            <v>103.93181520775359</v>
          </cell>
          <cell r="AX444" t="str">
            <v>R. Sookram</v>
          </cell>
        </row>
        <row r="445">
          <cell r="A445" t="str">
            <v>CA340</v>
          </cell>
          <cell r="P445">
            <v>58</v>
          </cell>
          <cell r="Q445">
            <v>6.0854092526690415</v>
          </cell>
          <cell r="T445">
            <v>0.4513888888888889</v>
          </cell>
          <cell r="U445">
            <v>0.55625000000000002</v>
          </cell>
          <cell r="V445">
            <v>61</v>
          </cell>
          <cell r="Z445">
            <v>0.24722222222222223</v>
          </cell>
          <cell r="AF445">
            <v>53.5</v>
          </cell>
          <cell r="AG445">
            <v>11.9</v>
          </cell>
          <cell r="AI445">
            <v>50.1</v>
          </cell>
          <cell r="AU445">
            <v>97.714774385845217</v>
          </cell>
          <cell r="AV445">
            <v>99.459671099355447</v>
          </cell>
          <cell r="AX445" t="str">
            <v>R. Sookram</v>
          </cell>
        </row>
        <row r="446">
          <cell r="A446" t="str">
            <v>CA341</v>
          </cell>
          <cell r="P446">
            <v>58</v>
          </cell>
          <cell r="Q446">
            <v>5.0177935943060499</v>
          </cell>
          <cell r="T446">
            <v>0.55000000000000004</v>
          </cell>
          <cell r="U446">
            <v>0.65138888888888891</v>
          </cell>
          <cell r="V446">
            <v>57</v>
          </cell>
          <cell r="Z446">
            <v>0.2590277777777778</v>
          </cell>
          <cell r="AF446">
            <v>54.1</v>
          </cell>
          <cell r="AG446">
            <v>11.89</v>
          </cell>
          <cell r="AI446">
            <v>50.9</v>
          </cell>
          <cell r="AU446">
            <v>99.152464501194331</v>
          </cell>
          <cell r="AV446">
            <v>100.9231305555778</v>
          </cell>
          <cell r="AX446" t="str">
            <v>R. Sookram</v>
          </cell>
        </row>
        <row r="447">
          <cell r="A447" t="str">
            <v>CA342</v>
          </cell>
          <cell r="P447">
            <v>61</v>
          </cell>
          <cell r="Q447">
            <v>4.4210526315789398</v>
          </cell>
          <cell r="T447">
            <v>0.66666666666666663</v>
          </cell>
          <cell r="U447">
            <v>0.77708333333333335</v>
          </cell>
          <cell r="V447">
            <v>65</v>
          </cell>
          <cell r="Z447">
            <v>0.28750000000000003</v>
          </cell>
          <cell r="AF447">
            <v>55.2</v>
          </cell>
          <cell r="AG447">
            <v>11.75</v>
          </cell>
          <cell r="AI447">
            <v>51.9</v>
          </cell>
          <cell r="AU447">
            <v>100.20719306291083</v>
          </cell>
          <cell r="AV447">
            <v>101.99669447423894</v>
          </cell>
          <cell r="AX447" t="str">
            <v>K.Benjamin</v>
          </cell>
        </row>
        <row r="448">
          <cell r="A448" t="str">
            <v>CA343</v>
          </cell>
          <cell r="P448">
            <v>59</v>
          </cell>
          <cell r="Q448">
            <v>4.1134751773049647</v>
          </cell>
          <cell r="T448">
            <v>0.74930555555555556</v>
          </cell>
          <cell r="U448">
            <v>0.9145833333333333</v>
          </cell>
          <cell r="V448">
            <v>62</v>
          </cell>
          <cell r="Z448">
            <v>0.32777777777777772</v>
          </cell>
          <cell r="AF448">
            <v>54.8</v>
          </cell>
          <cell r="AG448">
            <v>11.6</v>
          </cell>
          <cell r="AI448">
            <v>52.5</v>
          </cell>
          <cell r="AU448">
            <v>99.43566641619546</v>
          </cell>
          <cell r="AV448">
            <v>101.2114863810409</v>
          </cell>
          <cell r="AX448" t="str">
            <v>K.Benjamin</v>
          </cell>
        </row>
        <row r="449">
          <cell r="A449" t="str">
            <v>CA344</v>
          </cell>
          <cell r="P449">
            <v>61</v>
          </cell>
          <cell r="Q449">
            <v>3.929203539823007</v>
          </cell>
          <cell r="T449">
            <v>0.91319444444444442</v>
          </cell>
          <cell r="U449">
            <v>1.0416666666666667</v>
          </cell>
          <cell r="V449">
            <v>75</v>
          </cell>
          <cell r="Z449">
            <v>0.34375000000000011</v>
          </cell>
          <cell r="AF449">
            <v>55</v>
          </cell>
          <cell r="AG449">
            <v>11.6</v>
          </cell>
          <cell r="AI449">
            <v>52.5</v>
          </cell>
          <cell r="AU449">
            <v>99.805050917955171</v>
          </cell>
          <cell r="AV449">
            <v>101.58717645993016</v>
          </cell>
          <cell r="AX449" t="str">
            <v>K.Benjamin</v>
          </cell>
        </row>
        <row r="450">
          <cell r="A450" t="str">
            <v>CA345</v>
          </cell>
          <cell r="P450">
            <v>63</v>
          </cell>
          <cell r="Q450">
            <v>7.658802177858437</v>
          </cell>
          <cell r="T450">
            <v>0.25555555555555554</v>
          </cell>
          <cell r="U450">
            <v>0.37986111111111109</v>
          </cell>
          <cell r="V450">
            <v>75</v>
          </cell>
          <cell r="Z450">
            <v>0.25486111111111109</v>
          </cell>
          <cell r="AF450">
            <v>53.8</v>
          </cell>
          <cell r="AG450">
            <v>11.79</v>
          </cell>
          <cell r="AI450">
            <v>49.4</v>
          </cell>
          <cell r="AU450">
            <v>95.136570676243821</v>
          </cell>
          <cell r="AV450">
            <v>97.323803899524748</v>
          </cell>
          <cell r="AX450" t="str">
            <v>K.Benjamin</v>
          </cell>
        </row>
        <row r="451">
          <cell r="A451" t="str">
            <v>CA346</v>
          </cell>
          <cell r="P451">
            <v>60</v>
          </cell>
          <cell r="Q451">
            <v>4.581818181818174</v>
          </cell>
          <cell r="T451">
            <v>0.34930555555555554</v>
          </cell>
          <cell r="U451">
            <v>0.4597222222222222</v>
          </cell>
          <cell r="V451">
            <v>69</v>
          </cell>
          <cell r="Z451">
            <v>0.25138888888888888</v>
          </cell>
          <cell r="AF451">
            <v>54.1</v>
          </cell>
          <cell r="AG451">
            <v>11.9</v>
          </cell>
          <cell r="AI451">
            <v>50.11</v>
          </cell>
          <cell r="AU451">
            <v>97.36416377322503</v>
          </cell>
          <cell r="AV451">
            <v>99.602610379488283</v>
          </cell>
          <cell r="AX451" t="str">
            <v>D. Gomez</v>
          </cell>
        </row>
        <row r="452">
          <cell r="A452" t="str">
            <v>CA347</v>
          </cell>
          <cell r="P452">
            <v>60</v>
          </cell>
          <cell r="T452">
            <v>0.45</v>
          </cell>
          <cell r="U452">
            <v>0.56458333333333333</v>
          </cell>
          <cell r="V452">
            <v>76</v>
          </cell>
          <cell r="Z452">
            <v>0.27291666666666664</v>
          </cell>
          <cell r="AF452">
            <v>54.2</v>
          </cell>
          <cell r="AG452">
            <v>11.62</v>
          </cell>
          <cell r="AI452">
            <v>50.2</v>
          </cell>
          <cell r="AU452">
            <v>97.862623391351264</v>
          </cell>
          <cell r="AV452">
            <v>100.10948689455283</v>
          </cell>
          <cell r="AX452" t="str">
            <v>D. Gomez</v>
          </cell>
        </row>
        <row r="453">
          <cell r="A453" t="str">
            <v>CA348</v>
          </cell>
          <cell r="P453">
            <v>59</v>
          </cell>
          <cell r="Q453">
            <v>4.3137254901960809</v>
          </cell>
          <cell r="T453">
            <v>0.5444444444444444</v>
          </cell>
          <cell r="U453">
            <v>0.64652777777777781</v>
          </cell>
          <cell r="V453">
            <v>61</v>
          </cell>
          <cell r="Z453">
            <v>0.26458333333333339</v>
          </cell>
          <cell r="AF453">
            <v>54.4</v>
          </cell>
          <cell r="AG453">
            <v>11.4</v>
          </cell>
          <cell r="AI453">
            <v>50.9</v>
          </cell>
          <cell r="AU453">
            <v>97.800609434185759</v>
          </cell>
          <cell r="AV453">
            <v>100.04565587494729</v>
          </cell>
          <cell r="AX453" t="str">
            <v>R. Regis</v>
          </cell>
        </row>
        <row r="454">
          <cell r="A454" t="str">
            <v>CA349</v>
          </cell>
          <cell r="P454">
            <v>58</v>
          </cell>
          <cell r="Q454">
            <v>5.1773049645389975</v>
          </cell>
          <cell r="T454">
            <v>0.6479166666666667</v>
          </cell>
          <cell r="U454">
            <v>0.76458333333333328</v>
          </cell>
          <cell r="V454">
            <v>62</v>
          </cell>
          <cell r="Z454">
            <v>0.27847222222222218</v>
          </cell>
          <cell r="AF454">
            <v>54.2</v>
          </cell>
          <cell r="AG454">
            <v>11.6</v>
          </cell>
          <cell r="AI454">
            <v>50.5</v>
          </cell>
          <cell r="AU454">
            <v>98.95270542785191</v>
          </cell>
          <cell r="AV454">
            <v>101.2240653148488</v>
          </cell>
          <cell r="AX454" t="str">
            <v>R. Sookram</v>
          </cell>
        </row>
        <row r="455">
          <cell r="A455" t="str">
            <v>CA350</v>
          </cell>
          <cell r="P455">
            <v>58</v>
          </cell>
          <cell r="Q455">
            <v>4.0701754385964923</v>
          </cell>
          <cell r="T455">
            <v>0.75347222222222221</v>
          </cell>
          <cell r="U455">
            <v>0.86319444444444449</v>
          </cell>
          <cell r="V455">
            <v>60</v>
          </cell>
          <cell r="Z455">
            <v>0.25208333333333333</v>
          </cell>
          <cell r="AF455">
            <v>55.4</v>
          </cell>
          <cell r="AG455">
            <v>11.7</v>
          </cell>
          <cell r="AI455">
            <v>52</v>
          </cell>
          <cell r="AU455">
            <v>100.51724226058469</v>
          </cell>
          <cell r="AV455">
            <v>102.82779908845419</v>
          </cell>
          <cell r="AX455" t="str">
            <v>R. Sookram</v>
          </cell>
        </row>
        <row r="456">
          <cell r="A456" t="str">
            <v>CA351</v>
          </cell>
          <cell r="P456">
            <v>60</v>
          </cell>
          <cell r="Q456">
            <v>8.6131386861313857</v>
          </cell>
          <cell r="T456">
            <v>0.5708333333333333</v>
          </cell>
          <cell r="U456">
            <v>0.68472222222222223</v>
          </cell>
          <cell r="V456">
            <v>66</v>
          </cell>
          <cell r="Z456">
            <v>0.24722222222222223</v>
          </cell>
          <cell r="AF456">
            <v>54.5</v>
          </cell>
          <cell r="AG456">
            <v>11.71</v>
          </cell>
          <cell r="AI456">
            <v>50.7</v>
          </cell>
          <cell r="AU456">
            <v>101.27782496495649</v>
          </cell>
          <cell r="AV456">
            <v>103.60241883972125</v>
          </cell>
          <cell r="AX456" t="str">
            <v>R. Regis</v>
          </cell>
        </row>
        <row r="457">
          <cell r="A457" t="str">
            <v>CA352</v>
          </cell>
          <cell r="P457">
            <v>57</v>
          </cell>
          <cell r="Q457">
            <v>6.7636363636363619</v>
          </cell>
          <cell r="T457">
            <v>0.67847222222222225</v>
          </cell>
          <cell r="U457">
            <v>0.78680555555555554</v>
          </cell>
          <cell r="V457">
            <v>63</v>
          </cell>
          <cell r="Z457">
            <v>0.26597222222222217</v>
          </cell>
          <cell r="AF457">
            <v>54.6</v>
          </cell>
          <cell r="AG457">
            <v>11.77</v>
          </cell>
          <cell r="AI457">
            <v>50.9</v>
          </cell>
          <cell r="AU457">
            <v>102.5837050649381</v>
          </cell>
          <cell r="AV457">
            <v>104.93827234091529</v>
          </cell>
          <cell r="AX457" t="str">
            <v>R. Sookram</v>
          </cell>
        </row>
        <row r="458">
          <cell r="A458" t="str">
            <v>CA353</v>
          </cell>
          <cell r="P458">
            <v>57</v>
          </cell>
          <cell r="Q458">
            <v>5.9285714285714288</v>
          </cell>
          <cell r="T458">
            <v>0.77847222222222223</v>
          </cell>
          <cell r="U458">
            <v>0.8881944444444444</v>
          </cell>
          <cell r="V458">
            <v>66</v>
          </cell>
          <cell r="Z458">
            <v>0.24583333333333324</v>
          </cell>
          <cell r="AF458">
            <v>56.1</v>
          </cell>
          <cell r="AG458">
            <v>11.66</v>
          </cell>
          <cell r="AI458">
            <v>52.6</v>
          </cell>
          <cell r="AU458">
            <v>104.66984401683426</v>
          </cell>
          <cell r="AV458">
            <v>107.07271674001898</v>
          </cell>
          <cell r="AX458" t="str">
            <v>R. Sookram</v>
          </cell>
        </row>
        <row r="459">
          <cell r="A459" t="str">
            <v>CA354</v>
          </cell>
          <cell r="P459">
            <v>57</v>
          </cell>
          <cell r="Q459">
            <v>4.848484848484846</v>
          </cell>
          <cell r="T459">
            <v>0.87222222222222223</v>
          </cell>
          <cell r="U459">
            <v>0.98055555555555551</v>
          </cell>
          <cell r="V459">
            <v>62</v>
          </cell>
          <cell r="Z459">
            <v>0.25555555555555554</v>
          </cell>
          <cell r="AF459">
            <v>55.5</v>
          </cell>
          <cell r="AG459">
            <v>11.63</v>
          </cell>
          <cell r="AI459">
            <v>52.1</v>
          </cell>
          <cell r="AU459">
            <v>98.304019498125228</v>
          </cell>
          <cell r="AV459">
            <v>100.56432036291447</v>
          </cell>
          <cell r="AX459" t="str">
            <v>R. Sookram</v>
          </cell>
        </row>
        <row r="460">
          <cell r="A460" t="str">
            <v>CA355</v>
          </cell>
          <cell r="P460">
            <v>58</v>
          </cell>
          <cell r="Q460">
            <v>5.7092198581560263</v>
          </cell>
          <cell r="T460">
            <v>0.96319444444444446</v>
          </cell>
          <cell r="U460">
            <v>1.0743055555555556</v>
          </cell>
          <cell r="V460">
            <v>61</v>
          </cell>
          <cell r="Z460">
            <v>0.26250000000000007</v>
          </cell>
          <cell r="AF460">
            <v>53.9</v>
          </cell>
          <cell r="AG460">
            <v>11.82</v>
          </cell>
          <cell r="AI460">
            <v>50.5</v>
          </cell>
          <cell r="AU460">
            <v>97.014683349877245</v>
          </cell>
          <cell r="AV460">
            <v>99.245338553931916</v>
          </cell>
          <cell r="AX460" t="str">
            <v>K.Benjamin</v>
          </cell>
        </row>
        <row r="461">
          <cell r="A461" t="str">
            <v>CA356</v>
          </cell>
          <cell r="P461">
            <v>59</v>
          </cell>
          <cell r="Q461">
            <v>4.6785714285714244</v>
          </cell>
          <cell r="T461">
            <v>1.0638888888888889</v>
          </cell>
          <cell r="U461">
            <v>1.1694444444444445</v>
          </cell>
          <cell r="V461">
            <v>58</v>
          </cell>
          <cell r="Z461">
            <v>0.25625000000000009</v>
          </cell>
          <cell r="AF461">
            <v>54.1</v>
          </cell>
          <cell r="AG461">
            <v>11.83</v>
          </cell>
          <cell r="AI461">
            <v>50.6</v>
          </cell>
          <cell r="AU461">
            <v>97.447580490241648</v>
          </cell>
          <cell r="AV461">
            <v>99.68794488493829</v>
          </cell>
          <cell r="AX461" t="str">
            <v>K.Benjamin</v>
          </cell>
        </row>
        <row r="462">
          <cell r="A462" t="str">
            <v>CA357</v>
          </cell>
          <cell r="P462">
            <v>60</v>
          </cell>
          <cell r="T462">
            <v>1.1548611111111111</v>
          </cell>
          <cell r="U462">
            <v>1.2652777777777777</v>
          </cell>
          <cell r="V462">
            <v>60</v>
          </cell>
          <cell r="Z462">
            <v>0.25486111111111098</v>
          </cell>
          <cell r="AF462">
            <v>54.5</v>
          </cell>
          <cell r="AG462">
            <v>11.8</v>
          </cell>
          <cell r="AI462">
            <v>51.1</v>
          </cell>
          <cell r="AU462">
            <v>98.167333053044118</v>
          </cell>
          <cell r="AV462">
            <v>100.42449109120635</v>
          </cell>
          <cell r="AX462" t="str">
            <v>K.Benjamin</v>
          </cell>
        </row>
        <row r="463">
          <cell r="A463" t="str">
            <v>CA358</v>
          </cell>
          <cell r="P463">
            <v>62</v>
          </cell>
          <cell r="Q463">
            <v>4.9473684210526319</v>
          </cell>
          <cell r="T463">
            <v>0.25833333333333336</v>
          </cell>
          <cell r="U463">
            <v>0.36666666666666664</v>
          </cell>
          <cell r="V463">
            <v>64</v>
          </cell>
          <cell r="Z463">
            <v>0.26944444444444443</v>
          </cell>
          <cell r="AF463">
            <v>57</v>
          </cell>
          <cell r="AG463">
            <v>11.67</v>
          </cell>
          <cell r="AI463">
            <v>51.5</v>
          </cell>
          <cell r="AU463">
            <v>98.296729895830666</v>
          </cell>
          <cell r="AV463">
            <v>100.55661662329831</v>
          </cell>
          <cell r="AX463" t="str">
            <v>K.Benjamin</v>
          </cell>
        </row>
        <row r="464">
          <cell r="A464" t="str">
            <v>CA359</v>
          </cell>
          <cell r="P464">
            <v>60</v>
          </cell>
          <cell r="Q464">
            <v>8.0072463768115973</v>
          </cell>
          <cell r="T464">
            <v>0.53541666666666665</v>
          </cell>
          <cell r="U464">
            <v>0.64722222222222225</v>
          </cell>
          <cell r="V464">
            <v>69</v>
          </cell>
          <cell r="Z464">
            <v>0.24444444444444446</v>
          </cell>
          <cell r="AF464">
            <v>55.2</v>
          </cell>
          <cell r="AG464">
            <v>12.32</v>
          </cell>
          <cell r="AI464">
            <v>47.6</v>
          </cell>
          <cell r="AU464">
            <v>98.689372310249198</v>
          </cell>
          <cell r="AV464">
            <v>100.95521744206249</v>
          </cell>
          <cell r="AX464" t="str">
            <v>R. Regis</v>
          </cell>
        </row>
        <row r="465">
          <cell r="A465" t="str">
            <v>CA360</v>
          </cell>
          <cell r="P465">
            <v>63</v>
          </cell>
          <cell r="Q465">
            <v>7.9496402877697863</v>
          </cell>
          <cell r="T465">
            <v>0.64652777777777781</v>
          </cell>
          <cell r="U465">
            <v>0.75277777777777777</v>
          </cell>
          <cell r="V465">
            <v>62</v>
          </cell>
          <cell r="Z465">
            <v>0.24930555555555556</v>
          </cell>
          <cell r="AF465">
            <v>55.6</v>
          </cell>
          <cell r="AG465">
            <v>12</v>
          </cell>
          <cell r="AI465">
            <v>50.5</v>
          </cell>
          <cell r="AU465">
            <v>102.41364770585815</v>
          </cell>
          <cell r="AV465">
            <v>104.76458801796498</v>
          </cell>
          <cell r="AX465" t="str">
            <v>R. Sookram</v>
          </cell>
        </row>
        <row r="466">
          <cell r="A466" t="str">
            <v>CA361</v>
          </cell>
          <cell r="P466">
            <v>57</v>
          </cell>
          <cell r="Q466">
            <v>4.7292418772563138</v>
          </cell>
          <cell r="T466">
            <v>0.73402777777777772</v>
          </cell>
          <cell r="U466">
            <v>0.84097222222222223</v>
          </cell>
          <cell r="V466">
            <v>62</v>
          </cell>
          <cell r="Z466">
            <v>0.24722222222222223</v>
          </cell>
          <cell r="AF466">
            <v>55.4</v>
          </cell>
          <cell r="AG466">
            <v>11.65</v>
          </cell>
          <cell r="AI466">
            <v>51.8</v>
          </cell>
          <cell r="AU466">
            <v>102.28996596570761</v>
          </cell>
          <cell r="AV466">
            <v>104.63806712116583</v>
          </cell>
          <cell r="AX466" t="str">
            <v>R. Sookram</v>
          </cell>
        </row>
        <row r="467">
          <cell r="A467" t="str">
            <v>CA362</v>
          </cell>
          <cell r="P467">
            <v>58</v>
          </cell>
          <cell r="Q467">
            <v>4.857142857142855</v>
          </cell>
          <cell r="T467">
            <v>0.81874999999999998</v>
          </cell>
          <cell r="U467">
            <v>0.92291666666666672</v>
          </cell>
          <cell r="V467">
            <v>63</v>
          </cell>
          <cell r="Z467">
            <v>0.24583333333333335</v>
          </cell>
          <cell r="AF467">
            <v>56</v>
          </cell>
          <cell r="AG467">
            <v>11.82</v>
          </cell>
          <cell r="AI467">
            <v>50.9</v>
          </cell>
          <cell r="AU467">
            <v>98.146891722866016</v>
          </cell>
          <cell r="AV467">
            <v>100.40321006888824</v>
          </cell>
          <cell r="AX467" t="str">
            <v>R. Sookram</v>
          </cell>
        </row>
        <row r="468">
          <cell r="A468" t="str">
            <v>CA363</v>
          </cell>
          <cell r="P468">
            <v>58</v>
          </cell>
          <cell r="Q468">
            <v>3.6265709156193946</v>
          </cell>
          <cell r="T468">
            <v>0.90486111111111112</v>
          </cell>
          <cell r="U468">
            <v>1.0055555555555555</v>
          </cell>
          <cell r="V468">
            <v>59</v>
          </cell>
          <cell r="Z468">
            <v>0.23472222222222217</v>
          </cell>
          <cell r="AF468">
            <v>55.7</v>
          </cell>
          <cell r="AG468">
            <v>11.8</v>
          </cell>
          <cell r="AI468">
            <v>51.9</v>
          </cell>
          <cell r="AU468">
            <v>100.07512142272587</v>
          </cell>
          <cell r="AV468">
            <v>102.37576822348329</v>
          </cell>
          <cell r="AX468" t="str">
            <v>R. Sookram</v>
          </cell>
        </row>
        <row r="469">
          <cell r="A469" t="str">
            <v>CA364</v>
          </cell>
          <cell r="P469">
            <v>61</v>
          </cell>
          <cell r="Q469">
            <v>3.7992831541218597</v>
          </cell>
          <cell r="T469">
            <v>0.98888888888888893</v>
          </cell>
          <cell r="U469">
            <v>1.0972222222222223</v>
          </cell>
          <cell r="V469">
            <v>59</v>
          </cell>
          <cell r="Z469">
            <v>0.24305555555555569</v>
          </cell>
          <cell r="AF469">
            <v>55.8</v>
          </cell>
          <cell r="AG469">
            <v>11.89</v>
          </cell>
          <cell r="AI469">
            <v>51.1</v>
          </cell>
          <cell r="AU469">
            <v>99.410866604727133</v>
          </cell>
          <cell r="AV469">
            <v>101.69624271982174</v>
          </cell>
          <cell r="AX469" t="str">
            <v>K.Benjamin</v>
          </cell>
        </row>
        <row r="470">
          <cell r="A470" t="str">
            <v>CA365</v>
          </cell>
          <cell r="P470">
            <v>60</v>
          </cell>
          <cell r="Q470">
            <v>5.0000000000000009</v>
          </cell>
          <cell r="T470">
            <v>1.0826388888888889</v>
          </cell>
          <cell r="U470">
            <v>1.1881944444444446</v>
          </cell>
          <cell r="V470">
            <v>57</v>
          </cell>
          <cell r="Z470">
            <v>0.25069444444444455</v>
          </cell>
          <cell r="AF470">
            <v>56.4</v>
          </cell>
          <cell r="AG470">
            <v>11.87</v>
          </cell>
          <cell r="AI470">
            <v>51</v>
          </cell>
          <cell r="AU470">
            <v>99.216324791410642</v>
          </cell>
          <cell r="AV470">
            <v>101.49722854620174</v>
          </cell>
          <cell r="AX470" t="str">
            <v>K.Benjamin</v>
          </cell>
        </row>
        <row r="471">
          <cell r="A471" t="str">
            <v>CA366</v>
          </cell>
          <cell r="P471">
            <v>62</v>
          </cell>
          <cell r="Q471">
            <v>5.1681415929203567</v>
          </cell>
          <cell r="T471">
            <v>1.179861111111111</v>
          </cell>
          <cell r="U471">
            <v>1.2916666666666667</v>
          </cell>
          <cell r="V471">
            <v>59</v>
          </cell>
          <cell r="Z471">
            <v>0.25347222222222232</v>
          </cell>
          <cell r="AF471">
            <v>56.5</v>
          </cell>
          <cell r="AG471">
            <v>11.85</v>
          </cell>
          <cell r="AI471">
            <v>51.2</v>
          </cell>
          <cell r="AU471">
            <v>99.85305901163683</v>
          </cell>
          <cell r="AV471">
            <v>102.14834847734735</v>
          </cell>
          <cell r="AX471" t="str">
            <v>K.Benjamin</v>
          </cell>
        </row>
        <row r="472">
          <cell r="A472" t="str">
            <v>CA367</v>
          </cell>
          <cell r="P472">
            <v>59</v>
          </cell>
          <cell r="Q472">
            <v>8.7234042553191387</v>
          </cell>
          <cell r="T472">
            <v>0.31666666666666665</v>
          </cell>
          <cell r="U472">
            <v>0.43055555555555558</v>
          </cell>
          <cell r="V472">
            <v>60</v>
          </cell>
          <cell r="Z472">
            <v>0.24305555555555558</v>
          </cell>
          <cell r="AF472">
            <v>53.5</v>
          </cell>
          <cell r="AG472">
            <v>11.98</v>
          </cell>
          <cell r="AI472">
            <v>49.6</v>
          </cell>
          <cell r="AU472">
            <v>100.20325573917277</v>
          </cell>
          <cell r="AV472">
            <v>102.50385867030386</v>
          </cell>
          <cell r="AX472" t="str">
            <v>R. Regis</v>
          </cell>
        </row>
        <row r="473">
          <cell r="A473" t="str">
            <v>CA368</v>
          </cell>
          <cell r="P473">
            <v>61</v>
          </cell>
          <cell r="Q473">
            <v>8.0714285714285641</v>
          </cell>
          <cell r="T473">
            <v>0.40069444444444446</v>
          </cell>
          <cell r="U473">
            <v>0.50138888888888888</v>
          </cell>
          <cell r="V473">
            <v>55</v>
          </cell>
          <cell r="Z473">
            <v>0.23055555555555557</v>
          </cell>
          <cell r="AF473">
            <v>52.2</v>
          </cell>
          <cell r="AG473">
            <v>11.71</v>
          </cell>
          <cell r="AI473">
            <v>48.8</v>
          </cell>
          <cell r="AU473">
            <v>96.242512503008982</v>
          </cell>
          <cell r="AV473">
            <v>98.451921624389243</v>
          </cell>
          <cell r="AX473" t="str">
            <v>R. Regis</v>
          </cell>
        </row>
        <row r="474">
          <cell r="A474" t="str">
            <v>CA369</v>
          </cell>
          <cell r="P474">
            <v>61</v>
          </cell>
          <cell r="Q474">
            <v>7.1403197158081628</v>
          </cell>
          <cell r="T474">
            <v>0.48819444444444443</v>
          </cell>
          <cell r="U474">
            <v>0.6</v>
          </cell>
          <cell r="V474">
            <v>67</v>
          </cell>
          <cell r="Z474">
            <v>0.24583333333333329</v>
          </cell>
          <cell r="AF474">
            <v>53.4</v>
          </cell>
          <cell r="AG474">
            <v>12.12</v>
          </cell>
          <cell r="AI474">
            <v>49.7</v>
          </cell>
          <cell r="AU474">
            <v>101.54386197711933</v>
          </cell>
          <cell r="AV474">
            <v>103.87497251276139</v>
          </cell>
          <cell r="AX474" t="str">
            <v>R. Regis</v>
          </cell>
        </row>
        <row r="475">
          <cell r="A475" t="str">
            <v>CA370</v>
          </cell>
          <cell r="P475">
            <v>60</v>
          </cell>
          <cell r="Q475">
            <v>5.1408450704225261</v>
          </cell>
          <cell r="T475">
            <v>0.57430555555555551</v>
          </cell>
          <cell r="U475">
            <v>0.68263888888888891</v>
          </cell>
          <cell r="V475">
            <v>64</v>
          </cell>
          <cell r="Z475">
            <v>0.24513888888888891</v>
          </cell>
          <cell r="AF475">
            <v>55.5</v>
          </cell>
          <cell r="AG475">
            <v>12.03</v>
          </cell>
          <cell r="AI475">
            <v>52</v>
          </cell>
          <cell r="AU475">
            <v>101.92914166114666</v>
          </cell>
          <cell r="AV475">
            <v>104.27253919457739</v>
          </cell>
          <cell r="AX475" t="str">
            <v>R. Regis</v>
          </cell>
        </row>
        <row r="476">
          <cell r="A476" t="str">
            <v>CA371</v>
          </cell>
          <cell r="P476">
            <v>57</v>
          </cell>
          <cell r="Q476">
            <v>3.6135957066189559</v>
          </cell>
          <cell r="T476">
            <v>0.66597222222222219</v>
          </cell>
          <cell r="U476">
            <v>0.77430555555555558</v>
          </cell>
          <cell r="V476">
            <v>65</v>
          </cell>
          <cell r="Z476">
            <v>0.25347222222222221</v>
          </cell>
          <cell r="AF476">
            <v>55.5</v>
          </cell>
          <cell r="AG476">
            <v>11.61</v>
          </cell>
          <cell r="AI476">
            <v>52.1</v>
          </cell>
          <cell r="AU476">
            <v>98.425622276353863</v>
          </cell>
          <cell r="AV476">
            <v>100.68859587656844</v>
          </cell>
          <cell r="AX476" t="str">
            <v>R. Sookram</v>
          </cell>
        </row>
        <row r="477">
          <cell r="A477" t="str">
            <v>CA372</v>
          </cell>
          <cell r="P477">
            <v>60</v>
          </cell>
          <cell r="Q477">
            <v>3.7789661319073033</v>
          </cell>
          <cell r="T477">
            <v>0.76249999999999996</v>
          </cell>
          <cell r="U477">
            <v>0.8666666666666667</v>
          </cell>
          <cell r="V477">
            <v>62</v>
          </cell>
          <cell r="Z477">
            <v>0.26250000000000007</v>
          </cell>
          <cell r="AF477">
            <v>54.7</v>
          </cell>
          <cell r="AG477">
            <v>11.64</v>
          </cell>
          <cell r="AI477">
            <v>51.3</v>
          </cell>
          <cell r="AU477">
            <v>96.914288345047083</v>
          </cell>
          <cell r="AV477">
            <v>99.142513790172003</v>
          </cell>
          <cell r="AX477" t="str">
            <v>R. Sookram</v>
          </cell>
        </row>
        <row r="478">
          <cell r="A478" t="str">
            <v>CA373</v>
          </cell>
          <cell r="P478">
            <v>59</v>
          </cell>
          <cell r="Q478">
            <v>4.6208112874779621</v>
          </cell>
          <cell r="T478">
            <v>0.85555555555555551</v>
          </cell>
          <cell r="U478">
            <v>0.95625000000000004</v>
          </cell>
          <cell r="V478">
            <v>62</v>
          </cell>
          <cell r="Z478">
            <v>0.25138888888888888</v>
          </cell>
          <cell r="AF478">
            <v>54.8</v>
          </cell>
          <cell r="AG478">
            <v>11.64</v>
          </cell>
          <cell r="AI478">
            <v>50.7</v>
          </cell>
          <cell r="AU478">
            <v>95.899416163198268</v>
          </cell>
          <cell r="AV478">
            <v>98.104187552732569</v>
          </cell>
          <cell r="AX478" t="str">
            <v>R. Sookram</v>
          </cell>
        </row>
        <row r="479">
          <cell r="A479" t="str">
            <v>CA374</v>
          </cell>
          <cell r="P479">
            <v>57</v>
          </cell>
          <cell r="Q479">
            <v>2.9032258064516085</v>
          </cell>
          <cell r="T479">
            <v>0.94930555555555551</v>
          </cell>
          <cell r="U479">
            <v>1.054861111111111</v>
          </cell>
          <cell r="V479">
            <v>57</v>
          </cell>
          <cell r="Z479">
            <v>0.26180555555555551</v>
          </cell>
          <cell r="AF479">
            <v>56.7</v>
          </cell>
          <cell r="AG479">
            <v>11.6</v>
          </cell>
          <cell r="AI479">
            <v>49.6</v>
          </cell>
          <cell r="AU479">
            <v>93.818758218829061</v>
          </cell>
          <cell r="AV479">
            <v>95.975694331667356</v>
          </cell>
          <cell r="AX479" t="str">
            <v>R. Sookram</v>
          </cell>
        </row>
        <row r="480">
          <cell r="A480" t="str">
            <v>CA375</v>
          </cell>
          <cell r="P480">
            <v>61</v>
          </cell>
          <cell r="Q480">
            <v>4.4839857651245607</v>
          </cell>
          <cell r="T480">
            <v>0.42569444444444443</v>
          </cell>
          <cell r="U480">
            <v>0.53472222222222221</v>
          </cell>
          <cell r="V480">
            <v>59</v>
          </cell>
          <cell r="Z480">
            <v>0.28819444444444442</v>
          </cell>
          <cell r="AF480">
            <v>56.2</v>
          </cell>
          <cell r="AG480">
            <v>12</v>
          </cell>
          <cell r="AI480">
            <v>51.9</v>
          </cell>
          <cell r="AU480">
            <v>105.11814064156511</v>
          </cell>
          <cell r="AV480">
            <v>107.53130476951476</v>
          </cell>
          <cell r="AX480" t="str">
            <v>K.Benjamin</v>
          </cell>
        </row>
        <row r="481">
          <cell r="A481" t="str">
            <v>CA376</v>
          </cell>
          <cell r="P481">
            <v>60</v>
          </cell>
          <cell r="Q481">
            <v>6.9503546099290689</v>
          </cell>
          <cell r="T481">
            <v>0.51597222222222228</v>
          </cell>
          <cell r="U481">
            <v>0.62222222222222223</v>
          </cell>
          <cell r="V481">
            <v>59</v>
          </cell>
          <cell r="Z481">
            <v>0.24722222222222223</v>
          </cell>
          <cell r="AF481">
            <v>56.4</v>
          </cell>
          <cell r="AG481">
            <v>11.9</v>
          </cell>
          <cell r="AI481">
            <v>50.6</v>
          </cell>
          <cell r="AU481">
            <v>99.052319134021872</v>
          </cell>
          <cell r="AV481">
            <v>101.32882450276735</v>
          </cell>
          <cell r="AX481" t="str">
            <v>K.Benjamin</v>
          </cell>
        </row>
        <row r="482">
          <cell r="A482" t="str">
            <v>CA377</v>
          </cell>
          <cell r="P482">
            <v>59</v>
          </cell>
          <cell r="Q482">
            <v>4.2456140350877218</v>
          </cell>
          <cell r="T482">
            <v>0.59791666666666665</v>
          </cell>
          <cell r="U482">
            <v>0.70763888888888893</v>
          </cell>
          <cell r="V482">
            <v>63</v>
          </cell>
          <cell r="Z482">
            <v>0.24930555555555561</v>
          </cell>
          <cell r="AF482">
            <v>57</v>
          </cell>
          <cell r="AG482">
            <v>11.64</v>
          </cell>
          <cell r="AI482">
            <v>52.1</v>
          </cell>
          <cell r="AU482">
            <v>99.40938324534325</v>
          </cell>
          <cell r="AV482">
            <v>101.69396796550143</v>
          </cell>
          <cell r="AX482" t="str">
            <v>K.Benjamin</v>
          </cell>
        </row>
        <row r="483">
          <cell r="A483" t="str">
            <v>CA378</v>
          </cell>
          <cell r="P483">
            <v>61</v>
          </cell>
          <cell r="Q483">
            <v>7.5656742556917695</v>
          </cell>
          <cell r="T483">
            <v>0.69374999999999998</v>
          </cell>
          <cell r="U483">
            <v>0.80972222222222223</v>
          </cell>
          <cell r="V483">
            <v>62</v>
          </cell>
          <cell r="Z483">
            <v>0.2680555555555556</v>
          </cell>
          <cell r="AF483">
            <v>57.1</v>
          </cell>
          <cell r="AG483">
            <v>11.73</v>
          </cell>
          <cell r="AI483">
            <v>51</v>
          </cell>
          <cell r="AU483">
            <v>98.439685453285023</v>
          </cell>
          <cell r="AV483">
            <v>100.70173251475777</v>
          </cell>
          <cell r="AX483" t="str">
            <v>R. Regis</v>
          </cell>
        </row>
        <row r="484">
          <cell r="A484" t="str">
            <v>CA379</v>
          </cell>
          <cell r="P484">
            <v>60</v>
          </cell>
          <cell r="Q484">
            <v>11.127541589648803</v>
          </cell>
          <cell r="T484">
            <v>0.63611111111111107</v>
          </cell>
          <cell r="U484">
            <v>0.74305555555555558</v>
          </cell>
          <cell r="V484">
            <v>55</v>
          </cell>
          <cell r="Z484">
            <v>0.24652777777777779</v>
          </cell>
          <cell r="AF484">
            <v>48.8</v>
          </cell>
          <cell r="AG484">
            <v>12</v>
          </cell>
          <cell r="AI484">
            <v>46.1</v>
          </cell>
          <cell r="AU484">
            <v>93.25149539820049</v>
          </cell>
          <cell r="AV484">
            <v>95.392365668986528</v>
          </cell>
          <cell r="AX484" t="str">
            <v>R. Regis</v>
          </cell>
        </row>
        <row r="485">
          <cell r="A485" t="str">
            <v>CA380</v>
          </cell>
          <cell r="P485">
            <v>60</v>
          </cell>
          <cell r="Q485">
            <v>8.770053475935832</v>
          </cell>
          <cell r="T485">
            <v>0.72152777777777777</v>
          </cell>
          <cell r="U485">
            <v>0.82777777777777772</v>
          </cell>
          <cell r="V485">
            <v>54</v>
          </cell>
          <cell r="Z485">
            <v>0.24097222222222214</v>
          </cell>
          <cell r="AF485">
            <v>51.9</v>
          </cell>
          <cell r="AG485">
            <v>12</v>
          </cell>
          <cell r="AI485">
            <v>48.9</v>
          </cell>
          <cell r="AU485">
            <v>99.168858867652744</v>
          </cell>
          <cell r="AV485">
            <v>101.44531394214826</v>
          </cell>
          <cell r="AX485" t="str">
            <v>R. Regis</v>
          </cell>
        </row>
        <row r="486">
          <cell r="A486" t="str">
            <v>CA381</v>
          </cell>
          <cell r="P486">
            <v>61</v>
          </cell>
          <cell r="Q486">
            <v>6.4758497316636809</v>
          </cell>
          <cell r="T486">
            <v>0.81736111111111109</v>
          </cell>
          <cell r="U486">
            <v>0.91805555555555551</v>
          </cell>
          <cell r="V486">
            <v>55</v>
          </cell>
          <cell r="Z486">
            <v>0.24097222222222214</v>
          </cell>
          <cell r="AF486">
            <v>53</v>
          </cell>
          <cell r="AG486">
            <v>11.5</v>
          </cell>
          <cell r="AI486">
            <v>50.2</v>
          </cell>
          <cell r="AU486">
            <v>97.222637281827019</v>
          </cell>
          <cell r="AV486">
            <v>99.454546819812094</v>
          </cell>
          <cell r="AX486" t="str">
            <v>R. Regis</v>
          </cell>
        </row>
        <row r="487">
          <cell r="A487" t="str">
            <v>CA382</v>
          </cell>
          <cell r="P487">
            <v>60</v>
          </cell>
          <cell r="Q487">
            <v>8.8808664259927692</v>
          </cell>
          <cell r="T487">
            <v>0.91180555555555554</v>
          </cell>
          <cell r="U487">
            <v>1.0215277777777778</v>
          </cell>
          <cell r="V487">
            <v>57</v>
          </cell>
          <cell r="Z487">
            <v>0.25069444444444444</v>
          </cell>
          <cell r="AF487">
            <v>51.2</v>
          </cell>
          <cell r="AG487">
            <v>11.6</v>
          </cell>
          <cell r="AI487">
            <v>49.8</v>
          </cell>
          <cell r="AU487">
            <v>97.331325024657417</v>
          </cell>
          <cell r="AV487">
            <v>99.565729673006388</v>
          </cell>
          <cell r="AX487" t="str">
            <v>K.Benjamin</v>
          </cell>
        </row>
        <row r="488">
          <cell r="A488" t="str">
            <v>CA383</v>
          </cell>
          <cell r="P488">
            <v>57</v>
          </cell>
          <cell r="Q488">
            <v>5.6727272727272684</v>
          </cell>
          <cell r="T488">
            <v>1.0118055555555556</v>
          </cell>
          <cell r="U488">
            <v>1.1444444444444444</v>
          </cell>
          <cell r="V488">
            <v>59</v>
          </cell>
          <cell r="Z488">
            <v>0.25902777777777775</v>
          </cell>
          <cell r="AF488">
            <v>53.4</v>
          </cell>
          <cell r="AG488">
            <v>11.9</v>
          </cell>
          <cell r="AI488">
            <v>50.5</v>
          </cell>
          <cell r="AU488">
            <v>98.000559608173816</v>
          </cell>
          <cell r="AV488">
            <v>100.25376028976945</v>
          </cell>
          <cell r="AX488" t="str">
            <v>K.Benjamin</v>
          </cell>
        </row>
        <row r="489">
          <cell r="A489" t="str">
            <v>CA384</v>
          </cell>
          <cell r="P489">
            <v>59</v>
          </cell>
          <cell r="Q489">
            <v>5.8347978910369074</v>
          </cell>
          <cell r="T489">
            <v>1.1208333333333333</v>
          </cell>
          <cell r="U489">
            <v>1.2527777777777778</v>
          </cell>
          <cell r="V489">
            <v>58</v>
          </cell>
          <cell r="Z489">
            <v>0.28749999999999998</v>
          </cell>
          <cell r="AF489">
            <v>54.3</v>
          </cell>
          <cell r="AG489">
            <v>11.6</v>
          </cell>
          <cell r="AI489">
            <v>51.5</v>
          </cell>
          <cell r="AU489">
            <v>97.533420912359546</v>
          </cell>
          <cell r="AV489">
            <v>99.775636056332289</v>
          </cell>
          <cell r="AX489" t="str">
            <v>K.Benjamin</v>
          </cell>
        </row>
        <row r="490">
          <cell r="A490" t="str">
            <v>CA385</v>
          </cell>
          <cell r="P490">
            <v>60</v>
          </cell>
          <cell r="Q490">
            <v>5.7193605683836575</v>
          </cell>
          <cell r="T490">
            <v>0.2298611111111111</v>
          </cell>
          <cell r="U490">
            <v>0.35069444444444442</v>
          </cell>
          <cell r="V490">
            <v>74</v>
          </cell>
          <cell r="Z490">
            <v>0.27430555555555552</v>
          </cell>
          <cell r="AF490">
            <v>53.8</v>
          </cell>
          <cell r="AG490">
            <v>11.7</v>
          </cell>
          <cell r="AI490">
            <v>51</v>
          </cell>
          <cell r="AU490">
            <v>97.584116231539213</v>
          </cell>
          <cell r="AV490">
            <v>99.827373690499726</v>
          </cell>
          <cell r="AX490" t="str">
            <v>K.Benjamin</v>
          </cell>
        </row>
        <row r="491">
          <cell r="A491" t="str">
            <v>CA386</v>
          </cell>
          <cell r="P491">
            <v>59</v>
          </cell>
          <cell r="Q491">
            <v>6.2969588550983833</v>
          </cell>
          <cell r="T491">
            <v>0.32500000000000001</v>
          </cell>
          <cell r="U491">
            <v>0.45347222222222222</v>
          </cell>
          <cell r="V491">
            <v>79</v>
          </cell>
          <cell r="Z491">
            <v>0.28333333333333333</v>
          </cell>
          <cell r="AF491">
            <v>53.1</v>
          </cell>
          <cell r="AG491">
            <v>11.5</v>
          </cell>
          <cell r="AI491">
            <v>50.6</v>
          </cell>
          <cell r="AU491">
            <v>94.959218637198205</v>
          </cell>
          <cell r="AV491">
            <v>97.142254934873733</v>
          </cell>
          <cell r="AX491" t="str">
            <v>D. Gomez</v>
          </cell>
        </row>
      </sheetData>
      <sheetData sheetId="6">
        <row r="357">
          <cell r="C357" t="str">
            <v>DPV</v>
          </cell>
          <cell r="D357">
            <v>11.8</v>
          </cell>
        </row>
        <row r="358">
          <cell r="D358">
            <v>12</v>
          </cell>
        </row>
        <row r="359">
          <cell r="D359">
            <v>11.9</v>
          </cell>
        </row>
        <row r="360">
          <cell r="D360">
            <v>11.8</v>
          </cell>
        </row>
        <row r="361">
          <cell r="D361">
            <v>11.8</v>
          </cell>
        </row>
        <row r="362">
          <cell r="D362">
            <v>11.9</v>
          </cell>
        </row>
        <row r="371">
          <cell r="D371">
            <v>12</v>
          </cell>
        </row>
        <row r="372">
          <cell r="D372">
            <v>11.8</v>
          </cell>
        </row>
        <row r="377">
          <cell r="D377">
            <v>11.77</v>
          </cell>
        </row>
        <row r="378">
          <cell r="D378">
            <v>11.78</v>
          </cell>
        </row>
        <row r="379">
          <cell r="D379">
            <v>11.6</v>
          </cell>
        </row>
        <row r="380">
          <cell r="D380">
            <v>11.83</v>
          </cell>
        </row>
        <row r="381">
          <cell r="D381">
            <v>11.78</v>
          </cell>
        </row>
        <row r="382">
          <cell r="D382">
            <v>11.75</v>
          </cell>
        </row>
        <row r="383">
          <cell r="D383">
            <v>11.99</v>
          </cell>
        </row>
        <row r="384">
          <cell r="D384">
            <v>11.69</v>
          </cell>
        </row>
        <row r="385">
          <cell r="D385">
            <v>11.86</v>
          </cell>
        </row>
        <row r="386">
          <cell r="D386">
            <v>11.72</v>
          </cell>
        </row>
        <row r="387">
          <cell r="D387">
            <v>11.9</v>
          </cell>
        </row>
        <row r="388">
          <cell r="D388">
            <v>11.9</v>
          </cell>
        </row>
        <row r="389">
          <cell r="D389">
            <v>11.6</v>
          </cell>
        </row>
        <row r="390">
          <cell r="D390">
            <v>11.9</v>
          </cell>
        </row>
        <row r="391">
          <cell r="D391">
            <v>11.8</v>
          </cell>
        </row>
        <row r="392">
          <cell r="D392">
            <v>11.9</v>
          </cell>
        </row>
        <row r="393">
          <cell r="D393">
            <v>11.9</v>
          </cell>
        </row>
        <row r="394">
          <cell r="D394">
            <v>11.8</v>
          </cell>
        </row>
        <row r="395">
          <cell r="D395">
            <v>11.8</v>
          </cell>
        </row>
        <row r="397">
          <cell r="D397">
            <v>11.83</v>
          </cell>
        </row>
        <row r="398">
          <cell r="D398">
            <v>11.73</v>
          </cell>
        </row>
        <row r="399">
          <cell r="D399">
            <v>11.85</v>
          </cell>
        </row>
        <row r="400">
          <cell r="D400">
            <v>11.8</v>
          </cell>
        </row>
        <row r="401">
          <cell r="D401">
            <v>11.87</v>
          </cell>
        </row>
        <row r="402">
          <cell r="D402">
            <v>11.9</v>
          </cell>
        </row>
        <row r="403">
          <cell r="D403">
            <v>11.9</v>
          </cell>
        </row>
        <row r="404">
          <cell r="D404">
            <v>11.9</v>
          </cell>
        </row>
        <row r="405">
          <cell r="D405">
            <v>12.18</v>
          </cell>
        </row>
        <row r="406">
          <cell r="D406">
            <v>12.04</v>
          </cell>
        </row>
        <row r="408">
          <cell r="D408">
            <v>11.7</v>
          </cell>
        </row>
        <row r="409">
          <cell r="D409">
            <v>11.9</v>
          </cell>
        </row>
        <row r="410">
          <cell r="D410">
            <v>11.9</v>
          </cell>
        </row>
        <row r="411">
          <cell r="D411">
            <v>11.8</v>
          </cell>
        </row>
        <row r="412">
          <cell r="D412">
            <v>11.9</v>
          </cell>
        </row>
        <row r="413">
          <cell r="D413">
            <v>12</v>
          </cell>
        </row>
        <row r="414">
          <cell r="D414">
            <v>11.8</v>
          </cell>
        </row>
        <row r="415">
          <cell r="D415">
            <v>11.7</v>
          </cell>
        </row>
        <row r="416">
          <cell r="D416">
            <v>11.9</v>
          </cell>
        </row>
        <row r="417">
          <cell r="D417">
            <v>12</v>
          </cell>
        </row>
        <row r="418">
          <cell r="D418">
            <v>11.6</v>
          </cell>
        </row>
        <row r="419">
          <cell r="D419">
            <v>11.9</v>
          </cell>
        </row>
        <row r="420">
          <cell r="D420">
            <v>11.7</v>
          </cell>
        </row>
        <row r="421">
          <cell r="D421">
            <v>11.8</v>
          </cell>
        </row>
        <row r="422">
          <cell r="D422">
            <v>11.8</v>
          </cell>
        </row>
        <row r="423">
          <cell r="D423">
            <v>11.9</v>
          </cell>
        </row>
        <row r="424">
          <cell r="D424">
            <v>12</v>
          </cell>
        </row>
        <row r="425">
          <cell r="D425">
            <v>11.98</v>
          </cell>
        </row>
        <row r="426">
          <cell r="D426">
            <v>12</v>
          </cell>
        </row>
        <row r="427">
          <cell r="D427">
            <v>11.7</v>
          </cell>
        </row>
        <row r="428">
          <cell r="D428">
            <v>11.9</v>
          </cell>
        </row>
        <row r="429">
          <cell r="D429">
            <v>12.05</v>
          </cell>
        </row>
        <row r="430">
          <cell r="D430">
            <v>12.12</v>
          </cell>
        </row>
        <row r="431">
          <cell r="D431">
            <v>11.86</v>
          </cell>
        </row>
        <row r="434">
          <cell r="D434">
            <v>11.97</v>
          </cell>
        </row>
        <row r="435">
          <cell r="D435">
            <v>11.32</v>
          </cell>
        </row>
        <row r="436">
          <cell r="D436">
            <v>11.9</v>
          </cell>
        </row>
        <row r="437">
          <cell r="D437">
            <v>11.61</v>
          </cell>
        </row>
        <row r="438">
          <cell r="D438">
            <v>11.02</v>
          </cell>
        </row>
        <row r="439">
          <cell r="D439">
            <v>11.6</v>
          </cell>
        </row>
        <row r="440">
          <cell r="D440">
            <v>11.7</v>
          </cell>
        </row>
        <row r="441">
          <cell r="D441">
            <v>11.9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rator Performance '16"/>
      <sheetName val="Operator Performance '17"/>
      <sheetName val="Operator Performance '18"/>
      <sheetName val="Brew Times"/>
      <sheetName val="Chart1"/>
      <sheetName val="BrewMaterials"/>
      <sheetName val="Brewhouse"/>
      <sheetName val="Process"/>
      <sheetName val="Packaging"/>
      <sheetName val="Summary May'25"/>
      <sheetName val="Summary April '25"/>
      <sheetName val="Summary March '25"/>
      <sheetName val="Summary February '25"/>
      <sheetName val="Summary January '25"/>
      <sheetName val="Summary December '24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5">
          <cell r="AS15">
            <v>93.952909228354414</v>
          </cell>
        </row>
        <row r="16">
          <cell r="AS16">
            <v>96.305388330846725</v>
          </cell>
        </row>
        <row r="17">
          <cell r="AS17">
            <v>97.317556311342841</v>
          </cell>
        </row>
        <row r="18">
          <cell r="AS18">
            <v>96.740574752184699</v>
          </cell>
        </row>
        <row r="19">
          <cell r="AS19">
            <v>95.662513854103381</v>
          </cell>
        </row>
        <row r="20">
          <cell r="AS20">
            <v>96.762676801570322</v>
          </cell>
        </row>
        <row r="21">
          <cell r="AS21">
            <v>94.359297157598206</v>
          </cell>
        </row>
        <row r="22">
          <cell r="AS22">
            <v>95.89985711119165</v>
          </cell>
        </row>
        <row r="23">
          <cell r="AS23">
            <v>96.050597074606841</v>
          </cell>
        </row>
        <row r="24">
          <cell r="AS24">
            <v>96.050597074606841</v>
          </cell>
        </row>
        <row r="25">
          <cell r="AS25">
            <v>93.400253634983798</v>
          </cell>
        </row>
        <row r="26">
          <cell r="AS26">
            <v>96.426665032854629</v>
          </cell>
        </row>
        <row r="27">
          <cell r="AS27">
            <v>96.328598952006701</v>
          </cell>
        </row>
        <row r="28">
          <cell r="AS28">
            <v>97.60292995662067</v>
          </cell>
        </row>
        <row r="29">
          <cell r="AS29">
            <v>92.363806479823964</v>
          </cell>
        </row>
        <row r="30">
          <cell r="AS30">
            <v>97.071554839885479</v>
          </cell>
        </row>
        <row r="31">
          <cell r="AS31">
            <v>93.180885322057676</v>
          </cell>
        </row>
        <row r="32">
          <cell r="AS32">
            <v>93.104069106683397</v>
          </cell>
        </row>
        <row r="33">
          <cell r="AS33">
            <v>96.914841762663983</v>
          </cell>
        </row>
        <row r="34">
          <cell r="AS34">
            <v>100.133600634603</v>
          </cell>
        </row>
        <row r="35">
          <cell r="AS35">
            <v>97.985541190514951</v>
          </cell>
        </row>
        <row r="36">
          <cell r="AS36">
            <v>97.465856823914748</v>
          </cell>
        </row>
        <row r="37">
          <cell r="AS37">
            <v>93.269474250821958</v>
          </cell>
        </row>
        <row r="38">
          <cell r="AS38">
            <v>95.729858121698229</v>
          </cell>
        </row>
        <row r="39">
          <cell r="AS39">
            <v>96.776757210948887</v>
          </cell>
        </row>
        <row r="40">
          <cell r="AS40">
            <v>96.149254375240844</v>
          </cell>
        </row>
        <row r="41">
          <cell r="AS41">
            <v>95.703229726515019</v>
          </cell>
        </row>
        <row r="42">
          <cell r="AS42">
            <v>96.392332863581075</v>
          </cell>
        </row>
        <row r="43">
          <cell r="AS43">
            <v>96.042495052644043</v>
          </cell>
        </row>
        <row r="44">
          <cell r="AS44">
            <v>96.528726855243008</v>
          </cell>
        </row>
        <row r="45">
          <cell r="AS45">
            <v>99.057134588670351</v>
          </cell>
        </row>
        <row r="46">
          <cell r="AS46">
            <v>97.66120802841786</v>
          </cell>
        </row>
        <row r="47">
          <cell r="AS47">
            <v>99.956949475386367</v>
          </cell>
        </row>
        <row r="48">
          <cell r="AS48">
            <v>101.54928414912592</v>
          </cell>
        </row>
        <row r="49">
          <cell r="AS49">
            <v>97.80064193750701</v>
          </cell>
        </row>
        <row r="50">
          <cell r="AS50">
            <v>96.518971677208299</v>
          </cell>
        </row>
        <row r="51">
          <cell r="AS51">
            <v>95.561137165761352</v>
          </cell>
        </row>
        <row r="52">
          <cell r="AS52">
            <v>95.558880444994585</v>
          </cell>
        </row>
        <row r="53">
          <cell r="AS53">
            <v>95.952410461648014</v>
          </cell>
        </row>
        <row r="54">
          <cell r="AS54">
            <v>95.30638126018755</v>
          </cell>
        </row>
        <row r="55">
          <cell r="AS55">
            <v>94.732040280520366</v>
          </cell>
        </row>
        <row r="56">
          <cell r="AS56">
            <v>93.077322691564333</v>
          </cell>
        </row>
        <row r="57">
          <cell r="AS57">
            <v>94.371821342410584</v>
          </cell>
        </row>
        <row r="58">
          <cell r="AS58">
            <v>98.856173802431272</v>
          </cell>
        </row>
        <row r="59">
          <cell r="AS59">
            <v>95.30638126018755</v>
          </cell>
        </row>
        <row r="60">
          <cell r="AS60">
            <v>97.2646053460942</v>
          </cell>
        </row>
        <row r="61">
          <cell r="AS61">
            <v>93.552519520813476</v>
          </cell>
        </row>
        <row r="62">
          <cell r="AS62">
            <v>94.825567674202887</v>
          </cell>
        </row>
        <row r="63">
          <cell r="AS63">
            <v>92.656238601066747</v>
          </cell>
        </row>
        <row r="64">
          <cell r="AS64">
            <v>96.628236432962609</v>
          </cell>
        </row>
        <row r="66">
          <cell r="AS66">
            <v>92.002637422262225</v>
          </cell>
        </row>
        <row r="67">
          <cell r="AS67">
            <v>95.885984924603306</v>
          </cell>
        </row>
        <row r="68">
          <cell r="AS68">
            <v>95.012866791826809</v>
          </cell>
        </row>
        <row r="69">
          <cell r="AS69">
            <v>95.834500872564547</v>
          </cell>
        </row>
        <row r="70">
          <cell r="AS70">
            <v>95.943381714424419</v>
          </cell>
        </row>
        <row r="71">
          <cell r="AS71">
            <v>96.860953695286469</v>
          </cell>
        </row>
        <row r="72">
          <cell r="AS72">
            <v>96.412978745034764</v>
          </cell>
        </row>
        <row r="73">
          <cell r="AS73">
            <v>96.134503988755924</v>
          </cell>
        </row>
        <row r="74">
          <cell r="AS74">
            <v>92.715017057588085</v>
          </cell>
        </row>
        <row r="75">
          <cell r="AS75">
            <v>96.097642480416468</v>
          </cell>
        </row>
        <row r="76">
          <cell r="AS76">
            <v>96.605804702524836</v>
          </cell>
        </row>
        <row r="77">
          <cell r="AS77">
            <v>97.184282574995024</v>
          </cell>
        </row>
        <row r="78">
          <cell r="AS78">
            <v>97.663482183408107</v>
          </cell>
        </row>
        <row r="79">
          <cell r="AS79">
            <v>93.680020965087763</v>
          </cell>
        </row>
        <row r="80">
          <cell r="AS80">
            <v>97.133695082094221</v>
          </cell>
        </row>
        <row r="81">
          <cell r="AS81">
            <v>96.430423472800626</v>
          </cell>
        </row>
        <row r="82">
          <cell r="AS82">
            <v>90.175237312660769</v>
          </cell>
        </row>
        <row r="83">
          <cell r="AS83">
            <v>98.394986562676721</v>
          </cell>
        </row>
        <row r="84">
          <cell r="AS84">
            <v>97.621745017979862</v>
          </cell>
        </row>
        <row r="85">
          <cell r="AS85">
            <v>95.99281388436242</v>
          </cell>
        </row>
        <row r="86">
          <cell r="AS86">
            <v>95.681023720581877</v>
          </cell>
        </row>
        <row r="87">
          <cell r="AS87">
            <v>95.907156934495333</v>
          </cell>
        </row>
        <row r="88">
          <cell r="AS88">
            <v>95.275297184535674</v>
          </cell>
        </row>
        <row r="89">
          <cell r="AS89">
            <v>95.059784463588144</v>
          </cell>
        </row>
        <row r="90">
          <cell r="AS90">
            <v>96.727001848613199</v>
          </cell>
        </row>
        <row r="91">
          <cell r="AS91">
            <v>104.009149649091</v>
          </cell>
        </row>
        <row r="92">
          <cell r="AS92">
            <v>92.550439614588157</v>
          </cell>
        </row>
        <row r="93">
          <cell r="AS93">
            <v>96.999636851732902</v>
          </cell>
        </row>
        <row r="94">
          <cell r="AS94">
            <v>95.770454909660813</v>
          </cell>
        </row>
        <row r="95">
          <cell r="AS95">
            <v>94.428562140000224</v>
          </cell>
        </row>
        <row r="96">
          <cell r="AS96">
            <v>93.741070270083767</v>
          </cell>
        </row>
        <row r="97">
          <cell r="AS97">
            <v>94.687949767761395</v>
          </cell>
        </row>
        <row r="98">
          <cell r="AS98">
            <v>96.284997099590015</v>
          </cell>
        </row>
        <row r="99">
          <cell r="AS99">
            <v>97.212508885391316</v>
          </cell>
        </row>
        <row r="100">
          <cell r="AS100">
            <v>93.636382272815794</v>
          </cell>
        </row>
        <row r="101">
          <cell r="AS101">
            <v>94.671387189089145</v>
          </cell>
        </row>
        <row r="102">
          <cell r="AS102">
            <v>93.244451097177674</v>
          </cell>
        </row>
        <row r="103">
          <cell r="AS103">
            <v>94.598152318138133</v>
          </cell>
        </row>
        <row r="105">
          <cell r="AS105">
            <v>96.818003369761513</v>
          </cell>
        </row>
        <row r="106">
          <cell r="AS106">
            <v>96.728268188487093</v>
          </cell>
        </row>
        <row r="107">
          <cell r="AS107">
            <v>94.725921358787076</v>
          </cell>
        </row>
        <row r="108">
          <cell r="AS108">
            <v>96.728268188487093</v>
          </cell>
        </row>
        <row r="109">
          <cell r="AS109">
            <v>98.026213210604823</v>
          </cell>
        </row>
        <row r="110">
          <cell r="AS110">
            <v>98.897348757551114</v>
          </cell>
        </row>
        <row r="111">
          <cell r="AS111">
            <v>98.846181723282257</v>
          </cell>
        </row>
        <row r="112">
          <cell r="AS112">
            <v>99.65424616729544</v>
          </cell>
        </row>
        <row r="113">
          <cell r="AS113">
            <v>99.065888617269223</v>
          </cell>
        </row>
        <row r="114">
          <cell r="AS114">
            <v>99.602654863491452</v>
          </cell>
        </row>
        <row r="115">
          <cell r="AS115">
            <v>99.164950119073353</v>
          </cell>
        </row>
        <row r="116">
          <cell r="AS116">
            <v>97.38390073907243</v>
          </cell>
        </row>
        <row r="117">
          <cell r="AS117">
            <v>97.938471627804731</v>
          </cell>
        </row>
        <row r="118">
          <cell r="AS118">
            <v>102.00584482183068</v>
          </cell>
        </row>
        <row r="119">
          <cell r="AS119">
            <v>93.711849834287406</v>
          </cell>
        </row>
        <row r="120">
          <cell r="AS120">
            <v>104.41201107512165</v>
          </cell>
        </row>
        <row r="121">
          <cell r="AS121">
            <v>101.34183343248617</v>
          </cell>
        </row>
        <row r="122">
          <cell r="AS122">
            <v>103.02428455849693</v>
          </cell>
        </row>
        <row r="123">
          <cell r="AS123">
            <v>98.371980498141809</v>
          </cell>
        </row>
        <row r="124">
          <cell r="AS124">
            <v>97.480302480496775</v>
          </cell>
        </row>
        <row r="125">
          <cell r="AS125">
            <v>99.211017553113123</v>
          </cell>
        </row>
        <row r="126">
          <cell r="AS126">
            <v>98.111702404981273</v>
          </cell>
        </row>
        <row r="127">
          <cell r="AS127">
            <v>98.934461309721527</v>
          </cell>
        </row>
        <row r="128">
          <cell r="AS128">
            <v>98.841782508267997</v>
          </cell>
        </row>
        <row r="129">
          <cell r="AS129">
            <v>103.23164333167807</v>
          </cell>
        </row>
        <row r="130">
          <cell r="AS130">
            <v>98.533330895870236</v>
          </cell>
        </row>
        <row r="131">
          <cell r="AS131">
            <v>98.055764357108799</v>
          </cell>
        </row>
        <row r="132">
          <cell r="AS132">
            <v>98.965495815775583</v>
          </cell>
        </row>
        <row r="133">
          <cell r="AS133">
            <v>98.136818497898929</v>
          </cell>
        </row>
        <row r="134">
          <cell r="AS134">
            <v>99.594814290107152</v>
          </cell>
        </row>
        <row r="135">
          <cell r="AS135">
            <v>98.47330071154957</v>
          </cell>
        </row>
        <row r="136">
          <cell r="AS136">
            <v>103.36052848626758</v>
          </cell>
        </row>
        <row r="137">
          <cell r="AS137">
            <v>94.448940517191943</v>
          </cell>
        </row>
        <row r="138">
          <cell r="AS138">
            <v>96.922261553729911</v>
          </cell>
        </row>
        <row r="139">
          <cell r="AS139">
            <v>97.203701282276711</v>
          </cell>
        </row>
        <row r="140">
          <cell r="AS140">
            <v>97.400469908354196</v>
          </cell>
        </row>
        <row r="142">
          <cell r="AS142">
            <v>97.215215171736631</v>
          </cell>
        </row>
        <row r="143">
          <cell r="AS143">
            <v>100.22635814188384</v>
          </cell>
        </row>
        <row r="144">
          <cell r="AS144">
            <v>99.612902884689717</v>
          </cell>
        </row>
        <row r="145">
          <cell r="AS145">
            <v>98.872380781910195</v>
          </cell>
        </row>
        <row r="146">
          <cell r="AS146">
            <v>98.164307604461925</v>
          </cell>
        </row>
        <row r="147">
          <cell r="AS147">
            <v>96.764330157536619</v>
          </cell>
        </row>
        <row r="148">
          <cell r="AS148">
            <v>98.581081664819095</v>
          </cell>
        </row>
        <row r="149">
          <cell r="AS149">
            <v>98.654179974952328</v>
          </cell>
        </row>
        <row r="150">
          <cell r="AS150">
            <v>96.687242116034184</v>
          </cell>
        </row>
        <row r="151">
          <cell r="AS151">
            <v>99.203898650029743</v>
          </cell>
        </row>
        <row r="152">
          <cell r="AS152">
            <v>99.653052105402068</v>
          </cell>
        </row>
        <row r="153">
          <cell r="AS153">
            <v>100.04618853247267</v>
          </cell>
        </row>
        <row r="154">
          <cell r="AS154">
            <v>103.48583389849561</v>
          </cell>
        </row>
        <row r="155">
          <cell r="AS155">
            <v>98.880284002650114</v>
          </cell>
        </row>
        <row r="156">
          <cell r="AS156">
            <v>97.662755281529215</v>
          </cell>
        </row>
        <row r="157">
          <cell r="AS157">
            <v>101.20397725184486</v>
          </cell>
        </row>
        <row r="158">
          <cell r="AS158">
            <v>97.163133476785902</v>
          </cell>
        </row>
        <row r="159">
          <cell r="AS159">
            <v>99.680986353901574</v>
          </cell>
        </row>
        <row r="160">
          <cell r="AS160">
            <v>100.32468935826775</v>
          </cell>
        </row>
        <row r="161">
          <cell r="AS161">
            <v>99.06474164379361</v>
          </cell>
        </row>
        <row r="162">
          <cell r="AS162">
            <v>98.019922797995775</v>
          </cell>
        </row>
        <row r="163">
          <cell r="AS163">
            <v>99.773758394779009</v>
          </cell>
        </row>
        <row r="164">
          <cell r="AS164">
            <v>97.507731951946184</v>
          </cell>
        </row>
        <row r="165">
          <cell r="AS165">
            <v>98.581120174708957</v>
          </cell>
        </row>
        <row r="166">
          <cell r="AS166">
            <v>95.004403103029915</v>
          </cell>
        </row>
        <row r="167">
          <cell r="AS167">
            <v>99.803912080322945</v>
          </cell>
        </row>
        <row r="168">
          <cell r="AS168">
            <v>99.261754930640222</v>
          </cell>
        </row>
        <row r="169">
          <cell r="AS169">
            <v>97.650134196033449</v>
          </cell>
        </row>
        <row r="170">
          <cell r="AS170">
            <v>97.774353948870356</v>
          </cell>
        </row>
        <row r="171">
          <cell r="AS171">
            <v>100.34851077545073</v>
          </cell>
        </row>
        <row r="172">
          <cell r="AS172">
            <v>100.17584029377748</v>
          </cell>
        </row>
        <row r="173">
          <cell r="AS173">
            <v>99.593422617650873</v>
          </cell>
        </row>
        <row r="174">
          <cell r="AS174">
            <v>96.450818305435675</v>
          </cell>
        </row>
        <row r="175">
          <cell r="AS175">
            <v>104.47252079158716</v>
          </cell>
        </row>
        <row r="176">
          <cell r="AS176">
            <v>97.021410313288342</v>
          </cell>
        </row>
        <row r="177">
          <cell r="AS177">
            <v>111.42233703913573</v>
          </cell>
        </row>
        <row r="178">
          <cell r="AS178">
            <v>96.024912228115227</v>
          </cell>
        </row>
        <row r="179">
          <cell r="AS179">
            <v>100.88096411971219</v>
          </cell>
        </row>
        <row r="180">
          <cell r="AS180">
            <v>98.35750118912209</v>
          </cell>
        </row>
        <row r="181">
          <cell r="AS181">
            <v>99.955757308619226</v>
          </cell>
        </row>
        <row r="182">
          <cell r="AS182">
            <v>100.0542639520425</v>
          </cell>
        </row>
        <row r="183">
          <cell r="AS183">
            <v>97.894867203057146</v>
          </cell>
        </row>
        <row r="184">
          <cell r="AS184">
            <v>101.26478844270513</v>
          </cell>
        </row>
        <row r="185">
          <cell r="AS185">
            <v>100.87304844872946</v>
          </cell>
        </row>
        <row r="186">
          <cell r="AS186">
            <v>97.739128496924266</v>
          </cell>
        </row>
        <row r="187">
          <cell r="AS187">
            <v>98.608395095224694</v>
          </cell>
        </row>
        <row r="188">
          <cell r="AS188">
            <v>99.473816674074172</v>
          </cell>
        </row>
        <row r="189">
          <cell r="AS189">
            <v>96.771677377330477</v>
          </cell>
        </row>
        <row r="190">
          <cell r="AS190">
            <v>98.031246107368958</v>
          </cell>
        </row>
        <row r="191">
          <cell r="AS191">
            <v>98.226139240783183</v>
          </cell>
        </row>
        <row r="192">
          <cell r="AS192">
            <v>99.142807989788679</v>
          </cell>
        </row>
        <row r="193">
          <cell r="AS193">
            <v>102.23697824835402</v>
          </cell>
        </row>
        <row r="195">
          <cell r="A195" t="str">
            <v>ST177</v>
          </cell>
          <cell r="P195">
            <v>59</v>
          </cell>
          <cell r="Q195">
            <v>2.2727272727272649</v>
          </cell>
          <cell r="T195">
            <v>0.21944444444444444</v>
          </cell>
          <cell r="U195">
            <v>0.3215277777777778</v>
          </cell>
          <cell r="V195">
            <v>55</v>
          </cell>
          <cell r="AD195">
            <v>52.5</v>
          </cell>
          <cell r="AE195">
            <v>11.73</v>
          </cell>
          <cell r="AG195">
            <v>48.7</v>
          </cell>
          <cell r="AS195">
            <v>94.420068663376142</v>
          </cell>
          <cell r="AT195">
            <v>95.816025560506702</v>
          </cell>
          <cell r="AV195" t="str">
            <v>R.Sookram</v>
          </cell>
          <cell r="AW195">
            <v>0.24652777777777779</v>
          </cell>
        </row>
        <row r="196">
          <cell r="A196" t="str">
            <v>ST178</v>
          </cell>
          <cell r="P196">
            <v>60</v>
          </cell>
          <cell r="Q196">
            <v>5.4151624548736459</v>
          </cell>
          <cell r="T196">
            <v>0.31319444444444444</v>
          </cell>
          <cell r="U196">
            <v>0.42638888888888887</v>
          </cell>
          <cell r="V196">
            <v>59</v>
          </cell>
          <cell r="AD196">
            <v>54.6</v>
          </cell>
          <cell r="AE196">
            <v>11.9</v>
          </cell>
          <cell r="AG196">
            <v>51.4</v>
          </cell>
          <cell r="AS196">
            <v>101.4475035128455</v>
          </cell>
          <cell r="AT196">
            <v>102.94735777296387</v>
          </cell>
          <cell r="AV196" t="str">
            <v>K. Benjamin</v>
          </cell>
          <cell r="AW196">
            <v>0.26805555555555555</v>
          </cell>
        </row>
        <row r="197">
          <cell r="A197" t="str">
            <v>ST179</v>
          </cell>
          <cell r="P197">
            <v>62</v>
          </cell>
          <cell r="Q197">
            <v>4.9270072992700653</v>
          </cell>
          <cell r="T197">
            <v>0.41041666666666665</v>
          </cell>
          <cell r="U197">
            <v>0.5395833333333333</v>
          </cell>
          <cell r="V197">
            <v>60</v>
          </cell>
          <cell r="AD197">
            <v>54.8</v>
          </cell>
          <cell r="AE197">
            <v>12</v>
          </cell>
          <cell r="AG197">
            <v>51.9</v>
          </cell>
          <cell r="AS197">
            <v>103.33938935492559</v>
          </cell>
          <cell r="AT197">
            <v>104.86721426924089</v>
          </cell>
          <cell r="AV197" t="str">
            <v>K. Benjamin</v>
          </cell>
          <cell r="AW197">
            <v>0.28263888888888888</v>
          </cell>
        </row>
        <row r="198">
          <cell r="A198" t="str">
            <v>ST180</v>
          </cell>
          <cell r="P198">
            <v>62</v>
          </cell>
          <cell r="Q198">
            <v>3.8461538461538485</v>
          </cell>
          <cell r="T198">
            <v>0.51736111111111116</v>
          </cell>
          <cell r="U198">
            <v>0.62777777777777777</v>
          </cell>
          <cell r="V198">
            <v>63</v>
          </cell>
          <cell r="AD198">
            <v>54.3</v>
          </cell>
          <cell r="AE198">
            <v>11.6</v>
          </cell>
          <cell r="AG198">
            <v>51.2</v>
          </cell>
          <cell r="AS198">
            <v>98.251296837034474</v>
          </cell>
          <cell r="AT198">
            <v>99.70436898791543</v>
          </cell>
          <cell r="AV198" t="str">
            <v>K. Benjamin</v>
          </cell>
          <cell r="AW198">
            <v>0.26319444444444445</v>
          </cell>
        </row>
        <row r="199">
          <cell r="A199" t="str">
            <v>ST181</v>
          </cell>
          <cell r="P199">
            <v>59</v>
          </cell>
          <cell r="Q199">
            <v>3.2967032967032912</v>
          </cell>
          <cell r="T199">
            <v>0.59722222222222221</v>
          </cell>
          <cell r="U199">
            <v>0.73263888888888884</v>
          </cell>
          <cell r="V199">
            <v>65</v>
          </cell>
          <cell r="AD199">
            <v>53.7</v>
          </cell>
          <cell r="AE199">
            <v>12.04</v>
          </cell>
          <cell r="AG199">
            <v>50.5</v>
          </cell>
          <cell r="AS199">
            <v>100.42613023056258</v>
          </cell>
          <cell r="AT199">
            <v>101.91136673895002</v>
          </cell>
          <cell r="AV199" t="str">
            <v>K. Benjamin</v>
          </cell>
          <cell r="AW199">
            <v>0.28472222222222215</v>
          </cell>
        </row>
        <row r="200">
          <cell r="A200" t="str">
            <v>ST182</v>
          </cell>
          <cell r="P200">
            <v>55</v>
          </cell>
          <cell r="Q200">
            <v>4.9001814882032715</v>
          </cell>
          <cell r="T200">
            <v>0.71666666666666667</v>
          </cell>
          <cell r="U200">
            <v>0.84444444444444444</v>
          </cell>
          <cell r="V200">
            <v>75</v>
          </cell>
          <cell r="AD200">
            <v>53.7</v>
          </cell>
          <cell r="AE200">
            <v>12.01</v>
          </cell>
          <cell r="AG200">
            <v>50.6</v>
          </cell>
          <cell r="AS200">
            <v>100.62499385478152</v>
          </cell>
          <cell r="AT200">
            <v>102.11317142556182</v>
          </cell>
          <cell r="AV200" t="str">
            <v>K. Benjamin</v>
          </cell>
          <cell r="AW200">
            <v>0.29583333333333328</v>
          </cell>
        </row>
        <row r="201">
          <cell r="A201" t="str">
            <v>ST183</v>
          </cell>
          <cell r="P201">
            <v>62</v>
          </cell>
          <cell r="Q201">
            <v>3.4482758620689626</v>
          </cell>
          <cell r="T201">
            <v>0.81874999999999998</v>
          </cell>
          <cell r="U201">
            <v>0.93263888888888891</v>
          </cell>
          <cell r="V201">
            <v>69</v>
          </cell>
          <cell r="AD201">
            <v>54.1</v>
          </cell>
          <cell r="AE201">
            <v>11.68</v>
          </cell>
          <cell r="AG201">
            <v>50.7</v>
          </cell>
          <cell r="AS201">
            <v>98.297689553042517</v>
          </cell>
          <cell r="AT201">
            <v>99.750975275517249</v>
          </cell>
          <cell r="AV201" t="str">
            <v>D. Gomaz</v>
          </cell>
          <cell r="AW201">
            <v>0.28680555555555554</v>
          </cell>
        </row>
        <row r="202">
          <cell r="A202" t="str">
            <v>ST184</v>
          </cell>
          <cell r="P202">
            <v>58</v>
          </cell>
          <cell r="Q202">
            <v>3.2667876588021727</v>
          </cell>
          <cell r="T202">
            <v>0.91249999999999998</v>
          </cell>
          <cell r="U202">
            <v>1.0256944444444445</v>
          </cell>
          <cell r="V202">
            <v>68</v>
          </cell>
          <cell r="AD202">
            <v>54.7</v>
          </cell>
          <cell r="AE202">
            <v>11.74</v>
          </cell>
          <cell r="AG202">
            <v>51.8</v>
          </cell>
          <cell r="AS202">
            <v>100.3048487527348</v>
          </cell>
          <cell r="AT202">
            <v>101.78829158772022</v>
          </cell>
          <cell r="AV202" t="str">
            <v>D. Gomaz</v>
          </cell>
          <cell r="AW202">
            <v>0.26527777777777783</v>
          </cell>
        </row>
        <row r="203">
          <cell r="A203" t="str">
            <v>ST185</v>
          </cell>
          <cell r="P203">
            <v>58</v>
          </cell>
          <cell r="Q203">
            <v>2.9090909090909114</v>
          </cell>
          <cell r="T203">
            <v>0.9770833333333333</v>
          </cell>
          <cell r="U203">
            <v>1.0951388888888889</v>
          </cell>
          <cell r="V203">
            <v>57</v>
          </cell>
          <cell r="AD203">
            <v>55</v>
          </cell>
          <cell r="AE203">
            <v>11.79</v>
          </cell>
          <cell r="AG203">
            <v>52.1</v>
          </cell>
          <cell r="AS203">
            <v>101.79315931615676</v>
          </cell>
          <cell r="AT203">
            <v>103.29861328688483</v>
          </cell>
          <cell r="AV203" t="str">
            <v>R.Sookram</v>
          </cell>
          <cell r="AW203">
            <v>0.26180555555555551</v>
          </cell>
        </row>
        <row r="204">
          <cell r="A204" t="str">
            <v>ST186</v>
          </cell>
          <cell r="P204">
            <v>58</v>
          </cell>
          <cell r="Q204">
            <v>1.277372262773715</v>
          </cell>
          <cell r="T204">
            <v>1.0958333333333334</v>
          </cell>
          <cell r="U204">
            <v>1.2034722222222223</v>
          </cell>
          <cell r="V204">
            <v>66</v>
          </cell>
          <cell r="AD204">
            <v>54.8</v>
          </cell>
          <cell r="AE204">
            <v>11.91</v>
          </cell>
          <cell r="AG204">
            <v>53</v>
          </cell>
          <cell r="AS204">
            <v>104.73648096630129</v>
          </cell>
          <cell r="AT204">
            <v>106.28445647528686</v>
          </cell>
          <cell r="AV204" t="str">
            <v>R.Sookram</v>
          </cell>
          <cell r="AW204">
            <v>0.28680555555555565</v>
          </cell>
        </row>
        <row r="205">
          <cell r="A205" t="str">
            <v>ST187</v>
          </cell>
          <cell r="P205">
            <v>58</v>
          </cell>
          <cell r="Q205">
            <v>1.277372262773715</v>
          </cell>
          <cell r="T205">
            <v>1.2041666666666666</v>
          </cell>
          <cell r="U205">
            <v>1.3173611111111112</v>
          </cell>
          <cell r="V205">
            <v>58</v>
          </cell>
          <cell r="AD205">
            <v>54.8</v>
          </cell>
          <cell r="AE205">
            <v>11.9</v>
          </cell>
          <cell r="AG205">
            <v>52.6</v>
          </cell>
          <cell r="AS205">
            <v>104.07643263107897</v>
          </cell>
          <cell r="AT205">
            <v>105.61414998341448</v>
          </cell>
          <cell r="AV205" t="str">
            <v>R.Sookram</v>
          </cell>
          <cell r="AW205">
            <v>0.3173611111111112</v>
          </cell>
        </row>
        <row r="206">
          <cell r="A206" t="str">
            <v>ST188</v>
          </cell>
          <cell r="P206">
            <v>60</v>
          </cell>
          <cell r="Q206">
            <v>5.2536231884057942</v>
          </cell>
          <cell r="T206">
            <v>0.34375</v>
          </cell>
          <cell r="U206">
            <v>0.48472222222222222</v>
          </cell>
          <cell r="V206">
            <v>65</v>
          </cell>
          <cell r="AD206">
            <v>55.7</v>
          </cell>
          <cell r="AE206">
            <v>11.9</v>
          </cell>
          <cell r="AG206">
            <v>52.7</v>
          </cell>
          <cell r="AS206">
            <v>104.01329640324821</v>
          </cell>
          <cell r="AT206">
            <v>105.5510847205291</v>
          </cell>
          <cell r="AV206" t="str">
            <v>K. Benjamin</v>
          </cell>
          <cell r="AW206">
            <v>0.29027777777777775</v>
          </cell>
        </row>
        <row r="207">
          <cell r="A207" t="str">
            <v>ST189</v>
          </cell>
          <cell r="P207">
            <v>62</v>
          </cell>
          <cell r="Q207">
            <v>1.2820512820512873</v>
          </cell>
          <cell r="T207">
            <v>0.48402777777777778</v>
          </cell>
          <cell r="U207">
            <v>0.6166666666666667</v>
          </cell>
          <cell r="V207">
            <v>69</v>
          </cell>
          <cell r="AD207">
            <v>54.8</v>
          </cell>
          <cell r="AE207">
            <v>12.27</v>
          </cell>
          <cell r="AG207">
            <v>51.7</v>
          </cell>
          <cell r="AS207">
            <v>105.77821094217738</v>
          </cell>
          <cell r="AT207">
            <v>107.34158292500622</v>
          </cell>
          <cell r="AV207" t="str">
            <v>K. Benjamin</v>
          </cell>
          <cell r="AW207">
            <v>0.33888888888888891</v>
          </cell>
        </row>
        <row r="208">
          <cell r="A208" t="str">
            <v>ST190</v>
          </cell>
          <cell r="P208">
            <v>66</v>
          </cell>
          <cell r="Q208">
            <v>1.462522851919569</v>
          </cell>
          <cell r="T208">
            <v>0.62083333333333335</v>
          </cell>
          <cell r="U208">
            <v>0.75069444444444444</v>
          </cell>
          <cell r="V208">
            <v>67</v>
          </cell>
          <cell r="AD208">
            <v>54.8</v>
          </cell>
          <cell r="AE208">
            <v>11.92</v>
          </cell>
          <cell r="AG208">
            <v>51.7</v>
          </cell>
          <cell r="AS208">
            <v>102.42416344927454</v>
          </cell>
          <cell r="AT208">
            <v>103.93697262884054</v>
          </cell>
          <cell r="AV208" t="str">
            <v>K. Benjamin</v>
          </cell>
          <cell r="AW208">
            <v>0.31319444444444444</v>
          </cell>
        </row>
        <row r="209">
          <cell r="A209" t="str">
            <v>ST191</v>
          </cell>
          <cell r="P209">
            <v>58</v>
          </cell>
          <cell r="Q209">
            <v>1.8214936247723135</v>
          </cell>
          <cell r="T209">
            <v>0.75902777777777775</v>
          </cell>
          <cell r="U209">
            <v>0.89583333333333337</v>
          </cell>
          <cell r="V209">
            <v>70</v>
          </cell>
          <cell r="AD209">
            <v>54.8</v>
          </cell>
          <cell r="AE209">
            <v>11.84</v>
          </cell>
          <cell r="AG209">
            <v>51.7</v>
          </cell>
          <cell r="AS209">
            <v>101.51921100112835</v>
          </cell>
          <cell r="AT209">
            <v>103.01865399517209</v>
          </cell>
          <cell r="AV209" t="str">
            <v>D. Gomaz</v>
          </cell>
          <cell r="AW209">
            <v>0.375</v>
          </cell>
        </row>
        <row r="210">
          <cell r="A210" t="str">
            <v>ST192</v>
          </cell>
          <cell r="P210">
            <v>56</v>
          </cell>
          <cell r="Q210">
            <v>5.2727272727272698</v>
          </cell>
          <cell r="T210">
            <v>0.89722222222222225</v>
          </cell>
          <cell r="U210">
            <v>1.0291666666666666</v>
          </cell>
          <cell r="V210">
            <v>65</v>
          </cell>
          <cell r="AE210">
            <v>11.8</v>
          </cell>
          <cell r="AG210">
            <v>52.3</v>
          </cell>
          <cell r="AS210">
            <v>102.44000842463204</v>
          </cell>
          <cell r="AT210">
            <v>103.95404272021457</v>
          </cell>
          <cell r="AV210" t="str">
            <v>D. Gomaz</v>
          </cell>
          <cell r="AW210">
            <v>0.40416666666666656</v>
          </cell>
        </row>
        <row r="211">
          <cell r="A211" t="str">
            <v>ST193</v>
          </cell>
          <cell r="P211">
            <v>62</v>
          </cell>
          <cell r="Q211">
            <v>9.5940959409594146</v>
          </cell>
          <cell r="T211">
            <v>0.29583333333333334</v>
          </cell>
          <cell r="U211">
            <v>0.41875000000000001</v>
          </cell>
          <cell r="V211">
            <v>79</v>
          </cell>
          <cell r="AD211">
            <v>51.1</v>
          </cell>
          <cell r="AE211">
            <v>12.07</v>
          </cell>
          <cell r="AG211">
            <v>49.1</v>
          </cell>
          <cell r="AS211">
            <v>98.867922657162993</v>
          </cell>
          <cell r="AT211">
            <v>100.32868487216118</v>
          </cell>
          <cell r="AV211" t="str">
            <v>D. Gomaz</v>
          </cell>
          <cell r="AW211">
            <v>0.29375000000000001</v>
          </cell>
        </row>
        <row r="212">
          <cell r="A212" t="str">
            <v>ST194</v>
          </cell>
          <cell r="P212">
            <v>64</v>
          </cell>
          <cell r="Q212">
            <v>7.0652173913043441</v>
          </cell>
          <cell r="T212">
            <v>0.3840277777777778</v>
          </cell>
          <cell r="U212">
            <v>0.51111111111111107</v>
          </cell>
          <cell r="V212">
            <v>80</v>
          </cell>
          <cell r="AD212">
            <v>54.4</v>
          </cell>
          <cell r="AE212">
            <v>11.64</v>
          </cell>
          <cell r="AG212">
            <v>51</v>
          </cell>
          <cell r="AS212">
            <v>97.867502708764803</v>
          </cell>
          <cell r="AT212">
            <v>99.314898796556392</v>
          </cell>
          <cell r="AV212" t="str">
            <v>D. Gomaz</v>
          </cell>
          <cell r="AW212">
            <v>0.26805555555555549</v>
          </cell>
        </row>
        <row r="213">
          <cell r="A213" t="str">
            <v>ST195</v>
          </cell>
          <cell r="P213">
            <v>60</v>
          </cell>
          <cell r="Q213">
            <v>5.9566787003610058</v>
          </cell>
          <cell r="T213">
            <v>0.47708333333333336</v>
          </cell>
          <cell r="U213">
            <v>0.60277777777777775</v>
          </cell>
          <cell r="V213">
            <v>81</v>
          </cell>
          <cell r="AD213">
            <v>55.2</v>
          </cell>
          <cell r="AE213">
            <v>11.7</v>
          </cell>
          <cell r="AG213">
            <v>51.9</v>
          </cell>
          <cell r="AS213">
            <v>100.37302685675083</v>
          </cell>
          <cell r="AT213">
            <v>101.85795932389384</v>
          </cell>
          <cell r="AV213" t="str">
            <v>D. Gomaz</v>
          </cell>
          <cell r="AW213">
            <v>0.26944444444444443</v>
          </cell>
        </row>
        <row r="214">
          <cell r="A214" t="str">
            <v>ST196</v>
          </cell>
          <cell r="P214">
            <v>61</v>
          </cell>
          <cell r="Q214">
            <v>4.9001814882032715</v>
          </cell>
          <cell r="T214">
            <v>0.56805555555555554</v>
          </cell>
          <cell r="U214">
            <v>0.67083333333333328</v>
          </cell>
          <cell r="V214">
            <v>56</v>
          </cell>
          <cell r="AD214">
            <v>53.7</v>
          </cell>
          <cell r="AE214">
            <v>11.84</v>
          </cell>
          <cell r="AG214">
            <v>50.3</v>
          </cell>
          <cell r="AS214">
            <v>98.153626645427877</v>
          </cell>
          <cell r="AT214">
            <v>99.605724998321449</v>
          </cell>
          <cell r="AV214" t="str">
            <v>D. Gomaz</v>
          </cell>
          <cell r="AW214">
            <v>0.2541666666666666</v>
          </cell>
        </row>
        <row r="215">
          <cell r="A215" t="str">
            <v>ST197</v>
          </cell>
          <cell r="P215">
            <v>58</v>
          </cell>
          <cell r="Q215">
            <v>5.6363636363636385</v>
          </cell>
          <cell r="T215">
            <v>0.65277777777777779</v>
          </cell>
          <cell r="U215">
            <v>0.76041666666666663</v>
          </cell>
          <cell r="V215">
            <v>52</v>
          </cell>
          <cell r="AD215">
            <v>52.8</v>
          </cell>
          <cell r="AE215">
            <v>12</v>
          </cell>
          <cell r="AG215">
            <v>49.4</v>
          </cell>
          <cell r="AS215">
            <v>98.115990931121161</v>
          </cell>
          <cell r="AT215">
            <v>99.567532496042418</v>
          </cell>
          <cell r="AV215" t="str">
            <v>D. Gomaz</v>
          </cell>
          <cell r="AW215">
            <v>0.26041666666666663</v>
          </cell>
        </row>
        <row r="216">
          <cell r="A216" t="str">
            <v>ST198</v>
          </cell>
          <cell r="P216">
            <v>58</v>
          </cell>
          <cell r="Q216">
            <v>2.3765996343692946</v>
          </cell>
          <cell r="T216">
            <v>0.73819444444444449</v>
          </cell>
          <cell r="U216">
            <v>0.8520833333333333</v>
          </cell>
          <cell r="V216">
            <v>59</v>
          </cell>
          <cell r="AD216">
            <v>54.3</v>
          </cell>
          <cell r="AE216">
            <v>11.68</v>
          </cell>
          <cell r="AG216">
            <v>50.9</v>
          </cell>
          <cell r="AS216">
            <v>98.809112005591132</v>
          </cell>
          <cell r="AT216">
            <v>100.2694826810054</v>
          </cell>
          <cell r="AV216" t="str">
            <v>K. Benjamin</v>
          </cell>
          <cell r="AW216">
            <v>0.26874999999999993</v>
          </cell>
        </row>
        <row r="217">
          <cell r="A217" t="str">
            <v>ST199</v>
          </cell>
          <cell r="P217">
            <v>63</v>
          </cell>
          <cell r="Q217">
            <v>2.5408348457350245</v>
          </cell>
          <cell r="T217">
            <v>0.8208333333333333</v>
          </cell>
          <cell r="U217">
            <v>0.93680555555555556</v>
          </cell>
          <cell r="V217">
            <v>63</v>
          </cell>
          <cell r="AD217">
            <v>55</v>
          </cell>
          <cell r="AE217">
            <v>11.76</v>
          </cell>
          <cell r="AG217">
            <v>51.8</v>
          </cell>
          <cell r="AS217">
            <v>101.08067316566927</v>
          </cell>
          <cell r="AT217">
            <v>102.57607465035885</v>
          </cell>
          <cell r="AV217" t="str">
            <v>K. Benjamin</v>
          </cell>
          <cell r="AW217">
            <v>0.25277777777777777</v>
          </cell>
        </row>
        <row r="218">
          <cell r="A218" t="str">
            <v>ST200</v>
          </cell>
          <cell r="P218">
            <v>61</v>
          </cell>
          <cell r="Q218">
            <v>2.0072992700729824</v>
          </cell>
          <cell r="T218">
            <v>0.90277777777777779</v>
          </cell>
          <cell r="U218">
            <v>1.01875</v>
          </cell>
          <cell r="V218">
            <v>66</v>
          </cell>
          <cell r="AD218">
            <v>55.1</v>
          </cell>
          <cell r="AE218">
            <v>11.63</v>
          </cell>
          <cell r="AG218">
            <v>52.2</v>
          </cell>
          <cell r="AS218">
            <v>100.42130937950147</v>
          </cell>
          <cell r="AT218">
            <v>101.90550787524573</v>
          </cell>
          <cell r="AV218" t="str">
            <v>K. Benjamin</v>
          </cell>
          <cell r="AW218">
            <v>0.25138888888888888</v>
          </cell>
        </row>
        <row r="219">
          <cell r="A219" t="str">
            <v>ST201</v>
          </cell>
          <cell r="P219">
            <v>59</v>
          </cell>
          <cell r="Q219">
            <v>2.7422303473491771</v>
          </cell>
          <cell r="T219">
            <v>1.0041666666666667</v>
          </cell>
          <cell r="U219">
            <v>1.1118055555555555</v>
          </cell>
          <cell r="V219">
            <v>60</v>
          </cell>
          <cell r="AD219">
            <v>54</v>
          </cell>
          <cell r="AE219">
            <v>11.6</v>
          </cell>
          <cell r="AG219">
            <v>50.9</v>
          </cell>
          <cell r="AS219">
            <v>97.675605644629954</v>
          </cell>
          <cell r="AT219">
            <v>99.120163700876844</v>
          </cell>
          <cell r="AV219" t="str">
            <v>R.Sookram</v>
          </cell>
          <cell r="AW219">
            <v>0.26111111111111107</v>
          </cell>
        </row>
        <row r="220">
          <cell r="A220" t="str">
            <v>ST202</v>
          </cell>
          <cell r="P220">
            <v>58</v>
          </cell>
          <cell r="Q220">
            <v>7.4681238615664736</v>
          </cell>
          <cell r="T220">
            <v>1.0916666666666666</v>
          </cell>
          <cell r="U220">
            <v>1.2083333333333333</v>
          </cell>
          <cell r="V220">
            <v>76</v>
          </cell>
          <cell r="AD220">
            <v>52.6</v>
          </cell>
          <cell r="AE220">
            <v>11.86</v>
          </cell>
          <cell r="AG220">
            <v>48.6</v>
          </cell>
          <cell r="AS220">
            <v>95.681687628441722</v>
          </cell>
          <cell r="AT220">
            <v>97.097215773002745</v>
          </cell>
          <cell r="AV220" t="str">
            <v>K. Benjamin</v>
          </cell>
          <cell r="AW220">
            <v>0.27083333333333326</v>
          </cell>
        </row>
        <row r="221">
          <cell r="A221" t="str">
            <v>ST203</v>
          </cell>
          <cell r="P221">
            <v>59</v>
          </cell>
          <cell r="Q221">
            <v>7.3394495412844041</v>
          </cell>
          <cell r="T221">
            <v>0.2</v>
          </cell>
          <cell r="U221">
            <v>0.33958333333333335</v>
          </cell>
          <cell r="V221">
            <v>71</v>
          </cell>
          <cell r="AD221">
            <v>54.4</v>
          </cell>
          <cell r="AE221">
            <v>11.8</v>
          </cell>
          <cell r="AG221">
            <v>50.1</v>
          </cell>
          <cell r="AS221">
            <v>97.885552432619079</v>
          </cell>
          <cell r="AT221">
            <v>99.333215463971797</v>
          </cell>
          <cell r="AV221" t="str">
            <v>D. Gomaz</v>
          </cell>
          <cell r="AW221">
            <v>0.27708333333333335</v>
          </cell>
        </row>
        <row r="222">
          <cell r="A222" t="str">
            <v>ST204</v>
          </cell>
          <cell r="P222">
            <v>58</v>
          </cell>
          <cell r="Q222">
            <v>5.5258467023172928</v>
          </cell>
          <cell r="AD222">
            <v>54.3</v>
          </cell>
          <cell r="AE222">
            <v>11.8</v>
          </cell>
          <cell r="AG222">
            <v>49.13</v>
          </cell>
          <cell r="AS222">
            <v>95.870530359639602</v>
          </cell>
          <cell r="AT222">
            <v>97.28885226973226</v>
          </cell>
          <cell r="AV222" t="str">
            <v>D. Gomaz</v>
          </cell>
        </row>
        <row r="223">
          <cell r="A223" t="str">
            <v>ST205</v>
          </cell>
          <cell r="P223">
            <v>59</v>
          </cell>
          <cell r="Q223">
            <v>6.4695009242144179</v>
          </cell>
          <cell r="T223">
            <v>0.70208333333333328</v>
          </cell>
          <cell r="U223">
            <v>0.84375</v>
          </cell>
          <cell r="V223">
            <v>64</v>
          </cell>
          <cell r="AD223">
            <v>54.8</v>
          </cell>
          <cell r="AE223">
            <v>11.69</v>
          </cell>
          <cell r="AG223">
            <v>51.6</v>
          </cell>
          <cell r="AS223">
            <v>100.16797995065821</v>
          </cell>
          <cell r="AT223">
            <v>101.6484343092314</v>
          </cell>
          <cell r="AV223" t="str">
            <v>K. Benjamin</v>
          </cell>
          <cell r="AW223">
            <v>0.60763888888888884</v>
          </cell>
        </row>
        <row r="224">
          <cell r="A224" t="str">
            <v>ST206</v>
          </cell>
          <cell r="P224">
            <v>61</v>
          </cell>
          <cell r="Q224">
            <v>5.4446460980036298</v>
          </cell>
          <cell r="T224">
            <v>0.84097222222222223</v>
          </cell>
          <cell r="U224">
            <v>0.9555555555555556</v>
          </cell>
          <cell r="V224">
            <v>61</v>
          </cell>
          <cell r="AD224">
            <v>55.2</v>
          </cell>
          <cell r="AE224">
            <v>11.6</v>
          </cell>
          <cell r="AG224">
            <v>52</v>
          </cell>
          <cell r="AS224">
            <v>99.91135688893435</v>
          </cell>
          <cell r="AT224">
            <v>101.38849993410646</v>
          </cell>
          <cell r="AV224" t="str">
            <v>K. Benjamin</v>
          </cell>
          <cell r="AW224">
            <v>0.58750000000000002</v>
          </cell>
        </row>
        <row r="225">
          <cell r="A225" t="str">
            <v>ST207</v>
          </cell>
          <cell r="P225">
            <v>61</v>
          </cell>
          <cell r="Q225">
            <v>4.9270072992700653</v>
          </cell>
          <cell r="T225">
            <v>0.95208333333333328</v>
          </cell>
          <cell r="U225">
            <v>1.075</v>
          </cell>
          <cell r="V225">
            <v>62</v>
          </cell>
          <cell r="AD225">
            <v>53.9</v>
          </cell>
          <cell r="AE225">
            <v>11.62</v>
          </cell>
          <cell r="AG225">
            <v>51.2</v>
          </cell>
          <cell r="AS225">
            <v>98.49752950633092</v>
          </cell>
          <cell r="AT225">
            <v>99.953295080700798</v>
          </cell>
          <cell r="AV225" t="str">
            <v>R.Sookram</v>
          </cell>
          <cell r="AW225">
            <v>0.31111111111111112</v>
          </cell>
        </row>
        <row r="226">
          <cell r="A226" t="str">
            <v>ST208</v>
          </cell>
          <cell r="P226">
            <v>58</v>
          </cell>
          <cell r="Q226">
            <v>4.5537340619307836</v>
          </cell>
          <cell r="T226">
            <v>1.0597222222222222</v>
          </cell>
          <cell r="U226">
            <v>1.1722222222222223</v>
          </cell>
          <cell r="V226">
            <v>68</v>
          </cell>
          <cell r="AD226">
            <v>54.2</v>
          </cell>
          <cell r="AE226">
            <v>11.76</v>
          </cell>
          <cell r="AG226">
            <v>51.1</v>
          </cell>
          <cell r="AS226">
            <v>100.08956846077814</v>
          </cell>
          <cell r="AT226">
            <v>101.56886391975077</v>
          </cell>
          <cell r="AV226" t="str">
            <v>R.Sookram</v>
          </cell>
          <cell r="AW226">
            <v>0.27638888888888891</v>
          </cell>
        </row>
        <row r="227">
          <cell r="A227" t="str">
            <v>ST209</v>
          </cell>
          <cell r="V227">
            <v>66</v>
          </cell>
          <cell r="AD227">
            <v>54.1</v>
          </cell>
          <cell r="AE227">
            <v>11.64</v>
          </cell>
          <cell r="AG227">
            <v>48.3</v>
          </cell>
          <cell r="AS227">
            <v>92.80227957183709</v>
          </cell>
          <cell r="AT227">
            <v>94.174318208025795</v>
          </cell>
          <cell r="AV227" t="str">
            <v>R.Sookram</v>
          </cell>
          <cell r="AW227">
            <v>0.26249999999999996</v>
          </cell>
        </row>
        <row r="228">
          <cell r="A228" t="str">
            <v>ST210</v>
          </cell>
          <cell r="P228">
            <v>60</v>
          </cell>
          <cell r="Q228">
            <v>2.4482109227871884</v>
          </cell>
          <cell r="T228">
            <v>0.25069444444444444</v>
          </cell>
          <cell r="U228">
            <v>0.38263888888888886</v>
          </cell>
          <cell r="V228">
            <v>76</v>
          </cell>
          <cell r="AD228">
            <v>52.7</v>
          </cell>
          <cell r="AE228">
            <v>11.4</v>
          </cell>
          <cell r="AG228">
            <v>50.3</v>
          </cell>
          <cell r="AS228">
            <v>101.36025128712886</v>
          </cell>
          <cell r="AT228">
            <v>102.83224433808482</v>
          </cell>
          <cell r="AV228" t="str">
            <v>R.Sookram</v>
          </cell>
          <cell r="AW228">
            <v>0.28888888888888886</v>
          </cell>
        </row>
        <row r="229">
          <cell r="A229" t="str">
            <v>ST211</v>
          </cell>
          <cell r="P229">
            <v>60</v>
          </cell>
          <cell r="Q229">
            <v>2.372262773722623</v>
          </cell>
          <cell r="T229">
            <v>1.0618055555555554</v>
          </cell>
          <cell r="U229">
            <v>1.1902777777777778</v>
          </cell>
          <cell r="V229">
            <v>58</v>
          </cell>
          <cell r="AD229">
            <v>54.4</v>
          </cell>
          <cell r="AE229">
            <v>12.3</v>
          </cell>
          <cell r="AG229">
            <v>51</v>
          </cell>
          <cell r="AS229">
            <v>104.17219224910809</v>
          </cell>
          <cell r="AT229">
            <v>106.15324188277053</v>
          </cell>
          <cell r="AV229" t="str">
            <v>K. Benjamin</v>
          </cell>
          <cell r="AW229">
            <v>0.28055555555555556</v>
          </cell>
        </row>
        <row r="230">
          <cell r="A230" t="str">
            <v>ST212</v>
          </cell>
          <cell r="P230">
            <v>60</v>
          </cell>
          <cell r="Q230">
            <v>2.9038112522686053</v>
          </cell>
          <cell r="T230">
            <v>1.1840277777777777</v>
          </cell>
          <cell r="U230">
            <v>1.304861111111111</v>
          </cell>
          <cell r="V230">
            <v>61</v>
          </cell>
          <cell r="AD230">
            <v>54.4</v>
          </cell>
          <cell r="AE230">
            <v>11.6</v>
          </cell>
          <cell r="AG230">
            <v>51.1</v>
          </cell>
          <cell r="AS230">
            <v>98.018130850466463</v>
          </cell>
          <cell r="AT230">
            <v>99.88275953628667</v>
          </cell>
          <cell r="AV230" t="str">
            <v>K. Benjamin</v>
          </cell>
          <cell r="AW230">
            <v>0.30833333333333324</v>
          </cell>
        </row>
        <row r="231">
          <cell r="A231" t="str">
            <v>ST213</v>
          </cell>
          <cell r="P231">
            <v>61</v>
          </cell>
          <cell r="Q231">
            <v>2.5547445255474428</v>
          </cell>
          <cell r="T231">
            <v>0.30277777777777776</v>
          </cell>
          <cell r="U231">
            <v>0.44305555555555554</v>
          </cell>
          <cell r="V231">
            <v>62</v>
          </cell>
          <cell r="AD231">
            <v>54.8</v>
          </cell>
          <cell r="AE231">
            <v>11.8</v>
          </cell>
          <cell r="AG231">
            <v>51.8</v>
          </cell>
          <cell r="AS231">
            <v>101.29164628597466</v>
          </cell>
          <cell r="AT231">
            <v>103.21791638200995</v>
          </cell>
          <cell r="AV231" t="str">
            <v>R. Regis</v>
          </cell>
          <cell r="AW231">
            <v>0.35972222222222222</v>
          </cell>
        </row>
        <row r="232">
          <cell r="A232" t="str">
            <v>ST214</v>
          </cell>
          <cell r="P232">
            <v>60</v>
          </cell>
          <cell r="Q232">
            <v>2.3636363636363584</v>
          </cell>
          <cell r="T232">
            <v>0.43958333333333333</v>
          </cell>
          <cell r="U232">
            <v>0.55069444444444449</v>
          </cell>
          <cell r="V232">
            <v>60</v>
          </cell>
          <cell r="AD232">
            <v>54.6</v>
          </cell>
          <cell r="AE232">
            <v>11.6</v>
          </cell>
          <cell r="AG232">
            <v>51.4</v>
          </cell>
          <cell r="AS232">
            <v>98.717568355226533</v>
          </cell>
          <cell r="AT232">
            <v>100.59488703695796</v>
          </cell>
          <cell r="AV232" t="str">
            <v>R. Regis</v>
          </cell>
          <cell r="AW232">
            <v>0.33888888888888891</v>
          </cell>
        </row>
        <row r="233">
          <cell r="A233" t="str">
            <v>ST215</v>
          </cell>
          <cell r="P233">
            <v>60</v>
          </cell>
          <cell r="Q233">
            <v>2.3636363636363584</v>
          </cell>
          <cell r="T233">
            <v>0.55069444444444449</v>
          </cell>
          <cell r="U233">
            <v>0.66666666666666663</v>
          </cell>
          <cell r="V233">
            <v>63</v>
          </cell>
          <cell r="AD233">
            <v>54.6</v>
          </cell>
          <cell r="AE233">
            <v>11.6</v>
          </cell>
          <cell r="AG233">
            <v>49.2</v>
          </cell>
          <cell r="AS233">
            <v>94.373621092817032</v>
          </cell>
          <cell r="AT233">
            <v>96.168919162139019</v>
          </cell>
          <cell r="AV233" t="str">
            <v>R. Regis</v>
          </cell>
          <cell r="AW233">
            <v>0.31249999999999994</v>
          </cell>
        </row>
        <row r="234">
          <cell r="A234" t="str">
            <v>ST216</v>
          </cell>
          <cell r="P234">
            <v>58</v>
          </cell>
          <cell r="Q234">
            <v>1.2844036697247627</v>
          </cell>
          <cell r="T234">
            <v>0.6694444444444444</v>
          </cell>
          <cell r="U234">
            <v>0.77500000000000002</v>
          </cell>
          <cell r="V234">
            <v>63</v>
          </cell>
          <cell r="AD234">
            <v>54.7</v>
          </cell>
          <cell r="AE234">
            <v>11.6</v>
          </cell>
          <cell r="AG234">
            <v>49.4</v>
          </cell>
          <cell r="AS234">
            <v>94.757253698885393</v>
          </cell>
          <cell r="AT234">
            <v>96.559849727838767</v>
          </cell>
          <cell r="AV234" t="str">
            <v>R.Sookram</v>
          </cell>
          <cell r="AW234">
            <v>0.29583333333333334</v>
          </cell>
        </row>
        <row r="235">
          <cell r="A235" t="str">
            <v>ST217</v>
          </cell>
          <cell r="P235">
            <v>65</v>
          </cell>
          <cell r="Q235">
            <v>0.91240875912407471</v>
          </cell>
          <cell r="T235">
            <v>0.78611111111111109</v>
          </cell>
          <cell r="U235">
            <v>0.88263888888888886</v>
          </cell>
          <cell r="V235">
            <v>60</v>
          </cell>
          <cell r="AD235">
            <v>56.5</v>
          </cell>
          <cell r="AE235">
            <v>11.8</v>
          </cell>
          <cell r="AG235">
            <v>49.4</v>
          </cell>
          <cell r="AS235">
            <v>96.356247062990235</v>
          </cell>
          <cell r="AT235">
            <v>98.189860619093707</v>
          </cell>
          <cell r="AV235" t="str">
            <v>R.Sookram</v>
          </cell>
          <cell r="AW235">
            <v>0.30625000000000002</v>
          </cell>
        </row>
        <row r="236">
          <cell r="A236" t="str">
            <v>ST218</v>
          </cell>
          <cell r="P236">
            <v>101</v>
          </cell>
          <cell r="Q236">
            <v>1.4787430683918616</v>
          </cell>
          <cell r="T236">
            <v>0.87708333333333333</v>
          </cell>
          <cell r="U236">
            <v>1.0006944444444446</v>
          </cell>
          <cell r="V236">
            <v>64</v>
          </cell>
          <cell r="AD236">
            <v>54.2</v>
          </cell>
          <cell r="AE236">
            <v>11.6</v>
          </cell>
          <cell r="AG236">
            <v>51.1</v>
          </cell>
          <cell r="AS236">
            <v>97.895175175059975</v>
          </cell>
          <cell r="AT236">
            <v>99.758073801246312</v>
          </cell>
          <cell r="AV236" t="str">
            <v>R.Sookram</v>
          </cell>
          <cell r="AW236">
            <v>0.27500000000000013</v>
          </cell>
        </row>
        <row r="237">
          <cell r="A237" t="str">
            <v>ST219</v>
          </cell>
          <cell r="P237">
            <v>60</v>
          </cell>
          <cell r="Q237">
            <v>8.6629001883239205</v>
          </cell>
          <cell r="T237">
            <v>1.0166666666666666</v>
          </cell>
          <cell r="U237">
            <v>1.125</v>
          </cell>
          <cell r="V237">
            <v>56</v>
          </cell>
          <cell r="AD237">
            <v>53.1</v>
          </cell>
          <cell r="AE237">
            <v>11.8</v>
          </cell>
          <cell r="AG237">
            <v>49.5</v>
          </cell>
          <cell r="AS237">
            <v>97.406620295015315</v>
          </cell>
          <cell r="AT237">
            <v>99.255948434679922</v>
          </cell>
          <cell r="AV237" t="str">
            <v>D. Gomaz</v>
          </cell>
          <cell r="AW237">
            <v>0.24652777777777779</v>
          </cell>
        </row>
        <row r="238">
          <cell r="A238" t="str">
            <v>ST220</v>
          </cell>
          <cell r="P238">
            <v>58</v>
          </cell>
          <cell r="Q238">
            <v>7.4545454545454568</v>
          </cell>
          <cell r="T238">
            <v>1.1090277777777777</v>
          </cell>
          <cell r="U238">
            <v>1.2131944444444445</v>
          </cell>
          <cell r="V238">
            <v>57</v>
          </cell>
          <cell r="AD238">
            <v>51.8</v>
          </cell>
          <cell r="AE238">
            <v>11.8</v>
          </cell>
          <cell r="AG238">
            <v>48.4</v>
          </cell>
          <cell r="AS238">
            <v>96.710712657442159</v>
          </cell>
          <cell r="AT238">
            <v>98.539378134254903</v>
          </cell>
          <cell r="AV238" t="str">
            <v>D. Gomaz</v>
          </cell>
          <cell r="AW238">
            <v>0.24444444444444446</v>
          </cell>
        </row>
        <row r="239">
          <cell r="A239" t="str">
            <v>ST221</v>
          </cell>
          <cell r="P239">
            <v>58</v>
          </cell>
          <cell r="Q239">
            <v>5.7971014492753676</v>
          </cell>
          <cell r="T239">
            <v>0.18958333333333333</v>
          </cell>
          <cell r="U239">
            <v>0.30833333333333335</v>
          </cell>
          <cell r="V239">
            <v>70</v>
          </cell>
          <cell r="AD239">
            <v>53.8</v>
          </cell>
          <cell r="AE239">
            <v>11.8</v>
          </cell>
          <cell r="AG239">
            <v>50.7</v>
          </cell>
          <cell r="AS239">
            <v>99.641893083846412</v>
          </cell>
          <cell r="AT239">
            <v>101.53428855889075</v>
          </cell>
          <cell r="AV239" t="str">
            <v>D. Gomaz</v>
          </cell>
          <cell r="AW239">
            <v>0.25277777777777777</v>
          </cell>
        </row>
        <row r="240">
          <cell r="A240" t="str">
            <v>ST222</v>
          </cell>
          <cell r="P240">
            <v>60</v>
          </cell>
          <cell r="Q240">
            <v>4.8327137546468304</v>
          </cell>
          <cell r="T240">
            <v>0.31597222222222221</v>
          </cell>
          <cell r="U240">
            <v>0.44027777777777777</v>
          </cell>
          <cell r="V240">
            <v>57</v>
          </cell>
          <cell r="AD240">
            <v>53.4</v>
          </cell>
          <cell r="AE240">
            <v>12</v>
          </cell>
          <cell r="AG240">
            <v>50.1</v>
          </cell>
          <cell r="AS240">
            <v>100.47209138244359</v>
          </cell>
          <cell r="AT240">
            <v>102.37898341966007</v>
          </cell>
          <cell r="AV240" t="str">
            <v>K. Benjamin</v>
          </cell>
          <cell r="AW240">
            <v>0.29791666666666666</v>
          </cell>
        </row>
      </sheetData>
      <sheetData sheetId="7">
        <row r="4">
          <cell r="D4">
            <v>12.04</v>
          </cell>
        </row>
        <row r="150">
          <cell r="D150">
            <v>12</v>
          </cell>
        </row>
        <row r="151">
          <cell r="D151">
            <v>12</v>
          </cell>
        </row>
        <row r="166">
          <cell r="D166">
            <v>11.84</v>
          </cell>
        </row>
        <row r="167">
          <cell r="D167">
            <v>11.89</v>
          </cell>
        </row>
        <row r="168">
          <cell r="D168">
            <v>11.92</v>
          </cell>
        </row>
        <row r="169">
          <cell r="D169">
            <v>11.51</v>
          </cell>
        </row>
        <row r="170">
          <cell r="D170">
            <v>11.74</v>
          </cell>
        </row>
        <row r="171">
          <cell r="D171">
            <v>11.84</v>
          </cell>
        </row>
        <row r="172">
          <cell r="D172">
            <v>11.65</v>
          </cell>
        </row>
        <row r="173">
          <cell r="D173">
            <v>11.7</v>
          </cell>
        </row>
        <row r="174">
          <cell r="D174">
            <v>11.8</v>
          </cell>
        </row>
        <row r="175">
          <cell r="D175">
            <v>9.5</v>
          </cell>
        </row>
        <row r="176">
          <cell r="D176">
            <v>12.09</v>
          </cell>
        </row>
        <row r="177">
          <cell r="D177">
            <v>13.91</v>
          </cell>
        </row>
        <row r="178">
          <cell r="D178">
            <v>11.69</v>
          </cell>
        </row>
        <row r="179">
          <cell r="D179">
            <v>11.81</v>
          </cell>
        </row>
        <row r="180">
          <cell r="D180">
            <v>11.69</v>
          </cell>
        </row>
        <row r="181">
          <cell r="D181">
            <v>11.77</v>
          </cell>
        </row>
        <row r="182">
          <cell r="D182">
            <v>11.85</v>
          </cell>
        </row>
        <row r="183">
          <cell r="D183">
            <v>11.9</v>
          </cell>
        </row>
        <row r="184">
          <cell r="D184">
            <v>11.81</v>
          </cell>
        </row>
        <row r="185">
          <cell r="D185">
            <v>11.81</v>
          </cell>
        </row>
        <row r="186">
          <cell r="D186">
            <v>11.78</v>
          </cell>
        </row>
        <row r="187">
          <cell r="D187">
            <v>12</v>
          </cell>
        </row>
        <row r="188">
          <cell r="D188">
            <v>11.94</v>
          </cell>
        </row>
        <row r="189">
          <cell r="D189">
            <v>11.53</v>
          </cell>
        </row>
        <row r="190">
          <cell r="D190">
            <v>11.8</v>
          </cell>
        </row>
        <row r="191">
          <cell r="D191">
            <v>11.8</v>
          </cell>
        </row>
        <row r="192">
          <cell r="D192">
            <v>11.6</v>
          </cell>
        </row>
        <row r="193">
          <cell r="D193">
            <v>11.9</v>
          </cell>
        </row>
        <row r="195">
          <cell r="D195">
            <v>11.73</v>
          </cell>
        </row>
        <row r="196">
          <cell r="D196">
            <v>11.9</v>
          </cell>
        </row>
        <row r="197">
          <cell r="D197">
            <v>12</v>
          </cell>
        </row>
        <row r="198">
          <cell r="D198">
            <v>11.6</v>
          </cell>
        </row>
        <row r="199">
          <cell r="D199">
            <v>12.04</v>
          </cell>
        </row>
        <row r="200">
          <cell r="D200">
            <v>12.01</v>
          </cell>
        </row>
        <row r="201">
          <cell r="D201">
            <v>11.68</v>
          </cell>
        </row>
        <row r="202">
          <cell r="D202">
            <v>11.74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rewMaterials"/>
      <sheetName val="Brewhouse"/>
      <sheetName val="Process"/>
      <sheetName val="Guinnbottling"/>
      <sheetName val="Summary April '25"/>
      <sheetName val="Summary March '25"/>
      <sheetName val="Summary February '25"/>
      <sheetName val="Summary January '25"/>
      <sheetName val="Summary Dec '24  "/>
      <sheetName val="Summary May '25"/>
    </sheetNames>
    <sheetDataSet>
      <sheetData sheetId="0"/>
      <sheetData sheetId="1">
        <row r="4">
          <cell r="AU4">
            <v>95.064652661521251</v>
          </cell>
        </row>
        <row r="5">
          <cell r="AU5">
            <v>96.761647531636157</v>
          </cell>
        </row>
        <row r="6">
          <cell r="AU6">
            <v>98.540988907028222</v>
          </cell>
        </row>
        <row r="7">
          <cell r="AU7">
            <v>97.987496127919911</v>
          </cell>
        </row>
        <row r="9">
          <cell r="AU9">
            <v>96.878658921984908</v>
          </cell>
        </row>
        <row r="10">
          <cell r="AU10">
            <v>95.771550127068778</v>
          </cell>
        </row>
        <row r="11">
          <cell r="AU11">
            <v>97.655042988145951</v>
          </cell>
        </row>
        <row r="12">
          <cell r="AU12">
            <v>97.588179145211456</v>
          </cell>
        </row>
        <row r="13">
          <cell r="AU13">
            <v>95.48497302787608</v>
          </cell>
        </row>
        <row r="14">
          <cell r="AU14">
            <v>96.085762312216758</v>
          </cell>
        </row>
        <row r="15">
          <cell r="AU15">
            <v>94.435555625701596</v>
          </cell>
        </row>
        <row r="16">
          <cell r="AU16">
            <v>95.624399511520494</v>
          </cell>
        </row>
        <row r="17">
          <cell r="AU17">
            <v>96.979216130328368</v>
          </cell>
        </row>
        <row r="18">
          <cell r="AU18">
            <v>94.248871364698488</v>
          </cell>
        </row>
        <row r="19">
          <cell r="AU19">
            <v>95.050384097787941</v>
          </cell>
        </row>
        <row r="20">
          <cell r="AU20">
            <v>95.050384097787941</v>
          </cell>
        </row>
        <row r="21">
          <cell r="AU21">
            <v>95.2118805924067</v>
          </cell>
        </row>
        <row r="22">
          <cell r="AU22">
            <v>97.521945612269661</v>
          </cell>
        </row>
        <row r="24">
          <cell r="AU24">
            <v>101.17562190812932</v>
          </cell>
        </row>
        <row r="25">
          <cell r="AU25">
            <v>104.35489283685058</v>
          </cell>
        </row>
        <row r="26">
          <cell r="AU26">
            <v>96.487973390295707</v>
          </cell>
        </row>
        <row r="27">
          <cell r="AU27">
            <v>96.125236648226917</v>
          </cell>
        </row>
        <row r="28">
          <cell r="AU28">
            <v>96.035425509762433</v>
          </cell>
        </row>
        <row r="29">
          <cell r="AU29">
            <v>97.504418634194764</v>
          </cell>
        </row>
        <row r="30">
          <cell r="AU30">
            <v>96.37756538871183</v>
          </cell>
        </row>
        <row r="31">
          <cell r="AU31">
            <v>97.487479769387974</v>
          </cell>
        </row>
        <row r="32">
          <cell r="AU32">
            <v>94.125484514622414</v>
          </cell>
        </row>
        <row r="33">
          <cell r="AU33">
            <v>97.508191618159188</v>
          </cell>
        </row>
        <row r="34">
          <cell r="AU34">
            <v>97.827131938655612</v>
          </cell>
        </row>
        <row r="35">
          <cell r="AU35">
            <v>96.619542475024176</v>
          </cell>
        </row>
        <row r="37">
          <cell r="AU37">
            <v>96.214667872117261</v>
          </cell>
        </row>
        <row r="38">
          <cell r="AU38">
            <v>96.902724932547827</v>
          </cell>
        </row>
        <row r="39">
          <cell r="AU39">
            <v>96.477419827020157</v>
          </cell>
        </row>
        <row r="40">
          <cell r="AU40">
            <v>97.958535684216713</v>
          </cell>
        </row>
        <row r="41">
          <cell r="AU41">
            <v>98.383583724984007</v>
          </cell>
        </row>
        <row r="42">
          <cell r="AU42">
            <v>96.793336074199303</v>
          </cell>
        </row>
        <row r="43">
          <cell r="AU43">
            <v>99.803737147936374</v>
          </cell>
        </row>
        <row r="44">
          <cell r="AU44">
            <v>102.72591618996796</v>
          </cell>
        </row>
        <row r="45">
          <cell r="AU45">
            <v>97.552718434345124</v>
          </cell>
        </row>
        <row r="47">
          <cell r="A47" t="str">
            <v>GU040</v>
          </cell>
          <cell r="O47">
            <v>53</v>
          </cell>
          <cell r="R47">
            <v>4.0963855421686795</v>
          </cell>
          <cell r="T47">
            <v>1.0208333333333333</v>
          </cell>
          <cell r="U47">
            <v>1.1354166666666667</v>
          </cell>
          <cell r="V47">
            <v>62</v>
          </cell>
          <cell r="Z47">
            <v>0.32291666666666674</v>
          </cell>
          <cell r="AF47">
            <v>56.8</v>
          </cell>
          <cell r="AG47">
            <v>17</v>
          </cell>
          <cell r="AI47">
            <v>51.8</v>
          </cell>
          <cell r="AU47">
            <v>92.888951923394671</v>
          </cell>
          <cell r="AV47">
            <v>94.273896367601694</v>
          </cell>
          <cell r="AW47" t="str">
            <v>D. Gomaz</v>
          </cell>
        </row>
        <row r="48">
          <cell r="A48" t="str">
            <v>GU041</v>
          </cell>
          <cell r="O48">
            <v>55</v>
          </cell>
          <cell r="R48">
            <v>2.762237762237759</v>
          </cell>
          <cell r="T48">
            <v>1.1652777777777779</v>
          </cell>
          <cell r="U48">
            <v>1.2722222222222221</v>
          </cell>
          <cell r="V48">
            <v>64</v>
          </cell>
          <cell r="Z48">
            <v>0.25138888888888888</v>
          </cell>
          <cell r="AF48">
            <v>56.7</v>
          </cell>
          <cell r="AG48">
            <v>17.47</v>
          </cell>
          <cell r="AI48">
            <v>51.8</v>
          </cell>
          <cell r="AU48">
            <v>95.806125620162447</v>
          </cell>
          <cell r="AV48">
            <v>97.234564187410683</v>
          </cell>
          <cell r="AW48" t="str">
            <v>R. Sookram</v>
          </cell>
        </row>
        <row r="49">
          <cell r="A49" t="str">
            <v>GU042</v>
          </cell>
          <cell r="O49">
            <v>55</v>
          </cell>
          <cell r="R49">
            <v>3.4079173838209931</v>
          </cell>
          <cell r="T49">
            <v>0.26250000000000001</v>
          </cell>
          <cell r="U49">
            <v>0.38541666666666669</v>
          </cell>
          <cell r="V49">
            <v>67</v>
          </cell>
          <cell r="Z49">
            <v>0.26736111111111116</v>
          </cell>
          <cell r="AF49">
            <v>57.2</v>
          </cell>
          <cell r="AG49">
            <v>17</v>
          </cell>
          <cell r="AI49">
            <v>52.7</v>
          </cell>
          <cell r="AU49">
            <v>94.355661968588151</v>
          </cell>
          <cell r="AV49">
            <v>95.763021550321625</v>
          </cell>
          <cell r="AW49" t="str">
            <v>R. Sookram</v>
          </cell>
        </row>
        <row r="50">
          <cell r="A50" t="str">
            <v>GU043</v>
          </cell>
          <cell r="O50">
            <v>58</v>
          </cell>
          <cell r="R50">
            <v>2.3999999999999919</v>
          </cell>
          <cell r="T50">
            <v>0.37152777777777779</v>
          </cell>
          <cell r="U50">
            <v>0.48402777777777778</v>
          </cell>
          <cell r="V50">
            <v>65</v>
          </cell>
          <cell r="Z50">
            <v>0.26874999999999999</v>
          </cell>
          <cell r="AF50">
            <v>57.2</v>
          </cell>
          <cell r="AG50">
            <v>17.27</v>
          </cell>
          <cell r="AI50">
            <v>52.5</v>
          </cell>
          <cell r="AU50">
            <v>95.810201396742571</v>
          </cell>
          <cell r="AV50">
            <v>97.239256125947975</v>
          </cell>
          <cell r="AW50" t="str">
            <v>K. Benjamin</v>
          </cell>
        </row>
        <row r="51">
          <cell r="A51" t="str">
            <v>GU044</v>
          </cell>
          <cell r="O51">
            <v>62</v>
          </cell>
          <cell r="R51">
            <v>1.2318840579710137</v>
          </cell>
          <cell r="T51">
            <v>0.47222222222222221</v>
          </cell>
          <cell r="U51">
            <v>0.58958333333333335</v>
          </cell>
          <cell r="V51">
            <v>65</v>
          </cell>
          <cell r="Z51">
            <v>0.26319444444444445</v>
          </cell>
          <cell r="AF51">
            <v>58.4</v>
          </cell>
          <cell r="AG51">
            <v>17.46</v>
          </cell>
          <cell r="AI51">
            <v>53.8</v>
          </cell>
          <cell r="AU51">
            <v>99.427652456948039</v>
          </cell>
          <cell r="AV51">
            <v>100.91037523170181</v>
          </cell>
          <cell r="AW51" t="str">
            <v>K. Benjamin</v>
          </cell>
        </row>
        <row r="52">
          <cell r="A52" t="str">
            <v>GU045</v>
          </cell>
          <cell r="O52">
            <v>58</v>
          </cell>
          <cell r="R52">
            <v>1.3333333333333353</v>
          </cell>
          <cell r="T52">
            <v>0.5805555555555556</v>
          </cell>
          <cell r="U52">
            <v>0.7006944444444444</v>
          </cell>
          <cell r="V52">
            <v>76</v>
          </cell>
          <cell r="Z52">
            <v>0.26666666666666661</v>
          </cell>
          <cell r="AF52">
            <v>58.8</v>
          </cell>
          <cell r="AG52">
            <v>17.05</v>
          </cell>
          <cell r="AI52">
            <v>54.1</v>
          </cell>
          <cell r="AU52">
            <v>97.654775523306199</v>
          </cell>
          <cell r="AV52">
            <v>99.110776866962468</v>
          </cell>
          <cell r="AW52" t="str">
            <v>K. Benjamin</v>
          </cell>
        </row>
        <row r="53">
          <cell r="A53" t="str">
            <v>GU046</v>
          </cell>
          <cell r="O53">
            <v>59</v>
          </cell>
          <cell r="R53">
            <v>1.3131313131313032</v>
          </cell>
          <cell r="T53">
            <v>0.68958333333333333</v>
          </cell>
          <cell r="U53">
            <v>0.8256944444444444</v>
          </cell>
          <cell r="V53">
            <v>76</v>
          </cell>
          <cell r="Z53">
            <v>0.30486111111111103</v>
          </cell>
          <cell r="AF53">
            <v>59.7</v>
          </cell>
          <cell r="AG53">
            <v>17.25</v>
          </cell>
          <cell r="AI53">
            <v>55.1</v>
          </cell>
          <cell r="AU53">
            <v>100.94816106190711</v>
          </cell>
          <cell r="AV53">
            <v>102.45238454193677</v>
          </cell>
          <cell r="AW53" t="str">
            <v>D. Gomaz</v>
          </cell>
        </row>
        <row r="54">
          <cell r="A54" t="str">
            <v>GU047</v>
          </cell>
          <cell r="O54">
            <v>57</v>
          </cell>
          <cell r="R54">
            <v>0.65404475043029697</v>
          </cell>
          <cell r="T54">
            <v>0.81388888888888888</v>
          </cell>
          <cell r="U54">
            <v>0.94652777777777775</v>
          </cell>
          <cell r="V54">
            <v>81</v>
          </cell>
          <cell r="Z54">
            <v>0.32152777777777775</v>
          </cell>
          <cell r="AF54">
            <v>58.8</v>
          </cell>
          <cell r="AG54">
            <v>17.04</v>
          </cell>
          <cell r="AI54">
            <v>54.3</v>
          </cell>
          <cell r="AU54">
            <v>97.448016749021562</v>
          </cell>
          <cell r="AV54">
            <v>98.90065228299045</v>
          </cell>
          <cell r="AW54" t="str">
            <v>D. Gomaz</v>
          </cell>
        </row>
        <row r="55">
          <cell r="A55" t="str">
            <v>GU048</v>
          </cell>
          <cell r="O55">
            <v>60</v>
          </cell>
          <cell r="R55">
            <v>7.4509803921568629</v>
          </cell>
          <cell r="T55">
            <v>0.27916666666666667</v>
          </cell>
          <cell r="U55">
            <v>0.39513888888888887</v>
          </cell>
          <cell r="V55">
            <v>64</v>
          </cell>
          <cell r="Z55">
            <v>0.25972222222222219</v>
          </cell>
          <cell r="AF55">
            <v>56.6</v>
          </cell>
          <cell r="AG55">
            <v>17</v>
          </cell>
          <cell r="AI55">
            <v>51</v>
          </cell>
          <cell r="AU55">
            <v>93.513475858619572</v>
          </cell>
          <cell r="AV55">
            <v>95.354107648725204</v>
          </cell>
          <cell r="AW55" t="str">
            <v>K. Benjamin</v>
          </cell>
        </row>
        <row r="56">
          <cell r="A56" t="str">
            <v>GU049</v>
          </cell>
          <cell r="O56">
            <v>57</v>
          </cell>
          <cell r="R56">
            <v>-1.6819012797074984</v>
          </cell>
          <cell r="T56">
            <v>0.38263888888888886</v>
          </cell>
          <cell r="U56">
            <v>0.49583333333333335</v>
          </cell>
          <cell r="V56">
            <v>65</v>
          </cell>
          <cell r="Z56">
            <v>0.25624999999999998</v>
          </cell>
          <cell r="AF56">
            <v>57.9</v>
          </cell>
          <cell r="AG56">
            <v>17.2</v>
          </cell>
          <cell r="AI56">
            <v>52.8</v>
          </cell>
          <cell r="AU56">
            <v>98.277172200509639</v>
          </cell>
          <cell r="AV56">
            <v>100.21054805483129</v>
          </cell>
          <cell r="AW56" t="str">
            <v>K. Benjamin</v>
          </cell>
        </row>
        <row r="57">
          <cell r="A57" t="str">
            <v>GU050</v>
          </cell>
          <cell r="O57">
            <v>60</v>
          </cell>
          <cell r="R57">
            <v>3.2695652173912966</v>
          </cell>
          <cell r="T57">
            <v>0.47569444444444442</v>
          </cell>
          <cell r="U57">
            <v>0.59166666666666667</v>
          </cell>
          <cell r="V57">
            <v>66</v>
          </cell>
          <cell r="Z57">
            <v>0.24791666666666667</v>
          </cell>
          <cell r="AF57">
            <v>57</v>
          </cell>
          <cell r="AG57">
            <v>17</v>
          </cell>
          <cell r="AI57">
            <v>52.1</v>
          </cell>
          <cell r="AU57">
            <v>95.760757936806428</v>
          </cell>
          <cell r="AV57">
            <v>97.644629165913727</v>
          </cell>
          <cell r="AW57" t="str">
            <v>K. Benjamin</v>
          </cell>
        </row>
        <row r="58">
          <cell r="A58" t="str">
            <v>GU051</v>
          </cell>
          <cell r="O58">
            <v>56</v>
          </cell>
          <cell r="R58">
            <v>3.5677530017152632</v>
          </cell>
          <cell r="T58">
            <v>0.58333333333333337</v>
          </cell>
          <cell r="U58">
            <v>0.70694444444444449</v>
          </cell>
          <cell r="V58">
            <v>70</v>
          </cell>
          <cell r="Z58">
            <v>0.26527777777777783</v>
          </cell>
          <cell r="AF58">
            <v>57.3</v>
          </cell>
          <cell r="AG58">
            <v>17</v>
          </cell>
          <cell r="AI58">
            <v>52.5</v>
          </cell>
          <cell r="AU58">
            <v>96.573578554362598</v>
          </cell>
          <cell r="AV58">
            <v>98.473104944969748</v>
          </cell>
          <cell r="AW58" t="str">
            <v>R. Regis</v>
          </cell>
        </row>
        <row r="59">
          <cell r="A59" t="str">
            <v>GU052</v>
          </cell>
          <cell r="O59">
            <v>59</v>
          </cell>
          <cell r="R59">
            <v>2.866894197952218</v>
          </cell>
          <cell r="T59">
            <v>0.68472222222222223</v>
          </cell>
          <cell r="U59">
            <v>0.81874999999999998</v>
          </cell>
          <cell r="V59">
            <v>73</v>
          </cell>
          <cell r="Z59">
            <v>0.27708333333333335</v>
          </cell>
          <cell r="AF59">
            <v>58</v>
          </cell>
          <cell r="AG59">
            <v>17.3</v>
          </cell>
          <cell r="AI59">
            <v>53</v>
          </cell>
          <cell r="AU59">
            <v>99.533476293047087</v>
          </cell>
          <cell r="AV59">
            <v>101.49052893075252</v>
          </cell>
          <cell r="AW59" t="str">
            <v>R. Regis</v>
          </cell>
        </row>
        <row r="60">
          <cell r="A60" t="str">
            <v>GU053</v>
          </cell>
          <cell r="O60">
            <v>58</v>
          </cell>
          <cell r="R60">
            <v>2.3549488054607552</v>
          </cell>
          <cell r="T60">
            <v>0.80763888888888891</v>
          </cell>
          <cell r="U60">
            <v>0.92986111111111114</v>
          </cell>
          <cell r="V60">
            <v>74</v>
          </cell>
          <cell r="Z60">
            <v>0.26319444444444451</v>
          </cell>
          <cell r="AF60">
            <v>58.3</v>
          </cell>
          <cell r="AG60">
            <v>17.399999999999999</v>
          </cell>
          <cell r="AI60">
            <v>53.4</v>
          </cell>
          <cell r="AU60">
            <v>100.79975408192627</v>
          </cell>
          <cell r="AV60">
            <v>102.78205559146734</v>
          </cell>
          <cell r="AW60" t="str">
            <v>R. Regis</v>
          </cell>
        </row>
        <row r="61">
          <cell r="A61" t="str">
            <v>GU054</v>
          </cell>
          <cell r="O61">
            <v>59</v>
          </cell>
          <cell r="R61">
            <v>1.8430034129692803</v>
          </cell>
          <cell r="T61">
            <v>0.92083333333333328</v>
          </cell>
          <cell r="U61">
            <v>1.05</v>
          </cell>
          <cell r="V61">
            <v>90</v>
          </cell>
          <cell r="Z61">
            <v>0.27916666666666667</v>
          </cell>
          <cell r="AF61">
            <v>58.6</v>
          </cell>
          <cell r="AG61">
            <v>17.100000000000001</v>
          </cell>
          <cell r="AI61">
            <v>53.5</v>
          </cell>
          <cell r="AU61">
            <v>99.223354141007036</v>
          </cell>
          <cell r="AV61">
            <v>101.17430907773523</v>
          </cell>
          <cell r="AW61" t="str">
            <v>R. Regis</v>
          </cell>
        </row>
        <row r="62">
          <cell r="A62" t="str">
            <v>GU055</v>
          </cell>
          <cell r="O62">
            <v>59</v>
          </cell>
          <cell r="R62">
            <v>2.3549488054607552</v>
          </cell>
          <cell r="T62">
            <v>1.03125</v>
          </cell>
          <cell r="U62">
            <v>1.1743055555555555</v>
          </cell>
          <cell r="V62">
            <v>97</v>
          </cell>
          <cell r="Z62">
            <v>0.28888888888888886</v>
          </cell>
          <cell r="AF62">
            <v>58.3</v>
          </cell>
          <cell r="AG62">
            <v>17.2</v>
          </cell>
          <cell r="AI62">
            <v>53.8</v>
          </cell>
          <cell r="AU62">
            <v>100.46143353752879</v>
          </cell>
          <cell r="AV62">
            <v>102.43638152953667</v>
          </cell>
          <cell r="AW62" t="str">
            <v>D. Gomaz</v>
          </cell>
        </row>
      </sheetData>
      <sheetData sheetId="2">
        <row r="5">
          <cell r="D5">
            <v>17.399999999999999</v>
          </cell>
        </row>
        <row r="59">
          <cell r="D59">
            <v>17.8</v>
          </cell>
        </row>
        <row r="60">
          <cell r="D60">
            <v>17.600000000000001</v>
          </cell>
        </row>
        <row r="61">
          <cell r="D61">
            <v>17</v>
          </cell>
        </row>
        <row r="62">
          <cell r="D62">
            <v>17.399999999999999</v>
          </cell>
        </row>
      </sheetData>
      <sheetData sheetId="3"/>
      <sheetData sheetId="4">
        <row r="19">
          <cell r="E19">
            <v>9596</v>
          </cell>
        </row>
      </sheetData>
      <sheetData sheetId="5">
        <row r="19">
          <cell r="E19">
            <v>8752</v>
          </cell>
        </row>
      </sheetData>
      <sheetData sheetId="6">
        <row r="19">
          <cell r="E19">
            <v>9510</v>
          </cell>
        </row>
      </sheetData>
      <sheetData sheetId="7"/>
      <sheetData sheetId="8"/>
      <sheetData sheetId="9">
        <row r="19">
          <cell r="E19">
            <v>494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BrewMaterials"/>
      <sheetName val="Brewhouse"/>
      <sheetName val="Process"/>
      <sheetName val="Packaging"/>
      <sheetName val="Summary May '25"/>
      <sheetName val="Summary April '25"/>
      <sheetName val="Summary March '25"/>
      <sheetName val="Summary February '25"/>
      <sheetName val="Summary January '25"/>
      <sheetName val="Summary December '24 "/>
    </sheetNames>
    <sheetDataSet>
      <sheetData sheetId="0" refreshError="1"/>
      <sheetData sheetId="1"/>
      <sheetData sheetId="2"/>
      <sheetData sheetId="3">
        <row r="5">
          <cell r="AV5">
            <v>96.276959090498963</v>
          </cell>
        </row>
        <row r="6">
          <cell r="AV6">
            <v>95.250552277167415</v>
          </cell>
        </row>
        <row r="7">
          <cell r="AV7">
            <v>98.215857114037703</v>
          </cell>
        </row>
        <row r="8">
          <cell r="AV8">
            <v>97.065841044111437</v>
          </cell>
        </row>
        <row r="9">
          <cell r="AV9">
            <v>96.846940704132052</v>
          </cell>
        </row>
        <row r="10">
          <cell r="AV10">
            <v>97.997200643479516</v>
          </cell>
        </row>
        <row r="11">
          <cell r="AV11">
            <v>99.103663669233342</v>
          </cell>
        </row>
        <row r="12">
          <cell r="AV12">
            <v>100.09297596306546</v>
          </cell>
        </row>
        <row r="13">
          <cell r="AV13">
            <v>98.53505407982837</v>
          </cell>
        </row>
        <row r="14">
          <cell r="AV14">
            <v>99.07369922209736</v>
          </cell>
        </row>
        <row r="16">
          <cell r="AV16">
            <v>96.495371141271974</v>
          </cell>
        </row>
        <row r="17">
          <cell r="AV17">
            <v>100.26537727345534</v>
          </cell>
        </row>
        <row r="18">
          <cell r="AV18">
            <v>99.23384047023049</v>
          </cell>
        </row>
        <row r="19">
          <cell r="AV19">
            <v>100.78007672501261</v>
          </cell>
        </row>
        <row r="21">
          <cell r="AV21">
            <v>101.27863888434283</v>
          </cell>
        </row>
        <row r="22">
          <cell r="AV22">
            <v>99.303486828954206</v>
          </cell>
        </row>
        <row r="23">
          <cell r="AV23">
            <v>103.66984113752797</v>
          </cell>
        </row>
        <row r="24">
          <cell r="AV24">
            <v>95.602927454157623</v>
          </cell>
        </row>
        <row r="26">
          <cell r="AV26">
            <v>97.882610792421659</v>
          </cell>
        </row>
        <row r="27">
          <cell r="AV27">
            <v>102.56353376807962</v>
          </cell>
        </row>
        <row r="28">
          <cell r="AV28">
            <v>101.00969960355251</v>
          </cell>
        </row>
        <row r="29">
          <cell r="AV29">
            <v>98.793275944001337</v>
          </cell>
        </row>
        <row r="30">
          <cell r="AV30">
            <v>99.174984669941196</v>
          </cell>
        </row>
        <row r="31">
          <cell r="AV31">
            <v>99.790314392337137</v>
          </cell>
        </row>
        <row r="32">
          <cell r="AV32">
            <v>98.079903538511672</v>
          </cell>
        </row>
        <row r="33">
          <cell r="AV33">
            <v>99.588717797605156</v>
          </cell>
        </row>
        <row r="35">
          <cell r="A35" t="str">
            <v>VM027</v>
          </cell>
          <cell r="R35">
            <v>58</v>
          </cell>
          <cell r="S35">
            <v>6.5283018867924412</v>
          </cell>
          <cell r="V35">
            <v>0.74513888888888891</v>
          </cell>
          <cell r="W35">
            <v>0.87847222222222221</v>
          </cell>
          <cell r="X35">
            <v>81</v>
          </cell>
          <cell r="AB35">
            <v>0.29861111111111105</v>
          </cell>
          <cell r="AE35">
            <v>53</v>
          </cell>
          <cell r="AH35">
            <v>14.49</v>
          </cell>
          <cell r="AJ35">
            <v>48</v>
          </cell>
          <cell r="AV35">
            <v>98.928032542482782</v>
          </cell>
          <cell r="AW35">
            <v>99.292603887922908</v>
          </cell>
          <cell r="AZ35" t="str">
            <v>R.Sookram</v>
          </cell>
        </row>
        <row r="36">
          <cell r="A36" t="str">
            <v>VM028</v>
          </cell>
          <cell r="R36">
            <v>60</v>
          </cell>
          <cell r="S36">
            <v>4.8210922787193882</v>
          </cell>
          <cell r="V36">
            <v>0.83958333333333335</v>
          </cell>
          <cell r="W36">
            <v>0.97499999999999998</v>
          </cell>
          <cell r="X36">
            <v>79</v>
          </cell>
          <cell r="AB36">
            <v>0.28055555555555556</v>
          </cell>
          <cell r="AE36">
            <v>53.1</v>
          </cell>
          <cell r="AH36">
            <v>14.14</v>
          </cell>
          <cell r="AJ36">
            <v>50.1</v>
          </cell>
          <cell r="AV36">
            <v>100.22513199069148</v>
          </cell>
          <cell r="AW36">
            <v>100.59448343009333</v>
          </cell>
          <cell r="AZ36" t="str">
            <v>R.Sookram</v>
          </cell>
        </row>
        <row r="37">
          <cell r="A37" t="str">
            <v>VM029</v>
          </cell>
          <cell r="R37">
            <v>61</v>
          </cell>
          <cell r="S37">
            <v>4.2641509433962357</v>
          </cell>
          <cell r="V37">
            <v>0.94027777777777777</v>
          </cell>
          <cell r="W37">
            <v>1.0770833333333334</v>
          </cell>
          <cell r="X37">
            <v>87</v>
          </cell>
          <cell r="AB37">
            <v>0.28541666666666676</v>
          </cell>
          <cell r="AE37">
            <v>53</v>
          </cell>
          <cell r="AH37">
            <v>14.31</v>
          </cell>
          <cell r="AJ37">
            <v>49.1</v>
          </cell>
          <cell r="AV37">
            <v>99.888911394204086</v>
          </cell>
          <cell r="AW37">
            <v>100.25389178763051</v>
          </cell>
          <cell r="AZ37" t="str">
            <v>D. Gomez</v>
          </cell>
        </row>
        <row r="38">
          <cell r="A38" t="str">
            <v>VM030</v>
          </cell>
          <cell r="R38">
            <v>61</v>
          </cell>
          <cell r="S38">
            <v>4.2641509433962357</v>
          </cell>
          <cell r="V38">
            <v>1.0368055555555555</v>
          </cell>
          <cell r="W38">
            <v>1.1694444444444445</v>
          </cell>
          <cell r="X38">
            <v>78</v>
          </cell>
          <cell r="AB38">
            <v>0.27708333333333335</v>
          </cell>
          <cell r="AE38">
            <v>53</v>
          </cell>
          <cell r="AH38">
            <v>14.22</v>
          </cell>
          <cell r="AJ38">
            <v>49.6</v>
          </cell>
          <cell r="AV38">
            <v>100.17103246144012</v>
          </cell>
          <cell r="AW38">
            <v>100.53704368658427</v>
          </cell>
          <cell r="AZ38" t="str">
            <v>D. Gomez</v>
          </cell>
        </row>
        <row r="39">
          <cell r="A39" t="str">
            <v>VM031</v>
          </cell>
          <cell r="R39">
            <v>59</v>
          </cell>
          <cell r="S39">
            <v>4.0754716981132013</v>
          </cell>
          <cell r="V39">
            <v>1.1354166666666667</v>
          </cell>
          <cell r="W39">
            <v>1.26875</v>
          </cell>
          <cell r="X39">
            <v>80</v>
          </cell>
          <cell r="AB39">
            <v>0.27916666666666667</v>
          </cell>
          <cell r="AE39">
            <v>53</v>
          </cell>
          <cell r="AH39">
            <v>14</v>
          </cell>
          <cell r="AJ39">
            <v>50</v>
          </cell>
          <cell r="AV39">
            <v>99.285649098477293</v>
          </cell>
          <cell r="AW39">
            <v>99.65153833881152</v>
          </cell>
          <cell r="AZ39" t="str">
            <v>D. Gomez</v>
          </cell>
        </row>
        <row r="40">
          <cell r="A40" t="str">
            <v>VM032</v>
          </cell>
          <cell r="R40">
            <v>59</v>
          </cell>
          <cell r="S40">
            <v>4.4952380952380935</v>
          </cell>
          <cell r="V40">
            <v>1.2326388888888888</v>
          </cell>
          <cell r="W40">
            <v>1.3888888888888888</v>
          </cell>
          <cell r="X40">
            <v>82</v>
          </cell>
          <cell r="AB40">
            <v>0.30208333333333326</v>
          </cell>
          <cell r="AE40">
            <v>52.5</v>
          </cell>
          <cell r="AH40">
            <v>14.3</v>
          </cell>
          <cell r="AJ40">
            <v>49.2</v>
          </cell>
          <cell r="AV40">
            <v>99.879884127611049</v>
          </cell>
          <cell r="AW40">
            <v>100.24796325344599</v>
          </cell>
          <cell r="AZ40" t="str">
            <v>D. Gomez</v>
          </cell>
        </row>
        <row r="41">
          <cell r="A41" t="str">
            <v>VM033</v>
          </cell>
          <cell r="R41">
            <v>61</v>
          </cell>
          <cell r="S41">
            <v>5.5421686746987771</v>
          </cell>
          <cell r="V41">
            <v>0.19097222222222221</v>
          </cell>
          <cell r="W41">
            <v>0.33124999999999999</v>
          </cell>
          <cell r="X41">
            <v>90</v>
          </cell>
          <cell r="AB41">
            <v>0.27916666666666667</v>
          </cell>
          <cell r="AE41">
            <v>49.8</v>
          </cell>
          <cell r="AH41">
            <v>14.3</v>
          </cell>
          <cell r="AJ41">
            <v>47.4</v>
          </cell>
          <cell r="AV41">
            <v>96.432595150579488</v>
          </cell>
          <cell r="AW41">
            <v>96.884310279141332</v>
          </cell>
          <cell r="AZ41" t="str">
            <v>D. Gomez</v>
          </cell>
        </row>
        <row r="42">
          <cell r="A42" t="str">
            <v>VM034</v>
          </cell>
          <cell r="R42">
            <v>61</v>
          </cell>
          <cell r="S42">
            <v>7.660377358490571</v>
          </cell>
          <cell r="V42">
            <v>0.28888888888888886</v>
          </cell>
          <cell r="W42">
            <v>0.4201388888888889</v>
          </cell>
          <cell r="X42">
            <v>82</v>
          </cell>
          <cell r="AB42">
            <v>0.2638888888888889</v>
          </cell>
          <cell r="AE42">
            <v>53</v>
          </cell>
          <cell r="AH42">
            <v>14.4</v>
          </cell>
          <cell r="AJ42">
            <v>48</v>
          </cell>
          <cell r="AV42">
            <v>98.429313316577733</v>
          </cell>
          <cell r="AW42">
            <v>98.89038158762888</v>
          </cell>
          <cell r="AZ42" t="str">
            <v>K. Benjamin</v>
          </cell>
        </row>
        <row r="43">
          <cell r="A43" t="str">
            <v>VM035</v>
          </cell>
          <cell r="R43">
            <v>62</v>
          </cell>
          <cell r="S43">
            <v>5.0474383301707713</v>
          </cell>
          <cell r="V43">
            <v>0.38819444444444445</v>
          </cell>
          <cell r="W43">
            <v>0.52361111111111114</v>
          </cell>
          <cell r="X43">
            <v>80</v>
          </cell>
          <cell r="AB43">
            <v>0.26319444444444445</v>
          </cell>
          <cell r="AE43">
            <v>52.7</v>
          </cell>
          <cell r="AH43">
            <v>14.2</v>
          </cell>
          <cell r="AJ43">
            <v>48.4</v>
          </cell>
          <cell r="AV43">
            <v>98.064289700809979</v>
          </cell>
          <cell r="AW43">
            <v>98.517665955778142</v>
          </cell>
          <cell r="AZ43" t="str">
            <v>K. Benjamin</v>
          </cell>
        </row>
        <row r="44">
          <cell r="A44" t="str">
            <v>VM036</v>
          </cell>
          <cell r="R44">
            <v>63</v>
          </cell>
          <cell r="S44">
            <v>6.3757115749525601</v>
          </cell>
          <cell r="V44">
            <v>0.48194444444444445</v>
          </cell>
          <cell r="W44">
            <v>0.62013888888888891</v>
          </cell>
          <cell r="X44">
            <v>64</v>
          </cell>
          <cell r="AB44">
            <v>0.26944444444444449</v>
          </cell>
          <cell r="AE44">
            <v>52.7</v>
          </cell>
          <cell r="AH44">
            <v>14.6</v>
          </cell>
          <cell r="AJ44">
            <v>49.6</v>
          </cell>
          <cell r="AV44">
            <v>103.18047859361971</v>
          </cell>
          <cell r="AW44">
            <v>103.66380254731205</v>
          </cell>
          <cell r="AZ44" t="str">
            <v>K. Benjamin</v>
          </cell>
        </row>
        <row r="45">
          <cell r="A45" t="str">
            <v>VM037</v>
          </cell>
          <cell r="R45">
            <v>61</v>
          </cell>
          <cell r="S45">
            <v>5.2272727272727106</v>
          </cell>
          <cell r="V45">
            <v>0.57152777777777775</v>
          </cell>
          <cell r="W45">
            <v>0.76249999999999996</v>
          </cell>
          <cell r="X45">
            <v>86</v>
          </cell>
          <cell r="AB45">
            <v>0.32847222222222217</v>
          </cell>
          <cell r="AE45">
            <v>52.8</v>
          </cell>
          <cell r="AH45">
            <v>15.1</v>
          </cell>
          <cell r="AJ45">
            <v>48.5</v>
          </cell>
          <cell r="AV45">
            <v>104.32840145732365</v>
          </cell>
          <cell r="AW45">
            <v>104.8213232204026</v>
          </cell>
          <cell r="AZ45" t="str">
            <v>R.Regis</v>
          </cell>
        </row>
        <row r="46">
          <cell r="A46" t="str">
            <v>VM038</v>
          </cell>
          <cell r="R46">
            <v>61</v>
          </cell>
          <cell r="S46">
            <v>7.2420262664165094</v>
          </cell>
          <cell r="V46">
            <v>0.71458333333333335</v>
          </cell>
          <cell r="W46">
            <v>0.8520833333333333</v>
          </cell>
          <cell r="X46">
            <v>84</v>
          </cell>
          <cell r="AB46">
            <v>0.33819444444444446</v>
          </cell>
          <cell r="AE46">
            <v>53.3</v>
          </cell>
          <cell r="AH46">
            <v>13.5</v>
          </cell>
          <cell r="AJ46">
            <v>47.8</v>
          </cell>
          <cell r="AV46">
            <v>91.41688641079125</v>
          </cell>
          <cell r="AW46">
            <v>91.84695775623014</v>
          </cell>
          <cell r="AZ46" t="str">
            <v>R.Regis</v>
          </cell>
        </row>
      </sheetData>
      <sheetData sheetId="4">
        <row r="35">
          <cell r="C35" t="str">
            <v>SV</v>
          </cell>
          <cell r="D35">
            <v>14.49</v>
          </cell>
        </row>
        <row r="36">
          <cell r="D36">
            <v>14.14</v>
          </cell>
        </row>
        <row r="37">
          <cell r="D37">
            <v>14.31</v>
          </cell>
        </row>
        <row r="38">
          <cell r="D38">
            <v>14.22</v>
          </cell>
        </row>
        <row r="39">
          <cell r="D39">
            <v>14</v>
          </cell>
        </row>
        <row r="40">
          <cell r="D40">
            <v>14.3</v>
          </cell>
        </row>
        <row r="43">
          <cell r="D43">
            <v>14.2</v>
          </cell>
        </row>
        <row r="44">
          <cell r="D44">
            <v>14.6</v>
          </cell>
        </row>
        <row r="45">
          <cell r="D45">
            <v>15.1</v>
          </cell>
        </row>
        <row r="46">
          <cell r="D46">
            <v>13.5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PackMaterials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March'25 "/>
      <sheetName val="Summary February'25"/>
      <sheetName val="Summary January'25"/>
      <sheetName val="Summary April'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">
          <cell r="AT4">
            <v>91.980534426214859</v>
          </cell>
        </row>
        <row r="5">
          <cell r="AT5">
            <v>95.066683069960561</v>
          </cell>
        </row>
        <row r="6">
          <cell r="AT6">
            <v>95.883338904704345</v>
          </cell>
        </row>
        <row r="7">
          <cell r="AT7">
            <v>94.113898794831059</v>
          </cell>
        </row>
        <row r="8">
          <cell r="AT8">
            <v>95.898569361205759</v>
          </cell>
        </row>
        <row r="9">
          <cell r="AT9">
            <v>93.701438852695176</v>
          </cell>
        </row>
        <row r="10">
          <cell r="AT10">
            <v>95.891379370044191</v>
          </cell>
        </row>
        <row r="11">
          <cell r="AT11">
            <v>95.965090010922808</v>
          </cell>
        </row>
        <row r="13">
          <cell r="AT13">
            <v>93.283411294323415</v>
          </cell>
        </row>
        <row r="14">
          <cell r="AT14">
            <v>96.364074868449421</v>
          </cell>
        </row>
        <row r="15">
          <cell r="AT15">
            <v>97.47700242710556</v>
          </cell>
        </row>
        <row r="16">
          <cell r="AT16">
            <v>96.358297626626836</v>
          </cell>
        </row>
      </sheetData>
      <sheetData sheetId="8">
        <row r="4">
          <cell r="D4">
            <v>13.5</v>
          </cell>
        </row>
      </sheetData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Apr'14"/>
      <sheetName val="Summary May'14"/>
      <sheetName val="BrewMaterials"/>
      <sheetName val="Brewhouse"/>
      <sheetName val="Process"/>
      <sheetName val="Packaging"/>
      <sheetName val="Summary May ' 25"/>
      <sheetName val="Summary April ' 25"/>
      <sheetName val="Summary March ' 25"/>
      <sheetName val="Summary February ' 25 "/>
      <sheetName val="Summary January ' 25"/>
      <sheetName val="Summary December ' 24"/>
    </sheetNames>
    <sheetDataSet>
      <sheetData sheetId="0"/>
      <sheetData sheetId="1"/>
      <sheetData sheetId="2"/>
      <sheetData sheetId="3">
        <row r="6">
          <cell r="AY6">
            <v>92.614349283942801</v>
          </cell>
        </row>
        <row r="7">
          <cell r="AY7">
            <v>95.540360033399878</v>
          </cell>
        </row>
        <row r="8">
          <cell r="AY8">
            <v>94.754877612732329</v>
          </cell>
        </row>
        <row r="9">
          <cell r="AY9">
            <v>95.371776201789885</v>
          </cell>
        </row>
        <row r="10">
          <cell r="AY10">
            <v>90.190794188520044</v>
          </cell>
        </row>
        <row r="11">
          <cell r="AY11">
            <v>93.224568939148085</v>
          </cell>
        </row>
        <row r="12">
          <cell r="AY12">
            <v>93.116630380109711</v>
          </cell>
        </row>
        <row r="13">
          <cell r="AY13">
            <v>89.945088045838986</v>
          </cell>
        </row>
        <row r="15">
          <cell r="AY15">
            <v>93.593045496219816</v>
          </cell>
        </row>
        <row r="16">
          <cell r="AY16">
            <v>94.802596635458585</v>
          </cell>
        </row>
        <row r="17">
          <cell r="AY17">
            <v>96.778271105563348</v>
          </cell>
        </row>
        <row r="18">
          <cell r="AY18">
            <v>96.30416399645047</v>
          </cell>
        </row>
        <row r="19">
          <cell r="AY19">
            <v>96.620028354806905</v>
          </cell>
        </row>
        <row r="20">
          <cell r="AY20">
            <v>97.146950233584548</v>
          </cell>
        </row>
        <row r="22">
          <cell r="AY22">
            <v>94.953130139836233</v>
          </cell>
        </row>
        <row r="23">
          <cell r="AY23">
            <v>100.2179588674224</v>
          </cell>
        </row>
        <row r="24">
          <cell r="AY24">
            <v>92.417462104672595</v>
          </cell>
        </row>
        <row r="25">
          <cell r="AY25">
            <v>98.212353766599264</v>
          </cell>
        </row>
        <row r="26">
          <cell r="AY26">
            <v>100.17660084193123</v>
          </cell>
        </row>
        <row r="27">
          <cell r="AY27">
            <v>101.7139711841882</v>
          </cell>
        </row>
        <row r="28">
          <cell r="AY28">
            <v>97.028254502167584</v>
          </cell>
        </row>
        <row r="29">
          <cell r="AY29">
            <v>99.806942496410372</v>
          </cell>
        </row>
        <row r="31">
          <cell r="AY31">
            <v>97.699494944251768</v>
          </cell>
        </row>
        <row r="32">
          <cell r="AY32">
            <v>98.002211653180524</v>
          </cell>
        </row>
        <row r="33">
          <cell r="AY33">
            <v>98.900740579253281</v>
          </cell>
        </row>
        <row r="34">
          <cell r="AY34">
            <v>100.01046742421136</v>
          </cell>
        </row>
        <row r="36">
          <cell r="A36" t="str">
            <v>SM027</v>
          </cell>
          <cell r="T36">
            <v>60</v>
          </cell>
          <cell r="U36">
            <v>0.70240295748614145</v>
          </cell>
          <cell r="X36">
            <v>1.0319444444444446</v>
          </cell>
          <cell r="Y36">
            <v>1.1680555555555556</v>
          </cell>
          <cell r="Z36">
            <v>86</v>
          </cell>
          <cell r="AD36">
            <v>0.28263888888888899</v>
          </cell>
          <cell r="AH36">
            <v>54.1</v>
          </cell>
          <cell r="AK36">
            <v>17.32</v>
          </cell>
          <cell r="AM36">
            <v>52.1</v>
          </cell>
          <cell r="AY36">
            <v>98.749264772100105</v>
          </cell>
          <cell r="AZ36">
            <v>99.601552455302027</v>
          </cell>
          <cell r="BC36" t="str">
            <v>D. Gomaz</v>
          </cell>
        </row>
        <row r="37">
          <cell r="A37" t="str">
            <v>SM028</v>
          </cell>
          <cell r="T37">
            <v>61</v>
          </cell>
          <cell r="U37">
            <v>3.9846743295019258</v>
          </cell>
          <cell r="X37">
            <v>0.22083333333333333</v>
          </cell>
          <cell r="Y37">
            <v>0.34791666666666665</v>
          </cell>
          <cell r="Z37">
            <v>76</v>
          </cell>
          <cell r="AD37">
            <v>0.27847222222222223</v>
          </cell>
          <cell r="AH37">
            <v>52.2</v>
          </cell>
          <cell r="AK37">
            <v>17.600000000000001</v>
          </cell>
          <cell r="AM37">
            <v>50.1</v>
          </cell>
          <cell r="AY37">
            <v>96.781968082736597</v>
          </cell>
          <cell r="AZ37">
            <v>97.616499546813472</v>
          </cell>
          <cell r="BC37" t="str">
            <v>R.Sookram</v>
          </cell>
        </row>
        <row r="38">
          <cell r="A38" t="str">
            <v>SM029</v>
          </cell>
          <cell r="T38">
            <v>60</v>
          </cell>
          <cell r="U38">
            <v>4.1132075471698109</v>
          </cell>
          <cell r="X38">
            <v>0.31736111111111109</v>
          </cell>
          <cell r="Y38">
            <v>0.44097222222222221</v>
          </cell>
          <cell r="Z38">
            <v>70</v>
          </cell>
          <cell r="AD38">
            <v>0.27083333333333331</v>
          </cell>
          <cell r="AH38">
            <v>53</v>
          </cell>
          <cell r="AK38">
            <v>17.5</v>
          </cell>
          <cell r="AM38">
            <v>51</v>
          </cell>
          <cell r="AY38">
            <v>97.813869443605739</v>
          </cell>
          <cell r="AZ38">
            <v>98.658083892852559</v>
          </cell>
          <cell r="BC38" t="str">
            <v>K. Benjamin</v>
          </cell>
        </row>
        <row r="39">
          <cell r="A39" t="str">
            <v>SM030</v>
          </cell>
          <cell r="T39">
            <v>61</v>
          </cell>
          <cell r="U39">
            <v>2.6235741444866969</v>
          </cell>
          <cell r="X39">
            <v>0.41249999999999998</v>
          </cell>
          <cell r="Y39">
            <v>0.55069444444444449</v>
          </cell>
          <cell r="Z39">
            <v>81</v>
          </cell>
          <cell r="AD39">
            <v>0.2902777777777778</v>
          </cell>
          <cell r="AH39">
            <v>52.6</v>
          </cell>
          <cell r="AK39">
            <v>17.14</v>
          </cell>
          <cell r="AM39">
            <v>53.3</v>
          </cell>
          <cell r="AY39">
            <v>99.68712102254257</v>
          </cell>
          <cell r="AZ39">
            <v>100.54830204171314</v>
          </cell>
          <cell r="BC39" t="str">
            <v>K. Benjamin</v>
          </cell>
        </row>
        <row r="40">
          <cell r="A40" t="str">
            <v>SM031</v>
          </cell>
          <cell r="T40">
            <v>59</v>
          </cell>
          <cell r="U40">
            <v>4.0445269016697587</v>
          </cell>
          <cell r="X40">
            <v>0.52013888888888893</v>
          </cell>
          <cell r="Y40">
            <v>0.65833333333333333</v>
          </cell>
          <cell r="Z40">
            <v>83</v>
          </cell>
          <cell r="AD40">
            <v>0.29375000000000001</v>
          </cell>
          <cell r="AH40">
            <v>53.9</v>
          </cell>
          <cell r="AK40">
            <v>16.87</v>
          </cell>
          <cell r="AM40">
            <v>53.2</v>
          </cell>
          <cell r="AY40">
            <v>98.326953759607903</v>
          </cell>
          <cell r="AZ40">
            <v>99.175596550108509</v>
          </cell>
          <cell r="BC40" t="str">
            <v>K. Benjamin</v>
          </cell>
        </row>
        <row r="41">
          <cell r="A41" t="str">
            <v>SM032</v>
          </cell>
          <cell r="T41">
            <v>60</v>
          </cell>
          <cell r="U41">
            <v>2.5988700564971801</v>
          </cell>
          <cell r="X41">
            <v>0.6166666666666667</v>
          </cell>
          <cell r="Y41">
            <v>0.76180555555555551</v>
          </cell>
          <cell r="Z41">
            <v>101</v>
          </cell>
          <cell r="AD41">
            <v>0.3034722222222222</v>
          </cell>
          <cell r="AH41">
            <v>53.1</v>
          </cell>
          <cell r="AK41">
            <v>17</v>
          </cell>
          <cell r="AM41">
            <v>53.1</v>
          </cell>
          <cell r="AY41">
            <v>98.820483734504066</v>
          </cell>
          <cell r="AZ41">
            <v>99.672592909440866</v>
          </cell>
          <cell r="BC41" t="str">
            <v>K. Benjamin</v>
          </cell>
        </row>
        <row r="42">
          <cell r="A42" t="str">
            <v>SM033</v>
          </cell>
          <cell r="T42">
            <v>60</v>
          </cell>
          <cell r="U42">
            <v>4.2616822429906565</v>
          </cell>
          <cell r="X42">
            <v>0.71111111111111114</v>
          </cell>
          <cell r="Y42">
            <v>0.84652777777777777</v>
          </cell>
          <cell r="Z42">
            <v>89</v>
          </cell>
          <cell r="AD42">
            <v>0.2944444444444444</v>
          </cell>
          <cell r="AH42">
            <v>53.5</v>
          </cell>
          <cell r="AK42">
            <v>16.899999999999999</v>
          </cell>
          <cell r="AM42">
            <v>49.1</v>
          </cell>
          <cell r="AY42">
            <v>95.562254007954607</v>
          </cell>
          <cell r="AZ42">
            <v>96.43269447252068</v>
          </cell>
          <cell r="BC42" t="str">
            <v>D. Gomaz</v>
          </cell>
        </row>
        <row r="43">
          <cell r="A43" t="str">
            <v>SM034</v>
          </cell>
          <cell r="T43">
            <v>62</v>
          </cell>
          <cell r="U43">
            <v>7.0289855072463814</v>
          </cell>
          <cell r="X43">
            <v>0.80138888888888893</v>
          </cell>
          <cell r="Y43">
            <v>0.9375</v>
          </cell>
          <cell r="Z43">
            <v>86</v>
          </cell>
          <cell r="AD43">
            <v>0.29166666666666663</v>
          </cell>
          <cell r="AK43">
            <v>16.82</v>
          </cell>
          <cell r="AY43">
            <v>101.88657891836674</v>
          </cell>
          <cell r="AZ43">
            <v>102.81462526896212</v>
          </cell>
          <cell r="BC43" t="str">
            <v>D. Gomaz</v>
          </cell>
        </row>
      </sheetData>
      <sheetData sheetId="4">
        <row r="5">
          <cell r="D5">
            <v>17.399999999999999</v>
          </cell>
        </row>
        <row r="35">
          <cell r="D35">
            <v>17.32</v>
          </cell>
        </row>
        <row r="36">
          <cell r="D36">
            <v>17.600000000000001</v>
          </cell>
        </row>
        <row r="37">
          <cell r="D37">
            <v>17.5</v>
          </cell>
        </row>
        <row r="38">
          <cell r="D38">
            <v>17.14</v>
          </cell>
        </row>
        <row r="39">
          <cell r="D39">
            <v>16.87</v>
          </cell>
        </row>
        <row r="40">
          <cell r="D40">
            <v>17</v>
          </cell>
        </row>
        <row r="41">
          <cell r="D41">
            <v>16.899999999999999</v>
          </cell>
        </row>
        <row r="42">
          <cell r="D42">
            <v>16.82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cessMaterials"/>
      <sheetName val="Operator Performance '16"/>
      <sheetName val="Operator Performance '21"/>
      <sheetName val="Brew Times"/>
      <sheetName val="BrewMaterials"/>
      <sheetName val="Brewhouse"/>
      <sheetName val="Process"/>
      <sheetName val="Packaging"/>
      <sheetName val="Summary February 2025"/>
      <sheetName val="Summary January 2025"/>
      <sheetName val="Summary March 2022"/>
    </sheetNames>
    <sheetDataSet>
      <sheetData sheetId="0"/>
      <sheetData sheetId="1"/>
      <sheetData sheetId="2"/>
      <sheetData sheetId="3"/>
      <sheetData sheetId="4"/>
      <sheetData sheetId="5">
        <row r="5">
          <cell r="A5" t="str">
            <v>HP001</v>
          </cell>
          <cell r="AU5">
            <v>92.965702451125438</v>
          </cell>
        </row>
        <row r="6">
          <cell r="AU6">
            <v>93.048999749652921</v>
          </cell>
        </row>
        <row r="7">
          <cell r="AU7">
            <v>84.477722903722579</v>
          </cell>
        </row>
        <row r="8">
          <cell r="AU8">
            <v>93.535128245977376</v>
          </cell>
        </row>
      </sheetData>
      <sheetData sheetId="6">
        <row r="5">
          <cell r="D5">
            <v>11.7</v>
          </cell>
        </row>
      </sheetData>
      <sheetData sheetId="7"/>
      <sheetData sheetId="8" refreshError="1"/>
      <sheetData sheetId="9" refreshError="1"/>
      <sheetData sheetId="10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Jan 2nd"/>
      <sheetName val="Jan 3rd"/>
      <sheetName val="Jan 6th"/>
      <sheetName val="Jan 7th"/>
      <sheetName val="Jan 8th"/>
      <sheetName val="Jan. 10th"/>
      <sheetName val="Jan. 14th "/>
      <sheetName val="Jan.15th "/>
      <sheetName val="Jan.16th"/>
      <sheetName val="Jan.17th -19th"/>
      <sheetName val="Jan.20th"/>
      <sheetName val="Jan.21ST "/>
      <sheetName val="Jan 22nd"/>
      <sheetName val="Jan 23rd "/>
      <sheetName val="Jan 24th, 27th, 28th"/>
      <sheetName val="Jan 29th "/>
      <sheetName val="Jan 30th"/>
      <sheetName val="Jan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70">
          <cell r="M70">
            <v>6.5</v>
          </cell>
        </row>
      </sheetData>
      <sheetData sheetId="17"/>
      <sheetData sheetId="18">
        <row r="65">
          <cell r="L65">
            <v>95.175721461636485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Feb 3rd"/>
      <sheetName val="Feb 4th"/>
      <sheetName val="Feb 5th"/>
      <sheetName val="Feb 6th"/>
      <sheetName val="Feb 10th"/>
      <sheetName val="Feb 11th"/>
      <sheetName val="Feb 12th"/>
      <sheetName val="Feb 13th"/>
      <sheetName val="Feb 14th"/>
      <sheetName val="Feb 17th"/>
      <sheetName val="Feb 18th"/>
      <sheetName val="Feb 19th "/>
      <sheetName val="Feb 20th"/>
      <sheetName val="Feb 21st"/>
      <sheetName val="Feb 23rd"/>
      <sheetName val="Feb 24th"/>
      <sheetName val="Feb 25th"/>
      <sheetName val="Feb 26th"/>
      <sheetName val="Feb 27th"/>
      <sheetName val="Feb 28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35">
          <cell r="L35">
            <v>96.267254965762547</v>
          </cell>
        </row>
        <row r="40">
          <cell r="L40">
            <v>7.0109890109890109</v>
          </cell>
        </row>
      </sheetData>
      <sheetData sheetId="21"/>
      <sheetData sheetId="22"/>
      <sheetData sheetId="23"/>
      <sheetData sheetId="2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Mar. 3rd"/>
      <sheetName val="Mar. 4th"/>
      <sheetName val="Mar. 5th "/>
      <sheetName val="Mar. 6th"/>
      <sheetName val="Mar. 7th &amp; 8th"/>
      <sheetName val="Mar. 10th"/>
      <sheetName val="Mar. 11th"/>
      <sheetName val="Mar. 12th"/>
      <sheetName val="Mar. 13th"/>
      <sheetName val="Mar. 14th &amp; 16th"/>
      <sheetName val="Mar. 17th"/>
      <sheetName val="Mar. 18th"/>
      <sheetName val="Mar. 19th"/>
      <sheetName val="Mar. 20th"/>
      <sheetName val="Mar. 21th"/>
      <sheetName val="Mar. 24th"/>
      <sheetName val="Mar. 25th"/>
      <sheetName val="Mar. 26th "/>
      <sheetName val="Mar. 27th "/>
      <sheetName val="Mar. 28th "/>
      <sheetName val="Mar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5">
          <cell r="L35">
            <v>98.721769716093192</v>
          </cell>
        </row>
        <row r="40">
          <cell r="L40">
            <v>6.3043478260869561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8th"/>
      <sheetName val="Apr. 1st"/>
      <sheetName val="Apr. 3rd"/>
      <sheetName val="Apr. 4th"/>
      <sheetName val="Apr. 7th "/>
      <sheetName val="Apr. 8th  "/>
      <sheetName val="Apr. 9th   "/>
      <sheetName val="Apr. 10th "/>
      <sheetName val="Apr. 11-12-13th"/>
      <sheetName val="Apr. 14th"/>
      <sheetName val="Apr. 15th"/>
      <sheetName val="Apr. 16th"/>
      <sheetName val="Apr. 17th-20th"/>
      <sheetName val="Apr. 22nd"/>
      <sheetName val="Apr. 23rd"/>
      <sheetName val="Apr. 24th"/>
      <sheetName val="Apr. 25th "/>
      <sheetName val="Apr. 28th"/>
      <sheetName val="Apr. 29th"/>
      <sheetName val="Apr. 30th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5">
          <cell r="L45">
            <v>99.238824818204876</v>
          </cell>
        </row>
        <row r="50">
          <cell r="L50">
            <v>6.1304347826086953</v>
          </cell>
        </row>
      </sheetData>
      <sheetData sheetId="20"/>
      <sheetData sheetId="21"/>
      <sheetData sheetId="22"/>
      <sheetData sheetId="23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September_2025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H3">
            <v>404.90000000000003</v>
          </cell>
          <cell r="K3">
            <v>509.8</v>
          </cell>
          <cell r="O3">
            <v>406.1</v>
          </cell>
          <cell r="V3">
            <v>107.5</v>
          </cell>
          <cell r="W3">
            <v>510.98</v>
          </cell>
          <cell r="X3">
            <v>508.70000000000005</v>
          </cell>
          <cell r="Y3">
            <v>100.69999999999999</v>
          </cell>
          <cell r="AD3">
            <v>613.9</v>
          </cell>
          <cell r="AG3">
            <v>407.49999999999994</v>
          </cell>
          <cell r="AN3">
            <v>5.3285217975059069</v>
          </cell>
          <cell r="AQ3">
            <v>6.8251473421150894</v>
          </cell>
        </row>
        <row r="4">
          <cell r="AN4">
            <v>4.6005065425110212</v>
          </cell>
          <cell r="AQ4">
            <v>6.2071014472654031</v>
          </cell>
        </row>
        <row r="5">
          <cell r="AN5">
            <v>11.326481625576006</v>
          </cell>
          <cell r="AQ5">
            <v>13.27623252148428</v>
          </cell>
        </row>
        <row r="6">
          <cell r="AN6">
            <v>1.8177652867396785</v>
          </cell>
          <cell r="AQ6">
            <v>4.1429617930013904</v>
          </cell>
        </row>
        <row r="7">
          <cell r="H7">
            <v>379.79999999999995</v>
          </cell>
          <cell r="K7">
            <v>488.40000000000003</v>
          </cell>
          <cell r="O7">
            <v>385.20000000000005</v>
          </cell>
          <cell r="V7">
            <v>102.2</v>
          </cell>
          <cell r="W7">
            <v>479.5</v>
          </cell>
          <cell r="X7">
            <v>482.9</v>
          </cell>
          <cell r="Y7">
            <v>91.7</v>
          </cell>
          <cell r="AD7">
            <v>579.20000000000005</v>
          </cell>
          <cell r="AG7">
            <v>386.5</v>
          </cell>
          <cell r="AN7" t="e">
            <v>#DIV/0!</v>
          </cell>
          <cell r="AQ7" t="e">
            <v>#DIV/0!</v>
          </cell>
        </row>
        <row r="8">
          <cell r="AN8" t="e">
            <v>#DIV/0!</v>
          </cell>
          <cell r="AQ8">
            <v>9.4300678869947632</v>
          </cell>
        </row>
        <row r="9">
          <cell r="AN9">
            <v>4.0899381959277559</v>
          </cell>
          <cell r="AQ9">
            <v>4.462228479698962</v>
          </cell>
        </row>
        <row r="10">
          <cell r="AN10" t="e">
            <v>#DIV/0!</v>
          </cell>
          <cell r="AQ10" t="e">
            <v>#DIV/0!</v>
          </cell>
        </row>
        <row r="11">
          <cell r="H11">
            <v>4.9867714998538109</v>
          </cell>
          <cell r="K11">
            <v>3.4238774621616579</v>
          </cell>
          <cell r="V11">
            <v>3.1553911205073968</v>
          </cell>
          <cell r="W11">
            <v>7.595100569766287</v>
          </cell>
          <cell r="X11">
            <v>6.6768185267172502</v>
          </cell>
          <cell r="Y11">
            <v>10.030188679245274</v>
          </cell>
          <cell r="AD11">
            <v>4.6672305773018667</v>
          </cell>
          <cell r="AG11">
            <v>5.387563432553188</v>
          </cell>
          <cell r="AN11" t="e">
            <v>#DIV/0!</v>
          </cell>
          <cell r="AQ11">
            <v>6.2003723782925313</v>
          </cell>
        </row>
        <row r="12">
          <cell r="AN12">
            <v>4.9533209627577328</v>
          </cell>
          <cell r="AQ12">
            <v>7.0557314318939177</v>
          </cell>
        </row>
        <row r="13">
          <cell r="J13">
            <v>502.00000000000006</v>
          </cell>
          <cell r="L13">
            <v>405.7</v>
          </cell>
          <cell r="S13">
            <v>422.49999999999989</v>
          </cell>
          <cell r="Y13">
            <v>89.4</v>
          </cell>
          <cell r="Z13">
            <v>501.5</v>
          </cell>
        </row>
        <row r="17">
          <cell r="J17">
            <v>476.6</v>
          </cell>
          <cell r="L17">
            <v>381.29999999999995</v>
          </cell>
          <cell r="S17">
            <v>403.1</v>
          </cell>
          <cell r="Y17">
            <v>83.4</v>
          </cell>
          <cell r="Z17">
            <v>479.79999999999995</v>
          </cell>
        </row>
        <row r="21">
          <cell r="J21">
            <v>3.9835153313870082</v>
          </cell>
          <cell r="L21">
            <v>4.4135665309485903</v>
          </cell>
          <cell r="S21">
            <v>4.5917159763313382</v>
          </cell>
          <cell r="Z21">
            <v>5.1736824923459714</v>
          </cell>
        </row>
        <row r="23">
          <cell r="AC23">
            <v>213</v>
          </cell>
        </row>
        <row r="28">
          <cell r="AC28">
            <v>192.8</v>
          </cell>
        </row>
        <row r="32">
          <cell r="AC32">
            <v>11.326481625576006</v>
          </cell>
        </row>
        <row r="55">
          <cell r="J55">
            <v>208.5</v>
          </cell>
          <cell r="K55">
            <v>206.1</v>
          </cell>
        </row>
        <row r="59">
          <cell r="J59">
            <v>204</v>
          </cell>
          <cell r="K59">
            <v>194.5</v>
          </cell>
        </row>
        <row r="63">
          <cell r="J63">
            <v>2.4776696597020487</v>
          </cell>
          <cell r="K63">
            <v>5.7317001232400973</v>
          </cell>
        </row>
        <row r="65">
          <cell r="P65">
            <v>296</v>
          </cell>
          <cell r="AG65">
            <v>194.3</v>
          </cell>
        </row>
        <row r="70">
          <cell r="P70">
            <v>297.8</v>
          </cell>
          <cell r="AG70">
            <v>195.8</v>
          </cell>
        </row>
        <row r="74">
          <cell r="P74">
            <v>2.1612156300633463</v>
          </cell>
          <cell r="AG74">
            <v>1.2993482666329512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G"/>
      <sheetName val="GUINNESS"/>
      <sheetName val="CARIB"/>
      <sheetName val="VITAMALT"/>
      <sheetName val="STARMALT"/>
      <sheetName val="MACKESON"/>
      <sheetName val="HR Pilsener"/>
      <sheetName val="Hurricane Reef"/>
      <sheetName val="APA"/>
      <sheetName val="CARIBE"/>
      <sheetName val="YTD 2025"/>
      <sheetName val="MTD"/>
    </sheetNames>
    <sheetDataSet>
      <sheetData sheetId="0">
        <row r="6">
          <cell r="J6">
            <v>48.1</v>
          </cell>
          <cell r="L6">
            <v>100</v>
          </cell>
        </row>
        <row r="7">
          <cell r="L7">
            <v>0</v>
          </cell>
        </row>
        <row r="22">
          <cell r="L22">
            <v>384.57281553398059</v>
          </cell>
        </row>
        <row r="23">
          <cell r="L23">
            <v>0</v>
          </cell>
        </row>
        <row r="24">
          <cell r="L24">
            <v>0</v>
          </cell>
        </row>
        <row r="25">
          <cell r="L25">
            <v>0</v>
          </cell>
        </row>
        <row r="26">
          <cell r="L26">
            <v>0</v>
          </cell>
        </row>
        <row r="27">
          <cell r="L27">
            <v>0</v>
          </cell>
        </row>
        <row r="28">
          <cell r="L28">
            <v>0</v>
          </cell>
        </row>
        <row r="29">
          <cell r="L29">
            <v>0</v>
          </cell>
        </row>
      </sheetData>
      <sheetData sheetId="1">
        <row r="6">
          <cell r="J6">
            <v>51.8</v>
          </cell>
          <cell r="L6">
            <v>100.5</v>
          </cell>
        </row>
        <row r="8">
          <cell r="L8">
            <v>101.8</v>
          </cell>
        </row>
      </sheetData>
      <sheetData sheetId="2">
        <row r="6">
          <cell r="J6">
            <v>49.3</v>
          </cell>
        </row>
        <row r="8">
          <cell r="L8">
            <v>100</v>
          </cell>
        </row>
        <row r="9">
          <cell r="L9">
            <v>0</v>
          </cell>
        </row>
        <row r="10">
          <cell r="L10">
            <v>103.3</v>
          </cell>
        </row>
        <row r="11">
          <cell r="L11">
            <v>0</v>
          </cell>
        </row>
        <row r="20">
          <cell r="L20">
            <v>91.5</v>
          </cell>
        </row>
        <row r="21">
          <cell r="L21">
            <v>0</v>
          </cell>
        </row>
        <row r="26">
          <cell r="L26">
            <v>99</v>
          </cell>
        </row>
        <row r="27">
          <cell r="L27">
            <v>0</v>
          </cell>
        </row>
        <row r="28">
          <cell r="L28">
            <v>195.7</v>
          </cell>
        </row>
        <row r="29">
          <cell r="L29">
            <v>0</v>
          </cell>
        </row>
        <row r="30">
          <cell r="L30">
            <v>0</v>
          </cell>
        </row>
        <row r="31">
          <cell r="L31">
            <v>0</v>
          </cell>
        </row>
        <row r="32">
          <cell r="L32">
            <v>199.5</v>
          </cell>
        </row>
        <row r="33">
          <cell r="L33">
            <v>0</v>
          </cell>
        </row>
        <row r="34">
          <cell r="L34">
            <v>0</v>
          </cell>
        </row>
        <row r="35">
          <cell r="L35">
            <v>0</v>
          </cell>
        </row>
        <row r="69">
          <cell r="L69">
            <v>100</v>
          </cell>
        </row>
        <row r="71">
          <cell r="L71">
            <v>99</v>
          </cell>
        </row>
        <row r="73">
          <cell r="L73">
            <v>394.5</v>
          </cell>
        </row>
        <row r="83">
          <cell r="L83">
            <v>397.5</v>
          </cell>
        </row>
      </sheetData>
      <sheetData sheetId="3">
        <row r="6">
          <cell r="I6">
            <v>48</v>
          </cell>
          <cell r="J6">
            <v>4.0999999999999996</v>
          </cell>
        </row>
        <row r="8">
          <cell r="J8">
            <v>4.0999999999999996</v>
          </cell>
        </row>
        <row r="10">
          <cell r="J10">
            <v>4.0999999999999996</v>
          </cell>
        </row>
        <row r="14">
          <cell r="J14">
            <v>4.0999999999999996</v>
          </cell>
        </row>
        <row r="16">
          <cell r="J16">
            <v>4.0999999999999996</v>
          </cell>
        </row>
      </sheetData>
      <sheetData sheetId="4">
        <row r="6">
          <cell r="I6">
            <v>52.1</v>
          </cell>
        </row>
      </sheetData>
      <sheetData sheetId="5"/>
      <sheetData sheetId="6"/>
      <sheetData sheetId="7"/>
      <sheetData sheetId="8"/>
      <sheetData sheetId="9"/>
      <sheetData sheetId="10">
        <row r="5">
          <cell r="E5">
            <v>6.6706827139758538</v>
          </cell>
        </row>
        <row r="6">
          <cell r="E6">
            <v>6.343300060697989</v>
          </cell>
        </row>
        <row r="7">
          <cell r="E7">
            <v>11.904402895054256</v>
          </cell>
        </row>
        <row r="8">
          <cell r="E8">
            <v>4.2975387819985675</v>
          </cell>
        </row>
        <row r="9">
          <cell r="E9" t="e">
            <v>#DIV/0!</v>
          </cell>
        </row>
        <row r="10">
          <cell r="E10">
            <v>7.8262258425171876</v>
          </cell>
        </row>
        <row r="11">
          <cell r="E11">
            <v>2.6202625996215709</v>
          </cell>
        </row>
        <row r="12">
          <cell r="E12" t="e">
            <v>#DIV/0!</v>
          </cell>
        </row>
        <row r="13">
          <cell r="E13">
            <v>4.8792508624938291</v>
          </cell>
        </row>
        <row r="14">
          <cell r="E14">
            <v>6.6612466746362617</v>
          </cell>
        </row>
      </sheetData>
      <sheetData sheetId="11">
        <row r="5">
          <cell r="E5">
            <v>5.4530990902164858</v>
          </cell>
        </row>
        <row r="6">
          <cell r="E6">
            <v>5.0439852168028887</v>
          </cell>
        </row>
        <row r="7">
          <cell r="E7">
            <v>11.315547378104874</v>
          </cell>
        </row>
        <row r="8">
          <cell r="E8">
            <v>3.3672670321064975</v>
          </cell>
        </row>
        <row r="9">
          <cell r="E9" t="e">
            <v>#DIV/0!</v>
          </cell>
        </row>
        <row r="10">
          <cell r="E10" t="e">
            <v>#DIV/0!</v>
          </cell>
        </row>
        <row r="11">
          <cell r="E11">
            <v>3.8832609744331941</v>
          </cell>
        </row>
        <row r="12">
          <cell r="E12" t="e">
            <v>#DIV/0!</v>
          </cell>
        </row>
        <row r="13">
          <cell r="E13" t="e">
            <v>#DIV/0!</v>
          </cell>
        </row>
        <row r="14">
          <cell r="E14">
            <v>5.2680291469072928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January_2025"/>
      <sheetName val="February_2025"/>
      <sheetName val="March_2025"/>
      <sheetName val="April_2025"/>
      <sheetName val="May_2025"/>
      <sheetName val="June_2025"/>
      <sheetName val="July_2025"/>
      <sheetName val="August_2025"/>
      <sheetName val="August_2018 (2)"/>
      <sheetName val="September_2025"/>
      <sheetName val="October_2025"/>
      <sheetName val="November_2025"/>
      <sheetName val="December_2025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3">
          <cell r="AN13">
            <v>0.69229399255715052</v>
          </cell>
          <cell r="AQ13">
            <v>0.74805190521095766</v>
          </cell>
        </row>
        <row r="14">
          <cell r="AN14">
            <v>0.5901900584795321</v>
          </cell>
          <cell r="AQ14">
            <v>0.73208996193160025</v>
          </cell>
        </row>
        <row r="15">
          <cell r="AN15">
            <v>0.67649122807017548</v>
          </cell>
          <cell r="AQ15">
            <v>0.55663694898464589</v>
          </cell>
        </row>
        <row r="16">
          <cell r="AN16">
            <v>0.86596491228070183</v>
          </cell>
          <cell r="AQ16">
            <v>0.87513784461152888</v>
          </cell>
        </row>
        <row r="17">
          <cell r="AN17" t="e">
            <v>#DIV/0!</v>
          </cell>
          <cell r="AQ17" t="e">
            <v>#DIV/0!</v>
          </cell>
        </row>
        <row r="18">
          <cell r="H18">
            <v>1.3326315789473682</v>
          </cell>
          <cell r="K18">
            <v>0.57122807017543864</v>
          </cell>
          <cell r="O18">
            <v>1.3515789473684212</v>
          </cell>
          <cell r="S18">
            <v>0.70719298245614037</v>
          </cell>
          <cell r="V18">
            <v>0.35859649122807019</v>
          </cell>
          <cell r="W18">
            <v>0.42061403508771927</v>
          </cell>
          <cell r="X18">
            <v>0.56479532163742696</v>
          </cell>
          <cell r="Y18">
            <v>0.32175438596491229</v>
          </cell>
          <cell r="Z18">
            <v>0.29263157894736846</v>
          </cell>
          <cell r="AD18">
            <v>1.0161403508771931</v>
          </cell>
          <cell r="AG18">
            <v>0.67807017543859649</v>
          </cell>
          <cell r="AN18" t="e">
            <v>#DIV/0!</v>
          </cell>
          <cell r="AQ18">
            <v>0.674970760233918</v>
          </cell>
        </row>
        <row r="19">
          <cell r="AN19">
            <v>0.69912280701754381</v>
          </cell>
          <cell r="AQ19">
            <v>0.79924705882352942</v>
          </cell>
        </row>
        <row r="20">
          <cell r="AN20" t="e">
            <v>#DIV/0!</v>
          </cell>
          <cell r="AQ20" t="e">
            <v>#DIV/0!</v>
          </cell>
        </row>
        <row r="21">
          <cell r="AN21">
            <v>0</v>
          </cell>
          <cell r="AQ21">
            <v>0.33859649122807017</v>
          </cell>
        </row>
        <row r="22">
          <cell r="AN22">
            <v>0.68913304093567251</v>
          </cell>
          <cell r="AQ22">
            <v>0.73113872480075015</v>
          </cell>
        </row>
        <row r="25">
          <cell r="J25">
            <v>0.55742690058479538</v>
          </cell>
          <cell r="L25">
            <v>0.66894736842105251</v>
          </cell>
          <cell r="Z25">
            <v>0.84175438596491226</v>
          </cell>
        </row>
        <row r="32">
          <cell r="AC32">
            <v>0.67649122807017548</v>
          </cell>
        </row>
        <row r="53">
          <cell r="J53">
            <v>0.71578947368421053</v>
          </cell>
          <cell r="K53">
            <v>0.68245614035087721</v>
          </cell>
        </row>
        <row r="60">
          <cell r="P60">
            <v>1.0449122807017543</v>
          </cell>
          <cell r="AG60">
            <v>0.68701754385964919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anuary'18"/>
      <sheetName val="Summary December'17"/>
      <sheetName val="Summary November'17"/>
      <sheetName val="Summary October'17"/>
      <sheetName val="Summary September'17"/>
      <sheetName val="Summary August'17"/>
      <sheetName val="Summary July'17 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%EFF."/>
      <sheetName val="Sheet1"/>
    </sheetNames>
    <sheetDataSet>
      <sheetData sheetId="0"/>
      <sheetData sheetId="1"/>
      <sheetData sheetId="2"/>
      <sheetData sheetId="3"/>
      <sheetData sheetId="4">
        <row r="7681">
          <cell r="A7681" t="str">
            <v>CA044</v>
          </cell>
        </row>
      </sheetData>
      <sheetData sheetId="5">
        <row r="5311">
          <cell r="AS5311">
            <v>85.152851511661666</v>
          </cell>
        </row>
        <row r="5347">
          <cell r="AS5347">
            <v>96.242731384136675</v>
          </cell>
        </row>
        <row r="5348">
          <cell r="AS5348">
            <v>96.696346841973863</v>
          </cell>
        </row>
        <row r="5349">
          <cell r="AS5349">
            <v>95.126289890925335</v>
          </cell>
        </row>
        <row r="5350">
          <cell r="AS5350">
            <v>99.660489230254768</v>
          </cell>
        </row>
        <row r="5351">
          <cell r="AS5351">
            <v>98.281898080887714</v>
          </cell>
        </row>
        <row r="5352">
          <cell r="AS5352">
            <v>96.026108173442964</v>
          </cell>
        </row>
        <row r="5353">
          <cell r="AS5353">
            <v>96.743154793507031</v>
          </cell>
        </row>
        <row r="5354">
          <cell r="AS5354">
            <v>97.324543944910317</v>
          </cell>
        </row>
        <row r="5355">
          <cell r="AS5355">
            <v>94.904027111234612</v>
          </cell>
        </row>
        <row r="5356">
          <cell r="AS5356">
            <v>95.53313194763814</v>
          </cell>
        </row>
        <row r="5357">
          <cell r="AS5357">
            <v>95.421463455983542</v>
          </cell>
        </row>
        <row r="5358">
          <cell r="AS5358">
            <v>97.128454670344638</v>
          </cell>
        </row>
        <row r="5359">
          <cell r="A5359" t="str">
            <v>CA236</v>
          </cell>
          <cell r="B5359">
            <v>41437</v>
          </cell>
          <cell r="I5359">
            <v>19.79</v>
          </cell>
          <cell r="N5359">
            <v>60</v>
          </cell>
          <cell r="R5359">
            <v>0.51041666666666663</v>
          </cell>
          <cell r="S5359">
            <v>0.61736111111111114</v>
          </cell>
          <cell r="T5359">
            <v>60</v>
          </cell>
          <cell r="AG5359">
            <v>49.011000000000003</v>
          </cell>
          <cell r="AS5359">
            <v>94.981545664755075</v>
          </cell>
          <cell r="AT5359">
            <v>97.074072469002047</v>
          </cell>
        </row>
        <row r="5360">
          <cell r="A5360" t="str">
            <v>CA237</v>
          </cell>
          <cell r="B5360">
            <v>41437</v>
          </cell>
          <cell r="I5360">
            <v>17.7</v>
          </cell>
          <cell r="N5360">
            <v>60</v>
          </cell>
          <cell r="R5360">
            <v>0.58680555555555558</v>
          </cell>
          <cell r="S5360">
            <v>0.69652777777777775</v>
          </cell>
          <cell r="T5360">
            <v>68</v>
          </cell>
          <cell r="AG5360">
            <v>48.531999999999996</v>
          </cell>
          <cell r="AS5360">
            <v>94.053260986347809</v>
          </cell>
          <cell r="AT5360">
            <v>96.1253368644918</v>
          </cell>
        </row>
        <row r="5361">
          <cell r="A5361" t="str">
            <v>CA238</v>
          </cell>
          <cell r="B5361">
            <v>41437</v>
          </cell>
          <cell r="I5361">
            <v>19.7</v>
          </cell>
          <cell r="N5361">
            <v>60</v>
          </cell>
          <cell r="R5361">
            <v>0.65972222222222221</v>
          </cell>
          <cell r="S5361">
            <v>0.76180555555555562</v>
          </cell>
          <cell r="T5361">
            <v>61</v>
          </cell>
          <cell r="AG5361">
            <v>50.466999999999999</v>
          </cell>
          <cell r="AS5361">
            <v>96.931393272913695</v>
          </cell>
          <cell r="AT5361">
            <v>99.066876931102286</v>
          </cell>
        </row>
        <row r="5362">
          <cell r="A5362" t="str">
            <v>CA239</v>
          </cell>
          <cell r="B5362">
            <v>41437</v>
          </cell>
          <cell r="I5362">
            <v>19</v>
          </cell>
          <cell r="N5362">
            <v>60</v>
          </cell>
          <cell r="R5362">
            <v>0.73263888888888884</v>
          </cell>
          <cell r="S5362">
            <v>0.83680555555555547</v>
          </cell>
          <cell r="T5362">
            <v>62</v>
          </cell>
          <cell r="AG5362">
            <v>49.374000000000002</v>
          </cell>
          <cell r="AS5362">
            <v>95.68502653795305</v>
          </cell>
          <cell r="AT5362">
            <v>97.793051643192499</v>
          </cell>
        </row>
      </sheetData>
      <sheetData sheetId="6">
        <row r="7086">
          <cell r="AD7086">
            <v>49.378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May '18 "/>
      <sheetName val="Summary April '18"/>
      <sheetName val="Summary March '18"/>
      <sheetName val="Summary February '18"/>
      <sheetName val="Summary January '18"/>
      <sheetName val="Summary December '17"/>
      <sheetName val="Summary November '17"/>
      <sheetName val="Summary October '17"/>
      <sheetName val="Summary September '17"/>
      <sheetName val="Summary August '17"/>
      <sheetName val="Summary July '17 "/>
      <sheetName val="Summary June '17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Summary May '14"/>
      <sheetName val="Summary Apr '14"/>
      <sheetName val="ProcessMaterials"/>
      <sheetName val="PackMaterials"/>
      <sheetName val="%EFF."/>
    </sheetNames>
    <sheetDataSet>
      <sheetData sheetId="0"/>
      <sheetData sheetId="1"/>
      <sheetData sheetId="2"/>
      <sheetData sheetId="3">
        <row r="2408">
          <cell r="A2408" t="str">
            <v>ST051</v>
          </cell>
        </row>
      </sheetData>
      <sheetData sheetId="4">
        <row r="620">
          <cell r="AQ620">
            <v>94.769044771084623</v>
          </cell>
        </row>
        <row r="641">
          <cell r="AQ641">
            <v>93.076170468981061</v>
          </cell>
        </row>
        <row r="642">
          <cell r="AQ642">
            <v>95.149436694787028</v>
          </cell>
        </row>
        <row r="643">
          <cell r="AQ643">
            <v>95.833974927594824</v>
          </cell>
        </row>
        <row r="644">
          <cell r="AQ644">
            <v>93.377483332023004</v>
          </cell>
        </row>
      </sheetData>
      <sheetData sheetId="5">
        <row r="1851">
          <cell r="Z1851">
            <v>49.381999999999998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rt1"/>
      <sheetName val="VitaMalt - Operator Performance"/>
      <sheetName val="Operator Performance '16"/>
      <sheetName val="Operator Performance '17"/>
      <sheetName val="Operator Performance '18"/>
      <sheetName val="Brew Times"/>
      <sheetName val="BrewMaterials"/>
      <sheetName val="Brewhouse"/>
      <sheetName val="Process"/>
      <sheetName val="Packaging"/>
      <sheetName val="Summary December '19"/>
      <sheetName val="Summary November '19 "/>
      <sheetName val="Summary October '19  "/>
      <sheetName val="Summary September '19  "/>
      <sheetName val="Summary August '19 "/>
      <sheetName val="Summary July '19 "/>
      <sheetName val="Summary June '19  "/>
      <sheetName val="Summary May '19 "/>
      <sheetName val="Summary April '19 "/>
      <sheetName val="Summary March '19"/>
      <sheetName val="Summary February '19"/>
      <sheetName val="Summary January '19"/>
      <sheetName val="Summary December'18 "/>
      <sheetName val="Summary November'18 "/>
      <sheetName val="Summary October'18"/>
      <sheetName val="Summary September'18 "/>
      <sheetName val="Summary August'18   "/>
      <sheetName val="Summary July'18  "/>
      <sheetName val="Summary June'18 "/>
      <sheetName val="Summary May'18"/>
      <sheetName val="Summary April'18"/>
      <sheetName val="Summary March'18"/>
      <sheetName val="Summary February'18"/>
      <sheetName val="Summary December '17"/>
      <sheetName val="Summary November '17"/>
      <sheetName val="Summary October '17 "/>
      <sheetName val="Summary September '17"/>
      <sheetName val="Summary August '17"/>
      <sheetName val="Summary July '17"/>
      <sheetName val="Summary June '17 "/>
      <sheetName val="Summary May '17"/>
      <sheetName val="Summary April '17"/>
      <sheetName val="Summary March '17"/>
      <sheetName val="Summary February '17"/>
      <sheetName val="Summary January '17"/>
      <sheetName val="Summary December '16"/>
      <sheetName val="Summary November '16"/>
      <sheetName val="Summary October '16"/>
      <sheetName val="Summary September '16"/>
      <sheetName val="Summary August '16"/>
      <sheetName val="Summary July '16"/>
      <sheetName val="Summary June '16"/>
      <sheetName val="Summary May '16"/>
      <sheetName val="Summary April '16"/>
      <sheetName val="Summary March '16"/>
      <sheetName val="Summary February '16"/>
      <sheetName val="Summary January '16"/>
      <sheetName val="Summary December '15 "/>
      <sheetName val="Summary November '15"/>
      <sheetName val="Summary October '15"/>
      <sheetName val="Summary September '15"/>
      <sheetName val="Summary August '15"/>
      <sheetName val="Summary July '15"/>
      <sheetName val="Summary June '15"/>
      <sheetName val="Summary May '15"/>
      <sheetName val="Summary April '15"/>
      <sheetName val="Summary March '15"/>
      <sheetName val="Summary February '15"/>
      <sheetName val="Summary January '15"/>
      <sheetName val="Summary December '14"/>
      <sheetName val="Summary November '14"/>
      <sheetName val="Summary October '14"/>
      <sheetName val="Summary September '14"/>
      <sheetName val="Summary August '14"/>
      <sheetName val="Summary July '14"/>
      <sheetName val="Summary June '14"/>
      <sheetName val="PackMaterials"/>
      <sheetName val="ProcessMaterials"/>
      <sheetName val="Sheet1"/>
      <sheetName val="Summary May '14"/>
      <sheetName val="Summary July '14)"/>
      <sheetName val="Summary Feb '14"/>
      <sheetName val="Summary Mar '14"/>
      <sheetName val="Summary Apr '14"/>
      <sheetName val="Summary Jan '14"/>
      <sheetName val="Summary Dec '13"/>
      <sheetName val="Summary Nov '13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>
        <row r="154">
          <cell r="AH154">
            <v>15.308000000000002</v>
          </cell>
        </row>
        <row r="708">
          <cell r="AU708">
            <v>93.632484874867401</v>
          </cell>
        </row>
        <row r="709">
          <cell r="AU709">
            <v>94.048293616380349</v>
          </cell>
        </row>
        <row r="710">
          <cell r="AU710">
            <v>96.982003109046275</v>
          </cell>
        </row>
        <row r="711">
          <cell r="AU711">
            <v>95.536254931189035</v>
          </cell>
        </row>
      </sheetData>
      <sheetData sheetId="8">
        <row r="917">
          <cell r="D917">
            <v>14.3</v>
          </cell>
        </row>
      </sheetData>
      <sheetData sheetId="9">
        <row r="769">
          <cell r="I769">
            <v>183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Materials"/>
      <sheetName val="ProcessMaterials"/>
      <sheetName val="Operator Performance '16"/>
      <sheetName val="Operator Performance '17"/>
      <sheetName val="Operator Performance '18"/>
      <sheetName val="BrewMaterials"/>
      <sheetName val="Brewhouse"/>
      <sheetName val="Process"/>
      <sheetName val="Packaging"/>
      <sheetName val="Summary July '17"/>
      <sheetName val="Summary May '17"/>
      <sheetName val="Summary January '17"/>
      <sheetName val="Summary December '16"/>
      <sheetName val="Summary November '16"/>
      <sheetName val="Summary October '16"/>
      <sheetName val="Summary August '16"/>
      <sheetName val="Summary May '16"/>
      <sheetName val="Summary March '16"/>
      <sheetName val="Summary February '16"/>
      <sheetName val="Summary Jaunary '16"/>
      <sheetName val="Summary November '15"/>
      <sheetName val="Summary August'15"/>
      <sheetName val="Summary June'15"/>
      <sheetName val="Summary May'15"/>
      <sheetName val="Summary April'15"/>
      <sheetName val="Summary March'15"/>
      <sheetName val="Summary February'15"/>
      <sheetName val="Summary Janaury'15"/>
      <sheetName val="Summary December'14"/>
      <sheetName val="Summary November'14"/>
      <sheetName val="Summary September'14"/>
      <sheetName val="Summary August'14"/>
      <sheetName val="Summary July'14"/>
      <sheetName val="Sheet1"/>
      <sheetName val="Summary Feb'14"/>
      <sheetName val="Summary Mar'14"/>
      <sheetName val="Summary Apr'14"/>
      <sheetName val="Summary Sept '12"/>
      <sheetName val="Summary Oct '12"/>
      <sheetName val="Summary Nov '12"/>
      <sheetName val="Summary Dec '12"/>
      <sheetName val="Summary May'14"/>
      <sheetName val="Summary Jan'14"/>
      <sheetName val="NewMMaltLog"/>
      <sheetName val="Summary Dec'13"/>
      <sheetName val="Summary Oct'13"/>
      <sheetName val="Summary Aug '13"/>
      <sheetName val="Summary Sept'13"/>
    </sheetNames>
    <sheetDataSet>
      <sheetData sheetId="0"/>
      <sheetData sheetId="1"/>
      <sheetData sheetId="2"/>
      <sheetData sheetId="3"/>
      <sheetData sheetId="4"/>
      <sheetData sheetId="5"/>
      <sheetData sheetId="6">
        <row r="938">
          <cell r="AY938">
            <v>97.175540388161437</v>
          </cell>
        </row>
        <row r="943">
          <cell r="AY943">
            <v>96.228364837670995</v>
          </cell>
        </row>
        <row r="944">
          <cell r="AY944">
            <v>96.553980410505062</v>
          </cell>
        </row>
        <row r="945">
          <cell r="AY945">
            <v>93.079827038319294</v>
          </cell>
        </row>
        <row r="946">
          <cell r="AY946">
            <v>95.367156437373168</v>
          </cell>
        </row>
      </sheetData>
      <sheetData sheetId="7">
        <row r="1029">
          <cell r="D1029">
            <v>17.3</v>
          </cell>
        </row>
      </sheetData>
      <sheetData sheetId="8">
        <row r="1001">
          <cell r="I1001">
            <v>100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. 3rd "/>
      <sheetName val="Jan. 4th"/>
      <sheetName val="Jan. 5th"/>
      <sheetName val="Jan. 6th"/>
      <sheetName val="Jan. 7th"/>
      <sheetName val="Jan. 8th "/>
      <sheetName val="Jan. 9th"/>
      <sheetName val="Jan. 10th"/>
      <sheetName val="Jan. 11th"/>
      <sheetName val="Jan. 12nd"/>
      <sheetName val="Jan. 13th"/>
      <sheetName val="Jan. 14th"/>
      <sheetName val="Jan. 17th"/>
      <sheetName val="Jan. 18th"/>
      <sheetName val="Jan. 19th "/>
      <sheetName val="Jan. 20th "/>
      <sheetName val="Jan. 21st "/>
      <sheetName val="Jan. 22nd "/>
      <sheetName val="Jan. 23rd"/>
      <sheetName val="Jan. 24th"/>
      <sheetName val="Jan. 25th "/>
      <sheetName val="Jan. 26th "/>
      <sheetName val="Jan. 27th"/>
      <sheetName val="Jan. 28th"/>
      <sheetName val="Jan. 29th"/>
      <sheetName val="Jan.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M26"/>
        </row>
      </sheetData>
      <sheetData sheetId="26"/>
      <sheetData sheetId="27"/>
      <sheetData sheetId="28"/>
      <sheetData sheetId="29">
        <row r="40">
          <cell r="D40">
            <v>96.507822129582451</v>
          </cell>
        </row>
        <row r="41">
          <cell r="D41">
            <v>97.99738587335284</v>
          </cell>
        </row>
        <row r="43">
          <cell r="D43">
            <v>98.304611060419475</v>
          </cell>
        </row>
        <row r="44">
          <cell r="D44">
            <v>98.673584433402866</v>
          </cell>
        </row>
        <row r="45">
          <cell r="D45">
            <v>97.870850874189415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b. 1"/>
      <sheetName val="Feb. 2"/>
      <sheetName val="Feb.3"/>
      <sheetName val="Feb.4"/>
      <sheetName val="Feb.5"/>
      <sheetName val="Feb.6"/>
      <sheetName val="Feb.8"/>
      <sheetName val="Feb.9"/>
      <sheetName val="Feb10"/>
      <sheetName val="Feb11"/>
      <sheetName val="Feb14"/>
      <sheetName val="Feb16"/>
      <sheetName val="Feb17"/>
      <sheetName val="Feb18"/>
      <sheetName val="Feb19"/>
      <sheetName val="Feb 20"/>
      <sheetName val="Feb 21"/>
      <sheetName val="Feb 22"/>
      <sheetName val="Feb 23"/>
      <sheetName val="Feb 24"/>
      <sheetName val="Feb 25"/>
      <sheetName val="Feb 28"/>
      <sheetName val="MTD_Links"/>
      <sheetName val="YTD_Links"/>
      <sheetName val="KPIs"/>
      <sheetName val="Brewer Performance"/>
    </sheetNames>
    <sheetDataSet>
      <sheetData sheetId="0">
        <row r="10">
          <cell r="I10">
            <v>98.123184148666738</v>
          </cell>
        </row>
        <row r="11">
          <cell r="I11">
            <v>98.683467559299089</v>
          </cell>
        </row>
        <row r="12">
          <cell r="I12">
            <v>98.314511323292791</v>
          </cell>
        </row>
        <row r="13">
          <cell r="I13">
            <v>97.922547536667238</v>
          </cell>
        </row>
      </sheetData>
      <sheetData sheetId="1">
        <row r="10">
          <cell r="I10">
            <v>96.654039768784585</v>
          </cell>
        </row>
        <row r="11">
          <cell r="I11">
            <v>97.626897597506286</v>
          </cell>
        </row>
        <row r="12">
          <cell r="I12">
            <v>96.897954070494137</v>
          </cell>
        </row>
        <row r="13">
          <cell r="I13">
            <v>97.197790342769324</v>
          </cell>
        </row>
        <row r="14">
          <cell r="I14">
            <v>126.64369016344237</v>
          </cell>
        </row>
        <row r="15">
          <cell r="I15">
            <v>96.838505772060998</v>
          </cell>
        </row>
      </sheetData>
      <sheetData sheetId="2">
        <row r="10">
          <cell r="I10">
            <v>93.401228986840337</v>
          </cell>
        </row>
        <row r="11">
          <cell r="I11">
            <v>98.002281531234885</v>
          </cell>
        </row>
        <row r="12">
          <cell r="I12">
            <v>98.835486091836955</v>
          </cell>
        </row>
        <row r="13">
          <cell r="I13">
            <v>98.759890407896819</v>
          </cell>
        </row>
      </sheetData>
      <sheetData sheetId="3">
        <row r="10">
          <cell r="I10">
            <v>99.702074763387657</v>
          </cell>
        </row>
        <row r="11">
          <cell r="I11">
            <v>100.90814824842866</v>
          </cell>
        </row>
        <row r="12">
          <cell r="I12">
            <v>99.144516581875834</v>
          </cell>
        </row>
        <row r="13">
          <cell r="I13">
            <v>98.812178600360937</v>
          </cell>
        </row>
        <row r="16">
          <cell r="I16">
            <v>93.753343561859964</v>
          </cell>
        </row>
        <row r="17">
          <cell r="I17">
            <v>97.360391272612617</v>
          </cell>
        </row>
      </sheetData>
      <sheetData sheetId="4"/>
      <sheetData sheetId="5"/>
      <sheetData sheetId="6">
        <row r="10">
          <cell r="I10">
            <v>94.68833319503716</v>
          </cell>
        </row>
        <row r="13">
          <cell r="I13">
            <v>98.850612416982429</v>
          </cell>
        </row>
        <row r="14">
          <cell r="I14">
            <v>98.168169114883824</v>
          </cell>
        </row>
        <row r="15">
          <cell r="I15">
            <v>98.688171350132521</v>
          </cell>
        </row>
        <row r="16">
          <cell r="I16">
            <v>100.71464055677211</v>
          </cell>
        </row>
        <row r="19">
          <cell r="I19">
            <v>96.029058348682</v>
          </cell>
        </row>
        <row r="20">
          <cell r="I20">
            <v>98.795135429785148</v>
          </cell>
        </row>
        <row r="21">
          <cell r="I21">
            <v>98.899033336355927</v>
          </cell>
        </row>
      </sheetData>
      <sheetData sheetId="7">
        <row r="10">
          <cell r="I10">
            <v>99.276637163611909</v>
          </cell>
        </row>
        <row r="11">
          <cell r="I11">
            <v>97.944376518529467</v>
          </cell>
        </row>
        <row r="12">
          <cell r="I12">
            <v>99.66217750211139</v>
          </cell>
        </row>
        <row r="13">
          <cell r="I13">
            <v>97.944376518529467</v>
          </cell>
        </row>
        <row r="14">
          <cell r="I14">
            <v>98.891096825112442</v>
          </cell>
        </row>
        <row r="17">
          <cell r="I17">
            <v>96.699606498403327</v>
          </cell>
        </row>
        <row r="18">
          <cell r="I18">
            <v>98.974669332616003</v>
          </cell>
        </row>
        <row r="19">
          <cell r="I19">
            <v>98.813320450261855</v>
          </cell>
        </row>
        <row r="20">
          <cell r="I20">
            <v>98.773909354253703</v>
          </cell>
        </row>
      </sheetData>
      <sheetData sheetId="8">
        <row r="10">
          <cell r="I10">
            <v>96.114465070299261</v>
          </cell>
        </row>
        <row r="11">
          <cell r="I11">
            <v>98.703671213689944</v>
          </cell>
        </row>
        <row r="12">
          <cell r="I12">
            <v>100.02066383926034</v>
          </cell>
        </row>
        <row r="13">
          <cell r="I13">
            <v>98.477044369894685</v>
          </cell>
        </row>
        <row r="14">
          <cell r="I14">
            <v>98.898737757590524</v>
          </cell>
        </row>
        <row r="15">
          <cell r="I15">
            <v>98.824177713880189</v>
          </cell>
        </row>
        <row r="16">
          <cell r="I16">
            <v>98.590372337038914</v>
          </cell>
        </row>
        <row r="17">
          <cell r="I17">
            <v>98.637973628130041</v>
          </cell>
        </row>
        <row r="18">
          <cell r="I18">
            <v>98.892528564617351</v>
          </cell>
        </row>
      </sheetData>
      <sheetData sheetId="9">
        <row r="10">
          <cell r="I10">
            <v>95.033114450535422</v>
          </cell>
        </row>
        <row r="11">
          <cell r="I11">
            <v>95.97632563766723</v>
          </cell>
        </row>
        <row r="12">
          <cell r="I12">
            <v>95.15577872519269</v>
          </cell>
        </row>
        <row r="13">
          <cell r="I13">
            <v>94.716849623972706</v>
          </cell>
        </row>
      </sheetData>
      <sheetData sheetId="10">
        <row r="10">
          <cell r="I10">
            <v>93.262012146617025</v>
          </cell>
        </row>
        <row r="11">
          <cell r="I11">
            <v>96.51966443717626</v>
          </cell>
        </row>
        <row r="12">
          <cell r="I12">
            <v>96.420162775074274</v>
          </cell>
        </row>
        <row r="13">
          <cell r="I13">
            <v>94.850777050345258</v>
          </cell>
        </row>
        <row r="14">
          <cell r="I14">
            <v>93.11184471354899</v>
          </cell>
        </row>
        <row r="15">
          <cell r="I15">
            <v>95.233332316878489</v>
          </cell>
        </row>
        <row r="16">
          <cell r="I16">
            <v>96.557005255666269</v>
          </cell>
        </row>
        <row r="17">
          <cell r="I17">
            <v>90.296683351916798</v>
          </cell>
        </row>
      </sheetData>
      <sheetData sheetId="11"/>
      <sheetData sheetId="12">
        <row r="10">
          <cell r="I10">
            <v>96.248353016017901</v>
          </cell>
        </row>
        <row r="11">
          <cell r="I11">
            <v>97.064511461322596</v>
          </cell>
        </row>
        <row r="12">
          <cell r="I12">
            <v>97.960588310011829</v>
          </cell>
        </row>
        <row r="13">
          <cell r="I13">
            <v>101.64563062243221</v>
          </cell>
        </row>
        <row r="16">
          <cell r="I16">
            <v>97.148656534767667</v>
          </cell>
        </row>
        <row r="17">
          <cell r="I17">
            <v>101.13282706862702</v>
          </cell>
        </row>
        <row r="18">
          <cell r="I18">
            <v>98.859340325604236</v>
          </cell>
        </row>
        <row r="19">
          <cell r="I19">
            <v>97.671892686767549</v>
          </cell>
        </row>
        <row r="20">
          <cell r="I20">
            <v>97.795650965100123</v>
          </cell>
        </row>
        <row r="21">
          <cell r="I21">
            <v>97.549177275509706</v>
          </cell>
        </row>
      </sheetData>
      <sheetData sheetId="13">
        <row r="10">
          <cell r="I10">
            <v>90.812413514896079</v>
          </cell>
        </row>
        <row r="11">
          <cell r="I11">
            <v>94.886065993628819</v>
          </cell>
        </row>
        <row r="12">
          <cell r="I12">
            <v>94.665038526850267</v>
          </cell>
        </row>
        <row r="13">
          <cell r="I13">
            <v>95.386395261799493</v>
          </cell>
        </row>
        <row r="14">
          <cell r="I14">
            <v>95.746555809018503</v>
          </cell>
        </row>
        <row r="15">
          <cell r="I15">
            <v>96.458811263569714</v>
          </cell>
        </row>
      </sheetData>
      <sheetData sheetId="14"/>
      <sheetData sheetId="15"/>
      <sheetData sheetId="16">
        <row r="10">
          <cell r="I10">
            <v>92.244154059965609</v>
          </cell>
        </row>
        <row r="11">
          <cell r="I11">
            <v>94.954580288699233</v>
          </cell>
        </row>
        <row r="12">
          <cell r="I12">
            <v>94.753648792324014</v>
          </cell>
        </row>
        <row r="13">
          <cell r="I13">
            <v>95.469672057516448</v>
          </cell>
        </row>
        <row r="16">
          <cell r="I16">
            <v>95.037629150459026</v>
          </cell>
        </row>
        <row r="17">
          <cell r="I17">
            <v>98.344635577363221</v>
          </cell>
        </row>
        <row r="18">
          <cell r="I18">
            <v>96.201930897199915</v>
          </cell>
        </row>
        <row r="19">
          <cell r="I19">
            <v>97.455737205534618</v>
          </cell>
        </row>
      </sheetData>
      <sheetData sheetId="17">
        <row r="10">
          <cell r="I10">
            <v>95.737170130083328</v>
          </cell>
        </row>
        <row r="11">
          <cell r="I11">
            <v>97.204145011682172</v>
          </cell>
        </row>
        <row r="12">
          <cell r="I12">
            <v>97.795650965100123</v>
          </cell>
        </row>
        <row r="13">
          <cell r="I13">
            <v>92.179060669436268</v>
          </cell>
        </row>
        <row r="16">
          <cell r="I16">
            <v>100.56180946337685</v>
          </cell>
        </row>
        <row r="17">
          <cell r="I17">
            <v>98.418170009595116</v>
          </cell>
        </row>
        <row r="18">
          <cell r="I18">
            <v>101.75209232957572</v>
          </cell>
        </row>
        <row r="19">
          <cell r="I19">
            <v>101.90982815614709</v>
          </cell>
        </row>
        <row r="20">
          <cell r="I20">
            <v>98.645399167542877</v>
          </cell>
        </row>
        <row r="21">
          <cell r="I21">
            <v>98.019248385454901</v>
          </cell>
        </row>
        <row r="22">
          <cell r="I22">
            <v>97.631897441591931</v>
          </cell>
        </row>
      </sheetData>
      <sheetData sheetId="18">
        <row r="10">
          <cell r="I10">
            <v>96.330365427788195</v>
          </cell>
        </row>
        <row r="11">
          <cell r="I11">
            <v>96.377132884428931</v>
          </cell>
        </row>
        <row r="14">
          <cell r="I14">
            <v>93.488258370937686</v>
          </cell>
        </row>
        <row r="15">
          <cell r="I15">
            <v>100.81408999243216</v>
          </cell>
        </row>
        <row r="16">
          <cell r="I16">
            <v>98.251697811855152</v>
          </cell>
        </row>
        <row r="17">
          <cell r="I17">
            <v>98.260907082704051</v>
          </cell>
        </row>
        <row r="18">
          <cell r="I18">
            <v>97.874813145247458</v>
          </cell>
        </row>
        <row r="19">
          <cell r="I19">
            <v>96.443322942180714</v>
          </cell>
        </row>
        <row r="20">
          <cell r="I20">
            <v>95.376782036144007</v>
          </cell>
        </row>
        <row r="21">
          <cell r="I21">
            <v>97.722861589047369</v>
          </cell>
        </row>
      </sheetData>
      <sheetData sheetId="19">
        <row r="10">
          <cell r="I10">
            <v>97.344774780858927</v>
          </cell>
        </row>
        <row r="11">
          <cell r="I11">
            <v>99.938000539259747</v>
          </cell>
        </row>
        <row r="12">
          <cell r="I12">
            <v>99.148955916989195</v>
          </cell>
        </row>
        <row r="15">
          <cell r="I15">
            <v>92.353930064406839</v>
          </cell>
        </row>
        <row r="16">
          <cell r="I16">
            <v>97.682055444668023</v>
          </cell>
        </row>
        <row r="17">
          <cell r="I17">
            <v>97.162594227257927</v>
          </cell>
        </row>
        <row r="18">
          <cell r="I18">
            <v>97.082444613255419</v>
          </cell>
        </row>
      </sheetData>
      <sheetData sheetId="20">
        <row r="10">
          <cell r="I10">
            <v>97.743444227837671</v>
          </cell>
        </row>
        <row r="11">
          <cell r="I11">
            <v>100.62303370508012</v>
          </cell>
        </row>
        <row r="12">
          <cell r="I12">
            <v>100.32085756447438</v>
          </cell>
        </row>
        <row r="13">
          <cell r="I13">
            <v>102.21334912318227</v>
          </cell>
        </row>
        <row r="14">
          <cell r="I14">
            <v>102.22340004631398</v>
          </cell>
        </row>
        <row r="15">
          <cell r="I15">
            <v>100.71268145494867</v>
          </cell>
        </row>
        <row r="16">
          <cell r="I16">
            <v>101.60819946880315</v>
          </cell>
        </row>
        <row r="17">
          <cell r="I17">
            <v>99.513054708255964</v>
          </cell>
        </row>
      </sheetData>
      <sheetData sheetId="21">
        <row r="10">
          <cell r="I10">
            <v>95.66367132027942</v>
          </cell>
        </row>
        <row r="11">
          <cell r="I11">
            <v>102.17092463684476</v>
          </cell>
        </row>
        <row r="12">
          <cell r="I12">
            <v>99.720751788720221</v>
          </cell>
        </row>
        <row r="13">
          <cell r="I13">
            <v>99.964453799637965</v>
          </cell>
        </row>
        <row r="14">
          <cell r="I14">
            <v>100.66118230226407</v>
          </cell>
        </row>
        <row r="15">
          <cell r="I15">
            <v>99.195496462717671</v>
          </cell>
        </row>
        <row r="16">
          <cell r="I16">
            <v>100.31967295635533</v>
          </cell>
        </row>
        <row r="17">
          <cell r="I17">
            <v>99.988679850652673</v>
          </cell>
        </row>
        <row r="18">
          <cell r="I18">
            <v>99.769922769334443</v>
          </cell>
        </row>
        <row r="19">
          <cell r="I19">
            <v>100.72177330021805</v>
          </cell>
        </row>
        <row r="20">
          <cell r="I20">
            <v>100.21013716886533</v>
          </cell>
        </row>
      </sheetData>
      <sheetData sheetId="22"/>
      <sheetData sheetId="23"/>
      <sheetData sheetId="24"/>
      <sheetData sheetId="25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y 3rd"/>
      <sheetName val="May 4th"/>
      <sheetName val="May 5th "/>
      <sheetName val="May 6th"/>
      <sheetName val="May 9th"/>
      <sheetName val="May 10th"/>
      <sheetName val="May 11th"/>
      <sheetName val="May 12th"/>
      <sheetName val="May 13th "/>
      <sheetName val="May 16th"/>
      <sheetName val="May 17th "/>
      <sheetName val="May 18th "/>
      <sheetName val="May 19th  "/>
      <sheetName val="May 20th  "/>
      <sheetName val="May 21st"/>
      <sheetName val="May 23rd"/>
      <sheetName val="May 24th"/>
      <sheetName val="May 25th "/>
      <sheetName val="May 26th  "/>
      <sheetName val="May 27th "/>
      <sheetName val="May 30th "/>
      <sheetName val="May 31st"/>
      <sheetName val="MTD_Links"/>
      <sheetName val="YTD_Links"/>
      <sheetName val="KPIs"/>
      <sheetName val="Brewer Perform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0">
          <cell r="L40">
            <v>98.589991376020791</v>
          </cell>
        </row>
      </sheetData>
      <sheetData sheetId="22"/>
      <sheetData sheetId="23"/>
      <sheetData sheetId="24"/>
      <sheetData sheetId="25">
        <row r="40">
          <cell r="H40">
            <v>98.517352497406634</v>
          </cell>
        </row>
        <row r="41">
          <cell r="H41">
            <v>98.442574874312371</v>
          </cell>
        </row>
        <row r="43">
          <cell r="H43">
            <v>98.685415156420575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5.bin"/><Relationship Id="rId4" Type="http://schemas.openxmlformats.org/officeDocument/2006/relationships/comments" Target="../comments2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8A64-1E4B-4795-93AF-1113C3B47C6F}">
  <sheetPr codeName="Sheet1">
    <pageSetUpPr fitToPage="1"/>
  </sheetPr>
  <dimension ref="A1:BF110"/>
  <sheetViews>
    <sheetView zoomScale="80" zoomScaleNormal="80" workbookViewId="0">
      <selection activeCell="G90" sqref="G90"/>
    </sheetView>
  </sheetViews>
  <sheetFormatPr defaultColWidth="9.44140625" defaultRowHeight="13.8"/>
  <cols>
    <col min="1" max="1" width="3.44140625" style="275" customWidth="1"/>
    <col min="2" max="2" width="20.6640625" style="275" customWidth="1"/>
    <col min="3" max="3" width="13.44140625" style="275" customWidth="1"/>
    <col min="4" max="4" width="11.5546875" style="275" customWidth="1"/>
    <col min="5" max="5" width="12.44140625" style="275" customWidth="1"/>
    <col min="6" max="6" width="11.44140625" style="275" customWidth="1"/>
    <col min="7" max="7" width="13.44140625" style="275" customWidth="1"/>
    <col min="8" max="8" width="12.44140625" style="275" customWidth="1"/>
    <col min="9" max="9" width="17.5546875" style="275" customWidth="1"/>
    <col min="10" max="10" width="25.33203125" style="275" customWidth="1"/>
    <col min="11" max="11" width="18.554687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36.5546875" style="6" customWidth="1"/>
    <col min="17" max="17" width="14" style="275" hidden="1" customWidth="1"/>
    <col min="18" max="18" width="16.5546875" style="275" customWidth="1"/>
    <col min="19" max="19" width="15.6640625" style="275" bestFit="1" customWidth="1"/>
    <col min="20" max="20" width="12.44140625" style="275" customWidth="1"/>
    <col min="21" max="21" width="15" style="275" customWidth="1"/>
    <col min="22" max="22" width="12" style="275" customWidth="1"/>
    <col min="23" max="23" width="10.44140625" style="275" customWidth="1"/>
    <col min="24" max="24" width="11.44140625" style="275" customWidth="1"/>
    <col min="25" max="25" width="10.44140625" style="275" customWidth="1"/>
    <col min="26" max="26" width="8.44140625" style="275" customWidth="1"/>
    <col min="27" max="27" width="9.5546875" style="275" customWidth="1"/>
    <col min="28" max="28" width="8.44140625" style="275" customWidth="1"/>
    <col min="29" max="30" width="7.5546875" style="275" customWidth="1"/>
    <col min="31" max="52" width="9.44140625" style="275"/>
    <col min="53" max="53" width="1.5546875" style="275" customWidth="1"/>
    <col min="54" max="55" width="9.44140625" style="275"/>
    <col min="56" max="57" width="15.44140625" style="275" customWidth="1"/>
    <col min="58" max="16384" width="9.44140625" style="275"/>
  </cols>
  <sheetData>
    <row r="1" spans="2:30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S1" s="3"/>
      <c r="T1" s="492" t="s">
        <v>0</v>
      </c>
      <c r="U1" s="492"/>
      <c r="V1" s="492" t="s">
        <v>1</v>
      </c>
      <c r="W1" s="492"/>
      <c r="X1" s="492" t="s">
        <v>2</v>
      </c>
      <c r="Y1" s="492"/>
      <c r="Z1" s="492" t="s">
        <v>124</v>
      </c>
      <c r="AA1" s="492"/>
    </row>
    <row r="2" spans="2:30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S2" s="3"/>
      <c r="T2" s="3" t="s">
        <v>4</v>
      </c>
      <c r="U2" s="3" t="s">
        <v>5</v>
      </c>
      <c r="V2" s="3" t="s">
        <v>4</v>
      </c>
      <c r="W2" s="3" t="s">
        <v>5</v>
      </c>
      <c r="X2" s="3" t="s">
        <v>4</v>
      </c>
      <c r="Y2" s="3" t="s">
        <v>5</v>
      </c>
      <c r="Z2" s="3" t="s">
        <v>4</v>
      </c>
      <c r="AA2" s="3" t="s">
        <v>5</v>
      </c>
    </row>
    <row r="3" spans="2:30" ht="14.25" customHeight="1">
      <c r="B3" s="5"/>
      <c r="S3" s="3" t="s">
        <v>6</v>
      </c>
      <c r="T3" s="7">
        <v>11.6</v>
      </c>
      <c r="U3" s="8">
        <v>12</v>
      </c>
      <c r="V3" s="9">
        <v>0</v>
      </c>
      <c r="W3" s="10">
        <v>0.118055555555556</v>
      </c>
      <c r="X3" s="10">
        <v>0.17361111111111113</v>
      </c>
      <c r="Y3" s="10">
        <v>0.21180555555555555</v>
      </c>
      <c r="Z3" s="273">
        <v>0</v>
      </c>
      <c r="AA3" s="7">
        <v>60</v>
      </c>
      <c r="AC3" s="275" t="s">
        <v>135</v>
      </c>
    </row>
    <row r="4" spans="2:30" ht="30.75" customHeight="1">
      <c r="B4" s="301" t="s">
        <v>133</v>
      </c>
      <c r="C4" s="511">
        <v>45278</v>
      </c>
      <c r="D4" s="511"/>
      <c r="J4" s="512" t="s">
        <v>153</v>
      </c>
      <c r="K4" s="512"/>
      <c r="L4" s="11"/>
      <c r="M4" s="514" t="s">
        <v>8</v>
      </c>
      <c r="N4" s="515"/>
      <c r="P4" s="12"/>
      <c r="S4" s="3" t="s">
        <v>9</v>
      </c>
      <c r="T4" s="7">
        <v>11.6</v>
      </c>
      <c r="U4" s="8">
        <v>12</v>
      </c>
      <c r="V4" s="9">
        <v>0</v>
      </c>
      <c r="W4" s="10">
        <v>0.118055555555556</v>
      </c>
      <c r="X4" s="10">
        <v>0.17361111111111113</v>
      </c>
      <c r="Y4" s="10">
        <v>0.21180555555555555</v>
      </c>
      <c r="Z4" s="273">
        <v>0</v>
      </c>
      <c r="AA4" s="7">
        <v>60</v>
      </c>
      <c r="AB4" s="13"/>
      <c r="AC4" s="13"/>
      <c r="AD4" s="13"/>
    </row>
    <row r="5" spans="2:30" ht="12.75" customHeight="1" thickBot="1">
      <c r="B5" s="1"/>
      <c r="C5" s="1"/>
      <c r="D5" s="1"/>
      <c r="J5" s="513"/>
      <c r="K5" s="513"/>
      <c r="L5" s="11"/>
      <c r="M5" s="14" t="s">
        <v>10</v>
      </c>
      <c r="N5" s="14" t="s">
        <v>11</v>
      </c>
      <c r="P5" s="12"/>
      <c r="S5" s="3" t="s">
        <v>12</v>
      </c>
      <c r="T5" s="7">
        <v>17</v>
      </c>
      <c r="U5" s="8">
        <v>17.5</v>
      </c>
      <c r="V5" s="9">
        <v>0</v>
      </c>
      <c r="W5" s="10">
        <v>0.1076388888888889</v>
      </c>
      <c r="X5" s="10">
        <v>0.19444444444444445</v>
      </c>
      <c r="Y5" s="10">
        <v>0.23263888888888887</v>
      </c>
      <c r="Z5" s="273">
        <v>0</v>
      </c>
      <c r="AA5" s="274">
        <v>60</v>
      </c>
      <c r="AB5" s="13"/>
      <c r="AC5" s="13"/>
      <c r="AD5" s="13"/>
    </row>
    <row r="6" spans="2:30" ht="14.25" customHeight="1">
      <c r="B6" s="15"/>
      <c r="C6" s="1"/>
      <c r="D6" s="1"/>
      <c r="J6" s="496" t="s">
        <v>151</v>
      </c>
      <c r="K6" s="497"/>
      <c r="L6" s="311" t="s">
        <v>14</v>
      </c>
      <c r="M6" s="340"/>
      <c r="N6" s="340"/>
      <c r="P6" s="16"/>
      <c r="S6" s="3" t="s">
        <v>15</v>
      </c>
      <c r="T6" s="7">
        <v>13.3</v>
      </c>
      <c r="U6" s="8">
        <v>13.5</v>
      </c>
      <c r="V6" s="9">
        <v>0</v>
      </c>
      <c r="W6" s="9">
        <v>0.12905092592592593</v>
      </c>
      <c r="X6" s="10">
        <v>0.22222222222222221</v>
      </c>
      <c r="Y6" s="10">
        <v>0.25347222222222221</v>
      </c>
      <c r="Z6" s="273">
        <v>0</v>
      </c>
      <c r="AA6" s="274"/>
      <c r="AB6" s="13"/>
      <c r="AC6" s="13"/>
      <c r="AD6" s="13"/>
    </row>
    <row r="7" spans="2:30" ht="13.35" customHeight="1" thickBot="1">
      <c r="J7" s="498"/>
      <c r="K7" s="499"/>
      <c r="S7" s="3" t="s">
        <v>16</v>
      </c>
      <c r="T7" s="7">
        <v>17.100000000000001</v>
      </c>
      <c r="U7" s="8">
        <v>17.5</v>
      </c>
      <c r="V7" s="9">
        <v>0</v>
      </c>
      <c r="W7" s="9">
        <v>0.13605324074074074</v>
      </c>
      <c r="X7" s="10">
        <v>0.20833333333333334</v>
      </c>
      <c r="Y7" s="10">
        <v>0.24305555555555555</v>
      </c>
      <c r="Z7" s="273">
        <v>0</v>
      </c>
      <c r="AA7" s="274">
        <v>60</v>
      </c>
      <c r="AB7" s="13"/>
      <c r="AC7" s="13"/>
      <c r="AD7" s="13"/>
    </row>
    <row r="8" spans="2:30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152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61"/>
      <c r="P8" s="453" t="s">
        <v>28</v>
      </c>
      <c r="Q8" s="479" t="s">
        <v>126</v>
      </c>
      <c r="R8" s="18"/>
      <c r="S8" s="3" t="s">
        <v>125</v>
      </c>
      <c r="T8" s="7">
        <v>16.600000000000001</v>
      </c>
      <c r="U8" s="8">
        <v>17</v>
      </c>
      <c r="V8" s="9">
        <v>0</v>
      </c>
      <c r="W8" s="9">
        <v>0.12905092592592593</v>
      </c>
      <c r="X8" s="10">
        <v>0.22222222222222221</v>
      </c>
      <c r="Y8" s="10">
        <v>0.25347222222222221</v>
      </c>
      <c r="Z8" s="273">
        <v>0</v>
      </c>
      <c r="AA8" s="274"/>
      <c r="AB8" s="19"/>
    </row>
    <row r="9" spans="2:30" ht="34.5" customHeight="1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01"/>
      <c r="P9" s="510"/>
      <c r="Q9" s="480"/>
      <c r="R9" s="18"/>
      <c r="S9" s="3" t="s">
        <v>33</v>
      </c>
      <c r="T9" s="7">
        <v>14.4</v>
      </c>
      <c r="U9" s="8">
        <v>14.6</v>
      </c>
      <c r="V9" s="9">
        <v>0</v>
      </c>
      <c r="W9" s="9">
        <v>0.13905092592592591</v>
      </c>
      <c r="X9" s="10">
        <v>0.19097222222222221</v>
      </c>
      <c r="Y9" s="10">
        <v>0.22569444444444445</v>
      </c>
      <c r="Z9" s="273">
        <v>0</v>
      </c>
      <c r="AA9" s="274">
        <v>75</v>
      </c>
      <c r="AB9" s="19"/>
    </row>
    <row r="10" spans="2:30" ht="15.75" hidden="1" customHeight="1">
      <c r="B10" s="34"/>
      <c r="C10" s="366"/>
      <c r="D10" s="279"/>
      <c r="E10" s="279"/>
      <c r="F10" s="278"/>
      <c r="G10" s="279"/>
      <c r="H10" s="394"/>
      <c r="I10" s="368"/>
      <c r="J10" s="368"/>
      <c r="K10" s="281"/>
      <c r="L10" s="276"/>
      <c r="M10" s="395"/>
      <c r="N10" s="370"/>
      <c r="O10" s="371"/>
      <c r="P10" s="375"/>
      <c r="Q10" s="347"/>
      <c r="S10" s="277">
        <f t="shared" ref="S10:S47" si="0">B10</f>
        <v>0</v>
      </c>
      <c r="T10" s="296" t="e">
        <f t="shared" ref="T10:T47" si="1">VLOOKUP($B10,$S$3:$Y$9,2,FALSE)</f>
        <v>#N/A</v>
      </c>
      <c r="U10" s="296" t="e">
        <f t="shared" ref="U10:U47" si="2">VLOOKUP($B10,$S$3:$Y$9,3,FALSE)</f>
        <v>#N/A</v>
      </c>
      <c r="V10" s="297" t="e">
        <f t="shared" ref="V10:V47" si="3">VLOOKUP($B10,$S$3:$Y$9,4,FALSE)</f>
        <v>#N/A</v>
      </c>
      <c r="W10" s="297" t="e">
        <f t="shared" ref="W10:W47" si="4">VLOOKUP($B10,$S$3:$Y$9,5,FALSE)</f>
        <v>#N/A</v>
      </c>
      <c r="X10" s="297" t="e">
        <f t="shared" ref="X10:X47" si="5">VLOOKUP($B10,$S$3:$Y$9,6,FALSE)</f>
        <v>#N/A</v>
      </c>
      <c r="Y10" s="297" t="e">
        <f t="shared" ref="Y10:Y47" si="6">VLOOKUP($B10,$S$3:$Y$9,7,FALSE)</f>
        <v>#N/A</v>
      </c>
      <c r="Z10" s="297" t="e">
        <f t="shared" ref="Z10:Z47" si="7">VLOOKUP($B10,$S$3:$AA$9,8,FALSE)</f>
        <v>#N/A</v>
      </c>
      <c r="AA10" s="296" t="e">
        <f t="shared" ref="AA10:AA47" si="8">VLOOKUP($B10,$S$3:$AA$9,9,FALSE)</f>
        <v>#N/A</v>
      </c>
    </row>
    <row r="11" spans="2:30" ht="14.4" hidden="1">
      <c r="B11" s="34"/>
      <c r="C11" s="366"/>
      <c r="D11" s="279"/>
      <c r="E11" s="279"/>
      <c r="F11" s="278"/>
      <c r="G11" s="279"/>
      <c r="H11" s="394"/>
      <c r="I11" s="368"/>
      <c r="J11" s="368"/>
      <c r="K11" s="281"/>
      <c r="L11" s="276"/>
      <c r="M11" s="395"/>
      <c r="N11" s="370"/>
      <c r="O11" s="371"/>
      <c r="P11" s="369"/>
      <c r="Q11" s="347"/>
      <c r="S11" s="277">
        <f t="shared" si="0"/>
        <v>0</v>
      </c>
      <c r="T11" s="296" t="e">
        <f t="shared" si="1"/>
        <v>#N/A</v>
      </c>
      <c r="U11" s="296" t="e">
        <f t="shared" si="2"/>
        <v>#N/A</v>
      </c>
      <c r="V11" s="297" t="e">
        <f t="shared" si="3"/>
        <v>#N/A</v>
      </c>
      <c r="W11" s="297" t="e">
        <f t="shared" si="4"/>
        <v>#N/A</v>
      </c>
      <c r="X11" s="297" t="e">
        <f t="shared" si="5"/>
        <v>#N/A</v>
      </c>
      <c r="Y11" s="297" t="e">
        <f t="shared" si="6"/>
        <v>#N/A</v>
      </c>
      <c r="Z11" s="297" t="e">
        <f t="shared" si="7"/>
        <v>#N/A</v>
      </c>
      <c r="AA11" s="296" t="e">
        <f t="shared" si="8"/>
        <v>#N/A</v>
      </c>
    </row>
    <row r="12" spans="2:30" ht="14.4" hidden="1">
      <c r="B12" s="34"/>
      <c r="C12" s="366"/>
      <c r="D12" s="279"/>
      <c r="E12" s="279"/>
      <c r="F12" s="278"/>
      <c r="G12" s="279"/>
      <c r="H12" s="394"/>
      <c r="I12" s="368"/>
      <c r="J12" s="368"/>
      <c r="K12" s="281"/>
      <c r="L12" s="276"/>
      <c r="M12" s="395"/>
      <c r="N12" s="370"/>
      <c r="O12" s="371"/>
      <c r="P12" s="369"/>
      <c r="Q12" s="347"/>
      <c r="S12" s="277">
        <f t="shared" si="0"/>
        <v>0</v>
      </c>
      <c r="T12" s="296" t="e">
        <f t="shared" si="1"/>
        <v>#N/A</v>
      </c>
      <c r="U12" s="296" t="e">
        <f t="shared" si="2"/>
        <v>#N/A</v>
      </c>
      <c r="V12" s="297" t="e">
        <f t="shared" si="3"/>
        <v>#N/A</v>
      </c>
      <c r="W12" s="297" t="e">
        <f t="shared" si="4"/>
        <v>#N/A</v>
      </c>
      <c r="X12" s="297" t="e">
        <f t="shared" si="5"/>
        <v>#N/A</v>
      </c>
      <c r="Y12" s="297" t="e">
        <f t="shared" si="6"/>
        <v>#N/A</v>
      </c>
      <c r="Z12" s="297" t="e">
        <f t="shared" si="7"/>
        <v>#N/A</v>
      </c>
      <c r="AA12" s="296" t="e">
        <f t="shared" si="8"/>
        <v>#N/A</v>
      </c>
    </row>
    <row r="13" spans="2:30" ht="15.75" hidden="1" customHeight="1">
      <c r="B13" s="393"/>
      <c r="C13" s="366"/>
      <c r="D13" s="279"/>
      <c r="E13" s="279"/>
      <c r="F13" s="278"/>
      <c r="G13" s="279"/>
      <c r="H13" s="394"/>
      <c r="I13" s="368"/>
      <c r="J13" s="368"/>
      <c r="K13" s="281"/>
      <c r="L13" s="276"/>
      <c r="M13" s="395"/>
      <c r="N13" s="370"/>
      <c r="O13" s="371"/>
      <c r="P13" s="375"/>
      <c r="Q13" s="347"/>
      <c r="S13" s="277">
        <f t="shared" si="0"/>
        <v>0</v>
      </c>
      <c r="T13" s="296" t="e">
        <f t="shared" si="1"/>
        <v>#N/A</v>
      </c>
      <c r="U13" s="296" t="e">
        <f t="shared" si="2"/>
        <v>#N/A</v>
      </c>
      <c r="V13" s="297" t="e">
        <f t="shared" si="3"/>
        <v>#N/A</v>
      </c>
      <c r="W13" s="297" t="e">
        <f t="shared" si="4"/>
        <v>#N/A</v>
      </c>
      <c r="X13" s="297" t="e">
        <f t="shared" si="5"/>
        <v>#N/A</v>
      </c>
      <c r="Y13" s="297" t="e">
        <f t="shared" si="6"/>
        <v>#N/A</v>
      </c>
      <c r="Z13" s="297" t="e">
        <f t="shared" si="7"/>
        <v>#N/A</v>
      </c>
      <c r="AA13" s="296" t="e">
        <f t="shared" si="8"/>
        <v>#N/A</v>
      </c>
    </row>
    <row r="14" spans="2:30" ht="15.75" hidden="1" customHeight="1">
      <c r="B14" s="34"/>
      <c r="C14" s="366"/>
      <c r="D14" s="279"/>
      <c r="E14" s="279"/>
      <c r="F14" s="278"/>
      <c r="G14" s="279"/>
      <c r="H14" s="394"/>
      <c r="I14" s="368"/>
      <c r="J14" s="368"/>
      <c r="K14" s="281"/>
      <c r="L14" s="276"/>
      <c r="M14" s="395"/>
      <c r="N14" s="370"/>
      <c r="O14" s="371"/>
      <c r="P14" s="375"/>
      <c r="Q14" s="347"/>
      <c r="S14" s="277">
        <f t="shared" si="0"/>
        <v>0</v>
      </c>
      <c r="T14" s="296" t="e">
        <f t="shared" si="1"/>
        <v>#N/A</v>
      </c>
      <c r="U14" s="296" t="e">
        <f t="shared" si="2"/>
        <v>#N/A</v>
      </c>
      <c r="V14" s="297" t="e">
        <f t="shared" si="3"/>
        <v>#N/A</v>
      </c>
      <c r="W14" s="297" t="e">
        <f t="shared" si="4"/>
        <v>#N/A</v>
      </c>
      <c r="X14" s="297" t="e">
        <f t="shared" si="5"/>
        <v>#N/A</v>
      </c>
      <c r="Y14" s="297" t="e">
        <f t="shared" si="6"/>
        <v>#N/A</v>
      </c>
      <c r="Z14" s="297" t="e">
        <f t="shared" si="7"/>
        <v>#N/A</v>
      </c>
      <c r="AA14" s="296" t="e">
        <f t="shared" si="8"/>
        <v>#N/A</v>
      </c>
    </row>
    <row r="15" spans="2:30" ht="15.75" hidden="1" customHeight="1">
      <c r="B15" s="373"/>
      <c r="C15" s="366"/>
      <c r="D15" s="279"/>
      <c r="E15" s="279"/>
      <c r="F15" s="278"/>
      <c r="G15" s="383"/>
      <c r="H15" s="367"/>
      <c r="I15" s="368"/>
      <c r="J15" s="368"/>
      <c r="K15" s="281"/>
      <c r="L15" s="276"/>
      <c r="M15" s="374"/>
      <c r="N15" s="370"/>
      <c r="O15" s="371"/>
      <c r="P15" s="375"/>
      <c r="Q15" s="347"/>
      <c r="S15" s="277">
        <f t="shared" si="0"/>
        <v>0</v>
      </c>
      <c r="T15" s="296" t="e">
        <f t="shared" si="1"/>
        <v>#N/A</v>
      </c>
      <c r="U15" s="296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7" t="e">
        <f t="shared" si="7"/>
        <v>#N/A</v>
      </c>
      <c r="AA15" s="296" t="e">
        <f t="shared" si="8"/>
        <v>#N/A</v>
      </c>
    </row>
    <row r="16" spans="2:30" ht="15.75" hidden="1" customHeight="1">
      <c r="B16" s="373"/>
      <c r="C16" s="366"/>
      <c r="D16" s="279"/>
      <c r="E16" s="279"/>
      <c r="F16" s="278"/>
      <c r="G16" s="383"/>
      <c r="H16" s="367"/>
      <c r="I16" s="368"/>
      <c r="J16" s="368"/>
      <c r="K16" s="281"/>
      <c r="L16" s="276"/>
      <c r="M16" s="374"/>
      <c r="N16" s="370"/>
      <c r="O16" s="371"/>
      <c r="P16" s="375"/>
      <c r="Q16" s="347"/>
      <c r="S16" s="277">
        <f t="shared" si="0"/>
        <v>0</v>
      </c>
      <c r="T16" s="296" t="e">
        <f t="shared" si="1"/>
        <v>#N/A</v>
      </c>
      <c r="U16" s="296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7" t="e">
        <f t="shared" si="7"/>
        <v>#N/A</v>
      </c>
      <c r="AA16" s="296" t="e">
        <f t="shared" si="8"/>
        <v>#N/A</v>
      </c>
    </row>
    <row r="17" spans="2:27" ht="15.75" hidden="1" customHeight="1">
      <c r="B17" s="373"/>
      <c r="C17" s="366"/>
      <c r="D17" s="279"/>
      <c r="E17" s="279"/>
      <c r="F17" s="278"/>
      <c r="G17" s="383"/>
      <c r="H17" s="367"/>
      <c r="I17" s="368"/>
      <c r="J17" s="368"/>
      <c r="K17" s="281"/>
      <c r="L17" s="276"/>
      <c r="M17" s="374"/>
      <c r="N17" s="370"/>
      <c r="O17" s="371"/>
      <c r="P17" s="375"/>
      <c r="Q17" s="347"/>
      <c r="S17" s="277">
        <f t="shared" si="0"/>
        <v>0</v>
      </c>
      <c r="T17" s="296" t="e">
        <f t="shared" si="1"/>
        <v>#N/A</v>
      </c>
      <c r="U17" s="296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7" t="e">
        <f t="shared" si="7"/>
        <v>#N/A</v>
      </c>
      <c r="AA17" s="296" t="e">
        <f t="shared" si="8"/>
        <v>#N/A</v>
      </c>
    </row>
    <row r="18" spans="2:27" ht="15.75" hidden="1" customHeight="1">
      <c r="B18" s="373"/>
      <c r="C18" s="366"/>
      <c r="D18" s="279"/>
      <c r="E18" s="279"/>
      <c r="F18" s="278"/>
      <c r="G18" s="383"/>
      <c r="H18" s="367"/>
      <c r="I18" s="368"/>
      <c r="J18" s="368"/>
      <c r="K18" s="281"/>
      <c r="L18" s="276"/>
      <c r="M18" s="374"/>
      <c r="N18" s="370"/>
      <c r="O18" s="371"/>
      <c r="P18" s="375"/>
      <c r="Q18" s="347"/>
      <c r="S18" s="277">
        <f t="shared" si="0"/>
        <v>0</v>
      </c>
      <c r="T18" s="296" t="e">
        <f t="shared" si="1"/>
        <v>#N/A</v>
      </c>
      <c r="U18" s="296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7" t="e">
        <f t="shared" si="7"/>
        <v>#N/A</v>
      </c>
      <c r="AA18" s="296" t="e">
        <f t="shared" si="8"/>
        <v>#N/A</v>
      </c>
    </row>
    <row r="19" spans="2:27" ht="15.75" hidden="1" customHeight="1">
      <c r="B19" s="373"/>
      <c r="C19" s="366"/>
      <c r="D19" s="279"/>
      <c r="E19" s="279"/>
      <c r="F19" s="278"/>
      <c r="G19" s="383"/>
      <c r="H19" s="367"/>
      <c r="I19" s="368"/>
      <c r="J19" s="368"/>
      <c r="K19" s="281"/>
      <c r="L19" s="276"/>
      <c r="M19" s="374"/>
      <c r="N19" s="370"/>
      <c r="O19" s="371"/>
      <c r="P19" s="375"/>
      <c r="Q19" s="347"/>
      <c r="S19" s="277">
        <f t="shared" si="0"/>
        <v>0</v>
      </c>
      <c r="T19" s="296" t="e">
        <f t="shared" si="1"/>
        <v>#N/A</v>
      </c>
      <c r="U19" s="296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7" t="e">
        <f t="shared" si="7"/>
        <v>#N/A</v>
      </c>
      <c r="AA19" s="296" t="e">
        <f t="shared" si="8"/>
        <v>#N/A</v>
      </c>
    </row>
    <row r="20" spans="2:27" ht="15.75" hidden="1" customHeight="1">
      <c r="B20" s="373"/>
      <c r="C20" s="366"/>
      <c r="D20" s="279"/>
      <c r="E20" s="279"/>
      <c r="F20" s="278"/>
      <c r="G20" s="383"/>
      <c r="H20" s="367"/>
      <c r="I20" s="368"/>
      <c r="J20" s="368"/>
      <c r="K20" s="281"/>
      <c r="L20" s="276"/>
      <c r="M20" s="374"/>
      <c r="N20" s="370"/>
      <c r="O20" s="371"/>
      <c r="P20" s="375"/>
      <c r="Q20" s="347"/>
      <c r="S20" s="277">
        <f t="shared" si="0"/>
        <v>0</v>
      </c>
      <c r="T20" s="296" t="e">
        <f t="shared" si="1"/>
        <v>#N/A</v>
      </c>
      <c r="U20" s="296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7" t="e">
        <f t="shared" si="7"/>
        <v>#N/A</v>
      </c>
      <c r="AA20" s="296" t="e">
        <f t="shared" si="8"/>
        <v>#N/A</v>
      </c>
    </row>
    <row r="21" spans="2:27" ht="15.75" hidden="1" customHeight="1">
      <c r="B21" s="373"/>
      <c r="C21" s="366"/>
      <c r="D21" s="279"/>
      <c r="E21" s="279"/>
      <c r="F21" s="278"/>
      <c r="G21" s="383"/>
      <c r="H21" s="367"/>
      <c r="I21" s="368"/>
      <c r="J21" s="368"/>
      <c r="K21" s="281"/>
      <c r="L21" s="276"/>
      <c r="M21" s="374"/>
      <c r="N21" s="370"/>
      <c r="O21" s="371"/>
      <c r="P21" s="375"/>
      <c r="Q21" s="347"/>
      <c r="S21" s="277">
        <f t="shared" si="0"/>
        <v>0</v>
      </c>
      <c r="T21" s="296" t="e">
        <f t="shared" si="1"/>
        <v>#N/A</v>
      </c>
      <c r="U21" s="296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7" t="e">
        <f t="shared" si="7"/>
        <v>#N/A</v>
      </c>
      <c r="AA21" s="296" t="e">
        <f t="shared" si="8"/>
        <v>#N/A</v>
      </c>
    </row>
    <row r="22" spans="2:27" ht="15.75" hidden="1" customHeight="1">
      <c r="B22" s="373"/>
      <c r="C22" s="366"/>
      <c r="D22" s="279"/>
      <c r="E22" s="279"/>
      <c r="F22" s="278"/>
      <c r="G22" s="383"/>
      <c r="H22" s="367"/>
      <c r="I22" s="368"/>
      <c r="J22" s="368"/>
      <c r="K22" s="281"/>
      <c r="L22" s="276"/>
      <c r="M22" s="374"/>
      <c r="N22" s="370"/>
      <c r="O22" s="371"/>
      <c r="P22" s="375"/>
      <c r="Q22" s="347"/>
      <c r="S22" s="277">
        <f t="shared" si="0"/>
        <v>0</v>
      </c>
      <c r="T22" s="296" t="e">
        <f t="shared" si="1"/>
        <v>#N/A</v>
      </c>
      <c r="U22" s="296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7" t="e">
        <f t="shared" si="7"/>
        <v>#N/A</v>
      </c>
      <c r="AA22" s="296" t="e">
        <f t="shared" si="8"/>
        <v>#N/A</v>
      </c>
    </row>
    <row r="23" spans="2:27" ht="15.75" hidden="1" customHeight="1">
      <c r="B23" s="373"/>
      <c r="C23" s="366"/>
      <c r="D23" s="279"/>
      <c r="E23" s="279"/>
      <c r="F23" s="278"/>
      <c r="G23" s="383"/>
      <c r="H23" s="367"/>
      <c r="I23" s="368"/>
      <c r="J23" s="368"/>
      <c r="K23" s="281"/>
      <c r="L23" s="276"/>
      <c r="M23" s="374"/>
      <c r="N23" s="370"/>
      <c r="O23" s="371"/>
      <c r="P23" s="375"/>
      <c r="Q23" s="347"/>
      <c r="S23" s="277">
        <f t="shared" si="0"/>
        <v>0</v>
      </c>
      <c r="T23" s="296" t="e">
        <f t="shared" si="1"/>
        <v>#N/A</v>
      </c>
      <c r="U23" s="296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7" t="e">
        <f t="shared" si="7"/>
        <v>#N/A</v>
      </c>
      <c r="AA23" s="296" t="e">
        <f t="shared" si="8"/>
        <v>#N/A</v>
      </c>
    </row>
    <row r="24" spans="2:27" ht="15.75" hidden="1" customHeight="1">
      <c r="B24" s="373"/>
      <c r="C24" s="366"/>
      <c r="D24" s="279"/>
      <c r="E24" s="279"/>
      <c r="F24" s="278"/>
      <c r="G24" s="383"/>
      <c r="H24" s="367"/>
      <c r="I24" s="368"/>
      <c r="J24" s="368"/>
      <c r="K24" s="281"/>
      <c r="L24" s="276"/>
      <c r="M24" s="374"/>
      <c r="N24" s="370"/>
      <c r="O24" s="371"/>
      <c r="P24" s="375"/>
      <c r="Q24" s="347"/>
      <c r="S24" s="277">
        <f t="shared" si="0"/>
        <v>0</v>
      </c>
      <c r="T24" s="296" t="e">
        <f t="shared" si="1"/>
        <v>#N/A</v>
      </c>
      <c r="U24" s="296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7" t="e">
        <f t="shared" si="7"/>
        <v>#N/A</v>
      </c>
      <c r="AA24" s="296" t="e">
        <f t="shared" si="8"/>
        <v>#N/A</v>
      </c>
    </row>
    <row r="25" spans="2:27" ht="15.75" hidden="1" customHeight="1">
      <c r="B25" s="373"/>
      <c r="C25" s="366"/>
      <c r="D25" s="279"/>
      <c r="E25" s="279"/>
      <c r="F25" s="278"/>
      <c r="G25" s="383"/>
      <c r="H25" s="367"/>
      <c r="I25" s="368"/>
      <c r="J25" s="368"/>
      <c r="K25" s="281"/>
      <c r="L25" s="276"/>
      <c r="M25" s="374"/>
      <c r="N25" s="370"/>
      <c r="O25" s="371"/>
      <c r="P25" s="375"/>
      <c r="Q25" s="347"/>
      <c r="S25" s="277">
        <f t="shared" si="0"/>
        <v>0</v>
      </c>
      <c r="T25" s="296" t="e">
        <f t="shared" si="1"/>
        <v>#N/A</v>
      </c>
      <c r="U25" s="296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7" t="e">
        <f t="shared" si="7"/>
        <v>#N/A</v>
      </c>
      <c r="AA25" s="296" t="e">
        <f t="shared" si="8"/>
        <v>#N/A</v>
      </c>
    </row>
    <row r="26" spans="2:27" ht="15.75" hidden="1" customHeight="1">
      <c r="B26" s="373"/>
      <c r="C26" s="366"/>
      <c r="D26" s="279"/>
      <c r="E26" s="279"/>
      <c r="F26" s="278"/>
      <c r="G26" s="383"/>
      <c r="H26" s="367"/>
      <c r="I26" s="368"/>
      <c r="J26" s="368"/>
      <c r="K26" s="281"/>
      <c r="L26" s="276"/>
      <c r="M26" s="374"/>
      <c r="N26" s="370"/>
      <c r="O26" s="371"/>
      <c r="P26" s="375"/>
      <c r="Q26" s="347"/>
      <c r="S26" s="277">
        <f t="shared" si="0"/>
        <v>0</v>
      </c>
      <c r="T26" s="296" t="e">
        <f t="shared" si="1"/>
        <v>#N/A</v>
      </c>
      <c r="U26" s="296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7" t="e">
        <f t="shared" si="7"/>
        <v>#N/A</v>
      </c>
      <c r="AA26" s="296" t="e">
        <f t="shared" si="8"/>
        <v>#N/A</v>
      </c>
    </row>
    <row r="27" spans="2:27" ht="14.4" hidden="1">
      <c r="B27" s="373"/>
      <c r="C27" s="366"/>
      <c r="D27" s="279"/>
      <c r="E27" s="279"/>
      <c r="F27" s="278"/>
      <c r="G27" s="383"/>
      <c r="H27" s="367"/>
      <c r="I27" s="368"/>
      <c r="J27" s="368"/>
      <c r="K27" s="281"/>
      <c r="L27" s="276"/>
      <c r="M27" s="374"/>
      <c r="N27" s="370"/>
      <c r="O27" s="371"/>
      <c r="P27" s="369"/>
      <c r="Q27" s="347"/>
      <c r="S27" s="277">
        <f t="shared" si="0"/>
        <v>0</v>
      </c>
      <c r="T27" s="296" t="e">
        <f t="shared" si="1"/>
        <v>#N/A</v>
      </c>
      <c r="U27" s="296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7" t="e">
        <f t="shared" si="7"/>
        <v>#N/A</v>
      </c>
      <c r="AA27" s="296" t="e">
        <f t="shared" si="8"/>
        <v>#N/A</v>
      </c>
    </row>
    <row r="28" spans="2:27" ht="14.4" hidden="1">
      <c r="B28" s="373"/>
      <c r="C28" s="366"/>
      <c r="D28" s="279"/>
      <c r="E28" s="279"/>
      <c r="F28" s="278"/>
      <c r="G28" s="383"/>
      <c r="H28" s="367"/>
      <c r="I28" s="368"/>
      <c r="J28" s="368"/>
      <c r="K28" s="281"/>
      <c r="L28" s="276"/>
      <c r="M28" s="374"/>
      <c r="N28" s="370"/>
      <c r="O28" s="371"/>
      <c r="P28" s="369"/>
      <c r="Q28" s="347"/>
      <c r="S28" s="277">
        <f t="shared" si="0"/>
        <v>0</v>
      </c>
      <c r="T28" s="296" t="e">
        <f t="shared" si="1"/>
        <v>#N/A</v>
      </c>
      <c r="U28" s="296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7" t="e">
        <f t="shared" si="7"/>
        <v>#N/A</v>
      </c>
      <c r="AA28" s="296" t="e">
        <f t="shared" si="8"/>
        <v>#N/A</v>
      </c>
    </row>
    <row r="29" spans="2:27" ht="14.4" hidden="1">
      <c r="B29" s="373"/>
      <c r="C29" s="366"/>
      <c r="D29" s="279"/>
      <c r="E29" s="279"/>
      <c r="F29" s="278"/>
      <c r="G29" s="383"/>
      <c r="H29" s="367"/>
      <c r="I29" s="368"/>
      <c r="J29" s="368"/>
      <c r="K29" s="392"/>
      <c r="L29" s="276"/>
      <c r="M29" s="374"/>
      <c r="N29" s="370"/>
      <c r="O29" s="371"/>
      <c r="P29" s="369"/>
      <c r="Q29" s="347"/>
      <c r="S29" s="277">
        <f t="shared" si="0"/>
        <v>0</v>
      </c>
      <c r="T29" s="296" t="e">
        <f t="shared" si="1"/>
        <v>#N/A</v>
      </c>
      <c r="U29" s="296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7" t="e">
        <f t="shared" si="7"/>
        <v>#N/A</v>
      </c>
      <c r="AA29" s="296" t="e">
        <f t="shared" si="8"/>
        <v>#N/A</v>
      </c>
    </row>
    <row r="30" spans="2:27" ht="14.4" hidden="1">
      <c r="B30" s="373"/>
      <c r="C30" s="366"/>
      <c r="D30" s="279"/>
      <c r="E30" s="279"/>
      <c r="F30" s="278"/>
      <c r="G30" s="383"/>
      <c r="H30" s="367"/>
      <c r="I30" s="368"/>
      <c r="J30" s="368"/>
      <c r="K30" s="281"/>
      <c r="L30" s="276"/>
      <c r="M30" s="374"/>
      <c r="N30" s="370"/>
      <c r="O30" s="371"/>
      <c r="P30" s="369"/>
      <c r="Q30" s="347"/>
      <c r="S30" s="277">
        <f t="shared" si="0"/>
        <v>0</v>
      </c>
      <c r="T30" s="296" t="e">
        <f t="shared" si="1"/>
        <v>#N/A</v>
      </c>
      <c r="U30" s="296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7" t="e">
        <f t="shared" si="7"/>
        <v>#N/A</v>
      </c>
      <c r="AA30" s="296" t="e">
        <f t="shared" si="8"/>
        <v>#N/A</v>
      </c>
    </row>
    <row r="31" spans="2:27" ht="14.4" hidden="1">
      <c r="B31" s="373"/>
      <c r="C31" s="366"/>
      <c r="D31" s="279"/>
      <c r="E31" s="279"/>
      <c r="F31" s="278"/>
      <c r="G31" s="383"/>
      <c r="H31" s="367"/>
      <c r="I31" s="368"/>
      <c r="J31" s="368"/>
      <c r="K31" s="281"/>
      <c r="L31" s="276"/>
      <c r="M31" s="374"/>
      <c r="N31" s="370"/>
      <c r="O31" s="371"/>
      <c r="P31" s="369"/>
      <c r="Q31" s="347"/>
      <c r="S31" s="277">
        <f t="shared" si="0"/>
        <v>0</v>
      </c>
      <c r="T31" s="296" t="e">
        <f t="shared" si="1"/>
        <v>#N/A</v>
      </c>
      <c r="U31" s="296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7" t="e">
        <f t="shared" si="7"/>
        <v>#N/A</v>
      </c>
      <c r="AA31" s="296" t="e">
        <f t="shared" si="8"/>
        <v>#N/A</v>
      </c>
    </row>
    <row r="32" spans="2:27" ht="14.4" hidden="1">
      <c r="B32" s="373"/>
      <c r="C32" s="366"/>
      <c r="D32" s="279"/>
      <c r="E32" s="279"/>
      <c r="F32" s="278"/>
      <c r="G32" s="383"/>
      <c r="H32" s="367"/>
      <c r="I32" s="368"/>
      <c r="J32" s="368"/>
      <c r="K32" s="281"/>
      <c r="L32" s="276"/>
      <c r="M32" s="374"/>
      <c r="N32" s="370"/>
      <c r="O32" s="371"/>
      <c r="P32" s="369"/>
      <c r="Q32" s="347"/>
      <c r="S32" s="277">
        <f t="shared" si="0"/>
        <v>0</v>
      </c>
      <c r="T32" s="296" t="e">
        <f t="shared" si="1"/>
        <v>#N/A</v>
      </c>
      <c r="U32" s="296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7" t="e">
        <f t="shared" si="7"/>
        <v>#N/A</v>
      </c>
      <c r="AA32" s="296" t="e">
        <f t="shared" si="8"/>
        <v>#N/A</v>
      </c>
    </row>
    <row r="33" spans="2:27" ht="14.4" hidden="1">
      <c r="B33" s="393"/>
      <c r="C33" s="366"/>
      <c r="D33" s="279"/>
      <c r="E33" s="279"/>
      <c r="F33" s="278"/>
      <c r="G33" s="279"/>
      <c r="H33" s="394"/>
      <c r="I33" s="368"/>
      <c r="J33" s="368"/>
      <c r="K33" s="281"/>
      <c r="L33" s="276"/>
      <c r="M33" s="395"/>
      <c r="N33" s="370"/>
      <c r="O33" s="371"/>
      <c r="P33" s="369"/>
      <c r="Q33" s="347"/>
      <c r="S33" s="277">
        <f t="shared" si="0"/>
        <v>0</v>
      </c>
      <c r="T33" s="296" t="e">
        <f t="shared" si="1"/>
        <v>#N/A</v>
      </c>
      <c r="U33" s="296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7" t="e">
        <f t="shared" si="7"/>
        <v>#N/A</v>
      </c>
      <c r="AA33" s="296" t="e">
        <f t="shared" si="8"/>
        <v>#N/A</v>
      </c>
    </row>
    <row r="34" spans="2:27" ht="14.4" hidden="1">
      <c r="B34" s="393"/>
      <c r="C34" s="366"/>
      <c r="D34" s="279"/>
      <c r="E34" s="279"/>
      <c r="F34" s="278"/>
      <c r="G34" s="279"/>
      <c r="H34" s="394"/>
      <c r="I34" s="368"/>
      <c r="J34" s="368"/>
      <c r="K34" s="281"/>
      <c r="L34" s="276"/>
      <c r="M34" s="395"/>
      <c r="N34" s="370"/>
      <c r="O34" s="371"/>
      <c r="P34" s="369"/>
      <c r="Q34" s="347"/>
      <c r="S34" s="277">
        <f t="shared" si="0"/>
        <v>0</v>
      </c>
      <c r="T34" s="296" t="e">
        <f t="shared" si="1"/>
        <v>#N/A</v>
      </c>
      <c r="U34" s="296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7" t="e">
        <f t="shared" si="7"/>
        <v>#N/A</v>
      </c>
      <c r="AA34" s="296" t="e">
        <f t="shared" si="8"/>
        <v>#N/A</v>
      </c>
    </row>
    <row r="35" spans="2:27" ht="14.4" hidden="1">
      <c r="B35" s="393"/>
      <c r="C35" s="366"/>
      <c r="D35" s="279"/>
      <c r="E35" s="279"/>
      <c r="F35" s="278"/>
      <c r="G35" s="279"/>
      <c r="H35" s="394"/>
      <c r="I35" s="368"/>
      <c r="J35" s="368"/>
      <c r="K35" s="281"/>
      <c r="L35" s="276"/>
      <c r="M35" s="395"/>
      <c r="N35" s="370"/>
      <c r="O35" s="371"/>
      <c r="P35" s="369"/>
      <c r="Q35" s="347"/>
      <c r="S35" s="277">
        <f t="shared" si="0"/>
        <v>0</v>
      </c>
      <c r="T35" s="296" t="e">
        <f t="shared" si="1"/>
        <v>#N/A</v>
      </c>
      <c r="U35" s="296" t="e">
        <f t="shared" si="2"/>
        <v>#N/A</v>
      </c>
      <c r="V35" s="297" t="e">
        <f t="shared" si="3"/>
        <v>#N/A</v>
      </c>
      <c r="W35" s="297" t="e">
        <f t="shared" si="4"/>
        <v>#N/A</v>
      </c>
      <c r="X35" s="297" t="e">
        <f t="shared" si="5"/>
        <v>#N/A</v>
      </c>
      <c r="Y35" s="297" t="e">
        <f t="shared" si="6"/>
        <v>#N/A</v>
      </c>
      <c r="Z35" s="297" t="e">
        <f t="shared" si="7"/>
        <v>#N/A</v>
      </c>
      <c r="AA35" s="296" t="e">
        <f t="shared" si="8"/>
        <v>#N/A</v>
      </c>
    </row>
    <row r="36" spans="2:27" ht="14.4" hidden="1">
      <c r="B36" s="393"/>
      <c r="C36" s="366"/>
      <c r="D36" s="279"/>
      <c r="E36" s="279"/>
      <c r="F36" s="278"/>
      <c r="G36" s="279"/>
      <c r="H36" s="394"/>
      <c r="I36" s="368"/>
      <c r="J36" s="368"/>
      <c r="K36" s="281"/>
      <c r="L36" s="276"/>
      <c r="M36" s="395"/>
      <c r="N36" s="370"/>
      <c r="O36" s="371"/>
      <c r="P36" s="369"/>
      <c r="Q36" s="347"/>
      <c r="S36" s="277">
        <f t="shared" si="0"/>
        <v>0</v>
      </c>
      <c r="T36" s="296" t="e">
        <f t="shared" si="1"/>
        <v>#N/A</v>
      </c>
      <c r="U36" s="296" t="e">
        <f t="shared" si="2"/>
        <v>#N/A</v>
      </c>
      <c r="V36" s="297" t="e">
        <f t="shared" si="3"/>
        <v>#N/A</v>
      </c>
      <c r="W36" s="297" t="e">
        <f t="shared" si="4"/>
        <v>#N/A</v>
      </c>
      <c r="X36" s="297" t="e">
        <f t="shared" si="5"/>
        <v>#N/A</v>
      </c>
      <c r="Y36" s="297" t="e">
        <f t="shared" si="6"/>
        <v>#N/A</v>
      </c>
      <c r="Z36" s="297" t="e">
        <f t="shared" si="7"/>
        <v>#N/A</v>
      </c>
      <c r="AA36" s="296" t="e">
        <f t="shared" si="8"/>
        <v>#N/A</v>
      </c>
    </row>
    <row r="37" spans="2:27" ht="14.4" hidden="1">
      <c r="B37" s="393"/>
      <c r="C37" s="366"/>
      <c r="D37" s="279"/>
      <c r="E37" s="279"/>
      <c r="F37" s="278"/>
      <c r="G37" s="279"/>
      <c r="H37" s="394"/>
      <c r="I37" s="368"/>
      <c r="J37" s="368"/>
      <c r="K37" s="281"/>
      <c r="L37" s="276"/>
      <c r="M37" s="395"/>
      <c r="N37" s="370"/>
      <c r="O37" s="371"/>
      <c r="P37" s="369"/>
      <c r="Q37" s="347"/>
      <c r="S37" s="277">
        <f t="shared" si="0"/>
        <v>0</v>
      </c>
      <c r="T37" s="296" t="e">
        <f t="shared" si="1"/>
        <v>#N/A</v>
      </c>
      <c r="U37" s="296" t="e">
        <f t="shared" si="2"/>
        <v>#N/A</v>
      </c>
      <c r="V37" s="297" t="e">
        <f t="shared" si="3"/>
        <v>#N/A</v>
      </c>
      <c r="W37" s="297" t="e">
        <f t="shared" si="4"/>
        <v>#N/A</v>
      </c>
      <c r="X37" s="297" t="e">
        <f t="shared" si="5"/>
        <v>#N/A</v>
      </c>
      <c r="Y37" s="297" t="e">
        <f t="shared" si="6"/>
        <v>#N/A</v>
      </c>
      <c r="Z37" s="297" t="e">
        <f t="shared" si="7"/>
        <v>#N/A</v>
      </c>
      <c r="AA37" s="296" t="e">
        <f t="shared" si="8"/>
        <v>#N/A</v>
      </c>
    </row>
    <row r="38" spans="2:27" ht="14.4" hidden="1">
      <c r="B38" s="393"/>
      <c r="C38" s="366"/>
      <c r="D38" s="279"/>
      <c r="E38" s="279"/>
      <c r="F38" s="278"/>
      <c r="G38" s="279"/>
      <c r="H38" s="394"/>
      <c r="I38" s="368"/>
      <c r="J38" s="368"/>
      <c r="K38" s="281"/>
      <c r="L38" s="276"/>
      <c r="M38" s="395"/>
      <c r="N38" s="370"/>
      <c r="O38" s="371"/>
      <c r="P38" s="369"/>
      <c r="Q38" s="347"/>
      <c r="S38" s="277">
        <f t="shared" si="0"/>
        <v>0</v>
      </c>
      <c r="T38" s="296" t="e">
        <f t="shared" si="1"/>
        <v>#N/A</v>
      </c>
      <c r="U38" s="296" t="e">
        <f t="shared" si="2"/>
        <v>#N/A</v>
      </c>
      <c r="V38" s="297" t="e">
        <f t="shared" si="3"/>
        <v>#N/A</v>
      </c>
      <c r="W38" s="297" t="e">
        <f t="shared" si="4"/>
        <v>#N/A</v>
      </c>
      <c r="X38" s="297" t="e">
        <f t="shared" si="5"/>
        <v>#N/A</v>
      </c>
      <c r="Y38" s="297" t="e">
        <f t="shared" si="6"/>
        <v>#N/A</v>
      </c>
      <c r="Z38" s="297" t="e">
        <f t="shared" si="7"/>
        <v>#N/A</v>
      </c>
      <c r="AA38" s="296" t="e">
        <f t="shared" si="8"/>
        <v>#N/A</v>
      </c>
    </row>
    <row r="39" spans="2:27" ht="14.4">
      <c r="B39" s="393"/>
      <c r="C39" s="366"/>
      <c r="D39" s="279"/>
      <c r="E39" s="279"/>
      <c r="F39" s="278"/>
      <c r="G39" s="279"/>
      <c r="H39" s="394"/>
      <c r="I39" s="368"/>
      <c r="J39" s="368"/>
      <c r="K39" s="281"/>
      <c r="L39" s="276"/>
      <c r="M39" s="395"/>
      <c r="N39" s="370"/>
      <c r="O39" s="371"/>
      <c r="P39" s="369"/>
      <c r="Q39" s="347"/>
      <c r="S39" s="277">
        <f t="shared" si="0"/>
        <v>0</v>
      </c>
      <c r="T39" s="296" t="e">
        <f t="shared" si="1"/>
        <v>#N/A</v>
      </c>
      <c r="U39" s="296" t="e">
        <f t="shared" si="2"/>
        <v>#N/A</v>
      </c>
      <c r="V39" s="297" t="e">
        <f t="shared" si="3"/>
        <v>#N/A</v>
      </c>
      <c r="W39" s="297" t="e">
        <f t="shared" si="4"/>
        <v>#N/A</v>
      </c>
      <c r="X39" s="297" t="e">
        <f t="shared" si="5"/>
        <v>#N/A</v>
      </c>
      <c r="Y39" s="297" t="e">
        <f t="shared" si="6"/>
        <v>#N/A</v>
      </c>
      <c r="Z39" s="297" t="e">
        <f t="shared" si="7"/>
        <v>#N/A</v>
      </c>
      <c r="AA39" s="296" t="e">
        <f t="shared" si="8"/>
        <v>#N/A</v>
      </c>
    </row>
    <row r="40" spans="2:27" ht="14.4">
      <c r="B40" s="393"/>
      <c r="C40" s="366"/>
      <c r="D40" s="279"/>
      <c r="E40" s="279"/>
      <c r="F40" s="278"/>
      <c r="G40" s="279"/>
      <c r="H40" s="394"/>
      <c r="I40" s="368"/>
      <c r="J40" s="368"/>
      <c r="K40" s="281"/>
      <c r="L40" s="276"/>
      <c r="M40" s="395"/>
      <c r="N40" s="370"/>
      <c r="O40" s="371"/>
      <c r="P40" s="369"/>
      <c r="Q40" s="347"/>
      <c r="S40" s="277">
        <f t="shared" si="0"/>
        <v>0</v>
      </c>
      <c r="T40" s="296" t="e">
        <f t="shared" si="1"/>
        <v>#N/A</v>
      </c>
      <c r="U40" s="296" t="e">
        <f t="shared" si="2"/>
        <v>#N/A</v>
      </c>
      <c r="V40" s="297" t="e">
        <f t="shared" si="3"/>
        <v>#N/A</v>
      </c>
      <c r="W40" s="297" t="e">
        <f t="shared" si="4"/>
        <v>#N/A</v>
      </c>
      <c r="X40" s="297" t="e">
        <f t="shared" si="5"/>
        <v>#N/A</v>
      </c>
      <c r="Y40" s="297" t="e">
        <f t="shared" si="6"/>
        <v>#N/A</v>
      </c>
      <c r="Z40" s="297" t="e">
        <f t="shared" si="7"/>
        <v>#N/A</v>
      </c>
      <c r="AA40" s="296" t="e">
        <f t="shared" si="8"/>
        <v>#N/A</v>
      </c>
    </row>
    <row r="41" spans="2:27" ht="14.4">
      <c r="B41" s="393"/>
      <c r="C41" s="366"/>
      <c r="D41" s="279"/>
      <c r="E41" s="279"/>
      <c r="F41" s="278"/>
      <c r="G41" s="279"/>
      <c r="H41" s="394"/>
      <c r="I41" s="368"/>
      <c r="J41" s="368"/>
      <c r="K41" s="281"/>
      <c r="L41" s="276"/>
      <c r="M41" s="395"/>
      <c r="N41" s="370"/>
      <c r="O41" s="371"/>
      <c r="P41" s="369"/>
      <c r="Q41" s="347"/>
      <c r="S41" s="277">
        <f t="shared" si="0"/>
        <v>0</v>
      </c>
      <c r="T41" s="296" t="e">
        <f t="shared" si="1"/>
        <v>#N/A</v>
      </c>
      <c r="U41" s="296" t="e">
        <f t="shared" si="2"/>
        <v>#N/A</v>
      </c>
      <c r="V41" s="297" t="e">
        <f t="shared" si="3"/>
        <v>#N/A</v>
      </c>
      <c r="W41" s="297" t="e">
        <f t="shared" si="4"/>
        <v>#N/A</v>
      </c>
      <c r="X41" s="297" t="e">
        <f t="shared" si="5"/>
        <v>#N/A</v>
      </c>
      <c r="Y41" s="297" t="e">
        <f t="shared" si="6"/>
        <v>#N/A</v>
      </c>
      <c r="Z41" s="297" t="e">
        <f t="shared" si="7"/>
        <v>#N/A</v>
      </c>
      <c r="AA41" s="296" t="e">
        <f t="shared" si="8"/>
        <v>#N/A</v>
      </c>
    </row>
    <row r="42" spans="2:27" ht="14.4">
      <c r="B42" s="393"/>
      <c r="C42" s="366"/>
      <c r="D42" s="279"/>
      <c r="E42" s="279"/>
      <c r="F42" s="278"/>
      <c r="G42" s="279"/>
      <c r="H42" s="394"/>
      <c r="I42" s="368"/>
      <c r="J42" s="368"/>
      <c r="K42" s="281"/>
      <c r="L42" s="276"/>
      <c r="M42" s="395"/>
      <c r="N42" s="370"/>
      <c r="O42" s="371"/>
      <c r="P42" s="369"/>
      <c r="Q42" s="347"/>
      <c r="S42" s="277">
        <f t="shared" si="0"/>
        <v>0</v>
      </c>
      <c r="T42" s="296" t="e">
        <f t="shared" si="1"/>
        <v>#N/A</v>
      </c>
      <c r="U42" s="296" t="e">
        <f t="shared" si="2"/>
        <v>#N/A</v>
      </c>
      <c r="V42" s="297" t="e">
        <f t="shared" si="3"/>
        <v>#N/A</v>
      </c>
      <c r="W42" s="297" t="e">
        <f t="shared" si="4"/>
        <v>#N/A</v>
      </c>
      <c r="X42" s="297" t="e">
        <f t="shared" si="5"/>
        <v>#N/A</v>
      </c>
      <c r="Y42" s="297" t="e">
        <f t="shared" si="6"/>
        <v>#N/A</v>
      </c>
      <c r="Z42" s="297" t="e">
        <f t="shared" si="7"/>
        <v>#N/A</v>
      </c>
      <c r="AA42" s="296" t="e">
        <f t="shared" si="8"/>
        <v>#N/A</v>
      </c>
    </row>
    <row r="43" spans="2:27" ht="14.4">
      <c r="B43" s="393"/>
      <c r="C43" s="366"/>
      <c r="D43" s="279"/>
      <c r="E43" s="279"/>
      <c r="F43" s="278"/>
      <c r="G43" s="279"/>
      <c r="H43" s="394"/>
      <c r="I43" s="368"/>
      <c r="J43" s="368"/>
      <c r="K43" s="281"/>
      <c r="L43" s="276"/>
      <c r="M43" s="395"/>
      <c r="N43" s="370"/>
      <c r="O43" s="371"/>
      <c r="P43" s="369"/>
      <c r="Q43" s="347"/>
      <c r="S43" s="277">
        <f t="shared" si="0"/>
        <v>0</v>
      </c>
      <c r="T43" s="296" t="e">
        <f t="shared" si="1"/>
        <v>#N/A</v>
      </c>
      <c r="U43" s="296" t="e">
        <f t="shared" si="2"/>
        <v>#N/A</v>
      </c>
      <c r="V43" s="297" t="e">
        <f t="shared" si="3"/>
        <v>#N/A</v>
      </c>
      <c r="W43" s="297" t="e">
        <f t="shared" si="4"/>
        <v>#N/A</v>
      </c>
      <c r="X43" s="297" t="e">
        <f t="shared" si="5"/>
        <v>#N/A</v>
      </c>
      <c r="Y43" s="297" t="e">
        <f t="shared" si="6"/>
        <v>#N/A</v>
      </c>
      <c r="Z43" s="297" t="e">
        <f t="shared" si="7"/>
        <v>#N/A</v>
      </c>
      <c r="AA43" s="296" t="e">
        <f t="shared" si="8"/>
        <v>#N/A</v>
      </c>
    </row>
    <row r="44" spans="2:27" ht="14.4" hidden="1">
      <c r="B44" s="393"/>
      <c r="C44" s="366"/>
      <c r="D44" s="279"/>
      <c r="E44" s="279"/>
      <c r="F44" s="278"/>
      <c r="G44" s="279"/>
      <c r="H44" s="394"/>
      <c r="I44" s="368"/>
      <c r="J44" s="368"/>
      <c r="K44" s="281"/>
      <c r="L44" s="276"/>
      <c r="M44" s="395"/>
      <c r="N44" s="370"/>
      <c r="O44" s="371"/>
      <c r="P44" s="369"/>
      <c r="Q44" s="347"/>
      <c r="S44" s="277">
        <f t="shared" si="0"/>
        <v>0</v>
      </c>
      <c r="T44" s="296" t="e">
        <f t="shared" si="1"/>
        <v>#N/A</v>
      </c>
      <c r="U44" s="296" t="e">
        <f t="shared" si="2"/>
        <v>#N/A</v>
      </c>
      <c r="V44" s="297" t="e">
        <f t="shared" si="3"/>
        <v>#N/A</v>
      </c>
      <c r="W44" s="297" t="e">
        <f t="shared" si="4"/>
        <v>#N/A</v>
      </c>
      <c r="X44" s="297" t="e">
        <f t="shared" si="5"/>
        <v>#N/A</v>
      </c>
      <c r="Y44" s="297" t="e">
        <f t="shared" si="6"/>
        <v>#N/A</v>
      </c>
      <c r="Z44" s="297" t="e">
        <f t="shared" si="7"/>
        <v>#N/A</v>
      </c>
      <c r="AA44" s="296" t="e">
        <f t="shared" si="8"/>
        <v>#N/A</v>
      </c>
    </row>
    <row r="45" spans="2:27" ht="14.4" hidden="1">
      <c r="B45" s="393"/>
      <c r="C45" s="366"/>
      <c r="D45" s="279"/>
      <c r="E45" s="279"/>
      <c r="F45" s="278"/>
      <c r="G45" s="279"/>
      <c r="H45" s="394"/>
      <c r="I45" s="368"/>
      <c r="J45" s="368"/>
      <c r="K45" s="281"/>
      <c r="L45" s="276"/>
      <c r="M45" s="395"/>
      <c r="N45" s="370"/>
      <c r="O45" s="371"/>
      <c r="P45" s="369"/>
      <c r="Q45" s="347"/>
      <c r="S45" s="277">
        <f t="shared" si="0"/>
        <v>0</v>
      </c>
      <c r="T45" s="296" t="e">
        <f t="shared" si="1"/>
        <v>#N/A</v>
      </c>
      <c r="U45" s="296" t="e">
        <f t="shared" si="2"/>
        <v>#N/A</v>
      </c>
      <c r="V45" s="297" t="e">
        <f t="shared" si="3"/>
        <v>#N/A</v>
      </c>
      <c r="W45" s="297" t="e">
        <f t="shared" si="4"/>
        <v>#N/A</v>
      </c>
      <c r="X45" s="297" t="e">
        <f t="shared" si="5"/>
        <v>#N/A</v>
      </c>
      <c r="Y45" s="297" t="e">
        <f t="shared" si="6"/>
        <v>#N/A</v>
      </c>
      <c r="Z45" s="297" t="e">
        <f t="shared" si="7"/>
        <v>#N/A</v>
      </c>
      <c r="AA45" s="296" t="e">
        <f t="shared" si="8"/>
        <v>#N/A</v>
      </c>
    </row>
    <row r="46" spans="2:27" ht="14.4" hidden="1">
      <c r="B46" s="393"/>
      <c r="C46" s="366"/>
      <c r="D46" s="279"/>
      <c r="E46" s="279"/>
      <c r="F46" s="278"/>
      <c r="G46" s="279"/>
      <c r="H46" s="394"/>
      <c r="I46" s="368"/>
      <c r="J46" s="368"/>
      <c r="K46" s="281"/>
      <c r="L46" s="276"/>
      <c r="M46" s="395"/>
      <c r="N46" s="370"/>
      <c r="O46" s="371"/>
      <c r="P46" s="369"/>
      <c r="Q46" s="347"/>
      <c r="S46" s="277">
        <f t="shared" si="0"/>
        <v>0</v>
      </c>
      <c r="T46" s="296" t="e">
        <f t="shared" si="1"/>
        <v>#N/A</v>
      </c>
      <c r="U46" s="296" t="e">
        <f t="shared" si="2"/>
        <v>#N/A</v>
      </c>
      <c r="V46" s="297" t="e">
        <f t="shared" si="3"/>
        <v>#N/A</v>
      </c>
      <c r="W46" s="297" t="e">
        <f t="shared" si="4"/>
        <v>#N/A</v>
      </c>
      <c r="X46" s="297" t="e">
        <f t="shared" si="5"/>
        <v>#N/A</v>
      </c>
      <c r="Y46" s="297" t="e">
        <f t="shared" si="6"/>
        <v>#N/A</v>
      </c>
      <c r="Z46" s="297" t="e">
        <f t="shared" si="7"/>
        <v>#N/A</v>
      </c>
      <c r="AA46" s="296" t="e">
        <f t="shared" si="8"/>
        <v>#N/A</v>
      </c>
    </row>
    <row r="47" spans="2:27" ht="14.4" hidden="1">
      <c r="B47" s="373"/>
      <c r="C47" s="366"/>
      <c r="D47" s="279"/>
      <c r="E47" s="279"/>
      <c r="F47" s="278"/>
      <c r="G47" s="383"/>
      <c r="H47" s="367"/>
      <c r="I47" s="368"/>
      <c r="J47" s="368"/>
      <c r="K47" s="281"/>
      <c r="L47" s="276"/>
      <c r="M47" s="374"/>
      <c r="N47" s="370"/>
      <c r="O47" s="371"/>
      <c r="P47" s="369"/>
      <c r="Q47" s="347"/>
      <c r="S47" s="277">
        <f t="shared" si="0"/>
        <v>0</v>
      </c>
      <c r="T47" s="296" t="e">
        <f t="shared" si="1"/>
        <v>#N/A</v>
      </c>
      <c r="U47" s="296" t="e">
        <f t="shared" si="2"/>
        <v>#N/A</v>
      </c>
      <c r="V47" s="297" t="e">
        <f t="shared" si="3"/>
        <v>#N/A</v>
      </c>
      <c r="W47" s="297" t="e">
        <f t="shared" si="4"/>
        <v>#N/A</v>
      </c>
      <c r="X47" s="297" t="e">
        <f t="shared" si="5"/>
        <v>#N/A</v>
      </c>
      <c r="Y47" s="297" t="e">
        <f t="shared" si="6"/>
        <v>#N/A</v>
      </c>
      <c r="Z47" s="297" t="e">
        <f t="shared" si="7"/>
        <v>#N/A</v>
      </c>
      <c r="AA47" s="296" t="e">
        <f t="shared" si="8"/>
        <v>#N/A</v>
      </c>
    </row>
    <row r="48" spans="2:27" ht="15.75" customHeight="1" thickBot="1">
      <c r="B48" s="358"/>
      <c r="C48" s="358"/>
      <c r="D48" s="358"/>
      <c r="E48" s="358"/>
      <c r="F48" s="294"/>
      <c r="G48" s="294"/>
      <c r="H48" s="348"/>
      <c r="I48" s="481" t="s">
        <v>34</v>
      </c>
      <c r="J48" s="481"/>
      <c r="K48" s="481"/>
      <c r="L48" s="481"/>
      <c r="M48" s="481"/>
      <c r="N48" s="481"/>
      <c r="O48" s="1"/>
      <c r="P48" s="12"/>
      <c r="S48" s="277"/>
      <c r="T48" s="296"/>
      <c r="U48" s="296"/>
      <c r="V48" s="297"/>
      <c r="W48" s="297"/>
      <c r="X48" s="297"/>
      <c r="Y48" s="297"/>
      <c r="Z48" s="297"/>
      <c r="AA48" s="296"/>
    </row>
    <row r="49" spans="1:27" ht="28.2" thickBot="1">
      <c r="B49" s="388" t="s">
        <v>145</v>
      </c>
      <c r="C49" s="388"/>
      <c r="D49" s="494" t="s">
        <v>35</v>
      </c>
      <c r="E49" s="495"/>
      <c r="F49" s="294"/>
      <c r="G49" s="294"/>
      <c r="H49" s="23"/>
      <c r="I49" s="24" t="s">
        <v>17</v>
      </c>
      <c r="J49" s="25" t="s">
        <v>146</v>
      </c>
      <c r="K49" s="26" t="s">
        <v>138</v>
      </c>
      <c r="L49" s="25" t="s">
        <v>37</v>
      </c>
      <c r="M49" s="25" t="s">
        <v>38</v>
      </c>
      <c r="N49" s="27" t="s">
        <v>39</v>
      </c>
      <c r="O49" s="294"/>
      <c r="P49" s="12"/>
      <c r="S49" s="277"/>
      <c r="T49" s="296"/>
      <c r="U49" s="296"/>
      <c r="V49" s="297"/>
      <c r="W49" s="297"/>
      <c r="X49" s="297"/>
      <c r="Y49" s="297"/>
      <c r="Z49" s="297"/>
      <c r="AA49" s="296"/>
    </row>
    <row r="50" spans="1:27" ht="15" customHeight="1">
      <c r="A50" s="28"/>
      <c r="B50" s="482" t="s">
        <v>9</v>
      </c>
      <c r="C50" s="362">
        <v>11.8</v>
      </c>
      <c r="D50" s="485">
        <v>11.73</v>
      </c>
      <c r="E50" s="474"/>
      <c r="F50" s="294"/>
      <c r="G50" s="294"/>
      <c r="H50" s="294"/>
      <c r="I50" s="29" t="s">
        <v>6</v>
      </c>
      <c r="J50" s="323"/>
      <c r="K50" s="284">
        <f>COUNTA([3]Brewhouse!$A$1596:$A$1619)</f>
        <v>24</v>
      </c>
      <c r="L50" s="302">
        <f>AVERAGE([3]Brewhouse!$AU$1529,[3]Brewhouse!$AU$1531:$AU$1594,[3]Brewhouse!$AU$1596:$AU$1619)</f>
        <v>98.205761326291494</v>
      </c>
      <c r="M50" s="302">
        <f>AVERAGE([3]Brewhouse!$AU$849:$AU$924,[3]Brewhouse!$AU$926:$AU$971,[3]Brewhouse!$AU$973:$AU$1066,[3]Brewhouse!$AU$1068:$AU$1111,[3]Brewhouse!$AU$1113:$AU$1132,[3]Brewhouse!$AU$1134:$AU$1167,[3]Brewhouse!$AU$1169:$AU$1230,[3]Brewhouse!$AU$1232:$AU$1299,[3]Brewhouse!$AU$1301:$AU$1363,[3]Brewhouse!$AU$1365:$AU$1444,[3]Brewhouse!$AU$1446:$AU$1527,[3]Brewhouse!$AU$1529,[3]Brewhouse!$AU$1531:$AU$1594,[3]Brewhouse!$AU$1596:$AU$1619)</f>
        <v>98.38180565872257</v>
      </c>
      <c r="N50" s="30">
        <v>98</v>
      </c>
      <c r="O50" s="11"/>
      <c r="P50" s="31"/>
      <c r="S50" s="277"/>
      <c r="T50" s="296"/>
      <c r="U50" s="296"/>
      <c r="V50" s="297"/>
      <c r="W50" s="297"/>
      <c r="X50" s="297"/>
      <c r="Y50" s="297"/>
      <c r="Z50" s="297"/>
      <c r="AA50" s="296"/>
    </row>
    <row r="51" spans="1:27" ht="15" customHeight="1">
      <c r="A51" s="28"/>
      <c r="B51" s="483"/>
      <c r="C51" s="349">
        <v>11.9</v>
      </c>
      <c r="D51" s="486"/>
      <c r="E51" s="469"/>
      <c r="F51" s="294"/>
      <c r="G51" s="294"/>
      <c r="H51" s="32"/>
      <c r="I51" s="33" t="s">
        <v>9</v>
      </c>
      <c r="J51" s="323"/>
      <c r="K51" s="284">
        <f>COUNTA([4]Brewhouse!$A$976:$A$1007)</f>
        <v>32</v>
      </c>
      <c r="L51" s="302">
        <f>AVERAGE([4]Brewhouse!$AS$976:$AS$979,[4]Brewhouse!$AS$981:$AS$1007)</f>
        <v>98.538566771868645</v>
      </c>
      <c r="M51" s="302">
        <f>AVERAGE([4]Brewhouse!$AS$577:$AS$618,[4]Brewhouse!$AS$620:$AS$651,[4]Brewhouse!$AS$653:$AS$696,[4]Brewhouse!$AS$698:$AS$708,[4]Brewhouse!$AS$710:$AS$733,[4]Brewhouse!$AS$735:$AS$777,[4]Brewhouse!$AS$779:$AS$822,[4]Brewhouse!$AS$824:$AS$863,[4]Brewhouse!$AS$865:$AS$974,[4]Brewhouse!$AS$976:$AS$979,[4]Brewhouse!$AS$981:$AS$1007)</f>
        <v>98.489670500712904</v>
      </c>
      <c r="N51" s="30">
        <v>98</v>
      </c>
      <c r="O51" s="11"/>
      <c r="P51" s="31"/>
      <c r="S51" s="277"/>
      <c r="T51" s="296"/>
      <c r="U51" s="296"/>
      <c r="V51" s="297"/>
      <c r="W51" s="297"/>
      <c r="X51" s="297"/>
      <c r="Y51" s="297"/>
      <c r="Z51" s="297"/>
      <c r="AA51" s="296"/>
    </row>
    <row r="52" spans="1:27" ht="14.7" customHeight="1">
      <c r="A52" s="28"/>
      <c r="B52" s="483"/>
      <c r="C52" s="349"/>
      <c r="D52" s="485"/>
      <c r="E52" s="474"/>
      <c r="F52" s="294"/>
      <c r="G52" s="294"/>
      <c r="H52" s="32"/>
      <c r="I52" s="34" t="s">
        <v>12</v>
      </c>
      <c r="J52" s="280"/>
      <c r="K52" s="284">
        <f>COUNTA([5]Brewhouse!$A$282:$A$289)</f>
        <v>8</v>
      </c>
      <c r="L52" s="302">
        <f>AVERAGE([5]Brewhouse!$AU$269:$AU$279,[5]Brewhouse!$AU$282:$AU$289)</f>
        <v>96.1861768599382</v>
      </c>
      <c r="M52" s="302">
        <f>AVERAGE([5]Brewhouse!$AU$161:$AU$176,[5]Brewhouse!$AU$178:$AU$195,[5]Brewhouse!$AU$197:$AU$208,[5]Brewhouse!$AU$210:$AU$221,[5]Brewhouse!$AU$223:$AU$232,[5]Brewhouse!$AU$234:$AU$279,[5]Brewhouse!$AU$282:$AU$289)</f>
        <v>96.649159522318769</v>
      </c>
      <c r="N52" s="30">
        <v>98</v>
      </c>
      <c r="O52" s="11"/>
      <c r="P52" s="31"/>
      <c r="S52" s="23"/>
      <c r="T52" s="1"/>
      <c r="U52" s="1"/>
      <c r="AA52" s="285"/>
    </row>
    <row r="53" spans="1:27" ht="14.7" customHeight="1">
      <c r="A53" s="28"/>
      <c r="B53" s="483"/>
      <c r="C53" s="349"/>
      <c r="D53" s="486"/>
      <c r="E53" s="469"/>
      <c r="F53" s="294"/>
      <c r="G53" s="294"/>
      <c r="H53" s="32"/>
      <c r="I53" s="22" t="s">
        <v>33</v>
      </c>
      <c r="J53" s="280"/>
      <c r="K53" s="284">
        <f>COUNTA([6]Brewhouse!$A$158:$A$163)</f>
        <v>6</v>
      </c>
      <c r="L53" s="302">
        <f>AVERAGE([6]Brewhouse!$AU$158:$AU$163)</f>
        <v>94.603050114691541</v>
      </c>
      <c r="M53" s="302">
        <f>AVERAGE([6]Brewhouse!$AU$91:$AU$101,[6]Brewhouse!$AU$103:$AU$112,[6]Brewhouse!$AU$114:$AU$123,[6]Brewhouse!$AU$125:$AU$134,[6]Brewhouse!$AU$136:$AU$145,[6]Brewhouse!$AU$147:$AU$156,[6]Brewhouse!$AU$158:$AU$163)</f>
        <v>96.240013738482446</v>
      </c>
      <c r="N53" s="30">
        <v>98</v>
      </c>
      <c r="O53" s="11"/>
      <c r="P53" s="31"/>
      <c r="S53" s="23"/>
      <c r="T53" s="1"/>
      <c r="U53" s="1"/>
      <c r="AA53" s="285"/>
    </row>
    <row r="54" spans="1:27" ht="14.7" customHeight="1">
      <c r="A54" s="28"/>
      <c r="B54" s="483"/>
      <c r="C54" s="349"/>
      <c r="D54" s="485"/>
      <c r="E54" s="474"/>
      <c r="F54" s="294"/>
      <c r="G54" s="294"/>
      <c r="H54" s="32"/>
      <c r="I54" s="35" t="s">
        <v>29</v>
      </c>
      <c r="J54" s="280"/>
      <c r="K54" s="284"/>
      <c r="L54" s="302"/>
      <c r="M54" s="302"/>
      <c r="N54" s="30">
        <v>98</v>
      </c>
      <c r="O54" s="11"/>
      <c r="P54" s="31"/>
      <c r="S54" s="23"/>
    </row>
    <row r="55" spans="1:27" ht="14.7" customHeight="1">
      <c r="A55" s="28"/>
      <c r="B55" s="483"/>
      <c r="C55" s="349"/>
      <c r="D55" s="486"/>
      <c r="E55" s="469"/>
      <c r="F55" s="294"/>
      <c r="G55" s="294"/>
      <c r="H55" s="32"/>
      <c r="I55" s="36" t="s">
        <v>15</v>
      </c>
      <c r="J55" s="323"/>
      <c r="K55" s="284"/>
      <c r="L55" s="302"/>
      <c r="M55" s="302">
        <f>AVERAGE([7]Brewhouse!$AT$74:$AT$79)</f>
        <v>93.95983649860375</v>
      </c>
      <c r="N55" s="30">
        <v>98</v>
      </c>
      <c r="O55" s="11"/>
      <c r="P55" s="31"/>
      <c r="S55" s="23"/>
    </row>
    <row r="56" spans="1:27" ht="14.7" customHeight="1">
      <c r="A56" s="28"/>
      <c r="B56" s="483"/>
      <c r="C56" s="349"/>
      <c r="D56" s="485"/>
      <c r="E56" s="474"/>
      <c r="F56" s="294"/>
      <c r="G56" s="294"/>
      <c r="H56" s="32"/>
      <c r="I56" s="37" t="s">
        <v>16</v>
      </c>
      <c r="J56" s="323"/>
      <c r="K56" s="284">
        <f>COUNTA([8]Brewhouse!$A$249:$A$254)</f>
        <v>6</v>
      </c>
      <c r="L56" s="302">
        <f>AVERAGE([8]Brewhouse!$AY$249:$AY$254)</f>
        <v>99.681996476494263</v>
      </c>
      <c r="M56" s="302">
        <f>AVERAGE([8]Brewhouse!$AY$138:$AY$143,[8]Brewhouse!$AY$145:$AY$153,[8]Brewhouse!$AY$155,[8]Brewhouse!$AY$156:$AY$174,[8]Brewhouse!$AY$176:$AY$185,[8]Brewhouse!$AY$187:$AY$198,[8]Brewhouse!$AY$200:$AY$247,[8]Brewhouse!$AY$249:$AY$254)</f>
        <v>98.774702677266788</v>
      </c>
      <c r="N56" s="30">
        <v>98</v>
      </c>
      <c r="O56" s="11"/>
      <c r="P56" s="31" t="s">
        <v>41</v>
      </c>
      <c r="S56" s="23"/>
      <c r="X56" s="275" t="s">
        <v>41</v>
      </c>
    </row>
    <row r="57" spans="1:27" ht="14.7" customHeight="1">
      <c r="A57" s="28"/>
      <c r="B57" s="483"/>
      <c r="C57" s="349"/>
      <c r="D57" s="486"/>
      <c r="E57" s="469"/>
      <c r="F57" s="294"/>
      <c r="G57" s="294"/>
      <c r="H57" s="32"/>
      <c r="I57" s="306" t="s">
        <v>137</v>
      </c>
      <c r="J57" s="326"/>
      <c r="K57" s="284"/>
      <c r="L57" s="305"/>
      <c r="M57" s="305">
        <f>AVERAGE([9]Brewhouse!$AW$13:$AW$14,[9]Brewhouse!$AW$16:$AW$17)</f>
        <v>92.042628234181777</v>
      </c>
      <c r="N57" s="30">
        <v>98</v>
      </c>
      <c r="O57" s="11"/>
      <c r="P57" s="31"/>
      <c r="S57" s="23"/>
    </row>
    <row r="58" spans="1:27" ht="15" customHeight="1" thickBot="1">
      <c r="A58" s="28"/>
      <c r="B58" s="483"/>
      <c r="C58" s="349"/>
      <c r="D58" s="487"/>
      <c r="E58" s="476"/>
      <c r="F58" s="294"/>
      <c r="G58" s="294"/>
      <c r="H58" s="32"/>
      <c r="I58" s="38" t="s">
        <v>125</v>
      </c>
      <c r="J58" s="327"/>
      <c r="K58" s="284"/>
      <c r="L58" s="328"/>
      <c r="M58" s="328">
        <f>AVERAGE([9]Brewhouse!$AW$13:$AW$14)</f>
        <v>88.376943267718929</v>
      </c>
      <c r="N58" s="30">
        <v>98</v>
      </c>
      <c r="O58" s="11"/>
      <c r="P58" s="31"/>
      <c r="S58" s="23"/>
    </row>
    <row r="59" spans="1:27" ht="15" customHeight="1" thickTop="1" thickBot="1">
      <c r="A59" s="28"/>
      <c r="B59" s="483"/>
      <c r="C59" s="349"/>
      <c r="D59" s="488"/>
      <c r="E59" s="489"/>
      <c r="F59" s="294"/>
      <c r="G59" s="294"/>
      <c r="H59" s="32"/>
      <c r="I59" s="1"/>
      <c r="J59" s="39"/>
      <c r="K59" s="330">
        <f>SUM(K50:K58)</f>
        <v>76</v>
      </c>
      <c r="L59" s="329">
        <f>((L50*K50)+(L51*K51)+(L52*K52)+(L53*K53)+(L54*K54)+(K57*L57)+(L55*K55)+(L56*K56)+(L58*K58))/(K59)</f>
        <v>97.965422407334373</v>
      </c>
      <c r="M59" s="329">
        <f>AVERAGE('[10]Closing- January 2023'!$L$42,'[11]Feb. 28th'!$L$42,'[12]March 31st'!$L$75,'[13]Apri 28th'!$L$51,L59)</f>
        <v>98.069259977506491</v>
      </c>
      <c r="N59" s="40">
        <v>98</v>
      </c>
      <c r="O59" s="11"/>
      <c r="P59" s="31"/>
      <c r="S59" s="23"/>
    </row>
    <row r="60" spans="1:27" ht="15" customHeight="1">
      <c r="A60" s="28"/>
      <c r="B60" s="483"/>
      <c r="C60" s="349"/>
      <c r="D60" s="487"/>
      <c r="E60" s="476"/>
      <c r="F60" s="294"/>
      <c r="G60" s="294"/>
      <c r="H60" s="32"/>
      <c r="I60" s="1"/>
      <c r="J60" s="39"/>
      <c r="O60" s="11"/>
      <c r="P60" s="31"/>
      <c r="S60" s="23"/>
    </row>
    <row r="61" spans="1:27" ht="21.6" customHeight="1" thickBot="1">
      <c r="B61" s="484"/>
      <c r="C61" s="350"/>
      <c r="D61" s="490"/>
      <c r="E61" s="491"/>
      <c r="F61" s="294"/>
      <c r="G61" s="42"/>
      <c r="H61" s="41"/>
      <c r="I61" s="42"/>
      <c r="J61" s="42"/>
      <c r="K61" s="351"/>
      <c r="L61" s="348"/>
      <c r="M61" s="348"/>
      <c r="N61" s="11"/>
      <c r="O61" s="294"/>
      <c r="P61" s="12"/>
      <c r="S61" s="23"/>
    </row>
    <row r="62" spans="1:27" ht="15" thickBot="1">
      <c r="B62" s="463"/>
      <c r="C62" s="362"/>
      <c r="D62" s="466"/>
      <c r="E62" s="467"/>
      <c r="F62" s="43"/>
      <c r="G62" s="41"/>
      <c r="H62" s="41"/>
      <c r="I62" s="42"/>
      <c r="J62" s="470" t="s">
        <v>129</v>
      </c>
      <c r="K62" s="470"/>
      <c r="L62" s="294"/>
      <c r="M62" s="294"/>
      <c r="N62" s="294"/>
      <c r="O62" s="294"/>
      <c r="P62" s="12"/>
      <c r="S62" s="23" t="s">
        <v>41</v>
      </c>
    </row>
    <row r="63" spans="1:27" ht="13.5" customHeight="1" thickBot="1">
      <c r="B63" s="464"/>
      <c r="C63" s="349"/>
      <c r="D63" s="468"/>
      <c r="E63" s="469"/>
      <c r="F63" s="43"/>
      <c r="G63" s="41"/>
      <c r="H63" s="41"/>
      <c r="I63" s="42"/>
      <c r="J63" s="292" t="s">
        <v>17</v>
      </c>
      <c r="K63" s="293" t="s">
        <v>147</v>
      </c>
      <c r="L63" s="471" t="s">
        <v>136</v>
      </c>
      <c r="M63" s="471"/>
      <c r="N63" s="472"/>
      <c r="O63" s="294"/>
      <c r="P63" s="12"/>
      <c r="S63" s="23"/>
    </row>
    <row r="64" spans="1:27" ht="15" customHeight="1" thickBot="1">
      <c r="B64" s="464"/>
      <c r="C64" s="349"/>
      <c r="D64" s="473"/>
      <c r="E64" s="474"/>
      <c r="F64" s="43"/>
      <c r="G64" s="41"/>
      <c r="H64" s="41"/>
      <c r="I64" s="42"/>
      <c r="J64" s="287" t="s">
        <v>6</v>
      </c>
      <c r="K64" s="324"/>
      <c r="L64" s="343" t="s">
        <v>37</v>
      </c>
      <c r="M64" s="307" t="s">
        <v>38</v>
      </c>
      <c r="N64" s="307" t="s">
        <v>84</v>
      </c>
      <c r="O64" s="294"/>
      <c r="P64" s="12"/>
      <c r="S64" s="23"/>
    </row>
    <row r="65" spans="2:58" ht="15.75" customHeight="1" thickBot="1">
      <c r="B65" s="464"/>
      <c r="C65" s="349"/>
      <c r="D65" s="468"/>
      <c r="E65" s="469"/>
      <c r="F65" s="43"/>
      <c r="G65" s="41"/>
      <c r="H65" s="41"/>
      <c r="I65" s="42"/>
      <c r="J65" s="345" t="s">
        <v>9</v>
      </c>
      <c r="K65" s="324">
        <v>5</v>
      </c>
      <c r="L65" s="344" t="e">
        <f>AVERAGE(#REF!,#REF!,K74,#REF!,#REF!,#REF!,#REF!,#REF!,#REF!,#REF!,#REF!)</f>
        <v>#REF!</v>
      </c>
      <c r="M65" s="325" t="e">
        <f>AVERAGE(6,6,'[12]March 31st'!$L$80,'[14]June 30th  '!$L$71,6,L65,'[15]July 31st'!$L$108,'[16]Aug 30th'!$L$124,7,[17]Oct.31st!$L$51)</f>
        <v>#REF!</v>
      </c>
      <c r="N65" s="308">
        <v>9</v>
      </c>
      <c r="O65" s="294"/>
      <c r="P65" s="12"/>
      <c r="S65" s="23"/>
    </row>
    <row r="66" spans="2:58" ht="15" customHeight="1">
      <c r="B66" s="464"/>
      <c r="C66" s="349"/>
      <c r="D66" s="473"/>
      <c r="E66" s="474"/>
      <c r="F66" s="43"/>
      <c r="G66" s="41"/>
      <c r="H66" s="41"/>
      <c r="I66" s="42"/>
      <c r="J66" s="288" t="s">
        <v>40</v>
      </c>
      <c r="K66" s="324"/>
      <c r="L66" s="294"/>
      <c r="M66" s="294"/>
      <c r="N66" s="294"/>
      <c r="O66" s="294"/>
      <c r="P66" s="12"/>
      <c r="S66" s="23"/>
    </row>
    <row r="67" spans="2:58" ht="15" customHeight="1">
      <c r="B67" s="464"/>
      <c r="C67" s="349"/>
      <c r="D67" s="468"/>
      <c r="E67" s="469"/>
      <c r="F67" s="43"/>
      <c r="G67" s="41"/>
      <c r="H67" s="41"/>
      <c r="I67" s="42"/>
      <c r="J67" s="289" t="s">
        <v>33</v>
      </c>
      <c r="K67" s="324"/>
      <c r="L67" s="294"/>
      <c r="M67" s="294"/>
      <c r="N67" s="294"/>
      <c r="O67" s="294"/>
      <c r="P67" s="12"/>
      <c r="S67" s="23"/>
    </row>
    <row r="68" spans="2:58" ht="14.4">
      <c r="B68" s="464"/>
      <c r="C68" s="349"/>
      <c r="D68" s="473"/>
      <c r="E68" s="474"/>
      <c r="F68" s="43"/>
      <c r="G68" s="41"/>
      <c r="H68" s="41"/>
      <c r="I68" s="42"/>
      <c r="J68" s="290" t="s">
        <v>16</v>
      </c>
      <c r="K68" s="324"/>
      <c r="L68" s="294"/>
      <c r="M68" s="294"/>
      <c r="N68" s="294"/>
      <c r="O68" s="294"/>
      <c r="P68" s="12"/>
      <c r="S68" s="23"/>
      <c r="BD68" s="44"/>
      <c r="BE68" s="44"/>
    </row>
    <row r="69" spans="2:58" ht="14.4">
      <c r="B69" s="464"/>
      <c r="C69" s="349"/>
      <c r="D69" s="468"/>
      <c r="E69" s="469"/>
      <c r="F69" s="43"/>
      <c r="G69" s="41"/>
      <c r="H69" s="41"/>
      <c r="I69" s="42"/>
      <c r="J69" s="291" t="s">
        <v>15</v>
      </c>
      <c r="K69" s="324"/>
      <c r="L69" s="294"/>
      <c r="M69" s="294"/>
      <c r="N69" s="294"/>
      <c r="O69" s="294"/>
      <c r="P69" s="12"/>
      <c r="S69" s="23"/>
      <c r="BD69" s="44"/>
      <c r="BE69" s="44"/>
    </row>
    <row r="70" spans="2:58" ht="14.4">
      <c r="B70" s="464"/>
      <c r="C70" s="349"/>
      <c r="D70" s="475"/>
      <c r="E70" s="476"/>
      <c r="F70" s="43"/>
      <c r="G70" s="41"/>
      <c r="H70" s="41"/>
      <c r="I70" s="42"/>
      <c r="J70" s="291" t="s">
        <v>149</v>
      </c>
      <c r="K70" s="324"/>
      <c r="L70" s="294"/>
      <c r="M70" s="294"/>
      <c r="N70" s="294"/>
      <c r="O70" s="294"/>
      <c r="P70" s="12"/>
      <c r="S70" s="23"/>
      <c r="BD70" s="44"/>
      <c r="BE70" s="44"/>
    </row>
    <row r="71" spans="2:58" ht="15" thickBot="1">
      <c r="B71" s="465"/>
      <c r="C71" s="350"/>
      <c r="D71" s="477"/>
      <c r="E71" s="478"/>
      <c r="F71" s="43"/>
      <c r="G71" s="41"/>
      <c r="H71" s="41"/>
      <c r="I71" s="42"/>
      <c r="J71" s="291" t="s">
        <v>148</v>
      </c>
      <c r="K71" s="324"/>
      <c r="L71" s="294"/>
      <c r="M71" s="294"/>
      <c r="N71" s="294"/>
      <c r="O71" s="294"/>
      <c r="P71" s="12"/>
      <c r="S71" s="23"/>
      <c r="BD71" s="44"/>
      <c r="BE71" s="44"/>
    </row>
    <row r="72" spans="2:58" ht="17.7" customHeight="1" thickBot="1">
      <c r="B72" s="312" t="s">
        <v>139</v>
      </c>
      <c r="C72" s="313"/>
      <c r="D72" s="457">
        <f>AVERAGE(D50:E71)</f>
        <v>11.73</v>
      </c>
      <c r="E72" s="458"/>
      <c r="F72" s="43"/>
      <c r="G72" s="41"/>
      <c r="H72" s="41"/>
      <c r="I72" s="42"/>
      <c r="J72" s="295" t="s">
        <v>134</v>
      </c>
      <c r="K72" s="324"/>
      <c r="L72" s="294"/>
      <c r="M72" s="294"/>
      <c r="N72" s="294"/>
      <c r="O72" s="294"/>
      <c r="P72" s="12"/>
      <c r="S72" s="23"/>
      <c r="BD72" s="44"/>
      <c r="BE72" s="44"/>
    </row>
    <row r="73" spans="2:58" ht="17.7" customHeight="1">
      <c r="B73" s="363"/>
      <c r="C73" s="364"/>
      <c r="D73" s="365"/>
      <c r="E73" s="365"/>
      <c r="F73" s="43"/>
      <c r="G73" s="41"/>
      <c r="H73" s="41"/>
      <c r="I73" s="42"/>
      <c r="J73" s="295" t="s">
        <v>131</v>
      </c>
      <c r="K73" s="324"/>
      <c r="L73" s="294"/>
      <c r="M73" s="294"/>
      <c r="N73" s="294"/>
      <c r="O73" s="294"/>
      <c r="P73" s="12"/>
      <c r="S73" s="23"/>
      <c r="BD73" s="44"/>
      <c r="BE73" s="44"/>
    </row>
    <row r="74" spans="2:58" ht="15.75" customHeight="1">
      <c r="B74" s="45"/>
      <c r="C74" s="11"/>
      <c r="D74" s="11"/>
      <c r="E74" s="46"/>
      <c r="F74" s="23"/>
      <c r="G74" s="11"/>
      <c r="H74" s="41"/>
      <c r="I74" s="42"/>
      <c r="J74" s="346" t="s">
        <v>130</v>
      </c>
      <c r="K74" s="324">
        <f>SUM(K64:K73)</f>
        <v>5</v>
      </c>
      <c r="L74" s="294"/>
      <c r="M74" s="294"/>
      <c r="N74" s="294"/>
      <c r="O74" s="294"/>
      <c r="P74" s="12"/>
    </row>
    <row r="75" spans="2:58" ht="20.25" customHeight="1">
      <c r="B75" s="15" t="s">
        <v>42</v>
      </c>
      <c r="C75" s="1" t="s">
        <v>43</v>
      </c>
      <c r="D75" s="1"/>
      <c r="E75" s="1"/>
      <c r="I75" s="42"/>
      <c r="L75" s="294"/>
      <c r="P75" s="334"/>
    </row>
    <row r="76" spans="2:58" ht="15" customHeight="1" thickBot="1"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8"/>
      <c r="O76" s="48"/>
      <c r="P76" s="49"/>
      <c r="X76" s="275" t="s">
        <v>41</v>
      </c>
    </row>
    <row r="77" spans="2:58" ht="15" customHeight="1" thickBot="1">
      <c r="B77" s="447" t="s">
        <v>17</v>
      </c>
      <c r="C77" s="447" t="s">
        <v>44</v>
      </c>
      <c r="D77" s="459" t="s">
        <v>45</v>
      </c>
      <c r="E77" s="461" t="s">
        <v>46</v>
      </c>
      <c r="F77" s="455" t="s">
        <v>47</v>
      </c>
      <c r="G77" s="445" t="s">
        <v>48</v>
      </c>
      <c r="H77" s="447" t="s">
        <v>49</v>
      </c>
      <c r="I77" s="449" t="s">
        <v>50</v>
      </c>
      <c r="J77" s="439" t="s">
        <v>28</v>
      </c>
      <c r="K77" s="451" t="s">
        <v>51</v>
      </c>
      <c r="L77" s="453" t="s">
        <v>52</v>
      </c>
      <c r="M77" s="439" t="s">
        <v>53</v>
      </c>
      <c r="N77" s="77"/>
      <c r="O77" s="13"/>
      <c r="P77" s="50"/>
    </row>
    <row r="78" spans="2:58" ht="28.5" customHeight="1" thickTop="1" thickBot="1">
      <c r="B78" s="448"/>
      <c r="C78" s="448"/>
      <c r="D78" s="460"/>
      <c r="E78" s="462"/>
      <c r="F78" s="456"/>
      <c r="G78" s="446"/>
      <c r="H78" s="448"/>
      <c r="I78" s="450"/>
      <c r="J78" s="440"/>
      <c r="K78" s="452"/>
      <c r="L78" s="454"/>
      <c r="M78" s="440"/>
      <c r="N78" s="77"/>
      <c r="O78" s="13"/>
      <c r="P78" s="50"/>
      <c r="Q78" s="355"/>
      <c r="R78" s="355"/>
      <c r="S78" s="355"/>
      <c r="T78" s="355"/>
      <c r="U78" s="51">
        <v>43466</v>
      </c>
      <c r="V78" s="51">
        <v>43467</v>
      </c>
      <c r="W78" s="51">
        <v>43468</v>
      </c>
      <c r="X78" s="51">
        <v>43469</v>
      </c>
      <c r="Y78" s="51">
        <v>43470</v>
      </c>
      <c r="Z78" s="51">
        <v>43471</v>
      </c>
      <c r="AA78" s="51">
        <v>43472</v>
      </c>
      <c r="AB78" s="51">
        <v>43473</v>
      </c>
      <c r="AC78" s="51">
        <v>43474</v>
      </c>
      <c r="AD78" s="51">
        <v>43475</v>
      </c>
      <c r="AE78" s="51">
        <v>43476</v>
      </c>
      <c r="AF78" s="51">
        <v>43477</v>
      </c>
      <c r="AG78" s="51">
        <v>43478</v>
      </c>
      <c r="AH78" s="51">
        <v>43479</v>
      </c>
      <c r="AI78" s="51">
        <v>43480</v>
      </c>
      <c r="AJ78" s="51">
        <v>43481</v>
      </c>
      <c r="AK78" s="51">
        <v>43482</v>
      </c>
      <c r="AL78" s="51">
        <v>43483</v>
      </c>
      <c r="AM78" s="51">
        <v>43484</v>
      </c>
      <c r="AN78" s="51">
        <v>43485</v>
      </c>
      <c r="AO78" s="51">
        <v>43486</v>
      </c>
      <c r="AP78" s="51">
        <v>43487</v>
      </c>
      <c r="AQ78" s="51">
        <v>43488</v>
      </c>
      <c r="AR78" s="51">
        <v>43489</v>
      </c>
      <c r="AS78" s="51">
        <v>43490</v>
      </c>
      <c r="AT78" s="51">
        <v>43491</v>
      </c>
      <c r="AU78" s="51">
        <v>43492</v>
      </c>
      <c r="AV78" s="51">
        <v>43493</v>
      </c>
      <c r="AW78" s="51">
        <v>43494</v>
      </c>
      <c r="AX78" s="51">
        <v>43495</v>
      </c>
      <c r="AY78" s="51">
        <v>43496</v>
      </c>
    </row>
    <row r="79" spans="2:58" s="54" customFormat="1" ht="41.25" customHeight="1">
      <c r="B79" s="385" t="s">
        <v>9</v>
      </c>
      <c r="C79" s="283">
        <v>45278</v>
      </c>
      <c r="D79" s="377">
        <f>[18]December_2023!$U$13</f>
        <v>150.4</v>
      </c>
      <c r="E79" s="378"/>
      <c r="F79" s="379"/>
      <c r="G79" s="303">
        <f>[18]December_2023!$U$17</f>
        <v>120.8</v>
      </c>
      <c r="H79" s="381"/>
      <c r="I79" s="382"/>
      <c r="J79" s="360" t="s">
        <v>150</v>
      </c>
      <c r="K79" s="380">
        <f>[19]December_2023!$U$25</f>
        <v>0.42385964912280699</v>
      </c>
      <c r="L79" s="391">
        <f>(((D79+E79)-G79)/(D79+E79))*100</f>
        <v>19.680851063829792</v>
      </c>
      <c r="M79" s="357" t="s">
        <v>154</v>
      </c>
      <c r="N79" s="13"/>
      <c r="O79" s="13"/>
      <c r="P79" s="50"/>
      <c r="T79" s="272" t="s">
        <v>54</v>
      </c>
      <c r="U79" s="279"/>
      <c r="V79" s="279"/>
      <c r="W79" s="279"/>
      <c r="X79" s="279"/>
      <c r="Y79" s="279"/>
      <c r="Z79" s="279"/>
      <c r="AA79" s="279"/>
      <c r="AB79" s="279"/>
      <c r="AC79" s="279"/>
      <c r="AD79" s="279"/>
      <c r="AE79" s="279"/>
      <c r="AF79" s="279"/>
      <c r="AG79" s="279"/>
      <c r="AH79" s="279"/>
      <c r="AI79" s="279"/>
      <c r="AJ79" s="279"/>
      <c r="AK79" s="279"/>
      <c r="AL79" s="279"/>
      <c r="AM79" s="279"/>
      <c r="AN79" s="279"/>
      <c r="AO79" s="279"/>
      <c r="AP79" s="279"/>
      <c r="AQ79" s="279"/>
      <c r="AR79" s="279"/>
      <c r="AS79" s="279"/>
      <c r="AT79" s="279"/>
      <c r="AU79" s="279"/>
      <c r="AV79" s="279"/>
      <c r="AW79" s="279"/>
      <c r="AX79" s="279"/>
    </row>
    <row r="80" spans="2:58" s="54" customFormat="1" ht="18.75" customHeight="1" thickBot="1">
      <c r="B80" s="387"/>
      <c r="C80" s="283"/>
      <c r="D80" s="279"/>
      <c r="E80" s="279"/>
      <c r="F80" s="279"/>
      <c r="G80" s="279"/>
      <c r="H80" s="320"/>
      <c r="I80" s="321"/>
      <c r="J80" s="281" t="s">
        <v>41</v>
      </c>
      <c r="K80" s="376"/>
      <c r="L80" s="314"/>
      <c r="M80" s="384"/>
      <c r="N80" s="13"/>
      <c r="O80" s="13"/>
      <c r="P80" s="50"/>
      <c r="T80" s="272" t="s">
        <v>51</v>
      </c>
      <c r="U80" s="57" t="e">
        <f>[20]January_2019!D8</f>
        <v>#DIV/0!</v>
      </c>
      <c r="V80" s="57">
        <f>[20]January_2019!E8</f>
        <v>1.0319298245614037</v>
      </c>
      <c r="W80" s="57">
        <f>[20]January_2019!F8</f>
        <v>1.7789473684210526</v>
      </c>
      <c r="X80" s="57">
        <f>[20]January_2019!G8</f>
        <v>0.51929824561403504</v>
      </c>
      <c r="Y80" s="57" t="e">
        <f>[20]January_2019!H8</f>
        <v>#DIV/0!</v>
      </c>
      <c r="Z80" s="57" t="e">
        <f>[20]January_2019!I8</f>
        <v>#DIV/0!</v>
      </c>
      <c r="AA80" s="57">
        <f>[20]January_2019!J8</f>
        <v>1.365263157894737</v>
      </c>
      <c r="AB80" s="57" t="e">
        <f>[20]January_2019!K8</f>
        <v>#DIV/0!</v>
      </c>
      <c r="AC80" s="57">
        <f>[20]January_2019!L8</f>
        <v>1.0028070175438597</v>
      </c>
      <c r="AD80" s="57">
        <f>[20]January_2019!M8</f>
        <v>1.7828070175438597</v>
      </c>
      <c r="AE80" s="57" t="e">
        <f>[20]January_2019!N8</f>
        <v>#DIV/0!</v>
      </c>
      <c r="AF80" s="57" t="e">
        <f>[20]January_2019!O8</f>
        <v>#DIV/0!</v>
      </c>
      <c r="AG80" s="57">
        <f>[20]January_2019!P8</f>
        <v>0.19222222222222221</v>
      </c>
      <c r="AH80" s="57">
        <f>[20]January_2019!Q8</f>
        <v>0.52219298245614032</v>
      </c>
      <c r="AI80" s="57">
        <f>[20]January_2019!R8</f>
        <v>0.42912280701754385</v>
      </c>
      <c r="AJ80" s="57" t="e">
        <f>[20]January_2019!S8</f>
        <v>#DIV/0!</v>
      </c>
      <c r="AK80" s="57">
        <f>[20]January_2019!T8</f>
        <v>1.0340350877192983</v>
      </c>
      <c r="AL80" s="57">
        <f>[20]January_2019!U8</f>
        <v>0.98421052631578942</v>
      </c>
      <c r="AM80" s="57" t="e">
        <f>[20]January_2019!V8</f>
        <v>#DIV/0!</v>
      </c>
      <c r="AN80" s="57" t="e">
        <f>[20]January_2019!W8</f>
        <v>#DIV/0!</v>
      </c>
      <c r="AO80" s="57">
        <f>[20]January_2019!X8</f>
        <v>0.66052631578947374</v>
      </c>
      <c r="AP80" s="57">
        <f>[20]January_2019!Y8</f>
        <v>1.0375438596491227</v>
      </c>
      <c r="AQ80" s="57">
        <f>[20]January_2019!Z8</f>
        <v>0.90456140350877201</v>
      </c>
      <c r="AR80" s="57">
        <f>[20]January_2019!AA8</f>
        <v>1.0217543859649123</v>
      </c>
      <c r="AS80" s="57">
        <f>[20]January_2019!AB8</f>
        <v>0.65614035087719302</v>
      </c>
      <c r="AT80" s="57" t="e">
        <f>[20]January_2019!AC8</f>
        <v>#DIV/0!</v>
      </c>
      <c r="AU80" s="57" t="e">
        <f>[20]January_2019!AD8</f>
        <v>#DIV/0!</v>
      </c>
      <c r="AV80" s="57">
        <f>[20]January_2019!AE8</f>
        <v>1.7021052631578948</v>
      </c>
      <c r="AW80" s="57">
        <f>[20]January_2019!AF8</f>
        <v>0.60192982456140354</v>
      </c>
      <c r="AX80" s="57">
        <f>[20]January_2019!AG8</f>
        <v>1.4870175438596491</v>
      </c>
      <c r="AY80" s="277" t="e">
        <f>[20]January_2019!AH8</f>
        <v>#DIV/0!</v>
      </c>
      <c r="AZ80" s="277"/>
      <c r="BA80" s="277"/>
      <c r="BB80" s="277"/>
      <c r="BC80" s="277"/>
      <c r="BD80" s="277"/>
      <c r="BE80" s="277"/>
      <c r="BF80" s="277"/>
    </row>
    <row r="81" spans="2:58" s="54" customFormat="1" ht="45.75" hidden="1" customHeight="1" thickBot="1">
      <c r="B81" s="29"/>
      <c r="C81" s="283"/>
      <c r="D81" s="279"/>
      <c r="E81" s="279"/>
      <c r="F81" s="279"/>
      <c r="G81" s="279"/>
      <c r="H81" s="381"/>
      <c r="I81" s="382"/>
      <c r="J81" s="390"/>
      <c r="K81" s="372"/>
      <c r="L81" s="391"/>
      <c r="M81" s="357"/>
      <c r="N81" s="13"/>
      <c r="O81" s="13"/>
      <c r="P81" s="50"/>
      <c r="T81" s="272"/>
      <c r="U81" s="57"/>
      <c r="V81" s="57"/>
      <c r="W81" s="57"/>
      <c r="X81" s="57"/>
      <c r="Y81" s="57"/>
      <c r="Z81" s="57"/>
      <c r="AA81" s="57"/>
      <c r="AB81" s="57"/>
      <c r="AC81" s="57"/>
      <c r="AD81" s="57"/>
      <c r="AE81" s="57"/>
      <c r="AF81" s="57"/>
      <c r="AG81" s="57"/>
      <c r="AH81" s="57"/>
      <c r="AI81" s="57"/>
      <c r="AJ81" s="57"/>
      <c r="AK81" s="57"/>
      <c r="AL81" s="57"/>
      <c r="AM81" s="57"/>
      <c r="AN81" s="57"/>
      <c r="AO81" s="57"/>
      <c r="AP81" s="57"/>
      <c r="AQ81" s="57"/>
      <c r="AR81" s="57"/>
      <c r="AS81" s="57"/>
      <c r="AT81" s="57"/>
      <c r="AU81" s="57"/>
      <c r="AV81" s="57"/>
      <c r="AW81" s="57"/>
      <c r="AX81" s="57"/>
      <c r="AY81" s="277"/>
      <c r="AZ81" s="277"/>
      <c r="BA81" s="277"/>
      <c r="BB81" s="277"/>
      <c r="BC81" s="277"/>
      <c r="BD81" s="277"/>
      <c r="BE81" s="277"/>
      <c r="BF81" s="277"/>
    </row>
    <row r="82" spans="2:58" s="54" customFormat="1" ht="28.5" hidden="1" customHeight="1" thickBot="1">
      <c r="B82" s="361"/>
      <c r="C82" s="283"/>
      <c r="D82" s="304"/>
      <c r="E82" s="279"/>
      <c r="F82" s="279"/>
      <c r="G82" s="279"/>
      <c r="H82" s="320"/>
      <c r="I82" s="321"/>
      <c r="J82" s="389"/>
      <c r="K82" s="376"/>
      <c r="L82" s="314"/>
      <c r="M82" s="354"/>
      <c r="N82" s="13"/>
      <c r="O82" s="13"/>
      <c r="P82" s="50"/>
      <c r="T82" s="272"/>
      <c r="U82" s="57"/>
      <c r="V82" s="57"/>
      <c r="W82" s="57"/>
      <c r="X82" s="57"/>
      <c r="Y82" s="57"/>
      <c r="Z82" s="57"/>
      <c r="AA82" s="57"/>
      <c r="AB82" s="57"/>
      <c r="AC82" s="57"/>
      <c r="AD82" s="57"/>
      <c r="AE82" s="57"/>
      <c r="AF82" s="57"/>
      <c r="AG82" s="57"/>
      <c r="AH82" s="57"/>
      <c r="AI82" s="57"/>
      <c r="AJ82" s="57"/>
      <c r="AK82" s="57"/>
      <c r="AL82" s="57"/>
      <c r="AM82" s="57"/>
      <c r="AN82" s="57"/>
      <c r="AO82" s="57"/>
      <c r="AP82" s="57"/>
      <c r="AQ82" s="57"/>
      <c r="AR82" s="57"/>
      <c r="AS82" s="57"/>
      <c r="AT82" s="57"/>
      <c r="AU82" s="57"/>
      <c r="AV82" s="57"/>
      <c r="AW82" s="57"/>
      <c r="AX82" s="57"/>
      <c r="AY82" s="277"/>
      <c r="AZ82" s="277"/>
      <c r="BA82" s="277"/>
      <c r="BB82" s="277"/>
      <c r="BC82" s="277"/>
      <c r="BD82" s="277"/>
      <c r="BE82" s="277"/>
      <c r="BF82" s="277"/>
    </row>
    <row r="83" spans="2:58" s="54" customFormat="1" ht="45.75" hidden="1" customHeight="1">
      <c r="B83" s="385"/>
      <c r="C83" s="283"/>
      <c r="D83" s="279"/>
      <c r="E83" s="279"/>
      <c r="F83" s="279"/>
      <c r="G83" s="279"/>
      <c r="H83" s="320"/>
      <c r="I83" s="322"/>
      <c r="J83" s="360"/>
      <c r="K83" s="286"/>
      <c r="L83" s="314"/>
      <c r="M83" s="384"/>
      <c r="N83" s="13"/>
      <c r="O83" s="13"/>
      <c r="P83" s="50"/>
      <c r="T83" s="272"/>
      <c r="U83" s="57"/>
      <c r="V83" s="57"/>
      <c r="W83" s="57"/>
      <c r="X83" s="57"/>
      <c r="Y83" s="57"/>
      <c r="Z83" s="57"/>
      <c r="AA83" s="57"/>
      <c r="AB83" s="57"/>
      <c r="AC83" s="57"/>
      <c r="AD83" s="57"/>
      <c r="AE83" s="57"/>
      <c r="AF83" s="57"/>
      <c r="AG83" s="57"/>
      <c r="AH83" s="57"/>
      <c r="AI83" s="57"/>
      <c r="AJ83" s="57"/>
      <c r="AK83" s="57"/>
      <c r="AL83" s="57"/>
      <c r="AM83" s="57"/>
      <c r="AN83" s="57"/>
      <c r="AO83" s="57"/>
      <c r="AP83" s="57"/>
      <c r="AQ83" s="57"/>
      <c r="AR83" s="57"/>
      <c r="AS83" s="57"/>
      <c r="AT83" s="57"/>
      <c r="AU83" s="57"/>
      <c r="AV83" s="57"/>
      <c r="AW83" s="57"/>
      <c r="AX83" s="57"/>
      <c r="AY83" s="277"/>
      <c r="AZ83" s="277"/>
      <c r="BA83" s="277"/>
      <c r="BB83" s="277"/>
      <c r="BC83" s="277"/>
      <c r="BD83" s="277"/>
      <c r="BE83" s="277"/>
      <c r="BF83" s="277"/>
    </row>
    <row r="84" spans="2:58" s="54" customFormat="1" ht="45.75" hidden="1" customHeight="1">
      <c r="B84" s="361"/>
      <c r="C84" s="283"/>
      <c r="D84" s="279"/>
      <c r="E84" s="279"/>
      <c r="F84" s="279"/>
      <c r="G84" s="279"/>
      <c r="H84" s="320"/>
      <c r="I84" s="322"/>
      <c r="J84" s="281"/>
      <c r="K84" s="286"/>
      <c r="L84" s="314"/>
      <c r="M84" s="339"/>
      <c r="N84" s="13"/>
      <c r="O84" s="13"/>
      <c r="P84" s="50"/>
      <c r="T84" s="272"/>
      <c r="U84" s="57"/>
      <c r="V84" s="57"/>
      <c r="W84" s="57"/>
      <c r="X84" s="57"/>
      <c r="Y84" s="57"/>
      <c r="Z84" s="57"/>
      <c r="AA84" s="57"/>
      <c r="AB84" s="57"/>
      <c r="AC84" s="57"/>
      <c r="AD84" s="57"/>
      <c r="AE84" s="57"/>
      <c r="AF84" s="57"/>
      <c r="AG84" s="57"/>
      <c r="AH84" s="57"/>
      <c r="AI84" s="57"/>
      <c r="AJ84" s="57"/>
      <c r="AK84" s="57"/>
      <c r="AL84" s="57"/>
      <c r="AM84" s="57"/>
      <c r="AN84" s="57"/>
      <c r="AO84" s="57"/>
      <c r="AP84" s="57"/>
      <c r="AQ84" s="57"/>
      <c r="AR84" s="57"/>
      <c r="AS84" s="57"/>
      <c r="AT84" s="57"/>
      <c r="AU84" s="57"/>
      <c r="AV84" s="57"/>
      <c r="AW84" s="57"/>
      <c r="AX84" s="57"/>
      <c r="AY84" s="277"/>
      <c r="AZ84" s="277"/>
      <c r="BA84" s="277"/>
      <c r="BB84" s="277"/>
      <c r="BC84" s="277"/>
      <c r="BD84" s="277"/>
      <c r="BE84" s="277"/>
      <c r="BF84" s="277"/>
    </row>
    <row r="85" spans="2:58" ht="14.4" hidden="1" thickBot="1">
      <c r="B85" s="33"/>
      <c r="C85" s="310"/>
      <c r="D85" s="279"/>
      <c r="E85" s="279"/>
      <c r="F85" s="279"/>
      <c r="G85" s="279"/>
      <c r="H85" s="352"/>
      <c r="I85" s="353"/>
      <c r="J85" s="52"/>
      <c r="K85" s="52"/>
      <c r="L85" s="53"/>
      <c r="M85" s="55"/>
      <c r="N85" s="77"/>
      <c r="O85" s="13"/>
      <c r="P85" s="56"/>
    </row>
    <row r="86" spans="2:58" ht="14.4" thickBot="1">
      <c r="B86" s="58"/>
      <c r="C86" s="309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9"/>
      <c r="O86" s="56"/>
      <c r="P86" s="60"/>
    </row>
    <row r="87" spans="2:58" ht="14.4" thickBot="1">
      <c r="B87" s="441" t="s">
        <v>55</v>
      </c>
      <c r="C87" s="442"/>
      <c r="D87" s="442"/>
      <c r="E87" s="442"/>
      <c r="F87" s="443"/>
      <c r="G87" s="441" t="s">
        <v>56</v>
      </c>
      <c r="H87" s="442"/>
      <c r="I87" s="442"/>
      <c r="J87" s="443"/>
      <c r="K87" s="441" t="s">
        <v>51</v>
      </c>
      <c r="L87" s="442"/>
      <c r="M87" s="442"/>
      <c r="N87" s="444"/>
      <c r="O87" s="56"/>
      <c r="P87" s="50"/>
    </row>
    <row r="88" spans="2:58">
      <c r="B88" s="61" t="s">
        <v>17</v>
      </c>
      <c r="C88" s="62" t="s">
        <v>36</v>
      </c>
      <c r="D88" s="62" t="s">
        <v>37</v>
      </c>
      <c r="E88" s="62" t="s">
        <v>38</v>
      </c>
      <c r="F88" s="63" t="s">
        <v>39</v>
      </c>
      <c r="G88" s="62" t="s">
        <v>36</v>
      </c>
      <c r="H88" s="62" t="s">
        <v>37</v>
      </c>
      <c r="I88" s="62" t="s">
        <v>38</v>
      </c>
      <c r="J88" s="63" t="s">
        <v>39</v>
      </c>
      <c r="K88" s="62" t="s">
        <v>36</v>
      </c>
      <c r="L88" s="62" t="s">
        <v>37</v>
      </c>
      <c r="M88" s="62" t="s">
        <v>38</v>
      </c>
      <c r="N88" s="63" t="s">
        <v>39</v>
      </c>
      <c r="O88" s="56"/>
      <c r="P88" s="64"/>
    </row>
    <row r="89" spans="2:58">
      <c r="B89" s="29" t="s">
        <v>6</v>
      </c>
      <c r="D89" s="76">
        <v>5.181332008533289</v>
      </c>
      <c r="E89" s="76">
        <v>6.6038502743493472</v>
      </c>
      <c r="F89" s="66">
        <v>4.8</v>
      </c>
      <c r="H89" s="76">
        <v>5.2502762338962023</v>
      </c>
      <c r="I89" s="76">
        <v>6.9665257793219286</v>
      </c>
      <c r="J89" s="66">
        <v>4.8</v>
      </c>
      <c r="L89" s="194">
        <v>0.70807017543859652</v>
      </c>
      <c r="M89" s="194">
        <v>0.77999467121139654</v>
      </c>
      <c r="N89" s="68">
        <v>1</v>
      </c>
      <c r="O89" s="56"/>
      <c r="P89" s="69"/>
    </row>
    <row r="90" spans="2:58">
      <c r="B90" s="33" t="s">
        <v>9</v>
      </c>
      <c r="C90" s="65">
        <f>AVERAGE(L79,L81)</f>
        <v>19.680851063829792</v>
      </c>
      <c r="D90" s="76">
        <v>6.5498914589415387</v>
      </c>
      <c r="E90" s="76">
        <v>6.1662321034923213</v>
      </c>
      <c r="F90" s="66">
        <v>4.8</v>
      </c>
      <c r="G90" s="65">
        <f>[18]December_2023!$U$21</f>
        <v>19.680851063829799</v>
      </c>
      <c r="H90" s="76">
        <v>6.3458281571920923</v>
      </c>
      <c r="I90" s="76">
        <v>5.9138833775175614</v>
      </c>
      <c r="J90" s="66">
        <v>4.8</v>
      </c>
      <c r="K90" s="67">
        <f>AVERAGE(K79,K81)</f>
        <v>0.42385964912280699</v>
      </c>
      <c r="L90" s="194">
        <v>0.66137426900584784</v>
      </c>
      <c r="M90" s="194">
        <v>0.71942943874066057</v>
      </c>
      <c r="N90" s="68">
        <v>1</v>
      </c>
      <c r="P90" s="69"/>
    </row>
    <row r="91" spans="2:58">
      <c r="B91" s="34" t="s">
        <v>40</v>
      </c>
      <c r="C91" s="65"/>
      <c r="D91" s="76">
        <v>8.4423676012461133</v>
      </c>
      <c r="E91" s="76">
        <v>8.9890454879433594</v>
      </c>
      <c r="F91" s="66">
        <v>5.5</v>
      </c>
      <c r="G91" s="65"/>
      <c r="H91" s="76">
        <v>5.9624998430282856</v>
      </c>
      <c r="I91" s="76">
        <v>8.6652309201910018</v>
      </c>
      <c r="J91" s="66">
        <v>5.5</v>
      </c>
      <c r="K91" s="67"/>
      <c r="L91" s="194">
        <v>0.5156140350877193</v>
      </c>
      <c r="M91" s="194">
        <v>0.65035607537361928</v>
      </c>
      <c r="N91" s="68">
        <v>1</v>
      </c>
      <c r="P91" s="69"/>
    </row>
    <row r="92" spans="2:58">
      <c r="B92" s="22" t="s">
        <v>33</v>
      </c>
      <c r="C92" s="65"/>
      <c r="D92" s="76">
        <v>3.5978480161398938</v>
      </c>
      <c r="E92" s="76">
        <v>2.9936806546492249</v>
      </c>
      <c r="F92" s="66">
        <v>3.3</v>
      </c>
      <c r="G92" s="65"/>
      <c r="H92" s="76">
        <v>6.0982020044620322</v>
      </c>
      <c r="I92" s="76">
        <v>3.3134542932705222</v>
      </c>
      <c r="J92" s="66">
        <v>3.3</v>
      </c>
      <c r="K92" s="67"/>
      <c r="L92" s="194">
        <v>0.50298245614035086</v>
      </c>
      <c r="M92" s="194">
        <v>1.0625518341307816</v>
      </c>
      <c r="N92" s="68">
        <v>1</v>
      </c>
      <c r="P92" s="69"/>
    </row>
    <row r="93" spans="2:58">
      <c r="B93" s="35" t="s">
        <v>29</v>
      </c>
      <c r="C93" s="65"/>
      <c r="D93" s="76"/>
      <c r="E93" s="76"/>
      <c r="F93" s="66">
        <v>3.3</v>
      </c>
      <c r="G93" s="282"/>
      <c r="H93" s="76"/>
      <c r="I93" s="76"/>
      <c r="J93" s="66">
        <v>3</v>
      </c>
      <c r="K93" s="67"/>
      <c r="L93" s="194"/>
      <c r="M93" s="194"/>
      <c r="N93" s="68">
        <v>1</v>
      </c>
      <c r="P93" s="69"/>
    </row>
    <row r="94" spans="2:58">
      <c r="B94" s="36" t="s">
        <v>15</v>
      </c>
      <c r="C94" s="282"/>
      <c r="D94" s="76"/>
      <c r="E94" s="76">
        <v>6.4174306465055304</v>
      </c>
      <c r="F94" s="70">
        <f>[21]May_2022!$M$43</f>
        <v>3.4878406700073312</v>
      </c>
      <c r="G94" s="282"/>
      <c r="H94" s="76"/>
      <c r="I94" s="76">
        <v>7.0730654939490236</v>
      </c>
      <c r="J94" s="70">
        <v>5.5</v>
      </c>
      <c r="K94" s="67"/>
      <c r="L94" s="194"/>
      <c r="M94" s="194">
        <v>1.0342105263157895</v>
      </c>
      <c r="N94" s="68">
        <v>1</v>
      </c>
      <c r="P94" s="69"/>
    </row>
    <row r="95" spans="2:58">
      <c r="B95" s="37" t="s">
        <v>16</v>
      </c>
      <c r="C95" s="65"/>
      <c r="D95" s="76">
        <v>2.7692803091289537</v>
      </c>
      <c r="E95" s="76">
        <v>3.0589057857018314</v>
      </c>
      <c r="F95" s="70">
        <v>3.3</v>
      </c>
      <c r="G95" s="282"/>
      <c r="H95" s="76">
        <v>4.2179953480824466</v>
      </c>
      <c r="I95" s="76">
        <v>4.9470952635574701</v>
      </c>
      <c r="J95" s="70">
        <v>3.3</v>
      </c>
      <c r="K95" s="67"/>
      <c r="L95" s="194">
        <v>1.0594736842105266</v>
      </c>
      <c r="M95" s="194">
        <v>1.0223839009287927</v>
      </c>
      <c r="N95" s="71">
        <v>1</v>
      </c>
      <c r="P95" s="69"/>
    </row>
    <row r="96" spans="2:58" ht="14.4" thickBot="1">
      <c r="B96" s="38" t="s">
        <v>127</v>
      </c>
      <c r="C96" s="65"/>
      <c r="D96" s="76"/>
      <c r="E96" s="76">
        <v>11.178247734138981</v>
      </c>
      <c r="F96" s="72">
        <v>7.5</v>
      </c>
      <c r="G96" s="73"/>
      <c r="H96" s="76"/>
      <c r="I96" s="76">
        <v>14.598510156332937</v>
      </c>
      <c r="J96" s="72">
        <v>7.5</v>
      </c>
      <c r="K96" s="67"/>
      <c r="L96" s="194"/>
      <c r="M96" s="194">
        <v>0.30947368421052629</v>
      </c>
      <c r="N96" s="71">
        <v>1</v>
      </c>
      <c r="P96" s="69"/>
    </row>
    <row r="97" spans="3:30">
      <c r="C97" s="65"/>
      <c r="D97" s="76">
        <v>5.3927000828210607</v>
      </c>
      <c r="E97" s="76">
        <v>6.2517133375322747</v>
      </c>
      <c r="F97" s="341">
        <v>4.5</v>
      </c>
      <c r="G97" s="74"/>
      <c r="H97" s="76">
        <v>5.4965257407735688</v>
      </c>
      <c r="I97" s="76">
        <v>6.5279580392540781</v>
      </c>
      <c r="J97" s="342">
        <v>4.5</v>
      </c>
      <c r="K97" s="67"/>
      <c r="L97" s="194">
        <v>0.69682017543859642</v>
      </c>
      <c r="M97" s="194">
        <v>0.78265037728044273</v>
      </c>
      <c r="N97" s="386">
        <v>1</v>
      </c>
      <c r="O97" s="74"/>
      <c r="P97" s="75"/>
    </row>
    <row r="102" spans="3:30">
      <c r="F102" s="315"/>
    </row>
    <row r="110" spans="3:30">
      <c r="AD110" s="275" t="s">
        <v>57</v>
      </c>
    </row>
  </sheetData>
  <mergeCells count="54">
    <mergeCell ref="C4:D4"/>
    <mergeCell ref="J4:K5"/>
    <mergeCell ref="M4:N4"/>
    <mergeCell ref="T1:U1"/>
    <mergeCell ref="V1:W1"/>
    <mergeCell ref="X1:Y1"/>
    <mergeCell ref="Z1:AA1"/>
    <mergeCell ref="B2:O2"/>
    <mergeCell ref="D49:E49"/>
    <mergeCell ref="J6:K7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P8:P9"/>
    <mergeCell ref="Q8:Q9"/>
    <mergeCell ref="I48:N48"/>
    <mergeCell ref="B50:B61"/>
    <mergeCell ref="D50:E51"/>
    <mergeCell ref="D52:E53"/>
    <mergeCell ref="D54:E55"/>
    <mergeCell ref="D56:E57"/>
    <mergeCell ref="D58:E59"/>
    <mergeCell ref="D60:E61"/>
    <mergeCell ref="B62:B71"/>
    <mergeCell ref="D62:E63"/>
    <mergeCell ref="J62:K62"/>
    <mergeCell ref="L63:N63"/>
    <mergeCell ref="D64:E65"/>
    <mergeCell ref="D66:E67"/>
    <mergeCell ref="D68:E69"/>
    <mergeCell ref="D70:E71"/>
    <mergeCell ref="D72:E72"/>
    <mergeCell ref="B77:B78"/>
    <mergeCell ref="C77:C78"/>
    <mergeCell ref="D77:D78"/>
    <mergeCell ref="E77:E78"/>
    <mergeCell ref="M77:M78"/>
    <mergeCell ref="B87:F87"/>
    <mergeCell ref="G87:J87"/>
    <mergeCell ref="K87:N87"/>
    <mergeCell ref="G77:G78"/>
    <mergeCell ref="H77:H78"/>
    <mergeCell ref="I77:I78"/>
    <mergeCell ref="J77:J78"/>
    <mergeCell ref="K77:K78"/>
    <mergeCell ref="L77:L78"/>
    <mergeCell ref="F77:F78"/>
  </mergeCells>
  <conditionalFormatting sqref="B72:B73">
    <cfRule type="cellIs" dxfId="2547" priority="157" operator="notBetween">
      <formula>#REF!</formula>
      <formula>#REF!</formula>
    </cfRule>
  </conditionalFormatting>
  <conditionalFormatting sqref="C76">
    <cfRule type="cellIs" dxfId="2546" priority="190" stopIfTrue="1" operator="greaterThan">
      <formula>100</formula>
    </cfRule>
    <cfRule type="cellIs" dxfId="2545" priority="189" stopIfTrue="1" operator="lessThan">
      <formula>96</formula>
    </cfRule>
  </conditionalFormatting>
  <conditionalFormatting sqref="C90">
    <cfRule type="cellIs" dxfId="2544" priority="212" stopIfTrue="1" operator="greaterThan">
      <formula>$F89</formula>
    </cfRule>
    <cfRule type="cellIs" dxfId="2543" priority="106" stopIfTrue="1" operator="lessThanOrEqual">
      <formula>0</formula>
    </cfRule>
  </conditionalFormatting>
  <conditionalFormatting sqref="C91:C93">
    <cfRule type="cellIs" dxfId="2542" priority="105" stopIfTrue="1" operator="greaterThan">
      <formula>$F91</formula>
    </cfRule>
  </conditionalFormatting>
  <conditionalFormatting sqref="C91:C94">
    <cfRule type="cellIs" dxfId="2541" priority="129" stopIfTrue="1" operator="lessThanOrEqual">
      <formula>0</formula>
    </cfRule>
  </conditionalFormatting>
  <conditionalFormatting sqref="C94">
    <cfRule type="cellIs" dxfId="2540" priority="128" stopIfTrue="1" operator="greaterThan">
      <formula>$J94</formula>
    </cfRule>
  </conditionalFormatting>
  <conditionalFormatting sqref="C95:C97">
    <cfRule type="cellIs" dxfId="2539" priority="145" stopIfTrue="1" operator="greaterThan">
      <formula>$F95</formula>
    </cfRule>
    <cfRule type="cellIs" dxfId="2538" priority="146" stopIfTrue="1" operator="lessThanOrEqual">
      <formula>0</formula>
    </cfRule>
  </conditionalFormatting>
  <conditionalFormatting sqref="C100:C104">
    <cfRule type="cellIs" dxfId="2537" priority="181" stopIfTrue="1" operator="lessThanOrEqual">
      <formula>0</formula>
    </cfRule>
  </conditionalFormatting>
  <conditionalFormatting sqref="C101:C104">
    <cfRule type="cellIs" dxfId="2536" priority="180" stopIfTrue="1" operator="greaterThan">
      <formula>$F$100</formula>
    </cfRule>
  </conditionalFormatting>
  <conditionalFormatting sqref="C106">
    <cfRule type="cellIs" dxfId="2535" priority="183" stopIfTrue="1" operator="lessThanOrEqual">
      <formula>0</formula>
    </cfRule>
    <cfRule type="cellIs" dxfId="2534" priority="182" stopIfTrue="1" operator="greaterThan">
      <formula>$F$100</formula>
    </cfRule>
  </conditionalFormatting>
  <conditionalFormatting sqref="C100:D100 D102:D108">
    <cfRule type="cellIs" dxfId="2533" priority="175" stopIfTrue="1" operator="greaterThan">
      <formula>4.5</formula>
    </cfRule>
  </conditionalFormatting>
  <conditionalFormatting sqref="D72:D73">
    <cfRule type="cellIs" dxfId="2532" priority="158" operator="notBetween">
      <formula>#REF!</formula>
      <formula>#REF!</formula>
    </cfRule>
  </conditionalFormatting>
  <conditionalFormatting sqref="D89:D96">
    <cfRule type="cellIs" dxfId="2531" priority="144" stopIfTrue="1" operator="lessThanOrEqual">
      <formula>0</formula>
    </cfRule>
  </conditionalFormatting>
  <conditionalFormatting sqref="D97">
    <cfRule type="cellIs" dxfId="2530" priority="143" stopIfTrue="1" operator="lessThanOrEqual">
      <formula>0</formula>
    </cfRule>
  </conditionalFormatting>
  <conditionalFormatting sqref="D100 D102:D108">
    <cfRule type="cellIs" dxfId="2529" priority="176" stopIfTrue="1" operator="lessThanOrEqual">
      <formula>0</formula>
    </cfRule>
  </conditionalFormatting>
  <conditionalFormatting sqref="D101">
    <cfRule type="cellIs" dxfId="2528" priority="167" stopIfTrue="1" operator="greaterThan">
      <formula>$F$100</formula>
    </cfRule>
    <cfRule type="cellIs" dxfId="2527" priority="168" stopIfTrue="1" operator="lessThanOrEqual">
      <formula>0</formula>
    </cfRule>
  </conditionalFormatting>
  <conditionalFormatting sqref="D89:E97">
    <cfRule type="cellIs" dxfId="2526" priority="135" stopIfTrue="1" operator="greaterThan">
      <formula>$F89</formula>
    </cfRule>
  </conditionalFormatting>
  <conditionalFormatting sqref="E10:E14">
    <cfRule type="cellIs" dxfId="2525" priority="52" operator="lessThan">
      <formula>48</formula>
    </cfRule>
  </conditionalFormatting>
  <conditionalFormatting sqref="E33:E46">
    <cfRule type="cellIs" dxfId="2524" priority="25" operator="lessThan">
      <formula>48</formula>
    </cfRule>
  </conditionalFormatting>
  <conditionalFormatting sqref="E76">
    <cfRule type="cellIs" dxfId="2523" priority="169" stopIfTrue="1" operator="lessThan">
      <formula>96.8</formula>
    </cfRule>
    <cfRule type="cellIs" dxfId="2522" priority="170" stopIfTrue="1" operator="greaterThan">
      <formula>100</formula>
    </cfRule>
  </conditionalFormatting>
  <conditionalFormatting sqref="E89:E97">
    <cfRule type="cellIs" dxfId="2521" priority="136" stopIfTrue="1" operator="lessThanOrEqual">
      <formula>0</formula>
    </cfRule>
  </conditionalFormatting>
  <conditionalFormatting sqref="E100:E108">
    <cfRule type="cellIs" dxfId="2520" priority="161" stopIfTrue="1" operator="greaterThan">
      <formula>4.5</formula>
    </cfRule>
    <cfRule type="cellIs" dxfId="2519" priority="162" stopIfTrue="1" operator="lessThanOrEqual">
      <formula>0</formula>
    </cfRule>
  </conditionalFormatting>
  <conditionalFormatting sqref="E75:F76">
    <cfRule type="cellIs" dxfId="2518" priority="171" stopIfTrue="1" operator="lessThan">
      <formula>96.5</formula>
    </cfRule>
    <cfRule type="cellIs" dxfId="2517" priority="172" stopIfTrue="1" operator="greaterThan">
      <formula>100</formula>
    </cfRule>
  </conditionalFormatting>
  <conditionalFormatting sqref="F10:F12">
    <cfRule type="cellIs" dxfId="2516" priority="62" operator="greaterThan">
      <formula>#REF!</formula>
    </cfRule>
  </conditionalFormatting>
  <conditionalFormatting sqref="F10:F47">
    <cfRule type="cellIs" dxfId="2515" priority="15" operator="greaterThan">
      <formula>$AA10</formula>
    </cfRule>
  </conditionalFormatting>
  <conditionalFormatting sqref="F13">
    <cfRule type="cellIs" dxfId="2514" priority="53" operator="greaterThan">
      <formula>$AA47</formula>
    </cfRule>
  </conditionalFormatting>
  <conditionalFormatting sqref="F14">
    <cfRule type="cellIs" dxfId="2513" priority="196" operator="greaterThan">
      <formula>#REF!</formula>
    </cfRule>
  </conditionalFormatting>
  <conditionalFormatting sqref="F33:F46">
    <cfRule type="cellIs" dxfId="2512" priority="26" operator="greaterThan">
      <formula>$AA48</formula>
    </cfRule>
  </conditionalFormatting>
  <conditionalFormatting sqref="F76">
    <cfRule type="cellIs" dxfId="2511" priority="188" stopIfTrue="1" operator="greaterThan">
      <formula>100</formula>
    </cfRule>
    <cfRule type="cellIs" dxfId="2510" priority="187" stopIfTrue="1" operator="lessThan">
      <formula>96.8</formula>
    </cfRule>
  </conditionalFormatting>
  <conditionalFormatting sqref="F97">
    <cfRule type="cellIs" dxfId="2509" priority="137" stopIfTrue="1" operator="greaterThan">
      <formula>$F97</formula>
    </cfRule>
    <cfRule type="cellIs" dxfId="2508" priority="138" stopIfTrue="1" operator="lessThanOrEqual">
      <formula>0</formula>
    </cfRule>
  </conditionalFormatting>
  <conditionalFormatting sqref="G10:G14">
    <cfRule type="expression" dxfId="2507" priority="54">
      <formula>IF(+(IF(G10&lt;#REF!,0,IF(G10&gt;#REF!,0,1)))=0,1)</formula>
    </cfRule>
  </conditionalFormatting>
  <conditionalFormatting sqref="G33:G46">
    <cfRule type="expression" dxfId="2506" priority="27">
      <formula>IF(+(IF(G33&lt;#REF!,0,IF(G33&gt;#REF!,0,1)))=0,1)</formula>
    </cfRule>
  </conditionalFormatting>
  <conditionalFormatting sqref="G90">
    <cfRule type="cellIs" dxfId="2505" priority="71" stopIfTrue="1" operator="lessThanOrEqual">
      <formula>0</formula>
    </cfRule>
    <cfRule type="cellIs" dxfId="2504" priority="70" stopIfTrue="1" operator="greaterThan">
      <formula>$F89</formula>
    </cfRule>
  </conditionalFormatting>
  <conditionalFormatting sqref="G90:G91">
    <cfRule type="cellIs" dxfId="2503" priority="192" stopIfTrue="1" operator="lessThanOrEqual">
      <formula>0</formula>
    </cfRule>
    <cfRule type="cellIs" dxfId="2502" priority="191" stopIfTrue="1" operator="greaterThan">
      <formula>$F89</formula>
    </cfRule>
  </conditionalFormatting>
  <conditionalFormatting sqref="G92">
    <cfRule type="cellIs" dxfId="2501" priority="140" stopIfTrue="1" operator="lessThanOrEqual">
      <formula>0</formula>
    </cfRule>
    <cfRule type="cellIs" dxfId="2500" priority="139" stopIfTrue="1" operator="greaterThan">
      <formula>$F92</formula>
    </cfRule>
  </conditionalFormatting>
  <conditionalFormatting sqref="G93:G96">
    <cfRule type="cellIs" dxfId="2499" priority="149" stopIfTrue="1" operator="lessThanOrEqual">
      <formula>0</formula>
    </cfRule>
    <cfRule type="cellIs" dxfId="2498" priority="148" stopIfTrue="1" operator="greaterThan">
      <formula>$J93</formula>
    </cfRule>
  </conditionalFormatting>
  <conditionalFormatting sqref="G97">
    <cfRule type="cellIs" dxfId="2497" priority="147" operator="greaterThan">
      <formula>4.5</formula>
    </cfRule>
  </conditionalFormatting>
  <conditionalFormatting sqref="G102:G107 C105 C107">
    <cfRule type="cellIs" dxfId="2496" priority="184" stopIfTrue="1" operator="greaterThan">
      <formula>4.5</formula>
    </cfRule>
    <cfRule type="cellIs" dxfId="2495" priority="185" stopIfTrue="1" operator="lessThanOrEqual">
      <formula>0</formula>
    </cfRule>
  </conditionalFormatting>
  <conditionalFormatting sqref="G62:H62 G63:G73 H63:H74">
    <cfRule type="cellIs" dxfId="2494" priority="163" stopIfTrue="1" operator="greaterThan">
      <formula>0</formula>
    </cfRule>
  </conditionalFormatting>
  <conditionalFormatting sqref="G101:H101">
    <cfRule type="cellIs" dxfId="2493" priority="166" stopIfTrue="1" operator="lessThanOrEqual">
      <formula>0</formula>
    </cfRule>
    <cfRule type="cellIs" dxfId="2492" priority="165" stopIfTrue="1" operator="greaterThan">
      <formula>$F$100</formula>
    </cfRule>
  </conditionalFormatting>
  <conditionalFormatting sqref="H10">
    <cfRule type="expression" dxfId="2491" priority="63">
      <formula>IF(+(IF(H10&lt;T27,0,IF(H10&gt;U27,0,1)))=0,1)</formula>
    </cfRule>
  </conditionalFormatting>
  <conditionalFormatting sqref="H10:H12">
    <cfRule type="expression" dxfId="2490" priority="64">
      <formula>IF(+(IF(H10&lt;#REF!,0,IF(H10&gt;#REF!,0,1)))=0,1)</formula>
    </cfRule>
  </conditionalFormatting>
  <conditionalFormatting sqref="H11:H12">
    <cfRule type="expression" dxfId="2489" priority="207">
      <formula>IF(+(IF(H11&lt;T47,0,IF(H11&gt;U47,0,1)))=0,1)</formula>
    </cfRule>
  </conditionalFormatting>
  <conditionalFormatting sqref="H13">
    <cfRule type="expression" dxfId="2488" priority="55">
      <formula>IF(+(IF(H13&lt;T56,0,IF(H13&gt;U56,0,1)))=0,1)</formula>
    </cfRule>
    <cfRule type="expression" dxfId="2487" priority="56">
      <formula>IF(+(IF(H13&lt;T47,0,IF(H13&gt;U47,0,1)))=0,1)</formula>
    </cfRule>
  </conditionalFormatting>
  <conditionalFormatting sqref="H14">
    <cfRule type="expression" dxfId="2486" priority="197">
      <formula>IF(+(IF(H14&lt;T50,0,IF(H14&gt;U50,0,1)))=0,1)</formula>
    </cfRule>
    <cfRule type="expression" dxfId="2485" priority="198">
      <formula>IF(+(IF(H14&lt;#REF!,0,IF(H14&gt;#REF!,0,1)))=0,1)</formula>
    </cfRule>
  </conditionalFormatting>
  <conditionalFormatting sqref="H15:H32">
    <cfRule type="expression" dxfId="2484" priority="209">
      <formula>IF(+(IF(H15&lt;T66,0,IF(H15&gt;U66,0,1)))=0,1)</formula>
    </cfRule>
  </conditionalFormatting>
  <conditionalFormatting sqref="H33:H46">
    <cfRule type="expression" dxfId="2483" priority="29">
      <formula>IF(+(IF(H33&lt;T48,0,IF(H33&gt;U48,0,1)))=0,1)</formula>
    </cfRule>
    <cfRule type="expression" dxfId="2482" priority="28">
      <formula>IF(+(IF(H33&lt;T57,0,IF(H33&gt;U57,0,1)))=0,1)</formula>
    </cfRule>
  </conditionalFormatting>
  <conditionalFormatting sqref="H47">
    <cfRule type="expression" dxfId="2481" priority="193">
      <formula>IF(+(IF(H47&lt;#REF!,0,IF(H47&gt;#REF!,0,1)))=0,1)</formula>
    </cfRule>
  </conditionalFormatting>
  <conditionalFormatting sqref="H51:H61">
    <cfRule type="cellIs" dxfId="2480" priority="159" stopIfTrue="1" operator="greaterThan">
      <formula>0</formula>
    </cfRule>
  </conditionalFormatting>
  <conditionalFormatting sqref="H79">
    <cfRule type="cellIs" dxfId="2479" priority="12" stopIfTrue="1" operator="lessThanOrEqual">
      <formula>0</formula>
    </cfRule>
    <cfRule type="cellIs" dxfId="2478" priority="14" stopIfTrue="1" operator="lessThanOrEqual">
      <formula>0</formula>
    </cfRule>
    <cfRule type="cellIs" dxfId="2477" priority="13" stopIfTrue="1" operator="greaterThan">
      <formula>$F$54</formula>
    </cfRule>
    <cfRule type="cellIs" dxfId="2476" priority="11" stopIfTrue="1" operator="greaterThan">
      <formula>$F$56</formula>
    </cfRule>
    <cfRule type="cellIs" dxfId="2475" priority="2" stopIfTrue="1" operator="lessThanOrEqual">
      <formula>0</formula>
    </cfRule>
    <cfRule type="cellIs" dxfId="2474" priority="3" stopIfTrue="1" operator="greaterThan">
      <formula>$F$53</formula>
    </cfRule>
  </conditionalFormatting>
  <conditionalFormatting sqref="H80">
    <cfRule type="cellIs" dxfId="2473" priority="92" stopIfTrue="1" operator="lessThanOrEqual">
      <formula>0</formula>
    </cfRule>
    <cfRule type="cellIs" dxfId="2472" priority="93" stopIfTrue="1" operator="greaterThan">
      <formula>$F$88</formula>
    </cfRule>
    <cfRule type="cellIs" dxfId="2471" priority="104" stopIfTrue="1" operator="lessThanOrEqual">
      <formula>0</formula>
    </cfRule>
    <cfRule type="cellIs" dxfId="2470" priority="101" stopIfTrue="1" operator="greaterThan">
      <formula>$F$91</formula>
    </cfRule>
    <cfRule type="cellIs" dxfId="2469" priority="102" stopIfTrue="1" operator="lessThanOrEqual">
      <formula>0</formula>
    </cfRule>
    <cfRule type="cellIs" dxfId="2468" priority="103" stopIfTrue="1" operator="greaterThan">
      <formula>$F$89</formula>
    </cfRule>
  </conditionalFormatting>
  <conditionalFormatting sqref="H81">
    <cfRule type="cellIs" dxfId="2467" priority="45" stopIfTrue="1" operator="lessThanOrEqual">
      <formula>0</formula>
    </cfRule>
    <cfRule type="cellIs" dxfId="2466" priority="36" stopIfTrue="1" operator="greaterThan">
      <formula>$F$72</formula>
    </cfRule>
    <cfRule type="cellIs" dxfId="2465" priority="35" stopIfTrue="1" operator="lessThanOrEqual">
      <formula>0</formula>
    </cfRule>
    <cfRule type="cellIs" dxfId="2464" priority="44" stopIfTrue="1" operator="greaterThan">
      <formula>$F$75</formula>
    </cfRule>
    <cfRule type="cellIs" dxfId="2463" priority="47" stopIfTrue="1" operator="lessThanOrEqual">
      <formula>0</formula>
    </cfRule>
    <cfRule type="cellIs" dxfId="2462" priority="46" stopIfTrue="1" operator="greaterThan">
      <formula>$F$73</formula>
    </cfRule>
  </conditionalFormatting>
  <conditionalFormatting sqref="H82">
    <cfRule type="cellIs" dxfId="2461" priority="84" stopIfTrue="1" operator="greaterThan">
      <formula>#REF!</formula>
    </cfRule>
    <cfRule type="cellIs" dxfId="2460" priority="75" stopIfTrue="1" operator="lessThanOrEqual">
      <formula>0</formula>
    </cfRule>
    <cfRule type="cellIs" dxfId="2459" priority="76" stopIfTrue="1" operator="greaterThan">
      <formula>#REF!</formula>
    </cfRule>
  </conditionalFormatting>
  <conditionalFormatting sqref="H82:H84">
    <cfRule type="cellIs" dxfId="2458" priority="85" stopIfTrue="1" operator="lessThanOrEqual">
      <formula>0</formula>
    </cfRule>
  </conditionalFormatting>
  <conditionalFormatting sqref="H83:H84">
    <cfRule type="cellIs" dxfId="2457" priority="125" stopIfTrue="1" operator="lessThanOrEqual">
      <formula>0</formula>
    </cfRule>
    <cfRule type="cellIs" dxfId="2456" priority="124" stopIfTrue="1" operator="greaterThan">
      <formula>$F$90</formula>
    </cfRule>
    <cfRule type="cellIs" dxfId="2455" priority="122" stopIfTrue="1" operator="greaterThan">
      <formula>$F$92</formula>
    </cfRule>
    <cfRule type="cellIs" dxfId="2454" priority="114" stopIfTrue="1" operator="greaterThan">
      <formula>$F$89</formula>
    </cfRule>
    <cfRule type="cellIs" dxfId="2453" priority="123" stopIfTrue="1" operator="lessThanOrEqual">
      <formula>0</formula>
    </cfRule>
  </conditionalFormatting>
  <conditionalFormatting sqref="H85">
    <cfRule type="cellIs" dxfId="2452" priority="155" stopIfTrue="1" operator="greaterThan">
      <formula>$F$82</formula>
    </cfRule>
    <cfRule type="cellIs" dxfId="2451" priority="156" stopIfTrue="1" operator="lessThanOrEqual">
      <formula>0</formula>
    </cfRule>
    <cfRule type="cellIs" dxfId="2450" priority="153" stopIfTrue="1" operator="greaterThan">
      <formula>$F$86</formula>
    </cfRule>
    <cfRule type="cellIs" dxfId="2449" priority="154" stopIfTrue="1" operator="lessThanOrEqual">
      <formula>0</formula>
    </cfRule>
  </conditionalFormatting>
  <conditionalFormatting sqref="H89:H96">
    <cfRule type="cellIs" dxfId="2448" priority="127" stopIfTrue="1" operator="lessThanOrEqual">
      <formula>0</formula>
    </cfRule>
    <cfRule type="cellIs" dxfId="2447" priority="126" stopIfTrue="1" operator="greaterThan">
      <formula>$J89</formula>
    </cfRule>
  </conditionalFormatting>
  <conditionalFormatting sqref="H97">
    <cfRule type="cellIs" dxfId="2446" priority="132" operator="greaterThan">
      <formula>5.3</formula>
    </cfRule>
  </conditionalFormatting>
  <conditionalFormatting sqref="H100 H102:H108">
    <cfRule type="cellIs" dxfId="2445" priority="177" stopIfTrue="1" operator="greaterThan">
      <formula>4.5</formula>
    </cfRule>
    <cfRule type="cellIs" dxfId="2444" priority="178" stopIfTrue="1" operator="lessThanOrEqual">
      <formula>0</formula>
    </cfRule>
  </conditionalFormatting>
  <conditionalFormatting sqref="H79:I79">
    <cfRule type="cellIs" dxfId="2443" priority="4" stopIfTrue="1" operator="lessThanOrEqual">
      <formula>0</formula>
    </cfRule>
    <cfRule type="cellIs" dxfId="2442" priority="1" stopIfTrue="1" operator="greaterThan">
      <formula>$F$55</formula>
    </cfRule>
  </conditionalFormatting>
  <conditionalFormatting sqref="H80:I80">
    <cfRule type="cellIs" dxfId="2441" priority="94" stopIfTrue="1" operator="lessThanOrEqual">
      <formula>0</formula>
    </cfRule>
    <cfRule type="cellIs" dxfId="2440" priority="91" stopIfTrue="1" operator="greaterThan">
      <formula>$F$90</formula>
    </cfRule>
  </conditionalFormatting>
  <conditionalFormatting sqref="H81:I81">
    <cfRule type="cellIs" dxfId="2439" priority="37" stopIfTrue="1" operator="lessThanOrEqual">
      <formula>0</formula>
    </cfRule>
    <cfRule type="cellIs" dxfId="2438" priority="34" stopIfTrue="1" operator="greaterThan">
      <formula>$F$74</formula>
    </cfRule>
  </conditionalFormatting>
  <conditionalFormatting sqref="H82:I82">
    <cfRule type="cellIs" dxfId="2437" priority="83" stopIfTrue="1" operator="lessThanOrEqual">
      <formula>0</formula>
    </cfRule>
    <cfRule type="cellIs" dxfId="2436" priority="82" stopIfTrue="1" operator="greaterThan">
      <formula>#REF!</formula>
    </cfRule>
    <cfRule type="cellIs" dxfId="2435" priority="74" stopIfTrue="1" operator="greaterThan">
      <formula>#REF!</formula>
    </cfRule>
    <cfRule type="cellIs" dxfId="2434" priority="77" stopIfTrue="1" operator="lessThanOrEqual">
      <formula>0</formula>
    </cfRule>
  </conditionalFormatting>
  <conditionalFormatting sqref="H83:I83">
    <cfRule type="cellIs" dxfId="2433" priority="115" stopIfTrue="1" operator="lessThanOrEqual">
      <formula>0</formula>
    </cfRule>
  </conditionalFormatting>
  <conditionalFormatting sqref="H83:I84">
    <cfRule type="cellIs" dxfId="2432" priority="72" stopIfTrue="1" operator="greaterThan">
      <formula>$F$91</formula>
    </cfRule>
  </conditionalFormatting>
  <conditionalFormatting sqref="H84:I84">
    <cfRule type="cellIs" dxfId="2431" priority="73" stopIfTrue="1" operator="lessThanOrEqual">
      <formula>0</formula>
    </cfRule>
  </conditionalFormatting>
  <conditionalFormatting sqref="I10:I14">
    <cfRule type="cellIs" dxfId="2430" priority="49" operator="lessThan">
      <formula>97.8</formula>
    </cfRule>
  </conditionalFormatting>
  <conditionalFormatting sqref="I10:I47">
    <cfRule type="cellIs" dxfId="2429" priority="21" operator="lessThan">
      <formula>98</formula>
    </cfRule>
  </conditionalFormatting>
  <conditionalFormatting sqref="I33:I46">
    <cfRule type="cellIs" dxfId="2428" priority="22" operator="lessThan">
      <formula>97.8</formula>
    </cfRule>
  </conditionalFormatting>
  <conditionalFormatting sqref="I79">
    <cfRule type="cellIs" dxfId="2427" priority="5" stopIfTrue="1" operator="greaterThan">
      <formula>$F$53</formula>
    </cfRule>
    <cfRule type="cellIs" dxfId="2426" priority="6" stopIfTrue="1" operator="lessThanOrEqual">
      <formula>0</formula>
    </cfRule>
    <cfRule type="cellIs" dxfId="2425" priority="7" stopIfTrue="1" operator="greaterThan">
      <formula>$F$55</formula>
    </cfRule>
    <cfRule type="cellIs" dxfId="2424" priority="8" stopIfTrue="1" operator="lessThanOrEqual">
      <formula>0</formula>
    </cfRule>
    <cfRule type="cellIs" dxfId="2423" priority="9" stopIfTrue="1" operator="greaterThan">
      <formula>$F$53</formula>
    </cfRule>
    <cfRule type="cellIs" dxfId="2422" priority="10" stopIfTrue="1" operator="lessThanOrEqual">
      <formula>0</formula>
    </cfRule>
  </conditionalFormatting>
  <conditionalFormatting sqref="I80">
    <cfRule type="cellIs" dxfId="2421" priority="99" stopIfTrue="1" operator="greaterThan">
      <formula>$F$88</formula>
    </cfRule>
    <cfRule type="cellIs" dxfId="2420" priority="97" stopIfTrue="1" operator="greaterThan">
      <formula>$F$90</formula>
    </cfRule>
    <cfRule type="cellIs" dxfId="2419" priority="96" stopIfTrue="1" operator="lessThanOrEqual">
      <formula>0</formula>
    </cfRule>
    <cfRule type="cellIs" dxfId="2418" priority="95" stopIfTrue="1" operator="greaterThan">
      <formula>$F$88</formula>
    </cfRule>
    <cfRule type="cellIs" dxfId="2417" priority="100" stopIfTrue="1" operator="lessThanOrEqual">
      <formula>0</formula>
    </cfRule>
    <cfRule type="cellIs" dxfId="2416" priority="98" stopIfTrue="1" operator="lessThanOrEqual">
      <formula>0</formula>
    </cfRule>
  </conditionalFormatting>
  <conditionalFormatting sqref="I81">
    <cfRule type="cellIs" dxfId="2415" priority="43" stopIfTrue="1" operator="lessThanOrEqual">
      <formula>0</formula>
    </cfRule>
    <cfRule type="cellIs" dxfId="2414" priority="42" stopIfTrue="1" operator="greaterThan">
      <formula>$F$72</formula>
    </cfRule>
    <cfRule type="cellIs" dxfId="2413" priority="41" stopIfTrue="1" operator="lessThanOrEqual">
      <formula>0</formula>
    </cfRule>
    <cfRule type="cellIs" dxfId="2412" priority="40" stopIfTrue="1" operator="greaterThan">
      <formula>$F$74</formula>
    </cfRule>
    <cfRule type="cellIs" dxfId="2411" priority="39" stopIfTrue="1" operator="lessThanOrEqual">
      <formula>0</formula>
    </cfRule>
    <cfRule type="cellIs" dxfId="2410" priority="38" stopIfTrue="1" operator="greaterThan">
      <formula>$F$72</formula>
    </cfRule>
  </conditionalFormatting>
  <conditionalFormatting sqref="I82">
    <cfRule type="cellIs" dxfId="2409" priority="80" stopIfTrue="1" operator="greaterThan">
      <formula>#REF!</formula>
    </cfRule>
    <cfRule type="cellIs" dxfId="2408" priority="79" stopIfTrue="1" operator="lessThanOrEqual">
      <formula>0</formula>
    </cfRule>
    <cfRule type="cellIs" dxfId="2407" priority="78" stopIfTrue="1" operator="greaterThan">
      <formula>#REF!</formula>
    </cfRule>
    <cfRule type="cellIs" dxfId="2406" priority="81" stopIfTrue="1" operator="lessThanOrEqual">
      <formula>0</formula>
    </cfRule>
  </conditionalFormatting>
  <conditionalFormatting sqref="I83:I84">
    <cfRule type="cellIs" dxfId="2405" priority="118" stopIfTrue="1" operator="greaterThan">
      <formula>$F$91</formula>
    </cfRule>
    <cfRule type="cellIs" dxfId="2404" priority="116" stopIfTrue="1" operator="greaterThan">
      <formula>$F$89</formula>
    </cfRule>
    <cfRule type="cellIs" dxfId="2403" priority="117" stopIfTrue="1" operator="lessThanOrEqual">
      <formula>0</formula>
    </cfRule>
    <cfRule type="cellIs" dxfId="2402" priority="119" stopIfTrue="1" operator="lessThanOrEqual">
      <formula>0</formula>
    </cfRule>
    <cfRule type="cellIs" dxfId="2401" priority="120" stopIfTrue="1" operator="greaterThan">
      <formula>$F$89</formula>
    </cfRule>
    <cfRule type="cellIs" dxfId="2400" priority="121" stopIfTrue="1" operator="lessThanOrEqual">
      <formula>0</formula>
    </cfRule>
  </conditionalFormatting>
  <conditionalFormatting sqref="I89:I97">
    <cfRule type="cellIs" dxfId="2399" priority="133" stopIfTrue="1" operator="greaterThan">
      <formula>$J89</formula>
    </cfRule>
    <cfRule type="cellIs" dxfId="2398" priority="134" stopIfTrue="1" operator="lessThanOrEqual">
      <formula>0</formula>
    </cfRule>
  </conditionalFormatting>
  <conditionalFormatting sqref="I100:I108">
    <cfRule type="cellIs" dxfId="2397" priority="173" stopIfTrue="1" operator="greaterThan">
      <formula>4.5</formula>
    </cfRule>
    <cfRule type="cellIs" dxfId="2396" priority="174" stopIfTrue="1" operator="lessThanOrEqual">
      <formula>0</formula>
    </cfRule>
  </conditionalFormatting>
  <conditionalFormatting sqref="J10:J14">
    <cfRule type="cellIs" dxfId="2395" priority="51" operator="notBetween">
      <formula>98</formula>
      <formula>99.9</formula>
    </cfRule>
  </conditionalFormatting>
  <conditionalFormatting sqref="J10:J47">
    <cfRule type="cellIs" dxfId="2394" priority="20" operator="lessThan">
      <formula>97.4</formula>
    </cfRule>
  </conditionalFormatting>
  <conditionalFormatting sqref="J33:J46">
    <cfRule type="cellIs" dxfId="2393" priority="24" operator="notBetween">
      <formula>98</formula>
      <formula>99.9</formula>
    </cfRule>
  </conditionalFormatting>
  <conditionalFormatting sqref="J50:J52">
    <cfRule type="cellIs" dxfId="2392" priority="108" stopIfTrue="1" operator="greaterThan">
      <formula>100</formula>
    </cfRule>
    <cfRule type="cellIs" dxfId="2391" priority="109" operator="lessThan">
      <formula>98</formula>
    </cfRule>
    <cfRule type="cellIs" dxfId="2390" priority="107" stopIfTrue="1" operator="lessThan">
      <formula>96.8</formula>
    </cfRule>
  </conditionalFormatting>
  <conditionalFormatting sqref="J50:J54">
    <cfRule type="cellIs" dxfId="2389" priority="48" operator="lessThan">
      <formula>97.4</formula>
    </cfRule>
  </conditionalFormatting>
  <conditionalFormatting sqref="J55 L59:M59 L61:M61">
    <cfRule type="cellIs" dxfId="2388" priority="110" operator="lessThan">
      <formula>98</formula>
    </cfRule>
  </conditionalFormatting>
  <conditionalFormatting sqref="J56:J57">
    <cfRule type="cellIs" dxfId="2387" priority="111" stopIfTrue="1" operator="lessThan">
      <formula>96.8</formula>
    </cfRule>
    <cfRule type="cellIs" dxfId="2386" priority="112" stopIfTrue="1" operator="greaterThan">
      <formula>100</formula>
    </cfRule>
  </conditionalFormatting>
  <conditionalFormatting sqref="J56:J58">
    <cfRule type="cellIs" dxfId="2385" priority="113" operator="lessThan">
      <formula>98</formula>
    </cfRule>
  </conditionalFormatting>
  <conditionalFormatting sqref="K10:K14">
    <cfRule type="cellIs" dxfId="2384" priority="50" operator="greaterThan">
      <formula>6.4</formula>
    </cfRule>
  </conditionalFormatting>
  <conditionalFormatting sqref="K10:K47">
    <cfRule type="cellIs" dxfId="2383" priority="17" operator="lessThan">
      <formula>4</formula>
    </cfRule>
    <cfRule type="cellIs" dxfId="2382" priority="16" operator="greaterThan">
      <formula>6</formula>
    </cfRule>
  </conditionalFormatting>
  <conditionalFormatting sqref="K33:K46">
    <cfRule type="cellIs" dxfId="2381" priority="23" operator="greaterThan">
      <formula>6.4</formula>
    </cfRule>
  </conditionalFormatting>
  <conditionalFormatting sqref="K64:K73">
    <cfRule type="cellIs" dxfId="2380" priority="141" operator="notEqual">
      <formula>#REF!</formula>
    </cfRule>
  </conditionalFormatting>
  <conditionalFormatting sqref="K79:K84 J85:K85 L89:N89 K90:N97">
    <cfRule type="cellIs" dxfId="2379" priority="152" stopIfTrue="1" operator="lessThan">
      <formula>100%</formula>
    </cfRule>
  </conditionalFormatting>
  <conditionalFormatting sqref="K100:K105">
    <cfRule type="cellIs" dxfId="2378" priority="179" stopIfTrue="1" operator="lessThan">
      <formula>100%</formula>
    </cfRule>
  </conditionalFormatting>
  <conditionalFormatting sqref="K107:K108">
    <cfRule type="cellIs" dxfId="2377" priority="186" stopIfTrue="1" operator="lessThan">
      <formula>100%</formula>
    </cfRule>
  </conditionalFormatting>
  <conditionalFormatting sqref="L10:L47">
    <cfRule type="cellIs" dxfId="2376" priority="19" operator="greaterThan">
      <formula>65</formula>
    </cfRule>
    <cfRule type="cellIs" dxfId="2375" priority="18" operator="between">
      <formula>61</formula>
      <formula>65</formula>
    </cfRule>
  </conditionalFormatting>
  <conditionalFormatting sqref="L52:L58">
    <cfRule type="cellIs" dxfId="2374" priority="88" operator="lessThan">
      <formula>98</formula>
    </cfRule>
  </conditionalFormatting>
  <conditionalFormatting sqref="L65:N65">
    <cfRule type="cellIs" dxfId="2373" priority="87" operator="notEqual">
      <formula>#REF!</formula>
    </cfRule>
  </conditionalFormatting>
  <conditionalFormatting sqref="L100:N108">
    <cfRule type="cellIs" dxfId="2372" priority="164" stopIfTrue="1" operator="lessThan">
      <formula>100%</formula>
    </cfRule>
  </conditionalFormatting>
  <conditionalFormatting sqref="M10:M11">
    <cfRule type="expression" dxfId="2371" priority="65">
      <formula>IF(+(IF(M10&lt;V23,0,IF(M10&gt;W23,0,1)))=0,1)</formula>
    </cfRule>
  </conditionalFormatting>
  <conditionalFormatting sqref="M13">
    <cfRule type="expression" dxfId="2370" priority="58">
      <formula>IF(+(IF(M13&lt;V47,0,IF(M13&gt;W47,0,1)))=0,1)</formula>
    </cfRule>
    <cfRule type="expression" dxfId="2369" priority="57">
      <formula>IF(+(IF(M13&lt;V52,0,IF(M13&gt;W52,0,1)))=0,1)</formula>
    </cfRule>
  </conditionalFormatting>
  <conditionalFormatting sqref="M14">
    <cfRule type="expression" dxfId="2368" priority="199">
      <formula>IF(+(IF(M14&lt;V27,0,IF(M14&gt;W27,0,1)))=0,1)</formula>
    </cfRule>
  </conditionalFormatting>
  <conditionalFormatting sqref="M15:M32">
    <cfRule type="expression" dxfId="2367" priority="210">
      <formula>IF(+(IF(M15&lt;V62,0,IF(M15&gt;W62,0,1)))=0,1)</formula>
    </cfRule>
  </conditionalFormatting>
  <conditionalFormatting sqref="M33:M46">
    <cfRule type="expression" dxfId="2366" priority="31">
      <formula>IF(+(IF(M33&lt;V48,0,IF(M33&gt;W48,0,1)))=0,1)</formula>
    </cfRule>
    <cfRule type="expression" dxfId="2365" priority="30">
      <formula>IF(+(IF(M33&lt;V53,0,IF(M33&gt;W53,0,1)))=0,1)</formula>
    </cfRule>
  </conditionalFormatting>
  <conditionalFormatting sqref="M50:M58">
    <cfRule type="cellIs" dxfId="2364" priority="86" operator="lessThan">
      <formula>98</formula>
    </cfRule>
  </conditionalFormatting>
  <conditionalFormatting sqref="M10:N12">
    <cfRule type="expression" dxfId="2363" priority="66">
      <formula>IF(+(IF(M10&lt;#REF!,0,IF(M10&gt;#REF!,0,1)))=0,1)</formula>
    </cfRule>
  </conditionalFormatting>
  <conditionalFormatting sqref="M14:N14">
    <cfRule type="expression" dxfId="2362" priority="200">
      <formula>IF(+(IF(M14&lt;#REF!,0,IF(M14&gt;#REF!,0,1)))=0,1)</formula>
    </cfRule>
  </conditionalFormatting>
  <conditionalFormatting sqref="M47:N47">
    <cfRule type="expression" dxfId="2361" priority="194">
      <formula>IF(+(IF(M47&lt;#REF!,0,IF(M47&gt;#REF!,0,1)))=0,1)</formula>
    </cfRule>
  </conditionalFormatting>
  <conditionalFormatting sqref="N10:N11">
    <cfRule type="expression" dxfId="2360" priority="67">
      <formula>IF(+(IF(N10&lt;X23,0,IF(N10&gt;Y23,0,1)))=0,1)</formula>
    </cfRule>
  </conditionalFormatting>
  <conditionalFormatting sqref="N13">
    <cfRule type="expression" dxfId="2359" priority="60">
      <formula>IF(+(IF(N13&lt;X47,0,IF(N13&gt;Y47,0,1)))=0,1)</formula>
    </cfRule>
    <cfRule type="expression" dxfId="2358" priority="59">
      <formula>IF(+(IF(N13&lt;X52,0,IF(N13&gt;Y52,0,1)))=0,1)</formula>
    </cfRule>
  </conditionalFormatting>
  <conditionalFormatting sqref="N14">
    <cfRule type="expression" dxfId="2357" priority="203">
      <formula>IF(+(IF(N14&lt;X27,0,IF(N14&gt;Y27,0,1)))=0,1)</formula>
    </cfRule>
  </conditionalFormatting>
  <conditionalFormatting sqref="N15:N32">
    <cfRule type="expression" dxfId="2356" priority="211">
      <formula>IF(+(IF(N15&lt;X62,0,IF(N15&gt;Y62,0,1)))=0,1)</formula>
    </cfRule>
  </conditionalFormatting>
  <conditionalFormatting sqref="N33:N46">
    <cfRule type="expression" dxfId="2355" priority="33">
      <formula>IF(+(IF(N33&lt;X48,0,IF(N33&gt;Y48,0,1)))=0,1)</formula>
    </cfRule>
    <cfRule type="expression" dxfId="2354" priority="32">
      <formula>IF(+(IF(N33&lt;X53,0,IF(N33&gt;Y53,0,1)))=0,1)</formula>
    </cfRule>
  </conditionalFormatting>
  <conditionalFormatting sqref="P6">
    <cfRule type="cellIs" dxfId="2353" priority="160" operator="greaterThanOrEqual">
      <formula>19</formula>
    </cfRule>
  </conditionalFormatting>
  <dataValidations count="1">
    <dataValidation type="list" allowBlank="1" showInputMessage="1" showErrorMessage="1" sqref="S8 B13 B15:B47" xr:uid="{0829AB47-947B-4730-ADDD-DF3E14D3F471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2" max="16383" man="1"/>
  </rowBreaks>
  <colBreaks count="1" manualBreakCount="1">
    <brk id="15" max="8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9F01-4ECA-4A54-B648-8694D49437F2}">
  <sheetPr codeName="Sheet2">
    <pageSetUpPr fitToPage="1"/>
  </sheetPr>
  <dimension ref="A1:BE94"/>
  <sheetViews>
    <sheetView topLeftCell="D57" zoomScaleNormal="100" workbookViewId="0">
      <selection activeCell="B28" sqref="B28:O28"/>
    </sheetView>
  </sheetViews>
  <sheetFormatPr defaultColWidth="9.44140625" defaultRowHeight="13.8"/>
  <cols>
    <col min="1" max="1" width="3.33203125" style="275" customWidth="1"/>
    <col min="2" max="2" width="35.66406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22.5546875" style="275" customWidth="1"/>
    <col min="8" max="8" width="23.33203125" style="275" customWidth="1"/>
    <col min="9" max="9" width="27" style="275" customWidth="1"/>
    <col min="10" max="10" width="45.441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45782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428" t="s">
        <v>165</v>
      </c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371"/>
      <c r="P10" s="423"/>
      <c r="R10" s="277" t="str">
        <f t="shared" ref="R10:R44" si="0">B10</f>
        <v xml:space="preserve">May 2nd </v>
      </c>
      <c r="S10" s="296" t="e">
        <f t="shared" ref="S10:S44" si="1">VLOOKUP($B10,$R$3:$X$9,2,FALSE)</f>
        <v>#N/A</v>
      </c>
      <c r="T10" s="296" t="e">
        <f t="shared" ref="T10:T44" si="2">VLOOKUP($B10,$R$3:$X$9,3,FALSE)</f>
        <v>#N/A</v>
      </c>
      <c r="U10" s="297" t="e">
        <f t="shared" ref="U10:U44" si="3">VLOOKUP($B10,$R$3:$X$9,4,FALSE)</f>
        <v>#N/A</v>
      </c>
      <c r="V10" s="297" t="e">
        <f t="shared" ref="V10:V44" si="4">VLOOKUP($B10,$R$3:$X$9,5,FALSE)</f>
        <v>#N/A</v>
      </c>
      <c r="W10" s="297" t="e">
        <f t="shared" ref="W10:W44" si="5">VLOOKUP($B10,$R$3:$X$9,6,FALSE)</f>
        <v>#N/A</v>
      </c>
      <c r="X10" s="297" t="e">
        <f t="shared" ref="X10:X44" si="6">VLOOKUP($B10,$R$3:$X$9,7,FALSE)</f>
        <v>#N/A</v>
      </c>
      <c r="Y10" s="297" t="e">
        <f t="shared" ref="Y10:Y44" si="7">VLOOKUP($B10,$R$3:$Z$9,8,FALSE)</f>
        <v>#N/A</v>
      </c>
      <c r="Z10" s="296" t="e">
        <f t="shared" ref="Z10:Z44" si="8">VLOOKUP($B10,$R$3:$Z$9,9,FALSE)</f>
        <v>#N/A</v>
      </c>
    </row>
    <row r="11" spans="2:29" ht="15.75" customHeight="1">
      <c r="B11" s="29" t="s">
        <v>6</v>
      </c>
      <c r="C11" s="366" t="str">
        <f>[22]Brewhouse!$A408</f>
        <v>CA303</v>
      </c>
      <c r="D11" s="279">
        <f>[22]Brewhouse!$AF408</f>
        <v>54.3</v>
      </c>
      <c r="E11" s="279">
        <f>[22]Brewhouse!$AI408</f>
        <v>50.2</v>
      </c>
      <c r="F11" s="278">
        <f>[22]Brewhouse!$V408</f>
        <v>63</v>
      </c>
      <c r="G11" s="279">
        <f>[22]Brewhouse!$AG408</f>
        <v>11.7</v>
      </c>
      <c r="H11" s="396">
        <v>11.7</v>
      </c>
      <c r="I11" s="368">
        <f>[22]Brewhouse!$AU408</f>
        <v>95.631382328480186</v>
      </c>
      <c r="J11" s="368">
        <f>[22]Brewhouse!$AV408</f>
        <v>97.269006286449923</v>
      </c>
      <c r="K11" s="281">
        <f>[22]Brewhouse!$Q408</f>
        <v>8.2499999999999947</v>
      </c>
      <c r="L11" s="276">
        <f>[22]Brewhouse!$P408</f>
        <v>56</v>
      </c>
      <c r="M11" s="397">
        <f>[22]Brewhouse!$U408-[22]Brewhouse!$T408</f>
        <v>0.11180555555555549</v>
      </c>
      <c r="N11" s="370">
        <f>[22]Brewhouse!$Z408</f>
        <v>0.25069444444444439</v>
      </c>
      <c r="O11" s="371" t="str">
        <f>[22]Brewhouse!$AX408</f>
        <v>R. Sookram</v>
      </c>
      <c r="P11" s="423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[22]Brewhouse!$A409</f>
        <v>CA304</v>
      </c>
      <c r="D12" s="279">
        <f>[22]Brewhouse!$AF409</f>
        <v>54.9</v>
      </c>
      <c r="E12" s="279">
        <f>[22]Brewhouse!$AI409</f>
        <v>51.3</v>
      </c>
      <c r="F12" s="278">
        <f>[22]Brewhouse!$V409</f>
        <v>58</v>
      </c>
      <c r="G12" s="279">
        <f>[22]Brewhouse!$AG409</f>
        <v>11.9</v>
      </c>
      <c r="H12" s="396">
        <v>11.8</v>
      </c>
      <c r="I12" s="368">
        <f>[22]Brewhouse!$AU409</f>
        <v>99.607341973685323</v>
      </c>
      <c r="J12" s="368">
        <f>[22]Brewhouse!$AV409</f>
        <v>101.31286537176972</v>
      </c>
      <c r="K12" s="281">
        <f>[22]Brewhouse!$Q409</f>
        <v>5.9074733096085419</v>
      </c>
      <c r="L12" s="276">
        <f>[22]Brewhouse!$P409</f>
        <v>57</v>
      </c>
      <c r="M12" s="397">
        <f>[22]Brewhouse!$U409-[22]Brewhouse!$T409</f>
        <v>9.9305555555555536E-2</v>
      </c>
      <c r="N12" s="370">
        <f>[22]Brewhouse!$Z409</f>
        <v>0.2416666666666667</v>
      </c>
      <c r="O12" s="371" t="str">
        <f>[22]Brewhouse!$AX409</f>
        <v>R. Sookram</v>
      </c>
      <c r="P12" s="423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[22]Brewhouse!$A410</f>
        <v>CA305</v>
      </c>
      <c r="D13" s="279">
        <f>[22]Brewhouse!$AF410</f>
        <v>53.5</v>
      </c>
      <c r="E13" s="279">
        <f>[22]Brewhouse!$AI410</f>
        <v>49.8</v>
      </c>
      <c r="F13" s="278">
        <f>[22]Brewhouse!$V410</f>
        <v>57</v>
      </c>
      <c r="G13" s="279">
        <f>[22]Brewhouse!$AG410</f>
        <v>11.9</v>
      </c>
      <c r="H13" s="396">
        <v>11.8</v>
      </c>
      <c r="I13" s="368">
        <f>[22]Brewhouse!$AU410</f>
        <v>96.93353609459146</v>
      </c>
      <c r="J13" s="368">
        <f>[22]Brewhouse!$AV410</f>
        <v>98.592913538093612</v>
      </c>
      <c r="K13" s="281">
        <f>[22]Brewhouse!$Q410</f>
        <v>5.581395348837205</v>
      </c>
      <c r="L13" s="276">
        <f>[22]Brewhouse!$P410</f>
        <v>57</v>
      </c>
      <c r="M13" s="397">
        <f>[22]Brewhouse!$U410-[22]Brewhouse!$T410</f>
        <v>0.1020833333333333</v>
      </c>
      <c r="N13" s="370">
        <f>[22]Brewhouse!$Z410</f>
        <v>0.2583333333333333</v>
      </c>
      <c r="O13" s="371" t="str">
        <f>[22]Brewhouse!$AX410</f>
        <v>R. Sookram</v>
      </c>
      <c r="P13" s="423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[22]Brewhouse!$A411</f>
        <v>CA306</v>
      </c>
      <c r="D14" s="279">
        <f>[22]Brewhouse!$AF411</f>
        <v>53.9</v>
      </c>
      <c r="E14" s="279">
        <f>[22]Brewhouse!$AI411</f>
        <v>50.3</v>
      </c>
      <c r="F14" s="278">
        <f>[22]Brewhouse!$V411</f>
        <v>53</v>
      </c>
      <c r="G14" s="279">
        <f>[22]Brewhouse!$AG411</f>
        <v>11.8</v>
      </c>
      <c r="H14" s="396">
        <v>11.8</v>
      </c>
      <c r="I14" s="368">
        <f>[22]Brewhouse!$AU411</f>
        <v>93.91214847753632</v>
      </c>
      <c r="J14" s="368">
        <f>[22]Brewhouse!$AV411</f>
        <v>95.524420019819999</v>
      </c>
      <c r="K14" s="281">
        <f>[22]Brewhouse!$Q411</f>
        <v>6.3732394366197136</v>
      </c>
      <c r="L14" s="276">
        <f>[22]Brewhouse!$P411</f>
        <v>58</v>
      </c>
      <c r="M14" s="397">
        <f>[22]Brewhouse!$U411-[22]Brewhouse!$T411</f>
        <v>0.1020833333333333</v>
      </c>
      <c r="N14" s="370">
        <f>[22]Brewhouse!$Z411</f>
        <v>0.26388888888888884</v>
      </c>
      <c r="O14" s="371" t="str">
        <f>[22]Brewhouse!$AX411</f>
        <v>D. Gomez</v>
      </c>
      <c r="P14" s="423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[22]Brewhouse!$A412</f>
        <v>CA307</v>
      </c>
      <c r="D15" s="279">
        <f>[22]Brewhouse!$AF412</f>
        <v>55</v>
      </c>
      <c r="E15" s="279">
        <f>[22]Brewhouse!$AI412</f>
        <v>51.6</v>
      </c>
      <c r="F15" s="278">
        <f>[22]Brewhouse!$V412</f>
        <v>64</v>
      </c>
      <c r="G15" s="279">
        <f>[22]Brewhouse!$AG412</f>
        <v>11.9</v>
      </c>
      <c r="H15" s="396">
        <v>11.9</v>
      </c>
      <c r="I15" s="368">
        <f>[22]Brewhouse!$AU412</f>
        <v>100.64036643332561</v>
      </c>
      <c r="J15" s="368">
        <f>[22]Brewhouse!$AV412</f>
        <v>102.43750556340798</v>
      </c>
      <c r="K15" s="281">
        <f>[22]Brewhouse!$Q412</f>
        <v>5.3546099290780074</v>
      </c>
      <c r="L15" s="276">
        <f>[22]Brewhouse!$P412</f>
        <v>60</v>
      </c>
      <c r="M15" s="397">
        <f>[22]Brewhouse!$U412-[22]Brewhouse!$T412</f>
        <v>0.11249999999999993</v>
      </c>
      <c r="N15" s="370">
        <f>[22]Brewhouse!$Z412</f>
        <v>0.26736111111111105</v>
      </c>
      <c r="O15" s="371" t="str">
        <f>[22]Brewhouse!$AX412</f>
        <v>D. Gomez</v>
      </c>
      <c r="P15" s="423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[22]Brewhouse!$A413</f>
        <v>CA308</v>
      </c>
      <c r="D16" s="279">
        <f>[22]Brewhouse!$AF413</f>
        <v>54.1</v>
      </c>
      <c r="E16" s="279">
        <f>[22]Brewhouse!$AI413</f>
        <v>51.2</v>
      </c>
      <c r="F16" s="278">
        <f>[22]Brewhouse!$V413</f>
        <v>64</v>
      </c>
      <c r="G16" s="279">
        <f>[22]Brewhouse!$AG413</f>
        <v>12</v>
      </c>
      <c r="H16" s="396">
        <v>12</v>
      </c>
      <c r="I16" s="368">
        <f>[22]Brewhouse!$AU413</f>
        <v>100.74250758539831</v>
      </c>
      <c r="J16" s="368">
        <f>[22]Brewhouse!$AV413</f>
        <v>102.54147065420118</v>
      </c>
      <c r="K16" s="281">
        <f>[22]Brewhouse!$Q413</f>
        <v>5.5614973262032041</v>
      </c>
      <c r="L16" s="276">
        <f>[22]Brewhouse!$P413</f>
        <v>62</v>
      </c>
      <c r="M16" s="397">
        <f>[22]Brewhouse!$U413-[22]Brewhouse!$T413</f>
        <v>0.10902777777777772</v>
      </c>
      <c r="N16" s="370">
        <f>[22]Brewhouse!$Z413</f>
        <v>0.25763888888888886</v>
      </c>
      <c r="O16" s="371" t="str">
        <f>[22]Brewhouse!$AX413</f>
        <v>D. Gomez</v>
      </c>
      <c r="P16" s="423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2:26" ht="15.75" customHeight="1">
      <c r="B17" s="29" t="s">
        <v>6</v>
      </c>
      <c r="C17" s="366" t="str">
        <f>[22]Brewhouse!$A414</f>
        <v>CA309</v>
      </c>
      <c r="D17" s="279">
        <f>[22]Brewhouse!$AF414</f>
        <v>54.8</v>
      </c>
      <c r="E17" s="279">
        <f>[22]Brewhouse!$AI414</f>
        <v>51.3</v>
      </c>
      <c r="F17" s="278">
        <f>[22]Brewhouse!$V414</f>
        <v>62</v>
      </c>
      <c r="G17" s="279">
        <f>[22]Brewhouse!$AG414</f>
        <v>11.8</v>
      </c>
      <c r="H17" s="396">
        <v>11.8</v>
      </c>
      <c r="I17" s="368">
        <f>[22]Brewhouse!$AU414</f>
        <v>98.561750329588534</v>
      </c>
      <c r="J17" s="368">
        <f>[22]Brewhouse!$AV414</f>
        <v>100.32224854804825</v>
      </c>
      <c r="K17" s="281">
        <f>[22]Brewhouse!$Q414</f>
        <v>5.9180035650623886</v>
      </c>
      <c r="L17" s="276">
        <f>[22]Brewhouse!$P414</f>
        <v>58</v>
      </c>
      <c r="M17" s="397">
        <f>[22]Brewhouse!$U414-[22]Brewhouse!$T414</f>
        <v>0.10624999999999996</v>
      </c>
      <c r="N17" s="370">
        <f>[22]Brewhouse!$Z414</f>
        <v>0.2597222222222223</v>
      </c>
      <c r="O17" s="371" t="str">
        <f>[22]Brewhouse!$AX414</f>
        <v>D. Gomez</v>
      </c>
      <c r="P17" s="423"/>
      <c r="R17" s="277" t="str">
        <f t="shared" si="0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3"/>
      <c r="R18" s="277"/>
      <c r="S18" s="296"/>
      <c r="T18" s="296"/>
      <c r="U18" s="297"/>
      <c r="V18" s="297"/>
      <c r="W18" s="297"/>
      <c r="X18" s="297"/>
      <c r="Y18" s="297"/>
      <c r="Z18" s="296"/>
    </row>
    <row r="19" spans="2:26" ht="15.75" customHeight="1">
      <c r="B19" s="428" t="s">
        <v>166</v>
      </c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3"/>
      <c r="R19" s="277"/>
      <c r="S19" s="296"/>
      <c r="T19" s="296"/>
      <c r="U19" s="297"/>
      <c r="V19" s="297"/>
      <c r="W19" s="297"/>
      <c r="X19" s="297"/>
      <c r="Y19" s="297"/>
      <c r="Z19" s="296"/>
    </row>
    <row r="20" spans="2:26" ht="15.75" customHeight="1">
      <c r="B20" s="29" t="s">
        <v>6</v>
      </c>
      <c r="C20" s="366" t="str">
        <f>[22]Brewhouse!$A415</f>
        <v>CA310</v>
      </c>
      <c r="D20" s="279">
        <f>[22]Brewhouse!$AF415</f>
        <v>53.8</v>
      </c>
      <c r="E20" s="279">
        <f>[22]Brewhouse!$AI415</f>
        <v>50.7</v>
      </c>
      <c r="F20" s="278">
        <f>[22]Brewhouse!$V415</f>
        <v>64</v>
      </c>
      <c r="G20" s="279">
        <f>[22]Brewhouse!$AG415</f>
        <v>11.7</v>
      </c>
      <c r="H20" s="396">
        <v>11.7</v>
      </c>
      <c r="I20" s="368">
        <f>[22]Brewhouse!$AU415</f>
        <v>97.017660095904347</v>
      </c>
      <c r="J20" s="368">
        <f>[22]Brewhouse!$AV415</f>
        <v>98.750202784295752</v>
      </c>
      <c r="K20" s="281">
        <f>[22]Brewhouse!$Q415</f>
        <v>1.5213358070500933</v>
      </c>
      <c r="L20" s="276">
        <f>[22]Brewhouse!$P415</f>
        <v>60</v>
      </c>
      <c r="M20" s="397">
        <f>[22]Brewhouse!$U415-[22]Brewhouse!$T415</f>
        <v>0.1076388888888889</v>
      </c>
      <c r="N20" s="370">
        <f>[22]Brewhouse!$Z415</f>
        <v>0.24444444444444446</v>
      </c>
      <c r="O20" s="371" t="str">
        <f>[22]Brewhouse!$AX415</f>
        <v>G. Mason</v>
      </c>
      <c r="P20" s="423"/>
      <c r="R20" s="277" t="str">
        <f t="shared" si="0"/>
        <v>CARIB</v>
      </c>
      <c r="S20" s="296">
        <f t="shared" si="1"/>
        <v>11.6</v>
      </c>
      <c r="T20" s="296">
        <f t="shared" si="2"/>
        <v>12</v>
      </c>
      <c r="U20" s="297">
        <f t="shared" si="3"/>
        <v>0</v>
      </c>
      <c r="V20" s="297">
        <f t="shared" si="4"/>
        <v>0.118055555555556</v>
      </c>
      <c r="W20" s="297">
        <f t="shared" si="5"/>
        <v>0.22569444444444445</v>
      </c>
      <c r="X20" s="297">
        <f t="shared" si="6"/>
        <v>0.2638888888888889</v>
      </c>
      <c r="Y20" s="297">
        <f t="shared" si="7"/>
        <v>0</v>
      </c>
      <c r="Z20" s="296">
        <f t="shared" si="8"/>
        <v>60</v>
      </c>
    </row>
    <row r="21" spans="2:26" ht="15.75" customHeight="1">
      <c r="B21" s="29" t="s">
        <v>6</v>
      </c>
      <c r="C21" s="366" t="str">
        <f>[22]Brewhouse!$A416</f>
        <v>CA311</v>
      </c>
      <c r="D21" s="279">
        <f>[22]Brewhouse!$AF416</f>
        <v>53.9</v>
      </c>
      <c r="E21" s="279">
        <f>[22]Brewhouse!$AI416</f>
        <v>49.9</v>
      </c>
      <c r="F21" s="278">
        <f>[22]Brewhouse!$V416</f>
        <v>58</v>
      </c>
      <c r="G21" s="279">
        <f>[22]Brewhouse!$AG416</f>
        <v>11.9</v>
      </c>
      <c r="H21" s="396">
        <v>11.8</v>
      </c>
      <c r="I21" s="368">
        <f>[22]Brewhouse!$AU416</f>
        <v>96.889012952960968</v>
      </c>
      <c r="J21" s="368">
        <f>[22]Brewhouse!$AV416</f>
        <v>98.547991852852036</v>
      </c>
      <c r="K21" s="281">
        <f>[22]Brewhouse!$Q416</f>
        <v>6.46428571428571</v>
      </c>
      <c r="L21" s="276">
        <f>[22]Brewhouse!$P416</f>
        <v>57</v>
      </c>
      <c r="M21" s="397">
        <f>[22]Brewhouse!$U416-[22]Brewhouse!$T416</f>
        <v>0.10347222222222224</v>
      </c>
      <c r="N21" s="370">
        <f>[22]Brewhouse!$Z416</f>
        <v>0.2361111111111111</v>
      </c>
      <c r="O21" s="371" t="str">
        <f>[22]Brewhouse!$AX416</f>
        <v>G. Mason</v>
      </c>
      <c r="P21" s="423"/>
      <c r="R21" s="277" t="str">
        <f t="shared" si="0"/>
        <v>CARIB</v>
      </c>
      <c r="S21" s="296">
        <f t="shared" si="1"/>
        <v>11.6</v>
      </c>
      <c r="T21" s="296">
        <f t="shared" si="2"/>
        <v>12</v>
      </c>
      <c r="U21" s="297">
        <f t="shared" si="3"/>
        <v>0</v>
      </c>
      <c r="V21" s="297">
        <f t="shared" si="4"/>
        <v>0.118055555555556</v>
      </c>
      <c r="W21" s="297">
        <f t="shared" si="5"/>
        <v>0.22569444444444445</v>
      </c>
      <c r="X21" s="297">
        <f t="shared" si="6"/>
        <v>0.2638888888888889</v>
      </c>
      <c r="Y21" s="297">
        <f t="shared" si="7"/>
        <v>0</v>
      </c>
      <c r="Z21" s="296">
        <f t="shared" si="8"/>
        <v>60</v>
      </c>
    </row>
    <row r="22" spans="2:26" ht="15.75" customHeight="1">
      <c r="B22" s="29" t="s">
        <v>6</v>
      </c>
      <c r="C22" s="366" t="str">
        <f>[22]Brewhouse!$A417</f>
        <v>CA312</v>
      </c>
      <c r="D22" s="279">
        <f>[22]Brewhouse!$AF417</f>
        <v>54.3</v>
      </c>
      <c r="E22" s="279">
        <f>[22]Brewhouse!$AI417</f>
        <v>50.8</v>
      </c>
      <c r="F22" s="278">
        <f>[22]Brewhouse!$V417</f>
        <v>66</v>
      </c>
      <c r="G22" s="279">
        <f>[22]Brewhouse!$AG417</f>
        <v>12</v>
      </c>
      <c r="H22" s="396">
        <v>11.8</v>
      </c>
      <c r="I22" s="368">
        <f>[22]Brewhouse!$AU417</f>
        <v>99.141806688132675</v>
      </c>
      <c r="J22" s="368">
        <f>[22]Brewhouse!$AV417</f>
        <v>100.83991369106779</v>
      </c>
      <c r="K22" s="281">
        <f>[22]Brewhouse!$Q417</f>
        <v>5.0357142857142865</v>
      </c>
      <c r="L22" s="276">
        <f>[22]Brewhouse!$P417</f>
        <v>57</v>
      </c>
      <c r="M22" s="397">
        <f>[22]Brewhouse!$U417-[22]Brewhouse!$T417</f>
        <v>0.10624999999999996</v>
      </c>
      <c r="N22" s="370">
        <f>[22]Brewhouse!$Z417</f>
        <v>0.24027777777777776</v>
      </c>
      <c r="O22" s="371" t="str">
        <f>[22]Brewhouse!$AX417</f>
        <v>G. Mason</v>
      </c>
      <c r="P22" s="423"/>
      <c r="R22" s="277" t="str">
        <f t="shared" si="0"/>
        <v>CARIB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29" t="s">
        <v>6</v>
      </c>
      <c r="C23" s="366" t="str">
        <f>[22]Brewhouse!$A418</f>
        <v>CA313</v>
      </c>
      <c r="D23" s="279">
        <f>[22]Brewhouse!$AF418</f>
        <v>54.7</v>
      </c>
      <c r="E23" s="279">
        <f>[22]Brewhouse!$AI418</f>
        <v>51.5</v>
      </c>
      <c r="F23" s="278">
        <f>[22]Brewhouse!$V418</f>
        <v>61</v>
      </c>
      <c r="G23" s="279">
        <f>[22]Brewhouse!$AG418</f>
        <v>11.6</v>
      </c>
      <c r="H23" s="396">
        <v>11.8</v>
      </c>
      <c r="I23" s="368">
        <f>[22]Brewhouse!$AU418</f>
        <v>97.782920706629895</v>
      </c>
      <c r="J23" s="368">
        <f>[22]Brewhouse!$AV418</f>
        <v>99.529034311771113</v>
      </c>
      <c r="K23" s="281">
        <f>[22]Brewhouse!$Q418</f>
        <v>-1.2977099236641216</v>
      </c>
      <c r="L23" s="276">
        <f>[22]Brewhouse!$P418</f>
        <v>57</v>
      </c>
      <c r="M23" s="397">
        <f>[22]Brewhouse!$U418-[22]Brewhouse!$T418</f>
        <v>0.11111111111111105</v>
      </c>
      <c r="N23" s="370">
        <f>[22]Brewhouse!$Z418</f>
        <v>0.25138888888888883</v>
      </c>
      <c r="O23" s="371" t="str">
        <f>[22]Brewhouse!$AX418</f>
        <v>G. Mason</v>
      </c>
      <c r="P23" s="423"/>
      <c r="R23" s="277" t="str">
        <f t="shared" si="0"/>
        <v>CARIB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29" t="s">
        <v>6</v>
      </c>
      <c r="C24" s="366" t="str">
        <f>[22]Brewhouse!$A419</f>
        <v>CA314</v>
      </c>
      <c r="D24" s="279">
        <f>[22]Brewhouse!$AF419</f>
        <v>54.2</v>
      </c>
      <c r="E24" s="279">
        <f>[22]Brewhouse!$AI419</f>
        <v>50.8</v>
      </c>
      <c r="F24" s="278">
        <f>[22]Brewhouse!$V419</f>
        <v>64</v>
      </c>
      <c r="G24" s="279">
        <f>[22]Brewhouse!$AG419</f>
        <v>11.9</v>
      </c>
      <c r="H24" s="396">
        <v>11.8</v>
      </c>
      <c r="I24" s="368">
        <f>[22]Brewhouse!$AU419</f>
        <v>99.202738493744974</v>
      </c>
      <c r="J24" s="368">
        <f>[22]Brewhouse!$AV419</f>
        <v>100.97410910552793</v>
      </c>
      <c r="K24" s="281">
        <f>[22]Brewhouse!$Q419</f>
        <v>6.0530973451327466</v>
      </c>
      <c r="L24" s="276">
        <f>[22]Brewhouse!$P419</f>
        <v>57</v>
      </c>
      <c r="M24" s="397">
        <f>[22]Brewhouse!$U419-[22]Brewhouse!$T419</f>
        <v>0.1069444444444444</v>
      </c>
      <c r="N24" s="370">
        <f>[22]Brewhouse!$Z419</f>
        <v>0.24375000000000002</v>
      </c>
      <c r="O24" s="371" t="str">
        <f>[22]Brewhouse!$AX419</f>
        <v>K.Benjamin</v>
      </c>
      <c r="P24" s="423"/>
      <c r="R24" s="277" t="str">
        <f t="shared" si="0"/>
        <v>CARIB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29" t="s">
        <v>6</v>
      </c>
      <c r="C25" s="366" t="str">
        <f>[22]Brewhouse!$A420</f>
        <v>CA315</v>
      </c>
      <c r="D25" s="279">
        <f>[22]Brewhouse!$AF420</f>
        <v>55.3</v>
      </c>
      <c r="E25" s="279">
        <f>[22]Brewhouse!$AI420</f>
        <v>52</v>
      </c>
      <c r="F25" s="278">
        <f>[22]Brewhouse!$V420</f>
        <v>54</v>
      </c>
      <c r="G25" s="279">
        <f>[22]Brewhouse!$AG420</f>
        <v>11.7</v>
      </c>
      <c r="H25" s="396">
        <v>11.8</v>
      </c>
      <c r="I25" s="368">
        <f>[22]Brewhouse!$AU420</f>
        <v>98.938732278713488</v>
      </c>
      <c r="J25" s="368">
        <f>[22]Brewhouse!$AV420</f>
        <v>100.63317693616453</v>
      </c>
      <c r="K25" s="281">
        <f>[22]Brewhouse!$Q420</f>
        <v>4.822695035460991</v>
      </c>
      <c r="L25" s="276">
        <f>[22]Brewhouse!$P420</f>
        <v>58</v>
      </c>
      <c r="M25" s="397">
        <f>[22]Brewhouse!$U420-[22]Brewhouse!$T420</f>
        <v>0.10277777777777786</v>
      </c>
      <c r="N25" s="370">
        <f>[22]Brewhouse!$Z420</f>
        <v>0.24305555555555558</v>
      </c>
      <c r="O25" s="371" t="str">
        <f>[22]Brewhouse!$AX420</f>
        <v>K.Benjamin</v>
      </c>
      <c r="P25" s="423"/>
      <c r="R25" s="277" t="str">
        <f t="shared" si="0"/>
        <v>CARIB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29" t="s">
        <v>6</v>
      </c>
      <c r="C26" s="366" t="str">
        <f>[22]Brewhouse!$A421</f>
        <v>CA316</v>
      </c>
      <c r="D26" s="279">
        <f>[22]Brewhouse!$AF421</f>
        <v>54.4</v>
      </c>
      <c r="E26" s="279">
        <f>[22]Brewhouse!$AI421</f>
        <v>51.2</v>
      </c>
      <c r="F26" s="278">
        <f>[22]Brewhouse!$V421</f>
        <v>60</v>
      </c>
      <c r="G26" s="279">
        <f>[22]Brewhouse!$AG421</f>
        <v>11.8</v>
      </c>
      <c r="H26" s="396">
        <v>11.8</v>
      </c>
      <c r="I26" s="368">
        <f>[22]Brewhouse!$AU421</f>
        <v>95.251170553166219</v>
      </c>
      <c r="J26" s="368">
        <f>[22]Brewhouse!$AV421</f>
        <v>96.886931946904099</v>
      </c>
      <c r="K26" s="281">
        <f>[22]Brewhouse!$Q421</f>
        <v>4.822695035460991</v>
      </c>
      <c r="L26" s="276">
        <f>[22]Brewhouse!$P421</f>
        <v>59</v>
      </c>
      <c r="M26" s="397">
        <f>[22]Brewhouse!$U421-[22]Brewhouse!$T421</f>
        <v>0.1034722222222223</v>
      </c>
      <c r="N26" s="370">
        <f>[22]Brewhouse!$Z421</f>
        <v>0.24375000000000002</v>
      </c>
      <c r="O26" s="371" t="str">
        <f>[22]Brewhouse!$AX421</f>
        <v>K.Benjamin</v>
      </c>
      <c r="P26" s="423"/>
      <c r="R26" s="277" t="str">
        <f t="shared" si="0"/>
        <v>CARIB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29" t="s">
        <v>6</v>
      </c>
      <c r="C27" s="366" t="str">
        <f>[22]Brewhouse!$A422</f>
        <v>CA317</v>
      </c>
      <c r="D27" s="279">
        <f>[22]Brewhouse!$AF422</f>
        <v>53</v>
      </c>
      <c r="E27" s="279">
        <f>[22]Brewhouse!$AI422</f>
        <v>51.2</v>
      </c>
      <c r="F27" s="278">
        <f>[22]Brewhouse!$V422</f>
        <v>64</v>
      </c>
      <c r="G27" s="279">
        <f>[22]Brewhouse!$AG422</f>
        <v>11.8</v>
      </c>
      <c r="H27" s="396">
        <v>11.8</v>
      </c>
      <c r="I27" s="368">
        <f>[22]Brewhouse!$AU422</f>
        <v>98.855650959942864</v>
      </c>
      <c r="J27" s="368">
        <f>[22]Brewhouse!$AV422</f>
        <v>100.62101651408544</v>
      </c>
      <c r="K27" s="281">
        <f>[22]Brewhouse!$Q422</f>
        <v>7.7954144620811308</v>
      </c>
      <c r="L27" s="276">
        <f>[22]Brewhouse!$P422</f>
        <v>60</v>
      </c>
      <c r="M27" s="397">
        <f>[22]Brewhouse!$U422-[22]Brewhouse!$T422</f>
        <v>0.11041666666666661</v>
      </c>
      <c r="N27" s="370">
        <f>[22]Brewhouse!$Z422</f>
        <v>0.25208333333333321</v>
      </c>
      <c r="O27" s="371" t="str">
        <f>[22]Brewhouse!$AX422</f>
        <v>K.Benjamin</v>
      </c>
      <c r="P27" s="423"/>
      <c r="R27" s="277" t="str">
        <f t="shared" si="0"/>
        <v>CARIB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75" customHeight="1">
      <c r="B28" s="29" t="s">
        <v>6</v>
      </c>
      <c r="C28" s="366" t="str">
        <f>[22]Brewhouse!$A423</f>
        <v>CA318</v>
      </c>
      <c r="D28" s="279">
        <f>[22]Brewhouse!$AF423</f>
        <v>54</v>
      </c>
      <c r="E28" s="279">
        <f>[22]Brewhouse!$AI423</f>
        <v>51.1</v>
      </c>
      <c r="F28" s="278">
        <f>[22]Brewhouse!$V423</f>
        <v>58</v>
      </c>
      <c r="G28" s="279">
        <f>[22]Brewhouse!$AG423</f>
        <v>11.9</v>
      </c>
      <c r="H28" s="396">
        <v>11.9</v>
      </c>
      <c r="I28" s="368">
        <f>[22]Brewhouse!$AU423</f>
        <v>99.296756798842424</v>
      </c>
      <c r="J28" s="368">
        <f>[22]Brewhouse!$AV423</f>
        <v>101.07019209384551</v>
      </c>
      <c r="K28" s="281">
        <f>[22]Brewhouse!$Q423</f>
        <v>6.5263157894736832</v>
      </c>
      <c r="L28" s="276">
        <f>[22]Brewhouse!$P423</f>
        <v>58</v>
      </c>
      <c r="M28" s="397">
        <f>[22]Brewhouse!$U423-[22]Brewhouse!$T423</f>
        <v>0.11874999999999991</v>
      </c>
      <c r="N28" s="370">
        <f>[22]Brewhouse!$Z423</f>
        <v>0.24791666666666656</v>
      </c>
      <c r="O28" s="371" t="str">
        <f>[22]Brewhouse!$AX423</f>
        <v>K.Benjamin</v>
      </c>
      <c r="P28" s="423"/>
      <c r="R28" s="277" t="str">
        <f t="shared" si="0"/>
        <v>CARIB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3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2:26" ht="15.7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3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2:26" ht="15.75" customHeight="1">
      <c r="B31" s="29"/>
      <c r="C31" s="366"/>
      <c r="D31" s="279"/>
      <c r="E31" s="279"/>
      <c r="F31" s="278"/>
      <c r="G31" s="279"/>
      <c r="H31" s="396"/>
      <c r="I31" s="368"/>
      <c r="J31" s="368"/>
      <c r="K31" s="281"/>
      <c r="L31" s="276"/>
      <c r="M31" s="397"/>
      <c r="N31" s="370"/>
      <c r="O31" s="371"/>
      <c r="P31" s="423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2:26" ht="15.75" hidden="1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3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3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3"/>
      <c r="R34" s="277">
        <f t="shared" si="0"/>
        <v>0</v>
      </c>
      <c r="S34" s="296" t="e">
        <f t="shared" si="1"/>
        <v>#N/A</v>
      </c>
      <c r="T34" s="296" t="e">
        <f t="shared" si="2"/>
        <v>#N/A</v>
      </c>
      <c r="U34" s="297" t="e">
        <f t="shared" si="3"/>
        <v>#N/A</v>
      </c>
      <c r="V34" s="297" t="e">
        <f t="shared" si="4"/>
        <v>#N/A</v>
      </c>
      <c r="W34" s="297" t="e">
        <f t="shared" si="5"/>
        <v>#N/A</v>
      </c>
      <c r="X34" s="297" t="e">
        <f t="shared" si="6"/>
        <v>#N/A</v>
      </c>
      <c r="Y34" s="297" t="e">
        <f t="shared" si="7"/>
        <v>#N/A</v>
      </c>
      <c r="Z34" s="296" t="e">
        <f t="shared" si="8"/>
        <v>#N/A</v>
      </c>
    </row>
    <row r="35" spans="1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3"/>
      <c r="R35" s="277">
        <f t="shared" si="0"/>
        <v>0</v>
      </c>
      <c r="S35" s="296" t="e">
        <f t="shared" si="1"/>
        <v>#N/A</v>
      </c>
      <c r="T35" s="296" t="e">
        <f t="shared" si="2"/>
        <v>#N/A</v>
      </c>
      <c r="U35" s="297" t="e">
        <f t="shared" si="3"/>
        <v>#N/A</v>
      </c>
      <c r="V35" s="297" t="e">
        <f t="shared" si="4"/>
        <v>#N/A</v>
      </c>
      <c r="W35" s="297" t="e">
        <f t="shared" si="5"/>
        <v>#N/A</v>
      </c>
      <c r="X35" s="297" t="e">
        <f t="shared" si="6"/>
        <v>#N/A</v>
      </c>
      <c r="Y35" s="297" t="e">
        <f t="shared" si="7"/>
        <v>#N/A</v>
      </c>
      <c r="Z35" s="296" t="e">
        <f t="shared" si="8"/>
        <v>#N/A</v>
      </c>
    </row>
    <row r="36" spans="1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3"/>
      <c r="R36" s="277">
        <f t="shared" si="0"/>
        <v>0</v>
      </c>
      <c r="S36" s="296" t="e">
        <f t="shared" si="1"/>
        <v>#N/A</v>
      </c>
      <c r="T36" s="296" t="e">
        <f t="shared" si="2"/>
        <v>#N/A</v>
      </c>
      <c r="U36" s="297" t="e">
        <f t="shared" si="3"/>
        <v>#N/A</v>
      </c>
      <c r="V36" s="297" t="e">
        <f t="shared" si="4"/>
        <v>#N/A</v>
      </c>
      <c r="W36" s="297" t="e">
        <f t="shared" si="5"/>
        <v>#N/A</v>
      </c>
      <c r="X36" s="297" t="e">
        <f t="shared" si="6"/>
        <v>#N/A</v>
      </c>
      <c r="Y36" s="297" t="e">
        <f t="shared" si="7"/>
        <v>#N/A</v>
      </c>
      <c r="Z36" s="296" t="e">
        <f t="shared" si="8"/>
        <v>#N/A</v>
      </c>
    </row>
    <row r="37" spans="1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23"/>
      <c r="R37" s="277">
        <f t="shared" si="0"/>
        <v>0</v>
      </c>
      <c r="S37" s="296" t="e">
        <f t="shared" si="1"/>
        <v>#N/A</v>
      </c>
      <c r="T37" s="296" t="e">
        <f t="shared" si="2"/>
        <v>#N/A</v>
      </c>
      <c r="U37" s="297" t="e">
        <f t="shared" si="3"/>
        <v>#N/A</v>
      </c>
      <c r="V37" s="297" t="e">
        <f t="shared" si="4"/>
        <v>#N/A</v>
      </c>
      <c r="W37" s="297" t="e">
        <f t="shared" si="5"/>
        <v>#N/A</v>
      </c>
      <c r="X37" s="297" t="e">
        <f t="shared" si="6"/>
        <v>#N/A</v>
      </c>
      <c r="Y37" s="297" t="e">
        <f t="shared" si="7"/>
        <v>#N/A</v>
      </c>
      <c r="Z37" s="296" t="e">
        <f t="shared" si="8"/>
        <v>#N/A</v>
      </c>
    </row>
    <row r="38" spans="1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23"/>
      <c r="R38" s="277">
        <f t="shared" si="0"/>
        <v>0</v>
      </c>
      <c r="S38" s="296" t="e">
        <f t="shared" si="1"/>
        <v>#N/A</v>
      </c>
      <c r="T38" s="296" t="e">
        <f t="shared" si="2"/>
        <v>#N/A</v>
      </c>
      <c r="U38" s="297" t="e">
        <f t="shared" si="3"/>
        <v>#N/A</v>
      </c>
      <c r="V38" s="297" t="e">
        <f t="shared" si="4"/>
        <v>#N/A</v>
      </c>
      <c r="W38" s="297" t="e">
        <f t="shared" si="5"/>
        <v>#N/A</v>
      </c>
      <c r="X38" s="297" t="e">
        <f t="shared" si="6"/>
        <v>#N/A</v>
      </c>
      <c r="Y38" s="297" t="e">
        <f t="shared" si="7"/>
        <v>#N/A</v>
      </c>
      <c r="Z38" s="296" t="e">
        <f t="shared" si="8"/>
        <v>#N/A</v>
      </c>
    </row>
    <row r="39" spans="1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23"/>
      <c r="R39" s="277">
        <f t="shared" si="0"/>
        <v>0</v>
      </c>
      <c r="S39" s="296" t="e">
        <f t="shared" si="1"/>
        <v>#N/A</v>
      </c>
      <c r="T39" s="296" t="e">
        <f t="shared" si="2"/>
        <v>#N/A</v>
      </c>
      <c r="U39" s="297" t="e">
        <f t="shared" si="3"/>
        <v>#N/A</v>
      </c>
      <c r="V39" s="297" t="e">
        <f t="shared" si="4"/>
        <v>#N/A</v>
      </c>
      <c r="W39" s="297" t="e">
        <f t="shared" si="5"/>
        <v>#N/A</v>
      </c>
      <c r="X39" s="297" t="e">
        <f t="shared" si="6"/>
        <v>#N/A</v>
      </c>
      <c r="Y39" s="297" t="e">
        <f t="shared" si="7"/>
        <v>#N/A</v>
      </c>
      <c r="Z39" s="296" t="e">
        <f t="shared" si="8"/>
        <v>#N/A</v>
      </c>
    </row>
    <row r="40" spans="1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23"/>
      <c r="R40" s="277">
        <f t="shared" si="0"/>
        <v>0</v>
      </c>
      <c r="S40" s="296" t="e">
        <f t="shared" si="1"/>
        <v>#N/A</v>
      </c>
      <c r="T40" s="296" t="e">
        <f t="shared" si="2"/>
        <v>#N/A</v>
      </c>
      <c r="U40" s="297" t="e">
        <f t="shared" si="3"/>
        <v>#N/A</v>
      </c>
      <c r="V40" s="297" t="e">
        <f t="shared" si="4"/>
        <v>#N/A</v>
      </c>
      <c r="W40" s="297" t="e">
        <f t="shared" si="5"/>
        <v>#N/A</v>
      </c>
      <c r="X40" s="297" t="e">
        <f t="shared" si="6"/>
        <v>#N/A</v>
      </c>
      <c r="Y40" s="297" t="e">
        <f t="shared" si="7"/>
        <v>#N/A</v>
      </c>
      <c r="Z40" s="296" t="e">
        <f t="shared" si="8"/>
        <v>#N/A</v>
      </c>
    </row>
    <row r="41" spans="1:26" ht="15.75" hidden="1" customHeight="1">
      <c r="B41" s="33"/>
      <c r="C41" s="366"/>
      <c r="D41" s="279"/>
      <c r="E41" s="279"/>
      <c r="F41" s="278"/>
      <c r="G41" s="279"/>
      <c r="H41" s="396"/>
      <c r="I41" s="421"/>
      <c r="J41" s="398"/>
      <c r="K41" s="276"/>
      <c r="L41" s="374"/>
      <c r="M41" s="397"/>
      <c r="N41" s="370"/>
      <c r="O41" s="371"/>
      <c r="P41" s="423"/>
      <c r="R41" s="277">
        <f t="shared" si="0"/>
        <v>0</v>
      </c>
      <c r="S41" s="296" t="e">
        <f t="shared" si="1"/>
        <v>#N/A</v>
      </c>
      <c r="T41" s="296" t="e">
        <f t="shared" si="2"/>
        <v>#N/A</v>
      </c>
      <c r="U41" s="297" t="e">
        <f t="shared" si="3"/>
        <v>#N/A</v>
      </c>
      <c r="V41" s="297" t="e">
        <f t="shared" si="4"/>
        <v>#N/A</v>
      </c>
      <c r="W41" s="297" t="e">
        <f t="shared" si="5"/>
        <v>#N/A</v>
      </c>
      <c r="X41" s="297" t="e">
        <f t="shared" si="6"/>
        <v>#N/A</v>
      </c>
      <c r="Y41" s="297" t="e">
        <f t="shared" si="7"/>
        <v>#N/A</v>
      </c>
      <c r="Z41" s="296" t="e">
        <f t="shared" si="8"/>
        <v>#N/A</v>
      </c>
    </row>
    <row r="42" spans="1:26" ht="15.75" hidden="1" customHeight="1">
      <c r="B42" s="33"/>
      <c r="C42" s="366"/>
      <c r="D42" s="279"/>
      <c r="E42" s="279"/>
      <c r="F42" s="278"/>
      <c r="G42" s="279"/>
      <c r="H42" s="396"/>
      <c r="I42" s="421"/>
      <c r="J42" s="398"/>
      <c r="K42" s="276"/>
      <c r="L42" s="374"/>
      <c r="M42" s="397"/>
      <c r="N42" s="370"/>
      <c r="O42" s="371"/>
      <c r="P42" s="423"/>
      <c r="R42" s="277">
        <f t="shared" si="0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1:26" ht="15.75" hidden="1" customHeight="1">
      <c r="B43" s="33"/>
      <c r="C43" s="366"/>
      <c r="D43" s="279"/>
      <c r="E43" s="279"/>
      <c r="F43" s="278"/>
      <c r="G43" s="279"/>
      <c r="H43" s="396"/>
      <c r="I43" s="421"/>
      <c r="J43" s="398"/>
      <c r="K43" s="276"/>
      <c r="L43" s="374"/>
      <c r="M43" s="397"/>
      <c r="N43" s="370"/>
      <c r="O43" s="371"/>
      <c r="P43" s="423"/>
      <c r="R43" s="277">
        <f t="shared" si="0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1:26" ht="15.75" customHeight="1" thickBot="1">
      <c r="B44" s="358"/>
      <c r="C44" s="358"/>
      <c r="D44" s="358"/>
      <c r="E44" s="358"/>
      <c r="F44" s="294"/>
      <c r="G44" s="294"/>
      <c r="H44" s="348"/>
      <c r="I44" s="481" t="s">
        <v>34</v>
      </c>
      <c r="J44" s="481"/>
      <c r="K44" s="481"/>
      <c r="L44" s="481"/>
      <c r="M44" s="481"/>
      <c r="N44" s="481"/>
      <c r="O44" s="1"/>
      <c r="P44" s="12"/>
      <c r="R44" s="277">
        <f t="shared" si="0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1:26" ht="15" thickBot="1">
      <c r="B45" s="388" t="s">
        <v>145</v>
      </c>
      <c r="C45" s="388"/>
      <c r="D45" s="494" t="s">
        <v>35</v>
      </c>
      <c r="E45" s="495"/>
      <c r="F45" s="294"/>
      <c r="G45" s="294"/>
      <c r="H45" s="348"/>
      <c r="I45" s="24" t="s">
        <v>17</v>
      </c>
      <c r="J45" s="25" t="s">
        <v>36</v>
      </c>
      <c r="K45" s="26" t="s">
        <v>138</v>
      </c>
      <c r="L45" s="25" t="s">
        <v>37</v>
      </c>
      <c r="M45" s="25" t="s">
        <v>38</v>
      </c>
      <c r="N45" s="27" t="s">
        <v>39</v>
      </c>
      <c r="O45" s="294"/>
      <c r="P45" s="12"/>
      <c r="R45" s="277"/>
      <c r="S45" s="296"/>
      <c r="T45" s="296"/>
      <c r="U45" s="297"/>
      <c r="V45" s="297"/>
      <c r="W45" s="297"/>
      <c r="X45" s="297"/>
      <c r="Y45" s="297"/>
      <c r="Z45" s="296"/>
    </row>
    <row r="46" spans="1:26" ht="15" customHeight="1">
      <c r="A46" s="28"/>
      <c r="B46" s="520"/>
      <c r="C46" s="362"/>
      <c r="D46" s="485"/>
      <c r="E46" s="474"/>
      <c r="F46" s="294"/>
      <c r="G46" s="294"/>
      <c r="H46" s="348"/>
      <c r="I46" s="29" t="s">
        <v>6</v>
      </c>
      <c r="J46" s="280">
        <f>AVERAGE(I11:I17,I20:I28)</f>
        <v>98.025342671915254</v>
      </c>
      <c r="K46" s="284">
        <f>COUNTA([22]Brewhouse!$A$408:$A$423)</f>
        <v>16</v>
      </c>
      <c r="L46" s="302">
        <f>AVERAGE([22]Brewhouse!$AU$408:$AU$423)</f>
        <v>98.025342671915254</v>
      </c>
      <c r="M46" s="302">
        <f>AVERAGE([22]Brewhouse!$AU$102:$AU$171,[22]Brewhouse!$AU$173:$AU$253,[22]Brewhouse!$AU$255:$AU$339,[22]Brewhouse!$AU$341:$AU$346,[22]Brewhouse!$AU$348,[22]Brewhouse!$AU$349:$AU$406)</f>
        <v>97.396136213531847</v>
      </c>
      <c r="N46" s="3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</row>
    <row r="47" spans="1:26" ht="15" customHeight="1">
      <c r="A47" s="28"/>
      <c r="B47" s="521"/>
      <c r="C47" s="349"/>
      <c r="D47" s="486"/>
      <c r="E47" s="469"/>
      <c r="F47" s="294"/>
      <c r="G47" s="294"/>
      <c r="H47" s="348"/>
      <c r="I47" s="33" t="s">
        <v>9</v>
      </c>
      <c r="J47" s="280"/>
      <c r="K47" s="284"/>
      <c r="L47" s="302"/>
      <c r="M47" s="302">
        <f>AVERAGE([23]Brewhouse!$AS$15:$AS$64,[23]Brewhouse!$AS$66:$AS$103,[23]Brewhouse!$AS$105:$AS$140,[23]Brewhouse!$AS$142:$AS$193)</f>
        <v>97.449063702526615</v>
      </c>
      <c r="N47" s="30">
        <v>98</v>
      </c>
      <c r="O47" s="11"/>
      <c r="P47" s="31"/>
      <c r="R47" s="277"/>
      <c r="S47" s="296"/>
      <c r="T47" s="296"/>
      <c r="U47" s="297"/>
      <c r="V47" s="297"/>
      <c r="W47" s="297"/>
      <c r="X47" s="297"/>
      <c r="Y47" s="297"/>
      <c r="Z47" s="296"/>
    </row>
    <row r="48" spans="1:26" ht="14.7" customHeight="1">
      <c r="A48" s="28"/>
      <c r="B48" s="521"/>
      <c r="C48" s="349"/>
      <c r="D48" s="485"/>
      <c r="E48" s="474"/>
      <c r="F48" s="294"/>
      <c r="G48" s="294"/>
      <c r="H48" s="348"/>
      <c r="I48" s="34" t="s">
        <v>12</v>
      </c>
      <c r="J48" s="280"/>
      <c r="K48" s="284"/>
      <c r="L48" s="302"/>
      <c r="M48" s="302">
        <f>AVERAGE([24]Brewhouse!$AU$4:$AU$7,[24]Brewhouse!$AU$9:$AU$22,[24]Brewhouse!$AU$24:$AU$35,[24]Brewhouse!$AU$37:$AU$45)</f>
        <v>97.086748546217066</v>
      </c>
      <c r="N48" s="30">
        <v>98</v>
      </c>
      <c r="O48" s="11"/>
      <c r="P48" s="31"/>
      <c r="R48" s="277"/>
      <c r="S48" s="296"/>
      <c r="T48" s="296"/>
      <c r="U48" s="297"/>
      <c r="V48" s="297"/>
      <c r="W48" s="297"/>
      <c r="X48" s="297"/>
      <c r="Y48" s="297"/>
      <c r="Z48" s="296"/>
    </row>
    <row r="49" spans="1:56" ht="14.7" customHeight="1">
      <c r="A49" s="28"/>
      <c r="B49" s="521"/>
      <c r="C49" s="349"/>
      <c r="D49" s="486"/>
      <c r="E49" s="469"/>
      <c r="F49" s="294"/>
      <c r="G49" s="294"/>
      <c r="H49" s="348"/>
      <c r="I49" s="22" t="s">
        <v>33</v>
      </c>
      <c r="J49" s="280"/>
      <c r="K49" s="284"/>
      <c r="L49" s="302"/>
      <c r="M49" s="302">
        <f>AVERAGE([25]Brewhouse!$AV$5:$AV$14,[25]Brewhouse!$AV$16:$AV$19,[25]Brewhouse!$AV$21:$AV$24,[25]Brewhouse!$AV$26:$AV$33)</f>
        <v>98.921974778040592</v>
      </c>
      <c r="N49" s="30">
        <v>98</v>
      </c>
      <c r="O49" s="11"/>
      <c r="P49" s="31"/>
      <c r="R49" s="277"/>
      <c r="S49" s="296"/>
      <c r="T49" s="296"/>
      <c r="U49" s="297"/>
      <c r="V49" s="297"/>
      <c r="W49" s="297"/>
      <c r="X49" s="297"/>
      <c r="Y49" s="297"/>
      <c r="Z49" s="296"/>
      <c r="AA49" s="296"/>
    </row>
    <row r="50" spans="1:56" ht="14.7" customHeight="1">
      <c r="A50" s="28"/>
      <c r="B50" s="521"/>
      <c r="C50" s="349"/>
      <c r="D50" s="485"/>
      <c r="E50" s="474"/>
      <c r="F50" s="422"/>
      <c r="G50" s="294"/>
      <c r="H50" s="348"/>
      <c r="I50" s="35" t="s">
        <v>29</v>
      </c>
      <c r="J50" s="280"/>
      <c r="K50" s="284"/>
      <c r="L50" s="302"/>
      <c r="M50" s="302"/>
      <c r="N50" s="30">
        <v>98</v>
      </c>
      <c r="O50" s="11"/>
      <c r="P50" s="31"/>
      <c r="R50" s="277"/>
      <c r="S50" s="296"/>
      <c r="T50" s="296"/>
      <c r="U50" s="297"/>
      <c r="V50" s="297"/>
      <c r="W50" s="297"/>
      <c r="X50" s="297"/>
      <c r="Y50" s="297"/>
      <c r="Z50" s="296"/>
      <c r="AA50" s="296"/>
    </row>
    <row r="51" spans="1:56" ht="14.7" customHeight="1">
      <c r="A51" s="28"/>
      <c r="B51" s="521"/>
      <c r="C51" s="349"/>
      <c r="D51" s="486"/>
      <c r="E51" s="469"/>
      <c r="F51" s="422"/>
      <c r="G51" s="294"/>
      <c r="H51" s="348"/>
      <c r="I51" s="36" t="s">
        <v>15</v>
      </c>
      <c r="J51" s="323"/>
      <c r="K51" s="284"/>
      <c r="L51" s="302"/>
      <c r="M51" s="302">
        <f>AVERAGE([26]Brewhouse!$AT$4:$AT$11,[26]Brewhouse!$AT$13:$AT$16)</f>
        <v>95.165309917257005</v>
      </c>
      <c r="N51" s="30">
        <v>98</v>
      </c>
      <c r="O51" s="11"/>
      <c r="P51" s="31"/>
      <c r="R51" s="277"/>
      <c r="S51" s="296"/>
      <c r="T51" s="296"/>
      <c r="U51" s="297"/>
      <c r="V51" s="297"/>
      <c r="W51" s="297"/>
      <c r="X51" s="297"/>
      <c r="Y51" s="297"/>
      <c r="Z51" s="296"/>
      <c r="AA51" s="296"/>
    </row>
    <row r="52" spans="1:56" ht="14.7" customHeight="1">
      <c r="A52" s="28"/>
      <c r="B52" s="521"/>
      <c r="C52" s="349"/>
      <c r="D52" s="485"/>
      <c r="E52" s="474"/>
      <c r="F52" s="422"/>
      <c r="G52" s="294"/>
      <c r="H52" s="348"/>
      <c r="I52" s="37" t="s">
        <v>16</v>
      </c>
      <c r="J52" s="323"/>
      <c r="K52" s="284"/>
      <c r="L52" s="302"/>
      <c r="M52" s="302">
        <f>AVERAGE([27]Brewhouse!$AY$6:$AY$13,[27]Brewhouse!$AY$15:$AY$20,[27]Brewhouse!$AY$22:$AY$29,[27]Brewhouse!$AY$31:$AY$34)</f>
        <v>96.120888038911147</v>
      </c>
      <c r="N52" s="30">
        <v>98</v>
      </c>
      <c r="O52" s="11"/>
      <c r="P52" s="31" t="s">
        <v>41</v>
      </c>
      <c r="R52" s="277"/>
      <c r="S52" s="296"/>
      <c r="T52" s="296"/>
      <c r="U52" s="297"/>
      <c r="V52" s="297"/>
      <c r="W52" s="297"/>
      <c r="X52" s="297"/>
      <c r="Y52" s="297"/>
      <c r="Z52" s="296"/>
      <c r="AA52" s="296"/>
    </row>
    <row r="53" spans="1:56" ht="14.7" customHeight="1">
      <c r="A53" s="28"/>
      <c r="B53" s="521"/>
      <c r="C53" s="349"/>
      <c r="D53" s="486"/>
      <c r="E53" s="469"/>
      <c r="F53" s="294"/>
      <c r="G53" s="294"/>
      <c r="H53" s="348"/>
      <c r="I53" s="412" t="s">
        <v>158</v>
      </c>
      <c r="J53" s="326"/>
      <c r="K53" s="284"/>
      <c r="L53" s="305"/>
      <c r="M53" s="305">
        <f>AVERAGE([28]Brewhouse!$AU$5:$AU$8)</f>
        <v>91.006888337619571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  <c r="AA53" s="296"/>
    </row>
    <row r="54" spans="1:56" ht="14.7" customHeight="1">
      <c r="A54" s="28"/>
      <c r="B54" s="521"/>
      <c r="C54" s="349"/>
      <c r="D54" s="485"/>
      <c r="E54" s="474"/>
      <c r="F54" s="294"/>
      <c r="G54" s="294"/>
      <c r="H54" s="348"/>
      <c r="I54" s="411" t="s">
        <v>157</v>
      </c>
      <c r="J54" s="326"/>
      <c r="K54" s="284"/>
      <c r="L54" s="305"/>
      <c r="M54" s="305"/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  <c r="AA54" s="296"/>
    </row>
    <row r="55" spans="1:56" ht="15" customHeight="1" thickBot="1">
      <c r="A55" s="28"/>
      <c r="B55" s="521"/>
      <c r="C55" s="349"/>
      <c r="D55" s="486"/>
      <c r="E55" s="469"/>
      <c r="F55" s="294"/>
      <c r="G55" s="294"/>
      <c r="H55" s="348"/>
      <c r="I55" s="407" t="s">
        <v>156</v>
      </c>
      <c r="J55" s="327"/>
      <c r="K55" s="408"/>
      <c r="L55" s="409"/>
      <c r="M55" s="409"/>
      <c r="N55" s="41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  <c r="AA55" s="296"/>
    </row>
    <row r="56" spans="1:56" ht="15" customHeight="1" thickBot="1">
      <c r="A56" s="28"/>
      <c r="B56" s="521"/>
      <c r="C56" s="349"/>
      <c r="D56" s="485"/>
      <c r="E56" s="474"/>
      <c r="F56" s="294"/>
      <c r="G56" s="294"/>
      <c r="H56" s="348"/>
      <c r="I56" s="1"/>
      <c r="J56" s="39"/>
      <c r="K56" s="405">
        <f>SUM(K46:K55)</f>
        <v>16</v>
      </c>
      <c r="L56" s="406">
        <f>((L46*K46)+(L47*K47)+(L48*K48)+(L49*K49)+(L50*K50)+(K53*L53)+(L51*K51)+(L52*K52)+(L55*K55))/(K56)</f>
        <v>98.025342671915254</v>
      </c>
      <c r="M56" s="406">
        <f>AVERAGE('[29]Jan 31st'!$L$65,'[30]Feb 28th'!$L$35,'[31]Mar. 31st'!$L$35,L56)</f>
        <v>97.04763978578714</v>
      </c>
      <c r="N56" s="4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56" ht="15" thickBot="1">
      <c r="B57" s="522"/>
      <c r="C57" s="350"/>
      <c r="D57" s="486"/>
      <c r="E57" s="469"/>
      <c r="F57" s="294"/>
      <c r="G57" s="42"/>
      <c r="H57" s="41"/>
      <c r="I57" s="42"/>
      <c r="J57" s="42"/>
      <c r="K57" s="351"/>
      <c r="L57" s="348"/>
      <c r="M57" s="348"/>
      <c r="N57" s="11"/>
      <c r="O57" s="294"/>
      <c r="P57" s="12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56" ht="15" thickBot="1">
      <c r="B58" s="516"/>
      <c r="C58" s="362"/>
      <c r="D58" s="466"/>
      <c r="E58" s="467"/>
      <c r="F58" s="294"/>
      <c r="G58" s="42"/>
      <c r="H58" s="41"/>
      <c r="I58" s="42"/>
      <c r="J58" s="519" t="s">
        <v>129</v>
      </c>
      <c r="K58" s="519"/>
      <c r="L58" s="294"/>
      <c r="M58" s="294"/>
      <c r="N58" s="294"/>
      <c r="O58" s="294"/>
      <c r="P58" s="12"/>
    </row>
    <row r="59" spans="1:56" ht="13.5" customHeight="1" thickBot="1">
      <c r="B59" s="517"/>
      <c r="C59" s="349"/>
      <c r="D59" s="468"/>
      <c r="E59" s="469"/>
      <c r="F59" s="294"/>
      <c r="G59" s="42"/>
      <c r="H59" s="41"/>
      <c r="I59" s="293" t="s">
        <v>168</v>
      </c>
      <c r="J59" s="292" t="s">
        <v>17</v>
      </c>
      <c r="K59" s="293" t="s">
        <v>167</v>
      </c>
      <c r="L59" s="471" t="s">
        <v>136</v>
      </c>
      <c r="M59" s="471"/>
      <c r="N59" s="472"/>
      <c r="O59" s="294"/>
      <c r="P59" s="12"/>
    </row>
    <row r="60" spans="1:56" ht="15" customHeight="1" thickBot="1">
      <c r="B60" s="517"/>
      <c r="C60" s="349"/>
      <c r="D60" s="473"/>
      <c r="E60" s="474"/>
      <c r="F60" s="294"/>
      <c r="G60" s="42"/>
      <c r="H60" s="41"/>
      <c r="I60" s="324">
        <v>9</v>
      </c>
      <c r="J60" s="287" t="s">
        <v>6</v>
      </c>
      <c r="K60" s="324">
        <v>7</v>
      </c>
      <c r="L60" s="343" t="s">
        <v>37</v>
      </c>
      <c r="M60" s="307" t="s">
        <v>38</v>
      </c>
      <c r="N60" s="307" t="s">
        <v>84</v>
      </c>
      <c r="O60" s="294"/>
      <c r="P60" s="12"/>
    </row>
    <row r="61" spans="1:56" ht="15.75" customHeight="1" thickBot="1">
      <c r="B61" s="517"/>
      <c r="C61" s="349"/>
      <c r="D61" s="468"/>
      <c r="E61" s="469"/>
      <c r="F61" s="294"/>
      <c r="G61" s="42"/>
      <c r="H61" s="41"/>
      <c r="I61" s="324"/>
      <c r="J61" s="345" t="s">
        <v>9</v>
      </c>
      <c r="K61" s="324"/>
      <c r="L61" s="344">
        <f>AVERAGE(K70,I70)</f>
        <v>8</v>
      </c>
      <c r="M61" s="325">
        <f>AVERAGE('[29]Jan 29th '!$M$70,'[30]Feb 28th'!$L$40,'[31]Mar. 31st'!$L$40,'[32]Apr. 30th'!$L$50,L61)</f>
        <v>6.7891543239369323</v>
      </c>
      <c r="N61" s="420">
        <v>9.1999999999999993</v>
      </c>
      <c r="O61" s="294"/>
      <c r="P61" s="12"/>
    </row>
    <row r="62" spans="1:56" ht="15" customHeight="1">
      <c r="B62" s="517"/>
      <c r="C62" s="349"/>
      <c r="D62" s="473"/>
      <c r="E62" s="474"/>
      <c r="F62" s="294"/>
      <c r="G62" s="42"/>
      <c r="H62" s="41"/>
      <c r="I62" s="324"/>
      <c r="J62" s="288" t="s">
        <v>40</v>
      </c>
      <c r="K62" s="324"/>
      <c r="L62" s="294"/>
      <c r="M62" s="294"/>
      <c r="N62" s="294"/>
      <c r="O62" s="294"/>
      <c r="P62" s="12"/>
    </row>
    <row r="63" spans="1:56" ht="15" customHeight="1">
      <c r="B63" s="517"/>
      <c r="C63" s="349"/>
      <c r="D63" s="468"/>
      <c r="E63" s="469"/>
      <c r="F63" s="294"/>
      <c r="G63" s="42"/>
      <c r="H63" s="41"/>
      <c r="I63" s="324"/>
      <c r="J63" s="289" t="s">
        <v>33</v>
      </c>
      <c r="K63" s="324"/>
      <c r="L63" s="294"/>
      <c r="M63" s="294"/>
      <c r="N63" s="294"/>
      <c r="O63" s="294"/>
      <c r="P63" s="12"/>
    </row>
    <row r="64" spans="1:56" ht="14.4">
      <c r="B64" s="517"/>
      <c r="C64" s="349"/>
      <c r="D64" s="473"/>
      <c r="E64" s="474"/>
      <c r="F64" s="294"/>
      <c r="G64" s="42"/>
      <c r="H64" s="41"/>
      <c r="I64" s="324"/>
      <c r="J64" s="290" t="s">
        <v>16</v>
      </c>
      <c r="K64" s="324"/>
      <c r="L64" s="294"/>
      <c r="M64" s="294"/>
      <c r="N64" s="294"/>
      <c r="O64" s="294"/>
      <c r="P64" s="12"/>
      <c r="BC64" s="44"/>
      <c r="BD64" s="44"/>
    </row>
    <row r="65" spans="2:57" ht="14.4">
      <c r="B65" s="517"/>
      <c r="C65" s="349"/>
      <c r="D65" s="468"/>
      <c r="E65" s="469"/>
      <c r="F65" s="294"/>
      <c r="G65" s="42"/>
      <c r="H65" s="41"/>
      <c r="I65" s="324"/>
      <c r="J65" s="291" t="s">
        <v>15</v>
      </c>
      <c r="K65" s="324"/>
      <c r="L65" s="294"/>
      <c r="M65" s="294"/>
      <c r="N65" s="294"/>
      <c r="O65" s="294"/>
      <c r="P65" s="12"/>
      <c r="BC65" s="44"/>
      <c r="BD65" s="44"/>
    </row>
    <row r="66" spans="2:57" ht="14.4">
      <c r="B66" s="517"/>
      <c r="C66" s="349"/>
      <c r="D66" s="475"/>
      <c r="E66" s="476"/>
      <c r="F66" s="294"/>
      <c r="G66" s="42"/>
      <c r="H66" s="41"/>
      <c r="I66" s="324"/>
      <c r="J66" s="291" t="s">
        <v>149</v>
      </c>
      <c r="K66" s="324"/>
      <c r="L66" s="294"/>
      <c r="M66" s="294"/>
      <c r="N66" s="294"/>
      <c r="O66" s="294"/>
      <c r="P66" s="12"/>
      <c r="BC66" s="44"/>
      <c r="BD66" s="44"/>
    </row>
    <row r="67" spans="2:57" ht="15" thickBot="1">
      <c r="B67" s="518"/>
      <c r="C67" s="350"/>
      <c r="D67" s="477"/>
      <c r="E67" s="478"/>
      <c r="F67" s="294"/>
      <c r="G67" s="42"/>
      <c r="H67" s="41"/>
      <c r="I67" s="324"/>
      <c r="J67" s="291" t="s">
        <v>148</v>
      </c>
      <c r="K67" s="324"/>
      <c r="L67" s="294"/>
      <c r="M67" s="294"/>
      <c r="N67" s="294"/>
      <c r="O67" s="294"/>
      <c r="P67" s="12"/>
      <c r="BC67" s="44"/>
      <c r="BD67" s="44"/>
    </row>
    <row r="68" spans="2:57" ht="17.7" customHeight="1" thickBot="1">
      <c r="B68" s="312" t="s">
        <v>139</v>
      </c>
      <c r="C68" s="313"/>
      <c r="D68" s="457" t="e">
        <f>AVERAGE(D46:E67)</f>
        <v>#DIV/0!</v>
      </c>
      <c r="E68" s="458"/>
      <c r="F68" s="294"/>
      <c r="G68" s="42"/>
      <c r="H68" s="41"/>
      <c r="I68" s="324"/>
      <c r="J68" s="295" t="s">
        <v>134</v>
      </c>
      <c r="K68" s="324"/>
      <c r="L68" s="294"/>
      <c r="M68" s="294"/>
      <c r="N68" s="294"/>
      <c r="O68" s="294"/>
      <c r="P68" s="12"/>
      <c r="BC68" s="44"/>
      <c r="BD68" s="44"/>
    </row>
    <row r="69" spans="2:57" ht="17.7" customHeight="1">
      <c r="B69" s="363"/>
      <c r="C69" s="364"/>
      <c r="D69" s="365"/>
      <c r="E69" s="365"/>
      <c r="F69" s="294"/>
      <c r="G69" s="42"/>
      <c r="H69" s="41"/>
      <c r="I69" s="324"/>
      <c r="J69" s="295" t="s">
        <v>131</v>
      </c>
      <c r="K69" s="324"/>
      <c r="L69" s="294"/>
      <c r="M69" s="294"/>
      <c r="N69" s="294"/>
      <c r="O69" s="294"/>
      <c r="P69" s="12"/>
      <c r="BC69" s="44"/>
      <c r="BD69" s="44"/>
    </row>
    <row r="70" spans="2:57" ht="15.75" customHeight="1">
      <c r="B70" s="45"/>
      <c r="C70" s="11"/>
      <c r="D70" s="11"/>
      <c r="E70" s="46"/>
      <c r="F70" s="294"/>
      <c r="G70" s="42"/>
      <c r="H70" s="41"/>
      <c r="I70" s="324">
        <f>SUM(I60:I69)</f>
        <v>9</v>
      </c>
      <c r="J70" s="346" t="s">
        <v>130</v>
      </c>
      <c r="K70" s="324">
        <f>SUM(K60:K69)</f>
        <v>7</v>
      </c>
      <c r="L70" s="294"/>
      <c r="M70" s="294"/>
      <c r="N70" s="294"/>
      <c r="O70" s="294"/>
      <c r="P70" s="12"/>
    </row>
    <row r="71" spans="2:57" ht="20.25" customHeight="1">
      <c r="B71" s="15" t="s">
        <v>42</v>
      </c>
      <c r="C71" s="1" t="s">
        <v>43</v>
      </c>
      <c r="D71" s="1"/>
      <c r="E71" s="1"/>
      <c r="F71" s="294"/>
      <c r="G71" s="42"/>
      <c r="H71" s="41"/>
      <c r="I71" s="42"/>
      <c r="L71" s="294"/>
      <c r="P71" s="334"/>
    </row>
    <row r="72" spans="2:57" ht="15" customHeight="1" thickBot="1"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8"/>
      <c r="O72" s="48"/>
      <c r="P72" s="49"/>
    </row>
    <row r="73" spans="2:57" ht="15" customHeight="1" thickBot="1">
      <c r="B73" s="447" t="s">
        <v>17</v>
      </c>
      <c r="C73" s="447" t="s">
        <v>44</v>
      </c>
      <c r="D73" s="459" t="s">
        <v>45</v>
      </c>
      <c r="E73" s="461" t="s">
        <v>46</v>
      </c>
      <c r="F73" s="455" t="s">
        <v>47</v>
      </c>
      <c r="G73" s="445" t="s">
        <v>48</v>
      </c>
      <c r="H73" s="447" t="s">
        <v>49</v>
      </c>
      <c r="I73" s="447" t="s">
        <v>50</v>
      </c>
      <c r="J73" s="439" t="s">
        <v>28</v>
      </c>
      <c r="K73" s="451" t="s">
        <v>51</v>
      </c>
      <c r="L73" s="453" t="s">
        <v>52</v>
      </c>
      <c r="M73" s="439" t="s">
        <v>53</v>
      </c>
      <c r="N73" s="13"/>
      <c r="O73" s="13"/>
      <c r="P73" s="50"/>
    </row>
    <row r="74" spans="2:57" ht="28.5" customHeight="1" thickTop="1" thickBot="1">
      <c r="B74" s="448"/>
      <c r="C74" s="448"/>
      <c r="D74" s="460"/>
      <c r="E74" s="462"/>
      <c r="F74" s="456"/>
      <c r="G74" s="446"/>
      <c r="H74" s="448"/>
      <c r="I74" s="448"/>
      <c r="J74" s="440"/>
      <c r="K74" s="452"/>
      <c r="L74" s="454"/>
      <c r="M74" s="440"/>
      <c r="N74" s="13"/>
      <c r="O74" s="13"/>
      <c r="P74" s="50"/>
      <c r="Q74" s="355"/>
      <c r="AB74" s="51">
        <v>43474</v>
      </c>
      <c r="AC74" s="51">
        <v>43475</v>
      </c>
      <c r="AD74" s="51">
        <v>43476</v>
      </c>
      <c r="AE74" s="51">
        <v>43477</v>
      </c>
      <c r="AF74" s="51">
        <v>43478</v>
      </c>
      <c r="AG74" s="51">
        <v>43479</v>
      </c>
      <c r="AH74" s="51">
        <v>43480</v>
      </c>
      <c r="AI74" s="51">
        <v>43481</v>
      </c>
      <c r="AJ74" s="51">
        <v>43482</v>
      </c>
      <c r="AK74" s="51">
        <v>43483</v>
      </c>
      <c r="AL74" s="51">
        <v>43484</v>
      </c>
      <c r="AM74" s="51">
        <v>43485</v>
      </c>
      <c r="AN74" s="51">
        <v>43486</v>
      </c>
      <c r="AO74" s="51">
        <v>43487</v>
      </c>
      <c r="AP74" s="51">
        <v>43488</v>
      </c>
      <c r="AQ74" s="51">
        <v>43489</v>
      </c>
      <c r="AR74" s="51">
        <v>43490</v>
      </c>
      <c r="AS74" s="51">
        <v>43491</v>
      </c>
      <c r="AT74" s="51">
        <v>43492</v>
      </c>
      <c r="AU74" s="51">
        <v>43493</v>
      </c>
      <c r="AV74" s="51">
        <v>43494</v>
      </c>
      <c r="AW74" s="51">
        <v>43495</v>
      </c>
      <c r="AX74" s="51">
        <v>43496</v>
      </c>
    </row>
    <row r="75" spans="2:57" s="54" customFormat="1" ht="43.5" hidden="1" customHeight="1">
      <c r="B75" s="415"/>
      <c r="C75" s="283"/>
      <c r="D75" s="279"/>
      <c r="E75" s="279"/>
      <c r="F75" s="279"/>
      <c r="G75" s="279"/>
      <c r="H75" s="320"/>
      <c r="I75" s="322"/>
      <c r="J75" s="427" t="s">
        <v>162</v>
      </c>
      <c r="K75" s="416"/>
      <c r="L75" s="314" t="e">
        <f>(((D75+E75)-G75)/(D75+E75))*100</f>
        <v>#DIV/0!</v>
      </c>
      <c r="M75" s="426"/>
      <c r="N75" s="13"/>
      <c r="O75" s="13"/>
      <c r="P75" s="50"/>
      <c r="R75" s="275"/>
      <c r="S75" s="275"/>
      <c r="T75" s="275"/>
      <c r="U75" s="275"/>
      <c r="V75" s="275"/>
      <c r="W75" s="275"/>
      <c r="X75" s="275"/>
      <c r="Y75" s="275"/>
      <c r="Z75" s="275"/>
      <c r="AA75" s="275"/>
      <c r="AB75" s="57" t="e">
        <f>[20]January_2019!L7</f>
        <v>#REF!</v>
      </c>
      <c r="AC75" s="57" t="e">
        <f>[20]January_2019!M7</f>
        <v>#REF!</v>
      </c>
      <c r="AD75" s="57" t="e">
        <f>[20]January_2019!N7</f>
        <v>#REF!</v>
      </c>
      <c r="AE75" s="57" t="e">
        <f>[20]January_2019!O7</f>
        <v>#REF!</v>
      </c>
      <c r="AF75" s="57" t="e">
        <f>[20]January_2019!P7</f>
        <v>#REF!</v>
      </c>
      <c r="AG75" s="57" t="e">
        <f>[20]January_2019!Q7</f>
        <v>#REF!</v>
      </c>
      <c r="AH75" s="57" t="e">
        <f>[20]January_2019!R7</f>
        <v>#REF!</v>
      </c>
      <c r="AI75" s="57" t="e">
        <f>[20]January_2019!S7</f>
        <v>#REF!</v>
      </c>
      <c r="AJ75" s="57" t="e">
        <f>[20]January_2019!T7</f>
        <v>#REF!</v>
      </c>
      <c r="AK75" s="57" t="e">
        <f>[20]January_2019!U7</f>
        <v>#REF!</v>
      </c>
      <c r="AL75" s="57" t="e">
        <f>[20]January_2019!V7</f>
        <v>#REF!</v>
      </c>
      <c r="AM75" s="57" t="e">
        <f>[20]January_2019!W7</f>
        <v>#REF!</v>
      </c>
      <c r="AN75" s="57" t="e">
        <f>[20]January_2019!X7</f>
        <v>#REF!</v>
      </c>
      <c r="AO75" s="57" t="e">
        <f>[20]January_2019!Y7</f>
        <v>#REF!</v>
      </c>
      <c r="AP75" s="57" t="e">
        <f>[20]January_2019!Z7</f>
        <v>#REF!</v>
      </c>
      <c r="AQ75" s="57" t="e">
        <f>[20]January_2019!AA7</f>
        <v>#REF!</v>
      </c>
      <c r="AR75" s="57" t="e">
        <f>[20]January_2019!AB7</f>
        <v>#REF!</v>
      </c>
      <c r="AS75" s="57" t="e">
        <f>[20]January_2019!AC7</f>
        <v>#REF!</v>
      </c>
      <c r="AT75" s="57" t="e">
        <f>[20]January_2019!AD7</f>
        <v>#REF!</v>
      </c>
      <c r="AU75" s="57" t="e">
        <f>[20]January_2019!AE7</f>
        <v>#REF!</v>
      </c>
      <c r="AV75" s="57" t="e">
        <f>[20]January_2019!AF7</f>
        <v>#REF!</v>
      </c>
      <c r="AW75" s="57" t="e">
        <f>[20]January_2019!AG7</f>
        <v>#REF!</v>
      </c>
      <c r="AX75" s="277" t="e">
        <f>[20]January_2019!AH7</f>
        <v>#REF!</v>
      </c>
      <c r="AY75" s="277"/>
      <c r="AZ75" s="277"/>
      <c r="BA75" s="277"/>
      <c r="BB75" s="277"/>
      <c r="BC75" s="277"/>
      <c r="BD75" s="277"/>
      <c r="BE75" s="277"/>
    </row>
    <row r="76" spans="2:57" s="54" customFormat="1" ht="10.5" hidden="1" customHeight="1" thickBot="1">
      <c r="B76" s="415"/>
      <c r="C76" s="283"/>
      <c r="D76" s="377"/>
      <c r="E76" s="378"/>
      <c r="F76" s="379"/>
      <c r="G76" s="303"/>
      <c r="H76" s="320"/>
      <c r="I76" s="322"/>
      <c r="J76" s="398"/>
      <c r="K76" s="286"/>
      <c r="L76" s="314"/>
      <c r="M76" s="419"/>
      <c r="N76" s="13"/>
      <c r="O76" s="13"/>
      <c r="P76" s="50"/>
      <c r="R76" s="275"/>
      <c r="S76" s="275"/>
      <c r="T76" s="275"/>
      <c r="U76" s="275"/>
      <c r="V76" s="275"/>
      <c r="W76" s="275"/>
      <c r="X76" s="275"/>
      <c r="Y76" s="275"/>
      <c r="Z76" s="275"/>
      <c r="AA76" s="275"/>
      <c r="AB76" s="418"/>
      <c r="AC76" s="418"/>
      <c r="AD76" s="418"/>
      <c r="AE76" s="418"/>
      <c r="AF76" s="418"/>
      <c r="AG76" s="418"/>
      <c r="AH76" s="418"/>
      <c r="AI76" s="418"/>
      <c r="AJ76" s="418"/>
      <c r="AK76" s="418"/>
      <c r="AL76" s="418"/>
      <c r="AM76" s="418"/>
      <c r="AN76" s="418"/>
      <c r="AO76" s="418"/>
      <c r="AP76" s="418"/>
      <c r="AQ76" s="418"/>
      <c r="AR76" s="418"/>
      <c r="AS76" s="418"/>
      <c r="AT76" s="418"/>
      <c r="AU76" s="418"/>
      <c r="AV76" s="418"/>
      <c r="AW76" s="418"/>
    </row>
    <row r="77" spans="2:57" s="54" customFormat="1" ht="39.75" hidden="1" customHeight="1">
      <c r="B77" s="425"/>
      <c r="C77" s="283"/>
      <c r="D77" s="377"/>
      <c r="E77" s="378"/>
      <c r="F77" s="379"/>
      <c r="G77" s="303"/>
      <c r="H77" s="320"/>
      <c r="I77" s="322"/>
      <c r="J77" s="427" t="s">
        <v>150</v>
      </c>
      <c r="K77" s="286"/>
      <c r="L77" s="314" t="e">
        <f>(((D77+E77)-G77)/(D77+E77))*100</f>
        <v>#DIV/0!</v>
      </c>
      <c r="M77" s="419"/>
      <c r="N77" s="13"/>
      <c r="O77" s="13"/>
      <c r="P77" s="50"/>
      <c r="R77" s="275"/>
      <c r="S77" s="275"/>
      <c r="T77" s="275"/>
      <c r="U77" s="275"/>
      <c r="V77" s="275"/>
      <c r="W77" s="275"/>
      <c r="X77" s="275"/>
      <c r="Y77" s="275"/>
      <c r="Z77" s="275"/>
      <c r="AA77" s="275"/>
      <c r="AB77" s="418"/>
      <c r="AC77" s="418"/>
      <c r="AD77" s="418"/>
      <c r="AE77" s="418"/>
      <c r="AF77" s="418"/>
      <c r="AG77" s="418"/>
      <c r="AH77" s="418"/>
      <c r="AI77" s="418"/>
      <c r="AJ77" s="418"/>
      <c r="AK77" s="418"/>
      <c r="AL77" s="418"/>
      <c r="AM77" s="418"/>
      <c r="AN77" s="418"/>
      <c r="AO77" s="418"/>
      <c r="AP77" s="418"/>
      <c r="AQ77" s="418"/>
      <c r="AR77" s="418"/>
      <c r="AS77" s="418"/>
      <c r="AT77" s="418"/>
      <c r="AU77" s="418"/>
      <c r="AV77" s="418"/>
      <c r="AW77" s="418"/>
    </row>
    <row r="78" spans="2:57" ht="18" customHeight="1" thickBot="1">
      <c r="B78" s="59"/>
      <c r="C78" s="309"/>
      <c r="D78" s="59"/>
      <c r="E78" s="59"/>
      <c r="F78" s="59"/>
      <c r="G78" s="59"/>
      <c r="H78" s="59"/>
      <c r="I78" s="59"/>
      <c r="J78" s="59"/>
      <c r="K78" s="59"/>
      <c r="L78" s="59"/>
      <c r="M78" s="59"/>
      <c r="N78" s="59"/>
      <c r="O78" s="56"/>
      <c r="P78" s="60"/>
    </row>
    <row r="79" spans="2:57" ht="14.4" thickBot="1">
      <c r="B79" s="441" t="s">
        <v>55</v>
      </c>
      <c r="C79" s="442"/>
      <c r="D79" s="442"/>
      <c r="E79" s="442"/>
      <c r="F79" s="443"/>
      <c r="G79" s="441" t="s">
        <v>56</v>
      </c>
      <c r="H79" s="442"/>
      <c r="I79" s="442"/>
      <c r="J79" s="443"/>
      <c r="K79" s="441" t="s">
        <v>51</v>
      </c>
      <c r="L79" s="442"/>
      <c r="M79" s="442"/>
      <c r="N79" s="444"/>
      <c r="O79" s="56"/>
      <c r="P79" s="50"/>
    </row>
    <row r="80" spans="2:57">
      <c r="B80" s="61" t="s">
        <v>17</v>
      </c>
      <c r="C80" s="62" t="s">
        <v>36</v>
      </c>
      <c r="D80" s="62" t="s">
        <v>37</v>
      </c>
      <c r="E80" s="62" t="s">
        <v>38</v>
      </c>
      <c r="F80" s="63" t="s">
        <v>39</v>
      </c>
      <c r="G80" s="62" t="s">
        <v>36</v>
      </c>
      <c r="H80" s="62" t="s">
        <v>37</v>
      </c>
      <c r="I80" s="62" t="s">
        <v>38</v>
      </c>
      <c r="J80" s="63" t="s">
        <v>39</v>
      </c>
      <c r="K80" s="62"/>
      <c r="L80" s="62" t="s">
        <v>37</v>
      </c>
      <c r="M80" s="62" t="s">
        <v>38</v>
      </c>
      <c r="N80" s="63" t="s">
        <v>39</v>
      </c>
      <c r="O80" s="56"/>
      <c r="P80" s="64"/>
    </row>
    <row r="81" spans="2:16">
      <c r="B81" s="29" t="s">
        <v>6</v>
      </c>
      <c r="C81" s="65"/>
      <c r="D81" s="76"/>
      <c r="E81" s="76">
        <v>7.2663164989303004</v>
      </c>
      <c r="F81" s="66">
        <v>4.8</v>
      </c>
      <c r="G81" s="65"/>
      <c r="H81" s="76"/>
      <c r="I81" s="76">
        <v>7.5478155120999437</v>
      </c>
      <c r="J81" s="66">
        <v>4.8</v>
      </c>
      <c r="K81" s="67"/>
      <c r="L81" s="194"/>
      <c r="M81" s="194">
        <v>0.75970500394081208</v>
      </c>
      <c r="N81" s="68">
        <v>1</v>
      </c>
      <c r="O81" s="56"/>
      <c r="P81" s="69"/>
    </row>
    <row r="82" spans="2:16">
      <c r="B82" s="33" t="s">
        <v>9</v>
      </c>
      <c r="C82" s="65"/>
      <c r="D82" s="76"/>
      <c r="E82" s="76">
        <v>6.1326235005825733</v>
      </c>
      <c r="F82" s="66">
        <v>4.8</v>
      </c>
      <c r="G82" s="65"/>
      <c r="H82" s="76"/>
      <c r="I82" s="76">
        <v>6.6012405294716094</v>
      </c>
      <c r="J82" s="66">
        <v>4.8</v>
      </c>
      <c r="K82" s="67"/>
      <c r="L82" s="194"/>
      <c r="M82" s="194">
        <v>0.75323691521525205</v>
      </c>
      <c r="N82" s="68">
        <v>1</v>
      </c>
      <c r="P82" s="69"/>
    </row>
    <row r="83" spans="2:16">
      <c r="B83" s="34" t="s">
        <v>40</v>
      </c>
      <c r="C83" s="65"/>
      <c r="D83" s="76"/>
      <c r="E83" s="76">
        <v>12.554572931825788</v>
      </c>
      <c r="F83" s="66">
        <v>5.5</v>
      </c>
      <c r="G83" s="65"/>
      <c r="H83" s="76"/>
      <c r="I83" s="76">
        <v>13.449891307585697</v>
      </c>
      <c r="J83" s="66">
        <v>5.5</v>
      </c>
      <c r="K83" s="67"/>
      <c r="L83" s="194"/>
      <c r="M83" s="194">
        <v>0.54554653679653675</v>
      </c>
      <c r="N83" s="68">
        <v>1</v>
      </c>
      <c r="P83" s="69"/>
    </row>
    <row r="84" spans="2:16">
      <c r="B84" s="22" t="s">
        <v>33</v>
      </c>
      <c r="C84" s="65"/>
      <c r="D84" s="76"/>
      <c r="E84" s="76">
        <v>2.2218158544390558</v>
      </c>
      <c r="F84" s="66">
        <v>3.3</v>
      </c>
      <c r="G84" s="65"/>
      <c r="H84" s="76"/>
      <c r="I84" s="76">
        <v>5.0359151649923692</v>
      </c>
      <c r="J84" s="66">
        <v>3.3</v>
      </c>
      <c r="K84" s="67"/>
      <c r="L84" s="194"/>
      <c r="M84" s="194">
        <v>0.87880701754385959</v>
      </c>
      <c r="N84" s="68">
        <v>1</v>
      </c>
      <c r="P84" s="69"/>
    </row>
    <row r="85" spans="2:16">
      <c r="B85" s="35" t="s">
        <v>29</v>
      </c>
      <c r="C85" s="65"/>
      <c r="D85" s="76"/>
      <c r="E85" s="76"/>
      <c r="F85" s="66">
        <v>3.3</v>
      </c>
      <c r="G85" s="282"/>
      <c r="H85" s="76"/>
      <c r="I85" s="76"/>
      <c r="J85" s="66">
        <v>3</v>
      </c>
      <c r="L85" s="194"/>
      <c r="M85" s="194"/>
      <c r="N85" s="68">
        <v>1</v>
      </c>
      <c r="P85" s="69"/>
    </row>
    <row r="86" spans="2:16">
      <c r="B86" s="36" t="s">
        <v>15</v>
      </c>
      <c r="C86" s="282"/>
      <c r="D86" s="76"/>
      <c r="E86" s="76">
        <v>7.8262258425171876</v>
      </c>
      <c r="F86" s="70">
        <f>[21]May_2022!$M$43</f>
        <v>3.4878406700073312</v>
      </c>
      <c r="G86" s="282"/>
      <c r="H86" s="76"/>
      <c r="I86" s="76">
        <v>9.4300678869947632</v>
      </c>
      <c r="J86" s="66">
        <v>5.5</v>
      </c>
      <c r="K86" s="67"/>
      <c r="L86" s="194"/>
      <c r="M86" s="194">
        <v>0.674970760233918</v>
      </c>
      <c r="N86" s="68">
        <v>1</v>
      </c>
      <c r="P86" s="69"/>
    </row>
    <row r="87" spans="2:16">
      <c r="B87" s="37" t="s">
        <v>16</v>
      </c>
      <c r="C87" s="65"/>
      <c r="D87" s="76"/>
      <c r="E87" s="76">
        <v>1.85607294041028</v>
      </c>
      <c r="F87" s="66">
        <v>3.3</v>
      </c>
      <c r="G87" s="282"/>
      <c r="H87" s="76"/>
      <c r="I87" s="76">
        <v>4.5764571827076486</v>
      </c>
      <c r="J87" s="66">
        <v>3.3</v>
      </c>
      <c r="K87" s="67"/>
      <c r="L87" s="194"/>
      <c r="M87" s="194">
        <v>0.83594855305466242</v>
      </c>
      <c r="N87" s="71">
        <v>1</v>
      </c>
      <c r="P87" s="69"/>
    </row>
    <row r="88" spans="2:16" ht="14.4" thickBot="1">
      <c r="B88" s="38" t="s">
        <v>127</v>
      </c>
      <c r="C88" s="65"/>
      <c r="D88" s="76"/>
      <c r="E88" s="76"/>
      <c r="F88" s="66">
        <v>7.5</v>
      </c>
      <c r="G88" s="282"/>
      <c r="H88" s="76"/>
      <c r="I88" s="76"/>
      <c r="J88" s="66">
        <v>7.5</v>
      </c>
      <c r="K88" s="67"/>
      <c r="L88" s="194"/>
      <c r="M88" s="194"/>
      <c r="N88" s="71">
        <v>1</v>
      </c>
      <c r="P88" s="69"/>
    </row>
    <row r="89" spans="2:16" ht="14.4" thickBot="1">
      <c r="B89" s="417" t="s">
        <v>161</v>
      </c>
      <c r="C89" s="65"/>
      <c r="D89" s="76"/>
      <c r="E89" s="76">
        <v>4.8792508624938291</v>
      </c>
      <c r="F89" s="66">
        <v>4.8</v>
      </c>
      <c r="G89" s="282"/>
      <c r="H89" s="76"/>
      <c r="I89" s="76">
        <v>6.2003723782925313</v>
      </c>
      <c r="J89" s="66">
        <v>4.8</v>
      </c>
      <c r="K89" s="67"/>
      <c r="L89" s="194"/>
      <c r="M89" s="194">
        <v>0.33859649122807017</v>
      </c>
      <c r="N89" s="71">
        <v>1</v>
      </c>
      <c r="O89" s="74"/>
      <c r="P89" s="75"/>
    </row>
    <row r="90" spans="2:16">
      <c r="D90" s="76"/>
      <c r="E90" s="76">
        <v>6.9068713416994987</v>
      </c>
      <c r="F90" s="341">
        <v>5.5</v>
      </c>
      <c r="H90" s="76"/>
      <c r="I90" s="76">
        <v>7.7100567550473089</v>
      </c>
      <c r="J90" s="341">
        <v>5.5</v>
      </c>
      <c r="K90" s="67"/>
      <c r="L90" s="194"/>
      <c r="M90" s="194">
        <v>0.73915991066443321</v>
      </c>
      <c r="N90" s="386">
        <v>1</v>
      </c>
    </row>
    <row r="94" spans="2:16">
      <c r="F94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44:N44"/>
    <mergeCell ref="D45:E45"/>
    <mergeCell ref="B46:B57"/>
    <mergeCell ref="D46:E47"/>
    <mergeCell ref="D48:E49"/>
    <mergeCell ref="D50:E51"/>
    <mergeCell ref="D52:E53"/>
    <mergeCell ref="D54:E55"/>
    <mergeCell ref="D56:E57"/>
    <mergeCell ref="B58:B67"/>
    <mergeCell ref="D58:E59"/>
    <mergeCell ref="J58:K58"/>
    <mergeCell ref="L59:N59"/>
    <mergeCell ref="D60:E61"/>
    <mergeCell ref="D62:E63"/>
    <mergeCell ref="D64:E65"/>
    <mergeCell ref="D66:E67"/>
    <mergeCell ref="D68:E68"/>
    <mergeCell ref="B73:B74"/>
    <mergeCell ref="C73:C74"/>
    <mergeCell ref="D73:D74"/>
    <mergeCell ref="E73:E74"/>
    <mergeCell ref="M73:M74"/>
    <mergeCell ref="B79:F79"/>
    <mergeCell ref="G79:J79"/>
    <mergeCell ref="K79:N79"/>
    <mergeCell ref="G73:G74"/>
    <mergeCell ref="H73:H74"/>
    <mergeCell ref="I73:I74"/>
    <mergeCell ref="J73:J74"/>
    <mergeCell ref="K73:K74"/>
    <mergeCell ref="L73:L74"/>
    <mergeCell ref="F73:F74"/>
  </mergeCells>
  <conditionalFormatting sqref="B68:B69">
    <cfRule type="cellIs" dxfId="2352" priority="93" operator="notBetween">
      <formula>#REF!</formula>
      <formula>#REF!</formula>
    </cfRule>
  </conditionalFormatting>
  <conditionalFormatting sqref="C72">
    <cfRule type="cellIs" dxfId="2351" priority="125" stopIfTrue="1" operator="greaterThan">
      <formula>100</formula>
    </cfRule>
    <cfRule type="cellIs" dxfId="2350" priority="124" stopIfTrue="1" operator="lessThan">
      <formula>96</formula>
    </cfRule>
  </conditionalFormatting>
  <conditionalFormatting sqref="C81:C82">
    <cfRule type="cellIs" dxfId="2349" priority="69" stopIfTrue="1" operator="lessThanOrEqual">
      <formula>0</formula>
    </cfRule>
  </conditionalFormatting>
  <conditionalFormatting sqref="C81:C85">
    <cfRule type="cellIs" dxfId="2348" priority="68" stopIfTrue="1" operator="greaterThan">
      <formula>$F81</formula>
    </cfRule>
  </conditionalFormatting>
  <conditionalFormatting sqref="C82">
    <cfRule type="cellIs" dxfId="2347" priority="128" stopIfTrue="1" operator="greaterThan">
      <formula>$F81</formula>
    </cfRule>
  </conditionalFormatting>
  <conditionalFormatting sqref="C83:C86">
    <cfRule type="cellIs" dxfId="2346" priority="77" stopIfTrue="1" operator="lessThanOrEqual">
      <formula>0</formula>
    </cfRule>
  </conditionalFormatting>
  <conditionalFormatting sqref="C86">
    <cfRule type="cellIs" dxfId="2345" priority="76" stopIfTrue="1" operator="greaterThan">
      <formula>$J86</formula>
    </cfRule>
  </conditionalFormatting>
  <conditionalFormatting sqref="C92:C96">
    <cfRule type="cellIs" dxfId="2344" priority="116" stopIfTrue="1" operator="lessThanOrEqual">
      <formula>0</formula>
    </cfRule>
  </conditionalFormatting>
  <conditionalFormatting sqref="C93:C96">
    <cfRule type="cellIs" dxfId="2343" priority="115" stopIfTrue="1" operator="greaterThan">
      <formula>$F$92</formula>
    </cfRule>
  </conditionalFormatting>
  <conditionalFormatting sqref="C98">
    <cfRule type="cellIs" dxfId="2342" priority="117" stopIfTrue="1" operator="greaterThan">
      <formula>$F$92</formula>
    </cfRule>
    <cfRule type="cellIs" dxfId="2341" priority="118" stopIfTrue="1" operator="lessThanOrEqual">
      <formula>0</formula>
    </cfRule>
  </conditionalFormatting>
  <conditionalFormatting sqref="C92:D92 D94:D100">
    <cfRule type="cellIs" dxfId="2340" priority="110" stopIfTrue="1" operator="greaterThan">
      <formula>4.5</formula>
    </cfRule>
  </conditionalFormatting>
  <conditionalFormatting sqref="D68:D69">
    <cfRule type="cellIs" dxfId="2339" priority="94" operator="notBetween">
      <formula>#REF!</formula>
      <formula>#REF!</formula>
    </cfRule>
  </conditionalFormatting>
  <conditionalFormatting sqref="D81:D88">
    <cfRule type="cellIs" dxfId="2338" priority="87" stopIfTrue="1" operator="lessThanOrEqual">
      <formula>0</formula>
    </cfRule>
  </conditionalFormatting>
  <conditionalFormatting sqref="D89">
    <cfRule type="cellIs" dxfId="2337" priority="86" stopIfTrue="1" operator="lessThanOrEqual">
      <formula>0</formula>
    </cfRule>
  </conditionalFormatting>
  <conditionalFormatting sqref="D92 D94:D100">
    <cfRule type="cellIs" dxfId="2336" priority="111" stopIfTrue="1" operator="lessThanOrEqual">
      <formula>0</formula>
    </cfRule>
  </conditionalFormatting>
  <conditionalFormatting sqref="D93">
    <cfRule type="cellIs" dxfId="2335" priority="103" stopIfTrue="1" operator="lessThanOrEqual">
      <formula>0</formula>
    </cfRule>
    <cfRule type="cellIs" dxfId="2334" priority="102" stopIfTrue="1" operator="greaterThan">
      <formula>$F$92</formula>
    </cfRule>
  </conditionalFormatting>
  <conditionalFormatting sqref="D81:E90">
    <cfRule type="cellIs" dxfId="2333" priority="65" stopIfTrue="1" operator="greaterThan">
      <formula>$F81</formula>
    </cfRule>
  </conditionalFormatting>
  <conditionalFormatting sqref="D90:E90">
    <cfRule type="cellIs" dxfId="2332" priority="66" stopIfTrue="1" operator="lessThanOrEqual">
      <formula>0</formula>
    </cfRule>
  </conditionalFormatting>
  <conditionalFormatting sqref="E10:E43">
    <cfRule type="cellIs" dxfId="2331" priority="4" operator="lessThan">
      <formula>48</formula>
    </cfRule>
  </conditionalFormatting>
  <conditionalFormatting sqref="E71 E72:F72">
    <cfRule type="cellIs" dxfId="2330" priority="107" stopIfTrue="1" operator="greaterThan">
      <formula>100</formula>
    </cfRule>
  </conditionalFormatting>
  <conditionalFormatting sqref="E72">
    <cfRule type="cellIs" dxfId="2329" priority="105" stopIfTrue="1" operator="greaterThan">
      <formula>100</formula>
    </cfRule>
    <cfRule type="cellIs" dxfId="2328" priority="104" stopIfTrue="1" operator="lessThan">
      <formula>96.8</formula>
    </cfRule>
  </conditionalFormatting>
  <conditionalFormatting sqref="E81:E89">
    <cfRule type="cellIs" dxfId="2327" priority="81" stopIfTrue="1" operator="lessThanOrEqual">
      <formula>0</formula>
    </cfRule>
  </conditionalFormatting>
  <conditionalFormatting sqref="E92:E100">
    <cfRule type="cellIs" dxfId="2326" priority="97" stopIfTrue="1" operator="lessThanOrEqual">
      <formula>0</formula>
    </cfRule>
    <cfRule type="cellIs" dxfId="2325" priority="96" stopIfTrue="1" operator="greaterThan">
      <formula>4.5</formula>
    </cfRule>
  </conditionalFormatting>
  <conditionalFormatting sqref="E72:F72 E71">
    <cfRule type="cellIs" dxfId="2324" priority="106" stopIfTrue="1" operator="lessThan">
      <formula>96.5</formula>
    </cfRule>
  </conditionalFormatting>
  <conditionalFormatting sqref="F10:F43">
    <cfRule type="cellIs" dxfId="2323" priority="5" operator="greaterThan">
      <formula>60</formula>
    </cfRule>
  </conditionalFormatting>
  <conditionalFormatting sqref="F72">
    <cfRule type="cellIs" dxfId="2322" priority="122" stopIfTrue="1" operator="lessThan">
      <formula>96.8</formula>
    </cfRule>
    <cfRule type="cellIs" dxfId="2321" priority="123" stopIfTrue="1" operator="greaterThan">
      <formula>100</formula>
    </cfRule>
  </conditionalFormatting>
  <conditionalFormatting sqref="F90">
    <cfRule type="cellIs" dxfId="2320" priority="83" stopIfTrue="1" operator="lessThanOrEqual">
      <formula>0</formula>
    </cfRule>
    <cfRule type="cellIs" dxfId="2319" priority="82" stopIfTrue="1" operator="greaterThan">
      <formula>$F90</formula>
    </cfRule>
  </conditionalFormatting>
  <conditionalFormatting sqref="G81:G82 C87:C89">
    <cfRule type="cellIs" dxfId="2318" priority="89" stopIfTrue="1" operator="lessThanOrEqual">
      <formula>0</formula>
    </cfRule>
    <cfRule type="cellIs" dxfId="2317" priority="88" stopIfTrue="1" operator="greaterThan">
      <formula>$F81</formula>
    </cfRule>
  </conditionalFormatting>
  <conditionalFormatting sqref="G81:G82">
    <cfRule type="cellIs" dxfId="2316" priority="71" stopIfTrue="1" operator="lessThanOrEqual">
      <formula>0</formula>
    </cfRule>
    <cfRule type="cellIs" dxfId="2315" priority="70" stopIfTrue="1" operator="greaterThan">
      <formula>$F81</formula>
    </cfRule>
  </conditionalFormatting>
  <conditionalFormatting sqref="G83">
    <cfRule type="cellIs" dxfId="2314" priority="126" stopIfTrue="1" operator="greaterThan">
      <formula>$F82</formula>
    </cfRule>
    <cfRule type="cellIs" dxfId="2313" priority="127" stopIfTrue="1" operator="lessThanOrEqual">
      <formula>0</formula>
    </cfRule>
  </conditionalFormatting>
  <conditionalFormatting sqref="G84">
    <cfRule type="cellIs" dxfId="2312" priority="85" stopIfTrue="1" operator="lessThanOrEqual">
      <formula>0</formula>
    </cfRule>
    <cfRule type="cellIs" dxfId="2311" priority="84" stopIfTrue="1" operator="greaterThan">
      <formula>$F84</formula>
    </cfRule>
  </conditionalFormatting>
  <conditionalFormatting sqref="G85:G89">
    <cfRule type="cellIs" dxfId="2310" priority="90" stopIfTrue="1" operator="greaterThan">
      <formula>$J85</formula>
    </cfRule>
    <cfRule type="cellIs" dxfId="2309" priority="91" stopIfTrue="1" operator="lessThanOrEqual">
      <formula>0</formula>
    </cfRule>
  </conditionalFormatting>
  <conditionalFormatting sqref="G94:G99 C97 C99">
    <cfRule type="cellIs" dxfId="2308" priority="120" stopIfTrue="1" operator="lessThanOrEqual">
      <formula>0</formula>
    </cfRule>
    <cfRule type="cellIs" dxfId="2307" priority="119" stopIfTrue="1" operator="greaterThan">
      <formula>4.5</formula>
    </cfRule>
  </conditionalFormatting>
  <conditionalFormatting sqref="G10:H40 G41:G43">
    <cfRule type="expression" dxfId="2306" priority="28">
      <formula>IF(+(IF(G10&lt;#REF!,0,IF(G10&gt;#REF!,0,1)))=0,1)</formula>
    </cfRule>
  </conditionalFormatting>
  <conditionalFormatting sqref="G93:H93">
    <cfRule type="cellIs" dxfId="2305" priority="100" stopIfTrue="1" operator="greaterThan">
      <formula>$F$92</formula>
    </cfRule>
    <cfRule type="cellIs" dxfId="2304" priority="101" stopIfTrue="1" operator="lessThanOrEqual">
      <formula>0</formula>
    </cfRule>
  </conditionalFormatting>
  <conditionalFormatting sqref="H41:H43">
    <cfRule type="expression" dxfId="2303" priority="29">
      <formula>IF(+(IF(H41&lt;T41,0,IF(H41&gt;U41,0,1)))=0,1)</formula>
    </cfRule>
  </conditionalFormatting>
  <conditionalFormatting sqref="H57:H71">
    <cfRule type="cellIs" dxfId="2302" priority="98" stopIfTrue="1" operator="greaterThan">
      <formula>0</formula>
    </cfRule>
  </conditionalFormatting>
  <conditionalFormatting sqref="H75">
    <cfRule type="cellIs" dxfId="2301" priority="15" stopIfTrue="1" operator="lessThanOrEqual">
      <formula>0</formula>
    </cfRule>
    <cfRule type="cellIs" dxfId="2300" priority="16" stopIfTrue="1" operator="greaterThan">
      <formula>$F$80</formula>
    </cfRule>
    <cfRule type="cellIs" dxfId="2299" priority="24" stopIfTrue="1" operator="greaterThan">
      <formula>$F$83</formula>
    </cfRule>
    <cfRule type="cellIs" dxfId="2298" priority="25" stopIfTrue="1" operator="lessThanOrEqual">
      <formula>0</formula>
    </cfRule>
    <cfRule type="cellIs" dxfId="2297" priority="26" stopIfTrue="1" operator="greaterThan">
      <formula>$F$81</formula>
    </cfRule>
    <cfRule type="cellIs" dxfId="2296" priority="27" stopIfTrue="1" operator="lessThanOrEqual">
      <formula>0</formula>
    </cfRule>
  </conditionalFormatting>
  <conditionalFormatting sqref="H76:H77">
    <cfRule type="cellIs" dxfId="2295" priority="47" stopIfTrue="1" operator="greaterThan">
      <formula>$F$59</formula>
    </cfRule>
    <cfRule type="cellIs" dxfId="2294" priority="49" stopIfTrue="1" operator="greaterThan">
      <formula>$F$57</formula>
    </cfRule>
    <cfRule type="cellIs" dxfId="2293" priority="48" stopIfTrue="1" operator="lessThanOrEqual">
      <formula>0</formula>
    </cfRule>
    <cfRule type="cellIs" dxfId="2292" priority="38" stopIfTrue="1" operator="lessThanOrEqual">
      <formula>0</formula>
    </cfRule>
    <cfRule type="cellIs" dxfId="2291" priority="39" stopIfTrue="1" operator="greaterThan">
      <formula>$F$56</formula>
    </cfRule>
    <cfRule type="cellIs" dxfId="2290" priority="50" stopIfTrue="1" operator="lessThanOrEqual">
      <formula>0</formula>
    </cfRule>
  </conditionalFormatting>
  <conditionalFormatting sqref="H81:H88">
    <cfRule type="cellIs" dxfId="2289" priority="74" stopIfTrue="1" operator="greaterThan">
      <formula>$J81</formula>
    </cfRule>
    <cfRule type="cellIs" dxfId="2288" priority="75" stopIfTrue="1" operator="lessThanOrEqual">
      <formula>0</formula>
    </cfRule>
  </conditionalFormatting>
  <conditionalFormatting sqref="H89">
    <cfRule type="cellIs" dxfId="2287" priority="78" operator="greaterThan">
      <formula>5.3</formula>
    </cfRule>
  </conditionalFormatting>
  <conditionalFormatting sqref="H92 H94:H100">
    <cfRule type="cellIs" dxfId="2286" priority="113" stopIfTrue="1" operator="lessThanOrEqual">
      <formula>0</formula>
    </cfRule>
    <cfRule type="cellIs" dxfId="2285" priority="112" stopIfTrue="1" operator="greaterThan">
      <formula>4.5</formula>
    </cfRule>
  </conditionalFormatting>
  <conditionalFormatting sqref="H75:I75">
    <cfRule type="cellIs" dxfId="2284" priority="14" stopIfTrue="1" operator="greaterThan">
      <formula>$F$82</formula>
    </cfRule>
    <cfRule type="cellIs" dxfId="2283" priority="17" stopIfTrue="1" operator="lessThanOrEqual">
      <formula>0</formula>
    </cfRule>
  </conditionalFormatting>
  <conditionalFormatting sqref="H76:I77">
    <cfRule type="cellIs" dxfId="2282" priority="37" stopIfTrue="1" operator="greaterThan">
      <formula>$F$58</formula>
    </cfRule>
    <cfRule type="cellIs" dxfId="2281" priority="40" stopIfTrue="1" operator="lessThanOrEqual">
      <formula>0</formula>
    </cfRule>
  </conditionalFormatting>
  <conditionalFormatting sqref="H90:I90">
    <cfRule type="cellIs" dxfId="2280" priority="64" stopIfTrue="1" operator="lessThanOrEqual">
      <formula>0</formula>
    </cfRule>
    <cfRule type="cellIs" dxfId="2279" priority="63" stopIfTrue="1" operator="greaterThan">
      <formula>$J90</formula>
    </cfRule>
  </conditionalFormatting>
  <conditionalFormatting sqref="I60:I69">
    <cfRule type="cellIs" dxfId="2278" priority="2" operator="notEqual">
      <formula>#REF!</formula>
    </cfRule>
  </conditionalFormatting>
  <conditionalFormatting sqref="I75">
    <cfRule type="cellIs" dxfId="2277" priority="18" stopIfTrue="1" operator="greaterThan">
      <formula>$F$80</formula>
    </cfRule>
    <cfRule type="cellIs" dxfId="2276" priority="19" stopIfTrue="1" operator="lessThanOrEqual">
      <formula>0</formula>
    </cfRule>
    <cfRule type="cellIs" dxfId="2275" priority="20" stopIfTrue="1" operator="greaterThan">
      <formula>$F$82</formula>
    </cfRule>
    <cfRule type="cellIs" dxfId="2274" priority="21" stopIfTrue="1" operator="lessThanOrEqual">
      <formula>0</formula>
    </cfRule>
    <cfRule type="cellIs" dxfId="2273" priority="22" stopIfTrue="1" operator="greaterThan">
      <formula>$F$80</formula>
    </cfRule>
    <cfRule type="cellIs" dxfId="2272" priority="23" stopIfTrue="1" operator="lessThanOrEqual">
      <formula>0</formula>
    </cfRule>
  </conditionalFormatting>
  <conditionalFormatting sqref="I76:I77">
    <cfRule type="cellIs" dxfId="2271" priority="42" stopIfTrue="1" operator="lessThanOrEqual">
      <formula>0</formula>
    </cfRule>
    <cfRule type="cellIs" dxfId="2270" priority="41" stopIfTrue="1" operator="greaterThan">
      <formula>$F$56</formula>
    </cfRule>
    <cfRule type="cellIs" dxfId="2269" priority="44" stopIfTrue="1" operator="lessThanOrEqual">
      <formula>0</formula>
    </cfRule>
    <cfRule type="cellIs" dxfId="2268" priority="46" stopIfTrue="1" operator="lessThanOrEqual">
      <formula>0</formula>
    </cfRule>
    <cfRule type="cellIs" dxfId="2267" priority="45" stopIfTrue="1" operator="greaterThan">
      <formula>$F$56</formula>
    </cfRule>
    <cfRule type="cellIs" dxfId="2266" priority="43" stopIfTrue="1" operator="greaterThan">
      <formula>$F$58</formula>
    </cfRule>
  </conditionalFormatting>
  <conditionalFormatting sqref="I81:I89">
    <cfRule type="cellIs" dxfId="2265" priority="80" stopIfTrue="1" operator="lessThanOrEqual">
      <formula>0</formula>
    </cfRule>
    <cfRule type="cellIs" dxfId="2264" priority="79" stopIfTrue="1" operator="greaterThan">
      <formula>$J81</formula>
    </cfRule>
  </conditionalFormatting>
  <conditionalFormatting sqref="I92:I100">
    <cfRule type="cellIs" dxfId="2263" priority="108" stopIfTrue="1" operator="greaterThan">
      <formula>4.5</formula>
    </cfRule>
    <cfRule type="cellIs" dxfId="2262" priority="109" stopIfTrue="1" operator="lessThanOrEqual">
      <formula>0</formula>
    </cfRule>
  </conditionalFormatting>
  <conditionalFormatting sqref="I10:J40 I41:I43">
    <cfRule type="cellIs" dxfId="2261" priority="36" operator="lessThan">
      <formula>97.9</formula>
    </cfRule>
  </conditionalFormatting>
  <conditionalFormatting sqref="J46:J48">
    <cfRule type="cellIs" dxfId="2260" priority="53" stopIfTrue="1" operator="lessThan">
      <formula>96.8</formula>
    </cfRule>
    <cfRule type="cellIs" dxfId="2259" priority="55" operator="lessThan">
      <formula>98</formula>
    </cfRule>
    <cfRule type="cellIs" dxfId="2258" priority="54" stopIfTrue="1" operator="greaterThan">
      <formula>100</formula>
    </cfRule>
  </conditionalFormatting>
  <conditionalFormatting sqref="J46:J50">
    <cfRule type="cellIs" dxfId="2257" priority="52" operator="lessThan">
      <formula>97.4</formula>
    </cfRule>
  </conditionalFormatting>
  <conditionalFormatting sqref="J51">
    <cfRule type="cellIs" dxfId="2256" priority="56" operator="lessThan">
      <formula>98</formula>
    </cfRule>
  </conditionalFormatting>
  <conditionalFormatting sqref="J52:J54">
    <cfRule type="cellIs" dxfId="2255" priority="57" stopIfTrue="1" operator="lessThan">
      <formula>96.8</formula>
    </cfRule>
    <cfRule type="cellIs" dxfId="2254" priority="58" stopIfTrue="1" operator="greaterThan">
      <formula>100</formula>
    </cfRule>
  </conditionalFormatting>
  <conditionalFormatting sqref="J52:J55">
    <cfRule type="cellIs" dxfId="2253" priority="59" operator="lessThan">
      <formula>98</formula>
    </cfRule>
  </conditionalFormatting>
  <conditionalFormatting sqref="J90">
    <cfRule type="cellIs" dxfId="2252" priority="60" stopIfTrue="1" operator="greaterThan">
      <formula>$F90</formula>
    </cfRule>
    <cfRule type="cellIs" dxfId="2251" priority="61" stopIfTrue="1" operator="lessThanOrEqual">
      <formula>0</formula>
    </cfRule>
  </conditionalFormatting>
  <conditionalFormatting sqref="K10:K40 J41:J43">
    <cfRule type="cellIs" dxfId="2250" priority="35" operator="greaterThan">
      <formula>6.4</formula>
    </cfRule>
    <cfRule type="cellIs" dxfId="2249" priority="32" operator="lessThan">
      <formula>4</formula>
    </cfRule>
    <cfRule type="cellIs" dxfId="2248" priority="31" operator="greaterThan">
      <formula>6</formula>
    </cfRule>
  </conditionalFormatting>
  <conditionalFormatting sqref="K60:K69">
    <cfRule type="cellIs" dxfId="2247" priority="51" operator="notEqual">
      <formula>#REF!</formula>
    </cfRule>
  </conditionalFormatting>
  <conditionalFormatting sqref="K75:K77 K81:N84 L85:N85">
    <cfRule type="cellIs" dxfId="2246" priority="92" stopIfTrue="1" operator="lessThan">
      <formula>100%</formula>
    </cfRule>
  </conditionalFormatting>
  <conditionalFormatting sqref="K92:K97">
    <cfRule type="cellIs" dxfId="2245" priority="114" stopIfTrue="1" operator="lessThan">
      <formula>100%</formula>
    </cfRule>
  </conditionalFormatting>
  <conditionalFormatting sqref="K99:K100">
    <cfRule type="cellIs" dxfId="2244" priority="121" stopIfTrue="1" operator="lessThan">
      <formula>100%</formula>
    </cfRule>
  </conditionalFormatting>
  <conditionalFormatting sqref="K86:N90">
    <cfRule type="cellIs" dxfId="2243" priority="62" stopIfTrue="1" operator="lessThan">
      <formula>100%</formula>
    </cfRule>
  </conditionalFormatting>
  <conditionalFormatting sqref="L10:L40 K41:K43">
    <cfRule type="cellIs" dxfId="2242" priority="34" operator="greaterThan">
      <formula>65</formula>
    </cfRule>
    <cfRule type="cellIs" dxfId="2241" priority="33" operator="between">
      <formula>61</formula>
      <formula>65</formula>
    </cfRule>
  </conditionalFormatting>
  <conditionalFormatting sqref="L61:N61">
    <cfRule type="cellIs" dxfId="2240" priority="1" operator="notEqual">
      <formula>#REF!</formula>
    </cfRule>
  </conditionalFormatting>
  <conditionalFormatting sqref="L92:N100">
    <cfRule type="cellIs" dxfId="2239" priority="99" stopIfTrue="1" operator="lessThan">
      <formula>100%</formula>
    </cfRule>
  </conditionalFormatting>
  <conditionalFormatting sqref="M10:M40 L41:M43">
    <cfRule type="expression" dxfId="2238" priority="30">
      <formula>IF(+(IF(L10&lt;T10,0,IF(L10&gt;U10,0,1)))=0,1)</formula>
    </cfRule>
  </conditionalFormatting>
  <conditionalFormatting sqref="M46 L47:M57">
    <cfRule type="cellIs" dxfId="2237" priority="67" operator="lessThan">
      <formula>98</formula>
    </cfRule>
  </conditionalFormatting>
  <conditionalFormatting sqref="N10:N43">
    <cfRule type="expression" dxfId="2236" priority="6">
      <formula>IF(+(IF(N10&lt;W10,0,IF(N10&gt;X10,0,1)))=0,1)</formula>
    </cfRule>
  </conditionalFormatting>
  <conditionalFormatting sqref="P6">
    <cfRule type="cellIs" dxfId="2235" priority="95" operator="greaterThanOrEqual">
      <formula>19</formula>
    </cfRule>
  </conditionalFormatting>
  <dataValidations count="1">
    <dataValidation type="list" allowBlank="1" showInputMessage="1" showErrorMessage="1" sqref="R8" xr:uid="{51D1A960-ED58-421A-8115-B20747FF9A37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94" max="16383" man="1"/>
  </rowBreaks>
  <colBreaks count="1" manualBreakCount="1">
    <brk id="15" max="89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948CA-DD20-4920-8672-6D866CB006F6}">
  <sheetPr codeName="Sheet3">
    <pageSetUpPr fitToPage="1"/>
  </sheetPr>
  <dimension ref="A1:BE101"/>
  <sheetViews>
    <sheetView topLeftCell="H55" zoomScaleNormal="100" workbookViewId="0">
      <selection activeCell="H71" sqref="H71"/>
    </sheetView>
  </sheetViews>
  <sheetFormatPr defaultColWidth="9.44140625" defaultRowHeight="13.8"/>
  <cols>
    <col min="1" max="1" width="3.33203125" style="275" customWidth="1"/>
    <col min="2" max="2" width="35.66406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22.5546875" style="275" customWidth="1"/>
    <col min="8" max="8" width="23.33203125" style="275" customWidth="1"/>
    <col min="9" max="9" width="27" style="275" customWidth="1"/>
    <col min="10" max="10" width="45.44140625" style="275" customWidth="1"/>
    <col min="11" max="11" width="25.6640625" style="275" customWidth="1"/>
    <col min="12" max="12" width="15.6640625" style="275" customWidth="1"/>
    <col min="13" max="13" width="27.5546875" style="275" customWidth="1"/>
    <col min="14" max="14" width="13.33203125" style="275" customWidth="1"/>
    <col min="15" max="15" width="19.441406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45783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4.4" hidden="1">
      <c r="B10" s="29"/>
      <c r="C10" s="366"/>
      <c r="D10" s="279"/>
      <c r="E10" s="279"/>
      <c r="F10" s="278"/>
      <c r="G10" s="279"/>
      <c r="H10" s="396"/>
      <c r="I10" s="368"/>
      <c r="J10" s="368"/>
      <c r="K10" s="281"/>
      <c r="L10" s="276"/>
      <c r="M10" s="397"/>
      <c r="N10" s="370"/>
      <c r="O10" s="371"/>
      <c r="P10" s="339"/>
      <c r="R10" s="277">
        <f t="shared" ref="R10:R15" si="0">B10</f>
        <v>0</v>
      </c>
      <c r="S10" s="296" t="e">
        <f t="shared" ref="S10:S51" si="1">VLOOKUP($B10,$R$3:$X$9,2,FALSE)</f>
        <v>#N/A</v>
      </c>
      <c r="T10" s="296" t="e">
        <f t="shared" ref="T10:T51" si="2">VLOOKUP($B10,$R$3:$X$9,3,FALSE)</f>
        <v>#N/A</v>
      </c>
      <c r="U10" s="297" t="e">
        <f t="shared" ref="U10:U51" si="3">VLOOKUP($B10,$R$3:$X$9,4,FALSE)</f>
        <v>#N/A</v>
      </c>
      <c r="V10" s="297" t="e">
        <f t="shared" ref="V10:V51" si="4">VLOOKUP($B10,$R$3:$X$9,5,FALSE)</f>
        <v>#N/A</v>
      </c>
      <c r="W10" s="297" t="e">
        <f t="shared" ref="W10:W51" si="5">VLOOKUP($B10,$R$3:$X$9,6,FALSE)</f>
        <v>#N/A</v>
      </c>
      <c r="X10" s="297" t="e">
        <f t="shared" ref="X10:X51" si="6">VLOOKUP($B10,$R$3:$X$9,7,FALSE)</f>
        <v>#N/A</v>
      </c>
      <c r="Y10" s="297" t="e">
        <f t="shared" ref="Y10:Y51" si="7">VLOOKUP($B10,$R$3:$Z$9,8,FALSE)</f>
        <v>#N/A</v>
      </c>
      <c r="Z10" s="296" t="e">
        <f t="shared" ref="Z10:Z51" si="8">VLOOKUP($B10,$R$3:$Z$9,9,FALSE)</f>
        <v>#N/A</v>
      </c>
    </row>
    <row r="11" spans="2:29" ht="14.4" hidden="1">
      <c r="B11" s="29"/>
      <c r="C11" s="366"/>
      <c r="D11" s="279"/>
      <c r="E11" s="279"/>
      <c r="F11" s="278"/>
      <c r="G11" s="279"/>
      <c r="H11" s="396"/>
      <c r="I11" s="368"/>
      <c r="J11" s="368"/>
      <c r="K11" s="281"/>
      <c r="L11" s="276"/>
      <c r="M11" s="397"/>
      <c r="N11" s="370"/>
      <c r="O11" s="371"/>
      <c r="P11" s="339"/>
      <c r="R11" s="277">
        <f t="shared" si="0"/>
        <v>0</v>
      </c>
      <c r="S11" s="296" t="e">
        <f t="shared" si="1"/>
        <v>#N/A</v>
      </c>
      <c r="T11" s="296" t="e">
        <f t="shared" si="2"/>
        <v>#N/A</v>
      </c>
      <c r="U11" s="297" t="e">
        <f t="shared" si="3"/>
        <v>#N/A</v>
      </c>
      <c r="V11" s="297" t="e">
        <f t="shared" si="4"/>
        <v>#N/A</v>
      </c>
      <c r="W11" s="297" t="e">
        <f t="shared" si="5"/>
        <v>#N/A</v>
      </c>
      <c r="X11" s="297" t="e">
        <f t="shared" si="6"/>
        <v>#N/A</v>
      </c>
      <c r="Y11" s="297" t="e">
        <f t="shared" si="7"/>
        <v>#N/A</v>
      </c>
      <c r="Z11" s="296" t="e">
        <f t="shared" si="8"/>
        <v>#N/A</v>
      </c>
    </row>
    <row r="12" spans="2:29" ht="14.4" hidden="1">
      <c r="B12" s="29"/>
      <c r="C12" s="366"/>
      <c r="D12" s="279"/>
      <c r="E12" s="279"/>
      <c r="F12" s="278"/>
      <c r="G12" s="279"/>
      <c r="H12" s="396"/>
      <c r="I12" s="368"/>
      <c r="J12" s="368"/>
      <c r="K12" s="281"/>
      <c r="L12" s="276"/>
      <c r="M12" s="397"/>
      <c r="N12" s="370"/>
      <c r="O12" s="371"/>
      <c r="P12" s="339"/>
      <c r="R12" s="277">
        <f t="shared" si="0"/>
        <v>0</v>
      </c>
      <c r="S12" s="296" t="e">
        <f t="shared" si="1"/>
        <v>#N/A</v>
      </c>
      <c r="T12" s="296" t="e">
        <f t="shared" si="2"/>
        <v>#N/A</v>
      </c>
      <c r="U12" s="297" t="e">
        <f t="shared" si="3"/>
        <v>#N/A</v>
      </c>
      <c r="V12" s="297" t="e">
        <f t="shared" si="4"/>
        <v>#N/A</v>
      </c>
      <c r="W12" s="297" t="e">
        <f t="shared" si="5"/>
        <v>#N/A</v>
      </c>
      <c r="X12" s="297" t="e">
        <f t="shared" si="6"/>
        <v>#N/A</v>
      </c>
      <c r="Y12" s="297" t="e">
        <f t="shared" si="7"/>
        <v>#N/A</v>
      </c>
      <c r="Z12" s="296" t="e">
        <f t="shared" si="8"/>
        <v>#N/A</v>
      </c>
    </row>
    <row r="13" spans="2:29" ht="14.4" hidden="1">
      <c r="B13" s="29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97"/>
      <c r="N13" s="370"/>
      <c r="O13" s="371"/>
      <c r="P13" s="339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hidden="1" customHeight="1">
      <c r="B14" s="29"/>
      <c r="C14" s="366"/>
      <c r="D14" s="279"/>
      <c r="E14" s="279"/>
      <c r="F14" s="278"/>
      <c r="G14" s="279"/>
      <c r="H14" s="396"/>
      <c r="I14" s="368"/>
      <c r="J14" s="368"/>
      <c r="K14" s="281"/>
      <c r="L14" s="276"/>
      <c r="M14" s="397"/>
      <c r="N14" s="370"/>
      <c r="O14" s="371"/>
      <c r="P14" s="423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hidden="1" customHeight="1">
      <c r="B15" s="29"/>
      <c r="C15" s="366"/>
      <c r="D15" s="279"/>
      <c r="E15" s="279"/>
      <c r="F15" s="278"/>
      <c r="G15" s="279"/>
      <c r="H15" s="396"/>
      <c r="I15" s="368"/>
      <c r="J15" s="368"/>
      <c r="K15" s="281"/>
      <c r="L15" s="276"/>
      <c r="M15" s="397"/>
      <c r="N15" s="370"/>
      <c r="O15" s="371"/>
      <c r="P15" s="423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hidden="1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3"/>
      <c r="R16" s="277">
        <f t="shared" ref="R16:R50" si="9">B16</f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5.75" hidden="1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3"/>
      <c r="R17" s="277">
        <f t="shared" si="9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3"/>
      <c r="R18" s="277">
        <f t="shared" si="9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3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3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3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5.75" customHeight="1">
      <c r="B22" s="33" t="s">
        <v>9</v>
      </c>
      <c r="C22" s="366" t="str">
        <f>[23]Brewhouse!$A195</f>
        <v>ST177</v>
      </c>
      <c r="D22" s="279">
        <f>[23]Brewhouse!$AD195</f>
        <v>52.5</v>
      </c>
      <c r="E22" s="279">
        <f>[23]Brewhouse!$AG195</f>
        <v>48.7</v>
      </c>
      <c r="F22" s="278">
        <f>[23]Brewhouse!$V195</f>
        <v>55</v>
      </c>
      <c r="G22" s="279">
        <f>[23]Brewhouse!$AE195</f>
        <v>11.73</v>
      </c>
      <c r="H22" s="396">
        <v>11.8</v>
      </c>
      <c r="I22" s="421">
        <f>[23]Brewhouse!$AS195</f>
        <v>94.420068663376142</v>
      </c>
      <c r="J22" s="421">
        <f>[23]Brewhouse!$AT195</f>
        <v>95.816025560506702</v>
      </c>
      <c r="K22" s="398">
        <f>[23]Brewhouse!$Q195</f>
        <v>2.2727272727272649</v>
      </c>
      <c r="L22" s="276">
        <f>[23]Brewhouse!$P195</f>
        <v>59</v>
      </c>
      <c r="M22" s="374">
        <f>[23]Brewhouse!$U195-[23]Brewhouse!$T195</f>
        <v>0.10208333333333336</v>
      </c>
      <c r="N22" s="370">
        <f>[23]Brewhouse!$AW195</f>
        <v>0.24652777777777779</v>
      </c>
      <c r="O22" s="429" t="str">
        <f>[23]Brewhouse!$AV195</f>
        <v>R.Sookram</v>
      </c>
      <c r="P22" s="423"/>
      <c r="R22" s="277" t="str">
        <f t="shared" si="9"/>
        <v>STAG</v>
      </c>
      <c r="S22" s="296">
        <f t="shared" si="1"/>
        <v>11.6</v>
      </c>
      <c r="T22" s="296">
        <f t="shared" si="2"/>
        <v>12</v>
      </c>
      <c r="U22" s="297">
        <f t="shared" si="3"/>
        <v>0</v>
      </c>
      <c r="V22" s="297">
        <f t="shared" si="4"/>
        <v>0.118055555555556</v>
      </c>
      <c r="W22" s="297">
        <f t="shared" si="5"/>
        <v>0.22569444444444445</v>
      </c>
      <c r="X22" s="297">
        <f t="shared" si="6"/>
        <v>0.2638888888888889</v>
      </c>
      <c r="Y22" s="297">
        <f t="shared" si="7"/>
        <v>0</v>
      </c>
      <c r="Z22" s="296">
        <f t="shared" si="8"/>
        <v>60</v>
      </c>
    </row>
    <row r="23" spans="2:26" ht="15.75" customHeight="1">
      <c r="B23" s="33" t="s">
        <v>9</v>
      </c>
      <c r="C23" s="366" t="str">
        <f>[23]Brewhouse!$A196</f>
        <v>ST178</v>
      </c>
      <c r="D23" s="279">
        <f>[23]Brewhouse!$AD196</f>
        <v>54.6</v>
      </c>
      <c r="E23" s="279">
        <f>[23]Brewhouse!$AG196</f>
        <v>51.4</v>
      </c>
      <c r="F23" s="278">
        <f>[23]Brewhouse!$V196</f>
        <v>59</v>
      </c>
      <c r="G23" s="279">
        <f>[23]Brewhouse!$AE196</f>
        <v>11.9</v>
      </c>
      <c r="H23" s="396">
        <v>11.9</v>
      </c>
      <c r="I23" s="421">
        <f>[23]Brewhouse!$AS196</f>
        <v>101.4475035128455</v>
      </c>
      <c r="J23" s="421">
        <f>[23]Brewhouse!$AT196</f>
        <v>102.94735777296387</v>
      </c>
      <c r="K23" s="398">
        <f>[23]Brewhouse!$Q196</f>
        <v>5.4151624548736459</v>
      </c>
      <c r="L23" s="276">
        <f>[23]Brewhouse!$P196</f>
        <v>60</v>
      </c>
      <c r="M23" s="374">
        <f>[23]Brewhouse!$U196-[23]Brewhouse!$T196</f>
        <v>0.11319444444444443</v>
      </c>
      <c r="N23" s="370">
        <f>[23]Brewhouse!$AW196</f>
        <v>0.26805555555555555</v>
      </c>
      <c r="O23" s="429" t="str">
        <f>[23]Brewhouse!$AV196</f>
        <v>K. Benjamin</v>
      </c>
      <c r="P23" s="423"/>
      <c r="R23" s="277" t="str">
        <f t="shared" si="9"/>
        <v>STAG</v>
      </c>
      <c r="S23" s="296">
        <f t="shared" si="1"/>
        <v>11.6</v>
      </c>
      <c r="T23" s="296">
        <f t="shared" si="2"/>
        <v>12</v>
      </c>
      <c r="U23" s="297">
        <f t="shared" si="3"/>
        <v>0</v>
      </c>
      <c r="V23" s="297">
        <f t="shared" si="4"/>
        <v>0.118055555555556</v>
      </c>
      <c r="W23" s="297">
        <f t="shared" si="5"/>
        <v>0.22569444444444445</v>
      </c>
      <c r="X23" s="297">
        <f t="shared" si="6"/>
        <v>0.2638888888888889</v>
      </c>
      <c r="Y23" s="297">
        <f t="shared" si="7"/>
        <v>0</v>
      </c>
      <c r="Z23" s="296">
        <f t="shared" si="8"/>
        <v>60</v>
      </c>
    </row>
    <row r="24" spans="2:26" ht="15.75" customHeight="1">
      <c r="B24" s="33" t="s">
        <v>9</v>
      </c>
      <c r="C24" s="366" t="str">
        <f>[23]Brewhouse!$A197</f>
        <v>ST179</v>
      </c>
      <c r="D24" s="279">
        <f>[23]Brewhouse!$AD197</f>
        <v>54.8</v>
      </c>
      <c r="E24" s="279">
        <f>[23]Brewhouse!$AG197</f>
        <v>51.9</v>
      </c>
      <c r="F24" s="278">
        <f>[23]Brewhouse!$V197</f>
        <v>60</v>
      </c>
      <c r="G24" s="279">
        <f>[23]Brewhouse!$AE197</f>
        <v>12</v>
      </c>
      <c r="H24" s="396">
        <v>12</v>
      </c>
      <c r="I24" s="421">
        <f>[23]Brewhouse!$AS197</f>
        <v>103.33938935492559</v>
      </c>
      <c r="J24" s="421">
        <f>[23]Brewhouse!$AT197</f>
        <v>104.86721426924089</v>
      </c>
      <c r="K24" s="398">
        <f>[23]Brewhouse!$Q197</f>
        <v>4.9270072992700653</v>
      </c>
      <c r="L24" s="276">
        <f>[23]Brewhouse!$P197</f>
        <v>62</v>
      </c>
      <c r="M24" s="374">
        <f>[23]Brewhouse!$U197-[23]Brewhouse!$T197</f>
        <v>0.12916666666666665</v>
      </c>
      <c r="N24" s="370">
        <f>[23]Brewhouse!$AW197</f>
        <v>0.28263888888888888</v>
      </c>
      <c r="O24" s="429" t="str">
        <f>[23]Brewhouse!$AV197</f>
        <v>K. Benjamin</v>
      </c>
      <c r="P24" s="423" t="s">
        <v>171</v>
      </c>
      <c r="R24" s="277" t="str">
        <f t="shared" si="9"/>
        <v>STAG</v>
      </c>
      <c r="S24" s="296">
        <f t="shared" si="1"/>
        <v>11.6</v>
      </c>
      <c r="T24" s="296">
        <f t="shared" si="2"/>
        <v>12</v>
      </c>
      <c r="U24" s="297">
        <f t="shared" si="3"/>
        <v>0</v>
      </c>
      <c r="V24" s="297">
        <f t="shared" si="4"/>
        <v>0.118055555555556</v>
      </c>
      <c r="W24" s="297">
        <f t="shared" si="5"/>
        <v>0.22569444444444445</v>
      </c>
      <c r="X24" s="297">
        <f t="shared" si="6"/>
        <v>0.2638888888888889</v>
      </c>
      <c r="Y24" s="297">
        <f t="shared" si="7"/>
        <v>0</v>
      </c>
      <c r="Z24" s="296">
        <f t="shared" si="8"/>
        <v>60</v>
      </c>
    </row>
    <row r="25" spans="2:26" ht="15.75" customHeight="1">
      <c r="B25" s="33" t="s">
        <v>9</v>
      </c>
      <c r="C25" s="366" t="str">
        <f>[23]Brewhouse!$A198</f>
        <v>ST180</v>
      </c>
      <c r="D25" s="279">
        <f>[23]Brewhouse!$AD198</f>
        <v>54.3</v>
      </c>
      <c r="E25" s="279">
        <f>[23]Brewhouse!$AG198</f>
        <v>51.2</v>
      </c>
      <c r="F25" s="278">
        <f>[23]Brewhouse!$V198</f>
        <v>63</v>
      </c>
      <c r="G25" s="279">
        <f>[23]Brewhouse!$AE198</f>
        <v>11.6</v>
      </c>
      <c r="H25" s="396">
        <v>11.7</v>
      </c>
      <c r="I25" s="421">
        <f>[23]Brewhouse!$AS198</f>
        <v>98.251296837034474</v>
      </c>
      <c r="J25" s="421">
        <f>[23]Brewhouse!$AT198</f>
        <v>99.70436898791543</v>
      </c>
      <c r="K25" s="398">
        <f>[23]Brewhouse!$Q198</f>
        <v>3.8461538461538485</v>
      </c>
      <c r="L25" s="276">
        <f>[23]Brewhouse!$P198</f>
        <v>62</v>
      </c>
      <c r="M25" s="374">
        <f>[23]Brewhouse!$U198-[23]Brewhouse!$T198</f>
        <v>0.11041666666666661</v>
      </c>
      <c r="N25" s="370">
        <f>[23]Brewhouse!$AW198</f>
        <v>0.26319444444444445</v>
      </c>
      <c r="O25" s="429" t="str">
        <f>[23]Brewhouse!$AV198</f>
        <v>K. Benjamin</v>
      </c>
      <c r="P25" s="423" t="s">
        <v>172</v>
      </c>
      <c r="R25" s="277" t="str">
        <f t="shared" si="9"/>
        <v>STAG</v>
      </c>
      <c r="S25" s="296">
        <f t="shared" si="1"/>
        <v>11.6</v>
      </c>
      <c r="T25" s="296">
        <f t="shared" si="2"/>
        <v>12</v>
      </c>
      <c r="U25" s="297">
        <f t="shared" si="3"/>
        <v>0</v>
      </c>
      <c r="V25" s="297">
        <f t="shared" si="4"/>
        <v>0.118055555555556</v>
      </c>
      <c r="W25" s="297">
        <f t="shared" si="5"/>
        <v>0.22569444444444445</v>
      </c>
      <c r="X25" s="297">
        <f t="shared" si="6"/>
        <v>0.2638888888888889</v>
      </c>
      <c r="Y25" s="297">
        <f t="shared" si="7"/>
        <v>0</v>
      </c>
      <c r="Z25" s="296">
        <f t="shared" si="8"/>
        <v>60</v>
      </c>
    </row>
    <row r="26" spans="2:26" ht="15.75" customHeight="1">
      <c r="B26" s="33" t="s">
        <v>9</v>
      </c>
      <c r="C26" s="366" t="str">
        <f>[23]Brewhouse!$A199</f>
        <v>ST181</v>
      </c>
      <c r="D26" s="279">
        <f>[23]Brewhouse!$AD199</f>
        <v>53.7</v>
      </c>
      <c r="E26" s="279">
        <f>[23]Brewhouse!$AG199</f>
        <v>50.5</v>
      </c>
      <c r="F26" s="278">
        <f>[23]Brewhouse!$V199</f>
        <v>65</v>
      </c>
      <c r="G26" s="279">
        <f>[23]Brewhouse!$AE199</f>
        <v>12.04</v>
      </c>
      <c r="H26" s="396">
        <v>11.8</v>
      </c>
      <c r="I26" s="421">
        <f>[23]Brewhouse!$AS199</f>
        <v>100.42613023056258</v>
      </c>
      <c r="J26" s="421">
        <f>[23]Brewhouse!$AT199</f>
        <v>101.91136673895002</v>
      </c>
      <c r="K26" s="398">
        <f>[23]Brewhouse!$Q199</f>
        <v>3.2967032967032912</v>
      </c>
      <c r="L26" s="276">
        <f>[23]Brewhouse!$P199</f>
        <v>59</v>
      </c>
      <c r="M26" s="374">
        <f>[23]Brewhouse!$U199-[23]Brewhouse!$T199</f>
        <v>0.13541666666666663</v>
      </c>
      <c r="N26" s="370">
        <f>[23]Brewhouse!$AW199</f>
        <v>0.28472222222222215</v>
      </c>
      <c r="O26" s="429" t="str">
        <f>[23]Brewhouse!$AV199</f>
        <v>K. Benjamin</v>
      </c>
      <c r="P26" s="423" t="s">
        <v>173</v>
      </c>
      <c r="R26" s="277" t="str">
        <f t="shared" si="9"/>
        <v>STAG</v>
      </c>
      <c r="S26" s="296">
        <f t="shared" si="1"/>
        <v>11.6</v>
      </c>
      <c r="T26" s="296">
        <f t="shared" si="2"/>
        <v>12</v>
      </c>
      <c r="U26" s="297">
        <f t="shared" si="3"/>
        <v>0</v>
      </c>
      <c r="V26" s="297">
        <f t="shared" si="4"/>
        <v>0.118055555555556</v>
      </c>
      <c r="W26" s="297">
        <f t="shared" si="5"/>
        <v>0.22569444444444445</v>
      </c>
      <c r="X26" s="297">
        <f t="shared" si="6"/>
        <v>0.2638888888888889</v>
      </c>
      <c r="Y26" s="297">
        <f t="shared" si="7"/>
        <v>0</v>
      </c>
      <c r="Z26" s="296">
        <f t="shared" si="8"/>
        <v>60</v>
      </c>
    </row>
    <row r="27" spans="2:26" ht="15.75" customHeight="1">
      <c r="B27" s="33" t="s">
        <v>9</v>
      </c>
      <c r="C27" s="366" t="str">
        <f>[23]Brewhouse!$A200</f>
        <v>ST182</v>
      </c>
      <c r="D27" s="279">
        <f>[23]Brewhouse!$AD200</f>
        <v>53.7</v>
      </c>
      <c r="E27" s="279">
        <f>[23]Brewhouse!$AG200</f>
        <v>50.6</v>
      </c>
      <c r="F27" s="278">
        <f>[23]Brewhouse!$V200</f>
        <v>75</v>
      </c>
      <c r="G27" s="279">
        <f>[23]Brewhouse!$AE200</f>
        <v>12.01</v>
      </c>
      <c r="H27" s="396">
        <v>12</v>
      </c>
      <c r="I27" s="421">
        <f>[23]Brewhouse!$AS200</f>
        <v>100.62499385478152</v>
      </c>
      <c r="J27" s="421">
        <f>[23]Brewhouse!$AT200</f>
        <v>102.11317142556182</v>
      </c>
      <c r="K27" s="398">
        <f>[23]Brewhouse!$Q200</f>
        <v>4.9001814882032715</v>
      </c>
      <c r="L27" s="276">
        <f>[23]Brewhouse!$P200</f>
        <v>55</v>
      </c>
      <c r="M27" s="374">
        <f>[23]Brewhouse!$U200-[23]Brewhouse!$T200</f>
        <v>0.12777777777777777</v>
      </c>
      <c r="N27" s="370">
        <f>[23]Brewhouse!$AW200</f>
        <v>0.29583333333333328</v>
      </c>
      <c r="O27" s="429" t="str">
        <f>[23]Brewhouse!$AV200</f>
        <v>K. Benjamin</v>
      </c>
      <c r="P27" s="423" t="s">
        <v>174</v>
      </c>
      <c r="R27" s="277" t="str">
        <f t="shared" si="9"/>
        <v>STAG</v>
      </c>
      <c r="S27" s="296">
        <f t="shared" si="1"/>
        <v>11.6</v>
      </c>
      <c r="T27" s="296">
        <f t="shared" si="2"/>
        <v>12</v>
      </c>
      <c r="U27" s="297">
        <f t="shared" si="3"/>
        <v>0</v>
      </c>
      <c r="V27" s="297">
        <f t="shared" si="4"/>
        <v>0.118055555555556</v>
      </c>
      <c r="W27" s="297">
        <f t="shared" si="5"/>
        <v>0.22569444444444445</v>
      </c>
      <c r="X27" s="297">
        <f t="shared" si="6"/>
        <v>0.2638888888888889</v>
      </c>
      <c r="Y27" s="297">
        <f t="shared" si="7"/>
        <v>0</v>
      </c>
      <c r="Z27" s="296">
        <f t="shared" si="8"/>
        <v>60</v>
      </c>
    </row>
    <row r="28" spans="2:26" ht="15.75" customHeight="1">
      <c r="B28" s="33" t="s">
        <v>9</v>
      </c>
      <c r="C28" s="366" t="str">
        <f>[23]Brewhouse!$A201</f>
        <v>ST183</v>
      </c>
      <c r="D28" s="279">
        <f>[23]Brewhouse!$AD201</f>
        <v>54.1</v>
      </c>
      <c r="E28" s="279">
        <f>[23]Brewhouse!$AG201</f>
        <v>50.7</v>
      </c>
      <c r="F28" s="278">
        <f>[23]Brewhouse!$V201</f>
        <v>69</v>
      </c>
      <c r="G28" s="279">
        <f>[23]Brewhouse!$AE201</f>
        <v>11.68</v>
      </c>
      <c r="H28" s="396">
        <v>11.8</v>
      </c>
      <c r="I28" s="421">
        <f>[23]Brewhouse!$AS201</f>
        <v>98.297689553042517</v>
      </c>
      <c r="J28" s="421">
        <f>[23]Brewhouse!$AT201</f>
        <v>99.750975275517249</v>
      </c>
      <c r="K28" s="398">
        <f>[23]Brewhouse!$Q201</f>
        <v>3.4482758620689626</v>
      </c>
      <c r="L28" s="276">
        <f>[23]Brewhouse!$P201</f>
        <v>62</v>
      </c>
      <c r="M28" s="374">
        <f>[23]Brewhouse!$U201-[23]Brewhouse!$T201</f>
        <v>0.11388888888888893</v>
      </c>
      <c r="N28" s="370">
        <f>[23]Brewhouse!$AW201</f>
        <v>0.28680555555555554</v>
      </c>
      <c r="O28" s="429" t="str">
        <f>[23]Brewhouse!$AV201</f>
        <v>D. Gomaz</v>
      </c>
      <c r="P28" s="423" t="s">
        <v>174</v>
      </c>
      <c r="R28" s="277" t="str">
        <f t="shared" si="9"/>
        <v>STAG</v>
      </c>
      <c r="S28" s="296">
        <f t="shared" si="1"/>
        <v>11.6</v>
      </c>
      <c r="T28" s="296">
        <f t="shared" si="2"/>
        <v>12</v>
      </c>
      <c r="U28" s="297">
        <f t="shared" si="3"/>
        <v>0</v>
      </c>
      <c r="V28" s="297">
        <f t="shared" si="4"/>
        <v>0.118055555555556</v>
      </c>
      <c r="W28" s="297">
        <f t="shared" si="5"/>
        <v>0.22569444444444445</v>
      </c>
      <c r="X28" s="297">
        <f t="shared" si="6"/>
        <v>0.2638888888888889</v>
      </c>
      <c r="Y28" s="297">
        <f t="shared" si="7"/>
        <v>0</v>
      </c>
      <c r="Z28" s="296">
        <f t="shared" si="8"/>
        <v>60</v>
      </c>
    </row>
    <row r="29" spans="2:26" ht="15.75" customHeight="1">
      <c r="B29" s="33" t="s">
        <v>9</v>
      </c>
      <c r="C29" s="366" t="str">
        <f>[23]Brewhouse!$A202</f>
        <v>ST184</v>
      </c>
      <c r="D29" s="279">
        <f>[23]Brewhouse!$AD202</f>
        <v>54.7</v>
      </c>
      <c r="E29" s="279">
        <f>[23]Brewhouse!$AG202</f>
        <v>51.8</v>
      </c>
      <c r="F29" s="278">
        <f>[23]Brewhouse!$V202</f>
        <v>68</v>
      </c>
      <c r="G29" s="279">
        <f>[23]Brewhouse!$AE202</f>
        <v>11.74</v>
      </c>
      <c r="H29" s="396">
        <v>11.7</v>
      </c>
      <c r="I29" s="421">
        <f>[23]Brewhouse!$AS202</f>
        <v>100.3048487527348</v>
      </c>
      <c r="J29" s="421">
        <f>[23]Brewhouse!$AT202</f>
        <v>101.78829158772022</v>
      </c>
      <c r="K29" s="398">
        <f>[23]Brewhouse!$Q202</f>
        <v>3.2667876588021727</v>
      </c>
      <c r="L29" s="276">
        <f>[23]Brewhouse!$P202</f>
        <v>58</v>
      </c>
      <c r="M29" s="374">
        <f>[23]Brewhouse!$U202-[23]Brewhouse!$T202</f>
        <v>0.11319444444444449</v>
      </c>
      <c r="N29" s="370">
        <f>[23]Brewhouse!$AW202</f>
        <v>0.26527777777777783</v>
      </c>
      <c r="O29" s="429" t="str">
        <f>[23]Brewhouse!$AV202</f>
        <v>D. Gomaz</v>
      </c>
      <c r="P29" s="423" t="s">
        <v>174</v>
      </c>
      <c r="R29" s="277" t="str">
        <f t="shared" si="9"/>
        <v>STAG</v>
      </c>
      <c r="S29" s="296">
        <f t="shared" si="1"/>
        <v>11.6</v>
      </c>
      <c r="T29" s="296">
        <f t="shared" si="2"/>
        <v>12</v>
      </c>
      <c r="U29" s="297">
        <f t="shared" si="3"/>
        <v>0</v>
      </c>
      <c r="V29" s="297">
        <f t="shared" si="4"/>
        <v>0.118055555555556</v>
      </c>
      <c r="W29" s="297">
        <f t="shared" si="5"/>
        <v>0.22569444444444445</v>
      </c>
      <c r="X29" s="297">
        <f t="shared" si="6"/>
        <v>0.2638888888888889</v>
      </c>
      <c r="Y29" s="297">
        <f t="shared" si="7"/>
        <v>0</v>
      </c>
      <c r="Z29" s="296">
        <f t="shared" si="8"/>
        <v>60</v>
      </c>
    </row>
    <row r="30" spans="2:26" ht="15.75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3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2:26" ht="15.75" customHeight="1">
      <c r="B31" s="37" t="s">
        <v>16</v>
      </c>
      <c r="C31" s="366" t="str">
        <f>[27]Brewhouse!$A36</f>
        <v>SM027</v>
      </c>
      <c r="D31" s="279">
        <f>[27]Brewhouse!$AH$36</f>
        <v>54.1</v>
      </c>
      <c r="E31" s="279">
        <f>[27]Brewhouse!$AM$36</f>
        <v>52.1</v>
      </c>
      <c r="F31" s="276">
        <f>[27]Brewhouse!$Z36</f>
        <v>86</v>
      </c>
      <c r="G31" s="279">
        <f>[27]Brewhouse!$AK36</f>
        <v>17.32</v>
      </c>
      <c r="H31" s="396">
        <v>17.3</v>
      </c>
      <c r="I31" s="368">
        <f>[27]Brewhouse!$AY36</f>
        <v>98.749264772100105</v>
      </c>
      <c r="J31" s="368">
        <f>[27]Brewhouse!$AZ36</f>
        <v>99.601552455302027</v>
      </c>
      <c r="K31" s="281">
        <f>[27]Brewhouse!$U36</f>
        <v>0.70240295748614145</v>
      </c>
      <c r="L31" s="276">
        <f>[27]Brewhouse!$T36</f>
        <v>60</v>
      </c>
      <c r="M31" s="397">
        <f>[27]Brewhouse!$Y36-[27]Brewhouse!$X36</f>
        <v>0.13611111111111107</v>
      </c>
      <c r="N31" s="370">
        <f>[27]Brewhouse!$AD36</f>
        <v>0.28263888888888899</v>
      </c>
      <c r="O31" s="371" t="str">
        <f>[27]Brewhouse!$BC36</f>
        <v>D. Gomaz</v>
      </c>
      <c r="P31" s="423" t="s">
        <v>170</v>
      </c>
      <c r="R31" s="277"/>
      <c r="S31" s="296"/>
      <c r="T31" s="296"/>
      <c r="U31" s="297"/>
      <c r="V31" s="297"/>
      <c r="W31" s="297"/>
      <c r="X31" s="297"/>
      <c r="Y31" s="297"/>
      <c r="Z31" s="296"/>
    </row>
    <row r="32" spans="2:26" ht="15.75" customHeight="1">
      <c r="B32" s="29"/>
      <c r="C32" s="366"/>
      <c r="D32" s="279"/>
      <c r="E32" s="279"/>
      <c r="F32" s="278"/>
      <c r="G32" s="279"/>
      <c r="H32" s="396"/>
      <c r="I32" s="368"/>
      <c r="J32" s="368"/>
      <c r="K32" s="281"/>
      <c r="L32" s="276"/>
      <c r="M32" s="397"/>
      <c r="N32" s="370"/>
      <c r="O32" s="371"/>
      <c r="P32" s="423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2:26" ht="15.75" hidden="1" customHeight="1">
      <c r="B33" s="29"/>
      <c r="C33" s="366"/>
      <c r="D33" s="279"/>
      <c r="E33" s="279"/>
      <c r="F33" s="278"/>
      <c r="G33" s="279"/>
      <c r="H33" s="396"/>
      <c r="I33" s="368"/>
      <c r="J33" s="368"/>
      <c r="K33" s="281"/>
      <c r="L33" s="276"/>
      <c r="M33" s="397"/>
      <c r="N33" s="370"/>
      <c r="O33" s="371"/>
      <c r="P33" s="423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2:26" ht="15.75" hidden="1" customHeight="1">
      <c r="B34" s="29"/>
      <c r="C34" s="366"/>
      <c r="D34" s="279"/>
      <c r="E34" s="279"/>
      <c r="F34" s="278"/>
      <c r="G34" s="279"/>
      <c r="H34" s="396"/>
      <c r="I34" s="368"/>
      <c r="J34" s="368"/>
      <c r="K34" s="281"/>
      <c r="L34" s="276"/>
      <c r="M34" s="397"/>
      <c r="N34" s="370"/>
      <c r="O34" s="371"/>
      <c r="P34" s="423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2:26" ht="15.75" hidden="1" customHeight="1">
      <c r="B35" s="29"/>
      <c r="C35" s="366"/>
      <c r="D35" s="279"/>
      <c r="E35" s="279"/>
      <c r="F35" s="278"/>
      <c r="G35" s="279"/>
      <c r="H35" s="396"/>
      <c r="I35" s="368"/>
      <c r="J35" s="368"/>
      <c r="K35" s="281"/>
      <c r="L35" s="276"/>
      <c r="M35" s="397"/>
      <c r="N35" s="370"/>
      <c r="O35" s="371"/>
      <c r="P35" s="423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2:26" ht="15.75" hidden="1" customHeight="1">
      <c r="B36" s="29"/>
      <c r="C36" s="366"/>
      <c r="D36" s="279"/>
      <c r="E36" s="279"/>
      <c r="F36" s="278"/>
      <c r="G36" s="279"/>
      <c r="H36" s="396"/>
      <c r="I36" s="368"/>
      <c r="J36" s="368"/>
      <c r="K36" s="281"/>
      <c r="L36" s="276"/>
      <c r="M36" s="397"/>
      <c r="N36" s="370"/>
      <c r="O36" s="371"/>
      <c r="P36" s="423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2:26" ht="15.75" hidden="1" customHeight="1">
      <c r="B37" s="29"/>
      <c r="C37" s="366"/>
      <c r="D37" s="279"/>
      <c r="E37" s="279"/>
      <c r="F37" s="278"/>
      <c r="G37" s="279"/>
      <c r="H37" s="396"/>
      <c r="I37" s="368"/>
      <c r="J37" s="368"/>
      <c r="K37" s="281"/>
      <c r="L37" s="276"/>
      <c r="M37" s="397"/>
      <c r="N37" s="370"/>
      <c r="O37" s="371"/>
      <c r="P37" s="423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2:26" ht="15.75" hidden="1" customHeight="1">
      <c r="B38" s="29"/>
      <c r="C38" s="366"/>
      <c r="D38" s="279"/>
      <c r="E38" s="279"/>
      <c r="F38" s="278"/>
      <c r="G38" s="279"/>
      <c r="H38" s="396"/>
      <c r="I38" s="368"/>
      <c r="J38" s="368"/>
      <c r="K38" s="281"/>
      <c r="L38" s="276"/>
      <c r="M38" s="397"/>
      <c r="N38" s="370"/>
      <c r="O38" s="371"/>
      <c r="P38" s="423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2:26" ht="15.75" hidden="1" customHeight="1">
      <c r="B39" s="29"/>
      <c r="C39" s="366"/>
      <c r="D39" s="279"/>
      <c r="E39" s="279"/>
      <c r="F39" s="278"/>
      <c r="G39" s="279"/>
      <c r="H39" s="396"/>
      <c r="I39" s="368"/>
      <c r="J39" s="368"/>
      <c r="K39" s="281"/>
      <c r="L39" s="276"/>
      <c r="M39" s="397"/>
      <c r="N39" s="370"/>
      <c r="O39" s="371"/>
      <c r="P39" s="423"/>
      <c r="R39" s="277"/>
      <c r="S39" s="296"/>
      <c r="T39" s="296"/>
      <c r="U39" s="297"/>
      <c r="V39" s="297"/>
      <c r="W39" s="297"/>
      <c r="X39" s="297"/>
      <c r="Y39" s="297"/>
      <c r="Z39" s="296"/>
    </row>
    <row r="40" spans="2:26" ht="15.75" hidden="1" customHeight="1">
      <c r="B40" s="29"/>
      <c r="C40" s="366"/>
      <c r="D40" s="279"/>
      <c r="E40" s="279"/>
      <c r="F40" s="278"/>
      <c r="G40" s="279"/>
      <c r="H40" s="396"/>
      <c r="I40" s="368"/>
      <c r="J40" s="368"/>
      <c r="K40" s="281"/>
      <c r="L40" s="276"/>
      <c r="M40" s="397"/>
      <c r="N40" s="370"/>
      <c r="O40" s="371"/>
      <c r="P40" s="423"/>
      <c r="R40" s="277"/>
      <c r="S40" s="296"/>
      <c r="T40" s="296"/>
      <c r="U40" s="297"/>
      <c r="V40" s="297"/>
      <c r="W40" s="297"/>
      <c r="X40" s="297"/>
      <c r="Y40" s="297"/>
      <c r="Z40" s="296"/>
    </row>
    <row r="41" spans="2:26" ht="15.75" hidden="1" customHeight="1">
      <c r="B41" s="29"/>
      <c r="C41" s="366"/>
      <c r="D41" s="279"/>
      <c r="E41" s="279"/>
      <c r="F41" s="278"/>
      <c r="G41" s="279"/>
      <c r="H41" s="396"/>
      <c r="I41" s="368"/>
      <c r="J41" s="368"/>
      <c r="K41" s="281"/>
      <c r="L41" s="276"/>
      <c r="M41" s="397"/>
      <c r="N41" s="370"/>
      <c r="O41" s="371"/>
      <c r="P41" s="423"/>
      <c r="R41" s="277"/>
      <c r="S41" s="296"/>
      <c r="T41" s="296"/>
      <c r="U41" s="297"/>
      <c r="V41" s="297"/>
      <c r="W41" s="297"/>
      <c r="X41" s="297"/>
      <c r="Y41" s="297"/>
      <c r="Z41" s="296"/>
    </row>
    <row r="42" spans="2:26" ht="15.75" hidden="1" customHeight="1">
      <c r="B42" s="29"/>
      <c r="C42" s="366"/>
      <c r="D42" s="279"/>
      <c r="E42" s="279"/>
      <c r="F42" s="278"/>
      <c r="G42" s="279"/>
      <c r="H42" s="396"/>
      <c r="I42" s="368"/>
      <c r="J42" s="368"/>
      <c r="K42" s="281"/>
      <c r="L42" s="276"/>
      <c r="M42" s="397"/>
      <c r="N42" s="370"/>
      <c r="O42" s="371"/>
      <c r="P42" s="423"/>
      <c r="R42" s="277">
        <f t="shared" si="9"/>
        <v>0</v>
      </c>
      <c r="S42" s="296" t="e">
        <f t="shared" si="1"/>
        <v>#N/A</v>
      </c>
      <c r="T42" s="296" t="e">
        <f t="shared" si="2"/>
        <v>#N/A</v>
      </c>
      <c r="U42" s="297" t="e">
        <f t="shared" si="3"/>
        <v>#N/A</v>
      </c>
      <c r="V42" s="297" t="e">
        <f t="shared" si="4"/>
        <v>#N/A</v>
      </c>
      <c r="W42" s="297" t="e">
        <f t="shared" si="5"/>
        <v>#N/A</v>
      </c>
      <c r="X42" s="297" t="e">
        <f t="shared" si="6"/>
        <v>#N/A</v>
      </c>
      <c r="Y42" s="297" t="e">
        <f t="shared" si="7"/>
        <v>#N/A</v>
      </c>
      <c r="Z42" s="296" t="e">
        <f t="shared" si="8"/>
        <v>#N/A</v>
      </c>
    </row>
    <row r="43" spans="2:26" ht="15.75" hidden="1" customHeight="1">
      <c r="B43" s="29"/>
      <c r="C43" s="366"/>
      <c r="D43" s="279"/>
      <c r="E43" s="279"/>
      <c r="F43" s="278"/>
      <c r="G43" s="279"/>
      <c r="H43" s="396"/>
      <c r="I43" s="368"/>
      <c r="J43" s="368"/>
      <c r="K43" s="281"/>
      <c r="L43" s="276"/>
      <c r="M43" s="397"/>
      <c r="N43" s="370"/>
      <c r="O43" s="371"/>
      <c r="P43" s="423"/>
      <c r="R43" s="277">
        <f t="shared" si="9"/>
        <v>0</v>
      </c>
      <c r="S43" s="296" t="e">
        <f t="shared" si="1"/>
        <v>#N/A</v>
      </c>
      <c r="T43" s="296" t="e">
        <f t="shared" si="2"/>
        <v>#N/A</v>
      </c>
      <c r="U43" s="297" t="e">
        <f t="shared" si="3"/>
        <v>#N/A</v>
      </c>
      <c r="V43" s="297" t="e">
        <f t="shared" si="4"/>
        <v>#N/A</v>
      </c>
      <c r="W43" s="297" t="e">
        <f t="shared" si="5"/>
        <v>#N/A</v>
      </c>
      <c r="X43" s="297" t="e">
        <f t="shared" si="6"/>
        <v>#N/A</v>
      </c>
      <c r="Y43" s="297" t="e">
        <f t="shared" si="7"/>
        <v>#N/A</v>
      </c>
      <c r="Z43" s="296" t="e">
        <f t="shared" si="8"/>
        <v>#N/A</v>
      </c>
    </row>
    <row r="44" spans="2:26" ht="15.75" hidden="1" customHeight="1">
      <c r="B44" s="29"/>
      <c r="C44" s="366"/>
      <c r="D44" s="279"/>
      <c r="E44" s="279"/>
      <c r="F44" s="278"/>
      <c r="G44" s="279"/>
      <c r="H44" s="396"/>
      <c r="I44" s="368"/>
      <c r="J44" s="368"/>
      <c r="K44" s="281"/>
      <c r="L44" s="276"/>
      <c r="M44" s="397"/>
      <c r="N44" s="370"/>
      <c r="O44" s="371"/>
      <c r="P44" s="423"/>
      <c r="R44" s="277">
        <f t="shared" si="9"/>
        <v>0</v>
      </c>
      <c r="S44" s="296" t="e">
        <f t="shared" si="1"/>
        <v>#N/A</v>
      </c>
      <c r="T44" s="296" t="e">
        <f t="shared" si="2"/>
        <v>#N/A</v>
      </c>
      <c r="U44" s="297" t="e">
        <f t="shared" si="3"/>
        <v>#N/A</v>
      </c>
      <c r="V44" s="297" t="e">
        <f t="shared" si="4"/>
        <v>#N/A</v>
      </c>
      <c r="W44" s="297" t="e">
        <f t="shared" si="5"/>
        <v>#N/A</v>
      </c>
      <c r="X44" s="297" t="e">
        <f t="shared" si="6"/>
        <v>#N/A</v>
      </c>
      <c r="Y44" s="297" t="e">
        <f t="shared" si="7"/>
        <v>#N/A</v>
      </c>
      <c r="Z44" s="296" t="e">
        <f t="shared" si="8"/>
        <v>#N/A</v>
      </c>
    </row>
    <row r="45" spans="2:26" ht="15.75" customHeight="1">
      <c r="B45" s="29"/>
      <c r="C45" s="366"/>
      <c r="D45" s="279"/>
      <c r="E45" s="279"/>
      <c r="F45" s="278"/>
      <c r="G45" s="279"/>
      <c r="H45" s="396"/>
      <c r="I45" s="368"/>
      <c r="J45" s="368"/>
      <c r="K45" s="281"/>
      <c r="L45" s="276"/>
      <c r="M45" s="397"/>
      <c r="N45" s="370"/>
      <c r="O45" s="371"/>
      <c r="P45" s="423"/>
      <c r="R45" s="277">
        <f t="shared" si="9"/>
        <v>0</v>
      </c>
      <c r="S45" s="296" t="e">
        <f t="shared" si="1"/>
        <v>#N/A</v>
      </c>
      <c r="T45" s="296" t="e">
        <f t="shared" si="2"/>
        <v>#N/A</v>
      </c>
      <c r="U45" s="297" t="e">
        <f t="shared" si="3"/>
        <v>#N/A</v>
      </c>
      <c r="V45" s="297" t="e">
        <f t="shared" si="4"/>
        <v>#N/A</v>
      </c>
      <c r="W45" s="297" t="e">
        <f t="shared" si="5"/>
        <v>#N/A</v>
      </c>
      <c r="X45" s="297" t="e">
        <f t="shared" si="6"/>
        <v>#N/A</v>
      </c>
      <c r="Y45" s="297" t="e">
        <f t="shared" si="7"/>
        <v>#N/A</v>
      </c>
      <c r="Z45" s="296" t="e">
        <f t="shared" si="8"/>
        <v>#N/A</v>
      </c>
    </row>
    <row r="46" spans="2:26" ht="15.75" hidden="1" customHeight="1">
      <c r="B46" s="29"/>
      <c r="C46" s="366"/>
      <c r="D46" s="279"/>
      <c r="E46" s="279"/>
      <c r="F46" s="278"/>
      <c r="G46" s="279"/>
      <c r="H46" s="396"/>
      <c r="I46" s="368"/>
      <c r="J46" s="368"/>
      <c r="K46" s="281"/>
      <c r="L46" s="276"/>
      <c r="M46" s="397"/>
      <c r="N46" s="370"/>
      <c r="O46" s="371"/>
      <c r="P46" s="423"/>
      <c r="R46" s="277">
        <f t="shared" si="9"/>
        <v>0</v>
      </c>
      <c r="S46" s="296" t="e">
        <f t="shared" si="1"/>
        <v>#N/A</v>
      </c>
      <c r="T46" s="296" t="e">
        <f t="shared" si="2"/>
        <v>#N/A</v>
      </c>
      <c r="U46" s="297" t="e">
        <f t="shared" si="3"/>
        <v>#N/A</v>
      </c>
      <c r="V46" s="297" t="e">
        <f t="shared" si="4"/>
        <v>#N/A</v>
      </c>
      <c r="W46" s="297" t="e">
        <f t="shared" si="5"/>
        <v>#N/A</v>
      </c>
      <c r="X46" s="297" t="e">
        <f t="shared" si="6"/>
        <v>#N/A</v>
      </c>
      <c r="Y46" s="297" t="e">
        <f t="shared" si="7"/>
        <v>#N/A</v>
      </c>
      <c r="Z46" s="296" t="e">
        <f t="shared" si="8"/>
        <v>#N/A</v>
      </c>
    </row>
    <row r="47" spans="2:26" ht="15.75" hidden="1" customHeight="1">
      <c r="B47" s="29"/>
      <c r="C47" s="366"/>
      <c r="D47" s="279"/>
      <c r="E47" s="279"/>
      <c r="F47" s="278"/>
      <c r="G47" s="279"/>
      <c r="H47" s="396"/>
      <c r="I47" s="368"/>
      <c r="J47" s="368"/>
      <c r="K47" s="281"/>
      <c r="L47" s="276"/>
      <c r="M47" s="397"/>
      <c r="N47" s="370"/>
      <c r="O47" s="371"/>
      <c r="P47" s="423"/>
      <c r="R47" s="277">
        <f t="shared" si="9"/>
        <v>0</v>
      </c>
      <c r="S47" s="296" t="e">
        <f t="shared" si="1"/>
        <v>#N/A</v>
      </c>
      <c r="T47" s="296" t="e">
        <f t="shared" si="2"/>
        <v>#N/A</v>
      </c>
      <c r="U47" s="297" t="e">
        <f t="shared" si="3"/>
        <v>#N/A</v>
      </c>
      <c r="V47" s="297" t="e">
        <f t="shared" si="4"/>
        <v>#N/A</v>
      </c>
      <c r="W47" s="297" t="e">
        <f t="shared" si="5"/>
        <v>#N/A</v>
      </c>
      <c r="X47" s="297" t="e">
        <f t="shared" si="6"/>
        <v>#N/A</v>
      </c>
      <c r="Y47" s="297" t="e">
        <f t="shared" si="7"/>
        <v>#N/A</v>
      </c>
      <c r="Z47" s="296" t="e">
        <f t="shared" si="8"/>
        <v>#N/A</v>
      </c>
    </row>
    <row r="48" spans="2:26" ht="15.75" hidden="1" customHeight="1">
      <c r="B48" s="33"/>
      <c r="C48" s="366"/>
      <c r="D48" s="279"/>
      <c r="E48" s="279"/>
      <c r="F48" s="278"/>
      <c r="G48" s="279"/>
      <c r="H48" s="396"/>
      <c r="I48" s="421"/>
      <c r="J48" s="398"/>
      <c r="K48" s="276"/>
      <c r="L48" s="374"/>
      <c r="M48" s="397"/>
      <c r="N48" s="370"/>
      <c r="O48" s="371"/>
      <c r="P48" s="423"/>
      <c r="R48" s="277">
        <f t="shared" si="9"/>
        <v>0</v>
      </c>
      <c r="S48" s="296" t="e">
        <f t="shared" si="1"/>
        <v>#N/A</v>
      </c>
      <c r="T48" s="296" t="e">
        <f t="shared" si="2"/>
        <v>#N/A</v>
      </c>
      <c r="U48" s="297" t="e">
        <f t="shared" si="3"/>
        <v>#N/A</v>
      </c>
      <c r="V48" s="297" t="e">
        <f t="shared" si="4"/>
        <v>#N/A</v>
      </c>
      <c r="W48" s="297" t="e">
        <f t="shared" si="5"/>
        <v>#N/A</v>
      </c>
      <c r="X48" s="297" t="e">
        <f t="shared" si="6"/>
        <v>#N/A</v>
      </c>
      <c r="Y48" s="297" t="e">
        <f t="shared" si="7"/>
        <v>#N/A</v>
      </c>
      <c r="Z48" s="296" t="e">
        <f t="shared" si="8"/>
        <v>#N/A</v>
      </c>
    </row>
    <row r="49" spans="1:27" ht="15.75" hidden="1" customHeight="1">
      <c r="B49" s="33"/>
      <c r="C49" s="366"/>
      <c r="D49" s="279"/>
      <c r="E49" s="279"/>
      <c r="F49" s="278"/>
      <c r="G49" s="279"/>
      <c r="H49" s="396"/>
      <c r="I49" s="421"/>
      <c r="J49" s="398"/>
      <c r="K49" s="276"/>
      <c r="L49" s="374"/>
      <c r="M49" s="397"/>
      <c r="N49" s="370"/>
      <c r="O49" s="371"/>
      <c r="P49" s="423"/>
      <c r="R49" s="277">
        <f t="shared" si="9"/>
        <v>0</v>
      </c>
      <c r="S49" s="296" t="e">
        <f t="shared" si="1"/>
        <v>#N/A</v>
      </c>
      <c r="T49" s="296" t="e">
        <f t="shared" si="2"/>
        <v>#N/A</v>
      </c>
      <c r="U49" s="297" t="e">
        <f t="shared" si="3"/>
        <v>#N/A</v>
      </c>
      <c r="V49" s="297" t="e">
        <f t="shared" si="4"/>
        <v>#N/A</v>
      </c>
      <c r="W49" s="297" t="e">
        <f t="shared" si="5"/>
        <v>#N/A</v>
      </c>
      <c r="X49" s="297" t="e">
        <f t="shared" si="6"/>
        <v>#N/A</v>
      </c>
      <c r="Y49" s="297" t="e">
        <f t="shared" si="7"/>
        <v>#N/A</v>
      </c>
      <c r="Z49" s="296" t="e">
        <f t="shared" si="8"/>
        <v>#N/A</v>
      </c>
    </row>
    <row r="50" spans="1:27" ht="15.75" hidden="1" customHeight="1">
      <c r="B50" s="33"/>
      <c r="C50" s="366"/>
      <c r="D50" s="279"/>
      <c r="E50" s="279"/>
      <c r="F50" s="278"/>
      <c r="G50" s="279"/>
      <c r="H50" s="396"/>
      <c r="I50" s="421"/>
      <c r="J50" s="398"/>
      <c r="K50" s="276"/>
      <c r="L50" s="374"/>
      <c r="M50" s="397"/>
      <c r="N50" s="370"/>
      <c r="O50" s="371"/>
      <c r="P50" s="423"/>
      <c r="R50" s="277">
        <f t="shared" si="9"/>
        <v>0</v>
      </c>
      <c r="S50" s="296" t="e">
        <f t="shared" si="1"/>
        <v>#N/A</v>
      </c>
      <c r="T50" s="296" t="e">
        <f t="shared" si="2"/>
        <v>#N/A</v>
      </c>
      <c r="U50" s="297" t="e">
        <f t="shared" si="3"/>
        <v>#N/A</v>
      </c>
      <c r="V50" s="297" t="e">
        <f t="shared" si="4"/>
        <v>#N/A</v>
      </c>
      <c r="W50" s="297" t="e">
        <f t="shared" si="5"/>
        <v>#N/A</v>
      </c>
      <c r="X50" s="297" t="e">
        <f t="shared" si="6"/>
        <v>#N/A</v>
      </c>
      <c r="Y50" s="297" t="e">
        <f t="shared" si="7"/>
        <v>#N/A</v>
      </c>
      <c r="Z50" s="296" t="e">
        <f t="shared" si="8"/>
        <v>#N/A</v>
      </c>
    </row>
    <row r="51" spans="1:27" ht="15.75" customHeight="1" thickBot="1">
      <c r="B51" s="358"/>
      <c r="C51" s="358"/>
      <c r="D51" s="358"/>
      <c r="E51" s="358"/>
      <c r="F51" s="294"/>
      <c r="G51" s="294"/>
      <c r="H51" s="348"/>
      <c r="I51" s="481" t="s">
        <v>34</v>
      </c>
      <c r="J51" s="481"/>
      <c r="K51" s="481"/>
      <c r="L51" s="481"/>
      <c r="M51" s="481"/>
      <c r="N51" s="481"/>
      <c r="O51" s="1"/>
      <c r="P51" s="12"/>
      <c r="R51" s="277">
        <f>B51</f>
        <v>0</v>
      </c>
      <c r="S51" s="296" t="e">
        <f t="shared" si="1"/>
        <v>#N/A</v>
      </c>
      <c r="T51" s="296" t="e">
        <f t="shared" si="2"/>
        <v>#N/A</v>
      </c>
      <c r="U51" s="297" t="e">
        <f t="shared" si="3"/>
        <v>#N/A</v>
      </c>
      <c r="V51" s="297" t="e">
        <f t="shared" si="4"/>
        <v>#N/A</v>
      </c>
      <c r="W51" s="297" t="e">
        <f t="shared" si="5"/>
        <v>#N/A</v>
      </c>
      <c r="X51" s="297" t="e">
        <f t="shared" si="6"/>
        <v>#N/A</v>
      </c>
      <c r="Y51" s="297" t="e">
        <f t="shared" si="7"/>
        <v>#N/A</v>
      </c>
      <c r="Z51" s="296" t="e">
        <f t="shared" si="8"/>
        <v>#N/A</v>
      </c>
    </row>
    <row r="52" spans="1:27" ht="15" thickBot="1">
      <c r="B52" s="388" t="s">
        <v>145</v>
      </c>
      <c r="C52" s="388"/>
      <c r="D52" s="494" t="s">
        <v>35</v>
      </c>
      <c r="E52" s="495"/>
      <c r="F52" s="294"/>
      <c r="G52" s="294"/>
      <c r="H52" s="348"/>
      <c r="I52" s="24" t="s">
        <v>17</v>
      </c>
      <c r="J52" s="25" t="s">
        <v>36</v>
      </c>
      <c r="K52" s="26" t="s">
        <v>138</v>
      </c>
      <c r="L52" s="25" t="s">
        <v>37</v>
      </c>
      <c r="M52" s="25" t="s">
        <v>38</v>
      </c>
      <c r="N52" s="27" t="s">
        <v>39</v>
      </c>
      <c r="O52" s="294"/>
      <c r="P52" s="12"/>
      <c r="R52" s="277"/>
      <c r="S52" s="296"/>
      <c r="T52" s="296"/>
      <c r="U52" s="297"/>
      <c r="V52" s="297"/>
      <c r="W52" s="297"/>
      <c r="X52" s="297"/>
      <c r="Y52" s="297"/>
      <c r="Z52" s="296"/>
    </row>
    <row r="53" spans="1:27" ht="15" customHeight="1">
      <c r="A53" s="28"/>
      <c r="B53" s="520"/>
      <c r="C53" s="362"/>
      <c r="D53" s="485"/>
      <c r="E53" s="474"/>
      <c r="F53" s="294"/>
      <c r="G53" s="294"/>
      <c r="H53" s="348"/>
      <c r="I53" s="29" t="s">
        <v>6</v>
      </c>
      <c r="J53" s="280"/>
      <c r="K53" s="284">
        <f>COUNTA([22]Brewhouse!$A$408:$A$423)</f>
        <v>16</v>
      </c>
      <c r="L53" s="302">
        <f>AVERAGE([22]Brewhouse!$AU$408:$AU$423)</f>
        <v>98.025342671915254</v>
      </c>
      <c r="M53" s="302">
        <f>AVERAGE([22]Brewhouse!$AU$102:$AU$171,[22]Brewhouse!$AU$173:$AU$253,[22]Brewhouse!$AU$255:$AU$339,[22]Brewhouse!$AU$341:$AU$346,[22]Brewhouse!$AU$348,[22]Brewhouse!$AU$349:$AU$406)</f>
        <v>97.396136213531847</v>
      </c>
      <c r="N53" s="30">
        <v>98</v>
      </c>
      <c r="O53" s="11"/>
      <c r="P53" s="31"/>
      <c r="R53" s="277"/>
      <c r="S53" s="296"/>
      <c r="T53" s="296"/>
      <c r="U53" s="297"/>
      <c r="V53" s="297"/>
      <c r="W53" s="297"/>
      <c r="X53" s="297"/>
      <c r="Y53" s="297"/>
      <c r="Z53" s="296"/>
    </row>
    <row r="54" spans="1:27" ht="15" customHeight="1">
      <c r="A54" s="28"/>
      <c r="B54" s="521"/>
      <c r="C54" s="349"/>
      <c r="D54" s="486"/>
      <c r="E54" s="469"/>
      <c r="F54" s="294"/>
      <c r="G54" s="294"/>
      <c r="H54" s="348"/>
      <c r="I54" s="33" t="s">
        <v>9</v>
      </c>
      <c r="J54" s="280">
        <f>AVERAGE(I22:I29)</f>
        <v>99.638990094912899</v>
      </c>
      <c r="K54" s="284">
        <f>COUNTA([23]Brewhouse!$A$195:$A$202)</f>
        <v>8</v>
      </c>
      <c r="L54" s="302">
        <f>AVERAGE([23]Brewhouse!$AS$195:$AS$202)</f>
        <v>99.638990094912899</v>
      </c>
      <c r="M54" s="302">
        <f>AVERAGE([23]Brewhouse!$AS$15:$AS$64,[23]Brewhouse!$AS$66:$AS$103,[23]Brewhouse!$AS$105:$AS$140,[23]Brewhouse!$AS$142:$AS$193,[23]Brewhouse!$AS$195:$AS$202)</f>
        <v>97.544277893499938</v>
      </c>
      <c r="N54" s="30">
        <v>98</v>
      </c>
      <c r="O54" s="11"/>
      <c r="P54" s="31"/>
      <c r="R54" s="277"/>
      <c r="S54" s="296"/>
      <c r="T54" s="296"/>
      <c r="U54" s="297"/>
      <c r="V54" s="297"/>
      <c r="W54" s="297"/>
      <c r="X54" s="297"/>
      <c r="Y54" s="297"/>
      <c r="Z54" s="296"/>
    </row>
    <row r="55" spans="1:27" ht="14.7" customHeight="1">
      <c r="A55" s="28"/>
      <c r="B55" s="521"/>
      <c r="C55" s="349"/>
      <c r="D55" s="485"/>
      <c r="E55" s="474"/>
      <c r="F55" s="294"/>
      <c r="G55" s="294"/>
      <c r="H55" s="348"/>
      <c r="I55" s="34" t="s">
        <v>12</v>
      </c>
      <c r="J55" s="280"/>
      <c r="K55" s="284"/>
      <c r="L55" s="302"/>
      <c r="M55" s="302">
        <f>AVERAGE([24]Brewhouse!$AU$4:$AU$7,[24]Brewhouse!$AU$9:$AU$22,[24]Brewhouse!$AU$24:$AU$35,[24]Brewhouse!$AU$37:$AU$45)</f>
        <v>97.086748546217066</v>
      </c>
      <c r="N55" s="30">
        <v>98</v>
      </c>
      <c r="O55" s="11"/>
      <c r="P55" s="31"/>
      <c r="R55" s="277"/>
      <c r="S55" s="296"/>
      <c r="T55" s="296"/>
      <c r="U55" s="297"/>
      <c r="V55" s="297"/>
      <c r="W55" s="297"/>
      <c r="X55" s="297"/>
      <c r="Y55" s="297"/>
      <c r="Z55" s="296"/>
    </row>
    <row r="56" spans="1:27" ht="14.7" customHeight="1">
      <c r="A56" s="28"/>
      <c r="B56" s="521"/>
      <c r="C56" s="349"/>
      <c r="D56" s="486"/>
      <c r="E56" s="469"/>
      <c r="F56" s="294"/>
      <c r="G56" s="294"/>
      <c r="H56" s="348"/>
      <c r="I56" s="22" t="s">
        <v>33</v>
      </c>
      <c r="J56" s="280"/>
      <c r="K56" s="284"/>
      <c r="L56" s="302"/>
      <c r="M56" s="302">
        <f>AVERAGE([25]Brewhouse!$AV$5:$AV$14,[25]Brewhouse!$AV$16:$AV$19,[25]Brewhouse!$AV$21:$AV$24,[25]Brewhouse!$AV$26:$AV$33)</f>
        <v>98.921974778040592</v>
      </c>
      <c r="N56" s="30">
        <v>98</v>
      </c>
      <c r="O56" s="11"/>
      <c r="P56" s="31"/>
      <c r="R56" s="277"/>
      <c r="S56" s="296"/>
      <c r="T56" s="296"/>
      <c r="U56" s="297"/>
      <c r="V56" s="297"/>
      <c r="W56" s="297"/>
      <c r="X56" s="297"/>
      <c r="Y56" s="297"/>
      <c r="Z56" s="296"/>
      <c r="AA56" s="296"/>
    </row>
    <row r="57" spans="1:27" ht="14.7" customHeight="1">
      <c r="A57" s="28"/>
      <c r="B57" s="521"/>
      <c r="C57" s="349"/>
      <c r="D57" s="485"/>
      <c r="E57" s="474"/>
      <c r="F57" s="422"/>
      <c r="G57" s="294"/>
      <c r="H57" s="348"/>
      <c r="I57" s="35" t="s">
        <v>29</v>
      </c>
      <c r="J57" s="280"/>
      <c r="K57" s="284"/>
      <c r="L57" s="302"/>
      <c r="M57" s="302"/>
      <c r="N57" s="30">
        <v>98</v>
      </c>
      <c r="O57" s="11"/>
      <c r="P57" s="31"/>
      <c r="R57" s="277"/>
      <c r="S57" s="296"/>
      <c r="T57" s="296"/>
      <c r="U57" s="297"/>
      <c r="V57" s="297"/>
      <c r="W57" s="297"/>
      <c r="X57" s="297"/>
      <c r="Y57" s="297"/>
      <c r="Z57" s="296"/>
      <c r="AA57" s="296"/>
    </row>
    <row r="58" spans="1:27" ht="14.7" customHeight="1">
      <c r="A58" s="28"/>
      <c r="B58" s="521"/>
      <c r="C58" s="349"/>
      <c r="D58" s="486"/>
      <c r="E58" s="469"/>
      <c r="F58" s="422"/>
      <c r="G58" s="294"/>
      <c r="H58" s="348"/>
      <c r="I58" s="36" t="s">
        <v>15</v>
      </c>
      <c r="J58" s="323"/>
      <c r="K58" s="284"/>
      <c r="L58" s="302"/>
      <c r="M58" s="302">
        <f>AVERAGE([26]Brewhouse!$AT$4:$AT$11,[26]Brewhouse!$AT$13:$AT$16)</f>
        <v>95.165309917257005</v>
      </c>
      <c r="N58" s="30">
        <v>98</v>
      </c>
      <c r="O58" s="11"/>
      <c r="P58" s="31"/>
      <c r="R58" s="277"/>
      <c r="S58" s="296"/>
      <c r="T58" s="296"/>
      <c r="U58" s="297"/>
      <c r="V58" s="297"/>
      <c r="W58" s="297"/>
      <c r="X58" s="297"/>
      <c r="Y58" s="297"/>
      <c r="Z58" s="296"/>
      <c r="AA58" s="296"/>
    </row>
    <row r="59" spans="1:27" ht="14.7" customHeight="1">
      <c r="A59" s="28"/>
      <c r="B59" s="521"/>
      <c r="C59" s="349"/>
      <c r="D59" s="485"/>
      <c r="E59" s="474"/>
      <c r="F59" s="422"/>
      <c r="G59" s="294"/>
      <c r="H59" s="348"/>
      <c r="I59" s="37" t="s">
        <v>16</v>
      </c>
      <c r="J59" s="323">
        <f>I31</f>
        <v>98.749264772100105</v>
      </c>
      <c r="K59" s="284">
        <f>COUNTA([27]Brewhouse!$A$36)</f>
        <v>1</v>
      </c>
      <c r="L59" s="302">
        <f>AVERAGE([27]Brewhouse!$AY$36)</f>
        <v>98.749264772100105</v>
      </c>
      <c r="M59" s="302">
        <f>AVERAGE([27]Brewhouse!$AY$6:$AY$13,[27]Brewhouse!$AY$15:$AY$20,[27]Brewhouse!$AY$22:$AY$29,[27]Brewhouse!$AY$31:$AY$34,[27]Brewhouse!$AY$36)</f>
        <v>96.218235325325551</v>
      </c>
      <c r="N59" s="30">
        <v>98</v>
      </c>
      <c r="O59" s="11"/>
      <c r="P59" s="31" t="s">
        <v>41</v>
      </c>
      <c r="R59" s="277"/>
      <c r="S59" s="296"/>
      <c r="T59" s="296"/>
      <c r="U59" s="297"/>
      <c r="V59" s="297"/>
      <c r="W59" s="297"/>
      <c r="X59" s="297"/>
      <c r="Y59" s="297"/>
      <c r="Z59" s="296"/>
      <c r="AA59" s="296"/>
    </row>
    <row r="60" spans="1:27" ht="14.7" customHeight="1">
      <c r="A60" s="28"/>
      <c r="B60" s="521"/>
      <c r="C60" s="349"/>
      <c r="D60" s="486"/>
      <c r="E60" s="469"/>
      <c r="F60" s="294"/>
      <c r="G60" s="294"/>
      <c r="H60" s="348"/>
      <c r="I60" s="412" t="s">
        <v>158</v>
      </c>
      <c r="J60" s="326"/>
      <c r="K60" s="284"/>
      <c r="L60" s="305"/>
      <c r="M60" s="305">
        <f>AVERAGE([28]Brewhouse!$AU$5:$AU$8)</f>
        <v>91.006888337619571</v>
      </c>
      <c r="N60" s="30">
        <v>98</v>
      </c>
      <c r="O60" s="11"/>
      <c r="P60" s="31"/>
      <c r="R60" s="277"/>
      <c r="S60" s="296"/>
      <c r="T60" s="296"/>
      <c r="U60" s="297"/>
      <c r="V60" s="297"/>
      <c r="W60" s="297"/>
      <c r="X60" s="297"/>
      <c r="Y60" s="297"/>
      <c r="Z60" s="296"/>
      <c r="AA60" s="296"/>
    </row>
    <row r="61" spans="1:27" ht="14.7" customHeight="1">
      <c r="A61" s="28"/>
      <c r="B61" s="521"/>
      <c r="C61" s="349"/>
      <c r="D61" s="485"/>
      <c r="E61" s="474"/>
      <c r="F61" s="294"/>
      <c r="G61" s="294"/>
      <c r="H61" s="348"/>
      <c r="I61" s="411" t="s">
        <v>157</v>
      </c>
      <c r="J61" s="326"/>
      <c r="K61" s="284"/>
      <c r="L61" s="305"/>
      <c r="M61" s="305"/>
      <c r="N61" s="30">
        <v>98</v>
      </c>
      <c r="O61" s="11"/>
      <c r="P61" s="31"/>
      <c r="R61" s="277"/>
      <c r="S61" s="296"/>
      <c r="T61" s="296"/>
      <c r="U61" s="297"/>
      <c r="V61" s="297"/>
      <c r="W61" s="297"/>
      <c r="X61" s="297"/>
      <c r="Y61" s="297"/>
      <c r="Z61" s="296"/>
      <c r="AA61" s="296"/>
    </row>
    <row r="62" spans="1:27" ht="15" customHeight="1" thickBot="1">
      <c r="A62" s="28"/>
      <c r="B62" s="521"/>
      <c r="C62" s="349"/>
      <c r="D62" s="486"/>
      <c r="E62" s="469"/>
      <c r="F62" s="294"/>
      <c r="G62" s="294"/>
      <c r="H62" s="348"/>
      <c r="I62" s="407" t="s">
        <v>156</v>
      </c>
      <c r="J62" s="327"/>
      <c r="K62" s="408"/>
      <c r="L62" s="409"/>
      <c r="M62" s="409"/>
      <c r="N62" s="410">
        <v>98</v>
      </c>
      <c r="O62" s="11"/>
      <c r="P62" s="31"/>
      <c r="R62" s="277"/>
      <c r="S62" s="296"/>
      <c r="T62" s="296"/>
      <c r="U62" s="297"/>
      <c r="V62" s="297"/>
      <c r="W62" s="297"/>
      <c r="X62" s="297"/>
      <c r="Y62" s="297"/>
      <c r="Z62" s="296"/>
      <c r="AA62" s="296"/>
    </row>
    <row r="63" spans="1:27" ht="15" customHeight="1" thickBot="1">
      <c r="A63" s="28"/>
      <c r="B63" s="521"/>
      <c r="C63" s="349"/>
      <c r="D63" s="485"/>
      <c r="E63" s="474"/>
      <c r="F63" s="294"/>
      <c r="G63" s="294"/>
      <c r="H63" s="348"/>
      <c r="I63" s="1"/>
      <c r="J63" s="39"/>
      <c r="K63" s="405">
        <f>SUM(K53:K62)</f>
        <v>25</v>
      </c>
      <c r="L63" s="406">
        <f>((L53*K53)+(L54*K54)+(L55*K55)+(L56*K56)+(L57*K57)+(K60*L60)+(L58*K58)+(L59*K59)+(L62*K62))/(K63)</f>
        <v>98.570666731281889</v>
      </c>
      <c r="M63" s="406">
        <f>AVERAGE('[29]Jan 31st'!$L$65,'[30]Feb 28th'!$L$35,'[31]Mar. 31st'!$L$35,L63)</f>
        <v>97.183970800628799</v>
      </c>
      <c r="N63" s="40">
        <v>98</v>
      </c>
      <c r="O63" s="11"/>
      <c r="P63" s="31"/>
      <c r="R63" s="277"/>
      <c r="S63" s="296"/>
      <c r="T63" s="296"/>
      <c r="U63" s="297"/>
      <c r="V63" s="297"/>
      <c r="W63" s="297"/>
      <c r="X63" s="297"/>
      <c r="Y63" s="297"/>
      <c r="Z63" s="296"/>
      <c r="AA63" s="296"/>
    </row>
    <row r="64" spans="1:27" ht="15" thickBot="1">
      <c r="B64" s="522"/>
      <c r="C64" s="350"/>
      <c r="D64" s="486"/>
      <c r="E64" s="469"/>
      <c r="F64" s="294"/>
      <c r="G64" s="42"/>
      <c r="H64" s="41"/>
      <c r="I64" s="42"/>
      <c r="J64" s="42"/>
      <c r="K64" s="351"/>
      <c r="L64" s="348"/>
      <c r="M64" s="348"/>
      <c r="N64" s="11"/>
      <c r="O64" s="294"/>
      <c r="P64" s="12"/>
      <c r="R64" s="277"/>
      <c r="S64" s="296"/>
      <c r="T64" s="296"/>
      <c r="U64" s="297"/>
      <c r="V64" s="297"/>
      <c r="W64" s="297"/>
      <c r="X64" s="297"/>
      <c r="Y64" s="297"/>
      <c r="Z64" s="296"/>
      <c r="AA64" s="296"/>
    </row>
    <row r="65" spans="2:56" ht="15" thickBot="1">
      <c r="B65" s="516"/>
      <c r="C65" s="362"/>
      <c r="D65" s="466"/>
      <c r="E65" s="467"/>
      <c r="F65" s="294"/>
      <c r="G65" s="42"/>
      <c r="H65" s="41"/>
      <c r="I65" s="42"/>
      <c r="J65" s="519" t="s">
        <v>129</v>
      </c>
      <c r="K65" s="519"/>
      <c r="L65" s="294"/>
      <c r="M65" s="294"/>
      <c r="N65" s="294"/>
      <c r="O65" s="294"/>
      <c r="P65" s="12"/>
    </row>
    <row r="66" spans="2:56" ht="13.5" customHeight="1" thickBot="1">
      <c r="B66" s="517"/>
      <c r="C66" s="349"/>
      <c r="D66" s="468"/>
      <c r="E66" s="469"/>
      <c r="F66" s="294"/>
      <c r="G66" s="42"/>
      <c r="H66" s="41"/>
      <c r="I66" s="41"/>
      <c r="J66" s="292" t="s">
        <v>17</v>
      </c>
      <c r="K66" s="293" t="s">
        <v>189</v>
      </c>
      <c r="L66" s="471" t="s">
        <v>136</v>
      </c>
      <c r="M66" s="471"/>
      <c r="N66" s="472"/>
      <c r="O66" s="294"/>
      <c r="P66" s="12"/>
    </row>
    <row r="67" spans="2:56" ht="15" customHeight="1" thickBot="1">
      <c r="B67" s="517"/>
      <c r="C67" s="349"/>
      <c r="D67" s="473"/>
      <c r="E67" s="474"/>
      <c r="F67" s="294"/>
      <c r="G67" s="42"/>
      <c r="H67" s="41"/>
      <c r="I67" s="41"/>
      <c r="J67" s="287" t="s">
        <v>6</v>
      </c>
      <c r="K67" s="324"/>
      <c r="L67" s="343" t="s">
        <v>37</v>
      </c>
      <c r="M67" s="307" t="s">
        <v>38</v>
      </c>
      <c r="N67" s="307" t="s">
        <v>84</v>
      </c>
      <c r="O67" s="294"/>
      <c r="P67" s="12"/>
    </row>
    <row r="68" spans="2:56" ht="15.75" customHeight="1" thickBot="1">
      <c r="B68" s="517"/>
      <c r="C68" s="349"/>
      <c r="D68" s="468"/>
      <c r="E68" s="469"/>
      <c r="F68" s="294"/>
      <c r="G68" s="42"/>
      <c r="H68" s="41"/>
      <c r="I68" s="41"/>
      <c r="J68" s="345" t="s">
        <v>9</v>
      </c>
      <c r="K68" s="324">
        <f>COUNTA(B22:B29)</f>
        <v>8</v>
      </c>
      <c r="L68" s="344">
        <f>AVERAGE('May 2nd -4th'!I70,'May 2nd -4th'!K70,I77)</f>
        <v>8</v>
      </c>
      <c r="M68" s="325">
        <f>AVERAGE('[29]Jan 29th '!$M$70,'[30]Feb 28th'!$L$40,'[31]Mar. 31st'!$L$40,'[32]Apr. 30th'!$L$50,L68)</f>
        <v>6.7891543239369323</v>
      </c>
      <c r="N68" s="420">
        <v>9.1999999999999993</v>
      </c>
      <c r="O68" s="294"/>
      <c r="P68" s="12"/>
    </row>
    <row r="69" spans="2:56" ht="15" customHeight="1">
      <c r="B69" s="517"/>
      <c r="C69" s="349"/>
      <c r="D69" s="473"/>
      <c r="E69" s="474"/>
      <c r="F69" s="294"/>
      <c r="G69" s="42"/>
      <c r="H69" s="41"/>
      <c r="I69" s="41"/>
      <c r="J69" s="288" t="s">
        <v>40</v>
      </c>
      <c r="K69" s="324"/>
      <c r="L69" s="294"/>
      <c r="M69" s="294"/>
      <c r="N69" s="294"/>
      <c r="O69" s="294"/>
      <c r="P69" s="12"/>
    </row>
    <row r="70" spans="2:56" ht="15" customHeight="1">
      <c r="B70" s="517"/>
      <c r="C70" s="349"/>
      <c r="D70" s="468"/>
      <c r="E70" s="469"/>
      <c r="F70" s="294"/>
      <c r="G70" s="42"/>
      <c r="H70" s="41"/>
      <c r="I70" s="41"/>
      <c r="J70" s="289" t="s">
        <v>33</v>
      </c>
      <c r="K70" s="324"/>
      <c r="L70" s="294"/>
      <c r="M70" s="294"/>
      <c r="N70" s="294"/>
      <c r="O70" s="294"/>
      <c r="P70" s="12"/>
    </row>
    <row r="71" spans="2:56" ht="14.4">
      <c r="B71" s="517"/>
      <c r="C71" s="349"/>
      <c r="D71" s="473"/>
      <c r="E71" s="474"/>
      <c r="F71" s="294"/>
      <c r="G71" s="42"/>
      <c r="H71" s="41"/>
      <c r="I71" s="41"/>
      <c r="J71" s="290" t="s">
        <v>16</v>
      </c>
      <c r="K71" s="324">
        <f>COUNTA(B31)</f>
        <v>1</v>
      </c>
      <c r="L71" s="294"/>
      <c r="M71" s="294"/>
      <c r="N71" s="294"/>
      <c r="O71" s="294"/>
      <c r="P71" s="12"/>
      <c r="BC71" s="44"/>
      <c r="BD71" s="44"/>
    </row>
    <row r="72" spans="2:56" ht="14.4">
      <c r="B72" s="517"/>
      <c r="C72" s="349"/>
      <c r="D72" s="468"/>
      <c r="E72" s="469"/>
      <c r="F72" s="294"/>
      <c r="G72" s="42"/>
      <c r="H72" s="41"/>
      <c r="I72" s="41"/>
      <c r="J72" s="291" t="s">
        <v>15</v>
      </c>
      <c r="K72" s="324"/>
      <c r="L72" s="294"/>
      <c r="M72" s="294"/>
      <c r="N72" s="294"/>
      <c r="O72" s="294"/>
      <c r="P72" s="12"/>
      <c r="BC72" s="44"/>
      <c r="BD72" s="44"/>
    </row>
    <row r="73" spans="2:56" ht="14.4">
      <c r="B73" s="517"/>
      <c r="C73" s="349"/>
      <c r="D73" s="475"/>
      <c r="E73" s="476"/>
      <c r="F73" s="294"/>
      <c r="G73" s="42"/>
      <c r="H73" s="41"/>
      <c r="I73" s="41"/>
      <c r="J73" s="291" t="s">
        <v>149</v>
      </c>
      <c r="K73" s="324"/>
      <c r="L73" s="294"/>
      <c r="M73" s="294"/>
      <c r="N73" s="294"/>
      <c r="O73" s="294"/>
      <c r="P73" s="12"/>
      <c r="BC73" s="44"/>
      <c r="BD73" s="44"/>
    </row>
    <row r="74" spans="2:56" ht="15" thickBot="1">
      <c r="B74" s="518"/>
      <c r="C74" s="350"/>
      <c r="D74" s="477"/>
      <c r="E74" s="478"/>
      <c r="F74" s="294"/>
      <c r="G74" s="42"/>
      <c r="H74" s="41"/>
      <c r="I74" s="41"/>
      <c r="J74" s="291" t="s">
        <v>148</v>
      </c>
      <c r="K74" s="324"/>
      <c r="L74" s="294"/>
      <c r="M74" s="294"/>
      <c r="N74" s="294"/>
      <c r="O74" s="294"/>
      <c r="P74" s="12"/>
      <c r="BC74" s="44"/>
      <c r="BD74" s="44"/>
    </row>
    <row r="75" spans="2:56" ht="17.7" customHeight="1" thickBot="1">
      <c r="B75" s="312" t="s">
        <v>139</v>
      </c>
      <c r="C75" s="313"/>
      <c r="D75" s="457" t="e">
        <f>AVERAGE(D53:E74)</f>
        <v>#DIV/0!</v>
      </c>
      <c r="E75" s="458"/>
      <c r="F75" s="294"/>
      <c r="G75" s="42"/>
      <c r="H75" s="41"/>
      <c r="I75" s="41"/>
      <c r="J75" s="295" t="s">
        <v>134</v>
      </c>
      <c r="K75" s="324"/>
      <c r="L75" s="294"/>
      <c r="M75" s="294"/>
      <c r="N75" s="294"/>
      <c r="O75" s="294"/>
      <c r="P75" s="12"/>
      <c r="BC75" s="44"/>
      <c r="BD75" s="44"/>
    </row>
    <row r="76" spans="2:56" ht="17.7" customHeight="1">
      <c r="B76" s="363"/>
      <c r="C76" s="364"/>
      <c r="D76" s="365"/>
      <c r="E76" s="365"/>
      <c r="F76" s="294"/>
      <c r="G76" s="42"/>
      <c r="H76" s="41"/>
      <c r="I76" s="41"/>
      <c r="J76" s="295" t="s">
        <v>131</v>
      </c>
      <c r="K76" s="324"/>
      <c r="L76" s="294"/>
      <c r="M76" s="294"/>
      <c r="N76" s="294"/>
      <c r="O76" s="294"/>
      <c r="P76" s="12"/>
      <c r="BC76" s="44"/>
      <c r="BD76" s="44"/>
    </row>
    <row r="77" spans="2:56" ht="15.75" customHeight="1">
      <c r="B77" s="45"/>
      <c r="C77" s="11"/>
      <c r="D77" s="11"/>
      <c r="E77" s="46"/>
      <c r="F77" s="294"/>
      <c r="G77" s="42"/>
      <c r="H77" s="41"/>
      <c r="I77" s="41"/>
      <c r="J77" s="346" t="s">
        <v>130</v>
      </c>
      <c r="K77" s="324">
        <f>SUM(K67:K76)</f>
        <v>9</v>
      </c>
      <c r="L77" s="294"/>
      <c r="M77" s="294"/>
      <c r="N77" s="294"/>
      <c r="O77" s="294"/>
      <c r="P77" s="12"/>
    </row>
    <row r="78" spans="2:56" ht="20.25" customHeight="1">
      <c r="B78" s="15" t="s">
        <v>42</v>
      </c>
      <c r="C78" s="1" t="s">
        <v>43</v>
      </c>
      <c r="D78" s="1"/>
      <c r="E78" s="1"/>
      <c r="F78" s="294"/>
      <c r="G78" s="42"/>
      <c r="H78" s="41"/>
      <c r="I78" s="42"/>
      <c r="L78" s="294"/>
      <c r="P78" s="334"/>
    </row>
    <row r="79" spans="2:56" ht="15" customHeight="1" thickBot="1"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8"/>
      <c r="O79" s="48"/>
      <c r="P79" s="49"/>
    </row>
    <row r="80" spans="2:56" ht="15" customHeight="1" thickBot="1">
      <c r="B80" s="447" t="s">
        <v>17</v>
      </c>
      <c r="C80" s="447" t="s">
        <v>44</v>
      </c>
      <c r="D80" s="459" t="s">
        <v>45</v>
      </c>
      <c r="E80" s="461" t="s">
        <v>46</v>
      </c>
      <c r="F80" s="455" t="s">
        <v>47</v>
      </c>
      <c r="G80" s="445" t="s">
        <v>48</v>
      </c>
      <c r="H80" s="447" t="s">
        <v>49</v>
      </c>
      <c r="I80" s="447" t="s">
        <v>50</v>
      </c>
      <c r="J80" s="439" t="s">
        <v>28</v>
      </c>
      <c r="K80" s="451" t="s">
        <v>51</v>
      </c>
      <c r="L80" s="453" t="s">
        <v>52</v>
      </c>
      <c r="M80" s="439" t="s">
        <v>53</v>
      </c>
      <c r="N80" s="13"/>
      <c r="O80" s="13"/>
      <c r="P80" s="50"/>
    </row>
    <row r="81" spans="2:57" ht="28.5" customHeight="1" thickTop="1" thickBot="1">
      <c r="B81" s="448"/>
      <c r="C81" s="448"/>
      <c r="D81" s="460"/>
      <c r="E81" s="462"/>
      <c r="F81" s="456"/>
      <c r="G81" s="446"/>
      <c r="H81" s="448"/>
      <c r="I81" s="448"/>
      <c r="J81" s="440"/>
      <c r="K81" s="452"/>
      <c r="L81" s="454"/>
      <c r="M81" s="440"/>
      <c r="N81" s="13"/>
      <c r="O81" s="13"/>
      <c r="P81" s="50"/>
      <c r="Q81" s="355"/>
      <c r="AB81" s="51">
        <v>43474</v>
      </c>
      <c r="AC81" s="51">
        <v>43475</v>
      </c>
      <c r="AD81" s="51">
        <v>43476</v>
      </c>
      <c r="AE81" s="51">
        <v>43477</v>
      </c>
      <c r="AF81" s="51">
        <v>43478</v>
      </c>
      <c r="AG81" s="51">
        <v>43479</v>
      </c>
      <c r="AH81" s="51">
        <v>43480</v>
      </c>
      <c r="AI81" s="51">
        <v>43481</v>
      </c>
      <c r="AJ81" s="51">
        <v>43482</v>
      </c>
      <c r="AK81" s="51">
        <v>43483</v>
      </c>
      <c r="AL81" s="51">
        <v>43484</v>
      </c>
      <c r="AM81" s="51">
        <v>43485</v>
      </c>
      <c r="AN81" s="51">
        <v>43486</v>
      </c>
      <c r="AO81" s="51">
        <v>43487</v>
      </c>
      <c r="AP81" s="51">
        <v>43488</v>
      </c>
      <c r="AQ81" s="51">
        <v>43489</v>
      </c>
      <c r="AR81" s="51">
        <v>43490</v>
      </c>
      <c r="AS81" s="51">
        <v>43491</v>
      </c>
      <c r="AT81" s="51">
        <v>43492</v>
      </c>
      <c r="AU81" s="51">
        <v>43493</v>
      </c>
      <c r="AV81" s="51">
        <v>43494</v>
      </c>
      <c r="AW81" s="51">
        <v>43495</v>
      </c>
      <c r="AX81" s="51">
        <v>43496</v>
      </c>
    </row>
    <row r="82" spans="2:57" s="54" customFormat="1" ht="43.5" customHeight="1">
      <c r="B82" s="415"/>
      <c r="C82" s="283"/>
      <c r="D82" s="279"/>
      <c r="E82" s="279"/>
      <c r="F82" s="279"/>
      <c r="G82" s="279"/>
      <c r="H82" s="320"/>
      <c r="I82" s="322"/>
      <c r="J82" s="398"/>
      <c r="K82" s="416"/>
      <c r="L82" s="314"/>
      <c r="M82" s="426"/>
      <c r="N82" s="13"/>
      <c r="O82" s="13"/>
      <c r="P82" s="50"/>
      <c r="R82" s="275"/>
      <c r="S82" s="275"/>
      <c r="T82" s="275"/>
      <c r="U82" s="275"/>
      <c r="V82" s="275"/>
      <c r="W82" s="275"/>
      <c r="X82" s="275"/>
      <c r="Y82" s="275"/>
      <c r="Z82" s="275"/>
      <c r="AA82" s="275"/>
      <c r="AB82" s="57" t="e">
        <f>[20]January_2019!L7</f>
        <v>#REF!</v>
      </c>
      <c r="AC82" s="57" t="e">
        <f>[20]January_2019!M7</f>
        <v>#REF!</v>
      </c>
      <c r="AD82" s="57" t="e">
        <f>[20]January_2019!N7</f>
        <v>#REF!</v>
      </c>
      <c r="AE82" s="57" t="e">
        <f>[20]January_2019!O7</f>
        <v>#REF!</v>
      </c>
      <c r="AF82" s="57" t="e">
        <f>[20]January_2019!P7</f>
        <v>#REF!</v>
      </c>
      <c r="AG82" s="57" t="e">
        <f>[20]January_2019!Q7</f>
        <v>#REF!</v>
      </c>
      <c r="AH82" s="57" t="e">
        <f>[20]January_2019!R7</f>
        <v>#REF!</v>
      </c>
      <c r="AI82" s="57" t="e">
        <f>[20]January_2019!S7</f>
        <v>#REF!</v>
      </c>
      <c r="AJ82" s="57" t="e">
        <f>[20]January_2019!T7</f>
        <v>#REF!</v>
      </c>
      <c r="AK82" s="57" t="e">
        <f>[20]January_2019!U7</f>
        <v>#REF!</v>
      </c>
      <c r="AL82" s="57" t="e">
        <f>[20]January_2019!V7</f>
        <v>#REF!</v>
      </c>
      <c r="AM82" s="57" t="e">
        <f>[20]January_2019!W7</f>
        <v>#REF!</v>
      </c>
      <c r="AN82" s="57" t="e">
        <f>[20]January_2019!X7</f>
        <v>#REF!</v>
      </c>
      <c r="AO82" s="57" t="e">
        <f>[20]January_2019!Y7</f>
        <v>#REF!</v>
      </c>
      <c r="AP82" s="57" t="e">
        <f>[20]January_2019!Z7</f>
        <v>#REF!</v>
      </c>
      <c r="AQ82" s="57" t="e">
        <f>[20]January_2019!AA7</f>
        <v>#REF!</v>
      </c>
      <c r="AR82" s="57" t="e">
        <f>[20]January_2019!AB7</f>
        <v>#REF!</v>
      </c>
      <c r="AS82" s="57" t="e">
        <f>[20]January_2019!AC7</f>
        <v>#REF!</v>
      </c>
      <c r="AT82" s="57" t="e">
        <f>[20]January_2019!AD7</f>
        <v>#REF!</v>
      </c>
      <c r="AU82" s="57" t="e">
        <f>[20]January_2019!AE7</f>
        <v>#REF!</v>
      </c>
      <c r="AV82" s="57" t="e">
        <f>[20]January_2019!AF7</f>
        <v>#REF!</v>
      </c>
      <c r="AW82" s="57" t="e">
        <f>[20]January_2019!AG7</f>
        <v>#REF!</v>
      </c>
      <c r="AX82" s="277" t="e">
        <f>[20]January_2019!AH7</f>
        <v>#REF!</v>
      </c>
      <c r="AY82" s="277"/>
      <c r="AZ82" s="277"/>
      <c r="BA82" s="277"/>
      <c r="BB82" s="277"/>
      <c r="BC82" s="277"/>
      <c r="BD82" s="277"/>
      <c r="BE82" s="277"/>
    </row>
    <row r="83" spans="2:57" s="54" customFormat="1" ht="10.5" customHeight="1">
      <c r="B83" s="415"/>
      <c r="C83" s="283"/>
      <c r="D83" s="377"/>
      <c r="E83" s="378"/>
      <c r="F83" s="379"/>
      <c r="G83" s="303"/>
      <c r="H83" s="320"/>
      <c r="I83" s="322"/>
      <c r="J83" s="398"/>
      <c r="K83" s="286"/>
      <c r="L83" s="314"/>
      <c r="M83" s="419"/>
      <c r="N83" s="13"/>
      <c r="O83" s="13"/>
      <c r="P83" s="50"/>
      <c r="R83" s="275"/>
      <c r="S83" s="275"/>
      <c r="T83" s="275"/>
      <c r="U83" s="275"/>
      <c r="V83" s="275"/>
      <c r="W83" s="275"/>
      <c r="X83" s="275"/>
      <c r="Y83" s="275"/>
      <c r="Z83" s="275"/>
      <c r="AA83" s="275"/>
      <c r="AB83" s="418"/>
      <c r="AC83" s="418"/>
      <c r="AD83" s="418"/>
      <c r="AE83" s="418"/>
      <c r="AF83" s="418"/>
      <c r="AG83" s="418"/>
      <c r="AH83" s="418"/>
      <c r="AI83" s="418"/>
      <c r="AJ83" s="418"/>
      <c r="AK83" s="418"/>
      <c r="AL83" s="418"/>
      <c r="AM83" s="418"/>
      <c r="AN83" s="418"/>
      <c r="AO83" s="418"/>
      <c r="AP83" s="418"/>
      <c r="AQ83" s="418"/>
      <c r="AR83" s="418"/>
      <c r="AS83" s="418"/>
      <c r="AT83" s="418"/>
      <c r="AU83" s="418"/>
      <c r="AV83" s="418"/>
      <c r="AW83" s="418"/>
    </row>
    <row r="84" spans="2:57" s="54" customFormat="1" ht="10.5" hidden="1" customHeight="1">
      <c r="B84" s="415"/>
      <c r="C84" s="283"/>
      <c r="D84" s="377"/>
      <c r="E84" s="378"/>
      <c r="F84" s="379"/>
      <c r="G84" s="303"/>
      <c r="H84" s="320"/>
      <c r="I84" s="322"/>
      <c r="J84" s="398"/>
      <c r="K84" s="286"/>
      <c r="L84" s="314"/>
      <c r="M84" s="419"/>
      <c r="N84" s="13"/>
      <c r="O84" s="13"/>
      <c r="P84" s="50"/>
      <c r="R84" s="275"/>
      <c r="S84" s="275"/>
      <c r="T84" s="275"/>
      <c r="U84" s="275"/>
      <c r="V84" s="275"/>
      <c r="W84" s="275"/>
      <c r="X84" s="275"/>
      <c r="Y84" s="275"/>
      <c r="Z84" s="275"/>
      <c r="AA84" s="275"/>
      <c r="AB84" s="418"/>
      <c r="AC84" s="418"/>
      <c r="AD84" s="418"/>
      <c r="AE84" s="418"/>
      <c r="AF84" s="418"/>
      <c r="AG84" s="418"/>
      <c r="AH84" s="418"/>
      <c r="AI84" s="418"/>
      <c r="AJ84" s="418"/>
      <c r="AK84" s="418"/>
      <c r="AL84" s="418"/>
      <c r="AM84" s="418"/>
      <c r="AN84" s="418"/>
      <c r="AO84" s="418"/>
      <c r="AP84" s="418"/>
      <c r="AQ84" s="418"/>
      <c r="AR84" s="418"/>
      <c r="AS84" s="418"/>
      <c r="AT84" s="418"/>
      <c r="AU84" s="418"/>
      <c r="AV84" s="418"/>
      <c r="AW84" s="418"/>
    </row>
    <row r="85" spans="2:57" ht="18" customHeight="1" thickBot="1">
      <c r="B85" s="59"/>
      <c r="C85" s="309"/>
      <c r="D85" s="59"/>
      <c r="E85" s="59"/>
      <c r="F85" s="59"/>
      <c r="G85" s="59"/>
      <c r="H85" s="59"/>
      <c r="I85" s="59"/>
      <c r="J85" s="59"/>
      <c r="K85" s="59"/>
      <c r="L85" s="59"/>
      <c r="M85" s="59"/>
      <c r="N85" s="59"/>
      <c r="O85" s="56"/>
      <c r="P85" s="60"/>
    </row>
    <row r="86" spans="2:57" ht="14.4" thickBot="1">
      <c r="B86" s="441" t="s">
        <v>55</v>
      </c>
      <c r="C86" s="442"/>
      <c r="D86" s="442"/>
      <c r="E86" s="442"/>
      <c r="F86" s="443"/>
      <c r="G86" s="441" t="s">
        <v>56</v>
      </c>
      <c r="H86" s="442"/>
      <c r="I86" s="442"/>
      <c r="J86" s="443"/>
      <c r="K86" s="441" t="s">
        <v>51</v>
      </c>
      <c r="L86" s="442"/>
      <c r="M86" s="442"/>
      <c r="N86" s="444"/>
      <c r="O86" s="56"/>
      <c r="P86" s="50"/>
    </row>
    <row r="87" spans="2:57">
      <c r="B87" s="61" t="s">
        <v>17</v>
      </c>
      <c r="C87" s="62" t="s">
        <v>36</v>
      </c>
      <c r="D87" s="62" t="s">
        <v>37</v>
      </c>
      <c r="E87" s="62" t="s">
        <v>38</v>
      </c>
      <c r="F87" s="63" t="s">
        <v>39</v>
      </c>
      <c r="G87" s="62" t="s">
        <v>36</v>
      </c>
      <c r="H87" s="62" t="s">
        <v>37</v>
      </c>
      <c r="I87" s="62" t="s">
        <v>38</v>
      </c>
      <c r="J87" s="63" t="s">
        <v>39</v>
      </c>
      <c r="K87" s="62"/>
      <c r="L87" s="62" t="s">
        <v>37</v>
      </c>
      <c r="M87" s="62" t="s">
        <v>38</v>
      </c>
      <c r="N87" s="63" t="s">
        <v>39</v>
      </c>
      <c r="O87" s="56"/>
      <c r="P87" s="64"/>
    </row>
    <row r="88" spans="2:57">
      <c r="B88" s="29" t="s">
        <v>6</v>
      </c>
      <c r="C88" s="65"/>
      <c r="D88" s="76"/>
      <c r="E88" s="76">
        <v>7.2663164989303004</v>
      </c>
      <c r="F88" s="66">
        <v>4.8</v>
      </c>
      <c r="G88" s="65"/>
      <c r="H88" s="76"/>
      <c r="I88" s="76">
        <v>7.5478155120999437</v>
      </c>
      <c r="J88" s="66">
        <v>4.8</v>
      </c>
      <c r="K88" s="67"/>
      <c r="L88" s="194"/>
      <c r="M88" s="194">
        <v>0.75970500394081208</v>
      </c>
      <c r="N88" s="68">
        <v>1</v>
      </c>
      <c r="O88" s="56"/>
      <c r="P88" s="69"/>
    </row>
    <row r="89" spans="2:57">
      <c r="B89" s="33" t="s">
        <v>9</v>
      </c>
      <c r="C89" s="65"/>
      <c r="D89" s="76"/>
      <c r="E89" s="76">
        <v>6.1326235005825733</v>
      </c>
      <c r="F89" s="66">
        <v>4.8</v>
      </c>
      <c r="G89" s="65"/>
      <c r="H89" s="76"/>
      <c r="I89" s="76">
        <v>6.6012405294716094</v>
      </c>
      <c r="J89" s="66">
        <v>4.8</v>
      </c>
      <c r="K89" s="67"/>
      <c r="L89" s="194"/>
      <c r="M89" s="194">
        <v>0.75323691521525205</v>
      </c>
      <c r="N89" s="68">
        <v>1</v>
      </c>
      <c r="P89" s="69"/>
    </row>
    <row r="90" spans="2:57">
      <c r="B90" s="34" t="s">
        <v>40</v>
      </c>
      <c r="C90" s="65"/>
      <c r="D90" s="76"/>
      <c r="E90" s="76">
        <v>12.554572931825788</v>
      </c>
      <c r="F90" s="66">
        <v>5.5</v>
      </c>
      <c r="G90" s="65"/>
      <c r="H90" s="76"/>
      <c r="I90" s="76">
        <v>13.449891307585697</v>
      </c>
      <c r="J90" s="66">
        <v>5.5</v>
      </c>
      <c r="K90" s="67"/>
      <c r="L90" s="194"/>
      <c r="M90" s="194">
        <v>0.54554653679653675</v>
      </c>
      <c r="N90" s="68">
        <v>1</v>
      </c>
      <c r="P90" s="69"/>
    </row>
    <row r="91" spans="2:57">
      <c r="B91" s="22" t="s">
        <v>33</v>
      </c>
      <c r="C91" s="65"/>
      <c r="D91" s="76"/>
      <c r="E91" s="76">
        <v>2.2218158544390558</v>
      </c>
      <c r="F91" s="66">
        <v>3.3</v>
      </c>
      <c r="G91" s="65"/>
      <c r="H91" s="76"/>
      <c r="I91" s="76">
        <v>5.0359151649923692</v>
      </c>
      <c r="J91" s="66">
        <v>3.3</v>
      </c>
      <c r="K91" s="67"/>
      <c r="L91" s="194"/>
      <c r="M91" s="194">
        <v>0.87880701754385959</v>
      </c>
      <c r="N91" s="68">
        <v>1</v>
      </c>
      <c r="P91" s="69"/>
    </row>
    <row r="92" spans="2:57">
      <c r="B92" s="35" t="s">
        <v>29</v>
      </c>
      <c r="C92" s="65"/>
      <c r="D92" s="76"/>
      <c r="E92" s="76"/>
      <c r="F92" s="66">
        <v>3.3</v>
      </c>
      <c r="G92" s="282"/>
      <c r="H92" s="76"/>
      <c r="I92" s="76"/>
      <c r="J92" s="66">
        <v>3</v>
      </c>
      <c r="L92" s="194"/>
      <c r="M92" s="194"/>
      <c r="N92" s="68">
        <v>1</v>
      </c>
      <c r="P92" s="69"/>
    </row>
    <row r="93" spans="2:57">
      <c r="B93" s="36" t="s">
        <v>15</v>
      </c>
      <c r="C93" s="282"/>
      <c r="D93" s="76"/>
      <c r="E93" s="76">
        <v>7.8262258425171876</v>
      </c>
      <c r="F93" s="70">
        <f>[21]May_2022!$M$43</f>
        <v>3.4878406700073312</v>
      </c>
      <c r="G93" s="282"/>
      <c r="H93" s="76"/>
      <c r="I93" s="76">
        <v>9.4300678869947632</v>
      </c>
      <c r="J93" s="66">
        <v>5.5</v>
      </c>
      <c r="K93" s="67"/>
      <c r="L93" s="194"/>
      <c r="M93" s="194">
        <v>0.674970760233918</v>
      </c>
      <c r="N93" s="68">
        <v>1</v>
      </c>
      <c r="P93" s="69"/>
    </row>
    <row r="94" spans="2:57">
      <c r="B94" s="37" t="s">
        <v>16</v>
      </c>
      <c r="C94" s="65"/>
      <c r="D94" s="76"/>
      <c r="E94" s="76">
        <v>1.85607294041028</v>
      </c>
      <c r="F94" s="66">
        <v>3.3</v>
      </c>
      <c r="G94" s="282"/>
      <c r="H94" s="76"/>
      <c r="I94" s="76">
        <v>4.5764571827076486</v>
      </c>
      <c r="J94" s="66">
        <v>3.3</v>
      </c>
      <c r="K94" s="67"/>
      <c r="L94" s="194"/>
      <c r="M94" s="194">
        <v>0.83594855305466242</v>
      </c>
      <c r="N94" s="71">
        <v>1</v>
      </c>
      <c r="P94" s="69"/>
    </row>
    <row r="95" spans="2:57" ht="14.4" thickBot="1">
      <c r="B95" s="38" t="s">
        <v>127</v>
      </c>
      <c r="C95" s="65"/>
      <c r="D95" s="76"/>
      <c r="E95" s="76"/>
      <c r="F95" s="66">
        <v>7.5</v>
      </c>
      <c r="G95" s="282"/>
      <c r="H95" s="76"/>
      <c r="I95" s="76"/>
      <c r="J95" s="66">
        <v>7.5</v>
      </c>
      <c r="K95" s="67"/>
      <c r="L95" s="194"/>
      <c r="M95" s="194"/>
      <c r="N95" s="71">
        <v>1</v>
      </c>
      <c r="P95" s="69"/>
    </row>
    <row r="96" spans="2:57" ht="14.4" thickBot="1">
      <c r="B96" s="417" t="s">
        <v>161</v>
      </c>
      <c r="C96" s="65"/>
      <c r="D96" s="76"/>
      <c r="E96" s="76">
        <v>4.8792508624938291</v>
      </c>
      <c r="F96" s="66">
        <v>4.8</v>
      </c>
      <c r="G96" s="282"/>
      <c r="H96" s="76"/>
      <c r="I96" s="76">
        <v>6.2003723782925313</v>
      </c>
      <c r="J96" s="66">
        <v>4.8</v>
      </c>
      <c r="K96" s="67"/>
      <c r="L96" s="194"/>
      <c r="M96" s="194">
        <v>0.33859649122807017</v>
      </c>
      <c r="N96" s="71">
        <v>1</v>
      </c>
      <c r="O96" s="74"/>
      <c r="P96" s="75"/>
    </row>
    <row r="97" spans="4:14">
      <c r="D97" s="76"/>
      <c r="E97" s="76">
        <v>6.9068713416994987</v>
      </c>
      <c r="F97" s="341">
        <v>5.5</v>
      </c>
      <c r="H97" s="76"/>
      <c r="I97" s="76">
        <v>7.7100567550473089</v>
      </c>
      <c r="J97" s="341">
        <v>5.5</v>
      </c>
      <c r="K97" s="67"/>
      <c r="L97" s="194"/>
      <c r="M97" s="194">
        <v>0.73915991066443321</v>
      </c>
      <c r="N97" s="386">
        <v>1</v>
      </c>
    </row>
    <row r="101" spans="4:14">
      <c r="F101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51:N51"/>
    <mergeCell ref="D52:E52"/>
    <mergeCell ref="B53:B64"/>
    <mergeCell ref="D53:E54"/>
    <mergeCell ref="D55:E56"/>
    <mergeCell ref="D57:E58"/>
    <mergeCell ref="D59:E60"/>
    <mergeCell ref="D61:E62"/>
    <mergeCell ref="D63:E64"/>
    <mergeCell ref="B65:B74"/>
    <mergeCell ref="D65:E66"/>
    <mergeCell ref="J65:K65"/>
    <mergeCell ref="L66:N66"/>
    <mergeCell ref="D67:E68"/>
    <mergeCell ref="D69:E70"/>
    <mergeCell ref="D71:E72"/>
    <mergeCell ref="D73:E74"/>
    <mergeCell ref="D75:E75"/>
    <mergeCell ref="B80:B81"/>
    <mergeCell ref="C80:C81"/>
    <mergeCell ref="D80:D81"/>
    <mergeCell ref="E80:E81"/>
    <mergeCell ref="M80:M81"/>
    <mergeCell ref="B86:F86"/>
    <mergeCell ref="G86:J86"/>
    <mergeCell ref="K86:N86"/>
    <mergeCell ref="G80:G81"/>
    <mergeCell ref="H80:H81"/>
    <mergeCell ref="I80:I81"/>
    <mergeCell ref="J80:J81"/>
    <mergeCell ref="K80:K81"/>
    <mergeCell ref="L80:L81"/>
    <mergeCell ref="F80:F81"/>
  </mergeCells>
  <conditionalFormatting sqref="B75:B76">
    <cfRule type="cellIs" dxfId="2234" priority="119" operator="notBetween">
      <formula>#REF!</formula>
      <formula>#REF!</formula>
    </cfRule>
  </conditionalFormatting>
  <conditionalFormatting sqref="C79">
    <cfRule type="cellIs" dxfId="2233" priority="151" stopIfTrue="1" operator="greaterThan">
      <formula>100</formula>
    </cfRule>
    <cfRule type="cellIs" dxfId="2232" priority="150" stopIfTrue="1" operator="lessThan">
      <formula>96</formula>
    </cfRule>
  </conditionalFormatting>
  <conditionalFormatting sqref="C88:C89">
    <cfRule type="cellIs" dxfId="2231" priority="94" stopIfTrue="1" operator="lessThanOrEqual">
      <formula>0</formula>
    </cfRule>
  </conditionalFormatting>
  <conditionalFormatting sqref="C88:C92">
    <cfRule type="cellIs" dxfId="2230" priority="93" stopIfTrue="1" operator="greaterThan">
      <formula>$F88</formula>
    </cfRule>
  </conditionalFormatting>
  <conditionalFormatting sqref="C89">
    <cfRule type="cellIs" dxfId="2229" priority="154" stopIfTrue="1" operator="greaterThan">
      <formula>$F88</formula>
    </cfRule>
  </conditionalFormatting>
  <conditionalFormatting sqref="C90:C93">
    <cfRule type="cellIs" dxfId="2228" priority="103" stopIfTrue="1" operator="lessThanOrEqual">
      <formula>0</formula>
    </cfRule>
  </conditionalFormatting>
  <conditionalFormatting sqref="C93">
    <cfRule type="cellIs" dxfId="2227" priority="102" stopIfTrue="1" operator="greaterThan">
      <formula>$J93</formula>
    </cfRule>
  </conditionalFormatting>
  <conditionalFormatting sqref="C99:C103">
    <cfRule type="cellIs" dxfId="2226" priority="142" stopIfTrue="1" operator="lessThanOrEqual">
      <formula>0</formula>
    </cfRule>
  </conditionalFormatting>
  <conditionalFormatting sqref="C100:C103">
    <cfRule type="cellIs" dxfId="2225" priority="141" stopIfTrue="1" operator="greaterThan">
      <formula>$F$99</formula>
    </cfRule>
  </conditionalFormatting>
  <conditionalFormatting sqref="C105">
    <cfRule type="cellIs" dxfId="2224" priority="143" stopIfTrue="1" operator="greaterThan">
      <formula>$F$99</formula>
    </cfRule>
    <cfRule type="cellIs" dxfId="2223" priority="144" stopIfTrue="1" operator="lessThanOrEqual">
      <formula>0</formula>
    </cfRule>
  </conditionalFormatting>
  <conditionalFormatting sqref="C99:D99 D101:D107">
    <cfRule type="cellIs" dxfId="2222" priority="136" stopIfTrue="1" operator="greaterThan">
      <formula>4.5</formula>
    </cfRule>
  </conditionalFormatting>
  <conditionalFormatting sqref="D75:D76">
    <cfRule type="cellIs" dxfId="2221" priority="120" operator="notBetween">
      <formula>#REF!</formula>
      <formula>#REF!</formula>
    </cfRule>
  </conditionalFormatting>
  <conditionalFormatting sqref="D88:D95">
    <cfRule type="cellIs" dxfId="2220" priority="113" stopIfTrue="1" operator="lessThanOrEqual">
      <formula>0</formula>
    </cfRule>
  </conditionalFormatting>
  <conditionalFormatting sqref="D96">
    <cfRule type="cellIs" dxfId="2219" priority="112" stopIfTrue="1" operator="lessThanOrEqual">
      <formula>0</formula>
    </cfRule>
  </conditionalFormatting>
  <conditionalFormatting sqref="D99 D101:D107">
    <cfRule type="cellIs" dxfId="2218" priority="137" stopIfTrue="1" operator="lessThanOrEqual">
      <formula>0</formula>
    </cfRule>
  </conditionalFormatting>
  <conditionalFormatting sqref="D100">
    <cfRule type="cellIs" dxfId="2217" priority="129" stopIfTrue="1" operator="lessThanOrEqual">
      <formula>0</formula>
    </cfRule>
    <cfRule type="cellIs" dxfId="2216" priority="128" stopIfTrue="1" operator="greaterThan">
      <formula>$F$99</formula>
    </cfRule>
  </conditionalFormatting>
  <conditionalFormatting sqref="D88:E97">
    <cfRule type="cellIs" dxfId="2215" priority="90" stopIfTrue="1" operator="greaterThan">
      <formula>$F88</formula>
    </cfRule>
  </conditionalFormatting>
  <conditionalFormatting sqref="D97:E97">
    <cfRule type="cellIs" dxfId="2214" priority="91" stopIfTrue="1" operator="lessThanOrEqual">
      <formula>0</formula>
    </cfRule>
  </conditionalFormatting>
  <conditionalFormatting sqref="E10:E30">
    <cfRule type="cellIs" dxfId="2213" priority="13" operator="lessThan">
      <formula>48</formula>
    </cfRule>
  </conditionalFormatting>
  <conditionalFormatting sqref="E32:E50">
    <cfRule type="cellIs" dxfId="2212" priority="26" operator="lessThan">
      <formula>48</formula>
    </cfRule>
  </conditionalFormatting>
  <conditionalFormatting sqref="E78 E79:F79">
    <cfRule type="cellIs" dxfId="2211" priority="133" stopIfTrue="1" operator="greaterThan">
      <formula>100</formula>
    </cfRule>
  </conditionalFormatting>
  <conditionalFormatting sqref="E79">
    <cfRule type="cellIs" dxfId="2210" priority="131" stopIfTrue="1" operator="greaterThan">
      <formula>100</formula>
    </cfRule>
    <cfRule type="cellIs" dxfId="2209" priority="130" stopIfTrue="1" operator="lessThan">
      <formula>96.8</formula>
    </cfRule>
  </conditionalFormatting>
  <conditionalFormatting sqref="E88:E96">
    <cfRule type="cellIs" dxfId="2208" priority="107" stopIfTrue="1" operator="lessThanOrEqual">
      <formula>0</formula>
    </cfRule>
  </conditionalFormatting>
  <conditionalFormatting sqref="E99:E107">
    <cfRule type="cellIs" dxfId="2207" priority="123" stopIfTrue="1" operator="lessThanOrEqual">
      <formula>0</formula>
    </cfRule>
    <cfRule type="cellIs" dxfId="2206" priority="122" stopIfTrue="1" operator="greaterThan">
      <formula>4.5</formula>
    </cfRule>
  </conditionalFormatting>
  <conditionalFormatting sqref="E31:F31">
    <cfRule type="cellIs" dxfId="2205" priority="9" operator="lessThan">
      <formula>48</formula>
    </cfRule>
  </conditionalFormatting>
  <conditionalFormatting sqref="E79:F79 E78">
    <cfRule type="cellIs" dxfId="2204" priority="132" stopIfTrue="1" operator="lessThan">
      <formula>96.5</formula>
    </cfRule>
  </conditionalFormatting>
  <conditionalFormatting sqref="F10:F30">
    <cfRule type="cellIs" dxfId="2203" priority="14" operator="greaterThan">
      <formula>60</formula>
    </cfRule>
  </conditionalFormatting>
  <conditionalFormatting sqref="F32:F50">
    <cfRule type="cellIs" dxfId="2202" priority="27" operator="greaterThan">
      <formula>60</formula>
    </cfRule>
  </conditionalFormatting>
  <conditionalFormatting sqref="F79">
    <cfRule type="cellIs" dxfId="2201" priority="148" stopIfTrue="1" operator="lessThan">
      <formula>96.8</formula>
    </cfRule>
    <cfRule type="cellIs" dxfId="2200" priority="149" stopIfTrue="1" operator="greaterThan">
      <formula>100</formula>
    </cfRule>
  </conditionalFormatting>
  <conditionalFormatting sqref="F97">
    <cfRule type="cellIs" dxfId="2199" priority="108" stopIfTrue="1" operator="greaterThan">
      <formula>$F97</formula>
    </cfRule>
    <cfRule type="cellIs" dxfId="2198" priority="109" stopIfTrue="1" operator="lessThanOrEqual">
      <formula>0</formula>
    </cfRule>
  </conditionalFormatting>
  <conditionalFormatting sqref="G48:G50">
    <cfRule type="expression" dxfId="2197" priority="50">
      <formula>IF(+(IF(G48&lt;#REF!,0,IF(G48&gt;#REF!,0,1)))=0,1)</formula>
    </cfRule>
  </conditionalFormatting>
  <conditionalFormatting sqref="G88:G89 C94:C96">
    <cfRule type="cellIs" dxfId="2196" priority="114" stopIfTrue="1" operator="greaterThan">
      <formula>$F88</formula>
    </cfRule>
    <cfRule type="cellIs" dxfId="2195" priority="115" stopIfTrue="1" operator="lessThanOrEqual">
      <formula>0</formula>
    </cfRule>
  </conditionalFormatting>
  <conditionalFormatting sqref="G88:G89">
    <cfRule type="cellIs" dxfId="2194" priority="96" stopIfTrue="1" operator="lessThanOrEqual">
      <formula>0</formula>
    </cfRule>
    <cfRule type="cellIs" dxfId="2193" priority="95" stopIfTrue="1" operator="greaterThan">
      <formula>$F88</formula>
    </cfRule>
  </conditionalFormatting>
  <conditionalFormatting sqref="G90">
    <cfRule type="cellIs" dxfId="2192" priority="153" stopIfTrue="1" operator="lessThanOrEqual">
      <formula>0</formula>
    </cfRule>
    <cfRule type="cellIs" dxfId="2191" priority="152" stopIfTrue="1" operator="greaterThan">
      <formula>$F89</formula>
    </cfRule>
  </conditionalFormatting>
  <conditionalFormatting sqref="G91">
    <cfRule type="cellIs" dxfId="2190" priority="111" stopIfTrue="1" operator="lessThanOrEqual">
      <formula>0</formula>
    </cfRule>
    <cfRule type="cellIs" dxfId="2189" priority="110" stopIfTrue="1" operator="greaterThan">
      <formula>$F91</formula>
    </cfRule>
  </conditionalFormatting>
  <conditionalFormatting sqref="G92:G96">
    <cfRule type="cellIs" dxfId="2188" priority="116" stopIfTrue="1" operator="greaterThan">
      <formula>$J92</formula>
    </cfRule>
    <cfRule type="cellIs" dxfId="2187" priority="117" stopIfTrue="1" operator="lessThanOrEqual">
      <formula>0</formula>
    </cfRule>
  </conditionalFormatting>
  <conditionalFormatting sqref="G101:G106 C104 C106">
    <cfRule type="cellIs" dxfId="2186" priority="146" stopIfTrue="1" operator="lessThanOrEqual">
      <formula>0</formula>
    </cfRule>
    <cfRule type="cellIs" dxfId="2185" priority="145" stopIfTrue="1" operator="greaterThan">
      <formula>4.5</formula>
    </cfRule>
  </conditionalFormatting>
  <conditionalFormatting sqref="G10:H47">
    <cfRule type="expression" dxfId="2184" priority="1">
      <formula>IF(+(IF(G10&lt;#REF!,0,IF(G10&gt;#REF!,0,1)))=0,1)</formula>
    </cfRule>
  </conditionalFormatting>
  <conditionalFormatting sqref="G100:H100">
    <cfRule type="cellIs" dxfId="2183" priority="127" stopIfTrue="1" operator="lessThanOrEqual">
      <formula>0</formula>
    </cfRule>
    <cfRule type="cellIs" dxfId="2182" priority="126" stopIfTrue="1" operator="greaterThan">
      <formula>$F$99</formula>
    </cfRule>
  </conditionalFormatting>
  <conditionalFormatting sqref="H48:H50">
    <cfRule type="expression" dxfId="2181" priority="53">
      <formula>IF(+(IF(H48&lt;T48,0,IF(H48&gt;U48,0,1)))=0,1)</formula>
    </cfRule>
  </conditionalFormatting>
  <conditionalFormatting sqref="H64:H78 I66:I77">
    <cfRule type="cellIs" dxfId="2180" priority="124" stopIfTrue="1" operator="greaterThan">
      <formula>0</formula>
    </cfRule>
  </conditionalFormatting>
  <conditionalFormatting sqref="H82">
    <cfRule type="cellIs" dxfId="2179" priority="37" stopIfTrue="1" operator="lessThanOrEqual">
      <formula>0</formula>
    </cfRule>
    <cfRule type="cellIs" dxfId="2178" priority="46" stopIfTrue="1" operator="greaterThan">
      <formula>$F$90</formula>
    </cfRule>
    <cfRule type="cellIs" dxfId="2177" priority="49" stopIfTrue="1" operator="lessThanOrEqual">
      <formula>0</formula>
    </cfRule>
    <cfRule type="cellIs" dxfId="2176" priority="48" stopIfTrue="1" operator="greaterThan">
      <formula>$F$88</formula>
    </cfRule>
    <cfRule type="cellIs" dxfId="2175" priority="47" stopIfTrue="1" operator="lessThanOrEqual">
      <formula>0</formula>
    </cfRule>
    <cfRule type="cellIs" dxfId="2174" priority="38" stopIfTrue="1" operator="greaterThan">
      <formula>$F$87</formula>
    </cfRule>
  </conditionalFormatting>
  <conditionalFormatting sqref="H83:H84">
    <cfRule type="cellIs" dxfId="2173" priority="64" stopIfTrue="1" operator="greaterThan">
      <formula>$F$63</formula>
    </cfRule>
    <cfRule type="cellIs" dxfId="2172" priority="72" stopIfTrue="1" operator="greaterThan">
      <formula>$F$66</formula>
    </cfRule>
    <cfRule type="cellIs" dxfId="2171" priority="63" stopIfTrue="1" operator="lessThanOrEqual">
      <formula>0</formula>
    </cfRule>
    <cfRule type="cellIs" dxfId="2170" priority="75" stopIfTrue="1" operator="lessThanOrEqual">
      <formula>0</formula>
    </cfRule>
    <cfRule type="cellIs" dxfId="2169" priority="74" stopIfTrue="1" operator="greaterThan">
      <formula>$F$64</formula>
    </cfRule>
    <cfRule type="cellIs" dxfId="2168" priority="73" stopIfTrue="1" operator="lessThanOrEqual">
      <formula>0</formula>
    </cfRule>
  </conditionalFormatting>
  <conditionalFormatting sqref="H88:H95">
    <cfRule type="cellIs" dxfId="2167" priority="100" stopIfTrue="1" operator="greaterThan">
      <formula>$J88</formula>
    </cfRule>
    <cfRule type="cellIs" dxfId="2166" priority="101" stopIfTrue="1" operator="lessThanOrEqual">
      <formula>0</formula>
    </cfRule>
  </conditionalFormatting>
  <conditionalFormatting sqref="H96">
    <cfRule type="cellIs" dxfId="2165" priority="104" operator="greaterThan">
      <formula>5.3</formula>
    </cfRule>
  </conditionalFormatting>
  <conditionalFormatting sqref="H99 H101:H107">
    <cfRule type="cellIs" dxfId="2164" priority="139" stopIfTrue="1" operator="lessThanOrEqual">
      <formula>0</formula>
    </cfRule>
    <cfRule type="cellIs" dxfId="2163" priority="138" stopIfTrue="1" operator="greaterThan">
      <formula>4.5</formula>
    </cfRule>
  </conditionalFormatting>
  <conditionalFormatting sqref="H82:I82">
    <cfRule type="cellIs" dxfId="2162" priority="39" stopIfTrue="1" operator="lessThanOrEqual">
      <formula>0</formula>
    </cfRule>
    <cfRule type="cellIs" dxfId="2161" priority="36" stopIfTrue="1" operator="greaterThan">
      <formula>$F$89</formula>
    </cfRule>
  </conditionalFormatting>
  <conditionalFormatting sqref="H83:I84">
    <cfRule type="cellIs" dxfId="2160" priority="65" stopIfTrue="1" operator="lessThanOrEqual">
      <formula>0</formula>
    </cfRule>
    <cfRule type="cellIs" dxfId="2159" priority="62" stopIfTrue="1" operator="greaterThan">
      <formula>$F$65</formula>
    </cfRule>
  </conditionalFormatting>
  <conditionalFormatting sqref="H97:I97">
    <cfRule type="cellIs" dxfId="2158" priority="88" stopIfTrue="1" operator="greaterThan">
      <formula>$J97</formula>
    </cfRule>
    <cfRule type="cellIs" dxfId="2157" priority="89" stopIfTrue="1" operator="lessThanOrEqual">
      <formula>0</formula>
    </cfRule>
  </conditionalFormatting>
  <conditionalFormatting sqref="I48:I50">
    <cfRule type="cellIs" dxfId="2156" priority="61" operator="lessThan">
      <formula>97.9</formula>
    </cfRule>
  </conditionalFormatting>
  <conditionalFormatting sqref="I82">
    <cfRule type="cellIs" dxfId="2155" priority="45" stopIfTrue="1" operator="lessThanOrEqual">
      <formula>0</formula>
    </cfRule>
    <cfRule type="cellIs" dxfId="2154" priority="44" stopIfTrue="1" operator="greaterThan">
      <formula>$F$87</formula>
    </cfRule>
    <cfRule type="cellIs" dxfId="2153" priority="43" stopIfTrue="1" operator="lessThanOrEqual">
      <formula>0</formula>
    </cfRule>
    <cfRule type="cellIs" dxfId="2152" priority="42" stopIfTrue="1" operator="greaterThan">
      <formula>$F$89</formula>
    </cfRule>
    <cfRule type="cellIs" dxfId="2151" priority="41" stopIfTrue="1" operator="lessThanOrEqual">
      <formula>0</formula>
    </cfRule>
    <cfRule type="cellIs" dxfId="2150" priority="40" stopIfTrue="1" operator="greaterThan">
      <formula>$F$87</formula>
    </cfRule>
  </conditionalFormatting>
  <conditionalFormatting sqref="I83:I84">
    <cfRule type="cellIs" dxfId="2149" priority="67" stopIfTrue="1" operator="lessThanOrEqual">
      <formula>0</formula>
    </cfRule>
    <cfRule type="cellIs" dxfId="2148" priority="71" stopIfTrue="1" operator="lessThanOrEqual">
      <formula>0</formula>
    </cfRule>
    <cfRule type="cellIs" dxfId="2147" priority="70" stopIfTrue="1" operator="greaterThan">
      <formula>$F$63</formula>
    </cfRule>
    <cfRule type="cellIs" dxfId="2146" priority="69" stopIfTrue="1" operator="lessThanOrEqual">
      <formula>0</formula>
    </cfRule>
    <cfRule type="cellIs" dxfId="2145" priority="68" stopIfTrue="1" operator="greaterThan">
      <formula>$F$65</formula>
    </cfRule>
    <cfRule type="cellIs" dxfId="2144" priority="66" stopIfTrue="1" operator="greaterThan">
      <formula>$F$63</formula>
    </cfRule>
  </conditionalFormatting>
  <conditionalFormatting sqref="I88:I96">
    <cfRule type="cellIs" dxfId="2143" priority="105" stopIfTrue="1" operator="greaterThan">
      <formula>$J88</formula>
    </cfRule>
    <cfRule type="cellIs" dxfId="2142" priority="106" stopIfTrue="1" operator="lessThanOrEqual">
      <formula>0</formula>
    </cfRule>
  </conditionalFormatting>
  <conditionalFormatting sqref="I99:I107">
    <cfRule type="cellIs" dxfId="2141" priority="135" stopIfTrue="1" operator="lessThanOrEqual">
      <formula>0</formula>
    </cfRule>
    <cfRule type="cellIs" dxfId="2140" priority="134" stopIfTrue="1" operator="greaterThan">
      <formula>4.5</formula>
    </cfRule>
  </conditionalFormatting>
  <conditionalFormatting sqref="I10:J47">
    <cfRule type="cellIs" dxfId="2139" priority="11" operator="lessThan">
      <formula>97.9</formula>
    </cfRule>
  </conditionalFormatting>
  <conditionalFormatting sqref="J48:J50">
    <cfRule type="cellIs" dxfId="2138" priority="56" operator="greaterThan">
      <formula>6</formula>
    </cfRule>
    <cfRule type="cellIs" dxfId="2137" priority="60" operator="greaterThan">
      <formula>6.4</formula>
    </cfRule>
    <cfRule type="cellIs" dxfId="2136" priority="57" operator="lessThan">
      <formula>4</formula>
    </cfRule>
  </conditionalFormatting>
  <conditionalFormatting sqref="J53:J55">
    <cfRule type="cellIs" dxfId="2135" priority="78" stopIfTrue="1" operator="lessThan">
      <formula>96.8</formula>
    </cfRule>
    <cfRule type="cellIs" dxfId="2134" priority="79" stopIfTrue="1" operator="greaterThan">
      <formula>100</formula>
    </cfRule>
    <cfRule type="cellIs" dxfId="2133" priority="80" operator="lessThan">
      <formula>98</formula>
    </cfRule>
  </conditionalFormatting>
  <conditionalFormatting sqref="J53:J57">
    <cfRule type="cellIs" dxfId="2132" priority="77" operator="lessThan">
      <formula>97.4</formula>
    </cfRule>
  </conditionalFormatting>
  <conditionalFormatting sqref="J58">
    <cfRule type="cellIs" dxfId="2131" priority="81" operator="lessThan">
      <formula>98</formula>
    </cfRule>
  </conditionalFormatting>
  <conditionalFormatting sqref="J59:J61">
    <cfRule type="cellIs" dxfId="2130" priority="83" stopIfTrue="1" operator="greaterThan">
      <formula>100</formula>
    </cfRule>
    <cfRule type="cellIs" dxfId="2129" priority="82" stopIfTrue="1" operator="lessThan">
      <formula>96.8</formula>
    </cfRule>
  </conditionalFormatting>
  <conditionalFormatting sqref="J59:J62">
    <cfRule type="cellIs" dxfId="2128" priority="84" operator="lessThan">
      <formula>98</formula>
    </cfRule>
  </conditionalFormatting>
  <conditionalFormatting sqref="J97">
    <cfRule type="cellIs" dxfId="2127" priority="86" stopIfTrue="1" operator="lessThanOrEqual">
      <formula>0</formula>
    </cfRule>
    <cfRule type="cellIs" dxfId="2126" priority="85" stopIfTrue="1" operator="greaterThan">
      <formula>$F97</formula>
    </cfRule>
  </conditionalFormatting>
  <conditionalFormatting sqref="K10:K47">
    <cfRule type="cellIs" dxfId="2125" priority="5" operator="greaterThan">
      <formula>6</formula>
    </cfRule>
    <cfRule type="cellIs" dxfId="2124" priority="6" operator="lessThan">
      <formula>4</formula>
    </cfRule>
    <cfRule type="cellIs" dxfId="2123" priority="10" operator="greaterThan">
      <formula>6.4</formula>
    </cfRule>
  </conditionalFormatting>
  <conditionalFormatting sqref="K48:K50">
    <cfRule type="cellIs" dxfId="2122" priority="59" operator="greaterThan">
      <formula>65</formula>
    </cfRule>
    <cfRule type="cellIs" dxfId="2121" priority="58" operator="between">
      <formula>61</formula>
      <formula>65</formula>
    </cfRule>
  </conditionalFormatting>
  <conditionalFormatting sqref="K67:K76">
    <cfRule type="cellIs" dxfId="2120" priority="76" operator="notEqual">
      <formula>#REF!</formula>
    </cfRule>
  </conditionalFormatting>
  <conditionalFormatting sqref="K82:K84 K88:N91 L92:N92">
    <cfRule type="cellIs" dxfId="2119" priority="118" stopIfTrue="1" operator="lessThan">
      <formula>100%</formula>
    </cfRule>
  </conditionalFormatting>
  <conditionalFormatting sqref="K99:K104">
    <cfRule type="cellIs" dxfId="2118" priority="140" stopIfTrue="1" operator="lessThan">
      <formula>100%</formula>
    </cfRule>
  </conditionalFormatting>
  <conditionalFormatting sqref="K106:K107">
    <cfRule type="cellIs" dxfId="2117" priority="147" stopIfTrue="1" operator="lessThan">
      <formula>100%</formula>
    </cfRule>
  </conditionalFormatting>
  <conditionalFormatting sqref="K93:N97">
    <cfRule type="cellIs" dxfId="2116" priority="87" stopIfTrue="1" operator="lessThan">
      <formula>100%</formula>
    </cfRule>
  </conditionalFormatting>
  <conditionalFormatting sqref="L10:L21">
    <cfRule type="cellIs" dxfId="2115" priority="33" operator="greaterThan">
      <formula>65</formula>
    </cfRule>
    <cfRule type="cellIs" dxfId="2114" priority="32" operator="between">
      <formula>61</formula>
      <formula>65</formula>
    </cfRule>
  </conditionalFormatting>
  <conditionalFormatting sqref="L30:L47">
    <cfRule type="cellIs" dxfId="2113" priority="7" operator="between">
      <formula>61</formula>
      <formula>65</formula>
    </cfRule>
    <cfRule type="cellIs" dxfId="2112" priority="8" operator="greaterThan">
      <formula>65</formula>
    </cfRule>
  </conditionalFormatting>
  <conditionalFormatting sqref="L22:M29">
    <cfRule type="cellIs" dxfId="2111" priority="19" operator="between">
      <formula>61</formula>
      <formula>65</formula>
    </cfRule>
    <cfRule type="cellIs" dxfId="2110" priority="20" operator="greaterThan">
      <formula>65</formula>
    </cfRule>
  </conditionalFormatting>
  <conditionalFormatting sqref="L48:M50">
    <cfRule type="expression" dxfId="2109" priority="55">
      <formula>IF(+(IF(L48&lt;T48,0,IF(L48&gt;U48,0,1)))=0,1)</formula>
    </cfRule>
  </conditionalFormatting>
  <conditionalFormatting sqref="L68:N68">
    <cfRule type="cellIs" dxfId="2108" priority="23" operator="notEqual">
      <formula>#REF!</formula>
    </cfRule>
  </conditionalFormatting>
  <conditionalFormatting sqref="L99:N107">
    <cfRule type="cellIs" dxfId="2107" priority="125" stopIfTrue="1" operator="lessThan">
      <formula>100%</formula>
    </cfRule>
  </conditionalFormatting>
  <conditionalFormatting sqref="M10:M30">
    <cfRule type="expression" dxfId="2106" priority="16">
      <formula>IF(+(IF(M10&lt;U10,0,IF(M10&gt;V10,0,1)))=0,1)</formula>
    </cfRule>
  </conditionalFormatting>
  <conditionalFormatting sqref="M31">
    <cfRule type="expression" dxfId="2105" priority="3">
      <formula>IF(+(IF(M31&lt;V31,0,IF(M31&gt;W31,0,1)))=0,1)</formula>
    </cfRule>
  </conditionalFormatting>
  <conditionalFormatting sqref="M32:M47">
    <cfRule type="expression" dxfId="2104" priority="29">
      <formula>IF(+(IF(M32&lt;U32,0,IF(M32&gt;V32,0,1)))=0,1)</formula>
    </cfRule>
  </conditionalFormatting>
  <conditionalFormatting sqref="M53 L54:M64">
    <cfRule type="cellIs" dxfId="2103" priority="92" operator="lessThan">
      <formula>98</formula>
    </cfRule>
  </conditionalFormatting>
  <conditionalFormatting sqref="N10:N30">
    <cfRule type="expression" dxfId="2102" priority="15">
      <formula>IF(+(IF(N10&lt;W10,0,IF(N10&gt;X10,0,1)))=0,1)</formula>
    </cfRule>
  </conditionalFormatting>
  <conditionalFormatting sqref="N31">
    <cfRule type="expression" dxfId="2101" priority="4">
      <formula>IF(+(IF(N31&lt;X31,0,IF(N31&gt;Y31,0,1)))=0,1)</formula>
    </cfRule>
  </conditionalFormatting>
  <conditionalFormatting sqref="N32:N50">
    <cfRule type="expression" dxfId="2100" priority="28">
      <formula>IF(+(IF(N32&lt;W32,0,IF(N32&gt;X32,0,1)))=0,1)</formula>
    </cfRule>
  </conditionalFormatting>
  <conditionalFormatting sqref="P6">
    <cfRule type="cellIs" dxfId="2099" priority="121" operator="greaterThanOrEqual">
      <formula>19</formula>
    </cfRule>
  </conditionalFormatting>
  <dataValidations disablePrompts="1" count="1">
    <dataValidation type="list" allowBlank="1" showInputMessage="1" showErrorMessage="1" sqref="R8" xr:uid="{F839DB61-8B11-4D2F-A9E6-5991067B426A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101" max="16383" man="1"/>
  </rowBreaks>
  <colBreaks count="1" manualBreakCount="1">
    <brk id="15" max="89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CD1C6-10DC-4BB7-87F7-48972A3246D8}">
  <sheetPr codeName="Sheet4">
    <pageSetUpPr fitToPage="1"/>
  </sheetPr>
  <dimension ref="A1:BE84"/>
  <sheetViews>
    <sheetView topLeftCell="B28" zoomScale="80" zoomScaleNormal="80" workbookViewId="0">
      <selection activeCell="G52" sqref="G52"/>
    </sheetView>
  </sheetViews>
  <sheetFormatPr defaultColWidth="9.44140625" defaultRowHeight="13.8"/>
  <cols>
    <col min="1" max="1" width="3.33203125" style="275" customWidth="1"/>
    <col min="2" max="2" width="35.6640625" style="275" customWidth="1"/>
    <col min="3" max="3" width="19" style="275" customWidth="1"/>
    <col min="4" max="5" width="15.33203125" style="275" customWidth="1"/>
    <col min="6" max="6" width="16.6640625" style="275" customWidth="1"/>
    <col min="7" max="7" width="13.6640625" style="275" customWidth="1"/>
    <col min="8" max="8" width="9.6640625" style="275" customWidth="1"/>
    <col min="9" max="9" width="17.33203125" style="275" customWidth="1"/>
    <col min="10" max="10" width="21.3320312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45784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6.5" customHeight="1">
      <c r="B10" s="37" t="s">
        <v>16</v>
      </c>
      <c r="C10" s="366" t="str">
        <f>[27]Brewhouse!$A37</f>
        <v>SM028</v>
      </c>
      <c r="D10" s="279">
        <f>[27]Brewhouse!$AH36</f>
        <v>54.1</v>
      </c>
      <c r="E10" s="279">
        <f>[27]Brewhouse!$AM36</f>
        <v>52.1</v>
      </c>
      <c r="F10" s="278">
        <f>[27]Brewhouse!$Z37</f>
        <v>76</v>
      </c>
      <c r="G10" s="279">
        <f>[27]Brewhouse!$AK37</f>
        <v>17.600000000000001</v>
      </c>
      <c r="H10" s="367"/>
      <c r="I10" s="368">
        <f>[27]Brewhouse!$AY37</f>
        <v>96.781968082736597</v>
      </c>
      <c r="J10" s="368">
        <f>[27]Brewhouse!$AZ37</f>
        <v>97.616499546813472</v>
      </c>
      <c r="K10" s="281">
        <f>[27]Brewhouse!$U37</f>
        <v>3.9846743295019258</v>
      </c>
      <c r="L10" s="276">
        <f>[27]Brewhouse!$T37</f>
        <v>61</v>
      </c>
      <c r="M10" s="374">
        <f>[27]Brewhouse!$Y37-[27]Brewhouse!$X37</f>
        <v>0.12708333333333333</v>
      </c>
      <c r="N10" s="370">
        <f>[27]Brewhouse!$AD37</f>
        <v>0.27847222222222223</v>
      </c>
      <c r="O10" s="371" t="str">
        <f>[27]Brewhouse!$BC37</f>
        <v>R.Sookram</v>
      </c>
      <c r="P10" s="423" t="s">
        <v>176</v>
      </c>
      <c r="R10" s="277" t="str">
        <f t="shared" ref="R10:R24" si="0">B10</f>
        <v>STARMALT</v>
      </c>
      <c r="S10" s="296">
        <f t="shared" ref="S10:S24" si="1">VLOOKUP($B10,$R$3:$X$9,2,FALSE)</f>
        <v>17.100000000000001</v>
      </c>
      <c r="T10" s="296">
        <f t="shared" ref="T10:T24" si="2">VLOOKUP($B10,$R$3:$X$9,3,FALSE)</f>
        <v>17.5</v>
      </c>
      <c r="U10" s="297">
        <f t="shared" ref="U10:U24" si="3">VLOOKUP($B10,$R$3:$X$9,4,FALSE)</f>
        <v>0</v>
      </c>
      <c r="V10" s="297">
        <f t="shared" ref="V10:V24" si="4">VLOOKUP($B10,$R$3:$X$9,5,FALSE)</f>
        <v>0.13605324074074074</v>
      </c>
      <c r="W10" s="297">
        <f t="shared" ref="W10:W24" si="5">VLOOKUP($B10,$R$3:$X$9,6,FALSE)</f>
        <v>0.27430555555555552</v>
      </c>
      <c r="X10" s="297">
        <f t="shared" ref="X10:X24" si="6">VLOOKUP($B10,$R$3:$X$9,7,FALSE)</f>
        <v>0.30902777777777779</v>
      </c>
      <c r="Y10" s="297">
        <f t="shared" ref="Y10:Y24" si="7">VLOOKUP($B10,$R$3:$Z$9,8,FALSE)</f>
        <v>0</v>
      </c>
      <c r="Z10" s="296">
        <f t="shared" ref="Z10:Z24" si="8">VLOOKUP($B10,$R$3:$Z$9,9,FALSE)</f>
        <v>60</v>
      </c>
    </row>
    <row r="11" spans="2:29" ht="16.5" customHeight="1">
      <c r="B11" s="37" t="s">
        <v>16</v>
      </c>
      <c r="C11" s="366" t="str">
        <f>[27]Brewhouse!$A38</f>
        <v>SM029</v>
      </c>
      <c r="D11" s="279">
        <f>[27]Brewhouse!$AH37</f>
        <v>52.2</v>
      </c>
      <c r="E11" s="279">
        <f>[27]Brewhouse!$AM37</f>
        <v>50.1</v>
      </c>
      <c r="F11" s="278">
        <f>[27]Brewhouse!$Z38</f>
        <v>70</v>
      </c>
      <c r="G11" s="279">
        <f>[27]Brewhouse!$AK38</f>
        <v>17.5</v>
      </c>
      <c r="H11" s="367"/>
      <c r="I11" s="368">
        <f>[27]Brewhouse!$AY38</f>
        <v>97.813869443605739</v>
      </c>
      <c r="J11" s="368">
        <f>[27]Brewhouse!$AZ38</f>
        <v>98.658083892852559</v>
      </c>
      <c r="K11" s="281">
        <f>[27]Brewhouse!$U38</f>
        <v>4.1132075471698109</v>
      </c>
      <c r="L11" s="276">
        <f>[27]Brewhouse!$T38</f>
        <v>60</v>
      </c>
      <c r="M11" s="374">
        <f>[27]Brewhouse!$Y38-[27]Brewhouse!$X38</f>
        <v>0.12361111111111112</v>
      </c>
      <c r="N11" s="370">
        <f>[27]Brewhouse!$AD38</f>
        <v>0.27083333333333331</v>
      </c>
      <c r="O11" s="371" t="str">
        <f>[27]Brewhouse!$BC38</f>
        <v>K. Benjamin</v>
      </c>
      <c r="P11" s="423" t="s">
        <v>176</v>
      </c>
      <c r="R11" s="277" t="str">
        <f t="shared" si="0"/>
        <v>STARMALT</v>
      </c>
      <c r="S11" s="296">
        <f t="shared" si="1"/>
        <v>17.100000000000001</v>
      </c>
      <c r="T11" s="296">
        <f t="shared" si="2"/>
        <v>17.5</v>
      </c>
      <c r="U11" s="297">
        <f t="shared" si="3"/>
        <v>0</v>
      </c>
      <c r="V11" s="297">
        <f t="shared" si="4"/>
        <v>0.13605324074074074</v>
      </c>
      <c r="W11" s="297">
        <f t="shared" si="5"/>
        <v>0.27430555555555552</v>
      </c>
      <c r="X11" s="297">
        <f t="shared" si="6"/>
        <v>0.30902777777777779</v>
      </c>
      <c r="Y11" s="297">
        <f t="shared" si="7"/>
        <v>0</v>
      </c>
      <c r="Z11" s="296">
        <f t="shared" si="8"/>
        <v>60</v>
      </c>
    </row>
    <row r="12" spans="2:29" ht="16.5" customHeight="1">
      <c r="B12" s="37" t="s">
        <v>16</v>
      </c>
      <c r="C12" s="366" t="str">
        <f>[27]Brewhouse!$A39</f>
        <v>SM030</v>
      </c>
      <c r="D12" s="279">
        <f>[27]Brewhouse!$AH38</f>
        <v>53</v>
      </c>
      <c r="E12" s="279">
        <f>[27]Brewhouse!$AM38</f>
        <v>51</v>
      </c>
      <c r="F12" s="278">
        <f>[27]Brewhouse!$Z39</f>
        <v>81</v>
      </c>
      <c r="G12" s="279">
        <f>[27]Brewhouse!$AK39</f>
        <v>17.14</v>
      </c>
      <c r="H12" s="367"/>
      <c r="I12" s="368">
        <f>[27]Brewhouse!$AY39</f>
        <v>99.68712102254257</v>
      </c>
      <c r="J12" s="368">
        <f>[27]Brewhouse!$AZ39</f>
        <v>100.54830204171314</v>
      </c>
      <c r="K12" s="281">
        <f>[27]Brewhouse!$U39</f>
        <v>2.6235741444866969</v>
      </c>
      <c r="L12" s="276">
        <f>[27]Brewhouse!$T39</f>
        <v>61</v>
      </c>
      <c r="M12" s="374">
        <f>[27]Brewhouse!$Y39-[27]Brewhouse!$X39</f>
        <v>0.13819444444444451</v>
      </c>
      <c r="N12" s="370">
        <f>[27]Brewhouse!$AD39</f>
        <v>0.2902777777777778</v>
      </c>
      <c r="O12" s="371" t="str">
        <f>[27]Brewhouse!$BC39</f>
        <v>K. Benjamin</v>
      </c>
      <c r="P12" s="423" t="s">
        <v>176</v>
      </c>
      <c r="R12" s="277" t="str">
        <f t="shared" si="0"/>
        <v>STARMALT</v>
      </c>
      <c r="S12" s="296">
        <f t="shared" si="1"/>
        <v>17.100000000000001</v>
      </c>
      <c r="T12" s="296">
        <f t="shared" si="2"/>
        <v>17.5</v>
      </c>
      <c r="U12" s="297">
        <f t="shared" si="3"/>
        <v>0</v>
      </c>
      <c r="V12" s="297">
        <f t="shared" si="4"/>
        <v>0.13605324074074074</v>
      </c>
      <c r="W12" s="297">
        <f t="shared" si="5"/>
        <v>0.27430555555555552</v>
      </c>
      <c r="X12" s="297">
        <f t="shared" si="6"/>
        <v>0.30902777777777779</v>
      </c>
      <c r="Y12" s="297">
        <f t="shared" si="7"/>
        <v>0</v>
      </c>
      <c r="Z12" s="296">
        <f t="shared" si="8"/>
        <v>60</v>
      </c>
    </row>
    <row r="13" spans="2:29" ht="16.5" customHeight="1">
      <c r="B13" s="37" t="s">
        <v>16</v>
      </c>
      <c r="C13" s="366" t="str">
        <f>[27]Brewhouse!$A40</f>
        <v>SM031</v>
      </c>
      <c r="D13" s="279">
        <f>[27]Brewhouse!$AH39</f>
        <v>52.6</v>
      </c>
      <c r="E13" s="279">
        <f>[27]Brewhouse!$AM39</f>
        <v>53.3</v>
      </c>
      <c r="F13" s="278">
        <f>[27]Brewhouse!$Z40</f>
        <v>83</v>
      </c>
      <c r="G13" s="367">
        <f>[27]Brewhouse!$AK40</f>
        <v>16.87</v>
      </c>
      <c r="H13" s="367"/>
      <c r="I13" s="368">
        <f>[27]Brewhouse!$AY40</f>
        <v>98.326953759607903</v>
      </c>
      <c r="J13" s="368">
        <f>[27]Brewhouse!$AZ40</f>
        <v>99.175596550108509</v>
      </c>
      <c r="K13" s="281">
        <f>[27]Brewhouse!$U40</f>
        <v>4.0445269016697587</v>
      </c>
      <c r="L13" s="276">
        <f>[27]Brewhouse!$T40</f>
        <v>59</v>
      </c>
      <c r="M13" s="374">
        <f>[27]Brewhouse!$Y40-[27]Brewhouse!$X40</f>
        <v>0.1381944444444444</v>
      </c>
      <c r="N13" s="370">
        <f>[27]Brewhouse!$AD40</f>
        <v>0.29375000000000001</v>
      </c>
      <c r="O13" s="371" t="str">
        <f>[27]Brewhouse!$BC40</f>
        <v>K. Benjamin</v>
      </c>
      <c r="P13" s="423" t="s">
        <v>175</v>
      </c>
      <c r="R13" s="277" t="str">
        <f t="shared" si="0"/>
        <v>STARMALT</v>
      </c>
      <c r="S13" s="296">
        <f t="shared" si="1"/>
        <v>17.100000000000001</v>
      </c>
      <c r="T13" s="296">
        <f t="shared" si="2"/>
        <v>17.5</v>
      </c>
      <c r="U13" s="297">
        <f t="shared" si="3"/>
        <v>0</v>
      </c>
      <c r="V13" s="297">
        <f t="shared" si="4"/>
        <v>0.13605324074074074</v>
      </c>
      <c r="W13" s="297">
        <f t="shared" si="5"/>
        <v>0.27430555555555552</v>
      </c>
      <c r="X13" s="297">
        <f t="shared" si="6"/>
        <v>0.30902777777777779</v>
      </c>
      <c r="Y13" s="297">
        <f t="shared" si="7"/>
        <v>0</v>
      </c>
      <c r="Z13" s="296">
        <f t="shared" si="8"/>
        <v>60</v>
      </c>
    </row>
    <row r="14" spans="2:29" ht="16.5" customHeight="1">
      <c r="B14" s="37" t="s">
        <v>16</v>
      </c>
      <c r="C14" s="366" t="str">
        <f>[27]Brewhouse!$A41</f>
        <v>SM032</v>
      </c>
      <c r="D14" s="279">
        <f>[27]Brewhouse!$AH40</f>
        <v>53.9</v>
      </c>
      <c r="E14" s="279">
        <f>[27]Brewhouse!$AM40</f>
        <v>53.2</v>
      </c>
      <c r="F14" s="278">
        <f>[27]Brewhouse!$Z41</f>
        <v>101</v>
      </c>
      <c r="G14" s="367">
        <f>[27]Brewhouse!$AK41</f>
        <v>17</v>
      </c>
      <c r="H14" s="367"/>
      <c r="I14" s="368">
        <f>[27]Brewhouse!$AY41</f>
        <v>98.820483734504066</v>
      </c>
      <c r="J14" s="368">
        <f>[27]Brewhouse!$AZ41</f>
        <v>99.672592909440866</v>
      </c>
      <c r="K14" s="281">
        <f>[27]Brewhouse!$U41</f>
        <v>2.5988700564971801</v>
      </c>
      <c r="L14" s="276">
        <f>[27]Brewhouse!$T41</f>
        <v>60</v>
      </c>
      <c r="M14" s="374">
        <f>[27]Brewhouse!$Y41-[27]Brewhouse!$X41</f>
        <v>0.14513888888888882</v>
      </c>
      <c r="N14" s="370">
        <f>[27]Brewhouse!$AD41</f>
        <v>0.3034722222222222</v>
      </c>
      <c r="O14" s="371" t="str">
        <f>[27]Brewhouse!$BC41</f>
        <v>K. Benjamin</v>
      </c>
      <c r="P14" s="423" t="s">
        <v>175</v>
      </c>
      <c r="R14" s="277" t="str">
        <f t="shared" si="0"/>
        <v>STARMALT</v>
      </c>
      <c r="S14" s="296">
        <f t="shared" si="1"/>
        <v>17.100000000000001</v>
      </c>
      <c r="T14" s="296">
        <f t="shared" si="2"/>
        <v>17.5</v>
      </c>
      <c r="U14" s="297">
        <f t="shared" si="3"/>
        <v>0</v>
      </c>
      <c r="V14" s="297">
        <f t="shared" si="4"/>
        <v>0.13605324074074074</v>
      </c>
      <c r="W14" s="297">
        <f t="shared" si="5"/>
        <v>0.27430555555555552</v>
      </c>
      <c r="X14" s="297">
        <f t="shared" si="6"/>
        <v>0.30902777777777779</v>
      </c>
      <c r="Y14" s="297">
        <f t="shared" si="7"/>
        <v>0</v>
      </c>
      <c r="Z14" s="296">
        <f t="shared" si="8"/>
        <v>60</v>
      </c>
    </row>
    <row r="15" spans="2:29" ht="16.5" customHeight="1">
      <c r="B15" s="37" t="s">
        <v>16</v>
      </c>
      <c r="C15" s="366" t="str">
        <f>[27]Brewhouse!$A42</f>
        <v>SM033</v>
      </c>
      <c r="D15" s="279">
        <f>[27]Brewhouse!$AH41</f>
        <v>53.1</v>
      </c>
      <c r="E15" s="279">
        <f>[27]Brewhouse!$AM41</f>
        <v>53.1</v>
      </c>
      <c r="F15" s="278">
        <f>[27]Brewhouse!$Z42</f>
        <v>89</v>
      </c>
      <c r="G15" s="367">
        <f>[27]Brewhouse!$AK42</f>
        <v>16.899999999999999</v>
      </c>
      <c r="H15" s="367"/>
      <c r="I15" s="368">
        <f>[27]Brewhouse!$AY42</f>
        <v>95.562254007954607</v>
      </c>
      <c r="J15" s="368">
        <f>[27]Brewhouse!$AZ42</f>
        <v>96.43269447252068</v>
      </c>
      <c r="K15" s="281">
        <f>[27]Brewhouse!$U42</f>
        <v>4.2616822429906565</v>
      </c>
      <c r="L15" s="276">
        <f>[27]Brewhouse!$T42</f>
        <v>60</v>
      </c>
      <c r="M15" s="374">
        <f>[27]Brewhouse!$Y42-[27]Brewhouse!$X42</f>
        <v>0.13541666666666663</v>
      </c>
      <c r="N15" s="370">
        <f>[27]Brewhouse!$AD42</f>
        <v>0.2944444444444444</v>
      </c>
      <c r="O15" s="371" t="str">
        <f>[27]Brewhouse!$BC42</f>
        <v>D. Gomaz</v>
      </c>
      <c r="P15" s="423" t="s">
        <v>175</v>
      </c>
      <c r="R15" s="277" t="str">
        <f t="shared" si="0"/>
        <v>STARMALT</v>
      </c>
      <c r="S15" s="296">
        <f t="shared" si="1"/>
        <v>17.100000000000001</v>
      </c>
      <c r="T15" s="296">
        <f t="shared" si="2"/>
        <v>17.5</v>
      </c>
      <c r="U15" s="297">
        <f t="shared" si="3"/>
        <v>0</v>
      </c>
      <c r="V15" s="297">
        <f t="shared" si="4"/>
        <v>0.13605324074074074</v>
      </c>
      <c r="W15" s="297">
        <f t="shared" si="5"/>
        <v>0.27430555555555552</v>
      </c>
      <c r="X15" s="297">
        <f t="shared" si="6"/>
        <v>0.30902777777777779</v>
      </c>
      <c r="Y15" s="297">
        <f t="shared" si="7"/>
        <v>0</v>
      </c>
      <c r="Z15" s="296">
        <f t="shared" si="8"/>
        <v>60</v>
      </c>
    </row>
    <row r="16" spans="2:29" ht="16.5" customHeight="1">
      <c r="B16" s="37" t="s">
        <v>16</v>
      </c>
      <c r="C16" s="366" t="str">
        <f>[27]Brewhouse!$A43</f>
        <v>SM034</v>
      </c>
      <c r="D16" s="279">
        <f>[27]Brewhouse!$AH42</f>
        <v>53.5</v>
      </c>
      <c r="E16" s="279">
        <f>[27]Brewhouse!$AM42</f>
        <v>49.1</v>
      </c>
      <c r="F16" s="278">
        <f>[27]Brewhouse!$Z43</f>
        <v>86</v>
      </c>
      <c r="G16" s="367">
        <f>[27]Brewhouse!$AK43</f>
        <v>16.82</v>
      </c>
      <c r="H16" s="367"/>
      <c r="I16" s="368">
        <f>[27]Brewhouse!$AY43</f>
        <v>101.88657891836674</v>
      </c>
      <c r="J16" s="368">
        <f>[27]Brewhouse!$AZ43</f>
        <v>102.81462526896212</v>
      </c>
      <c r="K16" s="281">
        <f>[27]Brewhouse!$U43</f>
        <v>7.0289855072463814</v>
      </c>
      <c r="L16" s="276">
        <f>[27]Brewhouse!$T43</f>
        <v>62</v>
      </c>
      <c r="M16" s="374">
        <f>[27]Brewhouse!$Y43-[27]Brewhouse!$X43</f>
        <v>0.13611111111111107</v>
      </c>
      <c r="N16" s="370">
        <f>[27]Brewhouse!$AD43</f>
        <v>0.29166666666666663</v>
      </c>
      <c r="O16" s="371" t="str">
        <f>[27]Brewhouse!$BC43</f>
        <v>D. Gomaz</v>
      </c>
      <c r="P16" s="423" t="s">
        <v>175</v>
      </c>
      <c r="R16" s="277" t="str">
        <f t="shared" si="0"/>
        <v>STARMALT</v>
      </c>
      <c r="S16" s="296">
        <f t="shared" si="1"/>
        <v>17.100000000000001</v>
      </c>
      <c r="T16" s="296">
        <f t="shared" si="2"/>
        <v>17.5</v>
      </c>
      <c r="U16" s="297">
        <f t="shared" si="3"/>
        <v>0</v>
      </c>
      <c r="V16" s="297">
        <f t="shared" si="4"/>
        <v>0.13605324074074074</v>
      </c>
      <c r="W16" s="297">
        <f t="shared" si="5"/>
        <v>0.27430555555555552</v>
      </c>
      <c r="X16" s="297">
        <f t="shared" si="6"/>
        <v>0.30902777777777779</v>
      </c>
      <c r="Y16" s="297">
        <f t="shared" si="7"/>
        <v>0</v>
      </c>
      <c r="Z16" s="296">
        <f t="shared" si="8"/>
        <v>60</v>
      </c>
    </row>
    <row r="17" spans="2:26" ht="16.5" customHeight="1">
      <c r="B17" s="37"/>
      <c r="C17" s="366"/>
      <c r="D17" s="279"/>
      <c r="E17" s="279"/>
      <c r="F17" s="276"/>
      <c r="G17" s="279"/>
      <c r="H17" s="396"/>
      <c r="I17" s="368"/>
      <c r="J17" s="368"/>
      <c r="K17" s="281"/>
      <c r="L17" s="276"/>
      <c r="M17" s="374"/>
      <c r="N17" s="370"/>
      <c r="O17" s="371"/>
      <c r="P17" s="423"/>
      <c r="R17" s="277">
        <f>B17</f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2:26" ht="16.5" customHeight="1">
      <c r="B18" s="37"/>
      <c r="C18" s="366"/>
      <c r="D18" s="279"/>
      <c r="E18" s="279"/>
      <c r="F18" s="276"/>
      <c r="G18" s="279"/>
      <c r="H18" s="396"/>
      <c r="I18" s="368"/>
      <c r="J18" s="368"/>
      <c r="K18" s="281"/>
      <c r="L18" s="276"/>
      <c r="M18" s="374"/>
      <c r="N18" s="370"/>
      <c r="O18" s="371"/>
      <c r="P18" s="423"/>
      <c r="R18" s="277">
        <f>B18</f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2:26" ht="16.5" customHeight="1">
      <c r="B19" s="34" t="s">
        <v>12</v>
      </c>
      <c r="C19" s="366" t="str">
        <f>[24]Brewhouse!$A47</f>
        <v>GU040</v>
      </c>
      <c r="D19" s="279">
        <f>[24]Brewhouse!$AF47</f>
        <v>56.8</v>
      </c>
      <c r="E19" s="279">
        <f>[24]Brewhouse!$AI47</f>
        <v>51.8</v>
      </c>
      <c r="F19" s="278">
        <f>[24]Brewhouse!$V47</f>
        <v>62</v>
      </c>
      <c r="G19" s="279">
        <f>[24]Brewhouse!$AG47</f>
        <v>17</v>
      </c>
      <c r="H19" s="396">
        <v>17</v>
      </c>
      <c r="I19" s="421">
        <f>[24]Brewhouse!$AU47</f>
        <v>92.888951923394671</v>
      </c>
      <c r="J19" s="421">
        <f>[24]Brewhouse!$AV47</f>
        <v>94.273896367601694</v>
      </c>
      <c r="K19" s="398">
        <f>[24]Brewhouse!$R47</f>
        <v>4.0963855421686795</v>
      </c>
      <c r="L19" s="276">
        <f>[24]Brewhouse!$O47</f>
        <v>53</v>
      </c>
      <c r="M19" s="374">
        <f>[24]Brewhouse!$U47-[24]Brewhouse!$T47</f>
        <v>0.11458333333333348</v>
      </c>
      <c r="N19" s="370">
        <f>[24]Brewhouse!$Z47</f>
        <v>0.32291666666666674</v>
      </c>
      <c r="O19" s="429" t="str">
        <f>[24]Brewhouse!$AW47</f>
        <v>D. Gomaz</v>
      </c>
      <c r="P19" s="423"/>
      <c r="R19" s="277" t="str">
        <f>B19</f>
        <v>GUINNESS</v>
      </c>
      <c r="S19" s="296">
        <f t="shared" si="1"/>
        <v>17</v>
      </c>
      <c r="T19" s="296">
        <f t="shared" si="2"/>
        <v>17.5</v>
      </c>
      <c r="U19" s="297">
        <f t="shared" si="3"/>
        <v>0</v>
      </c>
      <c r="V19" s="297">
        <f t="shared" si="4"/>
        <v>0.1076388888888889</v>
      </c>
      <c r="W19" s="297">
        <f t="shared" si="5"/>
        <v>0.24652777777777779</v>
      </c>
      <c r="X19" s="297">
        <f t="shared" si="6"/>
        <v>0.28472222222222221</v>
      </c>
      <c r="Y19" s="297">
        <f t="shared" si="7"/>
        <v>0</v>
      </c>
      <c r="Z19" s="296">
        <f t="shared" si="8"/>
        <v>60</v>
      </c>
    </row>
    <row r="20" spans="2:26" ht="16.5" customHeight="1">
      <c r="B20" s="34" t="s">
        <v>12</v>
      </c>
      <c r="C20" s="366" t="str">
        <f>[24]Brewhouse!$A48</f>
        <v>GU041</v>
      </c>
      <c r="D20" s="279">
        <f>[24]Brewhouse!$AF48</f>
        <v>56.7</v>
      </c>
      <c r="E20" s="279">
        <f>[24]Brewhouse!$AI48</f>
        <v>51.8</v>
      </c>
      <c r="F20" s="278">
        <f>[24]Brewhouse!$V48</f>
        <v>64</v>
      </c>
      <c r="G20" s="279">
        <f>[24]Brewhouse!$AG48</f>
        <v>17.47</v>
      </c>
      <c r="H20" s="396">
        <v>17.5</v>
      </c>
      <c r="I20" s="421">
        <f>[24]Brewhouse!$AU48</f>
        <v>95.806125620162447</v>
      </c>
      <c r="J20" s="421">
        <f>[24]Brewhouse!$AV48</f>
        <v>97.234564187410683</v>
      </c>
      <c r="K20" s="398">
        <f>[24]Brewhouse!$R48</f>
        <v>2.762237762237759</v>
      </c>
      <c r="L20" s="276">
        <f>[24]Brewhouse!$O48</f>
        <v>55</v>
      </c>
      <c r="M20" s="374">
        <f>[24]Brewhouse!$U48-[24]Brewhouse!$T48</f>
        <v>0.10694444444444429</v>
      </c>
      <c r="N20" s="370">
        <f>[24]Brewhouse!$Z48</f>
        <v>0.25138888888888888</v>
      </c>
      <c r="O20" s="429" t="str">
        <f>[24]Brewhouse!$AW48</f>
        <v>R. Sookram</v>
      </c>
      <c r="P20" s="423"/>
      <c r="R20" s="277" t="str">
        <f>B20</f>
        <v>GUINNESS</v>
      </c>
      <c r="S20" s="296">
        <f t="shared" si="1"/>
        <v>17</v>
      </c>
      <c r="T20" s="296">
        <f t="shared" si="2"/>
        <v>17.5</v>
      </c>
      <c r="U20" s="297">
        <f t="shared" si="3"/>
        <v>0</v>
      </c>
      <c r="V20" s="297">
        <f t="shared" si="4"/>
        <v>0.1076388888888889</v>
      </c>
      <c r="W20" s="297">
        <f t="shared" si="5"/>
        <v>0.24652777777777779</v>
      </c>
      <c r="X20" s="297">
        <f t="shared" si="6"/>
        <v>0.28472222222222221</v>
      </c>
      <c r="Y20" s="297">
        <f t="shared" si="7"/>
        <v>0</v>
      </c>
      <c r="Z20" s="296">
        <f t="shared" si="8"/>
        <v>60</v>
      </c>
    </row>
    <row r="21" spans="2:26" ht="16.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6.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6.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2:26" ht="16.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6.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3"/>
      <c r="R25" s="277">
        <f t="shared" ref="R25:R34" si="9">B25</f>
        <v>0</v>
      </c>
      <c r="S25" s="296" t="e">
        <f t="shared" ref="S25:S34" si="10">VLOOKUP($B25,$R$3:$X$9,2,FALSE)</f>
        <v>#N/A</v>
      </c>
      <c r="T25" s="296" t="e">
        <f t="shared" ref="T25:T34" si="11">VLOOKUP($B25,$R$3:$X$9,3,FALSE)</f>
        <v>#N/A</v>
      </c>
      <c r="U25" s="297" t="e">
        <f t="shared" ref="U25:U34" si="12">VLOOKUP($B25,$R$3:$X$9,4,FALSE)</f>
        <v>#N/A</v>
      </c>
      <c r="V25" s="297" t="e">
        <f t="shared" ref="V25:V34" si="13">VLOOKUP($B25,$R$3:$X$9,5,FALSE)</f>
        <v>#N/A</v>
      </c>
      <c r="W25" s="297" t="e">
        <f t="shared" ref="W25:W34" si="14">VLOOKUP($B25,$R$3:$X$9,6,FALSE)</f>
        <v>#N/A</v>
      </c>
      <c r="X25" s="297" t="e">
        <f t="shared" ref="X25:X34" si="15">VLOOKUP($B25,$R$3:$X$9,7,FALSE)</f>
        <v>#N/A</v>
      </c>
      <c r="Y25" s="297" t="e">
        <f t="shared" ref="Y25:Y34" si="16">VLOOKUP($B25,$R$3:$Z$9,8,FALSE)</f>
        <v>#N/A</v>
      </c>
      <c r="Z25" s="296" t="e">
        <f t="shared" ref="Z25:Z34" si="17">VLOOKUP($B25,$R$3:$Z$9,9,FALSE)</f>
        <v>#N/A</v>
      </c>
    </row>
    <row r="26" spans="2:26" ht="16.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3"/>
      <c r="R26" s="277">
        <f t="shared" si="9"/>
        <v>0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2:26" ht="16.5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3"/>
      <c r="R27" s="277">
        <f t="shared" si="9"/>
        <v>0</v>
      </c>
      <c r="S27" s="296" t="e">
        <f t="shared" si="10"/>
        <v>#N/A</v>
      </c>
      <c r="T27" s="296" t="e">
        <f t="shared" si="11"/>
        <v>#N/A</v>
      </c>
      <c r="U27" s="297" t="e">
        <f t="shared" si="12"/>
        <v>#N/A</v>
      </c>
      <c r="V27" s="297" t="e">
        <f t="shared" si="13"/>
        <v>#N/A</v>
      </c>
      <c r="W27" s="297" t="e">
        <f t="shared" si="14"/>
        <v>#N/A</v>
      </c>
      <c r="X27" s="297" t="e">
        <f t="shared" si="15"/>
        <v>#N/A</v>
      </c>
      <c r="Y27" s="297" t="e">
        <f t="shared" si="16"/>
        <v>#N/A</v>
      </c>
      <c r="Z27" s="296" t="e">
        <f t="shared" si="17"/>
        <v>#N/A</v>
      </c>
    </row>
    <row r="28" spans="2:26" ht="15.75" customHeight="1">
      <c r="B28" s="29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97"/>
      <c r="N28" s="370"/>
      <c r="O28" s="371"/>
      <c r="P28" s="423"/>
      <c r="R28" s="277">
        <f t="shared" si="9"/>
        <v>0</v>
      </c>
      <c r="S28" s="296" t="e">
        <f t="shared" si="10"/>
        <v>#N/A</v>
      </c>
      <c r="T28" s="296" t="e">
        <f t="shared" si="11"/>
        <v>#N/A</v>
      </c>
      <c r="U28" s="297" t="e">
        <f t="shared" si="12"/>
        <v>#N/A</v>
      </c>
      <c r="V28" s="297" t="e">
        <f t="shared" si="13"/>
        <v>#N/A</v>
      </c>
      <c r="W28" s="297" t="e">
        <f t="shared" si="14"/>
        <v>#N/A</v>
      </c>
      <c r="X28" s="297" t="e">
        <f t="shared" si="15"/>
        <v>#N/A</v>
      </c>
      <c r="Y28" s="297" t="e">
        <f t="shared" si="16"/>
        <v>#N/A</v>
      </c>
      <c r="Z28" s="296" t="e">
        <f t="shared" si="17"/>
        <v>#N/A</v>
      </c>
    </row>
    <row r="29" spans="2:26" ht="15.75" hidden="1" customHeight="1">
      <c r="B29" s="29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97"/>
      <c r="N29" s="370"/>
      <c r="O29" s="371"/>
      <c r="P29" s="423"/>
      <c r="R29" s="277">
        <f t="shared" si="9"/>
        <v>0</v>
      </c>
      <c r="S29" s="296" t="e">
        <f t="shared" si="10"/>
        <v>#N/A</v>
      </c>
      <c r="T29" s="296" t="e">
        <f t="shared" si="11"/>
        <v>#N/A</v>
      </c>
      <c r="U29" s="297" t="e">
        <f t="shared" si="12"/>
        <v>#N/A</v>
      </c>
      <c r="V29" s="297" t="e">
        <f t="shared" si="13"/>
        <v>#N/A</v>
      </c>
      <c r="W29" s="297" t="e">
        <f t="shared" si="14"/>
        <v>#N/A</v>
      </c>
      <c r="X29" s="297" t="e">
        <f t="shared" si="15"/>
        <v>#N/A</v>
      </c>
      <c r="Y29" s="297" t="e">
        <f t="shared" si="16"/>
        <v>#N/A</v>
      </c>
      <c r="Z29" s="296" t="e">
        <f t="shared" si="17"/>
        <v>#N/A</v>
      </c>
    </row>
    <row r="30" spans="2:26" ht="15.75" hidden="1" customHeight="1">
      <c r="B30" s="29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97"/>
      <c r="N30" s="370"/>
      <c r="O30" s="371"/>
      <c r="P30" s="423"/>
      <c r="R30" s="277">
        <f t="shared" si="9"/>
        <v>0</v>
      </c>
      <c r="S30" s="296" t="e">
        <f t="shared" si="10"/>
        <v>#N/A</v>
      </c>
      <c r="T30" s="296" t="e">
        <f t="shared" si="11"/>
        <v>#N/A</v>
      </c>
      <c r="U30" s="297" t="e">
        <f t="shared" si="12"/>
        <v>#N/A</v>
      </c>
      <c r="V30" s="297" t="e">
        <f t="shared" si="13"/>
        <v>#N/A</v>
      </c>
      <c r="W30" s="297" t="e">
        <f t="shared" si="14"/>
        <v>#N/A</v>
      </c>
      <c r="X30" s="297" t="e">
        <f t="shared" si="15"/>
        <v>#N/A</v>
      </c>
      <c r="Y30" s="297" t="e">
        <f t="shared" si="16"/>
        <v>#N/A</v>
      </c>
      <c r="Z30" s="296" t="e">
        <f t="shared" si="17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396"/>
      <c r="I31" s="421"/>
      <c r="J31" s="398"/>
      <c r="K31" s="276"/>
      <c r="L31" s="374"/>
      <c r="M31" s="397"/>
      <c r="N31" s="370"/>
      <c r="O31" s="371"/>
      <c r="P31" s="423"/>
      <c r="R31" s="277">
        <f t="shared" si="9"/>
        <v>0</v>
      </c>
      <c r="S31" s="296" t="e">
        <f t="shared" si="10"/>
        <v>#N/A</v>
      </c>
      <c r="T31" s="296" t="e">
        <f t="shared" si="11"/>
        <v>#N/A</v>
      </c>
      <c r="U31" s="297" t="e">
        <f t="shared" si="12"/>
        <v>#N/A</v>
      </c>
      <c r="V31" s="297" t="e">
        <f t="shared" si="13"/>
        <v>#N/A</v>
      </c>
      <c r="W31" s="297" t="e">
        <f t="shared" si="14"/>
        <v>#N/A</v>
      </c>
      <c r="X31" s="297" t="e">
        <f t="shared" si="15"/>
        <v>#N/A</v>
      </c>
      <c r="Y31" s="297" t="e">
        <f t="shared" si="16"/>
        <v>#N/A</v>
      </c>
      <c r="Z31" s="296" t="e">
        <f t="shared" si="17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396"/>
      <c r="I32" s="421"/>
      <c r="J32" s="398"/>
      <c r="K32" s="276"/>
      <c r="L32" s="374"/>
      <c r="M32" s="397"/>
      <c r="N32" s="370"/>
      <c r="O32" s="371"/>
      <c r="P32" s="423"/>
      <c r="R32" s="277">
        <f t="shared" si="9"/>
        <v>0</v>
      </c>
      <c r="S32" s="296" t="e">
        <f t="shared" si="10"/>
        <v>#N/A</v>
      </c>
      <c r="T32" s="296" t="e">
        <f t="shared" si="11"/>
        <v>#N/A</v>
      </c>
      <c r="U32" s="297" t="e">
        <f t="shared" si="12"/>
        <v>#N/A</v>
      </c>
      <c r="V32" s="297" t="e">
        <f t="shared" si="13"/>
        <v>#N/A</v>
      </c>
      <c r="W32" s="297" t="e">
        <f t="shared" si="14"/>
        <v>#N/A</v>
      </c>
      <c r="X32" s="297" t="e">
        <f t="shared" si="15"/>
        <v>#N/A</v>
      </c>
      <c r="Y32" s="297" t="e">
        <f t="shared" si="16"/>
        <v>#N/A</v>
      </c>
      <c r="Z32" s="296" t="e">
        <f t="shared" si="17"/>
        <v>#N/A</v>
      </c>
    </row>
    <row r="33" spans="1:27" ht="15.75" hidden="1" customHeight="1">
      <c r="B33" s="33"/>
      <c r="C33" s="366"/>
      <c r="D33" s="279"/>
      <c r="E33" s="279"/>
      <c r="F33" s="278"/>
      <c r="G33" s="279"/>
      <c r="H33" s="396"/>
      <c r="I33" s="421"/>
      <c r="J33" s="398"/>
      <c r="K33" s="276"/>
      <c r="L33" s="374"/>
      <c r="M33" s="397"/>
      <c r="N33" s="370"/>
      <c r="O33" s="371"/>
      <c r="P33" s="423"/>
      <c r="R33" s="277">
        <f t="shared" si="9"/>
        <v>0</v>
      </c>
      <c r="S33" s="296" t="e">
        <f t="shared" si="10"/>
        <v>#N/A</v>
      </c>
      <c r="T33" s="296" t="e">
        <f t="shared" si="11"/>
        <v>#N/A</v>
      </c>
      <c r="U33" s="297" t="e">
        <f t="shared" si="12"/>
        <v>#N/A</v>
      </c>
      <c r="V33" s="297" t="e">
        <f t="shared" si="13"/>
        <v>#N/A</v>
      </c>
      <c r="W33" s="297" t="e">
        <f t="shared" si="14"/>
        <v>#N/A</v>
      </c>
      <c r="X33" s="297" t="e">
        <f t="shared" si="15"/>
        <v>#N/A</v>
      </c>
      <c r="Y33" s="297" t="e">
        <f t="shared" si="16"/>
        <v>#N/A</v>
      </c>
      <c r="Z33" s="296" t="e">
        <f t="shared" si="17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481" t="s">
        <v>34</v>
      </c>
      <c r="J34" s="481"/>
      <c r="K34" s="481"/>
      <c r="L34" s="481"/>
      <c r="M34" s="481"/>
      <c r="N34" s="481"/>
      <c r="O34" s="1"/>
      <c r="P34" s="12"/>
      <c r="R34" s="277">
        <f t="shared" si="9"/>
        <v>0</v>
      </c>
      <c r="S34" s="296" t="e">
        <f t="shared" si="10"/>
        <v>#N/A</v>
      </c>
      <c r="T34" s="296" t="e">
        <f t="shared" si="11"/>
        <v>#N/A</v>
      </c>
      <c r="U34" s="297" t="e">
        <f t="shared" si="12"/>
        <v>#N/A</v>
      </c>
      <c r="V34" s="297" t="e">
        <f t="shared" si="13"/>
        <v>#N/A</v>
      </c>
      <c r="W34" s="297" t="e">
        <f t="shared" si="14"/>
        <v>#N/A</v>
      </c>
      <c r="X34" s="297" t="e">
        <f t="shared" si="15"/>
        <v>#N/A</v>
      </c>
      <c r="Y34" s="297" t="e">
        <f t="shared" si="16"/>
        <v>#N/A</v>
      </c>
      <c r="Z34" s="296" t="e">
        <f t="shared" si="17"/>
        <v>#N/A</v>
      </c>
    </row>
    <row r="35" spans="1:27" ht="15" thickBot="1">
      <c r="B35" s="388" t="s">
        <v>145</v>
      </c>
      <c r="C35" s="388"/>
      <c r="D35" s="494" t="s">
        <v>35</v>
      </c>
      <c r="E35" s="495"/>
      <c r="F35" s="294"/>
      <c r="G35" s="294"/>
      <c r="H35" s="348"/>
      <c r="I35" s="24" t="s">
        <v>17</v>
      </c>
      <c r="J35" s="25" t="s">
        <v>36</v>
      </c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5" customHeight="1">
      <c r="A36" s="28"/>
      <c r="B36" s="520" t="s">
        <v>6</v>
      </c>
      <c r="C36" s="362" cm="1">
        <f t="array" ref="C36:C39">[22]Process!$D$359:$D$362</f>
        <v>11.9</v>
      </c>
      <c r="D36" s="485">
        <v>12</v>
      </c>
      <c r="E36" s="474"/>
      <c r="F36" s="294"/>
      <c r="G36" s="294"/>
      <c r="H36" s="348"/>
      <c r="I36" s="29" t="s">
        <v>6</v>
      </c>
      <c r="J36" s="280"/>
      <c r="K36" s="284">
        <f>COUNTA([22]Brewhouse!$A$408:$A$423)</f>
        <v>16</v>
      </c>
      <c r="L36" s="302">
        <f>AVERAGE([22]Brewhouse!$AU$408:$AU$423)</f>
        <v>98.025342671915254</v>
      </c>
      <c r="M36" s="302">
        <f>AVERAGE([22]Brewhouse!$AU$102:$AU$171,[22]Brewhouse!$AU$173:$AU$253,[22]Brewhouse!$AU$255:$AU$339,[22]Brewhouse!$AU$341:$AU$346,[22]Brewhouse!$AU$348,[22]Brewhouse!$AU$349:$AU$406)</f>
        <v>97.396136213531847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5" customHeight="1">
      <c r="A37" s="28"/>
      <c r="B37" s="521"/>
      <c r="C37" s="349">
        <v>11.8</v>
      </c>
      <c r="D37" s="486"/>
      <c r="E37" s="469"/>
      <c r="F37" s="294"/>
      <c r="G37" s="294"/>
      <c r="H37" s="348"/>
      <c r="I37" s="33" t="s">
        <v>9</v>
      </c>
      <c r="J37" s="280"/>
      <c r="K37" s="284">
        <f>COUNTA([23]Brewhouse!$A$195:$A$202)</f>
        <v>8</v>
      </c>
      <c r="L37" s="302">
        <f>AVERAGE([23]Brewhouse!$AS$195:$AS$202)</f>
        <v>99.638990094912899</v>
      </c>
      <c r="M37" s="302">
        <f>AVERAGE([23]Brewhouse!$AS$15:$AS$64,[23]Brewhouse!$AS$66:$AS$103,[23]Brewhouse!$AS$105:$AS$140,[23]Brewhouse!$AS$142:$AS$193,[23]Brewhouse!$AS$195:$AS$202)</f>
        <v>97.544277893499938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21"/>
      <c r="C38" s="349">
        <v>11.8</v>
      </c>
      <c r="D38" s="485">
        <v>12.04</v>
      </c>
      <c r="E38" s="474"/>
      <c r="F38" s="294"/>
      <c r="G38" s="294"/>
      <c r="H38" s="348"/>
      <c r="I38" s="34" t="s">
        <v>12</v>
      </c>
      <c r="J38" s="280">
        <f>AVERAGE(I19:I20)</f>
        <v>94.347538771778559</v>
      </c>
      <c r="K38" s="284">
        <f>COUNTA([24]Brewhouse!$A$47:$A$48)</f>
        <v>2</v>
      </c>
      <c r="L38" s="302">
        <f>AVERAGE([24]Brewhouse!$AU$47:$AU$48)</f>
        <v>94.347538771778559</v>
      </c>
      <c r="M38" s="302">
        <f>AVERAGE([24]Brewhouse!$AU$4:$AU$7,[24]Brewhouse!$AU$9:$AU$22,[24]Brewhouse!$AU$24:$AU$35,[24]Brewhouse!$AU$37:$AU$45,[24]Brewhouse!$AU$47:$AU$48)</f>
        <v>96.953128557220069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7" customHeight="1">
      <c r="A39" s="28"/>
      <c r="B39" s="521"/>
      <c r="C39" s="349">
        <v>11.9</v>
      </c>
      <c r="D39" s="486"/>
      <c r="E39" s="469"/>
      <c r="F39" s="294"/>
      <c r="G39" s="294"/>
      <c r="H39" s="348"/>
      <c r="I39" s="22" t="s">
        <v>33</v>
      </c>
      <c r="J39" s="280"/>
      <c r="K39" s="284"/>
      <c r="L39" s="302"/>
      <c r="M39" s="302">
        <f>AVERAGE([25]Brewhouse!$AV$5:$AV$14,[25]Brewhouse!$AV$16:$AV$19,[25]Brewhouse!$AV$21:$AV$24,[25]Brewhouse!$AV$26:$AV$33)</f>
        <v>98.921974778040592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521"/>
      <c r="C40" s="349" cm="1">
        <f t="array" ref="C40:C41">[22]Process!$D$371:$D$372</f>
        <v>12</v>
      </c>
      <c r="D40" s="485">
        <v>12.03</v>
      </c>
      <c r="E40" s="474"/>
      <c r="F40" s="422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521"/>
      <c r="C41" s="349">
        <v>11.8</v>
      </c>
      <c r="D41" s="486"/>
      <c r="E41" s="469"/>
      <c r="F41" s="422"/>
      <c r="G41" s="294"/>
      <c r="H41" s="348"/>
      <c r="I41" s="36" t="s">
        <v>15</v>
      </c>
      <c r="J41" s="323"/>
      <c r="K41" s="284"/>
      <c r="L41" s="302"/>
      <c r="M41" s="302">
        <f>AVERAGE([26]Brewhouse!$AT$4:$AT$11,[26]Brewhouse!$AT$13:$AT$16)</f>
        <v>95.165309917257005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21"/>
      <c r="C42" s="349" cm="1">
        <f t="array" ref="C42:C43">[22]Process!$D$377:$D$378</f>
        <v>11.77</v>
      </c>
      <c r="D42" s="485">
        <v>11.83</v>
      </c>
      <c r="E42" s="474"/>
      <c r="F42" s="422"/>
      <c r="G42" s="294"/>
      <c r="H42" s="348"/>
      <c r="I42" s="37" t="s">
        <v>16</v>
      </c>
      <c r="J42" s="323">
        <f>AVERAGE(I10:I16)</f>
        <v>98.411318424188295</v>
      </c>
      <c r="K42" s="284">
        <f>COUNTA([27]Brewhouse!$A$36:$A$43)</f>
        <v>8</v>
      </c>
      <c r="L42" s="302">
        <f>AVERAGE([27]Brewhouse!$AY$36:$AY$43)</f>
        <v>98.453561717677275</v>
      </c>
      <c r="M42" s="302">
        <f>AVERAGE([27]Brewhouse!$AY$6:$AY$13,[27]Brewhouse!$AY$15:$AY$20,[27]Brewhouse!$AY$22:$AY$29,[27]Brewhouse!$AY$31:$AY$34,[27]Brewhouse!$AY$36:$AY$43)</f>
        <v>96.669752433914965</v>
      </c>
      <c r="N42" s="30">
        <v>98</v>
      </c>
      <c r="O42" s="11"/>
      <c r="P42" s="31" t="s">
        <v>41</v>
      </c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521"/>
      <c r="C43" s="349">
        <v>11.78</v>
      </c>
      <c r="D43" s="486"/>
      <c r="E43" s="469"/>
      <c r="F43" s="294"/>
      <c r="G43" s="294"/>
      <c r="H43" s="348"/>
      <c r="I43" s="412" t="s">
        <v>158</v>
      </c>
      <c r="J43" s="326"/>
      <c r="K43" s="284"/>
      <c r="L43" s="305"/>
      <c r="M43" s="305">
        <f>AVERAGE([28]Brewhouse!$AU$5:$AU$8)</f>
        <v>91.006888337619571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4.7" customHeight="1">
      <c r="A44" s="28"/>
      <c r="B44" s="521"/>
      <c r="C44" s="349"/>
      <c r="D44" s="485"/>
      <c r="E44" s="474"/>
      <c r="F44" s="294"/>
      <c r="G44" s="294"/>
      <c r="H44" s="348"/>
      <c r="I44" s="411" t="s">
        <v>157</v>
      </c>
      <c r="J44" s="326"/>
      <c r="K44" s="284"/>
      <c r="L44" s="305"/>
      <c r="M44" s="305"/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21"/>
      <c r="C45" s="349"/>
      <c r="D45" s="486"/>
      <c r="E45" s="469"/>
      <c r="F45" s="294"/>
      <c r="G45" s="294"/>
      <c r="H45" s="348"/>
      <c r="I45" s="407" t="s">
        <v>156</v>
      </c>
      <c r="J45" s="327"/>
      <c r="K45" s="408"/>
      <c r="L45" s="409"/>
      <c r="M45" s="409"/>
      <c r="N45" s="41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customHeight="1" thickBot="1">
      <c r="A46" s="28"/>
      <c r="B46" s="521"/>
      <c r="C46" s="349"/>
      <c r="D46" s="485"/>
      <c r="E46" s="474"/>
      <c r="F46" s="294"/>
      <c r="G46" s="294"/>
      <c r="H46" s="348"/>
      <c r="I46" s="1"/>
      <c r="J46" s="39"/>
      <c r="K46" s="405">
        <f>SUM(K36:K45)</f>
        <v>34</v>
      </c>
      <c r="L46" s="406">
        <f>((L36*K36)+(L37*K37)+(L38*K38)+(L39*K39)+(L40*K40)+(K43*L43)+(L41*K41)+(L42*K42)+(L45*K45))/(K46)</f>
        <v>98.289440435144783</v>
      </c>
      <c r="M46" s="406">
        <f>AVERAGE('[29]Jan 31st'!$L$65,'[30]Feb 28th'!$L$35,'[31]Mar. 31st'!$L$35,'[32]Apr. 30th'!$L$45,L46)</f>
        <v>97.538696344916588</v>
      </c>
      <c r="N46" s="4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22"/>
      <c r="C47" s="350"/>
      <c r="D47" s="486"/>
      <c r="E47" s="469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thickBot="1">
      <c r="B48" s="516"/>
      <c r="C48" s="362"/>
      <c r="D48" s="466"/>
      <c r="E48" s="467"/>
      <c r="F48" s="294"/>
      <c r="G48" s="42"/>
      <c r="H48" s="41"/>
      <c r="I48" s="42"/>
      <c r="J48" s="519" t="s">
        <v>129</v>
      </c>
      <c r="K48" s="519"/>
      <c r="L48" s="294"/>
      <c r="M48" s="294"/>
      <c r="N48" s="294"/>
      <c r="O48" s="294"/>
      <c r="P48" s="12"/>
    </row>
    <row r="49" spans="2:56" ht="13.5" customHeight="1" thickBot="1">
      <c r="B49" s="517"/>
      <c r="C49" s="349"/>
      <c r="D49" s="468"/>
      <c r="E49" s="469"/>
      <c r="F49" s="294"/>
      <c r="G49" s="42"/>
      <c r="H49" s="41"/>
      <c r="I49" s="41"/>
      <c r="J49" s="292" t="s">
        <v>17</v>
      </c>
      <c r="K49" s="293" t="s">
        <v>147</v>
      </c>
      <c r="L49" s="471" t="s">
        <v>136</v>
      </c>
      <c r="M49" s="471"/>
      <c r="N49" s="472"/>
      <c r="O49" s="294"/>
      <c r="P49" s="12"/>
    </row>
    <row r="50" spans="2:56" ht="15" customHeight="1" thickBot="1">
      <c r="B50" s="517"/>
      <c r="C50" s="349"/>
      <c r="D50" s="473"/>
      <c r="E50" s="474"/>
      <c r="F50" s="294"/>
      <c r="G50" s="42"/>
      <c r="H50" s="41"/>
      <c r="I50" s="41"/>
      <c r="J50" s="287" t="s">
        <v>6</v>
      </c>
      <c r="K50" s="324"/>
      <c r="L50" s="343" t="s">
        <v>37</v>
      </c>
      <c r="M50" s="307" t="s">
        <v>38</v>
      </c>
      <c r="N50" s="307" t="s">
        <v>84</v>
      </c>
      <c r="O50" s="294"/>
      <c r="P50" s="12"/>
    </row>
    <row r="51" spans="2:56" ht="15.75" customHeight="1" thickBot="1">
      <c r="B51" s="517"/>
      <c r="C51" s="349"/>
      <c r="D51" s="468"/>
      <c r="E51" s="469"/>
      <c r="F51" s="294"/>
      <c r="G51" s="42"/>
      <c r="H51" s="41"/>
      <c r="I51" s="41"/>
      <c r="J51" s="345" t="s">
        <v>9</v>
      </c>
      <c r="K51" s="324"/>
      <c r="L51" s="344">
        <f>AVERAGE('May 2nd -4th'!I70,'May 2nd -4th'!K70,'May 6th'!K60)</f>
        <v>8.3333333333333339</v>
      </c>
      <c r="M51" s="325">
        <f>AVERAGE('[29]Jan 29th '!$M$70,'[30]Feb 28th'!$L$40,'[31]Mar. 31st'!$L$40,'[32]Apr. 30th'!$L$50,L51)</f>
        <v>6.8558209906035996</v>
      </c>
      <c r="N51" s="420">
        <v>9.1999999999999993</v>
      </c>
      <c r="O51" s="294"/>
      <c r="P51" s="12"/>
    </row>
    <row r="52" spans="2:56" ht="15" customHeight="1">
      <c r="B52" s="517"/>
      <c r="C52" s="349"/>
      <c r="D52" s="473"/>
      <c r="E52" s="474"/>
      <c r="F52" s="294"/>
      <c r="G52" s="42"/>
      <c r="H52" s="41"/>
      <c r="I52" s="41"/>
      <c r="J52" s="288" t="s">
        <v>40</v>
      </c>
      <c r="K52" s="324">
        <f>COUNTA(B19:B20)</f>
        <v>2</v>
      </c>
      <c r="L52" s="294"/>
      <c r="M52" s="294"/>
      <c r="N52" s="294"/>
      <c r="O52" s="294"/>
      <c r="P52" s="12"/>
    </row>
    <row r="53" spans="2:56" ht="15" customHeight="1">
      <c r="B53" s="517"/>
      <c r="C53" s="349"/>
      <c r="D53" s="468"/>
      <c r="E53" s="469"/>
      <c r="F53" s="294"/>
      <c r="G53" s="42"/>
      <c r="H53" s="41"/>
      <c r="I53" s="41"/>
      <c r="J53" s="289" t="s">
        <v>33</v>
      </c>
      <c r="K53" s="324"/>
      <c r="L53" s="294"/>
      <c r="M53" s="294"/>
      <c r="N53" s="294"/>
      <c r="O53" s="294"/>
      <c r="P53" s="12"/>
    </row>
    <row r="54" spans="2:56" ht="14.4">
      <c r="B54" s="517"/>
      <c r="C54" s="349"/>
      <c r="D54" s="473"/>
      <c r="E54" s="474"/>
      <c r="F54" s="294"/>
      <c r="G54" s="42"/>
      <c r="H54" s="41"/>
      <c r="I54" s="41"/>
      <c r="J54" s="290" t="s">
        <v>16</v>
      </c>
      <c r="K54" s="324">
        <f>COUNTA(B10:B16)</f>
        <v>7</v>
      </c>
      <c r="L54" s="294"/>
      <c r="M54" s="294"/>
      <c r="N54" s="294"/>
      <c r="O54" s="294"/>
      <c r="P54" s="12"/>
      <c r="BC54" s="44"/>
      <c r="BD54" s="44"/>
    </row>
    <row r="55" spans="2:56" ht="14.4">
      <c r="B55" s="517"/>
      <c r="C55" s="349"/>
      <c r="D55" s="468"/>
      <c r="E55" s="469"/>
      <c r="F55" s="294"/>
      <c r="G55" s="42"/>
      <c r="H55" s="41"/>
      <c r="I55" s="41"/>
      <c r="J55" s="291" t="s">
        <v>15</v>
      </c>
      <c r="K55" s="324"/>
      <c r="L55" s="294"/>
      <c r="M55" s="294"/>
      <c r="N55" s="294"/>
      <c r="O55" s="294"/>
      <c r="P55" s="12"/>
      <c r="BC55" s="44"/>
      <c r="BD55" s="44"/>
    </row>
    <row r="56" spans="2:56" ht="14.4">
      <c r="B56" s="517"/>
      <c r="C56" s="349"/>
      <c r="D56" s="475"/>
      <c r="E56" s="476"/>
      <c r="F56" s="294"/>
      <c r="G56" s="42"/>
      <c r="H56" s="41"/>
      <c r="I56" s="41"/>
      <c r="J56" s="291" t="s">
        <v>149</v>
      </c>
      <c r="K56" s="324"/>
      <c r="L56" s="294"/>
      <c r="M56" s="294"/>
      <c r="N56" s="294"/>
      <c r="O56" s="294"/>
      <c r="P56" s="12"/>
      <c r="BC56" s="44"/>
      <c r="BD56" s="44"/>
    </row>
    <row r="57" spans="2:56" ht="15" thickBot="1">
      <c r="B57" s="518"/>
      <c r="C57" s="350"/>
      <c r="D57" s="477"/>
      <c r="E57" s="478"/>
      <c r="F57" s="294"/>
      <c r="G57" s="42"/>
      <c r="H57" s="41"/>
      <c r="I57" s="41"/>
      <c r="J57" s="291" t="s">
        <v>148</v>
      </c>
      <c r="K57" s="324"/>
      <c r="L57" s="294"/>
      <c r="M57" s="294"/>
      <c r="N57" s="294"/>
      <c r="O57" s="294"/>
      <c r="P57" s="12"/>
      <c r="BC57" s="44"/>
      <c r="BD57" s="44"/>
    </row>
    <row r="58" spans="2:56" ht="17.7" customHeight="1" thickBot="1">
      <c r="B58" s="312" t="s">
        <v>139</v>
      </c>
      <c r="C58" s="313"/>
      <c r="D58" s="457">
        <f>AVERAGE(D36:E57)</f>
        <v>11.975</v>
      </c>
      <c r="E58" s="458"/>
      <c r="F58" s="294"/>
      <c r="G58" s="42"/>
      <c r="H58" s="41"/>
      <c r="I58" s="41"/>
      <c r="J58" s="295" t="s">
        <v>134</v>
      </c>
      <c r="K58" s="324"/>
      <c r="L58" s="294"/>
      <c r="M58" s="294"/>
      <c r="N58" s="294"/>
      <c r="O58" s="294"/>
      <c r="P58" s="12"/>
      <c r="BC58" s="44"/>
      <c r="BD58" s="44"/>
    </row>
    <row r="59" spans="2:56" ht="17.7" customHeight="1">
      <c r="B59" s="363"/>
      <c r="C59" s="364"/>
      <c r="D59" s="365"/>
      <c r="E59" s="365"/>
      <c r="F59" s="294"/>
      <c r="G59" s="42"/>
      <c r="H59" s="41"/>
      <c r="I59" s="41"/>
      <c r="J59" s="295" t="s">
        <v>131</v>
      </c>
      <c r="K59" s="324"/>
      <c r="L59" s="294"/>
      <c r="M59" s="294"/>
      <c r="N59" s="294"/>
      <c r="O59" s="294"/>
      <c r="P59" s="12"/>
      <c r="BC59" s="44"/>
      <c r="BD59" s="44"/>
    </row>
    <row r="60" spans="2:56" ht="15.75" customHeight="1">
      <c r="B60" s="45"/>
      <c r="C60" s="11"/>
      <c r="D60" s="11"/>
      <c r="E60" s="46"/>
      <c r="F60" s="294"/>
      <c r="G60" s="42"/>
      <c r="H60" s="41"/>
      <c r="I60" s="41"/>
      <c r="J60" s="346" t="s">
        <v>130</v>
      </c>
      <c r="K60" s="324">
        <f>SUM(K50:K59)</f>
        <v>9</v>
      </c>
      <c r="L60" s="294"/>
      <c r="M60" s="294"/>
      <c r="N60" s="294"/>
      <c r="O60" s="294"/>
      <c r="P60" s="12"/>
    </row>
    <row r="61" spans="2:56" ht="20.25" customHeight="1">
      <c r="B61" s="15" t="s">
        <v>42</v>
      </c>
      <c r="C61" s="1" t="s">
        <v>43</v>
      </c>
      <c r="D61" s="1"/>
      <c r="E61" s="1"/>
      <c r="F61" s="294"/>
      <c r="G61" s="42"/>
      <c r="H61" s="41"/>
      <c r="I61" s="42"/>
      <c r="L61" s="294"/>
      <c r="P61" s="334"/>
    </row>
    <row r="62" spans="2:56" ht="15" customHeight="1" thickBo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9"/>
    </row>
    <row r="63" spans="2:56" ht="15" customHeight="1" thickBot="1">
      <c r="B63" s="447" t="s">
        <v>17</v>
      </c>
      <c r="C63" s="447" t="s">
        <v>44</v>
      </c>
      <c r="D63" s="459" t="s">
        <v>45</v>
      </c>
      <c r="E63" s="461" t="s">
        <v>46</v>
      </c>
      <c r="F63" s="455" t="s">
        <v>47</v>
      </c>
      <c r="G63" s="445" t="s">
        <v>48</v>
      </c>
      <c r="H63" s="447" t="s">
        <v>49</v>
      </c>
      <c r="I63" s="447" t="s">
        <v>50</v>
      </c>
      <c r="J63" s="439" t="s">
        <v>28</v>
      </c>
      <c r="K63" s="451" t="s">
        <v>51</v>
      </c>
      <c r="L63" s="453" t="s">
        <v>52</v>
      </c>
      <c r="M63" s="439" t="s">
        <v>53</v>
      </c>
      <c r="N63" s="13"/>
      <c r="O63" s="13"/>
      <c r="P63" s="50"/>
    </row>
    <row r="64" spans="2:56" ht="28.5" customHeight="1" thickTop="1" thickBot="1">
      <c r="B64" s="448"/>
      <c r="C64" s="448"/>
      <c r="D64" s="460"/>
      <c r="E64" s="462"/>
      <c r="F64" s="456"/>
      <c r="G64" s="446"/>
      <c r="H64" s="448"/>
      <c r="I64" s="448"/>
      <c r="J64" s="440"/>
      <c r="K64" s="452"/>
      <c r="L64" s="454"/>
      <c r="M64" s="440"/>
      <c r="N64" s="13"/>
      <c r="O64" s="13"/>
      <c r="P64" s="50"/>
      <c r="Q64" s="355"/>
      <c r="AB64" s="51">
        <v>43474</v>
      </c>
      <c r="AC64" s="51">
        <v>43475</v>
      </c>
      <c r="AD64" s="51">
        <v>43476</v>
      </c>
      <c r="AE64" s="51">
        <v>43477</v>
      </c>
      <c r="AF64" s="51">
        <v>43478</v>
      </c>
      <c r="AG64" s="51">
        <v>43479</v>
      </c>
      <c r="AH64" s="51">
        <v>43480</v>
      </c>
      <c r="AI64" s="51">
        <v>43481</v>
      </c>
      <c r="AJ64" s="51">
        <v>43482</v>
      </c>
      <c r="AK64" s="51">
        <v>43483</v>
      </c>
      <c r="AL64" s="51">
        <v>43484</v>
      </c>
      <c r="AM64" s="51">
        <v>43485</v>
      </c>
      <c r="AN64" s="51">
        <v>43486</v>
      </c>
      <c r="AO64" s="51">
        <v>43487</v>
      </c>
      <c r="AP64" s="51">
        <v>43488</v>
      </c>
      <c r="AQ64" s="51">
        <v>43489</v>
      </c>
      <c r="AR64" s="51">
        <v>43490</v>
      </c>
      <c r="AS64" s="51">
        <v>43491</v>
      </c>
      <c r="AT64" s="51">
        <v>43492</v>
      </c>
      <c r="AU64" s="51">
        <v>43493</v>
      </c>
      <c r="AV64" s="51">
        <v>43494</v>
      </c>
      <c r="AW64" s="51">
        <v>43495</v>
      </c>
      <c r="AX64" s="51">
        <v>43496</v>
      </c>
    </row>
    <row r="65" spans="2:57" s="54" customFormat="1" ht="43.5" customHeight="1">
      <c r="B65" s="415" t="str">
        <f>I36</f>
        <v>CARIB</v>
      </c>
      <c r="C65" s="283">
        <v>45783</v>
      </c>
      <c r="D65" s="279">
        <f>[33]May_2025!$H$3</f>
        <v>404.90000000000003</v>
      </c>
      <c r="E65" s="279"/>
      <c r="F65" s="279">
        <f>SUM([34]CARIB!$L$8:$L$11,[34]CARIB!$L$20:$L$21,[34]CARIB!$L$26:$L$27)</f>
        <v>393.8</v>
      </c>
      <c r="G65" s="279">
        <f>[33]May_2025!$H$7</f>
        <v>379.79999999999995</v>
      </c>
      <c r="H65" s="320">
        <f>(D65-F65)/D65*100</f>
        <v>2.7414176339837049</v>
      </c>
      <c r="I65" s="322">
        <f>((F65+E65)-G65)/(F65+E65)*100</f>
        <v>3.5551041137633459</v>
      </c>
      <c r="J65" s="392" t="s">
        <v>177</v>
      </c>
      <c r="K65" s="416">
        <f>[35]May_2025!$H$18</f>
        <v>1.3326315789473682</v>
      </c>
      <c r="L65" s="314">
        <f>(((D65+E65)-G65)/(D65+E65))*100</f>
        <v>6.1990614966658626</v>
      </c>
      <c r="M65" s="426" t="s">
        <v>178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 t="e">
        <f>[20]January_2019!L7</f>
        <v>#REF!</v>
      </c>
      <c r="AC65" s="57" t="e">
        <f>[20]January_2019!M7</f>
        <v>#REF!</v>
      </c>
      <c r="AD65" s="57" t="e">
        <f>[20]January_2019!N7</f>
        <v>#REF!</v>
      </c>
      <c r="AE65" s="57" t="e">
        <f>[20]January_2019!O7</f>
        <v>#REF!</v>
      </c>
      <c r="AF65" s="57" t="e">
        <f>[20]January_2019!P7</f>
        <v>#REF!</v>
      </c>
      <c r="AG65" s="57" t="e">
        <f>[20]January_2019!Q7</f>
        <v>#REF!</v>
      </c>
      <c r="AH65" s="57" t="e">
        <f>[20]January_2019!R7</f>
        <v>#REF!</v>
      </c>
      <c r="AI65" s="57" t="e">
        <f>[20]January_2019!S7</f>
        <v>#REF!</v>
      </c>
      <c r="AJ65" s="57" t="e">
        <f>[20]January_2019!T7</f>
        <v>#REF!</v>
      </c>
      <c r="AK65" s="57" t="e">
        <f>[20]January_2019!U7</f>
        <v>#REF!</v>
      </c>
      <c r="AL65" s="57" t="e">
        <f>[20]January_2019!V7</f>
        <v>#REF!</v>
      </c>
      <c r="AM65" s="57" t="e">
        <f>[20]January_2019!W7</f>
        <v>#REF!</v>
      </c>
      <c r="AN65" s="57" t="e">
        <f>[20]January_2019!X7</f>
        <v>#REF!</v>
      </c>
      <c r="AO65" s="57" t="e">
        <f>[20]January_2019!Y7</f>
        <v>#REF!</v>
      </c>
      <c r="AP65" s="57" t="e">
        <f>[20]January_2019!Z7</f>
        <v>#REF!</v>
      </c>
      <c r="AQ65" s="57" t="e">
        <f>[20]January_2019!AA7</f>
        <v>#REF!</v>
      </c>
      <c r="AR65" s="57" t="e">
        <f>[20]January_2019!AB7</f>
        <v>#REF!</v>
      </c>
      <c r="AS65" s="57" t="e">
        <f>[20]January_2019!AC7</f>
        <v>#REF!</v>
      </c>
      <c r="AT65" s="57" t="e">
        <f>[20]January_2019!AD7</f>
        <v>#REF!</v>
      </c>
      <c r="AU65" s="57" t="e">
        <f>[20]January_2019!AE7</f>
        <v>#REF!</v>
      </c>
      <c r="AV65" s="57" t="e">
        <f>[20]January_2019!AF7</f>
        <v>#REF!</v>
      </c>
      <c r="AW65" s="57" t="e">
        <f>[20]January_2019!AG7</f>
        <v>#REF!</v>
      </c>
      <c r="AX65" s="277" t="e">
        <f>[20]January_2019!AH7</f>
        <v>#REF!</v>
      </c>
      <c r="AY65" s="277"/>
      <c r="AZ65" s="277"/>
      <c r="BA65" s="277"/>
      <c r="BB65" s="277"/>
      <c r="BC65" s="277"/>
      <c r="BD65" s="277"/>
      <c r="BE65" s="277"/>
    </row>
    <row r="66" spans="2:57" s="54" customFormat="1" ht="10.5" customHeight="1">
      <c r="B66" s="415"/>
      <c r="C66" s="283"/>
      <c r="D66" s="377"/>
      <c r="E66" s="378"/>
      <c r="F66" s="379"/>
      <c r="G66" s="303"/>
      <c r="H66" s="320"/>
      <c r="I66" s="322"/>
      <c r="J66" s="398"/>
      <c r="K66" s="286"/>
      <c r="L66" s="314"/>
      <c r="M66" s="419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8"/>
      <c r="AC66" s="418"/>
      <c r="AD66" s="418"/>
      <c r="AE66" s="418"/>
      <c r="AF66" s="418"/>
      <c r="AG66" s="418"/>
      <c r="AH66" s="418"/>
      <c r="AI66" s="418"/>
      <c r="AJ66" s="418"/>
      <c r="AK66" s="418"/>
      <c r="AL66" s="418"/>
      <c r="AM66" s="418"/>
      <c r="AN66" s="418"/>
      <c r="AO66" s="418"/>
      <c r="AP66" s="418"/>
      <c r="AQ66" s="418"/>
      <c r="AR66" s="418"/>
      <c r="AS66" s="418"/>
      <c r="AT66" s="418"/>
      <c r="AU66" s="418"/>
      <c r="AV66" s="418"/>
      <c r="AW66" s="418"/>
    </row>
    <row r="67" spans="2:57" s="54" customFormat="1" ht="10.5" hidden="1" customHeight="1">
      <c r="B67" s="415"/>
      <c r="C67" s="283"/>
      <c r="D67" s="377"/>
      <c r="E67" s="378"/>
      <c r="F67" s="379"/>
      <c r="G67" s="303"/>
      <c r="H67" s="320"/>
      <c r="I67" s="322"/>
      <c r="J67" s="398"/>
      <c r="K67" s="286"/>
      <c r="L67" s="314"/>
      <c r="M67" s="419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8"/>
      <c r="AC67" s="418"/>
      <c r="AD67" s="418"/>
      <c r="AE67" s="418"/>
      <c r="AF67" s="418"/>
      <c r="AG67" s="418"/>
      <c r="AH67" s="418"/>
      <c r="AI67" s="418"/>
      <c r="AJ67" s="418"/>
      <c r="AK67" s="418"/>
      <c r="AL67" s="418"/>
      <c r="AM67" s="418"/>
      <c r="AN67" s="418"/>
      <c r="AO67" s="418"/>
      <c r="AP67" s="418"/>
      <c r="AQ67" s="418"/>
      <c r="AR67" s="418"/>
      <c r="AS67" s="418"/>
      <c r="AT67" s="418"/>
      <c r="AU67" s="418"/>
      <c r="AV67" s="418"/>
      <c r="AW67" s="418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6"/>
      <c r="P68" s="60"/>
    </row>
    <row r="69" spans="2:57" ht="14.4" thickBot="1">
      <c r="B69" s="441" t="s">
        <v>55</v>
      </c>
      <c r="C69" s="442"/>
      <c r="D69" s="442"/>
      <c r="E69" s="442"/>
      <c r="F69" s="443"/>
      <c r="G69" s="441" t="s">
        <v>56</v>
      </c>
      <c r="H69" s="442"/>
      <c r="I69" s="442"/>
      <c r="J69" s="443"/>
      <c r="K69" s="441" t="s">
        <v>51</v>
      </c>
      <c r="L69" s="442"/>
      <c r="M69" s="442"/>
      <c r="N69" s="444"/>
      <c r="O69" s="56"/>
      <c r="P69" s="50"/>
    </row>
    <row r="70" spans="2:57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>
      <c r="B71" s="29" t="s">
        <v>6</v>
      </c>
      <c r="C71" s="65">
        <f>L65</f>
        <v>6.1990614966658626</v>
      </c>
      <c r="D71" s="76">
        <v>6.1990614966658626</v>
      </c>
      <c r="E71" s="76">
        <v>7.1511528911862854</v>
      </c>
      <c r="F71" s="66">
        <v>4.8</v>
      </c>
      <c r="G71" s="65">
        <f>[33]May_2025!$H$11</f>
        <v>4.9867714998538109</v>
      </c>
      <c r="H71" s="76">
        <v>4.9867714998538109</v>
      </c>
      <c r="I71" s="76">
        <v>7.1164576595950564</v>
      </c>
      <c r="J71" s="66">
        <v>4.8</v>
      </c>
      <c r="K71" s="67">
        <f>K65</f>
        <v>1.3326315789473682</v>
      </c>
      <c r="L71" s="194">
        <v>1.3326315789473682</v>
      </c>
      <c r="M71" s="194">
        <v>0.77038736441086619</v>
      </c>
      <c r="N71" s="68">
        <v>1</v>
      </c>
      <c r="O71" s="56"/>
      <c r="P71" s="69"/>
    </row>
    <row r="72" spans="2:57">
      <c r="B72" s="33" t="s">
        <v>9</v>
      </c>
      <c r="C72" s="65"/>
      <c r="D72" s="76"/>
      <c r="E72" s="76">
        <v>6.1326235005825733</v>
      </c>
      <c r="F72" s="66">
        <v>4.8</v>
      </c>
      <c r="G72" s="65"/>
      <c r="H72" s="76"/>
      <c r="I72" s="76">
        <v>6.6012405294716094</v>
      </c>
      <c r="J72" s="66">
        <v>4.8</v>
      </c>
      <c r="K72" s="67"/>
      <c r="L72" s="194"/>
      <c r="M72" s="194">
        <v>0.75323691521525193</v>
      </c>
      <c r="N72" s="68">
        <v>1</v>
      </c>
      <c r="P72" s="69"/>
    </row>
    <row r="73" spans="2:57">
      <c r="B73" s="34" t="s">
        <v>40</v>
      </c>
      <c r="C73" s="65"/>
      <c r="D73" s="76"/>
      <c r="E73" s="76">
        <v>12.554572931825788</v>
      </c>
      <c r="F73" s="66">
        <v>5.5</v>
      </c>
      <c r="G73" s="65"/>
      <c r="H73" s="76"/>
      <c r="I73" s="76">
        <v>13.449891307585697</v>
      </c>
      <c r="J73" s="66">
        <v>5.5</v>
      </c>
      <c r="K73" s="67"/>
      <c r="L73" s="194"/>
      <c r="M73" s="194">
        <v>0.54554653679653675</v>
      </c>
      <c r="N73" s="68">
        <v>1</v>
      </c>
      <c r="P73" s="69"/>
    </row>
    <row r="74" spans="2:57">
      <c r="B74" s="22" t="s">
        <v>33</v>
      </c>
      <c r="C74" s="65"/>
      <c r="D74" s="76"/>
      <c r="E74" s="76">
        <v>2.2218158544390558</v>
      </c>
      <c r="F74" s="66">
        <v>3.3</v>
      </c>
      <c r="G74" s="65"/>
      <c r="H74" s="76"/>
      <c r="I74" s="76">
        <v>5.0359151649923692</v>
      </c>
      <c r="J74" s="66">
        <v>3.3</v>
      </c>
      <c r="K74" s="67"/>
      <c r="L74" s="194"/>
      <c r="M74" s="194">
        <v>0.87880701754385959</v>
      </c>
      <c r="N74" s="68">
        <v>1</v>
      </c>
      <c r="P74" s="69"/>
    </row>
    <row r="75" spans="2:57">
      <c r="B75" s="35" t="s">
        <v>29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L75" s="194"/>
      <c r="M75" s="194"/>
      <c r="N75" s="68">
        <v>1</v>
      </c>
      <c r="P75" s="69"/>
    </row>
    <row r="76" spans="2:57">
      <c r="B76" s="36" t="s">
        <v>15</v>
      </c>
      <c r="C76" s="282"/>
      <c r="D76" s="76"/>
      <c r="E76" s="76">
        <v>7.8262258425171876</v>
      </c>
      <c r="F76" s="70">
        <f>[21]May_2022!$M$43</f>
        <v>3.4878406700073312</v>
      </c>
      <c r="G76" s="282"/>
      <c r="H76" s="76"/>
      <c r="I76" s="76">
        <v>9.4300678869947632</v>
      </c>
      <c r="J76" s="66">
        <v>5.5</v>
      </c>
      <c r="K76" s="67"/>
      <c r="L76" s="194"/>
      <c r="M76" s="194">
        <v>0.674970760233918</v>
      </c>
      <c r="N76" s="68">
        <v>1</v>
      </c>
      <c r="P76" s="69"/>
    </row>
    <row r="77" spans="2:57">
      <c r="B77" s="37" t="s">
        <v>16</v>
      </c>
      <c r="C77" s="65"/>
      <c r="D77" s="76"/>
      <c r="E77" s="76">
        <v>1.85607294041028</v>
      </c>
      <c r="F77" s="66">
        <v>3.3</v>
      </c>
      <c r="G77" s="282"/>
      <c r="H77" s="76"/>
      <c r="I77" s="76">
        <v>4.5764571827076486</v>
      </c>
      <c r="J77" s="66">
        <v>3.3</v>
      </c>
      <c r="K77" s="67"/>
      <c r="L77" s="194"/>
      <c r="M77" s="194">
        <v>0.83594855305466242</v>
      </c>
      <c r="N77" s="71">
        <v>1</v>
      </c>
      <c r="P77" s="69"/>
    </row>
    <row r="78" spans="2:57" ht="14.4" thickBot="1">
      <c r="B78" s="38" t="s">
        <v>127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4.4" thickBot="1">
      <c r="B79" s="417" t="s">
        <v>161</v>
      </c>
      <c r="C79" s="65"/>
      <c r="D79" s="76"/>
      <c r="E79" s="76">
        <v>4.8792508624938291</v>
      </c>
      <c r="F79" s="66">
        <v>4.8</v>
      </c>
      <c r="G79" s="282"/>
      <c r="H79" s="76"/>
      <c r="I79" s="76">
        <v>6.2003723782925313</v>
      </c>
      <c r="J79" s="66">
        <v>4.8</v>
      </c>
      <c r="K79" s="67"/>
      <c r="L79" s="194"/>
      <c r="M79" s="194">
        <v>0.33859649122807017</v>
      </c>
      <c r="N79" s="71">
        <v>1</v>
      </c>
      <c r="O79" s="74"/>
      <c r="P79" s="75"/>
    </row>
    <row r="80" spans="2:57">
      <c r="D80" s="76">
        <v>6.1990614966658626</v>
      </c>
      <c r="E80" s="76">
        <v>6.8523921175565201</v>
      </c>
      <c r="F80" s="341">
        <v>5.5</v>
      </c>
      <c r="H80" s="76">
        <v>4.9867714998538109</v>
      </c>
      <c r="I80" s="76">
        <v>7.4968870974131967</v>
      </c>
      <c r="J80" s="341">
        <v>5.5</v>
      </c>
      <c r="K80" s="67"/>
      <c r="L80" s="194">
        <v>1.3326315789473682</v>
      </c>
      <c r="M80" s="194">
        <v>0.74477263425695472</v>
      </c>
      <c r="N80" s="386">
        <v>1</v>
      </c>
    </row>
    <row r="84" spans="6:6">
      <c r="F84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34:N34"/>
    <mergeCell ref="D35:E35"/>
    <mergeCell ref="B36:B47"/>
    <mergeCell ref="D36:E37"/>
    <mergeCell ref="D38:E39"/>
    <mergeCell ref="D40:E41"/>
    <mergeCell ref="D42:E43"/>
    <mergeCell ref="D44:E45"/>
    <mergeCell ref="D46:E47"/>
    <mergeCell ref="B48:B57"/>
    <mergeCell ref="D48:E49"/>
    <mergeCell ref="J48:K48"/>
    <mergeCell ref="L49:N49"/>
    <mergeCell ref="D50:E51"/>
    <mergeCell ref="D52:E53"/>
    <mergeCell ref="D54:E55"/>
    <mergeCell ref="D56:E57"/>
    <mergeCell ref="D58:E58"/>
    <mergeCell ref="B63:B64"/>
    <mergeCell ref="C63:C64"/>
    <mergeCell ref="D63:D64"/>
    <mergeCell ref="E63:E64"/>
    <mergeCell ref="M63:M64"/>
    <mergeCell ref="B69:F69"/>
    <mergeCell ref="G69:J69"/>
    <mergeCell ref="K69:N69"/>
    <mergeCell ref="G63:G64"/>
    <mergeCell ref="H63:H64"/>
    <mergeCell ref="I63:I64"/>
    <mergeCell ref="J63:J64"/>
    <mergeCell ref="K63:K64"/>
    <mergeCell ref="L63:L64"/>
    <mergeCell ref="F63:F64"/>
  </mergeCells>
  <conditionalFormatting sqref="B58:B59">
    <cfRule type="cellIs" dxfId="2098" priority="135" operator="notBetween">
      <formula>#REF!</formula>
      <formula>#REF!</formula>
    </cfRule>
  </conditionalFormatting>
  <conditionalFormatting sqref="C62">
    <cfRule type="cellIs" dxfId="2097" priority="167" stopIfTrue="1" operator="greaterThan">
      <formula>100</formula>
    </cfRule>
    <cfRule type="cellIs" dxfId="2096" priority="166" stopIfTrue="1" operator="lessThan">
      <formula>96</formula>
    </cfRule>
  </conditionalFormatting>
  <conditionalFormatting sqref="C71:C72">
    <cfRule type="cellIs" dxfId="2095" priority="111" stopIfTrue="1" operator="lessThanOrEqual">
      <formula>0</formula>
    </cfRule>
  </conditionalFormatting>
  <conditionalFormatting sqref="C71:C75">
    <cfRule type="cellIs" dxfId="2094" priority="110" stopIfTrue="1" operator="greaterThan">
      <formula>$F71</formula>
    </cfRule>
  </conditionalFormatting>
  <conditionalFormatting sqref="C72">
    <cfRule type="cellIs" dxfId="2093" priority="170" stopIfTrue="1" operator="greaterThan">
      <formula>$F71</formula>
    </cfRule>
  </conditionalFormatting>
  <conditionalFormatting sqref="C73:C76">
    <cfRule type="cellIs" dxfId="2092" priority="119" stopIfTrue="1" operator="lessThanOrEqual">
      <formula>0</formula>
    </cfRule>
  </conditionalFormatting>
  <conditionalFormatting sqref="C76">
    <cfRule type="cellIs" dxfId="2091" priority="118" stopIfTrue="1" operator="greaterThan">
      <formula>$J76</formula>
    </cfRule>
  </conditionalFormatting>
  <conditionalFormatting sqref="C82:C86">
    <cfRule type="cellIs" dxfId="2090" priority="158" stopIfTrue="1" operator="lessThanOrEqual">
      <formula>0</formula>
    </cfRule>
  </conditionalFormatting>
  <conditionalFormatting sqref="C83:C86">
    <cfRule type="cellIs" dxfId="2089" priority="157" stopIfTrue="1" operator="greaterThan">
      <formula>$F$82</formula>
    </cfRule>
  </conditionalFormatting>
  <conditionalFormatting sqref="C88">
    <cfRule type="cellIs" dxfId="2088" priority="160" stopIfTrue="1" operator="lessThanOrEqual">
      <formula>0</formula>
    </cfRule>
    <cfRule type="cellIs" dxfId="2087" priority="159" stopIfTrue="1" operator="greaterThan">
      <formula>$F$82</formula>
    </cfRule>
  </conditionalFormatting>
  <conditionalFormatting sqref="C82:D82 D84:D90">
    <cfRule type="cellIs" dxfId="2086" priority="152" stopIfTrue="1" operator="greaterThan">
      <formula>4.5</formula>
    </cfRule>
  </conditionalFormatting>
  <conditionalFormatting sqref="D58:D59">
    <cfRule type="cellIs" dxfId="2085" priority="136" operator="notBetween">
      <formula>#REF!</formula>
      <formula>#REF!</formula>
    </cfRule>
  </conditionalFormatting>
  <conditionalFormatting sqref="D71:D78">
    <cfRule type="cellIs" dxfId="2084" priority="129" stopIfTrue="1" operator="lessThanOrEqual">
      <formula>0</formula>
    </cfRule>
  </conditionalFormatting>
  <conditionalFormatting sqref="D79">
    <cfRule type="cellIs" dxfId="2083" priority="128" stopIfTrue="1" operator="lessThanOrEqual">
      <formula>0</formula>
    </cfRule>
  </conditionalFormatting>
  <conditionalFormatting sqref="D82 D84:D90">
    <cfRule type="cellIs" dxfId="2082" priority="153" stopIfTrue="1" operator="lessThanOrEqual">
      <formula>0</formula>
    </cfRule>
  </conditionalFormatting>
  <conditionalFormatting sqref="D83">
    <cfRule type="cellIs" dxfId="2081" priority="145" stopIfTrue="1" operator="lessThanOrEqual">
      <formula>0</formula>
    </cfRule>
    <cfRule type="cellIs" dxfId="2080" priority="144" stopIfTrue="1" operator="greaterThan">
      <formula>$F$82</formula>
    </cfRule>
  </conditionalFormatting>
  <conditionalFormatting sqref="D71:E80">
    <cfRule type="cellIs" dxfId="2079" priority="107" stopIfTrue="1" operator="greaterThan">
      <formula>$F71</formula>
    </cfRule>
  </conditionalFormatting>
  <conditionalFormatting sqref="D80:E80">
    <cfRule type="cellIs" dxfId="2078" priority="108" stopIfTrue="1" operator="lessThanOrEqual">
      <formula>0</formula>
    </cfRule>
  </conditionalFormatting>
  <conditionalFormatting sqref="E10:E16 E17:F18">
    <cfRule type="cellIs" dxfId="2077" priority="42" operator="lessThan">
      <formula>48</formula>
    </cfRule>
  </conditionalFormatting>
  <conditionalFormatting sqref="E19:E33">
    <cfRule type="cellIs" dxfId="2076" priority="23" operator="lessThan">
      <formula>48</formula>
    </cfRule>
  </conditionalFormatting>
  <conditionalFormatting sqref="E61 E62:F62">
    <cfRule type="cellIs" dxfId="2075" priority="149" stopIfTrue="1" operator="greaterThan">
      <formula>100</formula>
    </cfRule>
  </conditionalFormatting>
  <conditionalFormatting sqref="E62">
    <cfRule type="cellIs" dxfId="2074" priority="147" stopIfTrue="1" operator="greaterThan">
      <formula>100</formula>
    </cfRule>
    <cfRule type="cellIs" dxfId="2073" priority="146" stopIfTrue="1" operator="lessThan">
      <formula>96.8</formula>
    </cfRule>
  </conditionalFormatting>
  <conditionalFormatting sqref="E71:E79">
    <cfRule type="cellIs" dxfId="2072" priority="123" stopIfTrue="1" operator="lessThanOrEqual">
      <formula>0</formula>
    </cfRule>
  </conditionalFormatting>
  <conditionalFormatting sqref="E82:E90">
    <cfRule type="cellIs" dxfId="2071" priority="138" stopIfTrue="1" operator="greaterThan">
      <formula>4.5</formula>
    </cfRule>
    <cfRule type="cellIs" dxfId="2070" priority="139" stopIfTrue="1" operator="lessThanOrEqual">
      <formula>0</formula>
    </cfRule>
  </conditionalFormatting>
  <conditionalFormatting sqref="E62:F62 E61">
    <cfRule type="cellIs" dxfId="2069" priority="148" stopIfTrue="1" operator="lessThan">
      <formula>96.5</formula>
    </cfRule>
  </conditionalFormatting>
  <conditionalFormatting sqref="F10:F16">
    <cfRule type="cellIs" dxfId="2068" priority="15" operator="greaterThan">
      <formula>60</formula>
    </cfRule>
  </conditionalFormatting>
  <conditionalFormatting sqref="F19:F33">
    <cfRule type="cellIs" dxfId="2067" priority="24" operator="greaterThan">
      <formula>60</formula>
    </cfRule>
  </conditionalFormatting>
  <conditionalFormatting sqref="F62">
    <cfRule type="cellIs" dxfId="2066" priority="165" stopIfTrue="1" operator="greaterThan">
      <formula>100</formula>
    </cfRule>
    <cfRule type="cellIs" dxfId="2065" priority="164" stopIfTrue="1" operator="lessThan">
      <formula>96.8</formula>
    </cfRule>
  </conditionalFormatting>
  <conditionalFormatting sqref="F80">
    <cfRule type="cellIs" dxfId="2064" priority="124" stopIfTrue="1" operator="greaterThan">
      <formula>$F80</formula>
    </cfRule>
    <cfRule type="cellIs" dxfId="2063" priority="125" stopIfTrue="1" operator="lessThanOrEqual">
      <formula>0</formula>
    </cfRule>
  </conditionalFormatting>
  <conditionalFormatting sqref="G10:G16 G19:G20">
    <cfRule type="expression" dxfId="2062" priority="29">
      <formula>IF(+(IF(G10&lt;S10,0,IF(G10&gt;T10,0,1)))=0,1)</formula>
    </cfRule>
  </conditionalFormatting>
  <conditionalFormatting sqref="G71:G72 C77:C79">
    <cfRule type="cellIs" dxfId="2061" priority="131" stopIfTrue="1" operator="lessThanOrEqual">
      <formula>0</formula>
    </cfRule>
    <cfRule type="cellIs" dxfId="2060" priority="130" stopIfTrue="1" operator="greaterThan">
      <formula>$F71</formula>
    </cfRule>
  </conditionalFormatting>
  <conditionalFormatting sqref="G71:G72">
    <cfRule type="cellIs" dxfId="2059" priority="113" stopIfTrue="1" operator="lessThanOrEqual">
      <formula>0</formula>
    </cfRule>
    <cfRule type="cellIs" dxfId="2058" priority="112" stopIfTrue="1" operator="greaterThan">
      <formula>$F71</formula>
    </cfRule>
  </conditionalFormatting>
  <conditionalFormatting sqref="G73">
    <cfRule type="cellIs" dxfId="2057" priority="169" stopIfTrue="1" operator="lessThanOrEqual">
      <formula>0</formula>
    </cfRule>
    <cfRule type="cellIs" dxfId="2056" priority="168" stopIfTrue="1" operator="greaterThan">
      <formula>$F72</formula>
    </cfRule>
  </conditionalFormatting>
  <conditionalFormatting sqref="G74">
    <cfRule type="cellIs" dxfId="2055" priority="127" stopIfTrue="1" operator="lessThanOrEqual">
      <formula>0</formula>
    </cfRule>
    <cfRule type="cellIs" dxfId="2054" priority="126" stopIfTrue="1" operator="greaterThan">
      <formula>$F74</formula>
    </cfRule>
  </conditionalFormatting>
  <conditionalFormatting sqref="G75:G79">
    <cfRule type="cellIs" dxfId="2053" priority="133" stopIfTrue="1" operator="lessThanOrEqual">
      <formula>0</formula>
    </cfRule>
    <cfRule type="cellIs" dxfId="2052" priority="132" stopIfTrue="1" operator="greaterThan">
      <formula>$J75</formula>
    </cfRule>
  </conditionalFormatting>
  <conditionalFormatting sqref="G84:G89 C87 C89">
    <cfRule type="cellIs" dxfId="2051" priority="162" stopIfTrue="1" operator="lessThanOrEqual">
      <formula>0</formula>
    </cfRule>
    <cfRule type="cellIs" dxfId="2050" priority="161" stopIfTrue="1" operator="greaterThan">
      <formula>4.5</formula>
    </cfRule>
  </conditionalFormatting>
  <conditionalFormatting sqref="G17:H18">
    <cfRule type="expression" dxfId="2049" priority="17">
      <formula>IF(+(IF(G17&lt;#REF!,0,IF(G17&gt;#REF!,0,1)))=0,1)</formula>
    </cfRule>
  </conditionalFormatting>
  <conditionalFormatting sqref="G21:H30">
    <cfRule type="expression" dxfId="2048" priority="49">
      <formula>IF(+(IF(G21&lt;#REF!,0,IF(G21&gt;#REF!,0,1)))=0,1)</formula>
    </cfRule>
  </conditionalFormatting>
  <conditionalFormatting sqref="G83:H83">
    <cfRule type="cellIs" dxfId="2047" priority="143" stopIfTrue="1" operator="lessThanOrEqual">
      <formula>0</formula>
    </cfRule>
    <cfRule type="cellIs" dxfId="2046" priority="142" stopIfTrue="1" operator="greaterThan">
      <formula>$F$82</formula>
    </cfRule>
  </conditionalFormatting>
  <conditionalFormatting sqref="H10:H16 G31:G33">
    <cfRule type="expression" dxfId="2045" priority="70">
      <formula>IF(+(IF(G10&lt;#REF!,0,IF(G10&gt;#REF!,0,1)))=0,1)</formula>
    </cfRule>
  </conditionalFormatting>
  <conditionalFormatting sqref="H19:H20">
    <cfRule type="expression" dxfId="2044" priority="16">
      <formula>IF(+(IF(H19&lt;#REF!,0,IF(H19&gt;#REF!,0,1)))=0,1)</formula>
    </cfRule>
  </conditionalFormatting>
  <conditionalFormatting sqref="H31:H33">
    <cfRule type="expression" dxfId="2043" priority="71">
      <formula>IF(+(IF(H31&lt;T31,0,IF(H31&gt;U31,0,1)))=0,1)</formula>
    </cfRule>
  </conditionalFormatting>
  <conditionalFormatting sqref="H47:H61 I49:I60">
    <cfRule type="cellIs" dxfId="2042" priority="140" stopIfTrue="1" operator="greaterThan">
      <formula>0</formula>
    </cfRule>
  </conditionalFormatting>
  <conditionalFormatting sqref="H65">
    <cfRule type="cellIs" dxfId="2041" priority="2" stopIfTrue="1" operator="lessThanOrEqual">
      <formula>0</formula>
    </cfRule>
    <cfRule type="cellIs" dxfId="2040" priority="3" stopIfTrue="1" operator="greaterThan">
      <formula>$F$35</formula>
    </cfRule>
    <cfRule type="cellIs" dxfId="2039" priority="11" stopIfTrue="1" operator="greaterThan">
      <formula>$F$38</formula>
    </cfRule>
    <cfRule type="cellIs" dxfId="2038" priority="12" stopIfTrue="1" operator="lessThanOrEqual">
      <formula>0</formula>
    </cfRule>
    <cfRule type="cellIs" dxfId="2037" priority="14" stopIfTrue="1" operator="lessThanOrEqual">
      <formula>0</formula>
    </cfRule>
    <cfRule type="cellIs" dxfId="2036" priority="13" stopIfTrue="1" operator="greaterThan">
      <formula>$F$36</formula>
    </cfRule>
  </conditionalFormatting>
  <conditionalFormatting sqref="H66:H67">
    <cfRule type="cellIs" dxfId="2035" priority="81" stopIfTrue="1" operator="greaterThan">
      <formula>$F$46</formula>
    </cfRule>
    <cfRule type="cellIs" dxfId="2034" priority="92" stopIfTrue="1" operator="lessThanOrEqual">
      <formula>0</formula>
    </cfRule>
    <cfRule type="cellIs" dxfId="2033" priority="80" stopIfTrue="1" operator="lessThanOrEqual">
      <formula>0</formula>
    </cfRule>
    <cfRule type="cellIs" dxfId="2032" priority="91" stopIfTrue="1" operator="greaterThan">
      <formula>$F$47</formula>
    </cfRule>
    <cfRule type="cellIs" dxfId="2031" priority="90" stopIfTrue="1" operator="lessThanOrEqual">
      <formula>0</formula>
    </cfRule>
    <cfRule type="cellIs" dxfId="2030" priority="89" stopIfTrue="1" operator="greaterThan">
      <formula>$F$49</formula>
    </cfRule>
  </conditionalFormatting>
  <conditionalFormatting sqref="H71:H78">
    <cfRule type="cellIs" dxfId="2029" priority="116" stopIfTrue="1" operator="greaterThan">
      <formula>$J71</formula>
    </cfRule>
    <cfRule type="cellIs" dxfId="2028" priority="117" stopIfTrue="1" operator="lessThanOrEqual">
      <formula>0</formula>
    </cfRule>
  </conditionalFormatting>
  <conditionalFormatting sqref="H79">
    <cfRule type="cellIs" dxfId="2027" priority="120" operator="greaterThan">
      <formula>5.3</formula>
    </cfRule>
  </conditionalFormatting>
  <conditionalFormatting sqref="H82 H84:H90">
    <cfRule type="cellIs" dxfId="2026" priority="154" stopIfTrue="1" operator="greaterThan">
      <formula>4.5</formula>
    </cfRule>
    <cfRule type="cellIs" dxfId="2025" priority="155" stopIfTrue="1" operator="lessThanOrEqual">
      <formula>0</formula>
    </cfRule>
  </conditionalFormatting>
  <conditionalFormatting sqref="H65:I65">
    <cfRule type="cellIs" dxfId="2024" priority="4" stopIfTrue="1" operator="lessThanOrEqual">
      <formula>0</formula>
    </cfRule>
    <cfRule type="cellIs" dxfId="2023" priority="1" stopIfTrue="1" operator="greaterThan">
      <formula>$F$37</formula>
    </cfRule>
  </conditionalFormatting>
  <conditionalFormatting sqref="H66:I67">
    <cfRule type="cellIs" dxfId="2022" priority="82" stopIfTrue="1" operator="lessThanOrEqual">
      <formula>0</formula>
    </cfRule>
    <cfRule type="cellIs" dxfId="2021" priority="79" stopIfTrue="1" operator="greaterThan">
      <formula>$F$48</formula>
    </cfRule>
  </conditionalFormatting>
  <conditionalFormatting sqref="H80:I80">
    <cfRule type="cellIs" dxfId="2020" priority="106" stopIfTrue="1" operator="lessThanOrEqual">
      <formula>0</formula>
    </cfRule>
    <cfRule type="cellIs" dxfId="2019" priority="105" stopIfTrue="1" operator="greaterThan">
      <formula>$J80</formula>
    </cfRule>
  </conditionalFormatting>
  <conditionalFormatting sqref="I65">
    <cfRule type="cellIs" dxfId="2018" priority="5" stopIfTrue="1" operator="greaterThan">
      <formula>$F$35</formula>
    </cfRule>
    <cfRule type="cellIs" dxfId="2017" priority="6" stopIfTrue="1" operator="lessThanOrEqual">
      <formula>0</formula>
    </cfRule>
    <cfRule type="cellIs" dxfId="2016" priority="7" stopIfTrue="1" operator="greaterThan">
      <formula>$F$37</formula>
    </cfRule>
    <cfRule type="cellIs" dxfId="2015" priority="8" stopIfTrue="1" operator="lessThanOrEqual">
      <formula>0</formula>
    </cfRule>
    <cfRule type="cellIs" dxfId="2014" priority="9" stopIfTrue="1" operator="greaterThan">
      <formula>$F$35</formula>
    </cfRule>
    <cfRule type="cellIs" dxfId="2013" priority="10" stopIfTrue="1" operator="lessThanOrEqual">
      <formula>0</formula>
    </cfRule>
  </conditionalFormatting>
  <conditionalFormatting sqref="I66:I67">
    <cfRule type="cellIs" dxfId="2012" priority="84" stopIfTrue="1" operator="lessThanOrEqual">
      <formula>0</formula>
    </cfRule>
    <cfRule type="cellIs" dxfId="2011" priority="83" stopIfTrue="1" operator="greaterThan">
      <formula>$F$46</formula>
    </cfRule>
    <cfRule type="cellIs" dxfId="2010" priority="88" stopIfTrue="1" operator="lessThanOrEqual">
      <formula>0</formula>
    </cfRule>
    <cfRule type="cellIs" dxfId="2009" priority="87" stopIfTrue="1" operator="greaterThan">
      <formula>$F$46</formula>
    </cfRule>
    <cfRule type="cellIs" dxfId="2008" priority="86" stopIfTrue="1" operator="lessThanOrEqual">
      <formula>0</formula>
    </cfRule>
    <cfRule type="cellIs" dxfId="2007" priority="85" stopIfTrue="1" operator="greaterThan">
      <formula>$F$48</formula>
    </cfRule>
  </conditionalFormatting>
  <conditionalFormatting sqref="I71:I79">
    <cfRule type="cellIs" dxfId="2006" priority="121" stopIfTrue="1" operator="greaterThan">
      <formula>$J71</formula>
    </cfRule>
    <cfRule type="cellIs" dxfId="2005" priority="122" stopIfTrue="1" operator="lessThanOrEqual">
      <formula>0</formula>
    </cfRule>
  </conditionalFormatting>
  <conditionalFormatting sqref="I82:I90">
    <cfRule type="cellIs" dxfId="2004" priority="150" stopIfTrue="1" operator="greaterThan">
      <formula>4.5</formula>
    </cfRule>
    <cfRule type="cellIs" dxfId="2003" priority="151" stopIfTrue="1" operator="lessThanOrEqual">
      <formula>0</formula>
    </cfRule>
  </conditionalFormatting>
  <conditionalFormatting sqref="I10:J30 I31:I33">
    <cfRule type="cellIs" dxfId="2002" priority="78" operator="lessThan">
      <formula>97.9</formula>
    </cfRule>
  </conditionalFormatting>
  <conditionalFormatting sqref="J36:J38">
    <cfRule type="cellIs" dxfId="2001" priority="95" stopIfTrue="1" operator="lessThan">
      <formula>96.8</formula>
    </cfRule>
    <cfRule type="cellIs" dxfId="2000" priority="96" stopIfTrue="1" operator="greaterThan">
      <formula>100</formula>
    </cfRule>
    <cfRule type="cellIs" dxfId="1999" priority="97" operator="lessThan">
      <formula>98</formula>
    </cfRule>
  </conditionalFormatting>
  <conditionalFormatting sqref="J36:J40">
    <cfRule type="cellIs" dxfId="1998" priority="94" operator="lessThan">
      <formula>97.4</formula>
    </cfRule>
  </conditionalFormatting>
  <conditionalFormatting sqref="J41">
    <cfRule type="cellIs" dxfId="1997" priority="98" operator="lessThan">
      <formula>98</formula>
    </cfRule>
  </conditionalFormatting>
  <conditionalFormatting sqref="J42:J44">
    <cfRule type="cellIs" dxfId="1996" priority="99" stopIfTrue="1" operator="lessThan">
      <formula>96.8</formula>
    </cfRule>
    <cfRule type="cellIs" dxfId="1995" priority="100" stopIfTrue="1" operator="greaterThan">
      <formula>100</formula>
    </cfRule>
  </conditionalFormatting>
  <conditionalFormatting sqref="J42:J45">
    <cfRule type="cellIs" dxfId="1994" priority="101" operator="lessThan">
      <formula>98</formula>
    </cfRule>
  </conditionalFormatting>
  <conditionalFormatting sqref="J80">
    <cfRule type="cellIs" dxfId="1993" priority="103" stopIfTrue="1" operator="lessThanOrEqual">
      <formula>0</formula>
    </cfRule>
    <cfRule type="cellIs" dxfId="1992" priority="102" stopIfTrue="1" operator="greaterThan">
      <formula>$F80</formula>
    </cfRule>
  </conditionalFormatting>
  <conditionalFormatting sqref="K10:K30 J31:J33">
    <cfRule type="cellIs" dxfId="1991" priority="77" operator="greaterThan">
      <formula>6.4</formula>
    </cfRule>
    <cfRule type="cellIs" dxfId="1990" priority="74" operator="lessThan">
      <formula>4</formula>
    </cfRule>
    <cfRule type="cellIs" dxfId="1989" priority="73" operator="greaterThan">
      <formula>6</formula>
    </cfRule>
  </conditionalFormatting>
  <conditionalFormatting sqref="K50:K59">
    <cfRule type="cellIs" dxfId="1988" priority="93" operator="notEqual">
      <formula>#REF!</formula>
    </cfRule>
  </conditionalFormatting>
  <conditionalFormatting sqref="K65:K67 K71:N74 L75:N75">
    <cfRule type="cellIs" dxfId="1987" priority="134" stopIfTrue="1" operator="lessThan">
      <formula>100%</formula>
    </cfRule>
  </conditionalFormatting>
  <conditionalFormatting sqref="K82:K87">
    <cfRule type="cellIs" dxfId="1986" priority="156" stopIfTrue="1" operator="lessThan">
      <formula>100%</formula>
    </cfRule>
  </conditionalFormatting>
  <conditionalFormatting sqref="K89:K90">
    <cfRule type="cellIs" dxfId="1985" priority="163" stopIfTrue="1" operator="lessThan">
      <formula>100%</formula>
    </cfRule>
  </conditionalFormatting>
  <conditionalFormatting sqref="K76:N80">
    <cfRule type="cellIs" dxfId="1984" priority="104" stopIfTrue="1" operator="lessThan">
      <formula>100%</formula>
    </cfRule>
  </conditionalFormatting>
  <conditionalFormatting sqref="L10:L30 K31:K33">
    <cfRule type="cellIs" dxfId="1983" priority="76" operator="greaterThan">
      <formula>65</formula>
    </cfRule>
    <cfRule type="cellIs" dxfId="1982" priority="75" operator="between">
      <formula>61</formula>
      <formula>65</formula>
    </cfRule>
  </conditionalFormatting>
  <conditionalFormatting sqref="L51:N51">
    <cfRule type="cellIs" dxfId="1981" priority="48" operator="notEqual">
      <formula>#REF!</formula>
    </cfRule>
  </conditionalFormatting>
  <conditionalFormatting sqref="L82:N90">
    <cfRule type="cellIs" dxfId="1980" priority="141" stopIfTrue="1" operator="lessThan">
      <formula>100%</formula>
    </cfRule>
  </conditionalFormatting>
  <conditionalFormatting sqref="M10:M30 L31:M33">
    <cfRule type="expression" dxfId="1979" priority="72">
      <formula>IF(+(IF(L10&lt;T10,0,IF(L10&gt;U10,0,1)))=0,1)</formula>
    </cfRule>
  </conditionalFormatting>
  <conditionalFormatting sqref="M36 L37:M47">
    <cfRule type="cellIs" dxfId="1978" priority="109" operator="lessThan">
      <formula>98</formula>
    </cfRule>
  </conditionalFormatting>
  <conditionalFormatting sqref="N10:N33">
    <cfRule type="expression" dxfId="1977" priority="26">
      <formula>IF(+(IF(N10&lt;W10,0,IF(N10&gt;X10,0,1)))=0,1)</formula>
    </cfRule>
  </conditionalFormatting>
  <conditionalFormatting sqref="P6">
    <cfRule type="cellIs" dxfId="1976" priority="137" operator="greaterThanOrEqual">
      <formula>19</formula>
    </cfRule>
  </conditionalFormatting>
  <dataValidations disablePrompts="1" count="1">
    <dataValidation type="list" allowBlank="1" showInputMessage="1" showErrorMessage="1" sqref="R8" xr:uid="{0B5F88BE-8CE2-4DA3-B1C9-688C0A043539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7EB78-3314-4097-99D2-09975E46925A}">
  <sheetPr codeName="Sheet5">
    <pageSetUpPr fitToPage="1"/>
  </sheetPr>
  <dimension ref="A1:BE81"/>
  <sheetViews>
    <sheetView topLeftCell="A46" zoomScale="80" zoomScaleNormal="80" workbookViewId="0">
      <selection activeCell="H62" sqref="H62:I62"/>
    </sheetView>
  </sheetViews>
  <sheetFormatPr defaultColWidth="9.44140625" defaultRowHeight="13.8"/>
  <cols>
    <col min="1" max="1" width="3.33203125" style="275" customWidth="1"/>
    <col min="2" max="2" width="35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45785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6.5" customHeight="1">
      <c r="B10" s="34" t="s">
        <v>12</v>
      </c>
      <c r="C10" s="366" t="str">
        <f>[24]Brewhouse!$A49</f>
        <v>GU042</v>
      </c>
      <c r="D10" s="279">
        <f>[24]Brewhouse!$AF49</f>
        <v>57.2</v>
      </c>
      <c r="E10" s="279">
        <f>[24]Brewhouse!$AI49</f>
        <v>52.7</v>
      </c>
      <c r="F10" s="278">
        <f>[24]Brewhouse!$V49</f>
        <v>67</v>
      </c>
      <c r="G10" s="279">
        <f>[24]Brewhouse!$AG49</f>
        <v>17</v>
      </c>
      <c r="H10" s="367"/>
      <c r="I10" s="421">
        <f>[24]Brewhouse!$AU49</f>
        <v>94.355661968588151</v>
      </c>
      <c r="J10" s="421">
        <f>[24]Brewhouse!$AV49</f>
        <v>95.763021550321625</v>
      </c>
      <c r="K10" s="398">
        <f>[24]Brewhouse!$R49</f>
        <v>3.4079173838209931</v>
      </c>
      <c r="L10" s="276">
        <f>[24]Brewhouse!$O49</f>
        <v>55</v>
      </c>
      <c r="M10" s="374">
        <f>[24]Brewhouse!$U49-[24]Brewhouse!$T49</f>
        <v>0.12291666666666667</v>
      </c>
      <c r="N10" s="370">
        <f>[24]Brewhouse!$Z49</f>
        <v>0.26736111111111116</v>
      </c>
      <c r="O10" s="429" t="str">
        <f>[24]Brewhouse!$AW49</f>
        <v>R. Sookram</v>
      </c>
      <c r="P10" s="423" t="s">
        <v>182</v>
      </c>
      <c r="R10" s="277" t="str">
        <f t="shared" ref="R10:R31" si="0">B10</f>
        <v>GUINNESS</v>
      </c>
      <c r="S10" s="296">
        <f t="shared" ref="S10:S31" si="1">VLOOKUP($B10,$R$3:$X$9,2,FALSE)</f>
        <v>17</v>
      </c>
      <c r="T10" s="296">
        <f t="shared" ref="T10:T31" si="2">VLOOKUP($B10,$R$3:$X$9,3,FALSE)</f>
        <v>17.5</v>
      </c>
      <c r="U10" s="297">
        <f t="shared" ref="U10:U31" si="3">VLOOKUP($B10,$R$3:$X$9,4,FALSE)</f>
        <v>0</v>
      </c>
      <c r="V10" s="297">
        <f t="shared" ref="V10:V31" si="4">VLOOKUP($B10,$R$3:$X$9,5,FALSE)</f>
        <v>0.1076388888888889</v>
      </c>
      <c r="W10" s="297">
        <f t="shared" ref="W10:W31" si="5">VLOOKUP($B10,$R$3:$X$9,6,FALSE)</f>
        <v>0.24652777777777779</v>
      </c>
      <c r="X10" s="297">
        <f t="shared" ref="X10:X31" si="6">VLOOKUP($B10,$R$3:$X$9,7,FALSE)</f>
        <v>0.28472222222222221</v>
      </c>
      <c r="Y10" s="297">
        <f t="shared" ref="Y10:Y31" si="7">VLOOKUP($B10,$R$3:$Z$9,8,FALSE)</f>
        <v>0</v>
      </c>
      <c r="Z10" s="296">
        <f t="shared" ref="Z10:Z31" si="8">VLOOKUP($B10,$R$3:$Z$9,9,FALSE)</f>
        <v>60</v>
      </c>
    </row>
    <row r="11" spans="2:29" ht="16.5" customHeight="1">
      <c r="B11" s="34" t="s">
        <v>12</v>
      </c>
      <c r="C11" s="366" t="str">
        <f>[24]Brewhouse!$A50</f>
        <v>GU043</v>
      </c>
      <c r="D11" s="279">
        <f>[24]Brewhouse!$AF50</f>
        <v>57.2</v>
      </c>
      <c r="E11" s="279">
        <f>[24]Brewhouse!$AI50</f>
        <v>52.5</v>
      </c>
      <c r="F11" s="278">
        <f>[24]Brewhouse!$V50</f>
        <v>65</v>
      </c>
      <c r="G11" s="279">
        <f>[24]Brewhouse!$AG50</f>
        <v>17.27</v>
      </c>
      <c r="H11" s="367"/>
      <c r="I11" s="421">
        <f>[24]Brewhouse!$AU50</f>
        <v>95.810201396742571</v>
      </c>
      <c r="J11" s="421">
        <f>[24]Brewhouse!$AV50</f>
        <v>97.239256125947975</v>
      </c>
      <c r="K11" s="398">
        <f>[24]Brewhouse!$R50</f>
        <v>2.3999999999999919</v>
      </c>
      <c r="L11" s="276">
        <f>[24]Brewhouse!$O50</f>
        <v>58</v>
      </c>
      <c r="M11" s="374">
        <f>[24]Brewhouse!$U50-[24]Brewhouse!$T50</f>
        <v>0.11249999999999999</v>
      </c>
      <c r="N11" s="370">
        <f>[24]Brewhouse!$Z50</f>
        <v>0.26874999999999999</v>
      </c>
      <c r="O11" s="429" t="str">
        <f>[24]Brewhouse!$AW50</f>
        <v>K. Benjamin</v>
      </c>
      <c r="P11" s="423"/>
      <c r="R11" s="277" t="str">
        <f t="shared" si="0"/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6.5" customHeight="1">
      <c r="B12" s="34" t="s">
        <v>12</v>
      </c>
      <c r="C12" s="366" t="str">
        <f>[24]Brewhouse!$A51</f>
        <v>GU044</v>
      </c>
      <c r="D12" s="279">
        <f>[24]Brewhouse!$AF51</f>
        <v>58.4</v>
      </c>
      <c r="E12" s="279">
        <f>[24]Brewhouse!$AI51</f>
        <v>53.8</v>
      </c>
      <c r="F12" s="278">
        <f>[24]Brewhouse!$V51</f>
        <v>65</v>
      </c>
      <c r="G12" s="279">
        <f>[24]Brewhouse!$AG51</f>
        <v>17.46</v>
      </c>
      <c r="H12" s="367"/>
      <c r="I12" s="421">
        <f>[24]Brewhouse!$AU51</f>
        <v>99.427652456948039</v>
      </c>
      <c r="J12" s="421">
        <f>[24]Brewhouse!$AV51</f>
        <v>100.91037523170181</v>
      </c>
      <c r="K12" s="398">
        <f>[24]Brewhouse!$R51</f>
        <v>1.2318840579710137</v>
      </c>
      <c r="L12" s="276">
        <f>[24]Brewhouse!$O51</f>
        <v>62</v>
      </c>
      <c r="M12" s="374">
        <f>[24]Brewhouse!$U51-[24]Brewhouse!$T51</f>
        <v>0.11736111111111114</v>
      </c>
      <c r="N12" s="370">
        <f>[24]Brewhouse!$Z51</f>
        <v>0.26319444444444445</v>
      </c>
      <c r="O12" s="429" t="str">
        <f>[24]Brewhouse!$AW51</f>
        <v>K. Benjamin</v>
      </c>
      <c r="P12" s="423"/>
      <c r="R12" s="277" t="str">
        <f t="shared" si="0"/>
        <v>GUINNESS</v>
      </c>
      <c r="S12" s="296">
        <f t="shared" si="1"/>
        <v>17</v>
      </c>
      <c r="T12" s="296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296">
        <f t="shared" si="8"/>
        <v>60</v>
      </c>
    </row>
    <row r="13" spans="2:29" ht="16.5" customHeight="1">
      <c r="B13" s="34" t="s">
        <v>12</v>
      </c>
      <c r="C13" s="366" t="str">
        <f>[24]Brewhouse!$A52</f>
        <v>GU045</v>
      </c>
      <c r="D13" s="279">
        <f>[24]Brewhouse!$AF52</f>
        <v>58.8</v>
      </c>
      <c r="E13" s="279">
        <f>[24]Brewhouse!$AI52</f>
        <v>54.1</v>
      </c>
      <c r="F13" s="278">
        <f>[24]Brewhouse!$V52</f>
        <v>76</v>
      </c>
      <c r="G13" s="279">
        <f>[24]Brewhouse!$AG52</f>
        <v>17.05</v>
      </c>
      <c r="H13" s="396">
        <v>17.05</v>
      </c>
      <c r="I13" s="421">
        <f>[24]Brewhouse!$AU52</f>
        <v>97.654775523306199</v>
      </c>
      <c r="J13" s="421">
        <f>[24]Brewhouse!$AV52</f>
        <v>99.110776866962468</v>
      </c>
      <c r="K13" s="398">
        <f>[24]Brewhouse!$R52</f>
        <v>1.3333333333333353</v>
      </c>
      <c r="L13" s="276">
        <f>[24]Brewhouse!$O52</f>
        <v>58</v>
      </c>
      <c r="M13" s="374">
        <f>[24]Brewhouse!$U52-[24]Brewhouse!$T52</f>
        <v>0.1201388888888888</v>
      </c>
      <c r="N13" s="370">
        <f>[24]Brewhouse!$Z52</f>
        <v>0.26666666666666661</v>
      </c>
      <c r="O13" s="429" t="str">
        <f>[24]Brewhouse!$AW52</f>
        <v>K. Benjamin</v>
      </c>
      <c r="P13" s="423"/>
      <c r="R13" s="277" t="str">
        <f t="shared" si="0"/>
        <v>GUINNESS</v>
      </c>
      <c r="S13" s="296">
        <f t="shared" si="1"/>
        <v>17</v>
      </c>
      <c r="T13" s="296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296">
        <f t="shared" si="8"/>
        <v>60</v>
      </c>
    </row>
    <row r="14" spans="2:29" ht="16.5" customHeight="1">
      <c r="B14" s="34" t="s">
        <v>12</v>
      </c>
      <c r="C14" s="366" t="str">
        <f>[24]Brewhouse!$A53</f>
        <v>GU046</v>
      </c>
      <c r="D14" s="279">
        <f>[24]Brewhouse!$AF53</f>
        <v>59.7</v>
      </c>
      <c r="E14" s="279">
        <f>[24]Brewhouse!$AI53</f>
        <v>55.1</v>
      </c>
      <c r="F14" s="278">
        <f>[24]Brewhouse!$V53</f>
        <v>76</v>
      </c>
      <c r="G14" s="279">
        <f>[24]Brewhouse!$AG53</f>
        <v>17.25</v>
      </c>
      <c r="H14" s="367"/>
      <c r="I14" s="421">
        <f>[24]Brewhouse!$AU53</f>
        <v>100.94816106190711</v>
      </c>
      <c r="J14" s="421">
        <f>[24]Brewhouse!$AV53</f>
        <v>102.45238454193677</v>
      </c>
      <c r="K14" s="398">
        <f>[24]Brewhouse!$R53</f>
        <v>1.3131313131313032</v>
      </c>
      <c r="L14" s="276">
        <f>[24]Brewhouse!$O53</f>
        <v>59</v>
      </c>
      <c r="M14" s="374">
        <f>[24]Brewhouse!$U53-[24]Brewhouse!$T53</f>
        <v>0.13611111111111107</v>
      </c>
      <c r="N14" s="370">
        <f>[24]Brewhouse!$Z53</f>
        <v>0.30486111111111103</v>
      </c>
      <c r="O14" s="429" t="str">
        <f>[24]Brewhouse!$AW53</f>
        <v>D. Gomaz</v>
      </c>
      <c r="P14" s="423" t="s">
        <v>180</v>
      </c>
      <c r="R14" s="277" t="str">
        <f t="shared" si="0"/>
        <v>GUINNESS</v>
      </c>
      <c r="S14" s="296">
        <f t="shared" si="1"/>
        <v>17</v>
      </c>
      <c r="T14" s="296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296">
        <f t="shared" si="8"/>
        <v>60</v>
      </c>
    </row>
    <row r="15" spans="2:29" ht="16.5" customHeight="1">
      <c r="B15" s="34" t="s">
        <v>12</v>
      </c>
      <c r="C15" s="366" t="str">
        <f>[24]Brewhouse!$A54</f>
        <v>GU047</v>
      </c>
      <c r="D15" s="279">
        <f>[24]Brewhouse!$AF54</f>
        <v>58.8</v>
      </c>
      <c r="E15" s="279">
        <f>[24]Brewhouse!$AI54</f>
        <v>54.3</v>
      </c>
      <c r="F15" s="278">
        <f>[24]Brewhouse!$V54</f>
        <v>81</v>
      </c>
      <c r="G15" s="279">
        <f>[24]Brewhouse!$AG54</f>
        <v>17.04</v>
      </c>
      <c r="H15" s="367"/>
      <c r="I15" s="421">
        <f>[24]Brewhouse!$AU54</f>
        <v>97.448016749021562</v>
      </c>
      <c r="J15" s="421">
        <f>[24]Brewhouse!$AV54</f>
        <v>98.90065228299045</v>
      </c>
      <c r="K15" s="398">
        <f>[24]Brewhouse!$R54</f>
        <v>0.65404475043029697</v>
      </c>
      <c r="L15" s="276">
        <f>[24]Brewhouse!$O54</f>
        <v>57</v>
      </c>
      <c r="M15" s="374">
        <f>[24]Brewhouse!$U54-[24]Brewhouse!$T54</f>
        <v>0.13263888888888886</v>
      </c>
      <c r="N15" s="370">
        <f>[24]Brewhouse!$Z54</f>
        <v>0.32152777777777775</v>
      </c>
      <c r="O15" s="429" t="str">
        <f>[24]Brewhouse!$AW54</f>
        <v>D. Gomaz</v>
      </c>
      <c r="P15" s="423" t="s">
        <v>181</v>
      </c>
      <c r="R15" s="277" t="str">
        <f t="shared" si="0"/>
        <v>GUINNESS</v>
      </c>
      <c r="S15" s="296">
        <f t="shared" si="1"/>
        <v>17</v>
      </c>
      <c r="T15" s="296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296">
        <f t="shared" si="8"/>
        <v>60</v>
      </c>
    </row>
    <row r="16" spans="2:29" ht="16.5" customHeight="1">
      <c r="B16" s="34"/>
      <c r="C16" s="366"/>
      <c r="D16" s="279"/>
      <c r="E16" s="279"/>
      <c r="F16" s="278"/>
      <c r="G16" s="279"/>
      <c r="H16" s="396"/>
      <c r="I16" s="421"/>
      <c r="J16" s="421"/>
      <c r="K16" s="398"/>
      <c r="L16" s="276"/>
      <c r="M16" s="374"/>
      <c r="N16" s="370"/>
      <c r="O16" s="429"/>
      <c r="P16" s="423"/>
      <c r="R16" s="277">
        <f t="shared" ref="R16:R22" si="9">B16</f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2:26" ht="16.5" customHeight="1">
      <c r="B17" s="29" t="s">
        <v>6</v>
      </c>
      <c r="C17" s="366" t="str">
        <f>[22]Brewhouse!$A424</f>
        <v>CA319</v>
      </c>
      <c r="D17" s="279">
        <f>[22]Brewhouse!$AF424</f>
        <v>53.9</v>
      </c>
      <c r="E17" s="279">
        <f>[22]Brewhouse!$AI424</f>
        <v>51</v>
      </c>
      <c r="F17" s="278">
        <f>[22]Brewhouse!$V424</f>
        <v>56</v>
      </c>
      <c r="G17" s="279">
        <f>[22]Brewhouse!$AG424</f>
        <v>12</v>
      </c>
      <c r="H17" s="396">
        <v>12</v>
      </c>
      <c r="I17" s="368">
        <f>[22]Brewhouse!$AU424</f>
        <v>99.532128761708009</v>
      </c>
      <c r="J17" s="368">
        <f>[22]Brewhouse!$AV424</f>
        <v>101.2369212252846</v>
      </c>
      <c r="K17" s="281">
        <f>[22]Brewhouse!$Q424</f>
        <v>5.1086956521739131</v>
      </c>
      <c r="L17" s="276">
        <f>[22]Brewhouse!$P424</f>
        <v>57</v>
      </c>
      <c r="M17" s="397">
        <f>[22]Brewhouse!$U424-[22]Brewhouse!$T424</f>
        <v>0.19236111111111109</v>
      </c>
      <c r="N17" s="370">
        <f>[22]Brewhouse!$Z424</f>
        <v>0.33124999999999993</v>
      </c>
      <c r="O17" s="371" t="str">
        <f>[22]Brewhouse!$AX424</f>
        <v>R. Sookram</v>
      </c>
      <c r="P17" s="423" t="s">
        <v>179</v>
      </c>
      <c r="R17" s="277" t="str">
        <f t="shared" si="9"/>
        <v>CARIB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2:26" ht="16.5" customHeight="1">
      <c r="B18" s="29" t="s">
        <v>6</v>
      </c>
      <c r="C18" s="366" t="str">
        <f>[22]Brewhouse!$A425</f>
        <v>CA320</v>
      </c>
      <c r="D18" s="279">
        <f>[22]Brewhouse!$AF425</f>
        <v>53.9</v>
      </c>
      <c r="E18" s="279">
        <f>[22]Brewhouse!$AI425</f>
        <v>50.5</v>
      </c>
      <c r="F18" s="278">
        <f>[22]Brewhouse!$V425</f>
        <v>61</v>
      </c>
      <c r="G18" s="279">
        <f>[22]Brewhouse!$AG425</f>
        <v>11.98</v>
      </c>
      <c r="H18" s="396">
        <v>12</v>
      </c>
      <c r="I18" s="368">
        <f>[22]Brewhouse!$AU425</f>
        <v>98.677368246025509</v>
      </c>
      <c r="J18" s="368">
        <f>[22]Brewhouse!$AV425</f>
        <v>100.36733673040825</v>
      </c>
      <c r="K18" s="281">
        <f>[22]Brewhouse!$Q425</f>
        <v>6.0854092526690415</v>
      </c>
      <c r="L18" s="276">
        <f>[22]Brewhouse!$P425</f>
        <v>59</v>
      </c>
      <c r="M18" s="397">
        <f>[22]Brewhouse!$U425-[22]Brewhouse!$T425</f>
        <v>9.9305555555555536E-2</v>
      </c>
      <c r="N18" s="370">
        <f>[22]Brewhouse!$Z425</f>
        <v>0.28750000000000009</v>
      </c>
      <c r="O18" s="371" t="str">
        <f>[22]Brewhouse!$AX425</f>
        <v>R. Sookram</v>
      </c>
      <c r="P18" s="423" t="s">
        <v>181</v>
      </c>
      <c r="R18" s="277" t="str">
        <f t="shared" si="9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2:26" ht="16.5" customHeight="1">
      <c r="B19" s="34"/>
      <c r="C19" s="366"/>
      <c r="D19" s="279"/>
      <c r="E19" s="279"/>
      <c r="F19" s="278"/>
      <c r="G19" s="279"/>
      <c r="H19" s="396"/>
      <c r="I19" s="421"/>
      <c r="J19" s="421"/>
      <c r="K19" s="398"/>
      <c r="L19" s="276"/>
      <c r="M19" s="374"/>
      <c r="N19" s="370"/>
      <c r="O19" s="429"/>
      <c r="P19" s="423"/>
      <c r="R19" s="277">
        <f t="shared" si="9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2:26" ht="16.5" customHeight="1">
      <c r="B20" s="34"/>
      <c r="C20" s="366"/>
      <c r="D20" s="279"/>
      <c r="E20" s="279"/>
      <c r="F20" s="278"/>
      <c r="G20" s="279"/>
      <c r="H20" s="396"/>
      <c r="I20" s="421"/>
      <c r="J20" s="421"/>
      <c r="K20" s="398"/>
      <c r="L20" s="276"/>
      <c r="M20" s="374"/>
      <c r="N20" s="370"/>
      <c r="O20" s="429"/>
      <c r="P20" s="423"/>
      <c r="R20" s="277">
        <f t="shared" si="9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2:26" ht="16.5" customHeight="1">
      <c r="B21" s="34"/>
      <c r="C21" s="366"/>
      <c r="D21" s="279"/>
      <c r="E21" s="279"/>
      <c r="F21" s="278"/>
      <c r="G21" s="279"/>
      <c r="H21" s="396"/>
      <c r="I21" s="421"/>
      <c r="J21" s="421"/>
      <c r="K21" s="398"/>
      <c r="L21" s="276"/>
      <c r="M21" s="374"/>
      <c r="N21" s="370"/>
      <c r="O21" s="429"/>
      <c r="P21" s="423"/>
      <c r="R21" s="277">
        <f t="shared" si="9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2:26" ht="16.5" customHeight="1">
      <c r="B22" s="34"/>
      <c r="C22" s="366"/>
      <c r="D22" s="279"/>
      <c r="E22" s="279"/>
      <c r="F22" s="278"/>
      <c r="G22" s="279"/>
      <c r="H22" s="396"/>
      <c r="I22" s="421"/>
      <c r="J22" s="421"/>
      <c r="K22" s="398"/>
      <c r="L22" s="276"/>
      <c r="M22" s="374"/>
      <c r="N22" s="370"/>
      <c r="O22" s="429"/>
      <c r="P22" s="423"/>
      <c r="R22" s="277">
        <f t="shared" si="9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2:26" ht="16.5" customHeight="1">
      <c r="B23" s="34"/>
      <c r="C23" s="366"/>
      <c r="D23" s="279"/>
      <c r="E23" s="279"/>
      <c r="F23" s="278"/>
      <c r="G23" s="279"/>
      <c r="H23" s="396"/>
      <c r="I23" s="421"/>
      <c r="J23" s="421"/>
      <c r="K23" s="398"/>
      <c r="L23" s="276"/>
      <c r="M23" s="374"/>
      <c r="N23" s="370"/>
      <c r="O23" s="429"/>
      <c r="P23" s="423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2:26" ht="16.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2:26" ht="15.75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371"/>
      <c r="P25" s="42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2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371"/>
      <c r="P26" s="423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2:26" ht="15.75" hidden="1" customHeight="1">
      <c r="B27" s="29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97"/>
      <c r="N27" s="370"/>
      <c r="O27" s="371"/>
      <c r="P27" s="423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2:26" ht="15.75" hidden="1" customHeight="1">
      <c r="B28" s="33"/>
      <c r="C28" s="366"/>
      <c r="D28" s="279"/>
      <c r="E28" s="279"/>
      <c r="F28" s="278"/>
      <c r="G28" s="279"/>
      <c r="H28" s="396"/>
      <c r="I28" s="421"/>
      <c r="J28" s="398"/>
      <c r="K28" s="276"/>
      <c r="L28" s="374"/>
      <c r="M28" s="397"/>
      <c r="N28" s="370"/>
      <c r="O28" s="371"/>
      <c r="P28" s="423"/>
      <c r="R28" s="277">
        <f t="shared" si="0"/>
        <v>0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2:26" ht="15.75" hidden="1" customHeight="1">
      <c r="B29" s="33"/>
      <c r="C29" s="366"/>
      <c r="D29" s="279"/>
      <c r="E29" s="279"/>
      <c r="F29" s="278"/>
      <c r="G29" s="279"/>
      <c r="H29" s="396"/>
      <c r="I29" s="421"/>
      <c r="J29" s="398"/>
      <c r="K29" s="276"/>
      <c r="L29" s="374"/>
      <c r="M29" s="397"/>
      <c r="N29" s="370"/>
      <c r="O29" s="371"/>
      <c r="P29" s="423"/>
      <c r="R29" s="277">
        <f t="shared" si="0"/>
        <v>0</v>
      </c>
      <c r="S29" s="296" t="e">
        <f t="shared" si="1"/>
        <v>#N/A</v>
      </c>
      <c r="T29" s="296" t="e">
        <f t="shared" si="2"/>
        <v>#N/A</v>
      </c>
      <c r="U29" s="297" t="e">
        <f t="shared" si="3"/>
        <v>#N/A</v>
      </c>
      <c r="V29" s="297" t="e">
        <f t="shared" si="4"/>
        <v>#N/A</v>
      </c>
      <c r="W29" s="297" t="e">
        <f t="shared" si="5"/>
        <v>#N/A</v>
      </c>
      <c r="X29" s="297" t="e">
        <f t="shared" si="6"/>
        <v>#N/A</v>
      </c>
      <c r="Y29" s="297" t="e">
        <f t="shared" si="7"/>
        <v>#N/A</v>
      </c>
      <c r="Z29" s="296" t="e">
        <f t="shared" si="8"/>
        <v>#N/A</v>
      </c>
    </row>
    <row r="30" spans="2:26" ht="15.75" hidden="1" customHeight="1">
      <c r="B30" s="33"/>
      <c r="C30" s="366"/>
      <c r="D30" s="279"/>
      <c r="E30" s="279"/>
      <c r="F30" s="278"/>
      <c r="G30" s="279"/>
      <c r="H30" s="396"/>
      <c r="I30" s="421"/>
      <c r="J30" s="398"/>
      <c r="K30" s="276"/>
      <c r="L30" s="374"/>
      <c r="M30" s="397"/>
      <c r="N30" s="370"/>
      <c r="O30" s="371"/>
      <c r="P30" s="423"/>
      <c r="R30" s="277">
        <f t="shared" si="0"/>
        <v>0</v>
      </c>
      <c r="S30" s="296" t="e">
        <f t="shared" si="1"/>
        <v>#N/A</v>
      </c>
      <c r="T30" s="296" t="e">
        <f t="shared" si="2"/>
        <v>#N/A</v>
      </c>
      <c r="U30" s="297" t="e">
        <f t="shared" si="3"/>
        <v>#N/A</v>
      </c>
      <c r="V30" s="297" t="e">
        <f t="shared" si="4"/>
        <v>#N/A</v>
      </c>
      <c r="W30" s="297" t="e">
        <f t="shared" si="5"/>
        <v>#N/A</v>
      </c>
      <c r="X30" s="297" t="e">
        <f t="shared" si="6"/>
        <v>#N/A</v>
      </c>
      <c r="Y30" s="297" t="e">
        <f t="shared" si="7"/>
        <v>#N/A</v>
      </c>
      <c r="Z30" s="296" t="e">
        <f t="shared" si="8"/>
        <v>#N/A</v>
      </c>
    </row>
    <row r="31" spans="2:26" ht="15.75" customHeight="1" thickBot="1">
      <c r="B31" s="358"/>
      <c r="C31" s="358"/>
      <c r="D31" s="358"/>
      <c r="E31" s="358"/>
      <c r="F31" s="294"/>
      <c r="G31" s="294"/>
      <c r="H31" s="348"/>
      <c r="I31" s="481" t="s">
        <v>34</v>
      </c>
      <c r="J31" s="481"/>
      <c r="K31" s="481"/>
      <c r="L31" s="481"/>
      <c r="M31" s="481"/>
      <c r="N31" s="481"/>
      <c r="O31" s="1"/>
      <c r="P31" s="12"/>
      <c r="R31" s="277">
        <f t="shared" si="0"/>
        <v>0</v>
      </c>
      <c r="S31" s="296" t="e">
        <f t="shared" si="1"/>
        <v>#N/A</v>
      </c>
      <c r="T31" s="296" t="e">
        <f t="shared" si="2"/>
        <v>#N/A</v>
      </c>
      <c r="U31" s="297" t="e">
        <f t="shared" si="3"/>
        <v>#N/A</v>
      </c>
      <c r="V31" s="297" t="e">
        <f t="shared" si="4"/>
        <v>#N/A</v>
      </c>
      <c r="W31" s="297" t="e">
        <f t="shared" si="5"/>
        <v>#N/A</v>
      </c>
      <c r="X31" s="297" t="e">
        <f t="shared" si="6"/>
        <v>#N/A</v>
      </c>
      <c r="Y31" s="297" t="e">
        <f t="shared" si="7"/>
        <v>#N/A</v>
      </c>
      <c r="Z31" s="296" t="e">
        <f t="shared" si="8"/>
        <v>#N/A</v>
      </c>
    </row>
    <row r="32" spans="2:26" ht="15" thickBot="1">
      <c r="B32" s="388" t="s">
        <v>145</v>
      </c>
      <c r="C32" s="388"/>
      <c r="D32" s="494" t="s">
        <v>35</v>
      </c>
      <c r="E32" s="495"/>
      <c r="F32" s="294"/>
      <c r="G32" s="294"/>
      <c r="H32" s="348"/>
      <c r="I32" s="24" t="s">
        <v>17</v>
      </c>
      <c r="J32" s="25" t="s">
        <v>36</v>
      </c>
      <c r="K32" s="26" t="s">
        <v>138</v>
      </c>
      <c r="L32" s="25" t="s">
        <v>37</v>
      </c>
      <c r="M32" s="25" t="s">
        <v>38</v>
      </c>
      <c r="N32" s="27" t="s">
        <v>39</v>
      </c>
      <c r="O32" s="294"/>
      <c r="P32" s="12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27" ht="15" customHeight="1">
      <c r="A33" s="28"/>
      <c r="B33" s="482" t="str">
        <f>I34</f>
        <v>STAG</v>
      </c>
      <c r="C33" s="362" cm="1">
        <f t="array" ref="C33:C34">[23]Process!$D$150:$D$151</f>
        <v>12</v>
      </c>
      <c r="D33" s="485">
        <v>12.13</v>
      </c>
      <c r="E33" s="474"/>
      <c r="F33" s="294"/>
      <c r="G33" s="294"/>
      <c r="H33" s="348"/>
      <c r="I33" s="29" t="s">
        <v>6</v>
      </c>
      <c r="J33" s="280">
        <f>AVERAGE(I17:I18)</f>
        <v>99.104748503866759</v>
      </c>
      <c r="K33" s="284">
        <f>COUNTA([22]Brewhouse!$A$408:$A$425)</f>
        <v>18</v>
      </c>
      <c r="L33" s="302">
        <f>AVERAGE([22]Brewhouse!$AU$408:$AU$425)</f>
        <v>98.145276653243201</v>
      </c>
      <c r="M33" s="302">
        <f>AVERAGE([22]Brewhouse!$AU$102:$AU$171,[22]Brewhouse!$AU$173:$AU$253,[22]Brewhouse!$AU$255:$AU$339,[22]Brewhouse!$AU$341:$AU$346,[22]Brewhouse!$AU$348,[22]Brewhouse!$AU$349:$AU$406,[22]Brewhouse!$AU$408:$AU$425)</f>
        <v>97.438407460913695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27" ht="15" customHeight="1">
      <c r="A34" s="28"/>
      <c r="B34" s="483"/>
      <c r="C34" s="349">
        <v>12</v>
      </c>
      <c r="D34" s="486"/>
      <c r="E34" s="469"/>
      <c r="F34" s="294"/>
      <c r="G34" s="294"/>
      <c r="H34" s="348"/>
      <c r="I34" s="33" t="s">
        <v>9</v>
      </c>
      <c r="J34" s="280"/>
      <c r="K34" s="284">
        <f>COUNTA([23]Brewhouse!$A$195:$A$202)</f>
        <v>8</v>
      </c>
      <c r="L34" s="302">
        <f>AVERAGE([23]Brewhouse!$AS$195:$AS$202)</f>
        <v>99.638990094912899</v>
      </c>
      <c r="M34" s="302">
        <f>AVERAGE([23]Brewhouse!$AS$15:$AS$64,[23]Brewhouse!$AS$66:$AS$103,[23]Brewhouse!$AS$105:$AS$140,[23]Brewhouse!$AS$142:$AS$193,[23]Brewhouse!$AS$195:$AS$202)</f>
        <v>97.544277893499938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</row>
    <row r="35" spans="1:27" ht="14.7" customHeight="1">
      <c r="A35" s="28"/>
      <c r="B35" s="483"/>
      <c r="C35" s="349" cm="1">
        <f t="array" ref="C35:C42">[23]Process!$D$166:$D$173</f>
        <v>11.84</v>
      </c>
      <c r="D35" s="485">
        <v>12.05</v>
      </c>
      <c r="E35" s="474"/>
      <c r="F35" s="294"/>
      <c r="G35" s="294"/>
      <c r="H35" s="348"/>
      <c r="I35" s="34" t="s">
        <v>12</v>
      </c>
      <c r="J35" s="280">
        <f>AVERAGE(I10:I15)</f>
        <v>97.607411526085585</v>
      </c>
      <c r="K35" s="284">
        <f>COUNTA([24]Brewhouse!$A$47:$A$54)</f>
        <v>8</v>
      </c>
      <c r="L35" s="302">
        <f>AVERAGE([24]Brewhouse!$AU$47:$AU$54)</f>
        <v>96.792443337508828</v>
      </c>
      <c r="M35" s="302">
        <f>AVERAGE([24]Brewhouse!$AU$4:$AU$7,[24]Brewhouse!$AU$9:$AU$22,[24]Brewhouse!$AU$24:$AU$35,[24]Brewhouse!$AU$37:$AU$45,[24]Brewhouse!$AU$47:$AU$54)</f>
        <v>97.03665404260714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4.7" customHeight="1">
      <c r="A36" s="28"/>
      <c r="B36" s="483"/>
      <c r="C36" s="349">
        <v>11.89</v>
      </c>
      <c r="D36" s="486"/>
      <c r="E36" s="469"/>
      <c r="F36" s="294"/>
      <c r="G36" s="294"/>
      <c r="H36" s="348"/>
      <c r="I36" s="22" t="s">
        <v>33</v>
      </c>
      <c r="J36" s="280"/>
      <c r="K36" s="284"/>
      <c r="L36" s="302"/>
      <c r="M36" s="302">
        <f>AVERAGE([25]Brewhouse!$AV$5:$AV$14,[25]Brewhouse!$AV$16:$AV$19,[25]Brewhouse!$AV$21:$AV$24,[25]Brewhouse!$AV$26:$AV$33)</f>
        <v>98.921974778040592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27" ht="14.7" customHeight="1">
      <c r="A37" s="28"/>
      <c r="B37" s="483"/>
      <c r="C37" s="349">
        <v>11.92</v>
      </c>
      <c r="D37" s="485">
        <v>11.92</v>
      </c>
      <c r="E37" s="474"/>
      <c r="F37" s="422"/>
      <c r="G37" s="294"/>
      <c r="H37" s="348"/>
      <c r="I37" s="35" t="s">
        <v>29</v>
      </c>
      <c r="J37" s="280"/>
      <c r="K37" s="284"/>
      <c r="L37" s="302"/>
      <c r="M37" s="302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27" ht="14.7" customHeight="1">
      <c r="A38" s="28"/>
      <c r="B38" s="483"/>
      <c r="C38" s="349">
        <v>11.51</v>
      </c>
      <c r="D38" s="486"/>
      <c r="E38" s="469"/>
      <c r="F38" s="422"/>
      <c r="G38" s="294"/>
      <c r="H38" s="348"/>
      <c r="I38" s="36" t="s">
        <v>15</v>
      </c>
      <c r="J38" s="323"/>
      <c r="K38" s="284"/>
      <c r="L38" s="302"/>
      <c r="M38" s="302">
        <f>AVERAGE([26]Brewhouse!$AT$4:$AT$11,[26]Brewhouse!$AT$13:$AT$16)</f>
        <v>95.165309917257005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27" ht="14.7" customHeight="1">
      <c r="A39" s="28"/>
      <c r="B39" s="483"/>
      <c r="C39" s="349">
        <v>11.74</v>
      </c>
      <c r="D39" s="485">
        <v>11.99</v>
      </c>
      <c r="E39" s="474"/>
      <c r="F39" s="422"/>
      <c r="G39" s="294"/>
      <c r="H39" s="348"/>
      <c r="I39" s="37" t="s">
        <v>16</v>
      </c>
      <c r="J39" s="323"/>
      <c r="K39" s="284">
        <f>COUNTA([27]Brewhouse!$A$36:$A$43)</f>
        <v>8</v>
      </c>
      <c r="L39" s="302">
        <f>AVERAGE([27]Brewhouse!$AY$36:$AY$43)</f>
        <v>98.453561717677275</v>
      </c>
      <c r="M39" s="302">
        <f>AVERAGE([27]Brewhouse!$AY$6:$AY$13,[27]Brewhouse!$AY$15:$AY$20,[27]Brewhouse!$AY$22:$AY$29,[27]Brewhouse!$AY$31:$AY$34,[27]Brewhouse!$AY$36:$AY$43)</f>
        <v>96.669752433914965</v>
      </c>
      <c r="N39" s="30">
        <v>98</v>
      </c>
      <c r="O39" s="11"/>
      <c r="P39" s="31" t="s">
        <v>41</v>
      </c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483"/>
      <c r="C40" s="349">
        <v>11.84</v>
      </c>
      <c r="D40" s="486"/>
      <c r="E40" s="469"/>
      <c r="F40" s="294"/>
      <c r="G40" s="294"/>
      <c r="H40" s="348"/>
      <c r="I40" s="412" t="s">
        <v>158</v>
      </c>
      <c r="J40" s="326"/>
      <c r="K40" s="284"/>
      <c r="L40" s="305"/>
      <c r="M40" s="305">
        <f>AVERAGE([28]Brewhouse!$AU$5:$AU$8)</f>
        <v>91.006888337619571</v>
      </c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483"/>
      <c r="C41" s="349">
        <v>11.65</v>
      </c>
      <c r="D41" s="485">
        <v>11.62</v>
      </c>
      <c r="E41" s="474"/>
      <c r="F41" s="294"/>
      <c r="G41" s="294"/>
      <c r="H41" s="348"/>
      <c r="I41" s="411" t="s">
        <v>157</v>
      </c>
      <c r="J41" s="326"/>
      <c r="K41" s="284"/>
      <c r="L41" s="305"/>
      <c r="M41" s="305"/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5" customHeight="1" thickBot="1">
      <c r="A42" s="28"/>
      <c r="B42" s="483"/>
      <c r="C42" s="349">
        <v>11.7</v>
      </c>
      <c r="D42" s="486"/>
      <c r="E42" s="469"/>
      <c r="F42" s="294"/>
      <c r="G42" s="294"/>
      <c r="H42" s="348"/>
      <c r="I42" s="407" t="s">
        <v>156</v>
      </c>
      <c r="J42" s="327"/>
      <c r="K42" s="408"/>
      <c r="L42" s="409"/>
      <c r="M42" s="409"/>
      <c r="N42" s="410">
        <v>98</v>
      </c>
      <c r="O42" s="11"/>
      <c r="P42" s="31"/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5" customHeight="1" thickBot="1">
      <c r="A43" s="28"/>
      <c r="B43" s="483"/>
      <c r="C43" s="349"/>
      <c r="D43" s="485"/>
      <c r="E43" s="474"/>
      <c r="F43" s="294"/>
      <c r="G43" s="294"/>
      <c r="H43" s="348"/>
      <c r="I43" s="1"/>
      <c r="J43" s="39"/>
      <c r="K43" s="405">
        <f>SUM(K33:K42)</f>
        <v>42</v>
      </c>
      <c r="L43" s="406">
        <f>((L33*K33)+(L34*K34)+(L35*K35)+(L36*K36)+(L37*K37)+(K40*L40)+(L38*K38)+(L39*K39)+(L42*K42))/(K43)</f>
        <v>98.230831927599283</v>
      </c>
      <c r="M43" s="406">
        <f>AVERAGE('[29]Jan 31st'!$L$65,'[30]Feb 28th'!$L$35,'[31]Mar. 31st'!$L$35,'[32]Apr. 30th'!$L$45,L43)</f>
        <v>97.526974643407499</v>
      </c>
      <c r="N43" s="4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5" thickBot="1">
      <c r="B44" s="484"/>
      <c r="C44" s="350"/>
      <c r="D44" s="486"/>
      <c r="E44" s="469"/>
      <c r="F44" s="294"/>
      <c r="G44" s="42"/>
      <c r="H44" s="41"/>
      <c r="I44" s="42"/>
      <c r="J44" s="42"/>
      <c r="K44" s="351"/>
      <c r="L44" s="348"/>
      <c r="M44" s="348"/>
      <c r="N44" s="11"/>
      <c r="O44" s="294"/>
      <c r="P44" s="12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thickBot="1">
      <c r="B45" s="525" t="str">
        <f>I39</f>
        <v>STARMALT</v>
      </c>
      <c r="C45" s="362" cm="1">
        <f t="array" ref="C45:C46">[27]Process!$D$35:$D$36</f>
        <v>17.32</v>
      </c>
      <c r="D45" s="466">
        <v>17.3</v>
      </c>
      <c r="E45" s="467"/>
      <c r="F45" s="294"/>
      <c r="G45" s="42"/>
      <c r="H45" s="41"/>
      <c r="I45" s="42"/>
      <c r="J45" s="519" t="s">
        <v>129</v>
      </c>
      <c r="K45" s="519"/>
      <c r="L45" s="294"/>
      <c r="M45" s="294"/>
      <c r="N45" s="294"/>
      <c r="O45" s="294"/>
      <c r="P45" s="12"/>
    </row>
    <row r="46" spans="1:27" ht="13.5" customHeight="1" thickBot="1">
      <c r="B46" s="526"/>
      <c r="C46" s="349">
        <v>17.600000000000001</v>
      </c>
      <c r="D46" s="468"/>
      <c r="E46" s="469"/>
      <c r="F46" s="294"/>
      <c r="G46" s="42"/>
      <c r="H46" s="41"/>
      <c r="I46" s="41"/>
      <c r="J46" s="292" t="s">
        <v>17</v>
      </c>
      <c r="K46" s="293" t="s">
        <v>189</v>
      </c>
      <c r="L46" s="471" t="s">
        <v>136</v>
      </c>
      <c r="M46" s="471"/>
      <c r="N46" s="472"/>
      <c r="O46" s="294"/>
      <c r="P46" s="12"/>
    </row>
    <row r="47" spans="1:27" ht="15" customHeight="1" thickBot="1">
      <c r="B47" s="526"/>
      <c r="C47" s="349" cm="1">
        <f t="array" ref="C47:C48">[27]Process!$D$39:$D$40</f>
        <v>16.87</v>
      </c>
      <c r="D47" s="473">
        <v>17</v>
      </c>
      <c r="E47" s="474"/>
      <c r="F47" s="294"/>
      <c r="G47" s="42"/>
      <c r="H47" s="41"/>
      <c r="I47" s="41"/>
      <c r="J47" s="287" t="s">
        <v>6</v>
      </c>
      <c r="K47" s="324">
        <f>COUNTA(B17:B18)</f>
        <v>2</v>
      </c>
      <c r="L47" s="343" t="s">
        <v>37</v>
      </c>
      <c r="M47" s="307" t="s">
        <v>38</v>
      </c>
      <c r="N47" s="307" t="s">
        <v>84</v>
      </c>
      <c r="O47" s="294"/>
      <c r="P47" s="12"/>
    </row>
    <row r="48" spans="1:27" ht="15.75" customHeight="1" thickBot="1">
      <c r="B48" s="526"/>
      <c r="C48" s="349">
        <v>17</v>
      </c>
      <c r="D48" s="468"/>
      <c r="E48" s="469"/>
      <c r="F48" s="294"/>
      <c r="G48" s="42"/>
      <c r="H48" s="41"/>
      <c r="I48" s="41"/>
      <c r="J48" s="345" t="s">
        <v>9</v>
      </c>
      <c r="K48" s="324"/>
      <c r="L48" s="344">
        <f>AVERAGE('May 2nd -4th'!I70,'May 2nd -4th'!K70,'May 5th'!K77,'May 6th'!K60,'May 7th'!K57)</f>
        <v>8.4</v>
      </c>
      <c r="M48" s="325">
        <f>AVERAGE('[29]Jan 29th '!$M$70,'[30]Feb 28th'!$L$40,'[31]Mar. 31st'!$L$40,'[32]Apr. 30th'!$L$50,L48)</f>
        <v>6.8691543239369324</v>
      </c>
      <c r="N48" s="420">
        <v>9.1999999999999993</v>
      </c>
      <c r="O48" s="294"/>
      <c r="P48" s="12"/>
    </row>
    <row r="49" spans="2:57" ht="15" customHeight="1">
      <c r="B49" s="526"/>
      <c r="C49" s="349"/>
      <c r="D49" s="473"/>
      <c r="E49" s="474"/>
      <c r="F49" s="294"/>
      <c r="G49" s="42"/>
      <c r="H49" s="41"/>
      <c r="I49" s="41"/>
      <c r="J49" s="288" t="s">
        <v>40</v>
      </c>
      <c r="K49" s="324">
        <f>COUNTA(B10:B15)</f>
        <v>6</v>
      </c>
      <c r="L49" s="294"/>
      <c r="M49" s="294"/>
      <c r="N49" s="294"/>
      <c r="O49" s="294"/>
      <c r="P49" s="12"/>
    </row>
    <row r="50" spans="2:57" ht="15" customHeight="1">
      <c r="B50" s="526"/>
      <c r="C50" s="349"/>
      <c r="D50" s="468"/>
      <c r="E50" s="469"/>
      <c r="F50" s="294"/>
      <c r="G50" s="42"/>
      <c r="H50" s="41"/>
      <c r="I50" s="41"/>
      <c r="J50" s="289" t="s">
        <v>33</v>
      </c>
      <c r="K50" s="324"/>
      <c r="L50" s="294"/>
      <c r="M50" s="294"/>
      <c r="N50" s="294"/>
      <c r="O50" s="294"/>
      <c r="P50" s="12"/>
    </row>
    <row r="51" spans="2:57" ht="14.4">
      <c r="B51" s="526"/>
      <c r="C51" s="349"/>
      <c r="D51" s="473"/>
      <c r="E51" s="474"/>
      <c r="F51" s="294"/>
      <c r="G51" s="42"/>
      <c r="H51" s="41"/>
      <c r="I51" s="41"/>
      <c r="J51" s="290" t="s">
        <v>16</v>
      </c>
      <c r="K51" s="324"/>
      <c r="L51" s="294"/>
      <c r="M51" s="294"/>
      <c r="N51" s="294"/>
      <c r="O51" s="294"/>
      <c r="P51" s="12"/>
      <c r="BC51" s="44"/>
      <c r="BD51" s="44"/>
    </row>
    <row r="52" spans="2:57" ht="14.4">
      <c r="B52" s="526"/>
      <c r="C52" s="349"/>
      <c r="D52" s="468"/>
      <c r="E52" s="469"/>
      <c r="F52" s="294"/>
      <c r="G52" s="42"/>
      <c r="H52" s="41"/>
      <c r="I52" s="41"/>
      <c r="J52" s="291" t="s">
        <v>15</v>
      </c>
      <c r="K52" s="324"/>
      <c r="L52" s="294"/>
      <c r="M52" s="294"/>
      <c r="N52" s="294"/>
      <c r="O52" s="294"/>
      <c r="P52" s="12"/>
      <c r="BC52" s="44"/>
      <c r="BD52" s="44"/>
    </row>
    <row r="53" spans="2:57" ht="14.4">
      <c r="B53" s="526"/>
      <c r="C53" s="349"/>
      <c r="D53" s="475"/>
      <c r="E53" s="476"/>
      <c r="F53" s="294"/>
      <c r="G53" s="42"/>
      <c r="H53" s="41"/>
      <c r="I53" s="41"/>
      <c r="J53" s="291" t="s">
        <v>149</v>
      </c>
      <c r="K53" s="324"/>
      <c r="L53" s="294"/>
      <c r="M53" s="294"/>
      <c r="N53" s="294"/>
      <c r="O53" s="294"/>
      <c r="P53" s="12"/>
      <c r="BC53" s="44"/>
      <c r="BD53" s="44"/>
    </row>
    <row r="54" spans="2:57" ht="15" thickBot="1">
      <c r="B54" s="527"/>
      <c r="C54" s="350"/>
      <c r="D54" s="477"/>
      <c r="E54" s="478"/>
      <c r="F54" s="294"/>
      <c r="G54" s="42"/>
      <c r="H54" s="41"/>
      <c r="I54" s="41"/>
      <c r="J54" s="291" t="s">
        <v>148</v>
      </c>
      <c r="K54" s="324"/>
      <c r="L54" s="294"/>
      <c r="M54" s="294"/>
      <c r="N54" s="294"/>
      <c r="O54" s="294"/>
      <c r="P54" s="12"/>
      <c r="BC54" s="44"/>
      <c r="BD54" s="44"/>
    </row>
    <row r="55" spans="2:57" ht="17.7" customHeight="1" thickBot="1">
      <c r="B55" s="312" t="s">
        <v>139</v>
      </c>
      <c r="C55" s="313"/>
      <c r="D55" s="457">
        <f>AVERAGE(D33:E54)</f>
        <v>13.430000000000001</v>
      </c>
      <c r="E55" s="458"/>
      <c r="F55" s="294"/>
      <c r="G55" s="42"/>
      <c r="H55" s="41"/>
      <c r="I55" s="41"/>
      <c r="J55" s="295" t="s">
        <v>134</v>
      </c>
      <c r="K55" s="324"/>
      <c r="L55" s="294"/>
      <c r="M55" s="294"/>
      <c r="N55" s="294"/>
      <c r="O55" s="294"/>
      <c r="P55" s="12"/>
      <c r="BC55" s="44"/>
      <c r="BD55" s="44"/>
    </row>
    <row r="56" spans="2:57" ht="17.7" customHeight="1">
      <c r="B56" s="363"/>
      <c r="C56" s="364"/>
      <c r="D56" s="365"/>
      <c r="E56" s="365"/>
      <c r="F56" s="294"/>
      <c r="G56" s="42"/>
      <c r="H56" s="41"/>
      <c r="I56" s="41"/>
      <c r="J56" s="295" t="s">
        <v>131</v>
      </c>
      <c r="K56" s="324"/>
      <c r="L56" s="294"/>
      <c r="M56" s="294"/>
      <c r="N56" s="294"/>
      <c r="O56" s="294"/>
      <c r="P56" s="12"/>
      <c r="BC56" s="44"/>
      <c r="BD56" s="44"/>
    </row>
    <row r="57" spans="2:57" ht="15.75" customHeight="1">
      <c r="B57" s="45"/>
      <c r="C57" s="11"/>
      <c r="D57" s="11"/>
      <c r="E57" s="46"/>
      <c r="F57" s="294"/>
      <c r="G57" s="42"/>
      <c r="H57" s="41"/>
      <c r="I57" s="41"/>
      <c r="J57" s="346" t="s">
        <v>130</v>
      </c>
      <c r="K57" s="324">
        <f>SUM(K47:K56)</f>
        <v>8</v>
      </c>
      <c r="L57" s="294"/>
      <c r="M57" s="294"/>
      <c r="N57" s="294"/>
      <c r="O57" s="294"/>
      <c r="P57" s="12"/>
    </row>
    <row r="58" spans="2:57" ht="20.25" customHeight="1">
      <c r="B58" s="15" t="s">
        <v>42</v>
      </c>
      <c r="C58" s="1" t="s">
        <v>43</v>
      </c>
      <c r="D58" s="1"/>
      <c r="E58" s="1"/>
      <c r="F58" s="294"/>
      <c r="G58" s="42"/>
      <c r="H58" s="41"/>
      <c r="I58" s="42"/>
      <c r="L58" s="294"/>
      <c r="P58" s="334"/>
    </row>
    <row r="59" spans="2:57" ht="15" customHeight="1" thickBot="1"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8"/>
      <c r="O59" s="48"/>
      <c r="P59" s="49"/>
    </row>
    <row r="60" spans="2:57" ht="15" customHeight="1" thickBot="1">
      <c r="B60" s="447" t="s">
        <v>17</v>
      </c>
      <c r="C60" s="447" t="s">
        <v>44</v>
      </c>
      <c r="D60" s="459" t="s">
        <v>45</v>
      </c>
      <c r="E60" s="461" t="s">
        <v>46</v>
      </c>
      <c r="F60" s="455" t="s">
        <v>47</v>
      </c>
      <c r="G60" s="445" t="s">
        <v>48</v>
      </c>
      <c r="H60" s="447" t="s">
        <v>49</v>
      </c>
      <c r="I60" s="447" t="s">
        <v>50</v>
      </c>
      <c r="J60" s="439" t="s">
        <v>28</v>
      </c>
      <c r="K60" s="451" t="s">
        <v>51</v>
      </c>
      <c r="L60" s="453" t="s">
        <v>52</v>
      </c>
      <c r="M60" s="439" t="s">
        <v>53</v>
      </c>
      <c r="N60" s="13"/>
      <c r="O60" s="13"/>
      <c r="P60" s="50"/>
    </row>
    <row r="61" spans="2:57" ht="28.5" customHeight="1" thickTop="1" thickBot="1">
      <c r="B61" s="448"/>
      <c r="C61" s="448"/>
      <c r="D61" s="460"/>
      <c r="E61" s="462"/>
      <c r="F61" s="456"/>
      <c r="G61" s="446"/>
      <c r="H61" s="448"/>
      <c r="I61" s="448"/>
      <c r="J61" s="440"/>
      <c r="K61" s="452"/>
      <c r="L61" s="454"/>
      <c r="M61" s="440"/>
      <c r="N61" s="13"/>
      <c r="O61" s="13"/>
      <c r="P61" s="50"/>
      <c r="Q61" s="355"/>
      <c r="AB61" s="51">
        <v>43474</v>
      </c>
      <c r="AC61" s="51">
        <v>43475</v>
      </c>
      <c r="AD61" s="51">
        <v>43476</v>
      </c>
      <c r="AE61" s="51">
        <v>43477</v>
      </c>
      <c r="AF61" s="51">
        <v>43478</v>
      </c>
      <c r="AG61" s="51">
        <v>43479</v>
      </c>
      <c r="AH61" s="51">
        <v>43480</v>
      </c>
      <c r="AI61" s="51">
        <v>43481</v>
      </c>
      <c r="AJ61" s="51">
        <v>43482</v>
      </c>
      <c r="AK61" s="51">
        <v>43483</v>
      </c>
      <c r="AL61" s="51">
        <v>43484</v>
      </c>
      <c r="AM61" s="51">
        <v>43485</v>
      </c>
      <c r="AN61" s="51">
        <v>43486</v>
      </c>
      <c r="AO61" s="51">
        <v>43487</v>
      </c>
      <c r="AP61" s="51">
        <v>43488</v>
      </c>
      <c r="AQ61" s="51">
        <v>43489</v>
      </c>
      <c r="AR61" s="51">
        <v>43490</v>
      </c>
      <c r="AS61" s="51">
        <v>43491</v>
      </c>
      <c r="AT61" s="51">
        <v>43492</v>
      </c>
      <c r="AU61" s="51">
        <v>43493</v>
      </c>
      <c r="AV61" s="51">
        <v>43494</v>
      </c>
      <c r="AW61" s="51">
        <v>43495</v>
      </c>
      <c r="AX61" s="51">
        <v>43496</v>
      </c>
    </row>
    <row r="62" spans="2:57" s="54" customFormat="1" ht="53.25" customHeight="1">
      <c r="B62" s="430" t="str">
        <f>I34</f>
        <v>STAG</v>
      </c>
      <c r="C62" s="283">
        <v>45784</v>
      </c>
      <c r="D62" s="279">
        <f>[33]May_2025!$J$13</f>
        <v>502.00000000000006</v>
      </c>
      <c r="E62" s="279"/>
      <c r="F62" s="279">
        <f>SUM([34]STAG!$L$6:$L$7,[34]STAG!$L$22:$L$29)</f>
        <v>484.57281553398059</v>
      </c>
      <c r="G62" s="279">
        <f>[33]May_2025!$J$17</f>
        <v>476.6</v>
      </c>
      <c r="H62" s="320">
        <f>(D62-F62)/D62*100</f>
        <v>3.4715506904421245</v>
      </c>
      <c r="I62" s="322">
        <f>((F62+E62)-G62)/(F62+E62)*100</f>
        <v>1.6453286850594022</v>
      </c>
      <c r="J62" s="392" t="s">
        <v>183</v>
      </c>
      <c r="K62" s="416">
        <f>[35]May_2025!$J$25</f>
        <v>0.55742690058479538</v>
      </c>
      <c r="L62" s="314">
        <f>(((D62+E62)-G62)/(D62+E62))*100</f>
        <v>5.059760956175305</v>
      </c>
      <c r="M62" s="426" t="s">
        <v>178</v>
      </c>
      <c r="N62" s="13"/>
      <c r="O62" s="13"/>
      <c r="P62" s="50"/>
      <c r="R62" s="275"/>
      <c r="S62" s="275"/>
      <c r="T62" s="275"/>
      <c r="U62" s="275"/>
      <c r="V62" s="275"/>
      <c r="W62" s="275"/>
      <c r="X62" s="275"/>
      <c r="Y62" s="275"/>
      <c r="Z62" s="275"/>
      <c r="AA62" s="275"/>
      <c r="AB62" s="57" t="e">
        <f>[20]January_2019!L7</f>
        <v>#REF!</v>
      </c>
      <c r="AC62" s="57" t="e">
        <f>[20]January_2019!M7</f>
        <v>#REF!</v>
      </c>
      <c r="AD62" s="57" t="e">
        <f>[20]January_2019!N7</f>
        <v>#REF!</v>
      </c>
      <c r="AE62" s="57" t="e">
        <f>[20]January_2019!O7</f>
        <v>#REF!</v>
      </c>
      <c r="AF62" s="57" t="e">
        <f>[20]January_2019!P7</f>
        <v>#REF!</v>
      </c>
      <c r="AG62" s="57" t="e">
        <f>[20]January_2019!Q7</f>
        <v>#REF!</v>
      </c>
      <c r="AH62" s="57" t="e">
        <f>[20]January_2019!R7</f>
        <v>#REF!</v>
      </c>
      <c r="AI62" s="57" t="e">
        <f>[20]January_2019!S7</f>
        <v>#REF!</v>
      </c>
      <c r="AJ62" s="57" t="e">
        <f>[20]January_2019!T7</f>
        <v>#REF!</v>
      </c>
      <c r="AK62" s="57" t="e">
        <f>[20]January_2019!U7</f>
        <v>#REF!</v>
      </c>
      <c r="AL62" s="57" t="e">
        <f>[20]January_2019!V7</f>
        <v>#REF!</v>
      </c>
      <c r="AM62" s="57" t="e">
        <f>[20]January_2019!W7</f>
        <v>#REF!</v>
      </c>
      <c r="AN62" s="57" t="e">
        <f>[20]January_2019!X7</f>
        <v>#REF!</v>
      </c>
      <c r="AO62" s="57" t="e">
        <f>[20]January_2019!Y7</f>
        <v>#REF!</v>
      </c>
      <c r="AP62" s="57" t="e">
        <f>[20]January_2019!Z7</f>
        <v>#REF!</v>
      </c>
      <c r="AQ62" s="57" t="e">
        <f>[20]January_2019!AA7</f>
        <v>#REF!</v>
      </c>
      <c r="AR62" s="57" t="e">
        <f>[20]January_2019!AB7</f>
        <v>#REF!</v>
      </c>
      <c r="AS62" s="57" t="e">
        <f>[20]January_2019!AC7</f>
        <v>#REF!</v>
      </c>
      <c r="AT62" s="57" t="e">
        <f>[20]January_2019!AD7</f>
        <v>#REF!</v>
      </c>
      <c r="AU62" s="57" t="e">
        <f>[20]January_2019!AE7</f>
        <v>#REF!</v>
      </c>
      <c r="AV62" s="57" t="e">
        <f>[20]January_2019!AF7</f>
        <v>#REF!</v>
      </c>
      <c r="AW62" s="57" t="e">
        <f>[20]January_2019!AG7</f>
        <v>#REF!</v>
      </c>
      <c r="AX62" s="277" t="e">
        <f>[20]January_2019!AH7</f>
        <v>#REF!</v>
      </c>
      <c r="AY62" s="277"/>
      <c r="AZ62" s="277"/>
      <c r="BA62" s="277"/>
      <c r="BB62" s="277"/>
      <c r="BC62" s="277"/>
      <c r="BD62" s="277"/>
      <c r="BE62" s="277"/>
    </row>
    <row r="63" spans="2:57" s="54" customFormat="1" ht="16.5" customHeight="1">
      <c r="B63" s="415"/>
      <c r="C63" s="283"/>
      <c r="D63" s="377"/>
      <c r="E63" s="378"/>
      <c r="F63" s="379"/>
      <c r="G63" s="303"/>
      <c r="H63" s="320"/>
      <c r="I63" s="322"/>
      <c r="J63" s="398"/>
      <c r="K63" s="286"/>
      <c r="L63" s="314"/>
      <c r="M63" s="419"/>
      <c r="N63" s="13"/>
      <c r="O63" s="13"/>
      <c r="P63" s="50"/>
      <c r="R63" s="275"/>
      <c r="S63" s="275"/>
      <c r="T63" s="275"/>
      <c r="U63" s="275"/>
      <c r="V63" s="275"/>
      <c r="W63" s="275"/>
      <c r="X63" s="275"/>
      <c r="Y63" s="275"/>
      <c r="Z63" s="275"/>
      <c r="AA63" s="275"/>
      <c r="AB63" s="418"/>
      <c r="AC63" s="418"/>
      <c r="AD63" s="418"/>
      <c r="AE63" s="418"/>
      <c r="AF63" s="418"/>
      <c r="AG63" s="418"/>
      <c r="AH63" s="418"/>
      <c r="AI63" s="418"/>
      <c r="AJ63" s="418"/>
      <c r="AK63" s="418"/>
      <c r="AL63" s="418"/>
      <c r="AM63" s="418"/>
      <c r="AN63" s="418"/>
      <c r="AO63" s="418"/>
      <c r="AP63" s="418"/>
      <c r="AQ63" s="418"/>
      <c r="AR63" s="418"/>
      <c r="AS63" s="418"/>
      <c r="AT63" s="418"/>
      <c r="AU63" s="418"/>
      <c r="AV63" s="418"/>
      <c r="AW63" s="418"/>
    </row>
    <row r="64" spans="2:57" s="54" customFormat="1" ht="51" customHeight="1">
      <c r="B64" s="431" t="str">
        <f>I39</f>
        <v>STARMALT</v>
      </c>
      <c r="C64" s="283">
        <v>45784</v>
      </c>
      <c r="D64" s="377">
        <f>[33]May_2025!$J$55</f>
        <v>208.5</v>
      </c>
      <c r="E64" s="378"/>
      <c r="F64" s="379"/>
      <c r="G64" s="303">
        <f>[33]May_2025!$J$59</f>
        <v>204</v>
      </c>
      <c r="H64" s="320"/>
      <c r="I64" s="322"/>
      <c r="J64" s="392" t="s">
        <v>150</v>
      </c>
      <c r="K64" s="286">
        <f>[35]May_2025!$J$53</f>
        <v>0.71578947368421053</v>
      </c>
      <c r="L64" s="281">
        <f>(((D64+E64)-G64)/(D64+E64))*100</f>
        <v>2.1582733812949639</v>
      </c>
      <c r="M64" s="419" t="s">
        <v>184</v>
      </c>
      <c r="N64" s="13"/>
      <c r="O64" s="13"/>
      <c r="P64" s="50"/>
      <c r="R64" s="275"/>
      <c r="S64" s="275"/>
      <c r="T64" s="275"/>
      <c r="U64" s="275"/>
      <c r="V64" s="275"/>
      <c r="W64" s="275"/>
      <c r="X64" s="275"/>
      <c r="Y64" s="275"/>
      <c r="Z64" s="275"/>
      <c r="AA64" s="275"/>
      <c r="AB64" s="418"/>
      <c r="AC64" s="418"/>
      <c r="AD64" s="418"/>
      <c r="AE64" s="418"/>
      <c r="AF64" s="418"/>
      <c r="AG64" s="418"/>
      <c r="AH64" s="418"/>
      <c r="AI64" s="418"/>
      <c r="AJ64" s="418"/>
      <c r="AK64" s="418"/>
      <c r="AL64" s="418"/>
      <c r="AM64" s="418"/>
      <c r="AN64" s="418"/>
      <c r="AO64" s="418"/>
      <c r="AP64" s="418"/>
      <c r="AQ64" s="418"/>
      <c r="AR64" s="418"/>
      <c r="AS64" s="418"/>
      <c r="AT64" s="418"/>
      <c r="AU64" s="418"/>
      <c r="AV64" s="418"/>
      <c r="AW64" s="418"/>
    </row>
    <row r="65" spans="2:16" ht="18" customHeight="1" thickBot="1">
      <c r="B65" s="59"/>
      <c r="C65" s="309"/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6"/>
      <c r="P65" s="60"/>
    </row>
    <row r="66" spans="2:16" ht="14.4" thickBot="1">
      <c r="B66" s="441" t="s">
        <v>55</v>
      </c>
      <c r="C66" s="442"/>
      <c r="D66" s="442"/>
      <c r="E66" s="442"/>
      <c r="F66" s="443"/>
      <c r="G66" s="441" t="s">
        <v>56</v>
      </c>
      <c r="H66" s="442"/>
      <c r="I66" s="442"/>
      <c r="J66" s="443"/>
      <c r="K66" s="441" t="s">
        <v>51</v>
      </c>
      <c r="L66" s="442"/>
      <c r="M66" s="442"/>
      <c r="N66" s="444"/>
      <c r="O66" s="56"/>
      <c r="P66" s="50"/>
    </row>
    <row r="67" spans="2:16">
      <c r="B67" s="61" t="s">
        <v>17</v>
      </c>
      <c r="C67" s="62" t="s">
        <v>36</v>
      </c>
      <c r="D67" s="62" t="s">
        <v>37</v>
      </c>
      <c r="E67" s="62" t="s">
        <v>38</v>
      </c>
      <c r="F67" s="63" t="s">
        <v>39</v>
      </c>
      <c r="G67" s="62" t="s">
        <v>36</v>
      </c>
      <c r="H67" s="62" t="s">
        <v>37</v>
      </c>
      <c r="I67" s="62" t="s">
        <v>38</v>
      </c>
      <c r="J67" s="63" t="s">
        <v>39</v>
      </c>
      <c r="K67" s="62"/>
      <c r="L67" s="62" t="s">
        <v>37</v>
      </c>
      <c r="M67" s="62" t="s">
        <v>38</v>
      </c>
      <c r="N67" s="63" t="s">
        <v>39</v>
      </c>
      <c r="O67" s="56"/>
      <c r="P67" s="64"/>
    </row>
    <row r="68" spans="2:16">
      <c r="B68" s="29" t="s">
        <v>6</v>
      </c>
      <c r="C68" s="65"/>
      <c r="D68" s="76">
        <v>6.1990614966658626</v>
      </c>
      <c r="E68" s="76">
        <v>7.1511528911862854</v>
      </c>
      <c r="F68" s="66">
        <v>4.8</v>
      </c>
      <c r="G68" s="65"/>
      <c r="H68" s="76">
        <v>4.9867714998538109</v>
      </c>
      <c r="I68" s="76">
        <v>7.1164576595950564</v>
      </c>
      <c r="J68" s="66">
        <v>4.8</v>
      </c>
      <c r="K68" s="67">
        <f>K62</f>
        <v>0.55742690058479538</v>
      </c>
      <c r="L68" s="194">
        <v>1.3326315789473682</v>
      </c>
      <c r="M68" s="194">
        <v>0.77038736441086619</v>
      </c>
      <c r="N68" s="68">
        <v>1</v>
      </c>
      <c r="O68" s="56"/>
      <c r="P68" s="69"/>
    </row>
    <row r="69" spans="2:16">
      <c r="B69" s="33" t="s">
        <v>9</v>
      </c>
      <c r="C69" s="65">
        <f>L62</f>
        <v>5.059760956175305</v>
      </c>
      <c r="D69" s="76">
        <v>5.059760956175305</v>
      </c>
      <c r="E69" s="76">
        <v>6.0486693176911137</v>
      </c>
      <c r="F69" s="66">
        <v>4.8</v>
      </c>
      <c r="G69" s="65">
        <f>[33]May_2025!$J$21</f>
        <v>3.9835153313870082</v>
      </c>
      <c r="H69" s="76">
        <v>3.9835153313870082</v>
      </c>
      <c r="I69" s="76">
        <v>6.4437259210736046</v>
      </c>
      <c r="J69" s="66">
        <v>4.8</v>
      </c>
      <c r="K69" s="67"/>
      <c r="L69" s="194">
        <v>0.55742690058479538</v>
      </c>
      <c r="M69" s="194">
        <v>0.74620369334473724</v>
      </c>
      <c r="N69" s="68">
        <v>1</v>
      </c>
      <c r="P69" s="69"/>
    </row>
    <row r="70" spans="2:16">
      <c r="B70" s="34" t="s">
        <v>40</v>
      </c>
      <c r="C70" s="65"/>
      <c r="D70" s="76"/>
      <c r="E70" s="76">
        <v>12.554572931825788</v>
      </c>
      <c r="F70" s="66">
        <v>5.5</v>
      </c>
      <c r="G70" s="65"/>
      <c r="H70" s="76"/>
      <c r="I70" s="76">
        <v>13.449891307585697</v>
      </c>
      <c r="J70" s="66">
        <v>5.5</v>
      </c>
      <c r="K70" s="67"/>
      <c r="L70" s="194"/>
      <c r="M70" s="194">
        <v>0.54554653679653675</v>
      </c>
      <c r="N70" s="68">
        <v>1</v>
      </c>
      <c r="P70" s="69"/>
    </row>
    <row r="71" spans="2:16">
      <c r="B71" s="22" t="s">
        <v>33</v>
      </c>
      <c r="C71" s="65"/>
      <c r="D71" s="76"/>
      <c r="E71" s="76">
        <v>2.2218158544390558</v>
      </c>
      <c r="F71" s="66">
        <v>3.3</v>
      </c>
      <c r="G71" s="65"/>
      <c r="H71" s="76"/>
      <c r="I71" s="76">
        <v>5.0359151649923692</v>
      </c>
      <c r="J71" s="66">
        <v>3.3</v>
      </c>
      <c r="K71" s="67"/>
      <c r="L71" s="194"/>
      <c r="M71" s="194">
        <v>0.87880701754385959</v>
      </c>
      <c r="N71" s="68">
        <v>1</v>
      </c>
      <c r="P71" s="69"/>
    </row>
    <row r="72" spans="2:16">
      <c r="B72" s="35" t="s">
        <v>29</v>
      </c>
      <c r="C72" s="65"/>
      <c r="D72" s="76"/>
      <c r="E72" s="76"/>
      <c r="F72" s="66">
        <v>3.3</v>
      </c>
      <c r="G72" s="282"/>
      <c r="H72" s="76"/>
      <c r="I72" s="76"/>
      <c r="J72" s="66">
        <v>3</v>
      </c>
      <c r="L72" s="194"/>
      <c r="M72" s="194"/>
      <c r="N72" s="68">
        <v>1</v>
      </c>
      <c r="P72" s="69"/>
    </row>
    <row r="73" spans="2:16">
      <c r="B73" s="36" t="s">
        <v>15</v>
      </c>
      <c r="C73" s="282"/>
      <c r="D73" s="76"/>
      <c r="E73" s="76">
        <v>7.8262258425171876</v>
      </c>
      <c r="F73" s="70">
        <f>[21]May_2022!$M$43</f>
        <v>3.4878406700073312</v>
      </c>
      <c r="G73" s="282"/>
      <c r="H73" s="76"/>
      <c r="I73" s="76">
        <v>9.4300678869947632</v>
      </c>
      <c r="J73" s="66">
        <v>5.5</v>
      </c>
      <c r="K73" s="67"/>
      <c r="L73" s="194"/>
      <c r="M73" s="194">
        <v>0.674970760233918</v>
      </c>
      <c r="N73" s="68">
        <v>1</v>
      </c>
      <c r="P73" s="69"/>
    </row>
    <row r="74" spans="2:16">
      <c r="B74" s="37" t="s">
        <v>16</v>
      </c>
      <c r="C74" s="65">
        <f>L64</f>
        <v>2.1582733812949639</v>
      </c>
      <c r="D74" s="76">
        <v>2.1582733812949639</v>
      </c>
      <c r="E74" s="76">
        <v>1.9118428040361048</v>
      </c>
      <c r="F74" s="66">
        <v>3.3</v>
      </c>
      <c r="G74" s="282">
        <f>[33]May_2025!$J$63</f>
        <v>2.4776696597020487</v>
      </c>
      <c r="H74" s="76">
        <v>7.8009409664868707</v>
      </c>
      <c r="I74" s="76">
        <v>5.0087062216690823</v>
      </c>
      <c r="J74" s="66">
        <v>3.3</v>
      </c>
      <c r="K74" s="67">
        <f>K64</f>
        <v>0.71578947368421053</v>
      </c>
      <c r="L74" s="194">
        <v>0.71578947368421053</v>
      </c>
      <c r="M74" s="194">
        <v>0.81733695652173921</v>
      </c>
      <c r="N74" s="71">
        <v>1</v>
      </c>
      <c r="P74" s="69"/>
    </row>
    <row r="75" spans="2:16" ht="14.4" thickBot="1">
      <c r="B75" s="38" t="s">
        <v>127</v>
      </c>
      <c r="C75" s="65"/>
      <c r="D75" s="76"/>
      <c r="E75" s="76"/>
      <c r="F75" s="66">
        <v>7.5</v>
      </c>
      <c r="G75" s="282"/>
      <c r="H75" s="76"/>
      <c r="I75" s="76"/>
      <c r="J75" s="66">
        <v>7.5</v>
      </c>
      <c r="K75" s="67"/>
      <c r="L75" s="194"/>
      <c r="M75" s="194"/>
      <c r="N75" s="71">
        <v>1</v>
      </c>
      <c r="P75" s="69"/>
    </row>
    <row r="76" spans="2:16" ht="14.4" thickBot="1">
      <c r="B76" s="417" t="s">
        <v>161</v>
      </c>
      <c r="C76" s="65"/>
      <c r="D76" s="76"/>
      <c r="E76" s="76">
        <v>4.8792508624938291</v>
      </c>
      <c r="F76" s="66">
        <v>4.8</v>
      </c>
      <c r="G76" s="282"/>
      <c r="H76" s="76"/>
      <c r="I76" s="76">
        <v>6.2003723782925313</v>
      </c>
      <c r="J76" s="66">
        <v>4.8</v>
      </c>
      <c r="K76" s="67"/>
      <c r="L76" s="194"/>
      <c r="M76" s="194">
        <v>0.33859649122807017</v>
      </c>
      <c r="N76" s="71">
        <v>1</v>
      </c>
      <c r="O76" s="74"/>
      <c r="P76" s="75"/>
    </row>
    <row r="77" spans="2:16">
      <c r="D77" s="76">
        <v>4.9309664694280073</v>
      </c>
      <c r="E77" s="76">
        <v>6.7709214229646655</v>
      </c>
      <c r="F77" s="341">
        <v>5.5</v>
      </c>
      <c r="H77" s="76">
        <v>5.2901800195046862</v>
      </c>
      <c r="I77" s="76">
        <v>7.4464159643972678</v>
      </c>
      <c r="J77" s="341">
        <v>5.5</v>
      </c>
      <c r="K77" s="67"/>
      <c r="L77" s="194">
        <v>0.86861598440545806</v>
      </c>
      <c r="M77" s="194">
        <v>0.74276469630353348</v>
      </c>
      <c r="N77" s="386">
        <v>1</v>
      </c>
    </row>
    <row r="81" spans="6:6">
      <c r="F81" s="315"/>
    </row>
  </sheetData>
  <mergeCells count="51">
    <mergeCell ref="M60:M61"/>
    <mergeCell ref="B66:F66"/>
    <mergeCell ref="G66:J66"/>
    <mergeCell ref="K66:N66"/>
    <mergeCell ref="G60:G61"/>
    <mergeCell ref="H60:H61"/>
    <mergeCell ref="I60:I61"/>
    <mergeCell ref="J60:J61"/>
    <mergeCell ref="K60:K61"/>
    <mergeCell ref="L60:L61"/>
    <mergeCell ref="F60:F61"/>
    <mergeCell ref="D55:E55"/>
    <mergeCell ref="B60:B61"/>
    <mergeCell ref="C60:C61"/>
    <mergeCell ref="D60:D61"/>
    <mergeCell ref="E60:E61"/>
    <mergeCell ref="B45:B54"/>
    <mergeCell ref="D45:E46"/>
    <mergeCell ref="J45:K45"/>
    <mergeCell ref="L46:N46"/>
    <mergeCell ref="D47:E48"/>
    <mergeCell ref="D49:E50"/>
    <mergeCell ref="D51:E52"/>
    <mergeCell ref="D53:E54"/>
    <mergeCell ref="I31:N31"/>
    <mergeCell ref="D32:E32"/>
    <mergeCell ref="B33:B44"/>
    <mergeCell ref="D33:E34"/>
    <mergeCell ref="D35:E36"/>
    <mergeCell ref="D37:E38"/>
    <mergeCell ref="D39:E40"/>
    <mergeCell ref="D41:E42"/>
    <mergeCell ref="D43:E44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5:B56">
    <cfRule type="cellIs" dxfId="1975" priority="101" operator="notBetween">
      <formula>#REF!</formula>
      <formula>#REF!</formula>
    </cfRule>
  </conditionalFormatting>
  <conditionalFormatting sqref="C59">
    <cfRule type="cellIs" dxfId="1974" priority="133" stopIfTrue="1" operator="greaterThan">
      <formula>100</formula>
    </cfRule>
    <cfRule type="cellIs" dxfId="1973" priority="132" stopIfTrue="1" operator="lessThan">
      <formula>96</formula>
    </cfRule>
  </conditionalFormatting>
  <conditionalFormatting sqref="C68:C69">
    <cfRule type="cellIs" dxfId="1972" priority="77" stopIfTrue="1" operator="lessThanOrEqual">
      <formula>0</formula>
    </cfRule>
  </conditionalFormatting>
  <conditionalFormatting sqref="C68:C72">
    <cfRule type="cellIs" dxfId="1971" priority="76" stopIfTrue="1" operator="greaterThan">
      <formula>$F68</formula>
    </cfRule>
  </conditionalFormatting>
  <conditionalFormatting sqref="C69">
    <cfRule type="cellIs" dxfId="1970" priority="136" stopIfTrue="1" operator="greaterThan">
      <formula>$F68</formula>
    </cfRule>
  </conditionalFormatting>
  <conditionalFormatting sqref="C70:C73">
    <cfRule type="cellIs" dxfId="1969" priority="85" stopIfTrue="1" operator="lessThanOrEqual">
      <formula>0</formula>
    </cfRule>
  </conditionalFormatting>
  <conditionalFormatting sqref="C73">
    <cfRule type="cellIs" dxfId="1968" priority="84" stopIfTrue="1" operator="greaterThan">
      <formula>$J73</formula>
    </cfRule>
  </conditionalFormatting>
  <conditionalFormatting sqref="C79:C83">
    <cfRule type="cellIs" dxfId="1967" priority="124" stopIfTrue="1" operator="lessThanOrEqual">
      <formula>0</formula>
    </cfRule>
  </conditionalFormatting>
  <conditionalFormatting sqref="C80:C83">
    <cfRule type="cellIs" dxfId="1966" priority="123" stopIfTrue="1" operator="greaterThan">
      <formula>$F$79</formula>
    </cfRule>
  </conditionalFormatting>
  <conditionalFormatting sqref="C85">
    <cfRule type="cellIs" dxfId="1965" priority="126" stopIfTrue="1" operator="lessThanOrEqual">
      <formula>0</formula>
    </cfRule>
    <cfRule type="cellIs" dxfId="1964" priority="125" stopIfTrue="1" operator="greaterThan">
      <formula>$F$79</formula>
    </cfRule>
  </conditionalFormatting>
  <conditionalFormatting sqref="C79:D79 D81:D87">
    <cfRule type="cellIs" dxfId="1963" priority="118" stopIfTrue="1" operator="greaterThan">
      <formula>4.5</formula>
    </cfRule>
  </conditionalFormatting>
  <conditionalFormatting sqref="D55:D56">
    <cfRule type="cellIs" dxfId="1962" priority="102" operator="notBetween">
      <formula>#REF!</formula>
      <formula>#REF!</formula>
    </cfRule>
  </conditionalFormatting>
  <conditionalFormatting sqref="D68:D75">
    <cfRule type="cellIs" dxfId="1961" priority="95" stopIfTrue="1" operator="lessThanOrEqual">
      <formula>0</formula>
    </cfRule>
  </conditionalFormatting>
  <conditionalFormatting sqref="D76">
    <cfRule type="cellIs" dxfId="1960" priority="94" stopIfTrue="1" operator="lessThanOrEqual">
      <formula>0</formula>
    </cfRule>
  </conditionalFormatting>
  <conditionalFormatting sqref="D79 D81:D87">
    <cfRule type="cellIs" dxfId="1959" priority="119" stopIfTrue="1" operator="lessThanOrEqual">
      <formula>0</formula>
    </cfRule>
  </conditionalFormatting>
  <conditionalFormatting sqref="D80">
    <cfRule type="cellIs" dxfId="1958" priority="110" stopIfTrue="1" operator="greaterThan">
      <formula>$F$79</formula>
    </cfRule>
    <cfRule type="cellIs" dxfId="1957" priority="111" stopIfTrue="1" operator="lessThanOrEqual">
      <formula>0</formula>
    </cfRule>
  </conditionalFormatting>
  <conditionalFormatting sqref="D68:E77">
    <cfRule type="cellIs" dxfId="1956" priority="73" stopIfTrue="1" operator="greaterThan">
      <formula>$F68</formula>
    </cfRule>
  </conditionalFormatting>
  <conditionalFormatting sqref="D77:E77">
    <cfRule type="cellIs" dxfId="1955" priority="74" stopIfTrue="1" operator="lessThanOrEqual">
      <formula>0</formula>
    </cfRule>
  </conditionalFormatting>
  <conditionalFormatting sqref="E10:E30">
    <cfRule type="cellIs" dxfId="1954" priority="1" operator="lessThan">
      <formula>48</formula>
    </cfRule>
  </conditionalFormatting>
  <conditionalFormatting sqref="E58 E59:F59">
    <cfRule type="cellIs" dxfId="1953" priority="115" stopIfTrue="1" operator="greaterThan">
      <formula>100</formula>
    </cfRule>
  </conditionalFormatting>
  <conditionalFormatting sqref="E59">
    <cfRule type="cellIs" dxfId="1952" priority="112" stopIfTrue="1" operator="lessThan">
      <formula>96.8</formula>
    </cfRule>
    <cfRule type="cellIs" dxfId="1951" priority="113" stopIfTrue="1" operator="greaterThan">
      <formula>100</formula>
    </cfRule>
  </conditionalFormatting>
  <conditionalFormatting sqref="E68:E76">
    <cfRule type="cellIs" dxfId="1950" priority="89" stopIfTrue="1" operator="lessThanOrEqual">
      <formula>0</formula>
    </cfRule>
  </conditionalFormatting>
  <conditionalFormatting sqref="E79:E87">
    <cfRule type="cellIs" dxfId="1949" priority="105" stopIfTrue="1" operator="lessThanOrEqual">
      <formula>0</formula>
    </cfRule>
    <cfRule type="cellIs" dxfId="1948" priority="104" stopIfTrue="1" operator="greaterThan">
      <formula>4.5</formula>
    </cfRule>
  </conditionalFormatting>
  <conditionalFormatting sqref="E59:F59 E58">
    <cfRule type="cellIs" dxfId="1947" priority="114" stopIfTrue="1" operator="lessThan">
      <formula>96.5</formula>
    </cfRule>
  </conditionalFormatting>
  <conditionalFormatting sqref="F10:F30">
    <cfRule type="cellIs" dxfId="1946" priority="2" operator="greaterThan">
      <formula>60</formula>
    </cfRule>
  </conditionalFormatting>
  <conditionalFormatting sqref="F59">
    <cfRule type="cellIs" dxfId="1945" priority="130" stopIfTrue="1" operator="lessThan">
      <formula>96.8</formula>
    </cfRule>
    <cfRule type="cellIs" dxfId="1944" priority="131" stopIfTrue="1" operator="greaterThan">
      <formula>100</formula>
    </cfRule>
  </conditionalFormatting>
  <conditionalFormatting sqref="F77">
    <cfRule type="cellIs" dxfId="1943" priority="90" stopIfTrue="1" operator="greaterThan">
      <formula>$F77</formula>
    </cfRule>
    <cfRule type="cellIs" dxfId="1942" priority="91" stopIfTrue="1" operator="lessThanOrEqual">
      <formula>0</formula>
    </cfRule>
  </conditionalFormatting>
  <conditionalFormatting sqref="G10:G16 G19:G23">
    <cfRule type="expression" dxfId="1941" priority="32">
      <formula>IF(+(IF(G10&lt;S10,0,IF(G10&gt;T10,0,1)))=0,1)</formula>
    </cfRule>
  </conditionalFormatting>
  <conditionalFormatting sqref="G28:G30">
    <cfRule type="expression" dxfId="1940" priority="36">
      <formula>IF(+(IF(G28&lt;#REF!,0,IF(G28&gt;#REF!,0,1)))=0,1)</formula>
    </cfRule>
  </conditionalFormatting>
  <conditionalFormatting sqref="G68:G69 C74:C76">
    <cfRule type="cellIs" dxfId="1939" priority="96" stopIfTrue="1" operator="greaterThan">
      <formula>$F68</formula>
    </cfRule>
    <cfRule type="cellIs" dxfId="1938" priority="97" stopIfTrue="1" operator="lessThanOrEqual">
      <formula>0</formula>
    </cfRule>
  </conditionalFormatting>
  <conditionalFormatting sqref="G68:G69">
    <cfRule type="cellIs" dxfId="1937" priority="78" stopIfTrue="1" operator="greaterThan">
      <formula>$F68</formula>
    </cfRule>
    <cfRule type="cellIs" dxfId="1936" priority="79" stopIfTrue="1" operator="lessThanOrEqual">
      <formula>0</formula>
    </cfRule>
  </conditionalFormatting>
  <conditionalFormatting sqref="G70">
    <cfRule type="cellIs" dxfId="1935" priority="134" stopIfTrue="1" operator="greaterThan">
      <formula>$F69</formula>
    </cfRule>
    <cfRule type="cellIs" dxfId="1934" priority="135" stopIfTrue="1" operator="lessThanOrEqual">
      <formula>0</formula>
    </cfRule>
  </conditionalFormatting>
  <conditionalFormatting sqref="G71">
    <cfRule type="cellIs" dxfId="1933" priority="93" stopIfTrue="1" operator="lessThanOrEqual">
      <formula>0</formula>
    </cfRule>
    <cfRule type="cellIs" dxfId="1932" priority="92" stopIfTrue="1" operator="greaterThan">
      <formula>$F71</formula>
    </cfRule>
  </conditionalFormatting>
  <conditionalFormatting sqref="G72:G76">
    <cfRule type="cellIs" dxfId="1931" priority="98" stopIfTrue="1" operator="greaterThan">
      <formula>$J72</formula>
    </cfRule>
    <cfRule type="cellIs" dxfId="1930" priority="99" stopIfTrue="1" operator="lessThanOrEqual">
      <formula>0</formula>
    </cfRule>
  </conditionalFormatting>
  <conditionalFormatting sqref="G81:G86 C84 C86">
    <cfRule type="cellIs" dxfId="1929" priority="127" stopIfTrue="1" operator="greaterThan">
      <formula>4.5</formula>
    </cfRule>
    <cfRule type="cellIs" dxfId="1928" priority="128" stopIfTrue="1" operator="lessThanOrEqual">
      <formula>0</formula>
    </cfRule>
  </conditionalFormatting>
  <conditionalFormatting sqref="G17:H18">
    <cfRule type="expression" dxfId="1927" priority="4">
      <formula>IF(+(IF(G17&lt;#REF!,0,IF(G17&gt;#REF!,0,1)))=0,1)</formula>
    </cfRule>
  </conditionalFormatting>
  <conditionalFormatting sqref="G80:H80">
    <cfRule type="cellIs" dxfId="1926" priority="108" stopIfTrue="1" operator="greaterThan">
      <formula>$F$79</formula>
    </cfRule>
    <cfRule type="cellIs" dxfId="1925" priority="109" stopIfTrue="1" operator="lessThanOrEqual">
      <formula>0</formula>
    </cfRule>
  </conditionalFormatting>
  <conditionalFormatting sqref="H10:H16 H19:H23 G24:H27">
    <cfRule type="expression" dxfId="1924" priority="35">
      <formula>IF(+(IF(G10&lt;#REF!,0,IF(G10&gt;#REF!,0,1)))=0,1)</formula>
    </cfRule>
  </conditionalFormatting>
  <conditionalFormatting sqref="H28:H30">
    <cfRule type="expression" dxfId="1923" priority="37">
      <formula>IF(+(IF(H28&lt;T28,0,IF(H28&gt;U28,0,1)))=0,1)</formula>
    </cfRule>
  </conditionalFormatting>
  <conditionalFormatting sqref="H44:H58 I46:I57">
    <cfRule type="cellIs" dxfId="1922" priority="106" stopIfTrue="1" operator="greaterThan">
      <formula>0</formula>
    </cfRule>
  </conditionalFormatting>
  <conditionalFormatting sqref="H62">
    <cfRule type="cellIs" dxfId="1921" priority="24" stopIfTrue="1" operator="greaterThan">
      <formula>$F$33</formula>
    </cfRule>
    <cfRule type="cellIs" dxfId="1920" priority="25" stopIfTrue="1" operator="lessThanOrEqual">
      <formula>0</formula>
    </cfRule>
    <cfRule type="cellIs" dxfId="1919" priority="23" stopIfTrue="1" operator="lessThanOrEqual">
      <formula>0</formula>
    </cfRule>
    <cfRule type="cellIs" dxfId="1918" priority="22" stopIfTrue="1" operator="greaterThan">
      <formula>$F$35</formula>
    </cfRule>
    <cfRule type="cellIs" dxfId="1917" priority="14" stopIfTrue="1" operator="greaterThan">
      <formula>$F$32</formula>
    </cfRule>
    <cfRule type="cellIs" dxfId="1916" priority="13" stopIfTrue="1" operator="lessThanOrEqual">
      <formula>0</formula>
    </cfRule>
  </conditionalFormatting>
  <conditionalFormatting sqref="H63:H64">
    <cfRule type="cellIs" dxfId="1915" priority="46" stopIfTrue="1" operator="lessThanOrEqual">
      <formula>0</formula>
    </cfRule>
    <cfRule type="cellIs" dxfId="1914" priority="47" stopIfTrue="1" operator="greaterThan">
      <formula>$F$43</formula>
    </cfRule>
    <cfRule type="cellIs" dxfId="1913" priority="55" stopIfTrue="1" operator="greaterThan">
      <formula>$F$46</formula>
    </cfRule>
    <cfRule type="cellIs" dxfId="1912" priority="56" stopIfTrue="1" operator="lessThanOrEqual">
      <formula>0</formula>
    </cfRule>
    <cfRule type="cellIs" dxfId="1911" priority="57" stopIfTrue="1" operator="greaterThan">
      <formula>$F$44</formula>
    </cfRule>
    <cfRule type="cellIs" dxfId="1910" priority="58" stopIfTrue="1" operator="lessThanOrEqual">
      <formula>0</formula>
    </cfRule>
  </conditionalFormatting>
  <conditionalFormatting sqref="H68:H75">
    <cfRule type="cellIs" dxfId="1909" priority="83" stopIfTrue="1" operator="lessThanOrEqual">
      <formula>0</formula>
    </cfRule>
    <cfRule type="cellIs" dxfId="1908" priority="82" stopIfTrue="1" operator="greaterThan">
      <formula>$J68</formula>
    </cfRule>
  </conditionalFormatting>
  <conditionalFormatting sqref="H76">
    <cfRule type="cellIs" dxfId="1907" priority="86" operator="greaterThan">
      <formula>5.3</formula>
    </cfRule>
  </conditionalFormatting>
  <conditionalFormatting sqref="H79 H81:H87">
    <cfRule type="cellIs" dxfId="1906" priority="120" stopIfTrue="1" operator="greaterThan">
      <formula>4.5</formula>
    </cfRule>
    <cfRule type="cellIs" dxfId="1905" priority="121" stopIfTrue="1" operator="lessThanOrEqual">
      <formula>0</formula>
    </cfRule>
  </conditionalFormatting>
  <conditionalFormatting sqref="H62:I62">
    <cfRule type="cellIs" dxfId="1904" priority="15" stopIfTrue="1" operator="lessThanOrEqual">
      <formula>0</formula>
    </cfRule>
    <cfRule type="cellIs" dxfId="1903" priority="12" stopIfTrue="1" operator="greaterThan">
      <formula>$F$34</formula>
    </cfRule>
  </conditionalFormatting>
  <conditionalFormatting sqref="H63:I64">
    <cfRule type="cellIs" dxfId="1902" priority="45" stopIfTrue="1" operator="greaterThan">
      <formula>$F$45</formula>
    </cfRule>
    <cfRule type="cellIs" dxfId="1901" priority="48" stopIfTrue="1" operator="lessThanOrEqual">
      <formula>0</formula>
    </cfRule>
  </conditionalFormatting>
  <conditionalFormatting sqref="H77:I77">
    <cfRule type="cellIs" dxfId="1900" priority="71" stopIfTrue="1" operator="greaterThan">
      <formula>$J77</formula>
    </cfRule>
    <cfRule type="cellIs" dxfId="1899" priority="72" stopIfTrue="1" operator="lessThanOrEqual">
      <formula>0</formula>
    </cfRule>
  </conditionalFormatting>
  <conditionalFormatting sqref="I28:I30">
    <cfRule type="cellIs" dxfId="1898" priority="44" operator="lessThan">
      <formula>97.9</formula>
    </cfRule>
  </conditionalFormatting>
  <conditionalFormatting sqref="I62">
    <cfRule type="cellIs" dxfId="1897" priority="16" stopIfTrue="1" operator="greaterThan">
      <formula>$F$32</formula>
    </cfRule>
    <cfRule type="cellIs" dxfId="1896" priority="21" stopIfTrue="1" operator="lessThanOrEqual">
      <formula>0</formula>
    </cfRule>
    <cfRule type="cellIs" dxfId="1895" priority="20" stopIfTrue="1" operator="greaterThan">
      <formula>$F$32</formula>
    </cfRule>
    <cfRule type="cellIs" dxfId="1894" priority="19" stopIfTrue="1" operator="lessThanOrEqual">
      <formula>0</formula>
    </cfRule>
    <cfRule type="cellIs" dxfId="1893" priority="18" stopIfTrue="1" operator="greaterThan">
      <formula>$F$34</formula>
    </cfRule>
    <cfRule type="cellIs" dxfId="1892" priority="17" stopIfTrue="1" operator="lessThanOrEqual">
      <formula>0</formula>
    </cfRule>
  </conditionalFormatting>
  <conditionalFormatting sqref="I63:I64">
    <cfRule type="cellIs" dxfId="1891" priority="51" stopIfTrue="1" operator="greaterThan">
      <formula>$F$45</formula>
    </cfRule>
    <cfRule type="cellIs" dxfId="1890" priority="54" stopIfTrue="1" operator="lessThanOrEqual">
      <formula>0</formula>
    </cfRule>
    <cfRule type="cellIs" dxfId="1889" priority="53" stopIfTrue="1" operator="greaterThan">
      <formula>$F$43</formula>
    </cfRule>
    <cfRule type="cellIs" dxfId="1888" priority="52" stopIfTrue="1" operator="lessThanOrEqual">
      <formula>0</formula>
    </cfRule>
    <cfRule type="cellIs" dxfId="1887" priority="50" stopIfTrue="1" operator="lessThanOrEqual">
      <formula>0</formula>
    </cfRule>
    <cfRule type="cellIs" dxfId="1886" priority="49" stopIfTrue="1" operator="greaterThan">
      <formula>$F$43</formula>
    </cfRule>
  </conditionalFormatting>
  <conditionalFormatting sqref="I68:I76">
    <cfRule type="cellIs" dxfId="1885" priority="88" stopIfTrue="1" operator="lessThanOrEqual">
      <formula>0</formula>
    </cfRule>
    <cfRule type="cellIs" dxfId="1884" priority="87" stopIfTrue="1" operator="greaterThan">
      <formula>$J68</formula>
    </cfRule>
  </conditionalFormatting>
  <conditionalFormatting sqref="I79:I87">
    <cfRule type="cellIs" dxfId="1883" priority="117" stopIfTrue="1" operator="lessThanOrEqual">
      <formula>0</formula>
    </cfRule>
    <cfRule type="cellIs" dxfId="1882" priority="116" stopIfTrue="1" operator="greaterThan">
      <formula>4.5</formula>
    </cfRule>
  </conditionalFormatting>
  <conditionalFormatting sqref="I10:J27">
    <cfRule type="cellIs" dxfId="1881" priority="11" operator="lessThan">
      <formula>97.9</formula>
    </cfRule>
  </conditionalFormatting>
  <conditionalFormatting sqref="J28:J30">
    <cfRule type="cellIs" dxfId="1880" priority="43" operator="greaterThan">
      <formula>6.4</formula>
    </cfRule>
    <cfRule type="cellIs" dxfId="1879" priority="40" operator="lessThan">
      <formula>4</formula>
    </cfRule>
    <cfRule type="cellIs" dxfId="1878" priority="39" operator="greaterThan">
      <formula>6</formula>
    </cfRule>
  </conditionalFormatting>
  <conditionalFormatting sqref="J33:J35">
    <cfRule type="cellIs" dxfId="1877" priority="63" operator="lessThan">
      <formula>98</formula>
    </cfRule>
    <cfRule type="cellIs" dxfId="1876" priority="62" stopIfTrue="1" operator="greaterThan">
      <formula>100</formula>
    </cfRule>
    <cfRule type="cellIs" dxfId="1875" priority="61" stopIfTrue="1" operator="lessThan">
      <formula>96.8</formula>
    </cfRule>
  </conditionalFormatting>
  <conditionalFormatting sqref="J33:J37">
    <cfRule type="cellIs" dxfId="1874" priority="60" operator="lessThan">
      <formula>97.4</formula>
    </cfRule>
  </conditionalFormatting>
  <conditionalFormatting sqref="J38">
    <cfRule type="cellIs" dxfId="1873" priority="64" operator="lessThan">
      <formula>98</formula>
    </cfRule>
  </conditionalFormatting>
  <conditionalFormatting sqref="J39:J41">
    <cfRule type="cellIs" dxfId="1872" priority="66" stopIfTrue="1" operator="greaterThan">
      <formula>100</formula>
    </cfRule>
    <cfRule type="cellIs" dxfId="1871" priority="65" stopIfTrue="1" operator="lessThan">
      <formula>96.8</formula>
    </cfRule>
  </conditionalFormatting>
  <conditionalFormatting sqref="J39:J42">
    <cfRule type="cellIs" dxfId="1870" priority="67" operator="lessThan">
      <formula>98</formula>
    </cfRule>
  </conditionalFormatting>
  <conditionalFormatting sqref="J77">
    <cfRule type="cellIs" dxfId="1869" priority="69" stopIfTrue="1" operator="lessThanOrEqual">
      <formula>0</formula>
    </cfRule>
    <cfRule type="cellIs" dxfId="1868" priority="68" stopIfTrue="1" operator="greaterThan">
      <formula>$F77</formula>
    </cfRule>
  </conditionalFormatting>
  <conditionalFormatting sqref="K10:K27">
    <cfRule type="cellIs" dxfId="1867" priority="10" operator="greaterThan">
      <formula>6.4</formula>
    </cfRule>
    <cfRule type="cellIs" dxfId="1866" priority="7" operator="lessThan">
      <formula>4</formula>
    </cfRule>
    <cfRule type="cellIs" dxfId="1865" priority="6" operator="greaterThan">
      <formula>6</formula>
    </cfRule>
  </conditionalFormatting>
  <conditionalFormatting sqref="K28:K30">
    <cfRule type="cellIs" dxfId="1864" priority="42" operator="greaterThan">
      <formula>65</formula>
    </cfRule>
    <cfRule type="cellIs" dxfId="1863" priority="41" operator="between">
      <formula>61</formula>
      <formula>65</formula>
    </cfRule>
  </conditionalFormatting>
  <conditionalFormatting sqref="K47:K56">
    <cfRule type="cellIs" dxfId="1862" priority="59" operator="notEqual">
      <formula>#REF!</formula>
    </cfRule>
  </conditionalFormatting>
  <conditionalFormatting sqref="K62:K64 K68:N71 L72:N72">
    <cfRule type="cellIs" dxfId="1861" priority="100" stopIfTrue="1" operator="lessThan">
      <formula>100%</formula>
    </cfRule>
  </conditionalFormatting>
  <conditionalFormatting sqref="K79:K84">
    <cfRule type="cellIs" dxfId="1860" priority="122" stopIfTrue="1" operator="lessThan">
      <formula>100%</formula>
    </cfRule>
  </conditionalFormatting>
  <conditionalFormatting sqref="K86:K87">
    <cfRule type="cellIs" dxfId="1859" priority="129" stopIfTrue="1" operator="lessThan">
      <formula>100%</formula>
    </cfRule>
  </conditionalFormatting>
  <conditionalFormatting sqref="K73:N77">
    <cfRule type="cellIs" dxfId="1858" priority="70" stopIfTrue="1" operator="lessThan">
      <formula>100%</formula>
    </cfRule>
  </conditionalFormatting>
  <conditionalFormatting sqref="L10:L27">
    <cfRule type="cellIs" dxfId="1857" priority="9" operator="greaterThan">
      <formula>65</formula>
    </cfRule>
    <cfRule type="cellIs" dxfId="1856" priority="8" operator="between">
      <formula>61</formula>
      <formula>65</formula>
    </cfRule>
  </conditionalFormatting>
  <conditionalFormatting sqref="L28:M30">
    <cfRule type="expression" dxfId="1855" priority="38">
      <formula>IF(+(IF(L28&lt;T28,0,IF(L28&gt;U28,0,1)))=0,1)</formula>
    </cfRule>
  </conditionalFormatting>
  <conditionalFormatting sqref="L48:N48">
    <cfRule type="cellIs" dxfId="1854" priority="34" operator="notEqual">
      <formula>#REF!</formula>
    </cfRule>
  </conditionalFormatting>
  <conditionalFormatting sqref="L79:N87">
    <cfRule type="cellIs" dxfId="1853" priority="107" stopIfTrue="1" operator="lessThan">
      <formula>100%</formula>
    </cfRule>
  </conditionalFormatting>
  <conditionalFormatting sqref="M10:M27">
    <cfRule type="expression" dxfId="1852" priority="5">
      <formula>IF(+(IF(M10&lt;U10,0,IF(M10&gt;V10,0,1)))=0,1)</formula>
    </cfRule>
  </conditionalFormatting>
  <conditionalFormatting sqref="M33 L34:M44">
    <cfRule type="cellIs" dxfId="1851" priority="75" operator="lessThan">
      <formula>98</formula>
    </cfRule>
  </conditionalFormatting>
  <conditionalFormatting sqref="N10:N30">
    <cfRule type="expression" dxfId="1850" priority="3">
      <formula>IF(+(IF(N10&lt;W10,0,IF(N10&gt;X10,0,1)))=0,1)</formula>
    </cfRule>
  </conditionalFormatting>
  <conditionalFormatting sqref="P6">
    <cfRule type="cellIs" dxfId="1849" priority="103" operator="greaterThanOrEqual">
      <formula>19</formula>
    </cfRule>
  </conditionalFormatting>
  <dataValidations disablePrompts="1" count="1">
    <dataValidation type="list" allowBlank="1" showInputMessage="1" showErrorMessage="1" sqref="R8" xr:uid="{51F4A430-43B2-40FA-86BE-94DDD9106A2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1" max="16383" man="1"/>
  </rowBreaks>
  <colBreaks count="1" manualBreakCount="1">
    <brk id="15" max="89" man="1"/>
  </col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B728A-A66A-4AD0-9F14-AD2778765600}">
  <sheetPr codeName="Sheet6">
    <pageSetUpPr fitToPage="1"/>
  </sheetPr>
  <dimension ref="A1:BE77"/>
  <sheetViews>
    <sheetView zoomScale="80" zoomScaleNormal="80" workbookViewId="0">
      <selection activeCell="D19" sqref="D19"/>
    </sheetView>
  </sheetViews>
  <sheetFormatPr defaultColWidth="9.44140625" defaultRowHeight="13.8"/>
  <cols>
    <col min="1" max="1" width="3.33203125" style="275" customWidth="1"/>
    <col min="2" max="2" width="35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60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45786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 t="s">
        <v>126</v>
      </c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6.5" customHeight="1">
      <c r="B10" s="29" t="s">
        <v>6</v>
      </c>
      <c r="C10" s="366" t="str">
        <f>[22]Brewhouse!$A426</f>
        <v>CA321</v>
      </c>
      <c r="D10" s="279">
        <f>[22]Brewhouse!$AF426</f>
        <v>53.5</v>
      </c>
      <c r="E10" s="279">
        <f>[22]Brewhouse!$AI426</f>
        <v>50.2</v>
      </c>
      <c r="F10" s="278">
        <f>[22]Brewhouse!$V426</f>
        <v>57</v>
      </c>
      <c r="G10" s="279">
        <f>[22]Brewhouse!$AG426</f>
        <v>12</v>
      </c>
      <c r="H10" s="396">
        <v>12</v>
      </c>
      <c r="I10" s="368">
        <f>[22]Brewhouse!$AU426</f>
        <v>97.970840467406703</v>
      </c>
      <c r="J10" s="368">
        <f>[22]Brewhouse!$AV426</f>
        <v>99.648891088417386</v>
      </c>
      <c r="K10" s="281">
        <f>[22]Brewhouse!$Q426</f>
        <v>4.9009009009008988</v>
      </c>
      <c r="L10" s="276">
        <f>[22]Brewhouse!$P426</f>
        <v>58</v>
      </c>
      <c r="M10" s="397">
        <f>[22]Brewhouse!$U426-[22]Brewhouse!$T426</f>
        <v>0.10069444444444442</v>
      </c>
      <c r="N10" s="370">
        <f>[22]Brewhouse!$Z426</f>
        <v>0.24166666666666664</v>
      </c>
      <c r="O10" s="371" t="str">
        <f>[22]Brewhouse!$AX426</f>
        <v>R. Sookram</v>
      </c>
      <c r="P10" s="423"/>
      <c r="R10" s="277" t="str">
        <f t="shared" ref="R10:R27" si="0">B10</f>
        <v>CARIB</v>
      </c>
      <c r="S10" s="296">
        <f t="shared" ref="S10:S27" si="1">VLOOKUP($B10,$R$3:$X$9,2,FALSE)</f>
        <v>11.6</v>
      </c>
      <c r="T10" s="296">
        <f t="shared" ref="T10:T27" si="2">VLOOKUP($B10,$R$3:$X$9,3,FALSE)</f>
        <v>12</v>
      </c>
      <c r="U10" s="297">
        <f t="shared" ref="U10:U27" si="3">VLOOKUP($B10,$R$3:$X$9,4,FALSE)</f>
        <v>0</v>
      </c>
      <c r="V10" s="297">
        <f t="shared" ref="V10:V27" si="4">VLOOKUP($B10,$R$3:$X$9,5,FALSE)</f>
        <v>0.118055555555556</v>
      </c>
      <c r="W10" s="297">
        <f t="shared" ref="W10:W27" si="5">VLOOKUP($B10,$R$3:$X$9,6,FALSE)</f>
        <v>0.22569444444444445</v>
      </c>
      <c r="X10" s="297">
        <f t="shared" ref="X10:X27" si="6">VLOOKUP($B10,$R$3:$X$9,7,FALSE)</f>
        <v>0.2638888888888889</v>
      </c>
      <c r="Y10" s="297">
        <f t="shared" ref="Y10:Y27" si="7">VLOOKUP($B10,$R$3:$Z$9,8,FALSE)</f>
        <v>0</v>
      </c>
      <c r="Z10" s="296">
        <f t="shared" ref="Z10:Z27" si="8">VLOOKUP($B10,$R$3:$Z$9,9,FALSE)</f>
        <v>60</v>
      </c>
    </row>
    <row r="11" spans="2:29" ht="16.5" customHeight="1">
      <c r="B11" s="29" t="s">
        <v>6</v>
      </c>
      <c r="C11" s="366" t="str">
        <f>[22]Brewhouse!$A427</f>
        <v>CA322</v>
      </c>
      <c r="D11" s="279">
        <f>[22]Brewhouse!$AF427</f>
        <v>54.2</v>
      </c>
      <c r="E11" s="279">
        <f>[22]Brewhouse!$AI427</f>
        <v>51</v>
      </c>
      <c r="F11" s="278">
        <f>[22]Brewhouse!$V427</f>
        <v>66</v>
      </c>
      <c r="G11" s="279">
        <f>[22]Brewhouse!$AG427</f>
        <v>11.7</v>
      </c>
      <c r="H11" s="396">
        <v>11.9</v>
      </c>
      <c r="I11" s="368">
        <f>[22]Brewhouse!$AU427</f>
        <v>89.72285586899315</v>
      </c>
      <c r="J11" s="368">
        <f>[22]Brewhouse!$AV427</f>
        <v>91.325040567433561</v>
      </c>
      <c r="K11" s="281">
        <f>[22]Brewhouse!$Q427</f>
        <v>5.7193605683836575</v>
      </c>
      <c r="L11" s="276">
        <f>[22]Brewhouse!$P427</f>
        <v>63</v>
      </c>
      <c r="M11" s="397">
        <f>[22]Brewhouse!$U427-[22]Brewhouse!$T427</f>
        <v>0.11805555555555558</v>
      </c>
      <c r="N11" s="370">
        <f>[22]Brewhouse!$Z427</f>
        <v>0.27152777777777781</v>
      </c>
      <c r="O11" s="371" t="str">
        <f>[22]Brewhouse!$AX427</f>
        <v>K.Benjamin</v>
      </c>
      <c r="P11" s="423"/>
      <c r="R11" s="277" t="str">
        <f t="shared" ref="R11:R18" si="9">B11</f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6.5" customHeight="1">
      <c r="B12" s="29" t="s">
        <v>6</v>
      </c>
      <c r="C12" s="366" t="str">
        <f>[22]Brewhouse!$A428</f>
        <v>CA323</v>
      </c>
      <c r="D12" s="279">
        <f>[22]Brewhouse!$AF428</f>
        <v>54.2</v>
      </c>
      <c r="E12" s="279">
        <f>[22]Brewhouse!$AI428</f>
        <v>51</v>
      </c>
      <c r="F12" s="278">
        <f>[22]Brewhouse!$V428</f>
        <v>63</v>
      </c>
      <c r="G12" s="279">
        <f>[22]Brewhouse!$AG428</f>
        <v>11.9</v>
      </c>
      <c r="H12" s="396">
        <v>11.7</v>
      </c>
      <c r="I12" s="368">
        <f>[22]Brewhouse!$AU428</f>
        <v>91.480560970611876</v>
      </c>
      <c r="J12" s="368">
        <f>[22]Brewhouse!$AV428</f>
        <v>93.114133080775957</v>
      </c>
      <c r="K12" s="281">
        <f>[22]Brewhouse!$Q428</f>
        <v>4.8398576512455493</v>
      </c>
      <c r="L12" s="276">
        <f>[22]Brewhouse!$P428</f>
        <v>63</v>
      </c>
      <c r="M12" s="397">
        <f>[22]Brewhouse!$U428-[22]Brewhouse!$T428</f>
        <v>0.11527777777777781</v>
      </c>
      <c r="N12" s="370">
        <f>[22]Brewhouse!$Z428</f>
        <v>0.26527777777777783</v>
      </c>
      <c r="O12" s="371" t="str">
        <f>[22]Brewhouse!$AX428</f>
        <v>K.Benjamin</v>
      </c>
      <c r="P12" s="423"/>
      <c r="R12" s="277" t="str">
        <f t="shared" si="9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6.5" customHeight="1">
      <c r="B13" s="29" t="s">
        <v>6</v>
      </c>
      <c r="C13" s="366" t="str">
        <f>[22]Brewhouse!$A429</f>
        <v>CA324</v>
      </c>
      <c r="D13" s="279">
        <f>[22]Brewhouse!$AF429</f>
        <v>55.1</v>
      </c>
      <c r="E13" s="279">
        <f>[22]Brewhouse!$AI429</f>
        <v>51.8</v>
      </c>
      <c r="F13" s="278">
        <f>[22]Brewhouse!$V429</f>
        <v>69</v>
      </c>
      <c r="G13" s="279">
        <f>[22]Brewhouse!$AG429</f>
        <v>12.05</v>
      </c>
      <c r="H13" s="396">
        <v>12</v>
      </c>
      <c r="I13" s="368">
        <f>[22]Brewhouse!$AU429</f>
        <v>102.81572231933967</v>
      </c>
      <c r="J13" s="368">
        <f>[22]Brewhouse!$AV429</f>
        <v>104.65170686824514</v>
      </c>
      <c r="K13" s="281">
        <f>[22]Brewhouse!$Q429</f>
        <v>4.8056537102473476</v>
      </c>
      <c r="L13" s="276">
        <f>[22]Brewhouse!$P429</f>
        <v>59</v>
      </c>
      <c r="M13" s="397">
        <f>[22]Brewhouse!$U429-[22]Brewhouse!$T429</f>
        <v>0.12638888888888888</v>
      </c>
      <c r="N13" s="370">
        <f>[22]Brewhouse!$Z429</f>
        <v>0.28194444444444444</v>
      </c>
      <c r="O13" s="371" t="str">
        <f>[22]Brewhouse!$AX429</f>
        <v>K.Benjamin</v>
      </c>
      <c r="P13" s="423"/>
      <c r="R13" s="277" t="str">
        <f t="shared" si="9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6.5" customHeight="1">
      <c r="B14" s="29" t="s">
        <v>6</v>
      </c>
      <c r="C14" s="366" t="str">
        <f>[22]Brewhouse!$A430</f>
        <v>CA325</v>
      </c>
      <c r="D14" s="279">
        <f>[22]Brewhouse!$AF430</f>
        <v>54.4</v>
      </c>
      <c r="E14" s="279">
        <f>[22]Brewhouse!$AI430</f>
        <v>51</v>
      </c>
      <c r="F14" s="278">
        <f>[22]Brewhouse!$V430</f>
        <v>70</v>
      </c>
      <c r="G14" s="279">
        <f>[22]Brewhouse!$AG430</f>
        <v>12.12</v>
      </c>
      <c r="H14" s="396">
        <v>12</v>
      </c>
      <c r="I14" s="368">
        <f>[22]Brewhouse!$AU430</f>
        <v>97.53246147842853</v>
      </c>
      <c r="J14" s="368">
        <f>[22]Brewhouse!$AV430</f>
        <v>99.207228964259869</v>
      </c>
      <c r="K14" s="281">
        <f>[22]Brewhouse!$Q430</f>
        <v>4.4839857651245607</v>
      </c>
      <c r="L14" s="276">
        <f>[22]Brewhouse!$P430</f>
        <v>57</v>
      </c>
      <c r="M14" s="397">
        <f>[22]Brewhouse!$U430-[22]Brewhouse!$T430</f>
        <v>0.13055555555555554</v>
      </c>
      <c r="N14" s="370">
        <f>[22]Brewhouse!$Z430</f>
        <v>0.30555555555555558</v>
      </c>
      <c r="O14" s="371" t="str">
        <f>[22]Brewhouse!$AX430</f>
        <v>D. Gomez</v>
      </c>
      <c r="P14" s="423" t="s">
        <v>185</v>
      </c>
      <c r="R14" s="277" t="str">
        <f t="shared" si="9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6.5" customHeight="1">
      <c r="B15" s="29" t="s">
        <v>6</v>
      </c>
      <c r="C15" s="366" t="str">
        <f>[22]Brewhouse!$A431</f>
        <v>CA326</v>
      </c>
      <c r="D15" s="279">
        <f>[22]Brewhouse!$AF431</f>
        <v>55</v>
      </c>
      <c r="E15" s="279">
        <f>[22]Brewhouse!$AI431</f>
        <v>51.9</v>
      </c>
      <c r="F15" s="278">
        <f>[22]Brewhouse!$V431</f>
        <v>71</v>
      </c>
      <c r="G15" s="279">
        <f>[22]Brewhouse!$AG431</f>
        <v>11.86</v>
      </c>
      <c r="H15" s="396">
        <v>11.8</v>
      </c>
      <c r="I15" s="368">
        <f>[22]Brewhouse!$AU431</f>
        <v>101.4764845382836</v>
      </c>
      <c r="J15" s="368">
        <f>[22]Brewhouse!$AV431</f>
        <v>103.28835610878176</v>
      </c>
      <c r="K15" s="281">
        <f>[22]Brewhouse!$Q431</f>
        <v>3.5879218472468848</v>
      </c>
      <c r="L15" s="276">
        <f>[22]Brewhouse!$P431</f>
        <v>62</v>
      </c>
      <c r="M15" s="397">
        <f>[22]Brewhouse!$U431-[22]Brewhouse!$T431</f>
        <v>0.1347222222222223</v>
      </c>
      <c r="N15" s="370">
        <f>[22]Brewhouse!$Z431</f>
        <v>0.32361111111111118</v>
      </c>
      <c r="O15" s="371" t="str">
        <f>[22]Brewhouse!$AX431</f>
        <v>D. Gomez</v>
      </c>
      <c r="P15" s="423" t="s">
        <v>186</v>
      </c>
      <c r="R15" s="277" t="str">
        <f t="shared" si="9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6.5" customHeight="1">
      <c r="B16" s="34"/>
      <c r="C16" s="366"/>
      <c r="D16" s="279"/>
      <c r="E16" s="279"/>
      <c r="F16" s="278"/>
      <c r="G16" s="279"/>
      <c r="H16" s="396"/>
      <c r="I16" s="421"/>
      <c r="J16" s="421"/>
      <c r="K16" s="398"/>
      <c r="L16" s="276"/>
      <c r="M16" s="374"/>
      <c r="N16" s="370"/>
      <c r="O16" s="429"/>
      <c r="P16" s="423"/>
      <c r="R16" s="277">
        <f t="shared" si="9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6.5" customHeight="1">
      <c r="B17" s="33" t="s">
        <v>9</v>
      </c>
      <c r="C17" s="366" t="str">
        <f>[23]Brewhouse!$A203</f>
        <v>ST185</v>
      </c>
      <c r="D17" s="279">
        <f>[23]Brewhouse!$AD203</f>
        <v>55</v>
      </c>
      <c r="E17" s="279">
        <f>[23]Brewhouse!$AG203</f>
        <v>52.1</v>
      </c>
      <c r="F17" s="278">
        <f>[23]Brewhouse!$V203</f>
        <v>57</v>
      </c>
      <c r="G17" s="279">
        <f>[23]Brewhouse!$AE203</f>
        <v>11.79</v>
      </c>
      <c r="H17" s="396">
        <v>11.7</v>
      </c>
      <c r="I17" s="421">
        <f>[23]Brewhouse!$AS203</f>
        <v>101.79315931615676</v>
      </c>
      <c r="J17" s="421">
        <f>[23]Brewhouse!$AT203</f>
        <v>103.29861328688483</v>
      </c>
      <c r="K17" s="398">
        <f>[23]Brewhouse!$Q203</f>
        <v>2.9090909090909114</v>
      </c>
      <c r="L17" s="276">
        <f>[23]Brewhouse!$P203</f>
        <v>58</v>
      </c>
      <c r="M17" s="374">
        <f>[23]Brewhouse!$U203-[23]Brewhouse!$T203</f>
        <v>0.11805555555555558</v>
      </c>
      <c r="N17" s="370">
        <f>[23]Brewhouse!$AW203</f>
        <v>0.26180555555555551</v>
      </c>
      <c r="O17" s="429" t="str">
        <f>[23]Brewhouse!$AV203</f>
        <v>R.Sookram</v>
      </c>
      <c r="P17" s="423" t="s">
        <v>187</v>
      </c>
      <c r="R17" s="277" t="str">
        <f t="shared" si="9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6.5" customHeight="1">
      <c r="B18" s="33" t="s">
        <v>9</v>
      </c>
      <c r="C18" s="366" t="str">
        <f>[23]Brewhouse!$A204</f>
        <v>ST186</v>
      </c>
      <c r="D18" s="279">
        <f>[23]Brewhouse!$AD204</f>
        <v>54.8</v>
      </c>
      <c r="E18" s="279">
        <f>[23]Brewhouse!$AG204</f>
        <v>53</v>
      </c>
      <c r="F18" s="278">
        <f>[23]Brewhouse!$V204</f>
        <v>66</v>
      </c>
      <c r="G18" s="279">
        <f>[23]Brewhouse!$AE204</f>
        <v>11.91</v>
      </c>
      <c r="H18" s="396">
        <v>11.8</v>
      </c>
      <c r="I18" s="421">
        <f>[23]Brewhouse!$AS204</f>
        <v>104.73648096630129</v>
      </c>
      <c r="J18" s="421">
        <f>[23]Brewhouse!$AT204</f>
        <v>106.28445647528686</v>
      </c>
      <c r="K18" s="398">
        <f>[23]Brewhouse!$Q204</f>
        <v>1.277372262773715</v>
      </c>
      <c r="L18" s="276">
        <f>[23]Brewhouse!$P204</f>
        <v>58</v>
      </c>
      <c r="M18" s="374">
        <f>[23]Brewhouse!$U204-[23]Brewhouse!$T204</f>
        <v>0.10763888888888884</v>
      </c>
      <c r="N18" s="370">
        <f>[23]Brewhouse!$AW204</f>
        <v>0.28680555555555565</v>
      </c>
      <c r="O18" s="429" t="str">
        <f>[23]Brewhouse!$AV204</f>
        <v>R.Sookram</v>
      </c>
      <c r="P18" s="423" t="s">
        <v>181</v>
      </c>
      <c r="R18" s="277" t="str">
        <f t="shared" si="9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7" ht="16.5" customHeight="1">
      <c r="B19" s="33" t="s">
        <v>9</v>
      </c>
      <c r="C19" s="366" t="str">
        <f>[23]Brewhouse!$A205</f>
        <v>ST187</v>
      </c>
      <c r="D19" s="279">
        <f>[23]Brewhouse!$AD205</f>
        <v>54.8</v>
      </c>
      <c r="E19" s="279">
        <f>[23]Brewhouse!$AG205</f>
        <v>52.6</v>
      </c>
      <c r="F19" s="278">
        <f>[23]Brewhouse!$V205</f>
        <v>58</v>
      </c>
      <c r="G19" s="279">
        <f>[23]Brewhouse!$AE205</f>
        <v>11.9</v>
      </c>
      <c r="H19" s="396">
        <v>11.79</v>
      </c>
      <c r="I19" s="421">
        <f>[23]Brewhouse!$AS205</f>
        <v>104.07643263107897</v>
      </c>
      <c r="J19" s="421">
        <f>[23]Brewhouse!$AT205</f>
        <v>105.61414998341448</v>
      </c>
      <c r="K19" s="398">
        <f>[23]Brewhouse!$Q205</f>
        <v>1.277372262773715</v>
      </c>
      <c r="L19" s="276">
        <f>[23]Brewhouse!$P205</f>
        <v>58</v>
      </c>
      <c r="M19" s="374">
        <f>[23]Brewhouse!$U205-[23]Brewhouse!$T205</f>
        <v>0.1131944444444446</v>
      </c>
      <c r="N19" s="370">
        <f>[23]Brewhouse!$AW205</f>
        <v>0.3173611111111112</v>
      </c>
      <c r="O19" s="429" t="str">
        <f>[23]Brewhouse!$AV205</f>
        <v>R.Sookram</v>
      </c>
      <c r="P19" s="423" t="s">
        <v>181</v>
      </c>
      <c r="R19" s="277"/>
      <c r="S19" s="296"/>
      <c r="T19" s="296"/>
      <c r="U19" s="297"/>
      <c r="V19" s="297"/>
      <c r="W19" s="297"/>
      <c r="X19" s="297"/>
      <c r="Y19" s="297"/>
      <c r="Z19" s="296"/>
    </row>
    <row r="20" spans="1:27" ht="16.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hidden="1" customHeight="1">
      <c r="B24" s="33"/>
      <c r="C24" s="366"/>
      <c r="D24" s="279"/>
      <c r="E24" s="279"/>
      <c r="F24" s="278"/>
      <c r="G24" s="279"/>
      <c r="H24" s="396"/>
      <c r="I24" s="421"/>
      <c r="J24" s="398"/>
      <c r="K24" s="276"/>
      <c r="L24" s="374"/>
      <c r="M24" s="397"/>
      <c r="N24" s="370"/>
      <c r="O24" s="371"/>
      <c r="P24" s="42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hidden="1" customHeight="1">
      <c r="B25" s="33"/>
      <c r="C25" s="366"/>
      <c r="D25" s="279"/>
      <c r="E25" s="279"/>
      <c r="F25" s="278"/>
      <c r="G25" s="279"/>
      <c r="H25" s="396"/>
      <c r="I25" s="421"/>
      <c r="J25" s="398"/>
      <c r="K25" s="276"/>
      <c r="L25" s="374"/>
      <c r="M25" s="397"/>
      <c r="N25" s="370"/>
      <c r="O25" s="371"/>
      <c r="P25" s="42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.75" hidden="1" customHeight="1">
      <c r="B26" s="33"/>
      <c r="C26" s="366"/>
      <c r="D26" s="279"/>
      <c r="E26" s="279"/>
      <c r="F26" s="278"/>
      <c r="G26" s="279"/>
      <c r="H26" s="396"/>
      <c r="I26" s="421"/>
      <c r="J26" s="398"/>
      <c r="K26" s="276"/>
      <c r="L26" s="374"/>
      <c r="M26" s="397"/>
      <c r="N26" s="370"/>
      <c r="O26" s="371"/>
      <c r="P26" s="423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.75" customHeight="1" thickBot="1">
      <c r="B27" s="358"/>
      <c r="C27" s="358"/>
      <c r="D27" s="358"/>
      <c r="E27" s="358"/>
      <c r="F27" s="294"/>
      <c r="G27" s="294"/>
      <c r="H27" s="348"/>
      <c r="I27" s="481" t="s">
        <v>34</v>
      </c>
      <c r="J27" s="481"/>
      <c r="K27" s="481"/>
      <c r="L27" s="481"/>
      <c r="M27" s="481"/>
      <c r="N27" s="481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5" thickBot="1">
      <c r="B28" s="388" t="s">
        <v>145</v>
      </c>
      <c r="C28" s="388"/>
      <c r="D28" s="494" t="s">
        <v>35</v>
      </c>
      <c r="E28" s="495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5" customHeight="1">
      <c r="A29" s="28"/>
      <c r="B29" s="529" t="str">
        <f>I35</f>
        <v>STARMALT</v>
      </c>
      <c r="C29" s="362" cm="1">
        <f t="array" ref="C29:C30">[27]Process!$D$37:$D$38</f>
        <v>17.5</v>
      </c>
      <c r="D29" s="485">
        <v>16.97</v>
      </c>
      <c r="E29" s="474"/>
      <c r="F29" s="294"/>
      <c r="G29" s="294"/>
      <c r="H29" s="348"/>
      <c r="I29" s="29" t="s">
        <v>6</v>
      </c>
      <c r="J29" s="280">
        <f>AVERAGE(I10:I15)</f>
        <v>96.833154273843903</v>
      </c>
      <c r="K29" s="284">
        <f>COUNTA([22]Brewhouse!$A$408:$A$431)</f>
        <v>24</v>
      </c>
      <c r="L29" s="302">
        <f>AVERAGE([22]Brewhouse!$AU$408:$AU$431)</f>
        <v>97.81724605839338</v>
      </c>
      <c r="M29" s="302">
        <f>AVERAGE([22]Brewhouse!$AU$102:$AU$171,[22]Brewhouse!$AU$173:$AU$253,[22]Brewhouse!$AU$255:$AU$339,[22]Brewhouse!$AU$341:$AU$346,[22]Brewhouse!$AU$348,[22]Brewhouse!$AU$349:$AU$406,[22]Brewhouse!$AU$408:$AU$431)</f>
        <v>97.427233555921646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7" ht="15" customHeight="1">
      <c r="A30" s="28"/>
      <c r="B30" s="526"/>
      <c r="C30" s="349">
        <v>17.14</v>
      </c>
      <c r="D30" s="486"/>
      <c r="E30" s="469"/>
      <c r="F30" s="294"/>
      <c r="G30" s="294"/>
      <c r="H30" s="348"/>
      <c r="I30" s="33" t="s">
        <v>9</v>
      </c>
      <c r="J30" s="280">
        <f>AVERAGE(I17:I19)</f>
        <v>103.53535763784566</v>
      </c>
      <c r="K30" s="284">
        <f>COUNTA([23]Brewhouse!$A$195:$A$205)</f>
        <v>11</v>
      </c>
      <c r="L30" s="302">
        <f>AVERAGE([23]Brewhouse!$AS$195:$AS$205)</f>
        <v>100.70163578844003</v>
      </c>
      <c r="M30" s="302">
        <f>AVERAGE([23]Brewhouse!$AS$15:$AS$64,[23]Brewhouse!$AS$66:$AS$103,[23]Brewhouse!$AS$105:$AS$140,[23]Brewhouse!$AS$142:$AS$193,[23]Brewhouse!$AS$195:$AS$205)</f>
        <v>97.640391472286225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7" ht="14.7" customHeight="1">
      <c r="A31" s="28"/>
      <c r="B31" s="526"/>
      <c r="C31" s="349" cm="1">
        <f t="array" ref="C31:C32">[27]Process!$D$41:$D$42</f>
        <v>16.899999999999999</v>
      </c>
      <c r="D31" s="485">
        <v>17.18</v>
      </c>
      <c r="E31" s="474"/>
      <c r="F31" s="294"/>
      <c r="G31" s="294"/>
      <c r="H31" s="348"/>
      <c r="I31" s="34" t="s">
        <v>12</v>
      </c>
      <c r="J31" s="280"/>
      <c r="K31" s="284">
        <f>COUNTA([24]Brewhouse!$A$47:$A$54)</f>
        <v>8</v>
      </c>
      <c r="L31" s="302">
        <f>AVERAGE([24]Brewhouse!$AU$47:$AU$54)</f>
        <v>96.792443337508828</v>
      </c>
      <c r="M31" s="302">
        <f>AVERAGE([24]Brewhouse!$AU$4:$AU$7,[24]Brewhouse!$AU$9:$AU$22,[24]Brewhouse!$AU$24:$AU$35,[24]Brewhouse!$AU$37:$AU$45,[24]Brewhouse!$AU$47:$AU$54)</f>
        <v>97.03665404260714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7" ht="14.7" customHeight="1">
      <c r="A32" s="28"/>
      <c r="B32" s="526"/>
      <c r="C32" s="349">
        <v>16.82</v>
      </c>
      <c r="D32" s="486"/>
      <c r="E32" s="469"/>
      <c r="F32" s="294"/>
      <c r="G32" s="294"/>
      <c r="H32" s="348"/>
      <c r="I32" s="22" t="s">
        <v>33</v>
      </c>
      <c r="J32" s="280"/>
      <c r="K32" s="284"/>
      <c r="L32" s="302"/>
      <c r="M32" s="302">
        <f>AVERAGE([25]Brewhouse!$AV$5:$AV$14,[25]Brewhouse!$AV$16:$AV$19,[25]Brewhouse!$AV$21:$AV$24,[25]Brewhouse!$AV$26:$AV$33)</f>
        <v>98.921974778040592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7" customHeight="1">
      <c r="A33" s="28"/>
      <c r="B33" s="526"/>
      <c r="C33" s="349"/>
      <c r="D33" s="485"/>
      <c r="E33" s="474"/>
      <c r="F33" s="422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7" customHeight="1">
      <c r="A34" s="28"/>
      <c r="B34" s="526"/>
      <c r="C34" s="349"/>
      <c r="D34" s="486"/>
      <c r="E34" s="469"/>
      <c r="F34" s="422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AVERAGE([26]Brewhouse!$AT$4:$AT$11,[26]Brewhouse!$AT$13:$AT$16)</f>
        <v>95.165309917257005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7" customHeight="1">
      <c r="A35" s="28"/>
      <c r="B35" s="526"/>
      <c r="C35" s="349"/>
      <c r="D35" s="485"/>
      <c r="E35" s="474"/>
      <c r="F35" s="422"/>
      <c r="G35" s="294"/>
      <c r="H35" s="348"/>
      <c r="I35" s="37" t="s">
        <v>16</v>
      </c>
      <c r="J35" s="323"/>
      <c r="K35" s="284">
        <f>COUNTA([27]Brewhouse!$A$36:$A$43)</f>
        <v>8</v>
      </c>
      <c r="L35" s="302">
        <f>AVERAGE([27]Brewhouse!$AY$36:$AY$43)</f>
        <v>98.453561717677275</v>
      </c>
      <c r="M35" s="302">
        <f>AVERAGE([27]Brewhouse!$AY$6:$AY$13,[27]Brewhouse!$AY$15:$AY$20,[27]Brewhouse!$AY$22:$AY$29,[27]Brewhouse!$AY$31:$AY$34,[27]Brewhouse!$AY$36:$AY$43)</f>
        <v>96.669752433914965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7" customHeight="1">
      <c r="A36" s="28"/>
      <c r="B36" s="526"/>
      <c r="C36" s="349"/>
      <c r="D36" s="486"/>
      <c r="E36" s="469"/>
      <c r="F36" s="294"/>
      <c r="G36" s="294"/>
      <c r="H36" s="348"/>
      <c r="I36" s="412" t="s">
        <v>158</v>
      </c>
      <c r="J36" s="326"/>
      <c r="K36" s="284"/>
      <c r="L36" s="305"/>
      <c r="M36" s="305">
        <f>AVERAGE([28]Brewhouse!$AU$5:$AU$8)</f>
        <v>91.006888337619571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7" customHeight="1">
      <c r="A37" s="28"/>
      <c r="B37" s="526"/>
      <c r="C37" s="349"/>
      <c r="D37" s="485"/>
      <c r="E37" s="474"/>
      <c r="F37" s="294"/>
      <c r="G37" s="294"/>
      <c r="H37" s="348"/>
      <c r="I37" s="411" t="s">
        <v>157</v>
      </c>
      <c r="J37" s="326"/>
      <c r="K37" s="284"/>
      <c r="L37" s="305"/>
      <c r="M37" s="305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26"/>
      <c r="C38" s="349"/>
      <c r="D38" s="486"/>
      <c r="E38" s="469"/>
      <c r="F38" s="294"/>
      <c r="G38" s="294"/>
      <c r="H38" s="348"/>
      <c r="I38" s="407" t="s">
        <v>156</v>
      </c>
      <c r="J38" s="327"/>
      <c r="K38" s="408"/>
      <c r="L38" s="409"/>
      <c r="M38" s="409"/>
      <c r="N38" s="41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526"/>
      <c r="C39" s="349"/>
      <c r="D39" s="485"/>
      <c r="E39" s="474"/>
      <c r="F39" s="294"/>
      <c r="G39" s="294"/>
      <c r="H39" s="348"/>
      <c r="I39" s="1"/>
      <c r="J39" s="39"/>
      <c r="K39" s="405">
        <f>SUM(K29:K38)</f>
        <v>51</v>
      </c>
      <c r="L39" s="406">
        <f>((L29*K29)+(L30*K30)+(L31*K31)+(L32*K32)+(L33*K33)+(K36*L36)+(L34*K34)+(L35*K35)+(L38*K38))/(K39)</f>
        <v>98.378430186583728</v>
      </c>
      <c r="M39" s="406">
        <f>AVERAGE('[29]Jan 31st'!$L$65,'[30]Feb 28th'!$L$35,'[31]Mar. 31st'!$L$35,'[32]Apr. 30th'!$L$45,L39)</f>
        <v>97.556494295204374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thickBot="1">
      <c r="B40" s="527"/>
      <c r="C40" s="350"/>
      <c r="D40" s="486"/>
      <c r="E40" s="46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" thickBot="1">
      <c r="B41" s="528" t="str">
        <f>I29</f>
        <v>CARIB</v>
      </c>
      <c r="C41" s="362" cm="1">
        <f t="array" ref="C41:C42">[22]Process!$D$357:$D$358</f>
        <v>11.8</v>
      </c>
      <c r="D41" s="466">
        <v>11.94</v>
      </c>
      <c r="E41" s="467"/>
      <c r="F41" s="294"/>
      <c r="G41" s="42"/>
      <c r="H41" s="41"/>
      <c r="I41" s="42"/>
      <c r="J41" s="519" t="s">
        <v>129</v>
      </c>
      <c r="K41" s="519"/>
      <c r="L41" s="294"/>
      <c r="M41" s="294"/>
      <c r="N41" s="294"/>
      <c r="O41" s="294"/>
      <c r="P41" s="12"/>
    </row>
    <row r="42" spans="1:56" ht="13.5" customHeight="1" thickBot="1">
      <c r="B42" s="521"/>
      <c r="C42" s="349">
        <v>12</v>
      </c>
      <c r="D42" s="468"/>
      <c r="E42" s="469"/>
      <c r="F42" s="294"/>
      <c r="G42" s="42"/>
      <c r="H42" s="41"/>
      <c r="I42" s="41"/>
      <c r="J42" s="292" t="s">
        <v>17</v>
      </c>
      <c r="K42" s="293" t="s">
        <v>147</v>
      </c>
      <c r="L42" s="471" t="s">
        <v>136</v>
      </c>
      <c r="M42" s="471"/>
      <c r="N42" s="472"/>
      <c r="O42" s="294"/>
      <c r="P42" s="12"/>
    </row>
    <row r="43" spans="1:56" ht="15" customHeight="1" thickBot="1">
      <c r="B43" s="521"/>
      <c r="C43" s="349" cm="1">
        <f t="array" ref="C43:C50">[22]Process!$D$388:$D$395</f>
        <v>11.9</v>
      </c>
      <c r="D43" s="473">
        <v>11.98</v>
      </c>
      <c r="E43" s="474"/>
      <c r="F43" s="294"/>
      <c r="G43" s="42"/>
      <c r="H43" s="41"/>
      <c r="I43" s="41"/>
      <c r="J43" s="287" t="s">
        <v>6</v>
      </c>
      <c r="K43" s="324">
        <f>COUNTA(B10:B15)</f>
        <v>6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21"/>
      <c r="C44" s="349">
        <v>11.6</v>
      </c>
      <c r="D44" s="468"/>
      <c r="E44" s="469"/>
      <c r="F44" s="294"/>
      <c r="G44" s="42"/>
      <c r="H44" s="41"/>
      <c r="I44" s="41"/>
      <c r="J44" s="345" t="s">
        <v>9</v>
      </c>
      <c r="K44" s="324">
        <f>COUNTA(B17:B19)</f>
        <v>3</v>
      </c>
      <c r="L44" s="344">
        <f>AVERAGE('May 2nd -4th'!I70,'May 2nd -4th'!K70,'May 5th'!K77,'May 6th'!K60,'May 7th'!K57,'May 8th'!K53)</f>
        <v>8.5</v>
      </c>
      <c r="M44" s="325">
        <f>AVERAGE('[29]Jan 29th '!$M$70,'[30]Feb 28th'!$L$40,'[31]Mar. 31st'!$L$40,'[32]Apr. 30th'!$L$50,L44)</f>
        <v>6.8891543239369328</v>
      </c>
      <c r="N44" s="420">
        <v>9.1999999999999993</v>
      </c>
      <c r="O44" s="294"/>
      <c r="P44" s="12"/>
    </row>
    <row r="45" spans="1:56" ht="15" customHeight="1">
      <c r="B45" s="521"/>
      <c r="C45" s="349">
        <v>11.9</v>
      </c>
      <c r="D45" s="473">
        <v>11.95</v>
      </c>
      <c r="E45" s="474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1"/>
      <c r="C46" s="349">
        <v>11.8</v>
      </c>
      <c r="D46" s="468"/>
      <c r="E46" s="469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4.4">
      <c r="B47" s="521"/>
      <c r="C47" s="349">
        <v>11.9</v>
      </c>
      <c r="D47" s="473">
        <v>11.87</v>
      </c>
      <c r="E47" s="474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1"/>
      <c r="C48" s="349">
        <v>11.9</v>
      </c>
      <c r="D48" s="468"/>
      <c r="E48" s="46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1"/>
      <c r="C49" s="349">
        <v>11.8</v>
      </c>
      <c r="D49" s="475">
        <v>11.93</v>
      </c>
      <c r="E49" s="476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2"/>
      <c r="C50" s="350">
        <v>11.8</v>
      </c>
      <c r="D50" s="477"/>
      <c r="E50" s="478"/>
      <c r="F50" s="294"/>
      <c r="G50" s="42"/>
      <c r="H50" s="41"/>
      <c r="I50" s="41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457">
        <f>AVERAGE(D29:E50)</f>
        <v>13.402857142857142</v>
      </c>
      <c r="E51" s="458"/>
      <c r="F51" s="294"/>
      <c r="G51" s="42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9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P54" s="334"/>
    </row>
    <row r="55" spans="2:57" ht="15" customHeight="1" thickBo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8"/>
      <c r="O55" s="48"/>
      <c r="P55" s="49"/>
    </row>
    <row r="56" spans="2:57" ht="15" customHeight="1" thickBot="1">
      <c r="B56" s="447" t="s">
        <v>17</v>
      </c>
      <c r="C56" s="447" t="s">
        <v>44</v>
      </c>
      <c r="D56" s="459" t="s">
        <v>45</v>
      </c>
      <c r="E56" s="461" t="s">
        <v>46</v>
      </c>
      <c r="F56" s="455" t="s">
        <v>47</v>
      </c>
      <c r="G56" s="445" t="s">
        <v>48</v>
      </c>
      <c r="H56" s="447" t="s">
        <v>49</v>
      </c>
      <c r="I56" s="447" t="s">
        <v>50</v>
      </c>
      <c r="J56" s="439" t="s">
        <v>28</v>
      </c>
      <c r="K56" s="451" t="s">
        <v>51</v>
      </c>
      <c r="L56" s="453" t="s">
        <v>52</v>
      </c>
      <c r="M56" s="439" t="s">
        <v>53</v>
      </c>
      <c r="N56" s="13"/>
      <c r="O56" s="13"/>
      <c r="P56" s="50"/>
    </row>
    <row r="57" spans="2:57" ht="28.5" customHeight="1" thickTop="1" thickBot="1">
      <c r="B57" s="448"/>
      <c r="C57" s="448"/>
      <c r="D57" s="460"/>
      <c r="E57" s="462"/>
      <c r="F57" s="456"/>
      <c r="G57" s="446"/>
      <c r="H57" s="448"/>
      <c r="I57" s="448"/>
      <c r="J57" s="440"/>
      <c r="K57" s="452"/>
      <c r="L57" s="454"/>
      <c r="M57" s="440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3.25" customHeight="1">
      <c r="B58" s="415" t="str">
        <f>I29</f>
        <v>CARIB</v>
      </c>
      <c r="C58" s="283">
        <v>45785</v>
      </c>
      <c r="D58" s="279">
        <f>[33]May_2025!$K$3</f>
        <v>509.8</v>
      </c>
      <c r="E58" s="279"/>
      <c r="F58" s="279"/>
      <c r="G58" s="279">
        <f>[33]May_2025!$K$7</f>
        <v>488.40000000000003</v>
      </c>
      <c r="H58" s="320"/>
      <c r="I58" s="322"/>
      <c r="J58" s="392" t="s">
        <v>183</v>
      </c>
      <c r="K58" s="416">
        <f>[35]May_2025!$K$18</f>
        <v>0.57122807017543864</v>
      </c>
      <c r="L58" s="281">
        <f>(((D58+E58)-G58)/(D58+E58))*100</f>
        <v>4.1977245978815176</v>
      </c>
      <c r="M58" s="426" t="s">
        <v>178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 t="e">
        <f>[20]January_2019!L7</f>
        <v>#REF!</v>
      </c>
      <c r="AC58" s="57" t="e">
        <f>[20]January_2019!M7</f>
        <v>#REF!</v>
      </c>
      <c r="AD58" s="57" t="e">
        <f>[20]January_2019!N7</f>
        <v>#REF!</v>
      </c>
      <c r="AE58" s="57" t="e">
        <f>[20]January_2019!O7</f>
        <v>#REF!</v>
      </c>
      <c r="AF58" s="57" t="e">
        <f>[20]January_2019!P7</f>
        <v>#REF!</v>
      </c>
      <c r="AG58" s="57" t="e">
        <f>[20]January_2019!Q7</f>
        <v>#REF!</v>
      </c>
      <c r="AH58" s="57" t="e">
        <f>[20]January_2019!R7</f>
        <v>#REF!</v>
      </c>
      <c r="AI58" s="57" t="e">
        <f>[20]January_2019!S7</f>
        <v>#REF!</v>
      </c>
      <c r="AJ58" s="57" t="e">
        <f>[20]January_2019!T7</f>
        <v>#REF!</v>
      </c>
      <c r="AK58" s="57" t="e">
        <f>[20]January_2019!U7</f>
        <v>#REF!</v>
      </c>
      <c r="AL58" s="57" t="e">
        <f>[20]January_2019!V7</f>
        <v>#REF!</v>
      </c>
      <c r="AM58" s="57" t="e">
        <f>[20]January_2019!W7</f>
        <v>#REF!</v>
      </c>
      <c r="AN58" s="57" t="e">
        <f>[20]January_2019!X7</f>
        <v>#REF!</v>
      </c>
      <c r="AO58" s="57" t="e">
        <f>[20]January_2019!Y7</f>
        <v>#REF!</v>
      </c>
      <c r="AP58" s="57" t="e">
        <f>[20]January_2019!Z7</f>
        <v>#REF!</v>
      </c>
      <c r="AQ58" s="57" t="e">
        <f>[20]January_2019!AA7</f>
        <v>#REF!</v>
      </c>
      <c r="AR58" s="57" t="e">
        <f>[20]January_2019!AB7</f>
        <v>#REF!</v>
      </c>
      <c r="AS58" s="57" t="e">
        <f>[20]January_2019!AC7</f>
        <v>#REF!</v>
      </c>
      <c r="AT58" s="57" t="e">
        <f>[20]January_2019!AD7</f>
        <v>#REF!</v>
      </c>
      <c r="AU58" s="57" t="e">
        <f>[20]January_2019!AE7</f>
        <v>#REF!</v>
      </c>
      <c r="AV58" s="57" t="e">
        <f>[20]January_2019!AF7</f>
        <v>#REF!</v>
      </c>
      <c r="AW58" s="57" t="e">
        <f>[20]January_2019!AG7</f>
        <v>#REF!</v>
      </c>
      <c r="AX58" s="277" t="e">
        <f>[20]January_2019!AH7</f>
        <v>#REF!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6.5" customHeight="1">
      <c r="B59" s="415"/>
      <c r="C59" s="283"/>
      <c r="D59" s="377"/>
      <c r="E59" s="378"/>
      <c r="F59" s="379"/>
      <c r="G59" s="303"/>
      <c r="H59" s="320"/>
      <c r="I59" s="322"/>
      <c r="J59" s="398"/>
      <c r="K59" s="286"/>
      <c r="L59" s="314"/>
      <c r="M59" s="419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</row>
    <row r="60" spans="2:57" s="54" customFormat="1" ht="51" customHeight="1">
      <c r="B60" s="431" t="str">
        <f>I35</f>
        <v>STARMALT</v>
      </c>
      <c r="C60" s="283">
        <v>45785</v>
      </c>
      <c r="D60" s="377">
        <f>[33]May_2025!$K$55</f>
        <v>206.1</v>
      </c>
      <c r="E60" s="378"/>
      <c r="F60" s="379"/>
      <c r="G60" s="303">
        <f>[33]May_2025!$K$59</f>
        <v>194.5</v>
      </c>
      <c r="H60" s="320"/>
      <c r="I60" s="322"/>
      <c r="J60" s="392" t="s">
        <v>150</v>
      </c>
      <c r="K60" s="286">
        <f>[35]May_2025!$K$53</f>
        <v>0.68245614035087721</v>
      </c>
      <c r="L60" s="314">
        <f>(((D60+E60)-G60)/(D60+E60))*100</f>
        <v>5.628335759340124</v>
      </c>
      <c r="M60" s="419" t="s">
        <v>184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418"/>
      <c r="AC60" s="418"/>
      <c r="AD60" s="418"/>
      <c r="AE60" s="418"/>
      <c r="AF60" s="418"/>
      <c r="AG60" s="418"/>
      <c r="AH60" s="418"/>
      <c r="AI60" s="418"/>
      <c r="AJ60" s="418"/>
      <c r="AK60" s="418"/>
      <c r="AL60" s="418"/>
      <c r="AM60" s="418"/>
      <c r="AN60" s="418"/>
      <c r="AO60" s="418"/>
      <c r="AP60" s="418"/>
      <c r="AQ60" s="418"/>
      <c r="AR60" s="418"/>
      <c r="AS60" s="418"/>
      <c r="AT60" s="418"/>
      <c r="AU60" s="418"/>
      <c r="AV60" s="418"/>
      <c r="AW60" s="418"/>
    </row>
    <row r="61" spans="2:57" ht="18" customHeight="1" thickBot="1">
      <c r="B61" s="59"/>
      <c r="C61" s="309"/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6"/>
      <c r="P61" s="60"/>
    </row>
    <row r="62" spans="2:57" ht="14.4" thickBot="1">
      <c r="B62" s="441" t="s">
        <v>55</v>
      </c>
      <c r="C62" s="442"/>
      <c r="D62" s="442"/>
      <c r="E62" s="442"/>
      <c r="F62" s="443"/>
      <c r="G62" s="441" t="s">
        <v>56</v>
      </c>
      <c r="H62" s="442"/>
      <c r="I62" s="442"/>
      <c r="J62" s="443"/>
      <c r="K62" s="441" t="s">
        <v>51</v>
      </c>
      <c r="L62" s="442"/>
      <c r="M62" s="442"/>
      <c r="N62" s="444"/>
      <c r="O62" s="56"/>
      <c r="P62" s="50"/>
    </row>
    <row r="63" spans="2:57">
      <c r="B63" s="61" t="s">
        <v>17</v>
      </c>
      <c r="C63" s="62" t="s">
        <v>36</v>
      </c>
      <c r="D63" s="62" t="s">
        <v>37</v>
      </c>
      <c r="E63" s="62" t="s">
        <v>38</v>
      </c>
      <c r="F63" s="63" t="s">
        <v>39</v>
      </c>
      <c r="G63" s="62" t="s">
        <v>36</v>
      </c>
      <c r="H63" s="62" t="s">
        <v>37</v>
      </c>
      <c r="I63" s="62" t="s">
        <v>38</v>
      </c>
      <c r="J63" s="63" t="s">
        <v>39</v>
      </c>
      <c r="K63" s="62"/>
      <c r="L63" s="62" t="s">
        <v>37</v>
      </c>
      <c r="M63" s="62" t="s">
        <v>38</v>
      </c>
      <c r="N63" s="63" t="s">
        <v>39</v>
      </c>
      <c r="O63" s="56"/>
      <c r="P63" s="64"/>
    </row>
    <row r="64" spans="2:57">
      <c r="B64" s="29" t="s">
        <v>6</v>
      </c>
      <c r="C64" s="65">
        <f>L58</f>
        <v>4.1977245978815176</v>
      </c>
      <c r="D64" s="76">
        <v>5.0836339783535838</v>
      </c>
      <c r="E64" s="76">
        <v>7.0288855305993643</v>
      </c>
      <c r="F64" s="66">
        <v>4.8</v>
      </c>
      <c r="G64" s="65">
        <f>[33]May_2025!$K$11</f>
        <v>3.4238774621616579</v>
      </c>
      <c r="H64" s="76">
        <v>4.1157062539639462</v>
      </c>
      <c r="I64" s="76">
        <v>7.0008712432011135</v>
      </c>
      <c r="J64" s="66">
        <v>4.8</v>
      </c>
      <c r="K64" s="67">
        <f>K58</f>
        <v>0.57122807017543864</v>
      </c>
      <c r="L64" s="194">
        <v>0.9519298245614034</v>
      </c>
      <c r="M64" s="194">
        <v>0.7667419586559886</v>
      </c>
      <c r="N64" s="68">
        <v>1</v>
      </c>
      <c r="O64" s="56"/>
      <c r="P64" s="69"/>
    </row>
    <row r="65" spans="2:16">
      <c r="B65" s="33" t="s">
        <v>9</v>
      </c>
      <c r="C65" s="65"/>
      <c r="D65" s="76">
        <v>5.059760956175305</v>
      </c>
      <c r="E65" s="76">
        <v>6.0486693176911137</v>
      </c>
      <c r="F65" s="66">
        <v>4.8</v>
      </c>
      <c r="G65" s="65"/>
      <c r="H65" s="76">
        <v>3.9835153313870082</v>
      </c>
      <c r="I65" s="76">
        <v>6.4437259210736046</v>
      </c>
      <c r="J65" s="66">
        <v>4.8</v>
      </c>
      <c r="K65" s="67"/>
      <c r="L65" s="194">
        <v>0.55742690058479538</v>
      </c>
      <c r="M65" s="194">
        <v>0.74620369334473724</v>
      </c>
      <c r="N65" s="68">
        <v>1</v>
      </c>
      <c r="P65" s="69"/>
    </row>
    <row r="66" spans="2:16">
      <c r="B66" s="34" t="s">
        <v>40</v>
      </c>
      <c r="C66" s="65"/>
      <c r="D66" s="76"/>
      <c r="E66" s="76">
        <v>12.554572931825788</v>
      </c>
      <c r="F66" s="66">
        <v>5.5</v>
      </c>
      <c r="G66" s="65"/>
      <c r="H66" s="76"/>
      <c r="I66" s="76">
        <v>13.449891307585697</v>
      </c>
      <c r="J66" s="66">
        <v>5.5</v>
      </c>
      <c r="K66" s="67"/>
      <c r="L66" s="194"/>
      <c r="M66" s="194">
        <v>0.54554653679653675</v>
      </c>
      <c r="N66" s="68">
        <v>1</v>
      </c>
      <c r="P66" s="69"/>
    </row>
    <row r="67" spans="2:16">
      <c r="B67" s="22" t="s">
        <v>33</v>
      </c>
      <c r="C67" s="65"/>
      <c r="D67" s="76"/>
      <c r="E67" s="76">
        <v>2.2218158544390558</v>
      </c>
      <c r="F67" s="66">
        <v>3.3</v>
      </c>
      <c r="G67" s="65"/>
      <c r="H67" s="76"/>
      <c r="I67" s="76">
        <v>5.0359151649923692</v>
      </c>
      <c r="J67" s="66">
        <v>3.3</v>
      </c>
      <c r="K67" s="67"/>
      <c r="L67" s="194"/>
      <c r="M67" s="194">
        <v>0.87880701754385959</v>
      </c>
      <c r="N67" s="68">
        <v>1</v>
      </c>
      <c r="P67" s="69"/>
    </row>
    <row r="68" spans="2:16">
      <c r="B68" s="35" t="s">
        <v>29</v>
      </c>
      <c r="C68" s="65"/>
      <c r="D68" s="76"/>
      <c r="E68" s="76"/>
      <c r="F68" s="66">
        <v>3.3</v>
      </c>
      <c r="G68" s="282"/>
      <c r="H68" s="76"/>
      <c r="I68" s="76"/>
      <c r="J68" s="66">
        <v>3</v>
      </c>
      <c r="L68" s="194"/>
      <c r="M68" s="194"/>
      <c r="N68" s="68">
        <v>1</v>
      </c>
      <c r="P68" s="69"/>
    </row>
    <row r="69" spans="2:16">
      <c r="B69" s="36" t="s">
        <v>15</v>
      </c>
      <c r="C69" s="282"/>
      <c r="D69" s="76"/>
      <c r="E69" s="76">
        <v>7.8262258425171876</v>
      </c>
      <c r="F69" s="70">
        <f>[21]May_2022!$M$43</f>
        <v>3.4878406700073312</v>
      </c>
      <c r="G69" s="282"/>
      <c r="H69" s="76"/>
      <c r="I69" s="76">
        <v>9.4300678869947632</v>
      </c>
      <c r="J69" s="66">
        <v>5.5</v>
      </c>
      <c r="K69" s="67"/>
      <c r="L69" s="194"/>
      <c r="M69" s="194">
        <v>0.674970760233918</v>
      </c>
      <c r="N69" s="68">
        <v>1</v>
      </c>
      <c r="P69" s="69"/>
    </row>
    <row r="70" spans="2:16">
      <c r="B70" s="37" t="s">
        <v>16</v>
      </c>
      <c r="C70" s="65">
        <f>L60</f>
        <v>5.628335759340124</v>
      </c>
      <c r="D70" s="76">
        <v>3.8832609744331941</v>
      </c>
      <c r="E70" s="76">
        <v>2.4852159592783925</v>
      </c>
      <c r="F70" s="66">
        <v>3.3</v>
      </c>
      <c r="G70" s="282">
        <f>[33]May_2025!$K$63</f>
        <v>5.7317001232400973</v>
      </c>
      <c r="H70" s="76">
        <v>4.1755914731086534</v>
      </c>
      <c r="I70" s="76">
        <v>4.4843055604984379</v>
      </c>
      <c r="J70" s="66">
        <v>3.3</v>
      </c>
      <c r="K70" s="67">
        <f>K60</f>
        <v>0.68245614035087721</v>
      </c>
      <c r="L70" s="194">
        <v>0.69912280701754381</v>
      </c>
      <c r="M70" s="194">
        <v>0.79924705882352942</v>
      </c>
      <c r="N70" s="71">
        <v>1</v>
      </c>
      <c r="P70" s="69"/>
    </row>
    <row r="71" spans="2:16" ht="14.4" thickBot="1">
      <c r="B71" s="38" t="s">
        <v>127</v>
      </c>
      <c r="C71" s="65"/>
      <c r="D71" s="76"/>
      <c r="E71" s="76"/>
      <c r="F71" s="66">
        <v>7.5</v>
      </c>
      <c r="G71" s="282"/>
      <c r="H71" s="76"/>
      <c r="I71" s="76"/>
      <c r="J71" s="66">
        <v>7.5</v>
      </c>
      <c r="K71" s="67"/>
      <c r="L71" s="194"/>
      <c r="M71" s="194"/>
      <c r="N71" s="71">
        <v>1</v>
      </c>
      <c r="P71" s="69"/>
    </row>
    <row r="72" spans="2:16" ht="14.4" thickBot="1">
      <c r="B72" s="417" t="s">
        <v>161</v>
      </c>
      <c r="C72" s="65"/>
      <c r="D72" s="76"/>
      <c r="E72" s="76">
        <v>4.8792508624938291</v>
      </c>
      <c r="F72" s="66">
        <v>4.8</v>
      </c>
      <c r="G72" s="282"/>
      <c r="H72" s="76"/>
      <c r="I72" s="76">
        <v>6.2003723782925313</v>
      </c>
      <c r="J72" s="66">
        <v>4.8</v>
      </c>
      <c r="K72" s="67"/>
      <c r="L72" s="194"/>
      <c r="M72" s="194">
        <v>0.33859649122807017</v>
      </c>
      <c r="N72" s="71">
        <v>1</v>
      </c>
      <c r="O72" s="74"/>
      <c r="P72" s="75"/>
    </row>
    <row r="73" spans="2:16">
      <c r="D73" s="76">
        <v>4.8053295473161386</v>
      </c>
      <c r="E73" s="76">
        <v>6.7058397967595909</v>
      </c>
      <c r="F73" s="341">
        <v>5.5</v>
      </c>
      <c r="H73" s="76">
        <v>4.1005728609273202</v>
      </c>
      <c r="I73" s="76">
        <v>7.3247100569807166</v>
      </c>
      <c r="J73" s="341">
        <v>5.5</v>
      </c>
      <c r="K73" s="67"/>
      <c r="L73" s="194">
        <v>0.77190643274853799</v>
      </c>
      <c r="M73" s="194">
        <v>0.74065195843325338</v>
      </c>
      <c r="N73" s="386">
        <v>1</v>
      </c>
    </row>
    <row r="77" spans="2:16">
      <c r="F77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2:F62"/>
    <mergeCell ref="G62:J62"/>
    <mergeCell ref="K62:N62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1848" priority="105" operator="notBetween">
      <formula>#REF!</formula>
      <formula>#REF!</formula>
    </cfRule>
  </conditionalFormatting>
  <conditionalFormatting sqref="C55">
    <cfRule type="cellIs" dxfId="1847" priority="136" stopIfTrue="1" operator="lessThan">
      <formula>96</formula>
    </cfRule>
    <cfRule type="cellIs" dxfId="1846" priority="137" stopIfTrue="1" operator="greaterThan">
      <formula>100</formula>
    </cfRule>
  </conditionalFormatting>
  <conditionalFormatting sqref="C64:C65">
    <cfRule type="cellIs" dxfId="1845" priority="81" stopIfTrue="1" operator="lessThanOrEqual">
      <formula>0</formula>
    </cfRule>
  </conditionalFormatting>
  <conditionalFormatting sqref="C64:C68">
    <cfRule type="cellIs" dxfId="1844" priority="80" stopIfTrue="1" operator="greaterThan">
      <formula>$F64</formula>
    </cfRule>
  </conditionalFormatting>
  <conditionalFormatting sqref="C65">
    <cfRule type="cellIs" dxfId="1843" priority="140" stopIfTrue="1" operator="greaterThan">
      <formula>$F64</formula>
    </cfRule>
  </conditionalFormatting>
  <conditionalFormatting sqref="C66:C69">
    <cfRule type="cellIs" dxfId="1842" priority="89" stopIfTrue="1" operator="lessThanOrEqual">
      <formula>0</formula>
    </cfRule>
  </conditionalFormatting>
  <conditionalFormatting sqref="C69">
    <cfRule type="cellIs" dxfId="1841" priority="88" stopIfTrue="1" operator="greaterThan">
      <formula>$J69</formula>
    </cfRule>
  </conditionalFormatting>
  <conditionalFormatting sqref="C75:C79">
    <cfRule type="cellIs" dxfId="1840" priority="128" stopIfTrue="1" operator="lessThanOrEqual">
      <formula>0</formula>
    </cfRule>
  </conditionalFormatting>
  <conditionalFormatting sqref="C76:C79">
    <cfRule type="cellIs" dxfId="1839" priority="127" stopIfTrue="1" operator="greaterThan">
      <formula>$F$75</formula>
    </cfRule>
  </conditionalFormatting>
  <conditionalFormatting sqref="C81">
    <cfRule type="cellIs" dxfId="1838" priority="129" stopIfTrue="1" operator="greaterThan">
      <formula>$F$75</formula>
    </cfRule>
    <cfRule type="cellIs" dxfId="1837" priority="130" stopIfTrue="1" operator="lessThanOrEqual">
      <formula>0</formula>
    </cfRule>
  </conditionalFormatting>
  <conditionalFormatting sqref="C75:D75 D77:D83">
    <cfRule type="cellIs" dxfId="1836" priority="122" stopIfTrue="1" operator="greaterThan">
      <formula>4.5</formula>
    </cfRule>
  </conditionalFormatting>
  <conditionalFormatting sqref="D51:D52">
    <cfRule type="cellIs" dxfId="1835" priority="106" operator="notBetween">
      <formula>#REF!</formula>
      <formula>#REF!</formula>
    </cfRule>
  </conditionalFormatting>
  <conditionalFormatting sqref="D64:D71">
    <cfRule type="cellIs" dxfId="1834" priority="99" stopIfTrue="1" operator="lessThanOrEqual">
      <formula>0</formula>
    </cfRule>
  </conditionalFormatting>
  <conditionalFormatting sqref="D72">
    <cfRule type="cellIs" dxfId="1833" priority="98" stopIfTrue="1" operator="lessThanOrEqual">
      <formula>0</formula>
    </cfRule>
  </conditionalFormatting>
  <conditionalFormatting sqref="D75 D77:D83">
    <cfRule type="cellIs" dxfId="1832" priority="123" stopIfTrue="1" operator="lessThanOrEqual">
      <formula>0</formula>
    </cfRule>
  </conditionalFormatting>
  <conditionalFormatting sqref="D76">
    <cfRule type="cellIs" dxfId="1831" priority="115" stopIfTrue="1" operator="lessThanOrEqual">
      <formula>0</formula>
    </cfRule>
    <cfRule type="cellIs" dxfId="1830" priority="114" stopIfTrue="1" operator="greaterThan">
      <formula>$F$75</formula>
    </cfRule>
  </conditionalFormatting>
  <conditionalFormatting sqref="D64:E73">
    <cfRule type="cellIs" dxfId="1829" priority="77" stopIfTrue="1" operator="greaterThan">
      <formula>$F64</formula>
    </cfRule>
  </conditionalFormatting>
  <conditionalFormatting sqref="D73:E73">
    <cfRule type="cellIs" dxfId="1828" priority="78" stopIfTrue="1" operator="lessThanOrEqual">
      <formula>0</formula>
    </cfRule>
  </conditionalFormatting>
  <conditionalFormatting sqref="E10:E26">
    <cfRule type="cellIs" dxfId="1827" priority="6" operator="lessThan">
      <formula>48</formula>
    </cfRule>
  </conditionalFormatting>
  <conditionalFormatting sqref="E54 E55:F55">
    <cfRule type="cellIs" dxfId="1826" priority="119" stopIfTrue="1" operator="greaterThan">
      <formula>100</formula>
    </cfRule>
  </conditionalFormatting>
  <conditionalFormatting sqref="E55">
    <cfRule type="cellIs" dxfId="1825" priority="117" stopIfTrue="1" operator="greaterThan">
      <formula>100</formula>
    </cfRule>
    <cfRule type="cellIs" dxfId="1824" priority="116" stopIfTrue="1" operator="lessThan">
      <formula>96.8</formula>
    </cfRule>
  </conditionalFormatting>
  <conditionalFormatting sqref="E64:E72">
    <cfRule type="cellIs" dxfId="1823" priority="93" stopIfTrue="1" operator="lessThanOrEqual">
      <formula>0</formula>
    </cfRule>
  </conditionalFormatting>
  <conditionalFormatting sqref="E75:E83">
    <cfRule type="cellIs" dxfId="1822" priority="108" stopIfTrue="1" operator="greaterThan">
      <formula>4.5</formula>
    </cfRule>
    <cfRule type="cellIs" dxfId="1821" priority="109" stopIfTrue="1" operator="lessThanOrEqual">
      <formula>0</formula>
    </cfRule>
  </conditionalFormatting>
  <conditionalFormatting sqref="E55:F55 E54">
    <cfRule type="cellIs" dxfId="1820" priority="118" stopIfTrue="1" operator="lessThan">
      <formula>96.5</formula>
    </cfRule>
  </conditionalFormatting>
  <conditionalFormatting sqref="F10:F26">
    <cfRule type="cellIs" dxfId="1819" priority="7" operator="greaterThan">
      <formula>60</formula>
    </cfRule>
  </conditionalFormatting>
  <conditionalFormatting sqref="F55">
    <cfRule type="cellIs" dxfId="1818" priority="134" stopIfTrue="1" operator="lessThan">
      <formula>96.8</formula>
    </cfRule>
    <cfRule type="cellIs" dxfId="1817" priority="135" stopIfTrue="1" operator="greaterThan">
      <formula>100</formula>
    </cfRule>
  </conditionalFormatting>
  <conditionalFormatting sqref="F73">
    <cfRule type="cellIs" dxfId="1816" priority="94" stopIfTrue="1" operator="greaterThan">
      <formula>$F73</formula>
    </cfRule>
    <cfRule type="cellIs" dxfId="1815" priority="95" stopIfTrue="1" operator="lessThanOrEqual">
      <formula>0</formula>
    </cfRule>
  </conditionalFormatting>
  <conditionalFormatting sqref="G16">
    <cfRule type="expression" dxfId="1814" priority="37">
      <formula>IF(+(IF(G16&lt;S16,0,IF(G16&gt;T16,0,1)))=0,1)</formula>
    </cfRule>
  </conditionalFormatting>
  <conditionalFormatting sqref="G64:G65 C70:C72">
    <cfRule type="cellIs" dxfId="1813" priority="101" stopIfTrue="1" operator="lessThanOrEqual">
      <formula>0</formula>
    </cfRule>
    <cfRule type="cellIs" dxfId="1812" priority="100" stopIfTrue="1" operator="greaterThan">
      <formula>$F64</formula>
    </cfRule>
  </conditionalFormatting>
  <conditionalFormatting sqref="G64:G65">
    <cfRule type="cellIs" dxfId="1811" priority="83" stopIfTrue="1" operator="lessThanOrEqual">
      <formula>0</formula>
    </cfRule>
    <cfRule type="cellIs" dxfId="1810" priority="82" stopIfTrue="1" operator="greaterThan">
      <formula>$F64</formula>
    </cfRule>
  </conditionalFormatting>
  <conditionalFormatting sqref="G66">
    <cfRule type="cellIs" dxfId="1809" priority="139" stopIfTrue="1" operator="lessThanOrEqual">
      <formula>0</formula>
    </cfRule>
    <cfRule type="cellIs" dxfId="1808" priority="138" stopIfTrue="1" operator="greaterThan">
      <formula>$F65</formula>
    </cfRule>
  </conditionalFormatting>
  <conditionalFormatting sqref="G67">
    <cfRule type="cellIs" dxfId="1807" priority="97" stopIfTrue="1" operator="lessThanOrEqual">
      <formula>0</formula>
    </cfRule>
    <cfRule type="cellIs" dxfId="1806" priority="96" stopIfTrue="1" operator="greaterThan">
      <formula>$F67</formula>
    </cfRule>
  </conditionalFormatting>
  <conditionalFormatting sqref="G68:G72">
    <cfRule type="cellIs" dxfId="1805" priority="103" stopIfTrue="1" operator="lessThanOrEqual">
      <formula>0</formula>
    </cfRule>
    <cfRule type="cellIs" dxfId="1804" priority="102" stopIfTrue="1" operator="greaterThan">
      <formula>$J68</formula>
    </cfRule>
  </conditionalFormatting>
  <conditionalFormatting sqref="G77:G82 C80 C82">
    <cfRule type="cellIs" dxfId="1803" priority="131" stopIfTrue="1" operator="greaterThan">
      <formula>4.5</formula>
    </cfRule>
    <cfRule type="cellIs" dxfId="1802" priority="132" stopIfTrue="1" operator="lessThanOrEqual">
      <formula>0</formula>
    </cfRule>
  </conditionalFormatting>
  <conditionalFormatting sqref="G10:H15 G24:G26">
    <cfRule type="expression" dxfId="1801" priority="40">
      <formula>IF(+(IF(G10&lt;#REF!,0,IF(G10&gt;#REF!,0,1)))=0,1)</formula>
    </cfRule>
  </conditionalFormatting>
  <conditionalFormatting sqref="G17:H23">
    <cfRule type="expression" dxfId="1800" priority="1">
      <formula>IF(+(IF(G17&lt;#REF!,0,IF(G17&gt;#REF!,0,1)))=0,1)</formula>
    </cfRule>
  </conditionalFormatting>
  <conditionalFormatting sqref="G76:H76">
    <cfRule type="cellIs" dxfId="1799" priority="112" stopIfTrue="1" operator="greaterThan">
      <formula>$F$75</formula>
    </cfRule>
    <cfRule type="cellIs" dxfId="1798" priority="113" stopIfTrue="1" operator="lessThanOrEqual">
      <formula>0</formula>
    </cfRule>
  </conditionalFormatting>
  <conditionalFormatting sqref="H16">
    <cfRule type="expression" dxfId="1797" priority="39">
      <formula>IF(+(IF(H16&lt;#REF!,0,IF(H16&gt;#REF!,0,1)))=0,1)</formula>
    </cfRule>
  </conditionalFormatting>
  <conditionalFormatting sqref="H24:H26">
    <cfRule type="expression" dxfId="1796" priority="41">
      <formula>IF(+(IF(H24&lt;T24,0,IF(H24&gt;U24,0,1)))=0,1)</formula>
    </cfRule>
  </conditionalFormatting>
  <conditionalFormatting sqref="H40:H54 I42:I53">
    <cfRule type="cellIs" dxfId="1795" priority="110" stopIfTrue="1" operator="greaterThan">
      <formula>0</formula>
    </cfRule>
  </conditionalFormatting>
  <conditionalFormatting sqref="H58">
    <cfRule type="cellIs" dxfId="1794" priority="33" stopIfTrue="1" operator="greaterThan">
      <formula>$F$31</formula>
    </cfRule>
    <cfRule type="cellIs" dxfId="1793" priority="25" stopIfTrue="1" operator="greaterThan">
      <formula>$F$28</formula>
    </cfRule>
    <cfRule type="cellIs" dxfId="1792" priority="24" stopIfTrue="1" operator="lessThanOrEqual">
      <formula>0</formula>
    </cfRule>
    <cfRule type="cellIs" dxfId="1791" priority="36" stopIfTrue="1" operator="lessThanOrEqual">
      <formula>0</formula>
    </cfRule>
    <cfRule type="cellIs" dxfId="1790" priority="35" stopIfTrue="1" operator="greaterThan">
      <formula>$F$29</formula>
    </cfRule>
    <cfRule type="cellIs" dxfId="1789" priority="34" stopIfTrue="1" operator="lessThanOrEqual">
      <formula>0</formula>
    </cfRule>
  </conditionalFormatting>
  <conditionalFormatting sqref="H59:H60">
    <cfRule type="cellIs" dxfId="1788" priority="61" stopIfTrue="1" operator="greaterThan">
      <formula>$F$40</formula>
    </cfRule>
    <cfRule type="cellIs" dxfId="1787" priority="62" stopIfTrue="1" operator="lessThanOrEqual">
      <formula>0</formula>
    </cfRule>
    <cfRule type="cellIs" dxfId="1786" priority="50" stopIfTrue="1" operator="lessThanOrEqual">
      <formula>0</formula>
    </cfRule>
    <cfRule type="cellIs" dxfId="1785" priority="51" stopIfTrue="1" operator="greaterThan">
      <formula>$F$39</formula>
    </cfRule>
    <cfRule type="cellIs" dxfId="1784" priority="59" stopIfTrue="1" operator="greaterThan">
      <formula>$F$42</formula>
    </cfRule>
    <cfRule type="cellIs" dxfId="1783" priority="60" stopIfTrue="1" operator="lessThanOrEqual">
      <formula>0</formula>
    </cfRule>
  </conditionalFormatting>
  <conditionalFormatting sqref="H64:H71">
    <cfRule type="cellIs" dxfId="1782" priority="87" stopIfTrue="1" operator="lessThanOrEqual">
      <formula>0</formula>
    </cfRule>
    <cfRule type="cellIs" dxfId="1781" priority="86" stopIfTrue="1" operator="greaterThan">
      <formula>$J64</formula>
    </cfRule>
  </conditionalFormatting>
  <conditionalFormatting sqref="H72">
    <cfRule type="cellIs" dxfId="1780" priority="90" operator="greaterThan">
      <formula>5.3</formula>
    </cfRule>
  </conditionalFormatting>
  <conditionalFormatting sqref="H75 H77:H83">
    <cfRule type="cellIs" dxfId="1779" priority="124" stopIfTrue="1" operator="greaterThan">
      <formula>4.5</formula>
    </cfRule>
    <cfRule type="cellIs" dxfId="1778" priority="125" stopIfTrue="1" operator="lessThanOrEqual">
      <formula>0</formula>
    </cfRule>
  </conditionalFormatting>
  <conditionalFormatting sqref="H58:I58">
    <cfRule type="cellIs" dxfId="1777" priority="26" stopIfTrue="1" operator="lessThanOrEqual">
      <formula>0</formula>
    </cfRule>
    <cfRule type="cellIs" dxfId="1776" priority="23" stopIfTrue="1" operator="greaterThan">
      <formula>$F$30</formula>
    </cfRule>
  </conditionalFormatting>
  <conditionalFormatting sqref="H59:I60">
    <cfRule type="cellIs" dxfId="1775" priority="52" stopIfTrue="1" operator="lessThanOrEqual">
      <formula>0</formula>
    </cfRule>
    <cfRule type="cellIs" dxfId="1774" priority="49" stopIfTrue="1" operator="greaterThan">
      <formula>$F$41</formula>
    </cfRule>
  </conditionalFormatting>
  <conditionalFormatting sqref="H73:I73">
    <cfRule type="cellIs" dxfId="1773" priority="75" stopIfTrue="1" operator="greaterThan">
      <formula>$J73</formula>
    </cfRule>
    <cfRule type="cellIs" dxfId="1772" priority="76" stopIfTrue="1" operator="lessThanOrEqual">
      <formula>0</formula>
    </cfRule>
  </conditionalFormatting>
  <conditionalFormatting sqref="I24:I26">
    <cfRule type="cellIs" dxfId="1771" priority="48" operator="lessThan">
      <formula>97.9</formula>
    </cfRule>
  </conditionalFormatting>
  <conditionalFormatting sqref="I58">
    <cfRule type="cellIs" dxfId="1770" priority="27" stopIfTrue="1" operator="greaterThan">
      <formula>$F$28</formula>
    </cfRule>
    <cfRule type="cellIs" dxfId="1769" priority="32" stopIfTrue="1" operator="lessThanOrEqual">
      <formula>0</formula>
    </cfRule>
    <cfRule type="cellIs" dxfId="1768" priority="31" stopIfTrue="1" operator="greaterThan">
      <formula>$F$28</formula>
    </cfRule>
    <cfRule type="cellIs" dxfId="1767" priority="30" stopIfTrue="1" operator="lessThanOrEqual">
      <formula>0</formula>
    </cfRule>
    <cfRule type="cellIs" dxfId="1766" priority="29" stopIfTrue="1" operator="greaterThan">
      <formula>$F$30</formula>
    </cfRule>
    <cfRule type="cellIs" dxfId="1765" priority="28" stopIfTrue="1" operator="lessThanOrEqual">
      <formula>0</formula>
    </cfRule>
  </conditionalFormatting>
  <conditionalFormatting sqref="I59:I60">
    <cfRule type="cellIs" dxfId="1764" priority="55" stopIfTrue="1" operator="greaterThan">
      <formula>$F$41</formula>
    </cfRule>
    <cfRule type="cellIs" dxfId="1763" priority="58" stopIfTrue="1" operator="lessThanOrEqual">
      <formula>0</formula>
    </cfRule>
    <cfRule type="cellIs" dxfId="1762" priority="57" stopIfTrue="1" operator="greaterThan">
      <formula>$F$39</formula>
    </cfRule>
    <cfRule type="cellIs" dxfId="1761" priority="56" stopIfTrue="1" operator="lessThanOrEqual">
      <formula>0</formula>
    </cfRule>
    <cfRule type="cellIs" dxfId="1760" priority="54" stopIfTrue="1" operator="lessThanOrEqual">
      <formula>0</formula>
    </cfRule>
    <cfRule type="cellIs" dxfId="1759" priority="53" stopIfTrue="1" operator="greaterThan">
      <formula>$F$39</formula>
    </cfRule>
  </conditionalFormatting>
  <conditionalFormatting sqref="I64:I72">
    <cfRule type="cellIs" dxfId="1758" priority="92" stopIfTrue="1" operator="lessThanOrEqual">
      <formula>0</formula>
    </cfRule>
    <cfRule type="cellIs" dxfId="1757" priority="91" stopIfTrue="1" operator="greaterThan">
      <formula>$J64</formula>
    </cfRule>
  </conditionalFormatting>
  <conditionalFormatting sqref="I75:I83">
    <cfRule type="cellIs" dxfId="1756" priority="121" stopIfTrue="1" operator="lessThanOrEqual">
      <formula>0</formula>
    </cfRule>
    <cfRule type="cellIs" dxfId="1755" priority="120" stopIfTrue="1" operator="greaterThan">
      <formula>4.5</formula>
    </cfRule>
  </conditionalFormatting>
  <conditionalFormatting sqref="I10:J23">
    <cfRule type="cellIs" dxfId="1754" priority="5" operator="lessThan">
      <formula>97.9</formula>
    </cfRule>
  </conditionalFormatting>
  <conditionalFormatting sqref="J24:J26">
    <cfRule type="cellIs" dxfId="1753" priority="47" operator="greaterThan">
      <formula>6.4</formula>
    </cfRule>
    <cfRule type="cellIs" dxfId="1752" priority="44" operator="lessThan">
      <formula>4</formula>
    </cfRule>
    <cfRule type="cellIs" dxfId="1751" priority="43" operator="greaterThan">
      <formula>6</formula>
    </cfRule>
  </conditionalFormatting>
  <conditionalFormatting sqref="J29:J31">
    <cfRule type="cellIs" dxfId="1750" priority="67" operator="lessThan">
      <formula>98</formula>
    </cfRule>
    <cfRule type="cellIs" dxfId="1749" priority="66" stopIfTrue="1" operator="greaterThan">
      <formula>100</formula>
    </cfRule>
    <cfRule type="cellIs" dxfId="1748" priority="65" stopIfTrue="1" operator="lessThan">
      <formula>96.8</formula>
    </cfRule>
  </conditionalFormatting>
  <conditionalFormatting sqref="J29:J33">
    <cfRule type="cellIs" dxfId="1747" priority="64" operator="lessThan">
      <formula>97.4</formula>
    </cfRule>
  </conditionalFormatting>
  <conditionalFormatting sqref="J34">
    <cfRule type="cellIs" dxfId="1746" priority="68" operator="lessThan">
      <formula>98</formula>
    </cfRule>
  </conditionalFormatting>
  <conditionalFormatting sqref="J35:J37">
    <cfRule type="cellIs" dxfId="1745" priority="70" stopIfTrue="1" operator="greaterThan">
      <formula>100</formula>
    </cfRule>
    <cfRule type="cellIs" dxfId="1744" priority="69" stopIfTrue="1" operator="lessThan">
      <formula>96.8</formula>
    </cfRule>
  </conditionalFormatting>
  <conditionalFormatting sqref="J35:J38">
    <cfRule type="cellIs" dxfId="1743" priority="71" operator="lessThan">
      <formula>98</formula>
    </cfRule>
  </conditionalFormatting>
  <conditionalFormatting sqref="J73">
    <cfRule type="cellIs" dxfId="1742" priority="73" stopIfTrue="1" operator="lessThanOrEqual">
      <formula>0</formula>
    </cfRule>
    <cfRule type="cellIs" dxfId="1741" priority="72" stopIfTrue="1" operator="greaterThan">
      <formula>$F73</formula>
    </cfRule>
  </conditionalFormatting>
  <conditionalFormatting sqref="K10:K23">
    <cfRule type="cellIs" dxfId="1740" priority="4" operator="greaterThan">
      <formula>6.4</formula>
    </cfRule>
    <cfRule type="cellIs" dxfId="1739" priority="3" operator="lessThan">
      <formula>4</formula>
    </cfRule>
    <cfRule type="cellIs" dxfId="1738" priority="2" operator="greaterThan">
      <formula>6</formula>
    </cfRule>
  </conditionalFormatting>
  <conditionalFormatting sqref="K43:K52">
    <cfRule type="cellIs" dxfId="1737" priority="63" operator="notEqual">
      <formula>#REF!</formula>
    </cfRule>
  </conditionalFormatting>
  <conditionalFormatting sqref="K58:K60 K64:N67 L68:N68">
    <cfRule type="cellIs" dxfId="1736" priority="104" stopIfTrue="1" operator="lessThan">
      <formula>100%</formula>
    </cfRule>
  </conditionalFormatting>
  <conditionalFormatting sqref="K75:K80">
    <cfRule type="cellIs" dxfId="1735" priority="126" stopIfTrue="1" operator="lessThan">
      <formula>100%</formula>
    </cfRule>
  </conditionalFormatting>
  <conditionalFormatting sqref="K82:K83">
    <cfRule type="cellIs" dxfId="1734" priority="133" stopIfTrue="1" operator="lessThan">
      <formula>100%</formula>
    </cfRule>
  </conditionalFormatting>
  <conditionalFormatting sqref="K69:N73">
    <cfRule type="cellIs" dxfId="1733" priority="74" stopIfTrue="1" operator="lessThan">
      <formula>100%</formula>
    </cfRule>
  </conditionalFormatting>
  <conditionalFormatting sqref="L10:L16 L20:L23 K24:K26">
    <cfRule type="cellIs" dxfId="1732" priority="46" operator="greaterThan">
      <formula>65</formula>
    </cfRule>
    <cfRule type="cellIs" dxfId="1731" priority="45" operator="between">
      <formula>61</formula>
      <formula>65</formula>
    </cfRule>
  </conditionalFormatting>
  <conditionalFormatting sqref="L17:M19">
    <cfRule type="cellIs" dxfId="1730" priority="10" operator="between">
      <formula>61</formula>
      <formula>65</formula>
    </cfRule>
    <cfRule type="cellIs" dxfId="1729" priority="11" operator="greaterThan">
      <formula>65</formula>
    </cfRule>
  </conditionalFormatting>
  <conditionalFormatting sqref="L24:M26">
    <cfRule type="expression" dxfId="1728" priority="42">
      <formula>IF(+(IF(L24&lt;T24,0,IF(L24&gt;U24,0,1)))=0,1)</formula>
    </cfRule>
  </conditionalFormatting>
  <conditionalFormatting sqref="L44:N44">
    <cfRule type="cellIs" dxfId="1727" priority="38" operator="notEqual">
      <formula>#REF!</formula>
    </cfRule>
  </conditionalFormatting>
  <conditionalFormatting sqref="L75:N83">
    <cfRule type="cellIs" dxfId="1726" priority="111" stopIfTrue="1" operator="lessThan">
      <formula>100%</formula>
    </cfRule>
  </conditionalFormatting>
  <conditionalFormatting sqref="M10:M23">
    <cfRule type="expression" dxfId="1725" priority="9">
      <formula>IF(+(IF(M10&lt;U10,0,IF(M10&gt;V10,0,1)))=0,1)</formula>
    </cfRule>
  </conditionalFormatting>
  <conditionalFormatting sqref="M29 L30:M40">
    <cfRule type="cellIs" dxfId="1724" priority="79" operator="lessThan">
      <formula>98</formula>
    </cfRule>
  </conditionalFormatting>
  <conditionalFormatting sqref="N10:N26">
    <cfRule type="expression" dxfId="1723" priority="8">
      <formula>IF(+(IF(N10&lt;W10,0,IF(N10&gt;X10,0,1)))=0,1)</formula>
    </cfRule>
  </conditionalFormatting>
  <conditionalFormatting sqref="P6">
    <cfRule type="cellIs" dxfId="1722" priority="107" operator="greaterThanOrEqual">
      <formula>19</formula>
    </cfRule>
  </conditionalFormatting>
  <dataValidations count="1">
    <dataValidation type="list" allowBlank="1" showInputMessage="1" showErrorMessage="1" sqref="R8" xr:uid="{37A728BA-4098-45ED-ABB3-8AC6B467B1B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7" max="16383" man="1"/>
  </rowBreaks>
  <colBreaks count="1" manualBreakCount="1">
    <brk id="15" max="89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BA9B0-CEB7-4A60-92D2-87A5F6ECB0C1}">
  <sheetPr codeName="Sheet7">
    <pageSetUpPr fitToPage="1"/>
  </sheetPr>
  <dimension ref="A1:BE84"/>
  <sheetViews>
    <sheetView tabSelected="1" topLeftCell="A6" zoomScale="80" zoomScaleNormal="80" workbookViewId="0">
      <selection activeCell="E17" sqref="E17:E26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57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45789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27.75" customHeight="1">
      <c r="B10" s="33" t="s">
        <v>9</v>
      </c>
      <c r="C10" s="366" t="str">
        <f>[23]Brewhouse!$A206</f>
        <v>ST188</v>
      </c>
      <c r="D10" s="279">
        <f>[23]Brewhouse!$AD206</f>
        <v>55.7</v>
      </c>
      <c r="E10" s="279">
        <f>[23]Brewhouse!$AG206</f>
        <v>52.7</v>
      </c>
      <c r="F10" s="278">
        <f>[23]Brewhouse!$V206</f>
        <v>65</v>
      </c>
      <c r="G10" s="279">
        <f>[23]Brewhouse!$AE206</f>
        <v>11.9</v>
      </c>
      <c r="H10" s="396">
        <v>12</v>
      </c>
      <c r="I10" s="421">
        <f>[23]Brewhouse!$AS206</f>
        <v>104.01329640324821</v>
      </c>
      <c r="J10" s="421">
        <f>[23]Brewhouse!$AT206</f>
        <v>105.5510847205291</v>
      </c>
      <c r="K10" s="398">
        <f>[23]Brewhouse!$Q206</f>
        <v>5.2536231884057942</v>
      </c>
      <c r="L10" s="276">
        <f>[23]Brewhouse!$P206</f>
        <v>60</v>
      </c>
      <c r="M10" s="374">
        <f>[23]Brewhouse!$U206-[23]Brewhouse!$T206</f>
        <v>0.14097222222222222</v>
      </c>
      <c r="N10" s="370">
        <f>[23]Brewhouse!$AW206</f>
        <v>0.29027777777777775</v>
      </c>
      <c r="O10" s="429" t="str">
        <f>[23]Brewhouse!$AV206</f>
        <v>K. Benjamin</v>
      </c>
      <c r="P10" s="423" t="s">
        <v>198</v>
      </c>
      <c r="R10" s="277" t="str">
        <f>B10</f>
        <v>STAG</v>
      </c>
      <c r="S10" s="296">
        <f t="shared" ref="S10:S34" si="0">VLOOKUP($B10,$R$3:$X$9,2,FALSE)</f>
        <v>11.6</v>
      </c>
      <c r="T10" s="296">
        <f t="shared" ref="T10:T34" si="1">VLOOKUP($B10,$R$3:$X$9,3,FALSE)</f>
        <v>12</v>
      </c>
      <c r="U10" s="297">
        <f t="shared" ref="U10:U34" si="2">VLOOKUP($B10,$R$3:$X$9,4,FALSE)</f>
        <v>0</v>
      </c>
      <c r="V10" s="297">
        <f t="shared" ref="V10:V34" si="3">VLOOKUP($B10,$R$3:$X$9,5,FALSE)</f>
        <v>0.118055555555556</v>
      </c>
      <c r="W10" s="297">
        <f t="shared" ref="W10:W34" si="4">VLOOKUP($B10,$R$3:$X$9,6,FALSE)</f>
        <v>0.22569444444444445</v>
      </c>
      <c r="X10" s="297">
        <f t="shared" ref="X10:X34" si="5">VLOOKUP($B10,$R$3:$X$9,7,FALSE)</f>
        <v>0.2638888888888889</v>
      </c>
      <c r="Y10" s="297">
        <f t="shared" ref="Y10:Y34" si="6">VLOOKUP($B10,$R$3:$Z$9,8,FALSE)</f>
        <v>0</v>
      </c>
      <c r="Z10" s="296">
        <f t="shared" ref="Z10:Z34" si="7">VLOOKUP($B10,$R$3:$Z$9,9,FALSE)</f>
        <v>60</v>
      </c>
    </row>
    <row r="11" spans="2:29" ht="16.5" customHeight="1">
      <c r="B11" s="33" t="s">
        <v>9</v>
      </c>
      <c r="C11" s="366" t="str">
        <f>[23]Brewhouse!$A207</f>
        <v>ST189</v>
      </c>
      <c r="D11" s="279">
        <f>[23]Brewhouse!$AD207</f>
        <v>54.8</v>
      </c>
      <c r="E11" s="279">
        <f>[23]Brewhouse!$AG207</f>
        <v>51.7</v>
      </c>
      <c r="F11" s="278">
        <f>[23]Brewhouse!$V207</f>
        <v>69</v>
      </c>
      <c r="G11" s="279">
        <f>[23]Brewhouse!$AE207</f>
        <v>12.27</v>
      </c>
      <c r="H11" s="396">
        <v>12.1</v>
      </c>
      <c r="I11" s="421">
        <f>[23]Brewhouse!$AS207</f>
        <v>105.77821094217738</v>
      </c>
      <c r="J11" s="421">
        <f>[23]Brewhouse!$AT207</f>
        <v>107.34158292500622</v>
      </c>
      <c r="K11" s="398">
        <f>[23]Brewhouse!$Q207</f>
        <v>1.2820512820512873</v>
      </c>
      <c r="L11" s="276">
        <f>[23]Brewhouse!$P207</f>
        <v>62</v>
      </c>
      <c r="M11" s="374">
        <f>[23]Brewhouse!$U207-[23]Brewhouse!$T207</f>
        <v>0.13263888888888892</v>
      </c>
      <c r="N11" s="370">
        <f>[23]Brewhouse!$AW207</f>
        <v>0.33888888888888891</v>
      </c>
      <c r="O11" s="429" t="str">
        <f>[23]Brewhouse!$AV207</f>
        <v>K. Benjamin</v>
      </c>
      <c r="P11" s="423" t="s">
        <v>194</v>
      </c>
      <c r="R11" s="277" t="str">
        <f>B11</f>
        <v>STAG</v>
      </c>
      <c r="S11" s="296">
        <f t="shared" si="0"/>
        <v>11.6</v>
      </c>
      <c r="T11" s="296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296">
        <f t="shared" si="7"/>
        <v>60</v>
      </c>
    </row>
    <row r="12" spans="2:29" ht="16.5" customHeight="1">
      <c r="B12" s="33" t="s">
        <v>9</v>
      </c>
      <c r="C12" s="366" t="str">
        <f>[23]Brewhouse!$A208</f>
        <v>ST190</v>
      </c>
      <c r="D12" s="279">
        <f>[23]Brewhouse!$AD208</f>
        <v>54.8</v>
      </c>
      <c r="E12" s="279">
        <f>[23]Brewhouse!$AG208</f>
        <v>51.7</v>
      </c>
      <c r="F12" s="278">
        <f>[23]Brewhouse!$V208</f>
        <v>67</v>
      </c>
      <c r="G12" s="279">
        <f>[23]Brewhouse!$AE208</f>
        <v>11.92</v>
      </c>
      <c r="H12" s="396">
        <v>12</v>
      </c>
      <c r="I12" s="421">
        <f>[23]Brewhouse!$AS208</f>
        <v>102.42416344927454</v>
      </c>
      <c r="J12" s="421">
        <f>[23]Brewhouse!$AT208</f>
        <v>103.93697262884054</v>
      </c>
      <c r="K12" s="398">
        <f>[23]Brewhouse!$Q208</f>
        <v>1.462522851919569</v>
      </c>
      <c r="L12" s="276">
        <f>[23]Brewhouse!$P208</f>
        <v>66</v>
      </c>
      <c r="M12" s="374">
        <f>[23]Brewhouse!$U208-[23]Brewhouse!$T208</f>
        <v>0.12986111111111109</v>
      </c>
      <c r="N12" s="370">
        <f>[23]Brewhouse!$AW208</f>
        <v>0.31319444444444444</v>
      </c>
      <c r="O12" s="429" t="str">
        <f>[23]Brewhouse!$AV208</f>
        <v>K. Benjamin</v>
      </c>
      <c r="P12" s="423" t="s">
        <v>192</v>
      </c>
      <c r="R12" s="277" t="str">
        <f>B12</f>
        <v>STAG</v>
      </c>
      <c r="S12" s="296">
        <f t="shared" si="0"/>
        <v>11.6</v>
      </c>
      <c r="T12" s="296">
        <f t="shared" si="1"/>
        <v>12</v>
      </c>
      <c r="U12" s="297">
        <f t="shared" si="2"/>
        <v>0</v>
      </c>
      <c r="V12" s="297">
        <f t="shared" si="3"/>
        <v>0.118055555555556</v>
      </c>
      <c r="W12" s="297">
        <f t="shared" si="4"/>
        <v>0.22569444444444445</v>
      </c>
      <c r="X12" s="297">
        <f t="shared" si="5"/>
        <v>0.2638888888888889</v>
      </c>
      <c r="Y12" s="297">
        <f t="shared" si="6"/>
        <v>0</v>
      </c>
      <c r="Z12" s="296">
        <f t="shared" si="7"/>
        <v>60</v>
      </c>
    </row>
    <row r="13" spans="2:29" ht="16.5" customHeight="1">
      <c r="B13" s="33" t="s">
        <v>9</v>
      </c>
      <c r="C13" s="366" t="str">
        <f>[23]Brewhouse!$A209</f>
        <v>ST191</v>
      </c>
      <c r="D13" s="279">
        <f>[23]Brewhouse!$AD209</f>
        <v>54.8</v>
      </c>
      <c r="E13" s="279">
        <f>[23]Brewhouse!$AG209</f>
        <v>51.7</v>
      </c>
      <c r="F13" s="278">
        <f>[23]Brewhouse!$V209</f>
        <v>70</v>
      </c>
      <c r="G13" s="279">
        <f>[23]Brewhouse!$AE209</f>
        <v>11.84</v>
      </c>
      <c r="H13" s="396">
        <v>11.7</v>
      </c>
      <c r="I13" s="421">
        <f>[23]Brewhouse!$AS209</f>
        <v>101.51921100112835</v>
      </c>
      <c r="J13" s="421">
        <f>[23]Brewhouse!$AT209</f>
        <v>103.01865399517209</v>
      </c>
      <c r="K13" s="398">
        <f>[23]Brewhouse!$Q209</f>
        <v>1.8214936247723135</v>
      </c>
      <c r="L13" s="276">
        <f>[23]Brewhouse!$P209</f>
        <v>58</v>
      </c>
      <c r="M13" s="374">
        <f>[23]Brewhouse!$U209-[23]Brewhouse!$T209</f>
        <v>0.13680555555555562</v>
      </c>
      <c r="N13" s="370">
        <f>[23]Brewhouse!$AW209</f>
        <v>0.375</v>
      </c>
      <c r="O13" s="429" t="str">
        <f>[23]Brewhouse!$AV209</f>
        <v>D. Gomaz</v>
      </c>
      <c r="P13" s="423" t="s">
        <v>193</v>
      </c>
      <c r="R13" s="277" t="str">
        <f t="shared" ref="R13:R31" si="8">B13</f>
        <v>STAG</v>
      </c>
      <c r="S13" s="296">
        <f t="shared" si="0"/>
        <v>11.6</v>
      </c>
      <c r="T13" s="296">
        <f t="shared" si="1"/>
        <v>12</v>
      </c>
      <c r="U13" s="297">
        <f t="shared" si="2"/>
        <v>0</v>
      </c>
      <c r="V13" s="297">
        <f t="shared" si="3"/>
        <v>0.118055555555556</v>
      </c>
      <c r="W13" s="297">
        <f t="shared" si="4"/>
        <v>0.22569444444444445</v>
      </c>
      <c r="X13" s="297">
        <f t="shared" si="5"/>
        <v>0.2638888888888889</v>
      </c>
      <c r="Y13" s="297">
        <f t="shared" si="6"/>
        <v>0</v>
      </c>
      <c r="Z13" s="296">
        <f t="shared" si="7"/>
        <v>60</v>
      </c>
    </row>
    <row r="14" spans="2:29" ht="16.5" customHeight="1">
      <c r="B14" s="33" t="s">
        <v>9</v>
      </c>
      <c r="C14" s="366" t="str">
        <f>[23]Brewhouse!$A210</f>
        <v>ST192</v>
      </c>
      <c r="D14" s="367"/>
      <c r="E14" s="279">
        <f>[23]Brewhouse!$AG210</f>
        <v>52.3</v>
      </c>
      <c r="F14" s="278">
        <f>[23]Brewhouse!$V210</f>
        <v>65</v>
      </c>
      <c r="G14" s="279">
        <f>[23]Brewhouse!$AE210</f>
        <v>11.8</v>
      </c>
      <c r="H14" s="396">
        <v>12.1</v>
      </c>
      <c r="I14" s="421">
        <f>[23]Brewhouse!$AS210</f>
        <v>102.44000842463204</v>
      </c>
      <c r="J14" s="421">
        <f>[23]Brewhouse!$AT210</f>
        <v>103.95404272021457</v>
      </c>
      <c r="K14" s="398">
        <f>[23]Brewhouse!$Q210</f>
        <v>5.2727272727272698</v>
      </c>
      <c r="L14" s="276">
        <f>[23]Brewhouse!$P210</f>
        <v>56</v>
      </c>
      <c r="M14" s="374">
        <f>[23]Brewhouse!$U210-[23]Brewhouse!$T210</f>
        <v>0.13194444444444431</v>
      </c>
      <c r="N14" s="370">
        <f>[23]Brewhouse!$AW210</f>
        <v>0.40416666666666656</v>
      </c>
      <c r="O14" s="429" t="str">
        <f>[23]Brewhouse!$AV210</f>
        <v>D. Gomaz</v>
      </c>
      <c r="P14" s="423" t="s">
        <v>195</v>
      </c>
      <c r="R14" s="277" t="str">
        <f t="shared" si="8"/>
        <v>STAG</v>
      </c>
      <c r="S14" s="296">
        <f t="shared" si="0"/>
        <v>11.6</v>
      </c>
      <c r="T14" s="296">
        <f t="shared" si="1"/>
        <v>12</v>
      </c>
      <c r="U14" s="297">
        <f t="shared" si="2"/>
        <v>0</v>
      </c>
      <c r="V14" s="297">
        <f t="shared" si="3"/>
        <v>0.118055555555556</v>
      </c>
      <c r="W14" s="297">
        <f t="shared" si="4"/>
        <v>0.22569444444444445</v>
      </c>
      <c r="X14" s="297">
        <f t="shared" si="5"/>
        <v>0.2638888888888889</v>
      </c>
      <c r="Y14" s="297">
        <f t="shared" si="6"/>
        <v>0</v>
      </c>
      <c r="Z14" s="296">
        <f t="shared" si="7"/>
        <v>60</v>
      </c>
    </row>
    <row r="15" spans="2:29" ht="16.5" customHeight="1">
      <c r="B15" s="33"/>
      <c r="C15" s="366"/>
      <c r="D15" s="279"/>
      <c r="E15" s="279"/>
      <c r="F15" s="278"/>
      <c r="G15" s="279"/>
      <c r="H15" s="396"/>
      <c r="I15" s="421"/>
      <c r="J15" s="421"/>
      <c r="K15" s="398"/>
      <c r="L15" s="276"/>
      <c r="M15" s="374"/>
      <c r="N15" s="370"/>
      <c r="O15" s="429"/>
      <c r="P15" s="423"/>
      <c r="R15" s="277">
        <f t="shared" si="8"/>
        <v>0</v>
      </c>
      <c r="S15" s="296" t="e">
        <f t="shared" si="0"/>
        <v>#N/A</v>
      </c>
      <c r="T15" s="296" t="e">
        <f t="shared" si="1"/>
        <v>#N/A</v>
      </c>
      <c r="U15" s="297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6" t="e">
        <f t="shared" si="7"/>
        <v>#N/A</v>
      </c>
    </row>
    <row r="16" spans="2:29" ht="16.5" customHeight="1">
      <c r="B16" s="432">
        <v>45787</v>
      </c>
      <c r="C16" s="366"/>
      <c r="D16" s="279"/>
      <c r="E16" s="279"/>
      <c r="F16" s="278"/>
      <c r="G16" s="279"/>
      <c r="H16" s="396"/>
      <c r="I16" s="421"/>
      <c r="J16" s="421"/>
      <c r="K16" s="398"/>
      <c r="L16" s="276"/>
      <c r="M16" s="374"/>
      <c r="N16" s="370"/>
      <c r="O16" s="429"/>
      <c r="P16" s="423"/>
      <c r="R16" s="277">
        <f t="shared" si="8"/>
        <v>45787</v>
      </c>
      <c r="S16" s="296" t="e">
        <f t="shared" si="0"/>
        <v>#N/A</v>
      </c>
      <c r="T16" s="296" t="e">
        <f t="shared" si="1"/>
        <v>#N/A</v>
      </c>
      <c r="U16" s="297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6" t="e">
        <f t="shared" si="7"/>
        <v>#N/A</v>
      </c>
    </row>
    <row r="17" spans="2:26" ht="16.5" customHeight="1">
      <c r="B17" s="22" t="s">
        <v>33</v>
      </c>
      <c r="C17" s="366" t="str">
        <f>[25]Brewhouse!A35</f>
        <v>VM027</v>
      </c>
      <c r="D17" s="279">
        <f>[25]Brewhouse!AE35</f>
        <v>53</v>
      </c>
      <c r="E17" s="279">
        <f>[25]Brewhouse!AJ35</f>
        <v>48</v>
      </c>
      <c r="F17" s="278">
        <f>[25]Brewhouse!X35</f>
        <v>81</v>
      </c>
      <c r="G17" s="279">
        <f>[25]Brewhouse!AH35</f>
        <v>14.49</v>
      </c>
      <c r="H17" s="396"/>
      <c r="I17" s="368">
        <f>[25]Brewhouse!AV35</f>
        <v>98.928032542482782</v>
      </c>
      <c r="J17" s="368">
        <f>[25]Brewhouse!AW35</f>
        <v>99.292603887922908</v>
      </c>
      <c r="K17" s="281">
        <f>[25]Brewhouse!S35</f>
        <v>6.5283018867924412</v>
      </c>
      <c r="L17" s="276">
        <f>[25]Brewhouse!R35</f>
        <v>58</v>
      </c>
      <c r="M17" s="374">
        <f>[25]Brewhouse!$W35-[25]Brewhouse!$V35</f>
        <v>0.1333333333333333</v>
      </c>
      <c r="N17" s="370">
        <f>[25]Brewhouse!AB35</f>
        <v>0.29861111111111105</v>
      </c>
      <c r="O17" s="371" t="str">
        <f>[25]Brewhouse!$AZ35</f>
        <v>R.Sookram</v>
      </c>
      <c r="P17" s="423" t="s">
        <v>197</v>
      </c>
      <c r="R17" s="277" t="str">
        <f t="shared" si="8"/>
        <v>VITAMALT</v>
      </c>
      <c r="S17" s="296">
        <f t="shared" si="0"/>
        <v>14.4</v>
      </c>
      <c r="T17" s="296">
        <f t="shared" si="1"/>
        <v>14.6</v>
      </c>
      <c r="U17" s="297">
        <f t="shared" si="2"/>
        <v>0</v>
      </c>
      <c r="V17" s="297">
        <f t="shared" si="3"/>
        <v>0.13905092592592591</v>
      </c>
      <c r="W17" s="297">
        <f t="shared" si="4"/>
        <v>0.26041666666666669</v>
      </c>
      <c r="X17" s="297">
        <f t="shared" si="5"/>
        <v>0.2951388888888889</v>
      </c>
      <c r="Y17" s="297">
        <f t="shared" si="6"/>
        <v>0</v>
      </c>
      <c r="Z17" s="296">
        <f t="shared" si="7"/>
        <v>75</v>
      </c>
    </row>
    <row r="18" spans="2:26" ht="16.5" customHeight="1">
      <c r="B18" s="22" t="s">
        <v>33</v>
      </c>
      <c r="C18" s="366" t="str">
        <f>[25]Brewhouse!A36</f>
        <v>VM028</v>
      </c>
      <c r="D18" s="279">
        <f>[25]Brewhouse!AE36</f>
        <v>53.1</v>
      </c>
      <c r="E18" s="279">
        <f>[25]Brewhouse!AJ36</f>
        <v>50.1</v>
      </c>
      <c r="F18" s="278">
        <f>[25]Brewhouse!X36</f>
        <v>79</v>
      </c>
      <c r="G18" s="279">
        <f>[25]Brewhouse!AH36</f>
        <v>14.14</v>
      </c>
      <c r="H18" s="396"/>
      <c r="I18" s="368">
        <f>[25]Brewhouse!AV36</f>
        <v>100.22513199069148</v>
      </c>
      <c r="J18" s="368">
        <f>[25]Brewhouse!AW36</f>
        <v>100.59448343009333</v>
      </c>
      <c r="K18" s="281">
        <f>[25]Brewhouse!S36</f>
        <v>4.8210922787193882</v>
      </c>
      <c r="L18" s="276">
        <f>[25]Brewhouse!R36</f>
        <v>60</v>
      </c>
      <c r="M18" s="374">
        <f>[25]Brewhouse!$W36-[25]Brewhouse!$V36</f>
        <v>0.13541666666666663</v>
      </c>
      <c r="N18" s="370">
        <f>[25]Brewhouse!AB36</f>
        <v>0.28055555555555556</v>
      </c>
      <c r="O18" s="371" t="str">
        <f>[25]Brewhouse!$AZ36</f>
        <v>R.Sookram</v>
      </c>
      <c r="P18" s="423" t="s">
        <v>196</v>
      </c>
      <c r="R18" s="277" t="str">
        <f t="shared" si="8"/>
        <v>VITAMALT</v>
      </c>
      <c r="S18" s="296">
        <f t="shared" si="0"/>
        <v>14.4</v>
      </c>
      <c r="T18" s="296">
        <f t="shared" si="1"/>
        <v>14.6</v>
      </c>
      <c r="U18" s="297">
        <f t="shared" si="2"/>
        <v>0</v>
      </c>
      <c r="V18" s="297">
        <f t="shared" si="3"/>
        <v>0.13905092592592591</v>
      </c>
      <c r="W18" s="297">
        <f t="shared" si="4"/>
        <v>0.26041666666666669</v>
      </c>
      <c r="X18" s="297">
        <f t="shared" si="5"/>
        <v>0.2951388888888889</v>
      </c>
      <c r="Y18" s="297">
        <f t="shared" si="6"/>
        <v>0</v>
      </c>
      <c r="Z18" s="296">
        <f t="shared" si="7"/>
        <v>75</v>
      </c>
    </row>
    <row r="19" spans="2:26" ht="16.5" customHeight="1">
      <c r="B19" s="22" t="s">
        <v>33</v>
      </c>
      <c r="C19" s="366" t="str">
        <f>[25]Brewhouse!A37</f>
        <v>VM029</v>
      </c>
      <c r="D19" s="279">
        <f>[25]Brewhouse!AE37</f>
        <v>53</v>
      </c>
      <c r="E19" s="279">
        <f>[25]Brewhouse!AJ37</f>
        <v>49.1</v>
      </c>
      <c r="F19" s="278">
        <f>[25]Brewhouse!X37</f>
        <v>87</v>
      </c>
      <c r="G19" s="279">
        <f>[25]Brewhouse!AH37</f>
        <v>14.31</v>
      </c>
      <c r="H19" s="396"/>
      <c r="I19" s="368">
        <f>[25]Brewhouse!AV37</f>
        <v>99.888911394204086</v>
      </c>
      <c r="J19" s="368">
        <f>[25]Brewhouse!AW37</f>
        <v>100.25389178763051</v>
      </c>
      <c r="K19" s="281">
        <f>[25]Brewhouse!S37</f>
        <v>4.2641509433962357</v>
      </c>
      <c r="L19" s="276">
        <f>[25]Brewhouse!R37</f>
        <v>61</v>
      </c>
      <c r="M19" s="374">
        <f>[25]Brewhouse!$W37-[25]Brewhouse!$V37</f>
        <v>0.13680555555555562</v>
      </c>
      <c r="N19" s="370">
        <f>[25]Brewhouse!AB37</f>
        <v>0.28541666666666676</v>
      </c>
      <c r="O19" s="371" t="str">
        <f>[25]Brewhouse!$AZ37</f>
        <v>D. Gomez</v>
      </c>
      <c r="P19" s="423"/>
      <c r="R19" s="277" t="str">
        <f t="shared" si="8"/>
        <v>VITAMALT</v>
      </c>
      <c r="S19" s="296">
        <f t="shared" si="0"/>
        <v>14.4</v>
      </c>
      <c r="T19" s="296">
        <f t="shared" si="1"/>
        <v>14.6</v>
      </c>
      <c r="U19" s="297">
        <f t="shared" si="2"/>
        <v>0</v>
      </c>
      <c r="V19" s="297">
        <f t="shared" si="3"/>
        <v>0.13905092592592591</v>
      </c>
      <c r="W19" s="297">
        <f t="shared" si="4"/>
        <v>0.26041666666666669</v>
      </c>
      <c r="X19" s="297">
        <f t="shared" si="5"/>
        <v>0.2951388888888889</v>
      </c>
      <c r="Y19" s="297">
        <f t="shared" si="6"/>
        <v>0</v>
      </c>
      <c r="Z19" s="296">
        <f t="shared" si="7"/>
        <v>75</v>
      </c>
    </row>
    <row r="20" spans="2:26" ht="16.5" customHeight="1">
      <c r="B20" s="22" t="s">
        <v>33</v>
      </c>
      <c r="C20" s="366" t="str">
        <f>[25]Brewhouse!A38</f>
        <v>VM030</v>
      </c>
      <c r="D20" s="279">
        <f>[25]Brewhouse!AE38</f>
        <v>53</v>
      </c>
      <c r="E20" s="279">
        <f>[25]Brewhouse!AJ38</f>
        <v>49.6</v>
      </c>
      <c r="F20" s="278">
        <f>[25]Brewhouse!X38</f>
        <v>78</v>
      </c>
      <c r="G20" s="279">
        <f>[25]Brewhouse!AH38</f>
        <v>14.22</v>
      </c>
      <c r="H20" s="396"/>
      <c r="I20" s="368">
        <f>[25]Brewhouse!AV38</f>
        <v>100.17103246144012</v>
      </c>
      <c r="J20" s="368">
        <f>[25]Brewhouse!AW38</f>
        <v>100.53704368658427</v>
      </c>
      <c r="K20" s="281">
        <f>[25]Brewhouse!S38</f>
        <v>4.2641509433962357</v>
      </c>
      <c r="L20" s="276">
        <f>[25]Brewhouse!R38</f>
        <v>61</v>
      </c>
      <c r="M20" s="374">
        <f>[25]Brewhouse!$W38-[25]Brewhouse!$V38</f>
        <v>0.13263888888888897</v>
      </c>
      <c r="N20" s="370">
        <f>[25]Brewhouse!AB38</f>
        <v>0.27708333333333335</v>
      </c>
      <c r="O20" s="371" t="str">
        <f>[25]Brewhouse!$AZ38</f>
        <v>D. Gomez</v>
      </c>
      <c r="P20" s="423"/>
      <c r="R20" s="277" t="str">
        <f t="shared" si="8"/>
        <v>VITAMALT</v>
      </c>
      <c r="S20" s="296">
        <f t="shared" si="0"/>
        <v>14.4</v>
      </c>
      <c r="T20" s="296">
        <f t="shared" si="1"/>
        <v>14.6</v>
      </c>
      <c r="U20" s="297">
        <f t="shared" si="2"/>
        <v>0</v>
      </c>
      <c r="V20" s="297">
        <f t="shared" si="3"/>
        <v>0.13905092592592591</v>
      </c>
      <c r="W20" s="297">
        <f t="shared" si="4"/>
        <v>0.26041666666666669</v>
      </c>
      <c r="X20" s="297">
        <f t="shared" si="5"/>
        <v>0.2951388888888889</v>
      </c>
      <c r="Y20" s="297">
        <f t="shared" si="6"/>
        <v>0</v>
      </c>
      <c r="Z20" s="296">
        <f t="shared" si="7"/>
        <v>75</v>
      </c>
    </row>
    <row r="21" spans="2:26" ht="16.5" customHeight="1">
      <c r="B21" s="22" t="s">
        <v>33</v>
      </c>
      <c r="C21" s="366" t="str">
        <f>[25]Brewhouse!A39</f>
        <v>VM031</v>
      </c>
      <c r="D21" s="279">
        <f>[25]Brewhouse!AE39</f>
        <v>53</v>
      </c>
      <c r="E21" s="279">
        <f>[25]Brewhouse!AJ39</f>
        <v>50</v>
      </c>
      <c r="F21" s="278">
        <f>[25]Brewhouse!X39</f>
        <v>80</v>
      </c>
      <c r="G21" s="279">
        <f>[25]Brewhouse!AH39</f>
        <v>14</v>
      </c>
      <c r="H21" s="396"/>
      <c r="I21" s="368">
        <f>[25]Brewhouse!AV39</f>
        <v>99.285649098477293</v>
      </c>
      <c r="J21" s="368">
        <f>[25]Brewhouse!AW39</f>
        <v>99.65153833881152</v>
      </c>
      <c r="K21" s="281">
        <f>[25]Brewhouse!S39</f>
        <v>4.0754716981132013</v>
      </c>
      <c r="L21" s="276">
        <f>[25]Brewhouse!R39</f>
        <v>59</v>
      </c>
      <c r="M21" s="374">
        <f>[25]Brewhouse!$W39-[25]Brewhouse!$V39</f>
        <v>0.1333333333333333</v>
      </c>
      <c r="N21" s="370">
        <f>[25]Brewhouse!AB39</f>
        <v>0.27916666666666667</v>
      </c>
      <c r="O21" s="371" t="str">
        <f>[25]Brewhouse!$AZ39</f>
        <v>D. Gomez</v>
      </c>
      <c r="P21" s="423"/>
      <c r="R21" s="277" t="str">
        <f t="shared" si="8"/>
        <v>VITAMALT</v>
      </c>
      <c r="S21" s="296">
        <f t="shared" si="0"/>
        <v>14.4</v>
      </c>
      <c r="T21" s="296">
        <f t="shared" si="1"/>
        <v>14.6</v>
      </c>
      <c r="U21" s="297">
        <f t="shared" si="2"/>
        <v>0</v>
      </c>
      <c r="V21" s="297">
        <f t="shared" si="3"/>
        <v>0.13905092592592591</v>
      </c>
      <c r="W21" s="297">
        <f t="shared" si="4"/>
        <v>0.26041666666666669</v>
      </c>
      <c r="X21" s="297">
        <f t="shared" si="5"/>
        <v>0.2951388888888889</v>
      </c>
      <c r="Y21" s="297">
        <f t="shared" si="6"/>
        <v>0</v>
      </c>
      <c r="Z21" s="296">
        <f t="shared" si="7"/>
        <v>75</v>
      </c>
    </row>
    <row r="22" spans="2:26" ht="16.5" customHeight="1">
      <c r="B22" s="22" t="s">
        <v>33</v>
      </c>
      <c r="C22" s="366" t="str">
        <f>[25]Brewhouse!A40</f>
        <v>VM032</v>
      </c>
      <c r="D22" s="279">
        <f>[25]Brewhouse!AE40</f>
        <v>52.5</v>
      </c>
      <c r="E22" s="279">
        <f>[25]Brewhouse!AJ40</f>
        <v>49.2</v>
      </c>
      <c r="F22" s="278">
        <f>[25]Brewhouse!X40</f>
        <v>82</v>
      </c>
      <c r="G22" s="279">
        <f>[25]Brewhouse!AH40</f>
        <v>14.3</v>
      </c>
      <c r="H22" s="396"/>
      <c r="I22" s="368">
        <f>[25]Brewhouse!AV40</f>
        <v>99.879884127611049</v>
      </c>
      <c r="J22" s="368">
        <f>[25]Brewhouse!AW40</f>
        <v>100.24796325344599</v>
      </c>
      <c r="K22" s="281">
        <f>[25]Brewhouse!S40</f>
        <v>4.4952380952380935</v>
      </c>
      <c r="L22" s="276">
        <f>[25]Brewhouse!R40</f>
        <v>59</v>
      </c>
      <c r="M22" s="374">
        <f>[25]Brewhouse!$W40-[25]Brewhouse!$V40</f>
        <v>0.15625</v>
      </c>
      <c r="N22" s="370">
        <f>[25]Brewhouse!AB40</f>
        <v>0.30208333333333326</v>
      </c>
      <c r="O22" s="371" t="str">
        <f>[25]Brewhouse!$AZ40</f>
        <v>D. Gomez</v>
      </c>
      <c r="P22" s="423" t="s">
        <v>181</v>
      </c>
      <c r="R22" s="277" t="str">
        <f t="shared" si="8"/>
        <v>VITAMALT</v>
      </c>
      <c r="S22" s="296">
        <f t="shared" si="0"/>
        <v>14.4</v>
      </c>
      <c r="T22" s="296">
        <f t="shared" si="1"/>
        <v>14.6</v>
      </c>
      <c r="U22" s="297">
        <f t="shared" si="2"/>
        <v>0</v>
      </c>
      <c r="V22" s="297">
        <f t="shared" si="3"/>
        <v>0.13905092592592591</v>
      </c>
      <c r="W22" s="297">
        <f t="shared" si="4"/>
        <v>0.26041666666666669</v>
      </c>
      <c r="X22" s="297">
        <f t="shared" si="5"/>
        <v>0.2951388888888889</v>
      </c>
      <c r="Y22" s="297">
        <f t="shared" si="6"/>
        <v>0</v>
      </c>
      <c r="Z22" s="296">
        <f t="shared" si="7"/>
        <v>75</v>
      </c>
    </row>
    <row r="23" spans="2:26" ht="16.5" customHeight="1">
      <c r="B23" s="22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74"/>
      <c r="N23" s="370"/>
      <c r="O23" s="371"/>
      <c r="P23" s="423"/>
      <c r="R23" s="277">
        <f t="shared" si="8"/>
        <v>0</v>
      </c>
      <c r="S23" s="296" t="e">
        <f t="shared" si="0"/>
        <v>#N/A</v>
      </c>
      <c r="T23" s="296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6" t="e">
        <f t="shared" si="7"/>
        <v>#N/A</v>
      </c>
    </row>
    <row r="24" spans="2:26" ht="16.5" customHeight="1">
      <c r="B24" s="22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74"/>
      <c r="N24" s="370"/>
      <c r="O24" s="371"/>
      <c r="P24" s="423"/>
      <c r="R24" s="277">
        <f t="shared" si="8"/>
        <v>0</v>
      </c>
      <c r="S24" s="296" t="e">
        <f t="shared" si="0"/>
        <v>#N/A</v>
      </c>
      <c r="T24" s="296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6" t="e">
        <f t="shared" si="7"/>
        <v>#N/A</v>
      </c>
    </row>
    <row r="25" spans="2:26" ht="16.5" customHeight="1">
      <c r="B25" s="29" t="s">
        <v>6</v>
      </c>
      <c r="C25" s="366" t="str">
        <f>[22]Brewhouse!$A432</f>
        <v>CA327</v>
      </c>
      <c r="D25" s="279">
        <f>[22]Brewhouse!$AF432</f>
        <v>51.4</v>
      </c>
      <c r="E25" s="279">
        <f>[22]Brewhouse!$AI432</f>
        <v>47.2</v>
      </c>
      <c r="F25" s="278">
        <f>[22]Brewhouse!$V432</f>
        <v>54</v>
      </c>
      <c r="G25" s="279">
        <f>[22]Brewhouse!$AG432</f>
        <v>12.28</v>
      </c>
      <c r="H25" s="396">
        <v>11.8</v>
      </c>
      <c r="I25" s="368">
        <f>[22]Brewhouse!$AU432</f>
        <v>94.420432024783196</v>
      </c>
      <c r="J25" s="368">
        <f>[22]Brewhouse!$AV432</f>
        <v>96.037846268551903</v>
      </c>
      <c r="K25" s="281">
        <f>[22]Brewhouse!$Q432</f>
        <v>8.0217785843920169</v>
      </c>
      <c r="L25" s="276">
        <f>[22]Brewhouse!$P432</f>
        <v>59</v>
      </c>
      <c r="M25" s="397">
        <f>[22]Brewhouse!$U432-[22]Brewhouse!$T432</f>
        <v>0.10902777777777772</v>
      </c>
      <c r="N25" s="370">
        <f>[22]Brewhouse!$Z432</f>
        <v>0.25555555555555554</v>
      </c>
      <c r="O25" s="371" t="str">
        <f>[22]Brewhouse!$AX432</f>
        <v>R. Sookram</v>
      </c>
      <c r="P25" s="423"/>
      <c r="R25" s="277" t="str">
        <f t="shared" si="8"/>
        <v>CARIB</v>
      </c>
      <c r="S25" s="296">
        <f t="shared" si="0"/>
        <v>11.6</v>
      </c>
      <c r="T25" s="296">
        <f t="shared" si="1"/>
        <v>12</v>
      </c>
      <c r="U25" s="297">
        <f t="shared" si="2"/>
        <v>0</v>
      </c>
      <c r="V25" s="297">
        <f t="shared" si="3"/>
        <v>0.118055555555556</v>
      </c>
      <c r="W25" s="297">
        <f t="shared" si="4"/>
        <v>0.22569444444444445</v>
      </c>
      <c r="X25" s="297">
        <f t="shared" si="5"/>
        <v>0.2638888888888889</v>
      </c>
      <c r="Y25" s="297">
        <f t="shared" si="6"/>
        <v>0</v>
      </c>
      <c r="Z25" s="296">
        <f t="shared" si="7"/>
        <v>60</v>
      </c>
    </row>
    <row r="26" spans="2:26" ht="16.5" customHeight="1">
      <c r="B26" s="29" t="s">
        <v>6</v>
      </c>
      <c r="C26" s="366" t="str">
        <f>[22]Brewhouse!$A433</f>
        <v>CA328</v>
      </c>
      <c r="D26" s="279">
        <f>[22]Brewhouse!$AF433</f>
        <v>51.7</v>
      </c>
      <c r="E26" s="279">
        <f>[22]Brewhouse!$AI433</f>
        <v>48.4</v>
      </c>
      <c r="F26" s="278">
        <f>[22]Brewhouse!$V433</f>
        <v>55</v>
      </c>
      <c r="G26" s="279">
        <f>[22]Brewhouse!$AG433</f>
        <v>12.43</v>
      </c>
      <c r="H26" s="396">
        <v>11.8</v>
      </c>
      <c r="I26" s="368">
        <f>[22]Brewhouse!$AU433</f>
        <v>98.691400341941531</v>
      </c>
      <c r="J26" s="368">
        <f>[22]Brewhouse!$AV433</f>
        <v>100.45364046611355</v>
      </c>
      <c r="K26" s="281">
        <f>[22]Brewhouse!$Q433</f>
        <v>8.0363636363636406</v>
      </c>
      <c r="L26" s="276">
        <f>[22]Brewhouse!$P433</f>
        <v>58</v>
      </c>
      <c r="M26" s="397">
        <f>[22]Brewhouse!$U433-[22]Brewhouse!$T433</f>
        <v>0.10347222222222219</v>
      </c>
      <c r="N26" s="370">
        <f>[22]Brewhouse!$Z433</f>
        <v>0.30972222222222218</v>
      </c>
      <c r="O26" s="371" t="str">
        <f>[22]Brewhouse!$AX433</f>
        <v>R. Sookram</v>
      </c>
      <c r="P26" s="423"/>
      <c r="R26" s="277" t="str">
        <f t="shared" si="8"/>
        <v>CARIB</v>
      </c>
      <c r="S26" s="296">
        <f t="shared" si="0"/>
        <v>11.6</v>
      </c>
      <c r="T26" s="296">
        <f t="shared" si="1"/>
        <v>12</v>
      </c>
      <c r="U26" s="297">
        <f t="shared" si="2"/>
        <v>0</v>
      </c>
      <c r="V26" s="297">
        <f t="shared" si="3"/>
        <v>0.118055555555556</v>
      </c>
      <c r="W26" s="297">
        <f t="shared" si="4"/>
        <v>0.22569444444444445</v>
      </c>
      <c r="X26" s="297">
        <f t="shared" si="5"/>
        <v>0.2638888888888889</v>
      </c>
      <c r="Y26" s="297">
        <f t="shared" si="6"/>
        <v>0</v>
      </c>
      <c r="Z26" s="296">
        <f t="shared" si="7"/>
        <v>60</v>
      </c>
    </row>
    <row r="27" spans="2:26" ht="16.5" customHeight="1">
      <c r="B27" s="22"/>
      <c r="C27" s="366"/>
      <c r="D27" s="279"/>
      <c r="E27" s="279"/>
      <c r="F27" s="278"/>
      <c r="G27" s="279"/>
      <c r="H27" s="396"/>
      <c r="I27" s="368"/>
      <c r="J27" s="368"/>
      <c r="K27" s="281"/>
      <c r="L27" s="276"/>
      <c r="M27" s="374"/>
      <c r="N27" s="370"/>
      <c r="O27" s="371"/>
      <c r="P27" s="423"/>
      <c r="R27" s="277">
        <f t="shared" si="8"/>
        <v>0</v>
      </c>
      <c r="S27" s="296" t="e">
        <f t="shared" si="0"/>
        <v>#N/A</v>
      </c>
      <c r="T27" s="296" t="e">
        <f t="shared" si="1"/>
        <v>#N/A</v>
      </c>
      <c r="U27" s="297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6" t="e">
        <f t="shared" si="7"/>
        <v>#N/A</v>
      </c>
    </row>
    <row r="28" spans="2:26" ht="15.75" hidden="1" customHeight="1">
      <c r="B28" s="22"/>
      <c r="C28" s="366"/>
      <c r="D28" s="279"/>
      <c r="E28" s="279"/>
      <c r="F28" s="278"/>
      <c r="G28" s="279"/>
      <c r="H28" s="396"/>
      <c r="I28" s="368"/>
      <c r="J28" s="368"/>
      <c r="K28" s="281"/>
      <c r="L28" s="276"/>
      <c r="M28" s="374"/>
      <c r="N28" s="370"/>
      <c r="O28" s="371"/>
      <c r="P28" s="423"/>
      <c r="R28" s="277">
        <f t="shared" si="8"/>
        <v>0</v>
      </c>
      <c r="S28" s="296" t="e">
        <f t="shared" si="0"/>
        <v>#N/A</v>
      </c>
      <c r="T28" s="296" t="e">
        <f t="shared" si="1"/>
        <v>#N/A</v>
      </c>
      <c r="U28" s="297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6" t="e">
        <f t="shared" si="7"/>
        <v>#N/A</v>
      </c>
    </row>
    <row r="29" spans="2:26" ht="15.75" hidden="1" customHeight="1">
      <c r="B29" s="22"/>
      <c r="C29" s="366"/>
      <c r="D29" s="279"/>
      <c r="E29" s="279"/>
      <c r="F29" s="278"/>
      <c r="G29" s="279"/>
      <c r="H29" s="396"/>
      <c r="I29" s="368"/>
      <c r="J29" s="368"/>
      <c r="K29" s="281"/>
      <c r="L29" s="276"/>
      <c r="M29" s="374"/>
      <c r="N29" s="370"/>
      <c r="O29" s="371"/>
      <c r="P29" s="423"/>
      <c r="R29" s="277">
        <f t="shared" si="8"/>
        <v>0</v>
      </c>
      <c r="S29" s="296" t="e">
        <f t="shared" si="0"/>
        <v>#N/A</v>
      </c>
      <c r="T29" s="296" t="e">
        <f t="shared" si="1"/>
        <v>#N/A</v>
      </c>
      <c r="U29" s="297" t="e">
        <f t="shared" si="2"/>
        <v>#N/A</v>
      </c>
      <c r="V29" s="297" t="e">
        <f t="shared" si="3"/>
        <v>#N/A</v>
      </c>
      <c r="W29" s="297" t="e">
        <f t="shared" si="4"/>
        <v>#N/A</v>
      </c>
      <c r="X29" s="297" t="e">
        <f t="shared" si="5"/>
        <v>#N/A</v>
      </c>
      <c r="Y29" s="297" t="e">
        <f t="shared" si="6"/>
        <v>#N/A</v>
      </c>
      <c r="Z29" s="296" t="e">
        <f t="shared" si="7"/>
        <v>#N/A</v>
      </c>
    </row>
    <row r="30" spans="2:26" ht="15.75" hidden="1" customHeight="1">
      <c r="B30" s="22"/>
      <c r="C30" s="366"/>
      <c r="D30" s="279"/>
      <c r="E30" s="279"/>
      <c r="F30" s="278"/>
      <c r="G30" s="279"/>
      <c r="H30" s="396"/>
      <c r="I30" s="368"/>
      <c r="J30" s="368"/>
      <c r="K30" s="281"/>
      <c r="L30" s="276"/>
      <c r="M30" s="374"/>
      <c r="N30" s="370"/>
      <c r="O30" s="371"/>
      <c r="P30" s="423"/>
      <c r="R30" s="277">
        <f t="shared" si="8"/>
        <v>0</v>
      </c>
      <c r="S30" s="296" t="e">
        <f t="shared" si="0"/>
        <v>#N/A</v>
      </c>
      <c r="T30" s="296" t="e">
        <f t="shared" si="1"/>
        <v>#N/A</v>
      </c>
      <c r="U30" s="297" t="e">
        <f t="shared" si="2"/>
        <v>#N/A</v>
      </c>
      <c r="V30" s="297" t="e">
        <f t="shared" si="3"/>
        <v>#N/A</v>
      </c>
      <c r="W30" s="297" t="e">
        <f t="shared" si="4"/>
        <v>#N/A</v>
      </c>
      <c r="X30" s="297" t="e">
        <f t="shared" si="5"/>
        <v>#N/A</v>
      </c>
      <c r="Y30" s="297" t="e">
        <f t="shared" si="6"/>
        <v>#N/A</v>
      </c>
      <c r="Z30" s="296" t="e">
        <f t="shared" si="7"/>
        <v>#N/A</v>
      </c>
    </row>
    <row r="31" spans="2:26" ht="15.75" hidden="1" customHeight="1">
      <c r="B31" s="33"/>
      <c r="C31" s="366"/>
      <c r="D31" s="279"/>
      <c r="E31" s="279"/>
      <c r="F31" s="278"/>
      <c r="G31" s="279"/>
      <c r="H31" s="396"/>
      <c r="I31" s="421"/>
      <c r="J31" s="398"/>
      <c r="K31" s="276"/>
      <c r="L31" s="374"/>
      <c r="M31" s="397"/>
      <c r="N31" s="370"/>
      <c r="O31" s="371"/>
      <c r="P31" s="423"/>
      <c r="R31" s="277">
        <f t="shared" si="8"/>
        <v>0</v>
      </c>
      <c r="S31" s="296" t="e">
        <f t="shared" si="0"/>
        <v>#N/A</v>
      </c>
      <c r="T31" s="296" t="e">
        <f t="shared" si="1"/>
        <v>#N/A</v>
      </c>
      <c r="U31" s="297" t="e">
        <f t="shared" si="2"/>
        <v>#N/A</v>
      </c>
      <c r="V31" s="297" t="e">
        <f t="shared" si="3"/>
        <v>#N/A</v>
      </c>
      <c r="W31" s="297" t="e">
        <f t="shared" si="4"/>
        <v>#N/A</v>
      </c>
      <c r="X31" s="297" t="e">
        <f t="shared" si="5"/>
        <v>#N/A</v>
      </c>
      <c r="Y31" s="297" t="e">
        <f t="shared" si="6"/>
        <v>#N/A</v>
      </c>
      <c r="Z31" s="296" t="e">
        <f t="shared" si="7"/>
        <v>#N/A</v>
      </c>
    </row>
    <row r="32" spans="2:26" ht="15.75" hidden="1" customHeight="1">
      <c r="B32" s="33"/>
      <c r="C32" s="366"/>
      <c r="D32" s="279"/>
      <c r="E32" s="279"/>
      <c r="F32" s="278"/>
      <c r="G32" s="279"/>
      <c r="H32" s="396"/>
      <c r="I32" s="421"/>
      <c r="J32" s="398"/>
      <c r="K32" s="276"/>
      <c r="L32" s="374"/>
      <c r="M32" s="397"/>
      <c r="N32" s="370"/>
      <c r="O32" s="371"/>
      <c r="P32" s="423"/>
      <c r="R32" s="277">
        <f>B32</f>
        <v>0</v>
      </c>
      <c r="S32" s="296" t="e">
        <f t="shared" si="0"/>
        <v>#N/A</v>
      </c>
      <c r="T32" s="296" t="e">
        <f t="shared" si="1"/>
        <v>#N/A</v>
      </c>
      <c r="U32" s="297" t="e">
        <f t="shared" si="2"/>
        <v>#N/A</v>
      </c>
      <c r="V32" s="297" t="e">
        <f t="shared" si="3"/>
        <v>#N/A</v>
      </c>
      <c r="W32" s="297" t="e">
        <f t="shared" si="4"/>
        <v>#N/A</v>
      </c>
      <c r="X32" s="297" t="e">
        <f t="shared" si="5"/>
        <v>#N/A</v>
      </c>
      <c r="Y32" s="297" t="e">
        <f t="shared" si="6"/>
        <v>#N/A</v>
      </c>
      <c r="Z32" s="296" t="e">
        <f t="shared" si="7"/>
        <v>#N/A</v>
      </c>
    </row>
    <row r="33" spans="1:27" ht="15.75" hidden="1" customHeight="1">
      <c r="B33" s="33"/>
      <c r="C33" s="366"/>
      <c r="D33" s="279"/>
      <c r="E33" s="279"/>
      <c r="F33" s="278"/>
      <c r="G33" s="279"/>
      <c r="H33" s="396"/>
      <c r="I33" s="421"/>
      <c r="J33" s="398"/>
      <c r="K33" s="276"/>
      <c r="L33" s="374"/>
      <c r="M33" s="397"/>
      <c r="N33" s="370"/>
      <c r="O33" s="371"/>
      <c r="P33" s="423"/>
      <c r="R33" s="277">
        <f>B33</f>
        <v>0</v>
      </c>
      <c r="S33" s="296" t="e">
        <f t="shared" si="0"/>
        <v>#N/A</v>
      </c>
      <c r="T33" s="296" t="e">
        <f t="shared" si="1"/>
        <v>#N/A</v>
      </c>
      <c r="U33" s="297" t="e">
        <f t="shared" si="2"/>
        <v>#N/A</v>
      </c>
      <c r="V33" s="297" t="e">
        <f t="shared" si="3"/>
        <v>#N/A</v>
      </c>
      <c r="W33" s="297" t="e">
        <f t="shared" si="4"/>
        <v>#N/A</v>
      </c>
      <c r="X33" s="297" t="e">
        <f t="shared" si="5"/>
        <v>#N/A</v>
      </c>
      <c r="Y33" s="297" t="e">
        <f t="shared" si="6"/>
        <v>#N/A</v>
      </c>
      <c r="Z33" s="296" t="e">
        <f t="shared" si="7"/>
        <v>#N/A</v>
      </c>
    </row>
    <row r="34" spans="1:27" ht="15.75" customHeight="1" thickBot="1">
      <c r="B34" s="358"/>
      <c r="C34" s="358"/>
      <c r="D34" s="358"/>
      <c r="E34" s="358"/>
      <c r="F34" s="294"/>
      <c r="G34" s="294"/>
      <c r="H34" s="348"/>
      <c r="I34" s="481" t="s">
        <v>34</v>
      </c>
      <c r="J34" s="481"/>
      <c r="K34" s="481"/>
      <c r="L34" s="481"/>
      <c r="M34" s="481"/>
      <c r="N34" s="481"/>
      <c r="O34" s="1"/>
      <c r="P34" s="12"/>
      <c r="R34" s="277">
        <f>B34</f>
        <v>0</v>
      </c>
      <c r="S34" s="296" t="e">
        <f t="shared" si="0"/>
        <v>#N/A</v>
      </c>
      <c r="T34" s="296" t="e">
        <f t="shared" si="1"/>
        <v>#N/A</v>
      </c>
      <c r="U34" s="297" t="e">
        <f t="shared" si="2"/>
        <v>#N/A</v>
      </c>
      <c r="V34" s="297" t="e">
        <f t="shared" si="3"/>
        <v>#N/A</v>
      </c>
      <c r="W34" s="297" t="e">
        <f t="shared" si="4"/>
        <v>#N/A</v>
      </c>
      <c r="X34" s="297" t="e">
        <f t="shared" si="5"/>
        <v>#N/A</v>
      </c>
      <c r="Y34" s="297" t="e">
        <f t="shared" si="6"/>
        <v>#N/A</v>
      </c>
      <c r="Z34" s="296" t="e">
        <f t="shared" si="7"/>
        <v>#N/A</v>
      </c>
    </row>
    <row r="35" spans="1:27" ht="15" thickBot="1">
      <c r="B35" s="388" t="s">
        <v>145</v>
      </c>
      <c r="C35" s="388"/>
      <c r="D35" s="494" t="s">
        <v>35</v>
      </c>
      <c r="E35" s="495"/>
      <c r="F35" s="294"/>
      <c r="G35" s="294"/>
      <c r="H35" s="348"/>
      <c r="I35" s="24" t="s">
        <v>17</v>
      </c>
      <c r="J35" s="25" t="s">
        <v>36</v>
      </c>
      <c r="K35" s="26" t="s">
        <v>138</v>
      </c>
      <c r="L35" s="25" t="s">
        <v>37</v>
      </c>
      <c r="M35" s="25" t="s">
        <v>38</v>
      </c>
      <c r="N35" s="27" t="s">
        <v>39</v>
      </c>
      <c r="O35" s="294"/>
      <c r="P35" s="12"/>
      <c r="R35" s="277"/>
      <c r="S35" s="296"/>
      <c r="T35" s="296"/>
      <c r="U35" s="297"/>
      <c r="V35" s="297"/>
      <c r="W35" s="297"/>
      <c r="X35" s="297"/>
      <c r="Y35" s="297"/>
      <c r="Z35" s="296"/>
    </row>
    <row r="36" spans="1:27" ht="15" customHeight="1">
      <c r="A36" s="28"/>
      <c r="B36" s="530" t="str">
        <f>I37</f>
        <v>STAG</v>
      </c>
      <c r="C36" s="362" cm="1">
        <f t="array" ref="C36:C43">[23]Process!$D$178:$D$185</f>
        <v>11.69</v>
      </c>
      <c r="D36" s="485">
        <v>12</v>
      </c>
      <c r="E36" s="474"/>
      <c r="F36" s="294"/>
      <c r="G36" s="294"/>
      <c r="H36" s="348"/>
      <c r="I36" s="29" t="s">
        <v>6</v>
      </c>
      <c r="J36" s="280">
        <f>AVERAGE(I25:I26)</f>
        <v>96.55591618336237</v>
      </c>
      <c r="K36" s="284">
        <f>COUNTA([22]Brewhouse!$A$408:$A$433)</f>
        <v>26</v>
      </c>
      <c r="L36" s="302">
        <f>AVERAGE([22]Brewhouse!$AU$408:$AU$433)</f>
        <v>97.720220683390991</v>
      </c>
      <c r="M36" s="302">
        <f>AVERAGE([22]Brewhouse!$AU$102:$AU$171,[22]Brewhouse!$AU$173:$AU$253,[22]Brewhouse!$AU$255:$AU$339,[22]Brewhouse!$AU$341:$AU$346,[22]Brewhouse!$AU$348,[22]Brewhouse!$AU$349:$AU$406,[22]Brewhouse!$AU$408:$AU$433)</f>
        <v>97.421904397679697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</row>
    <row r="37" spans="1:27" ht="15" customHeight="1">
      <c r="A37" s="28"/>
      <c r="B37" s="531"/>
      <c r="C37" s="349">
        <v>11.81</v>
      </c>
      <c r="D37" s="486"/>
      <c r="E37" s="469"/>
      <c r="F37" s="294"/>
      <c r="G37" s="294"/>
      <c r="H37" s="348"/>
      <c r="I37" s="33" t="s">
        <v>9</v>
      </c>
      <c r="J37" s="280">
        <f>AVERAGE(I10:I14)</f>
        <v>103.23497804409212</v>
      </c>
      <c r="K37" s="284">
        <f>COUNTA([23]Brewhouse!$A$195:$A$205)</f>
        <v>11</v>
      </c>
      <c r="L37" s="302">
        <f>AVERAGE([23]Brewhouse!$AS$195:$AS$205)</f>
        <v>100.70163578844003</v>
      </c>
      <c r="M37" s="302">
        <f>AVERAGE([23]Brewhouse!$AS$15:$AS$64,[23]Brewhouse!$AS$66:$AS$103,[23]Brewhouse!$AS$105:$AS$140,[23]Brewhouse!$AS$142:$AS$193,[23]Brewhouse!$AS$195:$AS$205)</f>
        <v>97.640391472286225</v>
      </c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</row>
    <row r="38" spans="1:27" ht="14.7" customHeight="1">
      <c r="A38" s="28"/>
      <c r="B38" s="531"/>
      <c r="C38" s="349">
        <v>11.69</v>
      </c>
      <c r="D38" s="485">
        <v>11.92</v>
      </c>
      <c r="E38" s="474"/>
      <c r="F38" s="294"/>
      <c r="G38" s="294"/>
      <c r="H38" s="348"/>
      <c r="I38" s="34" t="s">
        <v>12</v>
      </c>
      <c r="J38" s="280"/>
      <c r="K38" s="284">
        <f>COUNTA([24]Brewhouse!$A$47:$A$54)</f>
        <v>8</v>
      </c>
      <c r="L38" s="302">
        <f>AVERAGE([24]Brewhouse!$AU$47:$AU$54)</f>
        <v>96.792443337508828</v>
      </c>
      <c r="M38" s="302">
        <f>AVERAGE([24]Brewhouse!$AU$4:$AU$7,[24]Brewhouse!$AU$9:$AU$22,[24]Brewhouse!$AU$24:$AU$35,[24]Brewhouse!$AU$37:$AU$45,[24]Brewhouse!$AU$47:$AU$54)</f>
        <v>97.03665404260714</v>
      </c>
      <c r="N38" s="3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</row>
    <row r="39" spans="1:27" ht="14.7" customHeight="1">
      <c r="A39" s="28"/>
      <c r="B39" s="531"/>
      <c r="C39" s="349">
        <v>11.77</v>
      </c>
      <c r="D39" s="486"/>
      <c r="E39" s="469"/>
      <c r="F39" s="294"/>
      <c r="G39" s="294"/>
      <c r="H39" s="348"/>
      <c r="I39" s="22" t="s">
        <v>33</v>
      </c>
      <c r="J39" s="280">
        <f>AVERAGE(I17:I22)</f>
        <v>99.729773602484485</v>
      </c>
      <c r="K39" s="284">
        <f>COUNTA([25]Brewhouse!$A$35:$A$40)</f>
        <v>6</v>
      </c>
      <c r="L39" s="302">
        <f>AVERAGE([25]Brewhouse!$AV$35:$AV$40)</f>
        <v>99.729773602484485</v>
      </c>
      <c r="M39" s="302">
        <f>AVERAGE([25]Brewhouse!$AV$5:$AV$14,[25]Brewhouse!$AV$16:$AV$19,[25]Brewhouse!$AV$21:$AV$24,[25]Brewhouse!$AV$26:$AV$33,[25]Brewhouse!$AV$35:$AV$40)</f>
        <v>99.073437057623821</v>
      </c>
      <c r="N39" s="3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27" ht="14.7" customHeight="1">
      <c r="A40" s="28"/>
      <c r="B40" s="531"/>
      <c r="C40" s="349">
        <v>11.85</v>
      </c>
      <c r="D40" s="485">
        <v>12.01</v>
      </c>
      <c r="E40" s="474"/>
      <c r="F40" s="422"/>
      <c r="G40" s="294"/>
      <c r="H40" s="348"/>
      <c r="I40" s="35" t="s">
        <v>29</v>
      </c>
      <c r="J40" s="280"/>
      <c r="K40" s="284"/>
      <c r="L40" s="302"/>
      <c r="M40" s="302"/>
      <c r="N40" s="30">
        <v>98</v>
      </c>
      <c r="O40" s="11"/>
      <c r="P40" s="31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27" ht="14.7" customHeight="1">
      <c r="A41" s="28"/>
      <c r="B41" s="531"/>
      <c r="C41" s="349">
        <v>11.9</v>
      </c>
      <c r="D41" s="486"/>
      <c r="E41" s="469"/>
      <c r="F41" s="422"/>
      <c r="G41" s="294"/>
      <c r="H41" s="348"/>
      <c r="I41" s="36" t="s">
        <v>15</v>
      </c>
      <c r="J41" s="323"/>
      <c r="K41" s="284"/>
      <c r="L41" s="302"/>
      <c r="M41" s="302">
        <f>AVERAGE([26]Brewhouse!$AT$4:$AT$11,[26]Brewhouse!$AT$13:$AT$16)</f>
        <v>95.165309917257005</v>
      </c>
      <c r="N41" s="30">
        <v>98</v>
      </c>
      <c r="O41" s="11"/>
      <c r="P41" s="31"/>
      <c r="R41" s="277"/>
      <c r="S41" s="296"/>
      <c r="T41" s="296"/>
      <c r="U41" s="297"/>
      <c r="V41" s="297"/>
      <c r="W41" s="297"/>
      <c r="X41" s="297"/>
      <c r="Y41" s="297"/>
      <c r="Z41" s="296"/>
      <c r="AA41" s="296"/>
    </row>
    <row r="42" spans="1:27" ht="14.7" customHeight="1">
      <c r="A42" s="28"/>
      <c r="B42" s="531"/>
      <c r="C42" s="349">
        <v>11.81</v>
      </c>
      <c r="D42" s="485">
        <v>12.02</v>
      </c>
      <c r="E42" s="474"/>
      <c r="F42" s="422"/>
      <c r="G42" s="294"/>
      <c r="H42" s="348"/>
      <c r="I42" s="37" t="s">
        <v>16</v>
      </c>
      <c r="J42" s="323"/>
      <c r="K42" s="284">
        <f>COUNTA([27]Brewhouse!$A$36:$A$43)</f>
        <v>8</v>
      </c>
      <c r="L42" s="302">
        <f>AVERAGE([27]Brewhouse!$AY$36:$AY$43)</f>
        <v>98.453561717677275</v>
      </c>
      <c r="M42" s="302">
        <f>AVERAGE([27]Brewhouse!$AY$6:$AY$13,[27]Brewhouse!$AY$15:$AY$20,[27]Brewhouse!$AY$22:$AY$29,[27]Brewhouse!$AY$31:$AY$34,[27]Brewhouse!$AY$36:$AY$43)</f>
        <v>96.669752433914965</v>
      </c>
      <c r="N42" s="30">
        <v>98</v>
      </c>
      <c r="O42" s="11"/>
      <c r="P42" s="31" t="s">
        <v>41</v>
      </c>
      <c r="R42" s="277"/>
      <c r="S42" s="296"/>
      <c r="T42" s="296"/>
      <c r="U42" s="297"/>
      <c r="V42" s="297"/>
      <c r="W42" s="297"/>
      <c r="X42" s="297"/>
      <c r="Y42" s="297"/>
      <c r="Z42" s="296"/>
      <c r="AA42" s="296"/>
    </row>
    <row r="43" spans="1:27" ht="14.7" customHeight="1">
      <c r="A43" s="28"/>
      <c r="B43" s="531"/>
      <c r="C43" s="349">
        <v>11.81</v>
      </c>
      <c r="D43" s="486"/>
      <c r="E43" s="469"/>
      <c r="F43" s="294"/>
      <c r="G43" s="294"/>
      <c r="H43" s="348"/>
      <c r="I43" s="412" t="s">
        <v>158</v>
      </c>
      <c r="J43" s="326"/>
      <c r="K43" s="284"/>
      <c r="L43" s="305"/>
      <c r="M43" s="305">
        <f>AVERAGE([28]Brewhouse!$AU$5:$AU$8)</f>
        <v>91.006888337619571</v>
      </c>
      <c r="N43" s="30">
        <v>98</v>
      </c>
      <c r="O43" s="11"/>
      <c r="P43" s="31"/>
      <c r="R43" s="277"/>
      <c r="S43" s="296"/>
      <c r="T43" s="296"/>
      <c r="U43" s="297"/>
      <c r="V43" s="297"/>
      <c r="W43" s="297"/>
      <c r="X43" s="297"/>
      <c r="Y43" s="297"/>
      <c r="Z43" s="296"/>
      <c r="AA43" s="296"/>
    </row>
    <row r="44" spans="1:27" ht="14.7" customHeight="1">
      <c r="A44" s="28"/>
      <c r="B44" s="531"/>
      <c r="C44" s="349"/>
      <c r="D44" s="485"/>
      <c r="E44" s="474"/>
      <c r="F44" s="294"/>
      <c r="G44" s="294"/>
      <c r="H44" s="348"/>
      <c r="I44" s="411" t="s">
        <v>157</v>
      </c>
      <c r="J44" s="326"/>
      <c r="K44" s="284"/>
      <c r="L44" s="305"/>
      <c r="M44" s="305"/>
      <c r="N44" s="30">
        <v>98</v>
      </c>
      <c r="O44" s="11"/>
      <c r="P44" s="31"/>
      <c r="R44" s="277"/>
      <c r="S44" s="296"/>
      <c r="T44" s="296"/>
      <c r="U44" s="297"/>
      <c r="V44" s="297"/>
      <c r="W44" s="297"/>
      <c r="X44" s="297"/>
      <c r="Y44" s="297"/>
      <c r="Z44" s="296"/>
      <c r="AA44" s="296"/>
    </row>
    <row r="45" spans="1:27" ht="15" customHeight="1" thickBot="1">
      <c r="A45" s="28"/>
      <c r="B45" s="531"/>
      <c r="C45" s="349"/>
      <c r="D45" s="486"/>
      <c r="E45" s="469"/>
      <c r="F45" s="294"/>
      <c r="G45" s="294"/>
      <c r="H45" s="348"/>
      <c r="I45" s="407" t="s">
        <v>156</v>
      </c>
      <c r="J45" s="327"/>
      <c r="K45" s="408"/>
      <c r="L45" s="409"/>
      <c r="M45" s="409"/>
      <c r="N45" s="410">
        <v>98</v>
      </c>
      <c r="O45" s="11"/>
      <c r="P45" s="31"/>
      <c r="R45" s="277"/>
      <c r="S45" s="296"/>
      <c r="T45" s="296"/>
      <c r="U45" s="297"/>
      <c r="V45" s="297"/>
      <c r="W45" s="297"/>
      <c r="X45" s="297"/>
      <c r="Y45" s="297"/>
      <c r="Z45" s="296"/>
      <c r="AA45" s="296"/>
    </row>
    <row r="46" spans="1:27" ht="15" customHeight="1" thickBot="1">
      <c r="A46" s="28"/>
      <c r="B46" s="531"/>
      <c r="C46" s="349"/>
      <c r="D46" s="485"/>
      <c r="E46" s="474"/>
      <c r="F46" s="294"/>
      <c r="G46" s="294"/>
      <c r="H46" s="348"/>
      <c r="I46" s="1"/>
      <c r="J46" s="39"/>
      <c r="K46" s="405">
        <f>SUM(K36:K45)</f>
        <v>59</v>
      </c>
      <c r="L46" s="406">
        <f>((L36*K36)+(L37*K37)+(L38*K38)+(L39*K39)+(L40*K40)+(K43*L43)+(L41*K41)+(L42*K42)+(L45*K45))/(K46)</f>
        <v>98.454074805040719</v>
      </c>
      <c r="M46" s="406">
        <f>AVERAGE('[29]Jan 31st'!$L$65,'[30]Feb 28th'!$L$35,'[31]Mar. 31st'!$L$35,'[32]Apr. 30th'!$L$45,L46)</f>
        <v>97.57162321889578</v>
      </c>
      <c r="N46" s="40">
        <v>98</v>
      </c>
      <c r="O46" s="11"/>
      <c r="P46" s="31"/>
      <c r="R46" s="277"/>
      <c r="S46" s="296"/>
      <c r="T46" s="296"/>
      <c r="U46" s="297"/>
      <c r="V46" s="297"/>
      <c r="W46" s="297"/>
      <c r="X46" s="297"/>
      <c r="Y46" s="297"/>
      <c r="Z46" s="296"/>
      <c r="AA46" s="296"/>
    </row>
    <row r="47" spans="1:27" ht="15" thickBot="1">
      <c r="B47" s="532"/>
      <c r="C47" s="350"/>
      <c r="D47" s="486"/>
      <c r="E47" s="469"/>
      <c r="F47" s="294"/>
      <c r="G47" s="42"/>
      <c r="H47" s="41"/>
      <c r="I47" s="42"/>
      <c r="J47" s="42"/>
      <c r="K47" s="351"/>
      <c r="L47" s="348"/>
      <c r="M47" s="348"/>
      <c r="N47" s="11"/>
      <c r="O47" s="294"/>
      <c r="P47" s="12"/>
      <c r="R47" s="277"/>
      <c r="S47" s="296"/>
      <c r="T47" s="296"/>
      <c r="U47" s="297"/>
      <c r="V47" s="297"/>
      <c r="W47" s="297"/>
      <c r="X47" s="297"/>
      <c r="Y47" s="297"/>
      <c r="Z47" s="296"/>
      <c r="AA47" s="296"/>
    </row>
    <row r="48" spans="1:27" ht="15" thickBot="1">
      <c r="B48" s="528"/>
      <c r="C48" s="362"/>
      <c r="D48" s="466"/>
      <c r="E48" s="467"/>
      <c r="F48" s="294"/>
      <c r="G48" s="42"/>
      <c r="H48" s="41"/>
      <c r="I48" s="42"/>
      <c r="J48" s="519" t="s">
        <v>129</v>
      </c>
      <c r="K48" s="519"/>
      <c r="L48" s="294"/>
      <c r="M48" s="294"/>
      <c r="N48" s="294"/>
      <c r="O48" s="294"/>
      <c r="P48" s="12"/>
    </row>
    <row r="49" spans="2:56" ht="13.5" customHeight="1" thickBot="1">
      <c r="B49" s="521"/>
      <c r="C49" s="349"/>
      <c r="D49" s="468"/>
      <c r="E49" s="469"/>
      <c r="F49" s="294"/>
      <c r="G49" s="42"/>
      <c r="H49" s="41"/>
      <c r="I49" s="293" t="s">
        <v>191</v>
      </c>
      <c r="J49" s="292" t="s">
        <v>17</v>
      </c>
      <c r="K49" s="293" t="s">
        <v>190</v>
      </c>
      <c r="L49" s="471" t="s">
        <v>136</v>
      </c>
      <c r="M49" s="471"/>
      <c r="N49" s="472"/>
      <c r="O49" s="294"/>
      <c r="P49" s="12"/>
    </row>
    <row r="50" spans="2:56" ht="15" customHeight="1" thickBot="1">
      <c r="B50" s="521"/>
      <c r="C50" s="349"/>
      <c r="D50" s="473"/>
      <c r="E50" s="474"/>
      <c r="F50" s="294"/>
      <c r="G50" s="42"/>
      <c r="H50" s="41"/>
      <c r="I50" s="324">
        <f>COUNTA(B25:B26)</f>
        <v>2</v>
      </c>
      <c r="J50" s="287" t="s">
        <v>6</v>
      </c>
      <c r="K50" s="324"/>
      <c r="L50" s="343" t="s">
        <v>37</v>
      </c>
      <c r="M50" s="307" t="s">
        <v>38</v>
      </c>
      <c r="N50" s="307" t="s">
        <v>84</v>
      </c>
      <c r="O50" s="294"/>
      <c r="P50" s="12"/>
    </row>
    <row r="51" spans="2:56" ht="15.75" customHeight="1" thickBot="1">
      <c r="B51" s="521"/>
      <c r="C51" s="349"/>
      <c r="D51" s="468"/>
      <c r="E51" s="469"/>
      <c r="F51" s="294"/>
      <c r="G51" s="42"/>
      <c r="H51" s="41"/>
      <c r="I51" s="324"/>
      <c r="J51" s="345" t="s">
        <v>9</v>
      </c>
      <c r="K51" s="324">
        <f>COUNTA(B10:B14)</f>
        <v>5</v>
      </c>
      <c r="L51" s="344">
        <f>AVERAGE('May 2nd -4th'!I70,'May 2nd -4th'!K70,'May 5th'!K77,'May 6th'!K60,'May 7th'!K57,'May 8th'!K53,'May 9th-10th'!K60,I60)</f>
        <v>8</v>
      </c>
      <c r="M51" s="325">
        <f>AVERAGE('[29]Jan 29th '!$M$70,'[30]Feb 28th'!$L$40,'[31]Mar. 31st'!$L$40,'[32]Apr. 30th'!$L$50,L51)</f>
        <v>6.7891543239369323</v>
      </c>
      <c r="N51" s="420">
        <v>9.1999999999999993</v>
      </c>
      <c r="O51" s="294"/>
      <c r="P51" s="12"/>
    </row>
    <row r="52" spans="2:56" ht="15" customHeight="1">
      <c r="B52" s="521"/>
      <c r="C52" s="349"/>
      <c r="D52" s="473"/>
      <c r="E52" s="474"/>
      <c r="F52" s="294"/>
      <c r="G52" s="42"/>
      <c r="H52" s="41"/>
      <c r="I52" s="324"/>
      <c r="J52" s="288" t="s">
        <v>40</v>
      </c>
      <c r="K52" s="324"/>
      <c r="L52" s="294"/>
      <c r="M52" s="294"/>
      <c r="N52" s="294"/>
      <c r="O52" s="294"/>
      <c r="P52" s="12"/>
    </row>
    <row r="53" spans="2:56" ht="15" customHeight="1">
      <c r="B53" s="521"/>
      <c r="C53" s="349"/>
      <c r="D53" s="468"/>
      <c r="E53" s="469"/>
      <c r="F53" s="294"/>
      <c r="G53" s="42"/>
      <c r="H53" s="41"/>
      <c r="I53" s="324">
        <f>COUNTA(B17:B22)</f>
        <v>6</v>
      </c>
      <c r="J53" s="289" t="s">
        <v>33</v>
      </c>
      <c r="K53" s="324"/>
      <c r="L53" s="294"/>
      <c r="M53" s="294"/>
      <c r="N53" s="294"/>
      <c r="O53" s="294"/>
      <c r="P53" s="12"/>
    </row>
    <row r="54" spans="2:56" ht="14.4">
      <c r="B54" s="521"/>
      <c r="C54" s="349"/>
      <c r="D54" s="473"/>
      <c r="E54" s="474"/>
      <c r="F54" s="294"/>
      <c r="G54" s="42"/>
      <c r="H54" s="41"/>
      <c r="I54" s="324"/>
      <c r="J54" s="290" t="s">
        <v>16</v>
      </c>
      <c r="K54" s="324"/>
      <c r="L54" s="294"/>
      <c r="M54" s="294"/>
      <c r="N54" s="294"/>
      <c r="O54" s="294"/>
      <c r="P54" s="12"/>
      <c r="BC54" s="44"/>
      <c r="BD54" s="44"/>
    </row>
    <row r="55" spans="2:56" ht="14.4">
      <c r="B55" s="521"/>
      <c r="C55" s="349"/>
      <c r="D55" s="468"/>
      <c r="E55" s="469"/>
      <c r="F55" s="294"/>
      <c r="G55" s="42"/>
      <c r="H55" s="41"/>
      <c r="I55" s="324"/>
      <c r="J55" s="291" t="s">
        <v>15</v>
      </c>
      <c r="K55" s="324"/>
      <c r="L55" s="294"/>
      <c r="M55" s="294"/>
      <c r="N55" s="294"/>
      <c r="O55" s="294"/>
      <c r="P55" s="12"/>
      <c r="BC55" s="44"/>
      <c r="BD55" s="44"/>
    </row>
    <row r="56" spans="2:56" ht="14.4">
      <c r="B56" s="521"/>
      <c r="C56" s="349"/>
      <c r="D56" s="475"/>
      <c r="E56" s="476"/>
      <c r="F56" s="294"/>
      <c r="G56" s="42"/>
      <c r="H56" s="41"/>
      <c r="I56" s="324"/>
      <c r="J56" s="291" t="s">
        <v>149</v>
      </c>
      <c r="K56" s="324"/>
      <c r="L56" s="294"/>
      <c r="M56" s="294"/>
      <c r="N56" s="294"/>
      <c r="O56" s="294"/>
      <c r="P56" s="12"/>
      <c r="BC56" s="44"/>
      <c r="BD56" s="44"/>
    </row>
    <row r="57" spans="2:56" ht="15" thickBot="1">
      <c r="B57" s="522"/>
      <c r="C57" s="350"/>
      <c r="D57" s="477"/>
      <c r="E57" s="478"/>
      <c r="F57" s="294"/>
      <c r="G57" s="42"/>
      <c r="H57" s="41"/>
      <c r="I57" s="324"/>
      <c r="J57" s="291" t="s">
        <v>148</v>
      </c>
      <c r="K57" s="324"/>
      <c r="L57" s="294"/>
      <c r="M57" s="294"/>
      <c r="N57" s="294"/>
      <c r="O57" s="294"/>
      <c r="P57" s="12"/>
      <c r="BC57" s="44"/>
      <c r="BD57" s="44"/>
    </row>
    <row r="58" spans="2:56" ht="17.7" customHeight="1" thickBot="1">
      <c r="B58" s="312" t="s">
        <v>139</v>
      </c>
      <c r="C58" s="313"/>
      <c r="D58" s="457">
        <f>AVERAGE(D36:E57)</f>
        <v>11.987500000000001</v>
      </c>
      <c r="E58" s="458"/>
      <c r="F58" s="294"/>
      <c r="G58" s="42"/>
      <c r="H58" s="41"/>
      <c r="I58" s="324"/>
      <c r="J58" s="295" t="s">
        <v>134</v>
      </c>
      <c r="K58" s="324"/>
      <c r="L58" s="294"/>
      <c r="M58" s="294"/>
      <c r="N58" s="294"/>
      <c r="O58" s="294"/>
      <c r="P58" s="12"/>
      <c r="BC58" s="44"/>
      <c r="BD58" s="44"/>
    </row>
    <row r="59" spans="2:56" ht="17.7" customHeight="1">
      <c r="B59" s="363"/>
      <c r="C59" s="364"/>
      <c r="D59" s="365"/>
      <c r="E59" s="365"/>
      <c r="F59" s="294"/>
      <c r="G59" s="42"/>
      <c r="H59" s="41"/>
      <c r="I59" s="324"/>
      <c r="J59" s="295" t="s">
        <v>131</v>
      </c>
      <c r="K59" s="324"/>
      <c r="L59" s="294"/>
      <c r="M59" s="294"/>
      <c r="N59" s="294"/>
      <c r="O59" s="294"/>
      <c r="P59" s="12"/>
      <c r="BC59" s="44"/>
      <c r="BD59" s="44"/>
    </row>
    <row r="60" spans="2:56" ht="15.75" customHeight="1">
      <c r="B60" s="45"/>
      <c r="C60" s="11"/>
      <c r="D60" s="11"/>
      <c r="E60" s="46"/>
      <c r="F60" s="294"/>
      <c r="G60" s="42"/>
      <c r="H60" s="41"/>
      <c r="I60" s="324">
        <f>SUM(I50:I59)</f>
        <v>8</v>
      </c>
      <c r="J60" s="346" t="s">
        <v>130</v>
      </c>
      <c r="K60" s="324">
        <f>SUM(K50:K59)</f>
        <v>5</v>
      </c>
      <c r="L60" s="294"/>
      <c r="M60" s="294"/>
      <c r="N60" s="294"/>
      <c r="O60" s="294"/>
      <c r="P60" s="12"/>
    </row>
    <row r="61" spans="2:56" ht="20.25" customHeight="1">
      <c r="B61" s="15" t="s">
        <v>42</v>
      </c>
      <c r="C61" s="1" t="s">
        <v>43</v>
      </c>
      <c r="D61" s="1"/>
      <c r="E61" s="1"/>
      <c r="F61" s="294"/>
      <c r="G61" s="42"/>
      <c r="H61" s="41"/>
      <c r="I61" s="42"/>
      <c r="L61" s="294"/>
      <c r="P61" s="334"/>
    </row>
    <row r="62" spans="2:56" ht="15" customHeight="1" thickBot="1"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8"/>
      <c r="O62" s="48"/>
      <c r="P62" s="49"/>
    </row>
    <row r="63" spans="2:56" ht="15" customHeight="1" thickBot="1">
      <c r="B63" s="447" t="s">
        <v>17</v>
      </c>
      <c r="C63" s="447" t="s">
        <v>44</v>
      </c>
      <c r="D63" s="459" t="s">
        <v>45</v>
      </c>
      <c r="E63" s="461" t="s">
        <v>46</v>
      </c>
      <c r="F63" s="455" t="s">
        <v>47</v>
      </c>
      <c r="G63" s="445" t="s">
        <v>48</v>
      </c>
      <c r="H63" s="447" t="s">
        <v>49</v>
      </c>
      <c r="I63" s="447" t="s">
        <v>50</v>
      </c>
      <c r="J63" s="439" t="s">
        <v>28</v>
      </c>
      <c r="K63" s="451" t="s">
        <v>51</v>
      </c>
      <c r="L63" s="453" t="s">
        <v>52</v>
      </c>
      <c r="M63" s="439" t="s">
        <v>53</v>
      </c>
      <c r="N63" s="13"/>
      <c r="O63" s="13"/>
      <c r="P63" s="50"/>
    </row>
    <row r="64" spans="2:56" ht="28.5" customHeight="1" thickTop="1" thickBot="1">
      <c r="B64" s="448"/>
      <c r="C64" s="448"/>
      <c r="D64" s="460"/>
      <c r="E64" s="462"/>
      <c r="F64" s="456"/>
      <c r="G64" s="446"/>
      <c r="H64" s="448"/>
      <c r="I64" s="448"/>
      <c r="J64" s="440"/>
      <c r="K64" s="452"/>
      <c r="L64" s="454"/>
      <c r="M64" s="440"/>
      <c r="N64" s="13"/>
      <c r="O64" s="13"/>
      <c r="P64" s="50"/>
      <c r="Q64" s="355"/>
      <c r="AB64" s="51">
        <v>43474</v>
      </c>
      <c r="AC64" s="51">
        <v>43475</v>
      </c>
      <c r="AD64" s="51">
        <v>43476</v>
      </c>
      <c r="AE64" s="51">
        <v>43477</v>
      </c>
      <c r="AF64" s="51">
        <v>43478</v>
      </c>
      <c r="AG64" s="51">
        <v>43479</v>
      </c>
      <c r="AH64" s="51">
        <v>43480</v>
      </c>
      <c r="AI64" s="51">
        <v>43481</v>
      </c>
      <c r="AJ64" s="51">
        <v>43482</v>
      </c>
      <c r="AK64" s="51">
        <v>43483</v>
      </c>
      <c r="AL64" s="51">
        <v>43484</v>
      </c>
      <c r="AM64" s="51">
        <v>43485</v>
      </c>
      <c r="AN64" s="51">
        <v>43486</v>
      </c>
      <c r="AO64" s="51">
        <v>43487</v>
      </c>
      <c r="AP64" s="51">
        <v>43488</v>
      </c>
      <c r="AQ64" s="51">
        <v>43489</v>
      </c>
      <c r="AR64" s="51">
        <v>43490</v>
      </c>
      <c r="AS64" s="51">
        <v>43491</v>
      </c>
      <c r="AT64" s="51">
        <v>43492</v>
      </c>
      <c r="AU64" s="51">
        <v>43493</v>
      </c>
      <c r="AV64" s="51">
        <v>43494</v>
      </c>
      <c r="AW64" s="51">
        <v>43495</v>
      </c>
      <c r="AX64" s="51">
        <v>43496</v>
      </c>
    </row>
    <row r="65" spans="2:57" s="54" customFormat="1" ht="53.25" customHeight="1">
      <c r="B65" s="430" t="str">
        <f>I37</f>
        <v>STAG</v>
      </c>
      <c r="C65" s="283">
        <v>45786</v>
      </c>
      <c r="D65" s="279">
        <f>[33]May_2025!$L$13</f>
        <v>405.7</v>
      </c>
      <c r="E65" s="279"/>
      <c r="F65" s="279"/>
      <c r="G65" s="279">
        <f>[33]May_2025!$L$17</f>
        <v>381.29999999999995</v>
      </c>
      <c r="H65" s="320"/>
      <c r="I65" s="322"/>
      <c r="J65" s="392" t="s">
        <v>188</v>
      </c>
      <c r="K65" s="416">
        <f>[35]May_2025!$L$25</f>
        <v>0.66894736842105251</v>
      </c>
      <c r="L65" s="281">
        <f>(((D65+E65)-G65)/(D65+E65))*100</f>
        <v>6.0142962780379676</v>
      </c>
      <c r="M65" s="426" t="s">
        <v>178</v>
      </c>
      <c r="N65" s="13"/>
      <c r="O65" s="13"/>
      <c r="P65" s="50"/>
      <c r="R65" s="275"/>
      <c r="S65" s="275"/>
      <c r="T65" s="275"/>
      <c r="U65" s="275"/>
      <c r="V65" s="275"/>
      <c r="W65" s="275"/>
      <c r="X65" s="275"/>
      <c r="Y65" s="275"/>
      <c r="Z65" s="275"/>
      <c r="AA65" s="275"/>
      <c r="AB65" s="57" t="e">
        <f>[20]January_2019!L7</f>
        <v>#REF!</v>
      </c>
      <c r="AC65" s="57" t="e">
        <f>[20]January_2019!M7</f>
        <v>#REF!</v>
      </c>
      <c r="AD65" s="57" t="e">
        <f>[20]January_2019!N7</f>
        <v>#REF!</v>
      </c>
      <c r="AE65" s="57" t="e">
        <f>[20]January_2019!O7</f>
        <v>#REF!</v>
      </c>
      <c r="AF65" s="57" t="e">
        <f>[20]January_2019!P7</f>
        <v>#REF!</v>
      </c>
      <c r="AG65" s="57" t="e">
        <f>[20]January_2019!Q7</f>
        <v>#REF!</v>
      </c>
      <c r="AH65" s="57" t="e">
        <f>[20]January_2019!R7</f>
        <v>#REF!</v>
      </c>
      <c r="AI65" s="57" t="e">
        <f>[20]January_2019!S7</f>
        <v>#REF!</v>
      </c>
      <c r="AJ65" s="57" t="e">
        <f>[20]January_2019!T7</f>
        <v>#REF!</v>
      </c>
      <c r="AK65" s="57" t="e">
        <f>[20]January_2019!U7</f>
        <v>#REF!</v>
      </c>
      <c r="AL65" s="57" t="e">
        <f>[20]January_2019!V7</f>
        <v>#REF!</v>
      </c>
      <c r="AM65" s="57" t="e">
        <f>[20]January_2019!W7</f>
        <v>#REF!</v>
      </c>
      <c r="AN65" s="57" t="e">
        <f>[20]January_2019!X7</f>
        <v>#REF!</v>
      </c>
      <c r="AO65" s="57" t="e">
        <f>[20]January_2019!Y7</f>
        <v>#REF!</v>
      </c>
      <c r="AP65" s="57" t="e">
        <f>[20]January_2019!Z7</f>
        <v>#REF!</v>
      </c>
      <c r="AQ65" s="57" t="e">
        <f>[20]January_2019!AA7</f>
        <v>#REF!</v>
      </c>
      <c r="AR65" s="57" t="e">
        <f>[20]January_2019!AB7</f>
        <v>#REF!</v>
      </c>
      <c r="AS65" s="57" t="e">
        <f>[20]January_2019!AC7</f>
        <v>#REF!</v>
      </c>
      <c r="AT65" s="57" t="e">
        <f>[20]January_2019!AD7</f>
        <v>#REF!</v>
      </c>
      <c r="AU65" s="57" t="e">
        <f>[20]January_2019!AE7</f>
        <v>#REF!</v>
      </c>
      <c r="AV65" s="57" t="e">
        <f>[20]January_2019!AF7</f>
        <v>#REF!</v>
      </c>
      <c r="AW65" s="57" t="e">
        <f>[20]January_2019!AG7</f>
        <v>#REF!</v>
      </c>
      <c r="AX65" s="277" t="e">
        <f>[20]January_2019!AH7</f>
        <v>#REF!</v>
      </c>
      <c r="AY65" s="277"/>
      <c r="AZ65" s="277"/>
      <c r="BA65" s="277"/>
      <c r="BB65" s="277"/>
      <c r="BC65" s="277"/>
      <c r="BD65" s="277"/>
      <c r="BE65" s="277"/>
    </row>
    <row r="66" spans="2:57" s="54" customFormat="1" ht="16.5" customHeight="1">
      <c r="B66" s="415"/>
      <c r="C66" s="283"/>
      <c r="D66" s="377"/>
      <c r="E66" s="378"/>
      <c r="F66" s="379"/>
      <c r="G66" s="303"/>
      <c r="H66" s="320"/>
      <c r="I66" s="322"/>
      <c r="J66" s="398"/>
      <c r="K66" s="286"/>
      <c r="L66" s="314"/>
      <c r="M66" s="419"/>
      <c r="N66" s="13"/>
      <c r="O66" s="13"/>
      <c r="P66" s="50"/>
      <c r="R66" s="275"/>
      <c r="S66" s="275"/>
      <c r="T66" s="275"/>
      <c r="U66" s="275"/>
      <c r="V66" s="275"/>
      <c r="W66" s="275"/>
      <c r="X66" s="275"/>
      <c r="Y66" s="275"/>
      <c r="Z66" s="275"/>
      <c r="AA66" s="275"/>
      <c r="AB66" s="418"/>
      <c r="AC66" s="418"/>
      <c r="AD66" s="418"/>
      <c r="AE66" s="418"/>
      <c r="AF66" s="418"/>
      <c r="AG66" s="418"/>
      <c r="AH66" s="418"/>
      <c r="AI66" s="418"/>
      <c r="AJ66" s="418"/>
      <c r="AK66" s="418"/>
      <c r="AL66" s="418"/>
      <c r="AM66" s="418"/>
      <c r="AN66" s="418"/>
      <c r="AO66" s="418"/>
      <c r="AP66" s="418"/>
      <c r="AQ66" s="418"/>
      <c r="AR66" s="418"/>
      <c r="AS66" s="418"/>
      <c r="AT66" s="418"/>
      <c r="AU66" s="418"/>
      <c r="AV66" s="418"/>
      <c r="AW66" s="418"/>
    </row>
    <row r="67" spans="2:57" s="54" customFormat="1">
      <c r="B67" s="431"/>
      <c r="C67" s="283"/>
      <c r="D67" s="377"/>
      <c r="E67" s="378"/>
      <c r="F67" s="379"/>
      <c r="G67" s="303"/>
      <c r="H67" s="320"/>
      <c r="I67" s="322"/>
      <c r="J67" s="281"/>
      <c r="K67" s="286"/>
      <c r="L67" s="314"/>
      <c r="M67" s="419"/>
      <c r="N67" s="13"/>
      <c r="O67" s="13"/>
      <c r="P67" s="50"/>
      <c r="R67" s="275"/>
      <c r="S67" s="275"/>
      <c r="T67" s="275"/>
      <c r="U67" s="275"/>
      <c r="V67" s="275"/>
      <c r="W67" s="275"/>
      <c r="X67" s="275"/>
      <c r="Y67" s="275"/>
      <c r="Z67" s="275"/>
      <c r="AA67" s="275"/>
      <c r="AB67" s="418"/>
      <c r="AC67" s="418"/>
      <c r="AD67" s="418"/>
      <c r="AE67" s="418"/>
      <c r="AF67" s="418"/>
      <c r="AG67" s="418"/>
      <c r="AH67" s="418"/>
      <c r="AI67" s="418"/>
      <c r="AJ67" s="418"/>
      <c r="AK67" s="418"/>
      <c r="AL67" s="418"/>
      <c r="AM67" s="418"/>
      <c r="AN67" s="418"/>
      <c r="AO67" s="418"/>
      <c r="AP67" s="418"/>
      <c r="AQ67" s="418"/>
      <c r="AR67" s="418"/>
      <c r="AS67" s="418"/>
      <c r="AT67" s="418"/>
      <c r="AU67" s="418"/>
      <c r="AV67" s="418"/>
      <c r="AW67" s="418"/>
    </row>
    <row r="68" spans="2:57" ht="18" customHeight="1" thickBot="1">
      <c r="B68" s="59"/>
      <c r="C68" s="30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56"/>
      <c r="P68" s="60"/>
    </row>
    <row r="69" spans="2:57" ht="14.4" thickBot="1">
      <c r="B69" s="441" t="s">
        <v>55</v>
      </c>
      <c r="C69" s="442"/>
      <c r="D69" s="442"/>
      <c r="E69" s="442"/>
      <c r="F69" s="443"/>
      <c r="G69" s="441" t="s">
        <v>56</v>
      </c>
      <c r="H69" s="442"/>
      <c r="I69" s="442"/>
      <c r="J69" s="443"/>
      <c r="K69" s="441" t="s">
        <v>51</v>
      </c>
      <c r="L69" s="442"/>
      <c r="M69" s="442"/>
      <c r="N69" s="444"/>
      <c r="O69" s="56"/>
      <c r="P69" s="50"/>
    </row>
    <row r="70" spans="2:57">
      <c r="B70" s="61" t="s">
        <v>17</v>
      </c>
      <c r="C70" s="62" t="s">
        <v>36</v>
      </c>
      <c r="D70" s="62" t="s">
        <v>37</v>
      </c>
      <c r="E70" s="62" t="s">
        <v>38</v>
      </c>
      <c r="F70" s="63" t="s">
        <v>39</v>
      </c>
      <c r="G70" s="62" t="s">
        <v>36</v>
      </c>
      <c r="H70" s="62" t="s">
        <v>37</v>
      </c>
      <c r="I70" s="62" t="s">
        <v>38</v>
      </c>
      <c r="J70" s="63" t="s">
        <v>39</v>
      </c>
      <c r="K70" s="62"/>
      <c r="L70" s="62" t="s">
        <v>37</v>
      </c>
      <c r="M70" s="62" t="s">
        <v>38</v>
      </c>
      <c r="N70" s="63" t="s">
        <v>39</v>
      </c>
      <c r="O70" s="56"/>
      <c r="P70" s="64"/>
    </row>
    <row r="71" spans="2:57">
      <c r="B71" s="29" t="s">
        <v>6</v>
      </c>
      <c r="C71" s="65"/>
      <c r="D71" s="76">
        <v>5.0836339783535838</v>
      </c>
      <c r="E71" s="76">
        <v>7.0288855305993643</v>
      </c>
      <c r="F71" s="66">
        <v>4.8</v>
      </c>
      <c r="G71" s="65"/>
      <c r="H71" s="76">
        <v>4.1157062539639462</v>
      </c>
      <c r="I71" s="76">
        <v>7.0008712432011135</v>
      </c>
      <c r="J71" s="66">
        <v>4.8</v>
      </c>
      <c r="K71" s="67"/>
      <c r="L71" s="194">
        <v>0.9519298245614034</v>
      </c>
      <c r="M71" s="194">
        <v>0.7667419586559886</v>
      </c>
      <c r="N71" s="68">
        <v>1</v>
      </c>
      <c r="O71" s="56"/>
      <c r="P71" s="69"/>
    </row>
    <row r="72" spans="2:57">
      <c r="B72" s="33" t="s">
        <v>9</v>
      </c>
      <c r="C72" s="65">
        <f>L65</f>
        <v>6.0142962780379676</v>
      </c>
      <c r="D72" s="76">
        <v>5.4863941831001624</v>
      </c>
      <c r="E72" s="76">
        <v>6.0466248242515723</v>
      </c>
      <c r="F72" s="66">
        <v>4.8</v>
      </c>
      <c r="G72" s="65">
        <f>[33]May_2025!$L$21</f>
        <v>4.4135665309485903</v>
      </c>
      <c r="H72" s="76">
        <v>4.1755560913734726</v>
      </c>
      <c r="I72" s="76">
        <v>6.3497243838286446</v>
      </c>
      <c r="J72" s="66">
        <v>4.8</v>
      </c>
      <c r="K72" s="67">
        <f>[35]May_2025!$L$25</f>
        <v>0.66894736842105251</v>
      </c>
      <c r="L72" s="194">
        <v>0.61318713450292395</v>
      </c>
      <c r="M72" s="194">
        <v>0.74352497019151897</v>
      </c>
      <c r="N72" s="68">
        <v>1</v>
      </c>
      <c r="P72" s="69"/>
    </row>
    <row r="73" spans="2:57">
      <c r="B73" s="34" t="s">
        <v>40</v>
      </c>
      <c r="C73" s="65"/>
      <c r="D73" s="76"/>
      <c r="E73" s="76">
        <v>12.554572931825788</v>
      </c>
      <c r="F73" s="66">
        <v>5.5</v>
      </c>
      <c r="G73" s="65"/>
      <c r="H73" s="76"/>
      <c r="I73" s="76">
        <v>13.449891307585697</v>
      </c>
      <c r="J73" s="66">
        <v>5.5</v>
      </c>
      <c r="K73" s="67"/>
      <c r="L73" s="194"/>
      <c r="M73" s="194">
        <v>0.54554653679653675</v>
      </c>
      <c r="N73" s="68">
        <v>1</v>
      </c>
      <c r="P73" s="69"/>
    </row>
    <row r="74" spans="2:57">
      <c r="B74" s="22" t="s">
        <v>33</v>
      </c>
      <c r="C74" s="65"/>
      <c r="D74" s="76"/>
      <c r="E74" s="76">
        <v>2.2218158544390558</v>
      </c>
      <c r="F74" s="66">
        <v>3.3</v>
      </c>
      <c r="G74" s="65"/>
      <c r="H74" s="76"/>
      <c r="I74" s="76">
        <v>5.0359151649923692</v>
      </c>
      <c r="J74" s="66">
        <v>3.3</v>
      </c>
      <c r="K74" s="67"/>
      <c r="L74" s="194"/>
      <c r="M74" s="194">
        <v>0.87880701754385959</v>
      </c>
      <c r="N74" s="68">
        <v>1</v>
      </c>
      <c r="P74" s="69"/>
    </row>
    <row r="75" spans="2:57">
      <c r="B75" s="35" t="s">
        <v>29</v>
      </c>
      <c r="C75" s="65"/>
      <c r="D75" s="76"/>
      <c r="E75" s="76"/>
      <c r="F75" s="66">
        <v>3.3</v>
      </c>
      <c r="G75" s="282"/>
      <c r="H75" s="76"/>
      <c r="I75" s="76"/>
      <c r="J75" s="66">
        <v>3</v>
      </c>
      <c r="L75" s="194"/>
      <c r="M75" s="194"/>
      <c r="N75" s="68">
        <v>1</v>
      </c>
      <c r="P75" s="69"/>
    </row>
    <row r="76" spans="2:57">
      <c r="B76" s="36" t="s">
        <v>15</v>
      </c>
      <c r="C76" s="282"/>
      <c r="D76" s="76"/>
      <c r="E76" s="76">
        <v>7.8262258425171876</v>
      </c>
      <c r="F76" s="70">
        <f>[21]May_2022!$M$43</f>
        <v>3.4878406700073312</v>
      </c>
      <c r="G76" s="282"/>
      <c r="H76" s="76"/>
      <c r="I76" s="76">
        <v>9.4300678869947632</v>
      </c>
      <c r="J76" s="66">
        <v>5.5</v>
      </c>
      <c r="K76" s="67"/>
      <c r="L76" s="194"/>
      <c r="M76" s="194">
        <v>0.674970760233918</v>
      </c>
      <c r="N76" s="68">
        <v>1</v>
      </c>
      <c r="P76" s="69"/>
    </row>
    <row r="77" spans="2:57">
      <c r="B77" s="37" t="s">
        <v>16</v>
      </c>
      <c r="C77" s="65"/>
      <c r="D77" s="76">
        <v>3.8832609744331941</v>
      </c>
      <c r="E77" s="76">
        <v>2.4852159592783925</v>
      </c>
      <c r="F77" s="66">
        <v>3.3</v>
      </c>
      <c r="G77" s="282"/>
      <c r="H77" s="76">
        <v>4.1755914731086534</v>
      </c>
      <c r="I77" s="76">
        <v>4.4843055604984379</v>
      </c>
      <c r="J77" s="66">
        <v>3.3</v>
      </c>
      <c r="K77" s="67"/>
      <c r="L77" s="194">
        <v>0.69912280701754381</v>
      </c>
      <c r="M77" s="194">
        <v>0.79924705882352942</v>
      </c>
      <c r="N77" s="71">
        <v>1</v>
      </c>
      <c r="P77" s="69"/>
    </row>
    <row r="78" spans="2:57" ht="14.4" thickBot="1">
      <c r="B78" s="38" t="s">
        <v>127</v>
      </c>
      <c r="C78" s="65"/>
      <c r="D78" s="76"/>
      <c r="E78" s="76"/>
      <c r="F78" s="66">
        <v>7.5</v>
      </c>
      <c r="G78" s="282"/>
      <c r="H78" s="76"/>
      <c r="I78" s="76"/>
      <c r="J78" s="66">
        <v>7.5</v>
      </c>
      <c r="K78" s="67"/>
      <c r="L78" s="194"/>
      <c r="M78" s="194"/>
      <c r="N78" s="71">
        <v>1</v>
      </c>
      <c r="P78" s="69"/>
    </row>
    <row r="79" spans="2:57" ht="14.4" thickBot="1">
      <c r="B79" s="417" t="s">
        <v>161</v>
      </c>
      <c r="C79" s="65"/>
      <c r="D79" s="76"/>
      <c r="E79" s="76">
        <v>4.8792508624938291</v>
      </c>
      <c r="F79" s="66">
        <v>4.8</v>
      </c>
      <c r="G79" s="282"/>
      <c r="H79" s="76"/>
      <c r="I79" s="76">
        <v>6.2003723782925313</v>
      </c>
      <c r="J79" s="66">
        <v>4.8</v>
      </c>
      <c r="K79" s="67"/>
      <c r="L79" s="194">
        <v>0</v>
      </c>
      <c r="M79" s="194">
        <v>0.33859649122807017</v>
      </c>
      <c r="N79" s="71">
        <v>1</v>
      </c>
      <c r="O79" s="74"/>
      <c r="P79" s="75"/>
    </row>
    <row r="80" spans="2:57">
      <c r="D80" s="76">
        <v>5.0245864997764906</v>
      </c>
      <c r="E80" s="76">
        <v>6.6942370918715524</v>
      </c>
      <c r="F80" s="341">
        <v>5.5</v>
      </c>
      <c r="H80" s="76">
        <v>4.1529097156813455</v>
      </c>
      <c r="I80" s="76">
        <v>7.2903125318942692</v>
      </c>
      <c r="J80" s="341">
        <v>5.5</v>
      </c>
      <c r="K80" s="67"/>
      <c r="L80" s="194">
        <v>0.75474658869395705</v>
      </c>
      <c r="M80" s="194">
        <v>0.74000443599493015</v>
      </c>
      <c r="N80" s="386">
        <v>1</v>
      </c>
    </row>
    <row r="84" spans="6:6">
      <c r="F84" s="315"/>
    </row>
  </sheetData>
  <mergeCells count="51">
    <mergeCell ref="M63:M64"/>
    <mergeCell ref="B69:F69"/>
    <mergeCell ref="G69:J69"/>
    <mergeCell ref="K69:N69"/>
    <mergeCell ref="G63:G64"/>
    <mergeCell ref="H63:H64"/>
    <mergeCell ref="I63:I64"/>
    <mergeCell ref="J63:J64"/>
    <mergeCell ref="K63:K64"/>
    <mergeCell ref="L63:L64"/>
    <mergeCell ref="F63:F64"/>
    <mergeCell ref="D58:E58"/>
    <mergeCell ref="B63:B64"/>
    <mergeCell ref="C63:C64"/>
    <mergeCell ref="D63:D64"/>
    <mergeCell ref="E63:E64"/>
    <mergeCell ref="B48:B57"/>
    <mergeCell ref="D48:E49"/>
    <mergeCell ref="J48:K48"/>
    <mergeCell ref="L49:N49"/>
    <mergeCell ref="D50:E51"/>
    <mergeCell ref="D52:E53"/>
    <mergeCell ref="D54:E55"/>
    <mergeCell ref="D56:E57"/>
    <mergeCell ref="I34:N34"/>
    <mergeCell ref="D35:E35"/>
    <mergeCell ref="B36:B47"/>
    <mergeCell ref="D36:E37"/>
    <mergeCell ref="D38:E39"/>
    <mergeCell ref="D40:E41"/>
    <mergeCell ref="D42:E43"/>
    <mergeCell ref="D44:E45"/>
    <mergeCell ref="D46:E4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8:B59">
    <cfRule type="cellIs" dxfId="1721" priority="121" operator="notBetween">
      <formula>#REF!</formula>
      <formula>#REF!</formula>
    </cfRule>
  </conditionalFormatting>
  <conditionalFormatting sqref="C62">
    <cfRule type="cellIs" dxfId="1720" priority="153" stopIfTrue="1" operator="greaterThan">
      <formula>100</formula>
    </cfRule>
    <cfRule type="cellIs" dxfId="1719" priority="152" stopIfTrue="1" operator="lessThan">
      <formula>96</formula>
    </cfRule>
  </conditionalFormatting>
  <conditionalFormatting sqref="C71:C72">
    <cfRule type="cellIs" dxfId="1718" priority="97" stopIfTrue="1" operator="lessThanOrEqual">
      <formula>0</formula>
    </cfRule>
  </conditionalFormatting>
  <conditionalFormatting sqref="C71:C75">
    <cfRule type="cellIs" dxfId="1717" priority="96" stopIfTrue="1" operator="greaterThan">
      <formula>$F71</formula>
    </cfRule>
  </conditionalFormatting>
  <conditionalFormatting sqref="C72">
    <cfRule type="cellIs" dxfId="1716" priority="156" stopIfTrue="1" operator="greaterThan">
      <formula>$F71</formula>
    </cfRule>
  </conditionalFormatting>
  <conditionalFormatting sqref="C73:C76">
    <cfRule type="cellIs" dxfId="1715" priority="105" stopIfTrue="1" operator="lessThanOrEqual">
      <formula>0</formula>
    </cfRule>
  </conditionalFormatting>
  <conditionalFormatting sqref="C76">
    <cfRule type="cellIs" dxfId="1714" priority="104" stopIfTrue="1" operator="greaterThan">
      <formula>$J76</formula>
    </cfRule>
  </conditionalFormatting>
  <conditionalFormatting sqref="C82:C86">
    <cfRule type="cellIs" dxfId="1713" priority="144" stopIfTrue="1" operator="lessThanOrEqual">
      <formula>0</formula>
    </cfRule>
  </conditionalFormatting>
  <conditionalFormatting sqref="C83:C86">
    <cfRule type="cellIs" dxfId="1712" priority="143" stopIfTrue="1" operator="greaterThan">
      <formula>$F$82</formula>
    </cfRule>
  </conditionalFormatting>
  <conditionalFormatting sqref="C88">
    <cfRule type="cellIs" dxfId="1711" priority="145" stopIfTrue="1" operator="greaterThan">
      <formula>$F$82</formula>
    </cfRule>
    <cfRule type="cellIs" dxfId="1710" priority="146" stopIfTrue="1" operator="lessThanOrEqual">
      <formula>0</formula>
    </cfRule>
  </conditionalFormatting>
  <conditionalFormatting sqref="C82:D82 D84:D90">
    <cfRule type="cellIs" dxfId="1709" priority="138" stopIfTrue="1" operator="greaterThan">
      <formula>4.5</formula>
    </cfRule>
  </conditionalFormatting>
  <conditionalFormatting sqref="D58:D59">
    <cfRule type="cellIs" dxfId="1708" priority="122" operator="notBetween">
      <formula>#REF!</formula>
      <formula>#REF!</formula>
    </cfRule>
  </conditionalFormatting>
  <conditionalFormatting sqref="D71:D78">
    <cfRule type="cellIs" dxfId="1707" priority="115" stopIfTrue="1" operator="lessThanOrEqual">
      <formula>0</formula>
    </cfRule>
  </conditionalFormatting>
  <conditionalFormatting sqref="D79">
    <cfRule type="cellIs" dxfId="1706" priority="114" stopIfTrue="1" operator="lessThanOrEqual">
      <formula>0</formula>
    </cfRule>
  </conditionalFormatting>
  <conditionalFormatting sqref="D82 D84:D90">
    <cfRule type="cellIs" dxfId="1705" priority="139" stopIfTrue="1" operator="lessThanOrEqual">
      <formula>0</formula>
    </cfRule>
  </conditionalFormatting>
  <conditionalFormatting sqref="D83">
    <cfRule type="cellIs" dxfId="1704" priority="131" stopIfTrue="1" operator="lessThanOrEqual">
      <formula>0</formula>
    </cfRule>
    <cfRule type="cellIs" dxfId="1703" priority="130" stopIfTrue="1" operator="greaterThan">
      <formula>$F$82</formula>
    </cfRule>
  </conditionalFormatting>
  <conditionalFormatting sqref="D71:E80">
    <cfRule type="cellIs" dxfId="1702" priority="93" stopIfTrue="1" operator="greaterThan">
      <formula>$F71</formula>
    </cfRule>
  </conditionalFormatting>
  <conditionalFormatting sqref="D80:E80">
    <cfRule type="cellIs" dxfId="1701" priority="94" stopIfTrue="1" operator="lessThanOrEqual">
      <formula>0</formula>
    </cfRule>
  </conditionalFormatting>
  <conditionalFormatting sqref="E10:E33">
    <cfRule type="cellIs" dxfId="1700" priority="6" operator="lessThan">
      <formula>48</formula>
    </cfRule>
  </conditionalFormatting>
  <conditionalFormatting sqref="E61 E62:F62">
    <cfRule type="cellIs" dxfId="1699" priority="135" stopIfTrue="1" operator="greaterThan">
      <formula>100</formula>
    </cfRule>
  </conditionalFormatting>
  <conditionalFormatting sqref="E62">
    <cfRule type="cellIs" dxfId="1698" priority="133" stopIfTrue="1" operator="greaterThan">
      <formula>100</formula>
    </cfRule>
    <cfRule type="cellIs" dxfId="1697" priority="132" stopIfTrue="1" operator="lessThan">
      <formula>96.8</formula>
    </cfRule>
  </conditionalFormatting>
  <conditionalFormatting sqref="E71:E79">
    <cfRule type="cellIs" dxfId="1696" priority="109" stopIfTrue="1" operator="lessThanOrEqual">
      <formula>0</formula>
    </cfRule>
  </conditionalFormatting>
  <conditionalFormatting sqref="E82:E90">
    <cfRule type="cellIs" dxfId="1695" priority="125" stopIfTrue="1" operator="lessThanOrEqual">
      <formula>0</formula>
    </cfRule>
    <cfRule type="cellIs" dxfId="1694" priority="124" stopIfTrue="1" operator="greaterThan">
      <formula>4.5</formula>
    </cfRule>
  </conditionalFormatting>
  <conditionalFormatting sqref="E62:F62 E61">
    <cfRule type="cellIs" dxfId="1693" priority="134" stopIfTrue="1" operator="lessThan">
      <formula>96.5</formula>
    </cfRule>
  </conditionalFormatting>
  <conditionalFormatting sqref="F10:F33">
    <cfRule type="cellIs" dxfId="1692" priority="7" operator="greaterThan">
      <formula>60</formula>
    </cfRule>
  </conditionalFormatting>
  <conditionalFormatting sqref="F62">
    <cfRule type="cellIs" dxfId="1691" priority="150" stopIfTrue="1" operator="lessThan">
      <formula>96.8</formula>
    </cfRule>
    <cfRule type="cellIs" dxfId="1690" priority="151" stopIfTrue="1" operator="greaterThan">
      <formula>100</formula>
    </cfRule>
  </conditionalFormatting>
  <conditionalFormatting sqref="F80">
    <cfRule type="cellIs" dxfId="1689" priority="110" stopIfTrue="1" operator="greaterThan">
      <formula>$F80</formula>
    </cfRule>
    <cfRule type="cellIs" dxfId="1688" priority="111" stopIfTrue="1" operator="lessThanOrEqual">
      <formula>0</formula>
    </cfRule>
  </conditionalFormatting>
  <conditionalFormatting sqref="G17:G24 G27:G30">
    <cfRule type="expression" dxfId="1687" priority="13">
      <formula>IF(+(IF(G17&lt;$S$10,0,IF(G17&gt;$T$10,0,1)))=0,1)</formula>
    </cfRule>
  </conditionalFormatting>
  <conditionalFormatting sqref="G71:G72 C77:C79">
    <cfRule type="cellIs" dxfId="1686" priority="117" stopIfTrue="1" operator="lessThanOrEqual">
      <formula>0</formula>
    </cfRule>
    <cfRule type="cellIs" dxfId="1685" priority="116" stopIfTrue="1" operator="greaterThan">
      <formula>$F71</formula>
    </cfRule>
  </conditionalFormatting>
  <conditionalFormatting sqref="G71:G72">
    <cfRule type="cellIs" dxfId="1684" priority="99" stopIfTrue="1" operator="lessThanOrEqual">
      <formula>0</formula>
    </cfRule>
    <cfRule type="cellIs" dxfId="1683" priority="98" stopIfTrue="1" operator="greaterThan">
      <formula>$F71</formula>
    </cfRule>
  </conditionalFormatting>
  <conditionalFormatting sqref="G73">
    <cfRule type="cellIs" dxfId="1682" priority="154" stopIfTrue="1" operator="greaterThan">
      <formula>$F72</formula>
    </cfRule>
    <cfRule type="cellIs" dxfId="1681" priority="155" stopIfTrue="1" operator="lessThanOrEqual">
      <formula>0</formula>
    </cfRule>
  </conditionalFormatting>
  <conditionalFormatting sqref="G74">
    <cfRule type="cellIs" dxfId="1680" priority="113" stopIfTrue="1" operator="lessThanOrEqual">
      <formula>0</formula>
    </cfRule>
    <cfRule type="cellIs" dxfId="1679" priority="112" stopIfTrue="1" operator="greaterThan">
      <formula>$F74</formula>
    </cfRule>
  </conditionalFormatting>
  <conditionalFormatting sqref="G75:G79">
    <cfRule type="cellIs" dxfId="1678" priority="118" stopIfTrue="1" operator="greaterThan">
      <formula>$J75</formula>
    </cfRule>
    <cfRule type="cellIs" dxfId="1677" priority="119" stopIfTrue="1" operator="lessThanOrEqual">
      <formula>0</formula>
    </cfRule>
  </conditionalFormatting>
  <conditionalFormatting sqref="G84:G89 C87 C89">
    <cfRule type="cellIs" dxfId="1676" priority="147" stopIfTrue="1" operator="greaterThan">
      <formula>4.5</formula>
    </cfRule>
    <cfRule type="cellIs" dxfId="1675" priority="148" stopIfTrue="1" operator="lessThanOrEqual">
      <formula>0</formula>
    </cfRule>
  </conditionalFormatting>
  <conditionalFormatting sqref="G10:H16">
    <cfRule type="expression" dxfId="1674" priority="24">
      <formula>IF(+(IF(G10&lt;#REF!,0,IF(G10&gt;#REF!,0,1)))=0,1)</formula>
    </cfRule>
  </conditionalFormatting>
  <conditionalFormatting sqref="G25:H26">
    <cfRule type="expression" dxfId="1673" priority="10">
      <formula>IF(+(IF(G25&lt;#REF!,0,IF(G25&gt;#REF!,0,1)))=0,1)</formula>
    </cfRule>
  </conditionalFormatting>
  <conditionalFormatting sqref="G83:H83">
    <cfRule type="cellIs" dxfId="1672" priority="128" stopIfTrue="1" operator="greaterThan">
      <formula>$F$82</formula>
    </cfRule>
    <cfRule type="cellIs" dxfId="1671" priority="129" stopIfTrue="1" operator="lessThanOrEqual">
      <formula>0</formula>
    </cfRule>
  </conditionalFormatting>
  <conditionalFormatting sqref="H17:H24 H27:H30 G31:G33">
    <cfRule type="expression" dxfId="1670" priority="56">
      <formula>IF(+(IF(G17&lt;#REF!,0,IF(G17&gt;#REF!,0,1)))=0,1)</formula>
    </cfRule>
  </conditionalFormatting>
  <conditionalFormatting sqref="H31:H33">
    <cfRule type="expression" dxfId="1669" priority="57">
      <formula>IF(+(IF(H31&lt;T31,0,IF(H31&gt;U31,0,1)))=0,1)</formula>
    </cfRule>
  </conditionalFormatting>
  <conditionalFormatting sqref="H47:H61">
    <cfRule type="cellIs" dxfId="1668" priority="126" stopIfTrue="1" operator="greaterThan">
      <formula>0</formula>
    </cfRule>
  </conditionalFormatting>
  <conditionalFormatting sqref="H65">
    <cfRule type="cellIs" dxfId="1667" priority="41" stopIfTrue="1" operator="greaterThan">
      <formula>$F$35</formula>
    </cfRule>
    <cfRule type="cellIs" dxfId="1666" priority="50" stopIfTrue="1" operator="lessThanOrEqual">
      <formula>0</formula>
    </cfRule>
    <cfRule type="cellIs" dxfId="1665" priority="51" stopIfTrue="1" operator="greaterThan">
      <formula>$F$36</formula>
    </cfRule>
    <cfRule type="cellIs" dxfId="1664" priority="49" stopIfTrue="1" operator="greaterThan">
      <formula>$F$38</formula>
    </cfRule>
    <cfRule type="cellIs" dxfId="1663" priority="40" stopIfTrue="1" operator="lessThanOrEqual">
      <formula>0</formula>
    </cfRule>
    <cfRule type="cellIs" dxfId="1662" priority="52" stopIfTrue="1" operator="lessThanOrEqual">
      <formula>0</formula>
    </cfRule>
  </conditionalFormatting>
  <conditionalFormatting sqref="H66:H67">
    <cfRule type="cellIs" dxfId="1661" priority="66" stopIfTrue="1" operator="lessThanOrEqual">
      <formula>0</formula>
    </cfRule>
    <cfRule type="cellIs" dxfId="1660" priority="67" stopIfTrue="1" operator="greaterThan">
      <formula>$F$46</formula>
    </cfRule>
    <cfRule type="cellIs" dxfId="1659" priority="75" stopIfTrue="1" operator="greaterThan">
      <formula>$F$49</formula>
    </cfRule>
    <cfRule type="cellIs" dxfId="1658" priority="76" stopIfTrue="1" operator="lessThanOrEqual">
      <formula>0</formula>
    </cfRule>
    <cfRule type="cellIs" dxfId="1657" priority="77" stopIfTrue="1" operator="greaterThan">
      <formula>$F$47</formula>
    </cfRule>
    <cfRule type="cellIs" dxfId="1656" priority="78" stopIfTrue="1" operator="lessThanOrEqual">
      <formula>0</formula>
    </cfRule>
  </conditionalFormatting>
  <conditionalFormatting sqref="H71:H78">
    <cfRule type="cellIs" dxfId="1655" priority="103" stopIfTrue="1" operator="lessThanOrEqual">
      <formula>0</formula>
    </cfRule>
    <cfRule type="cellIs" dxfId="1654" priority="102" stopIfTrue="1" operator="greaterThan">
      <formula>$J71</formula>
    </cfRule>
  </conditionalFormatting>
  <conditionalFormatting sqref="H79">
    <cfRule type="cellIs" dxfId="1653" priority="106" operator="greaterThan">
      <formula>5.3</formula>
    </cfRule>
  </conditionalFormatting>
  <conditionalFormatting sqref="H82 H84:H90">
    <cfRule type="cellIs" dxfId="1652" priority="141" stopIfTrue="1" operator="lessThanOrEqual">
      <formula>0</formula>
    </cfRule>
    <cfRule type="cellIs" dxfId="1651" priority="140" stopIfTrue="1" operator="greaterThan">
      <formula>4.5</formula>
    </cfRule>
  </conditionalFormatting>
  <conditionalFormatting sqref="H65:I65">
    <cfRule type="cellIs" dxfId="1650" priority="39" stopIfTrue="1" operator="greaterThan">
      <formula>$F$37</formula>
    </cfRule>
    <cfRule type="cellIs" dxfId="1649" priority="42" stopIfTrue="1" operator="lessThanOrEqual">
      <formula>0</formula>
    </cfRule>
  </conditionalFormatting>
  <conditionalFormatting sqref="H66:I67">
    <cfRule type="cellIs" dxfId="1648" priority="68" stopIfTrue="1" operator="lessThanOrEqual">
      <formula>0</formula>
    </cfRule>
    <cfRule type="cellIs" dxfId="1647" priority="65" stopIfTrue="1" operator="greaterThan">
      <formula>$F$48</formula>
    </cfRule>
  </conditionalFormatting>
  <conditionalFormatting sqref="H80:I80">
    <cfRule type="cellIs" dxfId="1646" priority="92" stopIfTrue="1" operator="lessThanOrEqual">
      <formula>0</formula>
    </cfRule>
    <cfRule type="cellIs" dxfId="1645" priority="91" stopIfTrue="1" operator="greaterThan">
      <formula>$J80</formula>
    </cfRule>
  </conditionalFormatting>
  <conditionalFormatting sqref="I31:I33">
    <cfRule type="cellIs" dxfId="1644" priority="64" operator="lessThan">
      <formula>97.9</formula>
    </cfRule>
  </conditionalFormatting>
  <conditionalFormatting sqref="I50:I59">
    <cfRule type="cellIs" dxfId="1643" priority="27" operator="notEqual">
      <formula>#REF!</formula>
    </cfRule>
  </conditionalFormatting>
  <conditionalFormatting sqref="I65">
    <cfRule type="cellIs" dxfId="1642" priority="45" stopIfTrue="1" operator="greaterThan">
      <formula>$F$37</formula>
    </cfRule>
    <cfRule type="cellIs" dxfId="1641" priority="44" stopIfTrue="1" operator="lessThanOrEqual">
      <formula>0</formula>
    </cfRule>
    <cfRule type="cellIs" dxfId="1640" priority="48" stopIfTrue="1" operator="lessThanOrEqual">
      <formula>0</formula>
    </cfRule>
    <cfRule type="cellIs" dxfId="1639" priority="43" stopIfTrue="1" operator="greaterThan">
      <formula>$F$35</formula>
    </cfRule>
    <cfRule type="cellIs" dxfId="1638" priority="47" stopIfTrue="1" operator="greaterThan">
      <formula>$F$35</formula>
    </cfRule>
    <cfRule type="cellIs" dxfId="1637" priority="46" stopIfTrue="1" operator="lessThanOrEqual">
      <formula>0</formula>
    </cfRule>
  </conditionalFormatting>
  <conditionalFormatting sqref="I66:I67">
    <cfRule type="cellIs" dxfId="1636" priority="74" stopIfTrue="1" operator="lessThanOrEqual">
      <formula>0</formula>
    </cfRule>
    <cfRule type="cellIs" dxfId="1635" priority="73" stopIfTrue="1" operator="greaterThan">
      <formula>$F$46</formula>
    </cfRule>
    <cfRule type="cellIs" dxfId="1634" priority="71" stopIfTrue="1" operator="greaterThan">
      <formula>$F$48</formula>
    </cfRule>
    <cfRule type="cellIs" dxfId="1633" priority="70" stopIfTrue="1" operator="lessThanOrEqual">
      <formula>0</formula>
    </cfRule>
    <cfRule type="cellIs" dxfId="1632" priority="69" stopIfTrue="1" operator="greaterThan">
      <formula>$F$46</formula>
    </cfRule>
    <cfRule type="cellIs" dxfId="1631" priority="72" stopIfTrue="1" operator="lessThanOrEqual">
      <formula>0</formula>
    </cfRule>
  </conditionalFormatting>
  <conditionalFormatting sqref="I71:I79">
    <cfRule type="cellIs" dxfId="1630" priority="107" stopIfTrue="1" operator="greaterThan">
      <formula>$J71</formula>
    </cfRule>
    <cfRule type="cellIs" dxfId="1629" priority="108" stopIfTrue="1" operator="lessThanOrEqual">
      <formula>0</formula>
    </cfRule>
  </conditionalFormatting>
  <conditionalFormatting sqref="I82:I90">
    <cfRule type="cellIs" dxfId="1628" priority="137" stopIfTrue="1" operator="lessThanOrEqual">
      <formula>0</formula>
    </cfRule>
    <cfRule type="cellIs" dxfId="1627" priority="136" stopIfTrue="1" operator="greaterThan">
      <formula>4.5</formula>
    </cfRule>
  </conditionalFormatting>
  <conditionalFormatting sqref="I10:J30">
    <cfRule type="cellIs" dxfId="1626" priority="5" operator="lessThan">
      <formula>97.9</formula>
    </cfRule>
  </conditionalFormatting>
  <conditionalFormatting sqref="J31:J33">
    <cfRule type="cellIs" dxfId="1625" priority="63" operator="greaterThan">
      <formula>6.4</formula>
    </cfRule>
    <cfRule type="cellIs" dxfId="1624" priority="60" operator="lessThan">
      <formula>4</formula>
    </cfRule>
    <cfRule type="cellIs" dxfId="1623" priority="59" operator="greaterThan">
      <formula>6</formula>
    </cfRule>
  </conditionalFormatting>
  <conditionalFormatting sqref="J36:J38">
    <cfRule type="cellIs" dxfId="1622" priority="81" stopIfTrue="1" operator="lessThan">
      <formula>96.8</formula>
    </cfRule>
    <cfRule type="cellIs" dxfId="1621" priority="82" stopIfTrue="1" operator="greaterThan">
      <formula>100</formula>
    </cfRule>
    <cfRule type="cellIs" dxfId="1620" priority="83" operator="lessThan">
      <formula>98</formula>
    </cfRule>
  </conditionalFormatting>
  <conditionalFormatting sqref="J36:J40">
    <cfRule type="cellIs" dxfId="1619" priority="80" operator="lessThan">
      <formula>97.4</formula>
    </cfRule>
  </conditionalFormatting>
  <conditionalFormatting sqref="J41">
    <cfRule type="cellIs" dxfId="1618" priority="84" operator="lessThan">
      <formula>98</formula>
    </cfRule>
  </conditionalFormatting>
  <conditionalFormatting sqref="J42:J44">
    <cfRule type="cellIs" dxfId="1617" priority="85" stopIfTrue="1" operator="lessThan">
      <formula>96.8</formula>
    </cfRule>
    <cfRule type="cellIs" dxfId="1616" priority="86" stopIfTrue="1" operator="greaterThan">
      <formula>100</formula>
    </cfRule>
  </conditionalFormatting>
  <conditionalFormatting sqref="J42:J45">
    <cfRule type="cellIs" dxfId="1615" priority="87" operator="lessThan">
      <formula>98</formula>
    </cfRule>
  </conditionalFormatting>
  <conditionalFormatting sqref="J80">
    <cfRule type="cellIs" dxfId="1614" priority="89" stopIfTrue="1" operator="lessThanOrEqual">
      <formula>0</formula>
    </cfRule>
    <cfRule type="cellIs" dxfId="1613" priority="88" stopIfTrue="1" operator="greaterThan">
      <formula>$F80</formula>
    </cfRule>
  </conditionalFormatting>
  <conditionalFormatting sqref="K10:K30">
    <cfRule type="cellIs" dxfId="1612" priority="3" operator="lessThan">
      <formula>4</formula>
    </cfRule>
    <cfRule type="cellIs" dxfId="1611" priority="2" operator="greaterThan">
      <formula>6</formula>
    </cfRule>
    <cfRule type="cellIs" dxfId="1610" priority="4" operator="greaterThan">
      <formula>6.4</formula>
    </cfRule>
  </conditionalFormatting>
  <conditionalFormatting sqref="K31:K33">
    <cfRule type="cellIs" dxfId="1609" priority="62" operator="greaterThan">
      <formula>65</formula>
    </cfRule>
    <cfRule type="cellIs" dxfId="1608" priority="61" operator="between">
      <formula>61</formula>
      <formula>65</formula>
    </cfRule>
  </conditionalFormatting>
  <conditionalFormatting sqref="K50:K59">
    <cfRule type="cellIs" dxfId="1607" priority="79" operator="notEqual">
      <formula>#REF!</formula>
    </cfRule>
  </conditionalFormatting>
  <conditionalFormatting sqref="K65:K67 K71:N74 L75:N75">
    <cfRule type="cellIs" dxfId="1606" priority="120" stopIfTrue="1" operator="lessThan">
      <formula>100%</formula>
    </cfRule>
  </conditionalFormatting>
  <conditionalFormatting sqref="K82:K87">
    <cfRule type="cellIs" dxfId="1605" priority="142" stopIfTrue="1" operator="lessThan">
      <formula>100%</formula>
    </cfRule>
  </conditionalFormatting>
  <conditionalFormatting sqref="K89:K90">
    <cfRule type="cellIs" dxfId="1604" priority="149" stopIfTrue="1" operator="lessThan">
      <formula>100%</formula>
    </cfRule>
  </conditionalFormatting>
  <conditionalFormatting sqref="K76:N80">
    <cfRule type="cellIs" dxfId="1603" priority="90" stopIfTrue="1" operator="lessThan">
      <formula>100%</formula>
    </cfRule>
  </conditionalFormatting>
  <conditionalFormatting sqref="L17:L30">
    <cfRule type="cellIs" dxfId="1602" priority="11" operator="between">
      <formula>61</formula>
      <formula>65</formula>
    </cfRule>
    <cfRule type="cellIs" dxfId="1601" priority="12" operator="greaterThan">
      <formula>65</formula>
    </cfRule>
  </conditionalFormatting>
  <conditionalFormatting sqref="L10:M16">
    <cfRule type="cellIs" dxfId="1600" priority="25" operator="between">
      <formula>61</formula>
      <formula>65</formula>
    </cfRule>
    <cfRule type="cellIs" dxfId="1599" priority="26" operator="greaterThan">
      <formula>65</formula>
    </cfRule>
  </conditionalFormatting>
  <conditionalFormatting sqref="L31:M33">
    <cfRule type="expression" dxfId="1598" priority="58">
      <formula>IF(+(IF(L31&lt;T31,0,IF(L31&gt;U31,0,1)))=0,1)</formula>
    </cfRule>
  </conditionalFormatting>
  <conditionalFormatting sqref="L51:N51">
    <cfRule type="cellIs" dxfId="1597" priority="54" operator="notEqual">
      <formula>#REF!</formula>
    </cfRule>
  </conditionalFormatting>
  <conditionalFormatting sqref="L82:N90">
    <cfRule type="cellIs" dxfId="1596" priority="127" stopIfTrue="1" operator="lessThan">
      <formula>100%</formula>
    </cfRule>
  </conditionalFormatting>
  <conditionalFormatting sqref="M10:M24">
    <cfRule type="expression" dxfId="1595" priority="36">
      <formula>IF(+(IF(M10&lt;U10,0,IF(M10&gt;V10,0,1)))=0,1)</formula>
    </cfRule>
  </conditionalFormatting>
  <conditionalFormatting sqref="M25:M30">
    <cfRule type="expression" dxfId="1594" priority="9">
      <formula>IF(+(IF(M25&lt;U25,0,IF(M25&gt;V25,0,1)))=0,1)</formula>
    </cfRule>
  </conditionalFormatting>
  <conditionalFormatting sqref="M36 L37:M47">
    <cfRule type="cellIs" dxfId="1593" priority="95" operator="lessThan">
      <formula>98</formula>
    </cfRule>
  </conditionalFormatting>
  <conditionalFormatting sqref="N10:N26">
    <cfRule type="expression" dxfId="1592" priority="1">
      <formula>IF(+(IF(N10&lt;W10,0,IF(N10&gt;X10,0,1)))=0,1)</formula>
    </cfRule>
  </conditionalFormatting>
  <conditionalFormatting sqref="N27:N30">
    <cfRule type="expression" dxfId="1591" priority="15">
      <formula>IF(+(IF(N27&lt;X27,0,IF(N27&gt;Y27,0,1)))=0,1)</formula>
    </cfRule>
  </conditionalFormatting>
  <conditionalFormatting sqref="N31:N33">
    <cfRule type="expression" dxfId="1590" priority="35">
      <formula>IF(+(IF(N31&lt;W31,0,IF(N31&gt;X31,0,1)))=0,1)</formula>
    </cfRule>
  </conditionalFormatting>
  <conditionalFormatting sqref="P6">
    <cfRule type="cellIs" dxfId="1589" priority="123" operator="greaterThanOrEqual">
      <formula>19</formula>
    </cfRule>
  </conditionalFormatting>
  <dataValidations count="1">
    <dataValidation type="list" allowBlank="1" showInputMessage="1" showErrorMessage="1" sqref="R8" xr:uid="{C359FC12-A0F8-49EE-8D86-CF007D7429A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84" max="16383" man="1"/>
  </rowBreaks>
  <colBreaks count="1" manualBreakCount="1">
    <brk id="15" max="89" man="1"/>
  </col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A2C7D-C5D0-493D-B01A-03668E231A5C}">
  <sheetPr codeName="Sheet8">
    <pageSetUpPr fitToPage="1"/>
  </sheetPr>
  <dimension ref="A1:BE67"/>
  <sheetViews>
    <sheetView zoomScale="80" zoomScaleNormal="80" workbookViewId="0">
      <selection activeCell="G57" sqref="G57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57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45790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6.5" customHeight="1">
      <c r="B10" s="29" t="s">
        <v>6</v>
      </c>
      <c r="C10" s="366" t="str">
        <f>[22]Brewhouse!$A434</f>
        <v>CA329</v>
      </c>
      <c r="D10" s="279">
        <f>[22]Brewhouse!$AF434</f>
        <v>56.3</v>
      </c>
      <c r="E10" s="279">
        <f>[22]Brewhouse!$AI434</f>
        <v>51</v>
      </c>
      <c r="F10" s="278">
        <f>[22]Brewhouse!$V434</f>
        <v>66</v>
      </c>
      <c r="G10" s="279">
        <f>[22]Brewhouse!$AG434</f>
        <v>11.97</v>
      </c>
      <c r="H10" s="396">
        <v>11.8</v>
      </c>
      <c r="I10" s="368">
        <f>[22]Brewhouse!$AU434</f>
        <v>103.55060702259473</v>
      </c>
      <c r="J10" s="368">
        <f>[22]Brewhouse!$AV434</f>
        <v>105.39711274567536</v>
      </c>
      <c r="K10" s="281">
        <f>[22]Brewhouse!$Q434</f>
        <v>-0.68840579710144101</v>
      </c>
      <c r="L10" s="276">
        <f>[22]Brewhouse!$P434</f>
        <v>61</v>
      </c>
      <c r="M10" s="397">
        <f>[22]Brewhouse!$U434-[22]Brewhouse!$T434</f>
        <v>0.1659722222222223</v>
      </c>
      <c r="N10" s="370">
        <f>[22]Brewhouse!$Z434</f>
        <v>0.30138888888888893</v>
      </c>
      <c r="O10" s="371" t="str">
        <f>[22]Brewhouse!$AX434</f>
        <v>K.Benjamin</v>
      </c>
      <c r="P10" s="423" t="s">
        <v>192</v>
      </c>
      <c r="R10" s="277" t="str">
        <f t="shared" ref="R10:R17" si="0">B10</f>
        <v>CARIB</v>
      </c>
      <c r="S10" s="296">
        <f t="shared" ref="S10:S17" si="1">VLOOKUP($B10,$R$3:$X$9,2,FALSE)</f>
        <v>11.6</v>
      </c>
      <c r="T10" s="296">
        <f t="shared" ref="T10:T17" si="2">VLOOKUP($B10,$R$3:$X$9,3,FALSE)</f>
        <v>12</v>
      </c>
      <c r="U10" s="297">
        <f t="shared" ref="U10:U17" si="3">VLOOKUP($B10,$R$3:$X$9,4,FALSE)</f>
        <v>0</v>
      </c>
      <c r="V10" s="297">
        <f t="shared" ref="V10:V17" si="4">VLOOKUP($B10,$R$3:$X$9,5,FALSE)</f>
        <v>0.118055555555556</v>
      </c>
      <c r="W10" s="297">
        <f t="shared" ref="W10:W17" si="5">VLOOKUP($B10,$R$3:$X$9,6,FALSE)</f>
        <v>0.22569444444444445</v>
      </c>
      <c r="X10" s="297">
        <f t="shared" ref="X10:X17" si="6">VLOOKUP($B10,$R$3:$X$9,7,FALSE)</f>
        <v>0.2638888888888889</v>
      </c>
      <c r="Y10" s="297">
        <f t="shared" ref="Y10:Y17" si="7">VLOOKUP($B10,$R$3:$Z$9,8,FALSE)</f>
        <v>0</v>
      </c>
      <c r="Z10" s="296">
        <f t="shared" ref="Z10:Z17" si="8">VLOOKUP($B10,$R$3:$Z$9,9,FALSE)</f>
        <v>60</v>
      </c>
    </row>
    <row r="11" spans="2:29" ht="15.75" customHeight="1">
      <c r="B11" s="29" t="s">
        <v>6</v>
      </c>
      <c r="C11" s="366" t="str">
        <f>[22]Brewhouse!$A435</f>
        <v>CA330</v>
      </c>
      <c r="D11" s="279">
        <f>[22]Brewhouse!$AF435</f>
        <v>56.9</v>
      </c>
      <c r="E11" s="279">
        <f>[22]Brewhouse!$AI435</f>
        <v>53.6</v>
      </c>
      <c r="F11" s="278">
        <f>[22]Brewhouse!$V435</f>
        <v>66</v>
      </c>
      <c r="G11" s="279">
        <f>[22]Brewhouse!$AG435</f>
        <v>11.32</v>
      </c>
      <c r="H11" s="396">
        <v>11.5</v>
      </c>
      <c r="I11" s="368">
        <f>[22]Brewhouse!$AU435</f>
        <v>102.15777570295772</v>
      </c>
      <c r="J11" s="368">
        <f>[22]Brewhouse!$AV435</f>
        <v>103.97944457498602</v>
      </c>
      <c r="K11" s="281">
        <f>[22]Brewhouse!$Q435</f>
        <v>2.4652777777777808</v>
      </c>
      <c r="L11" s="276">
        <f>[22]Brewhouse!$P435</f>
        <v>60</v>
      </c>
      <c r="M11" s="397">
        <f>[22]Brewhouse!$U435-[22]Brewhouse!$T435</f>
        <v>0.15208333333333335</v>
      </c>
      <c r="N11" s="370">
        <f>[22]Brewhouse!$Z435</f>
        <v>0.33888888888888902</v>
      </c>
      <c r="O11" s="371" t="str">
        <f>[22]Brewhouse!$AX435</f>
        <v>D. Gomez</v>
      </c>
      <c r="P11" s="423" t="s">
        <v>199</v>
      </c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[22]Brewhouse!$A436</f>
        <v>CA331</v>
      </c>
      <c r="D12" s="279">
        <f>[22]Brewhouse!$AF436</f>
        <v>53.8</v>
      </c>
      <c r="E12" s="279">
        <f>[22]Brewhouse!$AI436</f>
        <v>50.1</v>
      </c>
      <c r="F12" s="278">
        <f>[22]Brewhouse!$V436</f>
        <v>68</v>
      </c>
      <c r="G12" s="279">
        <f>[22]Brewhouse!$AG436</f>
        <v>11.9</v>
      </c>
      <c r="H12" s="396">
        <v>11.8</v>
      </c>
      <c r="I12" s="368">
        <f>[22]Brewhouse!$AU436</f>
        <v>100.70383723233678</v>
      </c>
      <c r="J12" s="368">
        <f>[22]Brewhouse!$AV436</f>
        <v>102.49968389583573</v>
      </c>
      <c r="K12" s="281">
        <f>[22]Brewhouse!$Q436</f>
        <v>6.5492957746478853</v>
      </c>
      <c r="L12" s="276">
        <f>[22]Brewhouse!$P436</f>
        <v>60</v>
      </c>
      <c r="M12" s="397">
        <f>[22]Brewhouse!$U436-[22]Brewhouse!$T436</f>
        <v>0.11180555555555549</v>
      </c>
      <c r="N12" s="370">
        <f>[22]Brewhouse!$Z436</f>
        <v>0.32361111111111118</v>
      </c>
      <c r="O12" s="371" t="str">
        <f>[22]Brewhouse!$AX436</f>
        <v>D. Gomez</v>
      </c>
      <c r="P12" s="423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2"/>
      <c r="C13" s="366"/>
      <c r="D13" s="279"/>
      <c r="E13" s="279"/>
      <c r="F13" s="278"/>
      <c r="G13" s="279"/>
      <c r="H13" s="396"/>
      <c r="I13" s="368"/>
      <c r="J13" s="368"/>
      <c r="K13" s="281"/>
      <c r="L13" s="276"/>
      <c r="M13" s="374"/>
      <c r="N13" s="370"/>
      <c r="O13" s="371"/>
      <c r="P13" s="423"/>
      <c r="R13" s="277">
        <f t="shared" si="0"/>
        <v>0</v>
      </c>
      <c r="S13" s="296" t="e">
        <f t="shared" si="1"/>
        <v>#N/A</v>
      </c>
      <c r="T13" s="296" t="e">
        <f t="shared" si="2"/>
        <v>#N/A</v>
      </c>
      <c r="U13" s="297" t="e">
        <f t="shared" si="3"/>
        <v>#N/A</v>
      </c>
      <c r="V13" s="297" t="e">
        <f t="shared" si="4"/>
        <v>#N/A</v>
      </c>
      <c r="W13" s="297" t="e">
        <f t="shared" si="5"/>
        <v>#N/A</v>
      </c>
      <c r="X13" s="297" t="e">
        <f t="shared" si="6"/>
        <v>#N/A</v>
      </c>
      <c r="Y13" s="297" t="e">
        <f t="shared" si="7"/>
        <v>#N/A</v>
      </c>
      <c r="Z13" s="296" t="e">
        <f t="shared" si="8"/>
        <v>#N/A</v>
      </c>
    </row>
    <row r="14" spans="2:29" ht="15.75" customHeight="1">
      <c r="B14" s="33"/>
      <c r="C14" s="366"/>
      <c r="D14" s="279"/>
      <c r="E14" s="279"/>
      <c r="F14" s="278"/>
      <c r="G14" s="279"/>
      <c r="H14" s="396"/>
      <c r="I14" s="421"/>
      <c r="J14" s="398"/>
      <c r="K14" s="276"/>
      <c r="L14" s="374"/>
      <c r="M14" s="397"/>
      <c r="N14" s="370"/>
      <c r="O14" s="371"/>
      <c r="P14" s="423"/>
      <c r="R14" s="277">
        <f t="shared" si="0"/>
        <v>0</v>
      </c>
      <c r="S14" s="296" t="e">
        <f t="shared" si="1"/>
        <v>#N/A</v>
      </c>
      <c r="T14" s="296" t="e">
        <f t="shared" si="2"/>
        <v>#N/A</v>
      </c>
      <c r="U14" s="297" t="e">
        <f t="shared" si="3"/>
        <v>#N/A</v>
      </c>
      <c r="V14" s="297" t="e">
        <f t="shared" si="4"/>
        <v>#N/A</v>
      </c>
      <c r="W14" s="297" t="e">
        <f t="shared" si="5"/>
        <v>#N/A</v>
      </c>
      <c r="X14" s="297" t="e">
        <f t="shared" si="6"/>
        <v>#N/A</v>
      </c>
      <c r="Y14" s="297" t="e">
        <f t="shared" si="7"/>
        <v>#N/A</v>
      </c>
      <c r="Z14" s="296" t="e">
        <f t="shared" si="8"/>
        <v>#N/A</v>
      </c>
    </row>
    <row r="15" spans="2:29" ht="15.75" customHeight="1">
      <c r="B15" s="33"/>
      <c r="C15" s="366"/>
      <c r="D15" s="279"/>
      <c r="E15" s="279"/>
      <c r="F15" s="278"/>
      <c r="G15" s="279"/>
      <c r="H15" s="396"/>
      <c r="I15" s="421"/>
      <c r="J15" s="398"/>
      <c r="K15" s="276"/>
      <c r="L15" s="374"/>
      <c r="M15" s="397"/>
      <c r="N15" s="370"/>
      <c r="O15" s="371"/>
      <c r="P15" s="423"/>
      <c r="R15" s="277">
        <f t="shared" si="0"/>
        <v>0</v>
      </c>
      <c r="S15" s="296" t="e">
        <f t="shared" si="1"/>
        <v>#N/A</v>
      </c>
      <c r="T15" s="296" t="e">
        <f t="shared" si="2"/>
        <v>#N/A</v>
      </c>
      <c r="U15" s="297" t="e">
        <f t="shared" si="3"/>
        <v>#N/A</v>
      </c>
      <c r="V15" s="297" t="e">
        <f t="shared" si="4"/>
        <v>#N/A</v>
      </c>
      <c r="W15" s="297" t="e">
        <f t="shared" si="5"/>
        <v>#N/A</v>
      </c>
      <c r="X15" s="297" t="e">
        <f t="shared" si="6"/>
        <v>#N/A</v>
      </c>
      <c r="Y15" s="297" t="e">
        <f t="shared" si="7"/>
        <v>#N/A</v>
      </c>
      <c r="Z15" s="296" t="e">
        <f t="shared" si="8"/>
        <v>#N/A</v>
      </c>
    </row>
    <row r="16" spans="2:29" ht="15.75" customHeight="1">
      <c r="B16" s="33"/>
      <c r="C16" s="366"/>
      <c r="D16" s="279"/>
      <c r="E16" s="279"/>
      <c r="F16" s="278"/>
      <c r="G16" s="279"/>
      <c r="H16" s="396"/>
      <c r="I16" s="421"/>
      <c r="J16" s="398"/>
      <c r="K16" s="276"/>
      <c r="L16" s="374"/>
      <c r="M16" s="397"/>
      <c r="N16" s="370"/>
      <c r="O16" s="371"/>
      <c r="P16" s="423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7" ht="15.75" customHeight="1" thickBot="1">
      <c r="B17" s="358"/>
      <c r="C17" s="358"/>
      <c r="D17" s="358"/>
      <c r="E17" s="358"/>
      <c r="F17" s="294"/>
      <c r="G17" s="294"/>
      <c r="H17" s="348"/>
      <c r="I17" s="481" t="s">
        <v>34</v>
      </c>
      <c r="J17" s="481"/>
      <c r="K17" s="481"/>
      <c r="L17" s="481"/>
      <c r="M17" s="481"/>
      <c r="N17" s="481"/>
      <c r="O17" s="1"/>
      <c r="P17" s="12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" thickBot="1">
      <c r="B18" s="388" t="s">
        <v>145</v>
      </c>
      <c r="C18" s="388"/>
      <c r="D18" s="494" t="s">
        <v>35</v>
      </c>
      <c r="E18" s="495"/>
      <c r="F18" s="294"/>
      <c r="G18" s="294"/>
      <c r="H18" s="348"/>
      <c r="I18" s="24" t="s">
        <v>17</v>
      </c>
      <c r="J18" s="25" t="s">
        <v>36</v>
      </c>
      <c r="K18" s="26" t="s">
        <v>138</v>
      </c>
      <c r="L18" s="25" t="s">
        <v>37</v>
      </c>
      <c r="M18" s="25" t="s">
        <v>38</v>
      </c>
      <c r="N18" s="27" t="s">
        <v>39</v>
      </c>
      <c r="O18" s="294"/>
      <c r="P18" s="12"/>
      <c r="R18" s="277"/>
      <c r="S18" s="296"/>
      <c r="T18" s="296"/>
      <c r="U18" s="297"/>
      <c r="V18" s="297"/>
      <c r="W18" s="297"/>
      <c r="X18" s="297"/>
      <c r="Y18" s="297"/>
      <c r="Z18" s="296"/>
    </row>
    <row r="19" spans="1:27" ht="15" customHeight="1">
      <c r="A19" s="28"/>
      <c r="B19" s="520" t="str">
        <f>I19</f>
        <v>CARIB</v>
      </c>
      <c r="C19" s="362" cm="1">
        <f t="array" ref="C19:C26">[22]Process!$D$379:$D$386</f>
        <v>11.6</v>
      </c>
      <c r="D19" s="485">
        <v>11.87</v>
      </c>
      <c r="E19" s="474"/>
      <c r="F19" s="294"/>
      <c r="G19" s="294"/>
      <c r="H19" s="348"/>
      <c r="I19" s="29" t="s">
        <v>6</v>
      </c>
      <c r="J19" s="280">
        <f>AVERAGE(I10:I12)</f>
        <v>102.13740665262974</v>
      </c>
      <c r="K19" s="284">
        <f>COUNTA([22]Brewhouse!$A$408:$A$436)</f>
        <v>29</v>
      </c>
      <c r="L19" s="302">
        <f>AVERAGE([22]Brewhouse!$AU$408:$AU$436)</f>
        <v>98.177170956070867</v>
      </c>
      <c r="M19" s="302">
        <f>AVERAGE([22]Brewhouse!$AU$102:$AU$171,[22]Brewhouse!$AU$173:$AU$253,[22]Brewhouse!$AU$255:$AU$339,[22]Brewhouse!$AU$341:$AU$346,[22]Brewhouse!$AU$348,[22]Brewhouse!$AU$349:$AU$406,[22]Brewhouse!$AU$408:$AU$436)</f>
        <v>97.464772599997431</v>
      </c>
      <c r="N19" s="30">
        <v>98</v>
      </c>
      <c r="O19" s="11"/>
      <c r="P19" s="31"/>
      <c r="R19" s="277"/>
      <c r="S19" s="296"/>
      <c r="T19" s="296"/>
      <c r="U19" s="297"/>
      <c r="V19" s="297"/>
      <c r="W19" s="297"/>
      <c r="X19" s="297"/>
      <c r="Y19" s="297"/>
      <c r="Z19" s="296"/>
    </row>
    <row r="20" spans="1:27" ht="15" customHeight="1">
      <c r="A20" s="28"/>
      <c r="B20" s="521"/>
      <c r="C20" s="349">
        <v>11.83</v>
      </c>
      <c r="D20" s="486"/>
      <c r="E20" s="469"/>
      <c r="F20" s="294"/>
      <c r="G20" s="294"/>
      <c r="H20" s="348"/>
      <c r="I20" s="33" t="s">
        <v>9</v>
      </c>
      <c r="J20" s="280"/>
      <c r="K20" s="284">
        <f>COUNTA([23]Brewhouse!$A$195:$A$205)</f>
        <v>11</v>
      </c>
      <c r="L20" s="302">
        <f>AVERAGE([23]Brewhouse!$AS$195:$AS$205)</f>
        <v>100.70163578844003</v>
      </c>
      <c r="M20" s="302">
        <f>AVERAGE([23]Brewhouse!$AS$15:$AS$64,[23]Brewhouse!$AS$66:$AS$103,[23]Brewhouse!$AS$105:$AS$140,[23]Brewhouse!$AS$142:$AS$193,[23]Brewhouse!$AS$195:$AS$205)</f>
        <v>97.640391472286225</v>
      </c>
      <c r="N20" s="30">
        <v>98</v>
      </c>
      <c r="O20" s="11"/>
      <c r="P20" s="31"/>
      <c r="R20" s="277"/>
      <c r="S20" s="296"/>
      <c r="T20" s="296"/>
      <c r="U20" s="297"/>
      <c r="V20" s="297"/>
      <c r="W20" s="297"/>
      <c r="X20" s="297"/>
      <c r="Y20" s="297"/>
      <c r="Z20" s="296"/>
    </row>
    <row r="21" spans="1:27" ht="14.7" customHeight="1">
      <c r="A21" s="28"/>
      <c r="B21" s="521"/>
      <c r="C21" s="349">
        <v>11.78</v>
      </c>
      <c r="D21" s="485">
        <v>11.94</v>
      </c>
      <c r="E21" s="474"/>
      <c r="F21" s="294"/>
      <c r="G21" s="294"/>
      <c r="H21" s="348"/>
      <c r="I21" s="34" t="s">
        <v>12</v>
      </c>
      <c r="J21" s="280"/>
      <c r="K21" s="284">
        <f>COUNTA([24]Brewhouse!$A$47:$A$54)</f>
        <v>8</v>
      </c>
      <c r="L21" s="302">
        <f>AVERAGE([24]Brewhouse!$AU$47:$AU$54)</f>
        <v>96.792443337508828</v>
      </c>
      <c r="M21" s="302">
        <f>AVERAGE([24]Brewhouse!$AU$4:$AU$7,[24]Brewhouse!$AU$9:$AU$22,[24]Brewhouse!$AU$24:$AU$35,[24]Brewhouse!$AU$37:$AU$45,[24]Brewhouse!$AU$47:$AU$54)</f>
        <v>97.03665404260714</v>
      </c>
      <c r="N21" s="30">
        <v>98</v>
      </c>
      <c r="O21" s="11"/>
      <c r="P21" s="31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1:27" ht="14.7" customHeight="1">
      <c r="A22" s="28"/>
      <c r="B22" s="521"/>
      <c r="C22" s="349">
        <v>11.75</v>
      </c>
      <c r="D22" s="486"/>
      <c r="E22" s="469"/>
      <c r="F22" s="294"/>
      <c r="G22" s="294"/>
      <c r="H22" s="348"/>
      <c r="I22" s="22" t="s">
        <v>33</v>
      </c>
      <c r="J22" s="280"/>
      <c r="K22" s="284">
        <f>COUNTA([25]Brewhouse!$A$35:$A$40)</f>
        <v>6</v>
      </c>
      <c r="L22" s="302">
        <f>AVERAGE([25]Brewhouse!$AV$35:$AV$40)</f>
        <v>99.729773602484485</v>
      </c>
      <c r="M22" s="302">
        <f>AVERAGE([25]Brewhouse!$AV$5:$AV$14,[25]Brewhouse!$AV$16:$AV$19,[25]Brewhouse!$AV$21:$AV$24,[25]Brewhouse!$AV$26:$AV$33,[25]Brewhouse!$AV$35:$AV$40)</f>
        <v>99.073437057623821</v>
      </c>
      <c r="N22" s="30">
        <v>98</v>
      </c>
      <c r="O22" s="11"/>
      <c r="P22" s="31"/>
      <c r="R22" s="277"/>
      <c r="S22" s="296"/>
      <c r="T22" s="296"/>
      <c r="U22" s="297"/>
      <c r="V22" s="297"/>
      <c r="W22" s="297"/>
      <c r="X22" s="297"/>
      <c r="Y22" s="297"/>
      <c r="Z22" s="296"/>
      <c r="AA22" s="296"/>
    </row>
    <row r="23" spans="1:27" ht="14.7" customHeight="1">
      <c r="A23" s="28"/>
      <c r="B23" s="521"/>
      <c r="C23" s="349">
        <v>11.99</v>
      </c>
      <c r="D23" s="485">
        <v>11.98</v>
      </c>
      <c r="E23" s="474"/>
      <c r="F23" s="422"/>
      <c r="G23" s="294"/>
      <c r="H23" s="348"/>
      <c r="I23" s="35" t="s">
        <v>29</v>
      </c>
      <c r="J23" s="280"/>
      <c r="K23" s="284"/>
      <c r="L23" s="302"/>
      <c r="M23" s="302"/>
      <c r="N23" s="30">
        <v>98</v>
      </c>
      <c r="O23" s="11"/>
      <c r="P23" s="31"/>
      <c r="R23" s="277"/>
      <c r="S23" s="296"/>
      <c r="T23" s="296"/>
      <c r="U23" s="297"/>
      <c r="V23" s="297"/>
      <c r="W23" s="297"/>
      <c r="X23" s="297"/>
      <c r="Y23" s="297"/>
      <c r="Z23" s="296"/>
      <c r="AA23" s="296"/>
    </row>
    <row r="24" spans="1:27" ht="14.7" customHeight="1">
      <c r="A24" s="28"/>
      <c r="B24" s="521"/>
      <c r="C24" s="349">
        <v>11.69</v>
      </c>
      <c r="D24" s="486"/>
      <c r="E24" s="469"/>
      <c r="F24" s="422"/>
      <c r="G24" s="294"/>
      <c r="H24" s="348"/>
      <c r="I24" s="36" t="s">
        <v>15</v>
      </c>
      <c r="J24" s="323"/>
      <c r="K24" s="284"/>
      <c r="L24" s="302"/>
      <c r="M24" s="302">
        <f>AVERAGE([26]Brewhouse!$AT$4:$AT$11,[26]Brewhouse!$AT$13:$AT$16)</f>
        <v>95.165309917257005</v>
      </c>
      <c r="N24" s="30">
        <v>98</v>
      </c>
      <c r="O24" s="11"/>
      <c r="P24" s="31"/>
      <c r="R24" s="277"/>
      <c r="S24" s="296"/>
      <c r="T24" s="296"/>
      <c r="U24" s="297"/>
      <c r="V24" s="297"/>
      <c r="W24" s="297"/>
      <c r="X24" s="297"/>
      <c r="Y24" s="297"/>
      <c r="Z24" s="296"/>
      <c r="AA24" s="296"/>
    </row>
    <row r="25" spans="1:27" ht="14.7" customHeight="1">
      <c r="A25" s="28"/>
      <c r="B25" s="521"/>
      <c r="C25" s="349">
        <v>11.86</v>
      </c>
      <c r="D25" s="485">
        <v>11.95</v>
      </c>
      <c r="E25" s="474"/>
      <c r="F25" s="422"/>
      <c r="G25" s="294"/>
      <c r="H25" s="348"/>
      <c r="I25" s="37" t="s">
        <v>16</v>
      </c>
      <c r="J25" s="323"/>
      <c r="K25" s="284">
        <f>COUNTA([27]Brewhouse!$A$36:$A$43)</f>
        <v>8</v>
      </c>
      <c r="L25" s="302">
        <f>AVERAGE([27]Brewhouse!$AY$36:$AY$43)</f>
        <v>98.453561717677275</v>
      </c>
      <c r="M25" s="302">
        <f>AVERAGE([27]Brewhouse!$AY$6:$AY$13,[27]Brewhouse!$AY$15:$AY$20,[27]Brewhouse!$AY$22:$AY$29,[27]Brewhouse!$AY$31:$AY$34,[27]Brewhouse!$AY$36:$AY$43)</f>
        <v>96.669752433914965</v>
      </c>
      <c r="N25" s="30">
        <v>98</v>
      </c>
      <c r="O25" s="11"/>
      <c r="P25" s="31" t="s">
        <v>41</v>
      </c>
      <c r="R25" s="277"/>
      <c r="S25" s="296"/>
      <c r="T25" s="296"/>
      <c r="U25" s="297"/>
      <c r="V25" s="297"/>
      <c r="W25" s="297"/>
      <c r="X25" s="297"/>
      <c r="Y25" s="297"/>
      <c r="Z25" s="296"/>
      <c r="AA25" s="296"/>
    </row>
    <row r="26" spans="1:27" ht="14.7" customHeight="1">
      <c r="A26" s="28"/>
      <c r="B26" s="521"/>
      <c r="C26" s="349">
        <v>11.72</v>
      </c>
      <c r="D26" s="486"/>
      <c r="E26" s="469"/>
      <c r="F26" s="294"/>
      <c r="G26" s="294"/>
      <c r="H26" s="348"/>
      <c r="I26" s="412" t="s">
        <v>158</v>
      </c>
      <c r="J26" s="326"/>
      <c r="K26" s="284"/>
      <c r="L26" s="305"/>
      <c r="M26" s="305">
        <f>AVERAGE([28]Brewhouse!$AU$5:$AU$8)</f>
        <v>91.006888337619571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  <c r="AA26" s="296"/>
    </row>
    <row r="27" spans="1:27" ht="14.7" customHeight="1">
      <c r="A27" s="28"/>
      <c r="B27" s="521"/>
      <c r="C27" s="349"/>
      <c r="D27" s="485"/>
      <c r="E27" s="474"/>
      <c r="F27" s="294"/>
      <c r="G27" s="294"/>
      <c r="H27" s="348"/>
      <c r="I27" s="411" t="s">
        <v>157</v>
      </c>
      <c r="J27" s="326"/>
      <c r="K27" s="284"/>
      <c r="L27" s="305"/>
      <c r="M27" s="305"/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  <c r="AA27" s="296"/>
    </row>
    <row r="28" spans="1:27" ht="15" customHeight="1" thickBot="1">
      <c r="A28" s="28"/>
      <c r="B28" s="521"/>
      <c r="C28" s="349"/>
      <c r="D28" s="486"/>
      <c r="E28" s="469"/>
      <c r="F28" s="294"/>
      <c r="G28" s="294"/>
      <c r="H28" s="348"/>
      <c r="I28" s="407" t="s">
        <v>156</v>
      </c>
      <c r="J28" s="327"/>
      <c r="K28" s="408"/>
      <c r="L28" s="409"/>
      <c r="M28" s="409"/>
      <c r="N28" s="41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  <c r="AA28" s="296"/>
    </row>
    <row r="29" spans="1:27" ht="15" customHeight="1" thickBot="1">
      <c r="A29" s="28"/>
      <c r="B29" s="521"/>
      <c r="C29" s="349"/>
      <c r="D29" s="485"/>
      <c r="E29" s="474"/>
      <c r="F29" s="294"/>
      <c r="G29" s="294"/>
      <c r="H29" s="348"/>
      <c r="I29" s="1"/>
      <c r="J29" s="39"/>
      <c r="K29" s="405">
        <f>SUM(K19:K28)</f>
        <v>62</v>
      </c>
      <c r="L29" s="406">
        <f>((L19*K19)+(L20*K20)+(L21*K21)+(L22*K22)+(L23*K23)+(K26*L26)+(L24*K24)+(L25*K25)+(L28*K28))/(K29)</f>
        <v>98.632300539601474</v>
      </c>
      <c r="M29" s="406">
        <f>AVERAGE('[29]Jan 31st'!$L$65,'[30]Feb 28th'!$L$35,'[31]Mar. 31st'!$L$35,'[32]Apr. 30th'!$L$45,L29)</f>
        <v>97.607268365807926</v>
      </c>
      <c r="N29" s="4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5" thickBot="1">
      <c r="B30" s="522"/>
      <c r="C30" s="350"/>
      <c r="D30" s="486"/>
      <c r="E30" s="469"/>
      <c r="F30" s="294"/>
      <c r="G30" s="42"/>
      <c r="H30" s="41"/>
      <c r="I30" s="42"/>
      <c r="J30" s="42"/>
      <c r="K30" s="351"/>
      <c r="L30" s="348"/>
      <c r="M30" s="348"/>
      <c r="N30" s="11"/>
      <c r="O30" s="294"/>
      <c r="P30" s="12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5" thickBot="1">
      <c r="B31" s="528"/>
      <c r="C31" s="362"/>
      <c r="D31" s="466"/>
      <c r="E31" s="467"/>
      <c r="F31" s="294"/>
      <c r="G31" s="42"/>
      <c r="H31" s="41"/>
      <c r="I31" s="42"/>
      <c r="J31" s="519" t="s">
        <v>129</v>
      </c>
      <c r="K31" s="519"/>
      <c r="L31" s="294"/>
      <c r="M31" s="294"/>
      <c r="N31" s="294"/>
      <c r="O31" s="294"/>
      <c r="P31" s="12"/>
    </row>
    <row r="32" spans="1:27" ht="13.5" customHeight="1" thickBot="1">
      <c r="B32" s="521"/>
      <c r="C32" s="349"/>
      <c r="D32" s="468"/>
      <c r="E32" s="469"/>
      <c r="F32" s="294"/>
      <c r="G32" s="42"/>
      <c r="H32" s="41"/>
      <c r="I32" s="41"/>
      <c r="J32" s="292" t="s">
        <v>17</v>
      </c>
      <c r="K32" s="293" t="s">
        <v>147</v>
      </c>
      <c r="L32" s="471" t="s">
        <v>136</v>
      </c>
      <c r="M32" s="471"/>
      <c r="N32" s="472"/>
      <c r="O32" s="294"/>
      <c r="P32" s="12"/>
    </row>
    <row r="33" spans="2:57" ht="15" customHeight="1" thickBot="1">
      <c r="B33" s="521"/>
      <c r="C33" s="349"/>
      <c r="D33" s="473"/>
      <c r="E33" s="474"/>
      <c r="F33" s="294"/>
      <c r="G33" s="42"/>
      <c r="H33" s="41"/>
      <c r="I33" s="41"/>
      <c r="J33" s="287" t="s">
        <v>6</v>
      </c>
      <c r="K33" s="324">
        <f>COUNTA(B10:B12)</f>
        <v>3</v>
      </c>
      <c r="L33" s="343" t="s">
        <v>37</v>
      </c>
      <c r="M33" s="307" t="s">
        <v>38</v>
      </c>
      <c r="N33" s="307" t="s">
        <v>84</v>
      </c>
      <c r="O33" s="294"/>
      <c r="P33" s="12"/>
    </row>
    <row r="34" spans="2:57" ht="15.75" customHeight="1" thickBot="1">
      <c r="B34" s="521"/>
      <c r="C34" s="349"/>
      <c r="D34" s="468"/>
      <c r="E34" s="469"/>
      <c r="F34" s="294"/>
      <c r="G34" s="42"/>
      <c r="H34" s="41"/>
      <c r="I34" s="41"/>
      <c r="J34" s="345" t="s">
        <v>9</v>
      </c>
      <c r="K34" s="324"/>
      <c r="L34" s="344">
        <f>AVERAGE('May 2nd -4th'!I70,'May 2nd -4th'!K70,'May 5th'!K77,'May 6th'!K60,'May 7th'!K57,'May 8th'!K53,'May 9th-10th'!I60,'May 9th-10th'!K60,K43,)</f>
        <v>6.7</v>
      </c>
      <c r="M34" s="325">
        <f>AVERAGE('[29]Jan 29th '!$M$70,'[30]Feb 28th'!$L$40,'[31]Mar. 31st'!$L$40,'[32]Apr. 30th'!$L$50,L34)</f>
        <v>6.5291543239369334</v>
      </c>
      <c r="N34" s="420">
        <v>9.1999999999999993</v>
      </c>
      <c r="O34" s="294"/>
      <c r="P34" s="12"/>
    </row>
    <row r="35" spans="2:57" ht="15" customHeight="1">
      <c r="B35" s="521"/>
      <c r="C35" s="349"/>
      <c r="D35" s="473"/>
      <c r="E35" s="474"/>
      <c r="F35" s="294"/>
      <c r="G35" s="42"/>
      <c r="H35" s="41"/>
      <c r="I35" s="41"/>
      <c r="J35" s="288" t="s">
        <v>40</v>
      </c>
      <c r="K35" s="324"/>
      <c r="L35" s="294"/>
      <c r="M35" s="294"/>
      <c r="N35" s="294"/>
      <c r="O35" s="294"/>
      <c r="P35" s="12"/>
    </row>
    <row r="36" spans="2:57" ht="15" customHeight="1">
      <c r="B36" s="521"/>
      <c r="C36" s="349"/>
      <c r="D36" s="468"/>
      <c r="E36" s="469"/>
      <c r="F36" s="294"/>
      <c r="G36" s="42"/>
      <c r="H36" s="41"/>
      <c r="I36" s="41"/>
      <c r="J36" s="289" t="s">
        <v>33</v>
      </c>
      <c r="K36" s="324"/>
      <c r="L36" s="294"/>
      <c r="M36" s="294"/>
      <c r="N36" s="294"/>
      <c r="O36" s="294"/>
      <c r="P36" s="12"/>
    </row>
    <row r="37" spans="2:57" ht="14.4">
      <c r="B37" s="521"/>
      <c r="C37" s="349"/>
      <c r="D37" s="473"/>
      <c r="E37" s="474"/>
      <c r="F37" s="294"/>
      <c r="G37" s="42"/>
      <c r="H37" s="41"/>
      <c r="I37" s="41"/>
      <c r="J37" s="290" t="s">
        <v>16</v>
      </c>
      <c r="K37" s="324"/>
      <c r="L37" s="294"/>
      <c r="M37" s="294"/>
      <c r="N37" s="294"/>
      <c r="O37" s="294"/>
      <c r="P37" s="12"/>
      <c r="BC37" s="44"/>
      <c r="BD37" s="44"/>
    </row>
    <row r="38" spans="2:57" ht="14.4">
      <c r="B38" s="521"/>
      <c r="C38" s="349"/>
      <c r="D38" s="468"/>
      <c r="E38" s="469"/>
      <c r="F38" s="294"/>
      <c r="G38" s="42"/>
      <c r="H38" s="41"/>
      <c r="I38" s="41"/>
      <c r="J38" s="291" t="s">
        <v>15</v>
      </c>
      <c r="K38" s="324"/>
      <c r="L38" s="294"/>
      <c r="M38" s="294"/>
      <c r="N38" s="294"/>
      <c r="O38" s="294"/>
      <c r="P38" s="12"/>
      <c r="BC38" s="44"/>
      <c r="BD38" s="44"/>
    </row>
    <row r="39" spans="2:57" ht="14.4">
      <c r="B39" s="521"/>
      <c r="C39" s="349"/>
      <c r="D39" s="475"/>
      <c r="E39" s="476"/>
      <c r="F39" s="294"/>
      <c r="G39" s="42"/>
      <c r="H39" s="41"/>
      <c r="I39" s="41"/>
      <c r="J39" s="291" t="s">
        <v>149</v>
      </c>
      <c r="K39" s="324"/>
      <c r="L39" s="294"/>
      <c r="M39" s="294"/>
      <c r="N39" s="294"/>
      <c r="O39" s="294"/>
      <c r="P39" s="12"/>
      <c r="BC39" s="44"/>
      <c r="BD39" s="44"/>
    </row>
    <row r="40" spans="2:57" ht="15" thickBot="1">
      <c r="B40" s="522"/>
      <c r="C40" s="350"/>
      <c r="D40" s="477"/>
      <c r="E40" s="478"/>
      <c r="F40" s="294"/>
      <c r="G40" s="42"/>
      <c r="H40" s="41"/>
      <c r="I40" s="41"/>
      <c r="J40" s="291" t="s">
        <v>148</v>
      </c>
      <c r="K40" s="324"/>
      <c r="L40" s="294"/>
      <c r="M40" s="294"/>
      <c r="N40" s="294"/>
      <c r="O40" s="294"/>
      <c r="P40" s="12"/>
      <c r="BC40" s="44"/>
      <c r="BD40" s="44"/>
    </row>
    <row r="41" spans="2:57" ht="17.7" customHeight="1" thickBot="1">
      <c r="B41" s="312" t="s">
        <v>139</v>
      </c>
      <c r="C41" s="313"/>
      <c r="D41" s="457">
        <f>AVERAGE(D19:E40)</f>
        <v>11.934999999999999</v>
      </c>
      <c r="E41" s="458"/>
      <c r="F41" s="294"/>
      <c r="G41" s="42"/>
      <c r="H41" s="41"/>
      <c r="I41" s="41"/>
      <c r="J41" s="295" t="s">
        <v>134</v>
      </c>
      <c r="K41" s="324"/>
      <c r="L41" s="294"/>
      <c r="M41" s="294"/>
      <c r="N41" s="294"/>
      <c r="O41" s="294"/>
      <c r="P41" s="12"/>
      <c r="BC41" s="44"/>
      <c r="BD41" s="44"/>
    </row>
    <row r="42" spans="2:57" ht="17.7" customHeight="1">
      <c r="B42" s="363"/>
      <c r="C42" s="364"/>
      <c r="D42" s="365"/>
      <c r="E42" s="365"/>
      <c r="F42" s="294"/>
      <c r="G42" s="42"/>
      <c r="H42" s="41"/>
      <c r="I42" s="41"/>
      <c r="J42" s="295" t="s">
        <v>131</v>
      </c>
      <c r="K42" s="324"/>
      <c r="L42" s="294"/>
      <c r="M42" s="294"/>
      <c r="N42" s="294"/>
      <c r="O42" s="294"/>
      <c r="P42" s="12"/>
      <c r="BC42" s="44"/>
      <c r="BD42" s="44"/>
    </row>
    <row r="43" spans="2:57" ht="15.75" customHeight="1">
      <c r="B43" s="45"/>
      <c r="C43" s="11"/>
      <c r="D43" s="11"/>
      <c r="E43" s="46"/>
      <c r="F43" s="294"/>
      <c r="G43" s="42"/>
      <c r="H43" s="41"/>
      <c r="I43" s="41"/>
      <c r="J43" s="346" t="s">
        <v>130</v>
      </c>
      <c r="K43" s="324">
        <f>SUM(K33:K42)</f>
        <v>3</v>
      </c>
      <c r="L43" s="294"/>
      <c r="M43" s="294"/>
      <c r="N43" s="294"/>
      <c r="O43" s="294"/>
      <c r="P43" s="12"/>
    </row>
    <row r="44" spans="2:57" ht="20.25" customHeight="1">
      <c r="B44" s="15" t="s">
        <v>42</v>
      </c>
      <c r="C44" s="1" t="s">
        <v>43</v>
      </c>
      <c r="D44" s="1"/>
      <c r="E44" s="1"/>
      <c r="F44" s="294"/>
      <c r="G44" s="42"/>
      <c r="H44" s="41"/>
      <c r="I44" s="42"/>
      <c r="L44" s="294"/>
      <c r="P44" s="334"/>
    </row>
    <row r="45" spans="2:57" ht="15" customHeight="1" thickBot="1"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8"/>
      <c r="O45" s="48"/>
      <c r="P45" s="49"/>
    </row>
    <row r="46" spans="2:57" ht="15" customHeight="1" thickBot="1">
      <c r="B46" s="447" t="s">
        <v>17</v>
      </c>
      <c r="C46" s="447" t="s">
        <v>44</v>
      </c>
      <c r="D46" s="459" t="s">
        <v>45</v>
      </c>
      <c r="E46" s="461" t="s">
        <v>46</v>
      </c>
      <c r="F46" s="455" t="s">
        <v>47</v>
      </c>
      <c r="G46" s="445" t="s">
        <v>48</v>
      </c>
      <c r="H46" s="447" t="s">
        <v>49</v>
      </c>
      <c r="I46" s="447" t="s">
        <v>50</v>
      </c>
      <c r="J46" s="439" t="s">
        <v>28</v>
      </c>
      <c r="K46" s="451" t="s">
        <v>51</v>
      </c>
      <c r="L46" s="453" t="s">
        <v>52</v>
      </c>
      <c r="M46" s="439" t="s">
        <v>53</v>
      </c>
      <c r="N46" s="13"/>
      <c r="O46" s="13"/>
      <c r="P46" s="50"/>
    </row>
    <row r="47" spans="2:57" ht="28.5" customHeight="1" thickTop="1" thickBot="1">
      <c r="B47" s="448"/>
      <c r="C47" s="448"/>
      <c r="D47" s="460"/>
      <c r="E47" s="462"/>
      <c r="F47" s="456"/>
      <c r="G47" s="446"/>
      <c r="H47" s="448"/>
      <c r="I47" s="448"/>
      <c r="J47" s="440"/>
      <c r="K47" s="452"/>
      <c r="L47" s="454"/>
      <c r="M47" s="440"/>
      <c r="N47" s="13"/>
      <c r="O47" s="13"/>
      <c r="P47" s="50"/>
      <c r="Q47" s="355"/>
      <c r="AB47" s="51">
        <v>43474</v>
      </c>
      <c r="AC47" s="51">
        <v>43475</v>
      </c>
      <c r="AD47" s="51">
        <v>43476</v>
      </c>
      <c r="AE47" s="51">
        <v>43477</v>
      </c>
      <c r="AF47" s="51">
        <v>43478</v>
      </c>
      <c r="AG47" s="51">
        <v>43479</v>
      </c>
      <c r="AH47" s="51">
        <v>43480</v>
      </c>
      <c r="AI47" s="51">
        <v>43481</v>
      </c>
      <c r="AJ47" s="51">
        <v>43482</v>
      </c>
      <c r="AK47" s="51">
        <v>43483</v>
      </c>
      <c r="AL47" s="51">
        <v>43484</v>
      </c>
      <c r="AM47" s="51">
        <v>43485</v>
      </c>
      <c r="AN47" s="51">
        <v>43486</v>
      </c>
      <c r="AO47" s="51">
        <v>43487</v>
      </c>
      <c r="AP47" s="51">
        <v>43488</v>
      </c>
      <c r="AQ47" s="51">
        <v>43489</v>
      </c>
      <c r="AR47" s="51">
        <v>43490</v>
      </c>
      <c r="AS47" s="51">
        <v>43491</v>
      </c>
      <c r="AT47" s="51">
        <v>43492</v>
      </c>
      <c r="AU47" s="51">
        <v>43493</v>
      </c>
      <c r="AV47" s="51">
        <v>43494</v>
      </c>
      <c r="AW47" s="51">
        <v>43495</v>
      </c>
      <c r="AX47" s="51">
        <v>43496</v>
      </c>
    </row>
    <row r="48" spans="2:57" s="54" customFormat="1" ht="53.25" customHeight="1">
      <c r="B48" s="415" t="str">
        <f>J33</f>
        <v>CARIB</v>
      </c>
      <c r="C48" s="283">
        <v>45789</v>
      </c>
      <c r="D48" s="279">
        <f>[33]May_2025!$O$3</f>
        <v>406.1</v>
      </c>
      <c r="E48" s="279"/>
      <c r="F48" s="279">
        <f>SUM([34]CARIB!$L$28:$L$35)</f>
        <v>395.2</v>
      </c>
      <c r="G48" s="279">
        <f>[33]May_2025!$O$7</f>
        <v>385.20000000000005</v>
      </c>
      <c r="H48" s="320">
        <f>(D48-F48)/D48*100</f>
        <v>2.6840679635557829</v>
      </c>
      <c r="I48" s="322">
        <f>((F48+E48)-G48)/(F48+E48)*100</f>
        <v>2.5303643724696214</v>
      </c>
      <c r="J48" s="392" t="s">
        <v>188</v>
      </c>
      <c r="K48" s="416">
        <f>[35]May_2025!$O$18</f>
        <v>1.3515789473684212</v>
      </c>
      <c r="L48" s="314">
        <f>(((D48+E48)-G48)/(D48+E48))*100</f>
        <v>5.1465156365427172</v>
      </c>
      <c r="M48" s="426" t="s">
        <v>200</v>
      </c>
      <c r="N48" s="13"/>
      <c r="O48" s="13"/>
      <c r="P48" s="50"/>
      <c r="R48" s="275"/>
      <c r="S48" s="275"/>
      <c r="T48" s="275"/>
      <c r="U48" s="275"/>
      <c r="V48" s="275"/>
      <c r="W48" s="275"/>
      <c r="X48" s="275"/>
      <c r="Y48" s="275"/>
      <c r="Z48" s="275"/>
      <c r="AA48" s="275"/>
      <c r="AB48" s="57" t="e">
        <f>[20]January_2019!L7</f>
        <v>#REF!</v>
      </c>
      <c r="AC48" s="57" t="e">
        <f>[20]January_2019!M7</f>
        <v>#REF!</v>
      </c>
      <c r="AD48" s="57" t="e">
        <f>[20]January_2019!N7</f>
        <v>#REF!</v>
      </c>
      <c r="AE48" s="57" t="e">
        <f>[20]January_2019!O7</f>
        <v>#REF!</v>
      </c>
      <c r="AF48" s="57" t="e">
        <f>[20]January_2019!P7</f>
        <v>#REF!</v>
      </c>
      <c r="AG48" s="57" t="e">
        <f>[20]January_2019!Q7</f>
        <v>#REF!</v>
      </c>
      <c r="AH48" s="57" t="e">
        <f>[20]January_2019!R7</f>
        <v>#REF!</v>
      </c>
      <c r="AI48" s="57" t="e">
        <f>[20]January_2019!S7</f>
        <v>#REF!</v>
      </c>
      <c r="AJ48" s="57" t="e">
        <f>[20]January_2019!T7</f>
        <v>#REF!</v>
      </c>
      <c r="AK48" s="57" t="e">
        <f>[20]January_2019!U7</f>
        <v>#REF!</v>
      </c>
      <c r="AL48" s="57" t="e">
        <f>[20]January_2019!V7</f>
        <v>#REF!</v>
      </c>
      <c r="AM48" s="57" t="e">
        <f>[20]January_2019!W7</f>
        <v>#REF!</v>
      </c>
      <c r="AN48" s="57" t="e">
        <f>[20]January_2019!X7</f>
        <v>#REF!</v>
      </c>
      <c r="AO48" s="57" t="e">
        <f>[20]January_2019!Y7</f>
        <v>#REF!</v>
      </c>
      <c r="AP48" s="57" t="e">
        <f>[20]January_2019!Z7</f>
        <v>#REF!</v>
      </c>
      <c r="AQ48" s="57" t="e">
        <f>[20]January_2019!AA7</f>
        <v>#REF!</v>
      </c>
      <c r="AR48" s="57" t="e">
        <f>[20]January_2019!AB7</f>
        <v>#REF!</v>
      </c>
      <c r="AS48" s="57" t="e">
        <f>[20]January_2019!AC7</f>
        <v>#REF!</v>
      </c>
      <c r="AT48" s="57" t="e">
        <f>[20]January_2019!AD7</f>
        <v>#REF!</v>
      </c>
      <c r="AU48" s="57" t="e">
        <f>[20]January_2019!AE7</f>
        <v>#REF!</v>
      </c>
      <c r="AV48" s="57" t="e">
        <f>[20]January_2019!AF7</f>
        <v>#REF!</v>
      </c>
      <c r="AW48" s="57" t="e">
        <f>[20]January_2019!AG7</f>
        <v>#REF!</v>
      </c>
      <c r="AX48" s="277" t="e">
        <f>[20]January_2019!AH7</f>
        <v>#REF!</v>
      </c>
      <c r="AY48" s="277"/>
      <c r="AZ48" s="277"/>
      <c r="BA48" s="277"/>
      <c r="BB48" s="277"/>
      <c r="BC48" s="277"/>
      <c r="BD48" s="277"/>
      <c r="BE48" s="277"/>
    </row>
    <row r="49" spans="2:49" s="54" customFormat="1" ht="16.5" customHeight="1">
      <c r="B49" s="415"/>
      <c r="C49" s="283"/>
      <c r="D49" s="377"/>
      <c r="E49" s="378"/>
      <c r="F49" s="379"/>
      <c r="G49" s="303"/>
      <c r="H49" s="320"/>
      <c r="I49" s="322"/>
      <c r="J49" s="398"/>
      <c r="K49" s="286"/>
      <c r="L49" s="314"/>
      <c r="M49" s="419"/>
      <c r="N49" s="13"/>
      <c r="O49" s="13"/>
      <c r="P49" s="50"/>
      <c r="R49" s="275"/>
      <c r="S49" s="275"/>
      <c r="T49" s="275"/>
      <c r="U49" s="275"/>
      <c r="V49" s="275"/>
      <c r="W49" s="275"/>
      <c r="X49" s="275"/>
      <c r="Y49" s="275"/>
      <c r="Z49" s="275"/>
      <c r="AA49" s="275"/>
      <c r="AB49" s="418"/>
      <c r="AC49" s="418"/>
      <c r="AD49" s="418"/>
      <c r="AE49" s="418"/>
      <c r="AF49" s="418"/>
      <c r="AG49" s="418"/>
      <c r="AH49" s="418"/>
      <c r="AI49" s="418"/>
      <c r="AJ49" s="418"/>
      <c r="AK49" s="418"/>
      <c r="AL49" s="418"/>
      <c r="AM49" s="418"/>
      <c r="AN49" s="418"/>
      <c r="AO49" s="418"/>
      <c r="AP49" s="418"/>
      <c r="AQ49" s="418"/>
      <c r="AR49" s="418"/>
      <c r="AS49" s="418"/>
      <c r="AT49" s="418"/>
      <c r="AU49" s="418"/>
      <c r="AV49" s="418"/>
      <c r="AW49" s="418"/>
    </row>
    <row r="50" spans="2:49" s="54" customFormat="1" ht="51" customHeight="1">
      <c r="B50" s="431"/>
      <c r="C50" s="283"/>
      <c r="D50" s="377"/>
      <c r="E50" s="378"/>
      <c r="F50" s="379"/>
      <c r="G50" s="303"/>
      <c r="H50" s="320"/>
      <c r="I50" s="322"/>
      <c r="J50" s="281"/>
      <c r="K50" s="286"/>
      <c r="L50" s="314"/>
      <c r="M50" s="419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  <c r="AO50" s="418"/>
      <c r="AP50" s="418"/>
      <c r="AQ50" s="418"/>
      <c r="AR50" s="418"/>
      <c r="AS50" s="418"/>
      <c r="AT50" s="418"/>
      <c r="AU50" s="418"/>
      <c r="AV50" s="418"/>
      <c r="AW50" s="418"/>
    </row>
    <row r="51" spans="2:49" ht="18" customHeight="1" thickBot="1">
      <c r="B51" s="59"/>
      <c r="C51" s="309"/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6"/>
      <c r="P51" s="60"/>
    </row>
    <row r="52" spans="2:49" ht="14.4" thickBot="1">
      <c r="B52" s="441" t="s">
        <v>55</v>
      </c>
      <c r="C52" s="442"/>
      <c r="D52" s="442"/>
      <c r="E52" s="442"/>
      <c r="F52" s="443"/>
      <c r="G52" s="441" t="s">
        <v>56</v>
      </c>
      <c r="H52" s="442"/>
      <c r="I52" s="442"/>
      <c r="J52" s="443"/>
      <c r="K52" s="441" t="s">
        <v>51</v>
      </c>
      <c r="L52" s="442"/>
      <c r="M52" s="442"/>
      <c r="N52" s="444"/>
      <c r="O52" s="56"/>
      <c r="P52" s="50"/>
    </row>
    <row r="53" spans="2:49">
      <c r="B53" s="61" t="s">
        <v>17</v>
      </c>
      <c r="C53" s="62" t="s">
        <v>36</v>
      </c>
      <c r="D53" s="62" t="s">
        <v>37</v>
      </c>
      <c r="E53" s="62" t="s">
        <v>38</v>
      </c>
      <c r="F53" s="63" t="s">
        <v>39</v>
      </c>
      <c r="G53" s="62" t="s">
        <v>36</v>
      </c>
      <c r="H53" s="62" t="s">
        <v>37</v>
      </c>
      <c r="I53" s="62" t="s">
        <v>38</v>
      </c>
      <c r="J53" s="63" t="s">
        <v>39</v>
      </c>
      <c r="K53" s="62"/>
      <c r="L53" s="62" t="s">
        <v>37</v>
      </c>
      <c r="M53" s="62" t="s">
        <v>38</v>
      </c>
      <c r="N53" s="63" t="s">
        <v>39</v>
      </c>
      <c r="O53" s="56"/>
      <c r="P53" s="64"/>
    </row>
    <row r="54" spans="2:49">
      <c r="B54" s="29" t="s">
        <v>6</v>
      </c>
      <c r="C54" s="65">
        <f>L48</f>
        <v>5.1465156365427172</v>
      </c>
      <c r="D54" s="76">
        <v>5.1711084191399612</v>
      </c>
      <c r="E54" s="76">
        <v>6.9758666474851418</v>
      </c>
      <c r="F54" s="66">
        <v>4.8</v>
      </c>
      <c r="G54" s="65">
        <f>[33]May_2025!$L$21</f>
        <v>4.4135665309485903</v>
      </c>
      <c r="H54" s="76">
        <v>4.0993528688249121</v>
      </c>
      <c r="I54" s="76">
        <v>6.929719523693298</v>
      </c>
      <c r="J54" s="66">
        <v>4.8</v>
      </c>
      <c r="K54" s="67">
        <f>K48</f>
        <v>1.3515789473684212</v>
      </c>
      <c r="L54" s="194">
        <v>1.0840935672514618</v>
      </c>
      <c r="M54" s="194">
        <v>0.77719761533836307</v>
      </c>
      <c r="N54" s="68">
        <v>1</v>
      </c>
      <c r="O54" s="56"/>
      <c r="P54" s="69"/>
    </row>
    <row r="55" spans="2:49">
      <c r="B55" s="33" t="s">
        <v>9</v>
      </c>
      <c r="C55" s="65"/>
      <c r="D55" s="76">
        <v>5.4863941831001624</v>
      </c>
      <c r="E55" s="76">
        <v>6.0466248242515723</v>
      </c>
      <c r="F55" s="66">
        <v>4.8</v>
      </c>
      <c r="H55" s="76">
        <v>4.1755560913734726</v>
      </c>
      <c r="I55" s="76">
        <v>6.3497243838286446</v>
      </c>
      <c r="J55" s="66">
        <v>4.8</v>
      </c>
      <c r="K55" s="67"/>
      <c r="L55" s="194">
        <v>0.61318713450292395</v>
      </c>
      <c r="M55" s="194">
        <v>0.74352497019151897</v>
      </c>
      <c r="N55" s="68">
        <v>1</v>
      </c>
      <c r="P55" s="69"/>
    </row>
    <row r="56" spans="2:49">
      <c r="B56" s="34" t="s">
        <v>40</v>
      </c>
      <c r="C56" s="65"/>
      <c r="D56" s="76"/>
      <c r="E56" s="76">
        <v>12.554572931825788</v>
      </c>
      <c r="F56" s="66">
        <v>5.5</v>
      </c>
      <c r="G56" s="65"/>
      <c r="H56" s="76"/>
      <c r="I56" s="76">
        <v>13.449891307585697</v>
      </c>
      <c r="J56" s="66">
        <v>5.5</v>
      </c>
      <c r="K56" s="67"/>
      <c r="L56" s="194"/>
      <c r="M56" s="194">
        <v>0.54554653679653675</v>
      </c>
      <c r="N56" s="68">
        <v>1</v>
      </c>
      <c r="P56" s="69"/>
    </row>
    <row r="57" spans="2:49">
      <c r="B57" s="22" t="s">
        <v>33</v>
      </c>
      <c r="C57" s="65"/>
      <c r="D57" s="76"/>
      <c r="E57" s="76">
        <v>2.2218158544390558</v>
      </c>
      <c r="F57" s="66">
        <v>3.3</v>
      </c>
      <c r="G57" s="65"/>
      <c r="H57" s="76"/>
      <c r="I57" s="76">
        <v>5.0359151649923692</v>
      </c>
      <c r="J57" s="66">
        <v>3.3</v>
      </c>
      <c r="K57" s="67"/>
      <c r="L57" s="194"/>
      <c r="M57" s="194">
        <v>0.87880701754385959</v>
      </c>
      <c r="N57" s="68">
        <v>1</v>
      </c>
      <c r="P57" s="69"/>
    </row>
    <row r="58" spans="2:49">
      <c r="B58" s="35" t="s">
        <v>29</v>
      </c>
      <c r="C58" s="65"/>
      <c r="D58" s="76"/>
      <c r="E58" s="76"/>
      <c r="F58" s="66">
        <v>3.3</v>
      </c>
      <c r="G58" s="282"/>
      <c r="H58" s="76"/>
      <c r="I58" s="76"/>
      <c r="J58" s="66">
        <v>3</v>
      </c>
      <c r="L58" s="194"/>
      <c r="M58" s="194"/>
      <c r="N58" s="68">
        <v>1</v>
      </c>
      <c r="P58" s="69"/>
    </row>
    <row r="59" spans="2:49">
      <c r="B59" s="36" t="s">
        <v>15</v>
      </c>
      <c r="C59" s="282"/>
      <c r="D59" s="76"/>
      <c r="E59" s="76">
        <v>7.8262258425171876</v>
      </c>
      <c r="F59" s="70">
        <f>[21]May_2022!$M$43</f>
        <v>3.4878406700073312</v>
      </c>
      <c r="G59" s="282"/>
      <c r="H59" s="76"/>
      <c r="I59" s="76">
        <v>9.4300678869947632</v>
      </c>
      <c r="J59" s="66">
        <v>5.5</v>
      </c>
      <c r="K59" s="67"/>
      <c r="L59" s="194"/>
      <c r="M59" s="194">
        <v>0.674970760233918</v>
      </c>
      <c r="N59" s="68">
        <v>1</v>
      </c>
      <c r="P59" s="69"/>
    </row>
    <row r="60" spans="2:49">
      <c r="B60" s="37" t="s">
        <v>16</v>
      </c>
      <c r="C60" s="65"/>
      <c r="D60" s="76">
        <v>3.8832609744331941</v>
      </c>
      <c r="E60" s="76">
        <v>2.4852159592783925</v>
      </c>
      <c r="F60" s="66">
        <v>3.3</v>
      </c>
      <c r="G60" s="282"/>
      <c r="H60" s="76">
        <v>4.1755914731086534</v>
      </c>
      <c r="I60" s="76">
        <v>4.4843055604984379</v>
      </c>
      <c r="J60" s="66">
        <v>3.3</v>
      </c>
      <c r="K60" s="67"/>
      <c r="L60" s="194">
        <v>0.69912280701754381</v>
      </c>
      <c r="M60" s="194">
        <v>0.79924705882352942</v>
      </c>
      <c r="N60" s="71">
        <v>1</v>
      </c>
      <c r="P60" s="69"/>
    </row>
    <row r="61" spans="2:49" ht="14.4" thickBot="1">
      <c r="B61" s="38" t="s">
        <v>127</v>
      </c>
      <c r="C61" s="65"/>
      <c r="D61" s="76"/>
      <c r="E61" s="76"/>
      <c r="F61" s="66">
        <v>7.5</v>
      </c>
      <c r="G61" s="282"/>
      <c r="H61" s="76"/>
      <c r="I61" s="76"/>
      <c r="J61" s="66">
        <v>7.5</v>
      </c>
      <c r="K61" s="67"/>
      <c r="L61" s="194"/>
      <c r="M61" s="194"/>
      <c r="N61" s="71">
        <v>1</v>
      </c>
      <c r="P61" s="69"/>
    </row>
    <row r="62" spans="2:49" ht="14.4" thickBot="1">
      <c r="B62" s="417" t="s">
        <v>161</v>
      </c>
      <c r="C62" s="65"/>
      <c r="D62" s="76"/>
      <c r="E62" s="76">
        <v>4.8792508624938291</v>
      </c>
      <c r="F62" s="66">
        <v>4.8</v>
      </c>
      <c r="G62" s="282"/>
      <c r="H62" s="76"/>
      <c r="I62" s="76">
        <v>6.2003723782925313</v>
      </c>
      <c r="J62" s="66">
        <v>4.8</v>
      </c>
      <c r="K62" s="67"/>
      <c r="L62" s="194"/>
      <c r="M62" s="194">
        <v>0.33859649122807017</v>
      </c>
      <c r="N62" s="71">
        <v>1</v>
      </c>
      <c r="O62" s="74"/>
      <c r="P62" s="75"/>
    </row>
    <row r="63" spans="2:49">
      <c r="D63" s="76">
        <v>5.0773712685861572</v>
      </c>
      <c r="E63" s="76">
        <v>6.6723337102324027</v>
      </c>
      <c r="F63" s="341">
        <v>5.5</v>
      </c>
      <c r="H63" s="76">
        <v>4.1399327321929764</v>
      </c>
      <c r="I63" s="76">
        <v>7.2526103228027381</v>
      </c>
      <c r="J63" s="341">
        <v>5.5</v>
      </c>
      <c r="K63" s="67"/>
      <c r="L63" s="194">
        <v>0.83955722639933161</v>
      </c>
      <c r="M63" s="194">
        <v>0.74544952111791496</v>
      </c>
      <c r="N63" s="386">
        <v>1</v>
      </c>
    </row>
    <row r="67" spans="6:6">
      <c r="F67" s="315"/>
    </row>
  </sheetData>
  <mergeCells count="51">
    <mergeCell ref="M46:M47"/>
    <mergeCell ref="B52:F52"/>
    <mergeCell ref="G52:J52"/>
    <mergeCell ref="K52:N52"/>
    <mergeCell ref="G46:G47"/>
    <mergeCell ref="H46:H47"/>
    <mergeCell ref="I46:I47"/>
    <mergeCell ref="J46:J47"/>
    <mergeCell ref="K46:K47"/>
    <mergeCell ref="L46:L47"/>
    <mergeCell ref="F46:F47"/>
    <mergeCell ref="D41:E41"/>
    <mergeCell ref="B46:B47"/>
    <mergeCell ref="C46:C47"/>
    <mergeCell ref="D46:D47"/>
    <mergeCell ref="E46:E47"/>
    <mergeCell ref="B31:B40"/>
    <mergeCell ref="D31:E32"/>
    <mergeCell ref="J31:K31"/>
    <mergeCell ref="L32:N32"/>
    <mergeCell ref="D33:E34"/>
    <mergeCell ref="D35:E36"/>
    <mergeCell ref="D37:E38"/>
    <mergeCell ref="D39:E40"/>
    <mergeCell ref="I17:N17"/>
    <mergeCell ref="D18:E18"/>
    <mergeCell ref="B19:B30"/>
    <mergeCell ref="D19:E20"/>
    <mergeCell ref="D21:E22"/>
    <mergeCell ref="D23:E24"/>
    <mergeCell ref="D25:E26"/>
    <mergeCell ref="D27:E28"/>
    <mergeCell ref="D29:E3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1:B42">
    <cfRule type="cellIs" dxfId="1588" priority="114" operator="notBetween">
      <formula>#REF!</formula>
      <formula>#REF!</formula>
    </cfRule>
  </conditionalFormatting>
  <conditionalFormatting sqref="C45">
    <cfRule type="cellIs" dxfId="1587" priority="146" stopIfTrue="1" operator="greaterThan">
      <formula>100</formula>
    </cfRule>
    <cfRule type="cellIs" dxfId="1586" priority="145" stopIfTrue="1" operator="lessThan">
      <formula>96</formula>
    </cfRule>
  </conditionalFormatting>
  <conditionalFormatting sqref="C54:C55">
    <cfRule type="cellIs" dxfId="1585" priority="90" stopIfTrue="1" operator="lessThanOrEqual">
      <formula>0</formula>
    </cfRule>
  </conditionalFormatting>
  <conditionalFormatting sqref="C54:C58">
    <cfRule type="cellIs" dxfId="1584" priority="89" stopIfTrue="1" operator="greaterThan">
      <formula>$F54</formula>
    </cfRule>
  </conditionalFormatting>
  <conditionalFormatting sqref="C55">
    <cfRule type="cellIs" dxfId="1583" priority="149" stopIfTrue="1" operator="greaterThan">
      <formula>$F54</formula>
    </cfRule>
  </conditionalFormatting>
  <conditionalFormatting sqref="C56:C59">
    <cfRule type="cellIs" dxfId="1582" priority="98" stopIfTrue="1" operator="lessThanOrEqual">
      <formula>0</formula>
    </cfRule>
  </conditionalFormatting>
  <conditionalFormatting sqref="C59">
    <cfRule type="cellIs" dxfId="1581" priority="97" stopIfTrue="1" operator="greaterThan">
      <formula>$J59</formula>
    </cfRule>
  </conditionalFormatting>
  <conditionalFormatting sqref="C60:C62">
    <cfRule type="cellIs" dxfId="1580" priority="110" stopIfTrue="1" operator="lessThanOrEqual">
      <formula>0</formula>
    </cfRule>
    <cfRule type="cellIs" dxfId="1579" priority="109" stopIfTrue="1" operator="greaterThan">
      <formula>$F60</formula>
    </cfRule>
  </conditionalFormatting>
  <conditionalFormatting sqref="C65:C69">
    <cfRule type="cellIs" dxfId="1578" priority="137" stopIfTrue="1" operator="lessThanOrEqual">
      <formula>0</formula>
    </cfRule>
  </conditionalFormatting>
  <conditionalFormatting sqref="C66:C69">
    <cfRule type="cellIs" dxfId="1577" priority="136" stopIfTrue="1" operator="greaterThan">
      <formula>$F$65</formula>
    </cfRule>
  </conditionalFormatting>
  <conditionalFormatting sqref="C71">
    <cfRule type="cellIs" dxfId="1576" priority="139" stopIfTrue="1" operator="lessThanOrEqual">
      <formula>0</formula>
    </cfRule>
    <cfRule type="cellIs" dxfId="1575" priority="138" stopIfTrue="1" operator="greaterThan">
      <formula>$F$65</formula>
    </cfRule>
  </conditionalFormatting>
  <conditionalFormatting sqref="C65:D65 D67:D73">
    <cfRule type="cellIs" dxfId="1574" priority="131" stopIfTrue="1" operator="greaterThan">
      <formula>4.5</formula>
    </cfRule>
  </conditionalFormatting>
  <conditionalFormatting sqref="D41:D42">
    <cfRule type="cellIs" dxfId="1573" priority="115" operator="notBetween">
      <formula>#REF!</formula>
      <formula>#REF!</formula>
    </cfRule>
  </conditionalFormatting>
  <conditionalFormatting sqref="D54:D61">
    <cfRule type="cellIs" dxfId="1572" priority="108" stopIfTrue="1" operator="lessThanOrEqual">
      <formula>0</formula>
    </cfRule>
  </conditionalFormatting>
  <conditionalFormatting sqref="D62">
    <cfRule type="cellIs" dxfId="1571" priority="107" stopIfTrue="1" operator="lessThanOrEqual">
      <formula>0</formula>
    </cfRule>
  </conditionalFormatting>
  <conditionalFormatting sqref="D65 D67:D73">
    <cfRule type="cellIs" dxfId="1570" priority="132" stopIfTrue="1" operator="lessThanOrEqual">
      <formula>0</formula>
    </cfRule>
  </conditionalFormatting>
  <conditionalFormatting sqref="D66">
    <cfRule type="cellIs" dxfId="1569" priority="123" stopIfTrue="1" operator="greaterThan">
      <formula>$F$65</formula>
    </cfRule>
    <cfRule type="cellIs" dxfId="1568" priority="124" stopIfTrue="1" operator="lessThanOrEqual">
      <formula>0</formula>
    </cfRule>
  </conditionalFormatting>
  <conditionalFormatting sqref="D54:E63">
    <cfRule type="cellIs" dxfId="1567" priority="86" stopIfTrue="1" operator="greaterThan">
      <formula>$F54</formula>
    </cfRule>
  </conditionalFormatting>
  <conditionalFormatting sqref="D63:E63">
    <cfRule type="cellIs" dxfId="1566" priority="87" stopIfTrue="1" operator="lessThanOrEqual">
      <formula>0</formula>
    </cfRule>
  </conditionalFormatting>
  <conditionalFormatting sqref="E10:E16">
    <cfRule type="cellIs" dxfId="1565" priority="20" operator="lessThan">
      <formula>48</formula>
    </cfRule>
  </conditionalFormatting>
  <conditionalFormatting sqref="E44 E45:F45">
    <cfRule type="cellIs" dxfId="1564" priority="128" stopIfTrue="1" operator="greaterThan">
      <formula>100</formula>
    </cfRule>
  </conditionalFormatting>
  <conditionalFormatting sqref="E45">
    <cfRule type="cellIs" dxfId="1563" priority="126" stopIfTrue="1" operator="greaterThan">
      <formula>100</formula>
    </cfRule>
    <cfRule type="cellIs" dxfId="1562" priority="125" stopIfTrue="1" operator="lessThan">
      <formula>96.8</formula>
    </cfRule>
  </conditionalFormatting>
  <conditionalFormatting sqref="E54:E62">
    <cfRule type="cellIs" dxfId="1561" priority="102" stopIfTrue="1" operator="lessThanOrEqual">
      <formula>0</formula>
    </cfRule>
  </conditionalFormatting>
  <conditionalFormatting sqref="E65:E73">
    <cfRule type="cellIs" dxfId="1560" priority="117" stopIfTrue="1" operator="greaterThan">
      <formula>4.5</formula>
    </cfRule>
    <cfRule type="cellIs" dxfId="1559" priority="118" stopIfTrue="1" operator="lessThanOrEqual">
      <formula>0</formula>
    </cfRule>
  </conditionalFormatting>
  <conditionalFormatting sqref="E45:F45 E44">
    <cfRule type="cellIs" dxfId="1558" priority="127" stopIfTrue="1" operator="lessThan">
      <formula>96.5</formula>
    </cfRule>
  </conditionalFormatting>
  <conditionalFormatting sqref="F10:F16">
    <cfRule type="cellIs" dxfId="1557" priority="21" operator="greaterThan">
      <formula>60</formula>
    </cfRule>
  </conditionalFormatting>
  <conditionalFormatting sqref="F45">
    <cfRule type="cellIs" dxfId="1556" priority="144" stopIfTrue="1" operator="greaterThan">
      <formula>100</formula>
    </cfRule>
    <cfRule type="cellIs" dxfId="1555" priority="143" stopIfTrue="1" operator="lessThan">
      <formula>96.8</formula>
    </cfRule>
  </conditionalFormatting>
  <conditionalFormatting sqref="F63">
    <cfRule type="cellIs" dxfId="1554" priority="103" stopIfTrue="1" operator="greaterThan">
      <formula>$F63</formula>
    </cfRule>
    <cfRule type="cellIs" dxfId="1553" priority="104" stopIfTrue="1" operator="lessThanOrEqual">
      <formula>0</formula>
    </cfRule>
  </conditionalFormatting>
  <conditionalFormatting sqref="G10:G16">
    <cfRule type="expression" dxfId="1552" priority="23">
      <formula>IF(+(IF(G10&lt;#REF!,0,IF(G10&gt;#REF!,0,1)))=0,1)</formula>
    </cfRule>
  </conditionalFormatting>
  <conditionalFormatting sqref="G54">
    <cfRule type="cellIs" dxfId="1551" priority="213" stopIfTrue="1" operator="greaterThan">
      <formula>$F55</formula>
    </cfRule>
    <cfRule type="cellIs" dxfId="1550" priority="214" stopIfTrue="1" operator="lessThanOrEqual">
      <formula>0</formula>
    </cfRule>
  </conditionalFormatting>
  <conditionalFormatting sqref="G56">
    <cfRule type="cellIs" dxfId="1549" priority="148" stopIfTrue="1" operator="lessThanOrEqual">
      <formula>0</formula>
    </cfRule>
    <cfRule type="cellIs" dxfId="1548" priority="147" stopIfTrue="1" operator="greaterThan">
      <formula>$F55</formula>
    </cfRule>
  </conditionalFormatting>
  <conditionalFormatting sqref="G57">
    <cfRule type="cellIs" dxfId="1547" priority="106" stopIfTrue="1" operator="lessThanOrEqual">
      <formula>0</formula>
    </cfRule>
    <cfRule type="cellIs" dxfId="1546" priority="105" stopIfTrue="1" operator="greaterThan">
      <formula>$F57</formula>
    </cfRule>
  </conditionalFormatting>
  <conditionalFormatting sqref="G58:G62">
    <cfRule type="cellIs" dxfId="1545" priority="112" stopIfTrue="1" operator="lessThanOrEqual">
      <formula>0</formula>
    </cfRule>
    <cfRule type="cellIs" dxfId="1544" priority="111" stopIfTrue="1" operator="greaterThan">
      <formula>$J58</formula>
    </cfRule>
  </conditionalFormatting>
  <conditionalFormatting sqref="G67:G72 C70 C72">
    <cfRule type="cellIs" dxfId="1543" priority="140" stopIfTrue="1" operator="greaterThan">
      <formula>4.5</formula>
    </cfRule>
    <cfRule type="cellIs" dxfId="1542" priority="141" stopIfTrue="1" operator="lessThanOrEqual">
      <formula>0</formula>
    </cfRule>
  </conditionalFormatting>
  <conditionalFormatting sqref="G66:H66">
    <cfRule type="cellIs" dxfId="1541" priority="121" stopIfTrue="1" operator="greaterThan">
      <formula>$F$65</formula>
    </cfRule>
    <cfRule type="cellIs" dxfId="1540" priority="122" stopIfTrue="1" operator="lessThanOrEqual">
      <formula>0</formula>
    </cfRule>
  </conditionalFormatting>
  <conditionalFormatting sqref="H10:H13">
    <cfRule type="expression" dxfId="1539" priority="49">
      <formula>IF(+(IF(H10&lt;#REF!,0,IF(H10&gt;#REF!,0,1)))=0,1)</formula>
    </cfRule>
  </conditionalFormatting>
  <conditionalFormatting sqref="H14:H16">
    <cfRule type="expression" dxfId="1538" priority="50">
      <formula>IF(+(IF(H14&lt;T14,0,IF(H14&gt;U14,0,1)))=0,1)</formula>
    </cfRule>
  </conditionalFormatting>
  <conditionalFormatting sqref="H30:H44 I32:I43">
    <cfRule type="cellIs" dxfId="1537" priority="119" stopIfTrue="1" operator="greaterThan">
      <formula>0</formula>
    </cfRule>
  </conditionalFormatting>
  <conditionalFormatting sqref="H48">
    <cfRule type="cellIs" dxfId="1536" priority="3" stopIfTrue="1" operator="greaterThan">
      <formula>$F$32</formula>
    </cfRule>
    <cfRule type="cellIs" dxfId="1535" priority="14" stopIfTrue="1" operator="lessThanOrEqual">
      <formula>0</formula>
    </cfRule>
    <cfRule type="cellIs" dxfId="1534" priority="13" stopIfTrue="1" operator="greaterThan">
      <formula>$F$33</formula>
    </cfRule>
    <cfRule type="cellIs" dxfId="1533" priority="12" stopIfTrue="1" operator="lessThanOrEqual">
      <formula>0</formula>
    </cfRule>
    <cfRule type="cellIs" dxfId="1532" priority="11" stopIfTrue="1" operator="greaterThan">
      <formula>$F$35</formula>
    </cfRule>
    <cfRule type="cellIs" dxfId="1531" priority="2" stopIfTrue="1" operator="lessThanOrEqual">
      <formula>0</formula>
    </cfRule>
  </conditionalFormatting>
  <conditionalFormatting sqref="H49:H50">
    <cfRule type="cellIs" dxfId="1530" priority="71" stopIfTrue="1" operator="lessThanOrEqual">
      <formula>0</formula>
    </cfRule>
    <cfRule type="cellIs" dxfId="1529" priority="70" stopIfTrue="1" operator="greaterThan">
      <formula>$F$30</formula>
    </cfRule>
    <cfRule type="cellIs" dxfId="1528" priority="69" stopIfTrue="1" operator="lessThanOrEqual">
      <formula>0</formula>
    </cfRule>
    <cfRule type="cellIs" dxfId="1527" priority="68" stopIfTrue="1" operator="greaterThan">
      <formula>$F$32</formula>
    </cfRule>
    <cfRule type="cellIs" dxfId="1526" priority="59" stopIfTrue="1" operator="lessThanOrEqual">
      <formula>0</formula>
    </cfRule>
    <cfRule type="cellIs" dxfId="1525" priority="60" stopIfTrue="1" operator="greaterThan">
      <formula>$F$29</formula>
    </cfRule>
  </conditionalFormatting>
  <conditionalFormatting sqref="H54:H61">
    <cfRule type="cellIs" dxfId="1524" priority="96" stopIfTrue="1" operator="lessThanOrEqual">
      <formula>0</formula>
    </cfRule>
    <cfRule type="cellIs" dxfId="1523" priority="95" stopIfTrue="1" operator="greaterThan">
      <formula>$J54</formula>
    </cfRule>
  </conditionalFormatting>
  <conditionalFormatting sqref="H62">
    <cfRule type="cellIs" dxfId="1522" priority="99" operator="greaterThan">
      <formula>5.3</formula>
    </cfRule>
  </conditionalFormatting>
  <conditionalFormatting sqref="H65 H67:H73">
    <cfRule type="cellIs" dxfId="1521" priority="134" stopIfTrue="1" operator="lessThanOrEqual">
      <formula>0</formula>
    </cfRule>
    <cfRule type="cellIs" dxfId="1520" priority="133" stopIfTrue="1" operator="greaterThan">
      <formula>4.5</formula>
    </cfRule>
  </conditionalFormatting>
  <conditionalFormatting sqref="H48:I48">
    <cfRule type="cellIs" dxfId="1519" priority="4" stopIfTrue="1" operator="lessThanOrEqual">
      <formula>0</formula>
    </cfRule>
    <cfRule type="cellIs" dxfId="1518" priority="1" stopIfTrue="1" operator="greaterThan">
      <formula>$F$34</formula>
    </cfRule>
  </conditionalFormatting>
  <conditionalFormatting sqref="H49:I50">
    <cfRule type="cellIs" dxfId="1517" priority="61" stopIfTrue="1" operator="lessThanOrEqual">
      <formula>0</formula>
    </cfRule>
    <cfRule type="cellIs" dxfId="1516" priority="58" stopIfTrue="1" operator="greaterThan">
      <formula>$F$31</formula>
    </cfRule>
  </conditionalFormatting>
  <conditionalFormatting sqref="H63:I63">
    <cfRule type="cellIs" dxfId="1515" priority="84" stopIfTrue="1" operator="greaterThan">
      <formula>$J63</formula>
    </cfRule>
    <cfRule type="cellIs" dxfId="1514" priority="85" stopIfTrue="1" operator="lessThanOrEqual">
      <formula>0</formula>
    </cfRule>
  </conditionalFormatting>
  <conditionalFormatting sqref="I48">
    <cfRule type="cellIs" dxfId="1513" priority="5" stopIfTrue="1" operator="greaterThan">
      <formula>$F$32</formula>
    </cfRule>
    <cfRule type="cellIs" dxfId="1512" priority="6" stopIfTrue="1" operator="lessThanOrEqual">
      <formula>0</formula>
    </cfRule>
    <cfRule type="cellIs" dxfId="1511" priority="7" stopIfTrue="1" operator="greaterThan">
      <formula>$F$34</formula>
    </cfRule>
    <cfRule type="cellIs" dxfId="1510" priority="10" stopIfTrue="1" operator="lessThanOrEqual">
      <formula>0</formula>
    </cfRule>
    <cfRule type="cellIs" dxfId="1509" priority="8" stopIfTrue="1" operator="lessThanOrEqual">
      <formula>0</formula>
    </cfRule>
    <cfRule type="cellIs" dxfId="1508" priority="9" stopIfTrue="1" operator="greaterThan">
      <formula>$F$32</formula>
    </cfRule>
  </conditionalFormatting>
  <conditionalFormatting sqref="I49:I50">
    <cfRule type="cellIs" dxfId="1507" priority="67" stopIfTrue="1" operator="lessThanOrEqual">
      <formula>0</formula>
    </cfRule>
    <cfRule type="cellIs" dxfId="1506" priority="62" stopIfTrue="1" operator="greaterThan">
      <formula>$F$29</formula>
    </cfRule>
    <cfRule type="cellIs" dxfId="1505" priority="66" stopIfTrue="1" operator="greaterThan">
      <formula>$F$29</formula>
    </cfRule>
    <cfRule type="cellIs" dxfId="1504" priority="65" stopIfTrue="1" operator="lessThanOrEqual">
      <formula>0</formula>
    </cfRule>
    <cfRule type="cellIs" dxfId="1503" priority="64" stopIfTrue="1" operator="greaterThan">
      <formula>$F$31</formula>
    </cfRule>
    <cfRule type="cellIs" dxfId="1502" priority="63" stopIfTrue="1" operator="lessThanOrEqual">
      <formula>0</formula>
    </cfRule>
  </conditionalFormatting>
  <conditionalFormatting sqref="I54:I62">
    <cfRule type="cellIs" dxfId="1501" priority="100" stopIfTrue="1" operator="greaterThan">
      <formula>$J54</formula>
    </cfRule>
    <cfRule type="cellIs" dxfId="1500" priority="101" stopIfTrue="1" operator="lessThanOrEqual">
      <formula>0</formula>
    </cfRule>
  </conditionalFormatting>
  <conditionalFormatting sqref="I65:I73">
    <cfRule type="cellIs" dxfId="1499" priority="130" stopIfTrue="1" operator="lessThanOrEqual">
      <formula>0</formula>
    </cfRule>
    <cfRule type="cellIs" dxfId="1498" priority="129" stopIfTrue="1" operator="greaterThan">
      <formula>4.5</formula>
    </cfRule>
  </conditionalFormatting>
  <conditionalFormatting sqref="I10:J13 I14:I16">
    <cfRule type="cellIs" dxfId="1497" priority="57" operator="lessThan">
      <formula>97.9</formula>
    </cfRule>
  </conditionalFormatting>
  <conditionalFormatting sqref="J19:J21">
    <cfRule type="cellIs" dxfId="1496" priority="76" operator="lessThan">
      <formula>98</formula>
    </cfRule>
    <cfRule type="cellIs" dxfId="1495" priority="75" stopIfTrue="1" operator="greaterThan">
      <formula>100</formula>
    </cfRule>
    <cfRule type="cellIs" dxfId="1494" priority="74" stopIfTrue="1" operator="lessThan">
      <formula>96.8</formula>
    </cfRule>
  </conditionalFormatting>
  <conditionalFormatting sqref="J19:J23">
    <cfRule type="cellIs" dxfId="1493" priority="73" operator="lessThan">
      <formula>97.4</formula>
    </cfRule>
  </conditionalFormatting>
  <conditionalFormatting sqref="J24">
    <cfRule type="cellIs" dxfId="1492" priority="77" operator="lessThan">
      <formula>98</formula>
    </cfRule>
  </conditionalFormatting>
  <conditionalFormatting sqref="J25:J27">
    <cfRule type="cellIs" dxfId="1491" priority="78" stopIfTrue="1" operator="lessThan">
      <formula>96.8</formula>
    </cfRule>
    <cfRule type="cellIs" dxfId="1490" priority="79" stopIfTrue="1" operator="greaterThan">
      <formula>100</formula>
    </cfRule>
  </conditionalFormatting>
  <conditionalFormatting sqref="J25:J28">
    <cfRule type="cellIs" dxfId="1489" priority="80" operator="lessThan">
      <formula>98</formula>
    </cfRule>
  </conditionalFormatting>
  <conditionalFormatting sqref="J63">
    <cfRule type="cellIs" dxfId="1488" priority="81" stopIfTrue="1" operator="greaterThan">
      <formula>$F63</formula>
    </cfRule>
    <cfRule type="cellIs" dxfId="1487" priority="82" stopIfTrue="1" operator="lessThanOrEqual">
      <formula>0</formula>
    </cfRule>
  </conditionalFormatting>
  <conditionalFormatting sqref="K10:K13 J14:J16">
    <cfRule type="cellIs" dxfId="1486" priority="53" operator="lessThan">
      <formula>4</formula>
    </cfRule>
    <cfRule type="cellIs" dxfId="1485" priority="56" operator="greaterThan">
      <formula>6.4</formula>
    </cfRule>
    <cfRule type="cellIs" dxfId="1484" priority="52" operator="greaterThan">
      <formula>6</formula>
    </cfRule>
  </conditionalFormatting>
  <conditionalFormatting sqref="K33:K42">
    <cfRule type="cellIs" dxfId="1483" priority="72" operator="notEqual">
      <formula>#REF!</formula>
    </cfRule>
  </conditionalFormatting>
  <conditionalFormatting sqref="K48:K50 K54:N57 L58:N58">
    <cfRule type="cellIs" dxfId="1482" priority="113" stopIfTrue="1" operator="lessThan">
      <formula>100%</formula>
    </cfRule>
  </conditionalFormatting>
  <conditionalFormatting sqref="K65:K70">
    <cfRule type="cellIs" dxfId="1481" priority="135" stopIfTrue="1" operator="lessThan">
      <formula>100%</formula>
    </cfRule>
  </conditionalFormatting>
  <conditionalFormatting sqref="K72:K73">
    <cfRule type="cellIs" dxfId="1480" priority="142" stopIfTrue="1" operator="lessThan">
      <formula>100%</formula>
    </cfRule>
  </conditionalFormatting>
  <conditionalFormatting sqref="K59:N63">
    <cfRule type="cellIs" dxfId="1479" priority="83" stopIfTrue="1" operator="lessThan">
      <formula>100%</formula>
    </cfRule>
  </conditionalFormatting>
  <conditionalFormatting sqref="L10:L13 K14:K16">
    <cfRule type="cellIs" dxfId="1478" priority="54" operator="between">
      <formula>61</formula>
      <formula>65</formula>
    </cfRule>
    <cfRule type="cellIs" dxfId="1477" priority="55" operator="greaterThan">
      <formula>65</formula>
    </cfRule>
  </conditionalFormatting>
  <conditionalFormatting sqref="L34:N34">
    <cfRule type="cellIs" dxfId="1476" priority="48" operator="notEqual">
      <formula>#REF!</formula>
    </cfRule>
  </conditionalFormatting>
  <conditionalFormatting sqref="L65:N73">
    <cfRule type="cellIs" dxfId="1475" priority="120" stopIfTrue="1" operator="lessThan">
      <formula>100%</formula>
    </cfRule>
  </conditionalFormatting>
  <conditionalFormatting sqref="M10:M13 L14:M16">
    <cfRule type="expression" dxfId="1474" priority="51">
      <formula>IF(+(IF(L10&lt;T10,0,IF(L10&gt;U10,0,1)))=0,1)</formula>
    </cfRule>
  </conditionalFormatting>
  <conditionalFormatting sqref="M19 L20:M30">
    <cfRule type="cellIs" dxfId="1473" priority="88" operator="lessThan">
      <formula>98</formula>
    </cfRule>
  </conditionalFormatting>
  <conditionalFormatting sqref="N10:N12">
    <cfRule type="expression" dxfId="1472" priority="15">
      <formula>IF(+(IF(N10&lt;W10,0,IF(N10&gt;X10,0,1)))=0,1)</formula>
    </cfRule>
  </conditionalFormatting>
  <conditionalFormatting sqref="N13">
    <cfRule type="expression" dxfId="1471" priority="27">
      <formula>IF(+(IF(N13&lt;X13,0,IF(N13&gt;Y13,0,1)))=0,1)</formula>
    </cfRule>
  </conditionalFormatting>
  <conditionalFormatting sqref="N14:N16">
    <cfRule type="expression" dxfId="1470" priority="32">
      <formula>IF(+(IF(N14&lt;W14,0,IF(N14&gt;X14,0,1)))=0,1)</formula>
    </cfRule>
  </conditionalFormatting>
  <conditionalFormatting sqref="P6">
    <cfRule type="cellIs" dxfId="1469" priority="116" operator="greaterThanOrEqual">
      <formula>19</formula>
    </cfRule>
  </conditionalFormatting>
  <dataValidations count="1">
    <dataValidation type="list" allowBlank="1" showInputMessage="1" showErrorMessage="1" sqref="R8" xr:uid="{DF217EB6-7DB2-45AA-9EC0-645771B0526C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67" max="16383" man="1"/>
  </rowBreaks>
  <colBreaks count="1" manualBreakCount="1">
    <brk id="15" max="89" man="1"/>
  </col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49AE-62A3-4025-BDDE-E76A89CE525D}">
  <sheetPr codeName="Sheet9">
    <pageSetUpPr fitToPage="1"/>
  </sheetPr>
  <dimension ref="A1:BE69"/>
  <sheetViews>
    <sheetView topLeftCell="A45" zoomScale="80" zoomScaleNormal="80" workbookViewId="0">
      <selection activeCell="J50" sqref="J50:L50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57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45791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[22]Brewhouse!$A437</f>
        <v>CA332</v>
      </c>
      <c r="D10" s="279">
        <f>[22]Brewhouse!$AF437</f>
        <v>51</v>
      </c>
      <c r="E10" s="279">
        <f>[22]Brewhouse!$AI437</f>
        <v>49.5</v>
      </c>
      <c r="F10" s="278">
        <f>[22]Brewhouse!$V437</f>
        <v>61</v>
      </c>
      <c r="G10" s="279">
        <f>[22]Brewhouse!$AG437</f>
        <v>11.61</v>
      </c>
      <c r="H10" s="396">
        <v>11.6</v>
      </c>
      <c r="I10" s="368">
        <f>[22]Brewhouse!$AU437</f>
        <v>97.232300097496136</v>
      </c>
      <c r="J10" s="368">
        <f>[22]Brewhouse!$AV437</f>
        <v>98.965936120759352</v>
      </c>
      <c r="K10" s="281">
        <f>[22]Brewhouse!$Q437</f>
        <v>11.789473684210524</v>
      </c>
      <c r="L10" s="276">
        <f>[22]Brewhouse!$P437</f>
        <v>62</v>
      </c>
      <c r="M10" s="397">
        <f>[22]Brewhouse!$U437-[22]Brewhouse!$T437</f>
        <v>0.11527777777777781</v>
      </c>
      <c r="N10" s="370">
        <f>[22]Brewhouse!$Z437</f>
        <v>0.27222222222222225</v>
      </c>
      <c r="O10" s="371" t="str">
        <f>[22]Brewhouse!$AX437</f>
        <v>D. Gomez</v>
      </c>
      <c r="P10" s="423" t="s">
        <v>192</v>
      </c>
      <c r="R10" s="277" t="str">
        <f>B10</f>
        <v>CARIB</v>
      </c>
      <c r="S10" s="296">
        <f t="shared" ref="S10:S20" si="0">VLOOKUP($B10,$R$3:$X$9,2,FALSE)</f>
        <v>11.6</v>
      </c>
      <c r="T10" s="296">
        <f t="shared" ref="T10:T20" si="1">VLOOKUP($B10,$R$3:$X$9,3,FALSE)</f>
        <v>12</v>
      </c>
      <c r="U10" s="297">
        <f t="shared" ref="U10:U20" si="2">VLOOKUP($B10,$R$3:$X$9,4,FALSE)</f>
        <v>0</v>
      </c>
      <c r="V10" s="297">
        <f t="shared" ref="V10:V20" si="3">VLOOKUP($B10,$R$3:$X$9,5,FALSE)</f>
        <v>0.118055555555556</v>
      </c>
      <c r="W10" s="297">
        <f t="shared" ref="W10:W20" si="4">VLOOKUP($B10,$R$3:$X$9,6,FALSE)</f>
        <v>0.22569444444444445</v>
      </c>
      <c r="X10" s="297">
        <f t="shared" ref="X10:X20" si="5">VLOOKUP($B10,$R$3:$X$9,7,FALSE)</f>
        <v>0.2638888888888889</v>
      </c>
      <c r="Y10" s="297">
        <f t="shared" ref="Y10:Y20" si="6">VLOOKUP($B10,$R$3:$Z$9,8,FALSE)</f>
        <v>0</v>
      </c>
      <c r="Z10" s="296">
        <f t="shared" ref="Z10:Z20" si="7">VLOOKUP($B10,$R$3:$Z$9,9,FALSE)</f>
        <v>60</v>
      </c>
    </row>
    <row r="11" spans="2:29" ht="15.75" customHeight="1">
      <c r="B11" s="29" t="s">
        <v>6</v>
      </c>
      <c r="C11" s="366" t="str">
        <f>[22]Brewhouse!$A438</f>
        <v>CA333</v>
      </c>
      <c r="D11" s="279">
        <f>[22]Brewhouse!$AF438</f>
        <v>53.2</v>
      </c>
      <c r="E11" s="279">
        <f>[22]Brewhouse!$AI438</f>
        <v>49.8</v>
      </c>
      <c r="F11" s="278">
        <f>[22]Brewhouse!$V438</f>
        <v>65</v>
      </c>
      <c r="G11" s="279">
        <f>[22]Brewhouse!$AG438</f>
        <v>11.02</v>
      </c>
      <c r="H11" s="396">
        <v>11.1</v>
      </c>
      <c r="I11" s="368">
        <f>[22]Brewhouse!$AU438</f>
        <v>92.382202778407148</v>
      </c>
      <c r="J11" s="368">
        <f>[22]Brewhouse!$AV438</f>
        <v>94.029650136778642</v>
      </c>
      <c r="K11" s="281">
        <f>[22]Brewhouse!$Q438</f>
        <v>2.323943661971819</v>
      </c>
      <c r="L11" s="276">
        <f>[22]Brewhouse!$P438</f>
        <v>58</v>
      </c>
      <c r="M11" s="397">
        <f>[22]Brewhouse!$U438-[22]Brewhouse!$T438</f>
        <v>0.11180555555555555</v>
      </c>
      <c r="N11" s="370">
        <f>[22]Brewhouse!$Z438</f>
        <v>0.2638888888888889</v>
      </c>
      <c r="O11" s="371" t="str">
        <f>[22]Brewhouse!$AX438</f>
        <v>D. Gomez</v>
      </c>
      <c r="P11" s="423"/>
      <c r="R11" s="277" t="str">
        <f t="shared" ref="R11:R20" si="8">B11</f>
        <v>CARIB</v>
      </c>
      <c r="S11" s="296">
        <f t="shared" si="0"/>
        <v>11.6</v>
      </c>
      <c r="T11" s="296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296">
        <f t="shared" si="7"/>
        <v>60</v>
      </c>
    </row>
    <row r="12" spans="2:29" ht="15.75" customHeight="1">
      <c r="B12" s="29" t="s">
        <v>6</v>
      </c>
      <c r="C12" s="366" t="str">
        <f>[22]Brewhouse!$A439</f>
        <v>CA334</v>
      </c>
      <c r="D12" s="279">
        <f>[22]Brewhouse!$AF439</f>
        <v>55.3</v>
      </c>
      <c r="E12" s="279">
        <f>[22]Brewhouse!$AI439</f>
        <v>51.4</v>
      </c>
      <c r="F12" s="278">
        <f>[22]Brewhouse!$V439</f>
        <v>61</v>
      </c>
      <c r="G12" s="279">
        <f>[22]Brewhouse!$AG439</f>
        <v>11.6</v>
      </c>
      <c r="H12" s="396">
        <v>11.7</v>
      </c>
      <c r="I12" s="368">
        <f>[22]Brewhouse!$AU439</f>
        <v>97.59305095768498</v>
      </c>
      <c r="J12" s="368">
        <f>[22]Brewhouse!$AV439</f>
        <v>99.335774050971565</v>
      </c>
      <c r="K12" s="281">
        <f>[22]Brewhouse!$Q439</f>
        <v>5.7340241796200351</v>
      </c>
      <c r="L12" s="276">
        <f>[22]Brewhouse!$P439</f>
        <v>64</v>
      </c>
      <c r="M12" s="397">
        <f>[22]Brewhouse!$U439-[22]Brewhouse!$T439</f>
        <v>0.11388888888888893</v>
      </c>
      <c r="N12" s="370">
        <f>[22]Brewhouse!$Z439</f>
        <v>0.26875000000000004</v>
      </c>
      <c r="O12" s="371" t="str">
        <f>[22]Brewhouse!$AX439</f>
        <v>R. Sookram</v>
      </c>
      <c r="P12" s="423"/>
      <c r="R12" s="277" t="str">
        <f t="shared" si="8"/>
        <v>CARIB</v>
      </c>
      <c r="S12" s="296">
        <f t="shared" si="0"/>
        <v>11.6</v>
      </c>
      <c r="T12" s="296">
        <f t="shared" si="1"/>
        <v>12</v>
      </c>
      <c r="U12" s="297">
        <f t="shared" si="2"/>
        <v>0</v>
      </c>
      <c r="V12" s="297">
        <f t="shared" si="3"/>
        <v>0.118055555555556</v>
      </c>
      <c r="W12" s="297">
        <f t="shared" si="4"/>
        <v>0.22569444444444445</v>
      </c>
      <c r="X12" s="297">
        <f t="shared" si="5"/>
        <v>0.2638888888888889</v>
      </c>
      <c r="Y12" s="297">
        <f t="shared" si="6"/>
        <v>0</v>
      </c>
      <c r="Z12" s="296">
        <f t="shared" si="7"/>
        <v>60</v>
      </c>
    </row>
    <row r="13" spans="2:29" ht="15.75" customHeight="1">
      <c r="B13" s="29" t="s">
        <v>6</v>
      </c>
      <c r="C13" s="366" t="str">
        <f>[22]Brewhouse!$A440</f>
        <v>CA335</v>
      </c>
      <c r="D13" s="279">
        <f>[22]Brewhouse!$AF440</f>
        <v>54.4</v>
      </c>
      <c r="E13" s="279">
        <f>[22]Brewhouse!$AI440</f>
        <v>50.9</v>
      </c>
      <c r="F13" s="278">
        <f>[22]Brewhouse!$V440</f>
        <v>60</v>
      </c>
      <c r="G13" s="279">
        <f>[22]Brewhouse!$AG440</f>
        <v>11.7</v>
      </c>
      <c r="H13" s="396">
        <v>11.7</v>
      </c>
      <c r="I13" s="368">
        <f>[22]Brewhouse!$AU440</f>
        <v>99.114352131140947</v>
      </c>
      <c r="J13" s="368">
        <f>[22]Brewhouse!$AV440</f>
        <v>100.88296575742959</v>
      </c>
      <c r="K13" s="281">
        <f>[22]Brewhouse!$Q440</f>
        <v>6.1538461538461586</v>
      </c>
      <c r="L13" s="276">
        <f>[22]Brewhouse!$P440</f>
        <v>59</v>
      </c>
      <c r="M13" s="397">
        <f>[22]Brewhouse!$U440-[22]Brewhouse!$T440</f>
        <v>0.125</v>
      </c>
      <c r="N13" s="370">
        <f>[22]Brewhouse!$Z440</f>
        <v>0.28333333333333333</v>
      </c>
      <c r="O13" s="371" t="str">
        <f>[22]Brewhouse!$AX440</f>
        <v>R. Sookram</v>
      </c>
      <c r="P13" s="423" t="s">
        <v>192</v>
      </c>
      <c r="R13" s="277" t="str">
        <f t="shared" si="8"/>
        <v>CARIB</v>
      </c>
      <c r="S13" s="296">
        <f t="shared" si="0"/>
        <v>11.6</v>
      </c>
      <c r="T13" s="296">
        <f t="shared" si="1"/>
        <v>12</v>
      </c>
      <c r="U13" s="297">
        <f t="shared" si="2"/>
        <v>0</v>
      </c>
      <c r="V13" s="297">
        <f t="shared" si="3"/>
        <v>0.118055555555556</v>
      </c>
      <c r="W13" s="297">
        <f t="shared" si="4"/>
        <v>0.22569444444444445</v>
      </c>
      <c r="X13" s="297">
        <f t="shared" si="5"/>
        <v>0.2638888888888889</v>
      </c>
      <c r="Y13" s="297">
        <f t="shared" si="6"/>
        <v>0</v>
      </c>
      <c r="Z13" s="296">
        <f t="shared" si="7"/>
        <v>60</v>
      </c>
    </row>
    <row r="14" spans="2:29" ht="15.75" customHeight="1">
      <c r="B14" s="29" t="s">
        <v>6</v>
      </c>
      <c r="C14" s="366" t="str">
        <f>[22]Brewhouse!$A441</f>
        <v>CA336</v>
      </c>
      <c r="D14" s="279">
        <f>[22]Brewhouse!$AF441</f>
        <v>54.4</v>
      </c>
      <c r="E14" s="279">
        <f>[22]Brewhouse!$AI441</f>
        <v>51.2</v>
      </c>
      <c r="F14" s="278">
        <f>[22]Brewhouse!$V441</f>
        <v>55</v>
      </c>
      <c r="G14" s="279">
        <f>[22]Brewhouse!$AG441</f>
        <v>11.9</v>
      </c>
      <c r="H14" s="396">
        <v>11.9</v>
      </c>
      <c r="I14" s="368">
        <f>[22]Brewhouse!$AU441</f>
        <v>101.74773831876141</v>
      </c>
      <c r="J14" s="368">
        <f>[22]Brewhouse!$AV441</f>
        <v>103.56313730955213</v>
      </c>
      <c r="K14" s="281">
        <f>[22]Brewhouse!$Q441</f>
        <v>8.7915936952714588</v>
      </c>
      <c r="L14" s="276">
        <f>[22]Brewhouse!$P441</f>
        <v>60</v>
      </c>
      <c r="M14" s="397">
        <f>[22]Brewhouse!$U441-[22]Brewhouse!$T441</f>
        <v>0.125</v>
      </c>
      <c r="N14" s="370">
        <f>[22]Brewhouse!$Z441</f>
        <v>0.26874999999999993</v>
      </c>
      <c r="O14" s="371" t="str">
        <f>[22]Brewhouse!$AX441</f>
        <v>K.Benjamin</v>
      </c>
      <c r="P14" s="423"/>
      <c r="R14" s="277" t="str">
        <f t="shared" si="8"/>
        <v>CARIB</v>
      </c>
      <c r="S14" s="296">
        <f t="shared" si="0"/>
        <v>11.6</v>
      </c>
      <c r="T14" s="296">
        <f t="shared" si="1"/>
        <v>12</v>
      </c>
      <c r="U14" s="297">
        <f t="shared" si="2"/>
        <v>0</v>
      </c>
      <c r="V14" s="297">
        <f t="shared" si="3"/>
        <v>0.118055555555556</v>
      </c>
      <c r="W14" s="297">
        <f t="shared" si="4"/>
        <v>0.22569444444444445</v>
      </c>
      <c r="X14" s="297">
        <f t="shared" si="5"/>
        <v>0.2638888888888889</v>
      </c>
      <c r="Y14" s="297">
        <f t="shared" si="6"/>
        <v>0</v>
      </c>
      <c r="Z14" s="296">
        <f t="shared" si="7"/>
        <v>60</v>
      </c>
    </row>
    <row r="15" spans="2:29" ht="15.75" customHeight="1">
      <c r="B15" s="22"/>
      <c r="C15" s="366"/>
      <c r="D15" s="279"/>
      <c r="E15" s="279"/>
      <c r="F15" s="278"/>
      <c r="G15" s="279"/>
      <c r="H15" s="396"/>
      <c r="I15" s="368"/>
      <c r="J15" s="368"/>
      <c r="K15" s="281"/>
      <c r="L15" s="433"/>
      <c r="M15" s="374"/>
      <c r="N15" s="370"/>
      <c r="O15" s="371"/>
      <c r="P15" s="423"/>
      <c r="R15" s="277">
        <f t="shared" si="8"/>
        <v>0</v>
      </c>
      <c r="S15" s="296" t="e">
        <f t="shared" si="0"/>
        <v>#N/A</v>
      </c>
      <c r="T15" s="296" t="e">
        <f t="shared" si="1"/>
        <v>#N/A</v>
      </c>
      <c r="U15" s="297" t="e">
        <f t="shared" si="2"/>
        <v>#N/A</v>
      </c>
      <c r="V15" s="297" t="e">
        <f t="shared" si="3"/>
        <v>#N/A</v>
      </c>
      <c r="W15" s="297" t="e">
        <f t="shared" si="4"/>
        <v>#N/A</v>
      </c>
      <c r="X15" s="297" t="e">
        <f t="shared" si="5"/>
        <v>#N/A</v>
      </c>
      <c r="Y15" s="297" t="e">
        <f t="shared" si="6"/>
        <v>#N/A</v>
      </c>
      <c r="Z15" s="296" t="e">
        <f t="shared" si="7"/>
        <v>#N/A</v>
      </c>
    </row>
    <row r="16" spans="2:29" ht="15.75" customHeight="1">
      <c r="B16" s="33"/>
      <c r="C16" s="366"/>
      <c r="D16" s="279"/>
      <c r="E16" s="279"/>
      <c r="F16" s="278"/>
      <c r="G16" s="279"/>
      <c r="H16" s="396"/>
      <c r="I16" s="421"/>
      <c r="J16" s="398"/>
      <c r="K16" s="276"/>
      <c r="L16" s="374"/>
      <c r="M16" s="397"/>
      <c r="N16" s="370"/>
      <c r="O16" s="371"/>
      <c r="P16" s="423"/>
      <c r="R16" s="277">
        <f t="shared" si="8"/>
        <v>0</v>
      </c>
      <c r="S16" s="296" t="e">
        <f t="shared" si="0"/>
        <v>#N/A</v>
      </c>
      <c r="T16" s="296" t="e">
        <f t="shared" si="1"/>
        <v>#N/A</v>
      </c>
      <c r="U16" s="297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6" t="e">
        <f t="shared" si="7"/>
        <v>#N/A</v>
      </c>
    </row>
    <row r="17" spans="1:27" ht="15.75" customHeight="1">
      <c r="B17" s="33"/>
      <c r="C17" s="366"/>
      <c r="D17" s="279"/>
      <c r="E17" s="279"/>
      <c r="F17" s="278"/>
      <c r="G17" s="279"/>
      <c r="H17" s="396"/>
      <c r="I17" s="421"/>
      <c r="J17" s="398"/>
      <c r="K17" s="276"/>
      <c r="L17" s="374"/>
      <c r="M17" s="397"/>
      <c r="N17" s="370"/>
      <c r="O17" s="371"/>
      <c r="P17" s="423"/>
      <c r="R17" s="277">
        <f t="shared" si="8"/>
        <v>0</v>
      </c>
      <c r="S17" s="296" t="e">
        <f t="shared" si="0"/>
        <v>#N/A</v>
      </c>
      <c r="T17" s="296" t="e">
        <f t="shared" si="1"/>
        <v>#N/A</v>
      </c>
      <c r="U17" s="297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6" t="e">
        <f t="shared" si="7"/>
        <v>#N/A</v>
      </c>
    </row>
    <row r="18" spans="1:27" ht="15.75" customHeight="1">
      <c r="B18" s="33"/>
      <c r="C18" s="366"/>
      <c r="D18" s="279"/>
      <c r="E18" s="279"/>
      <c r="F18" s="278"/>
      <c r="G18" s="279"/>
      <c r="H18" s="396"/>
      <c r="I18" s="421"/>
      <c r="J18" s="398"/>
      <c r="K18" s="276"/>
      <c r="L18" s="374"/>
      <c r="M18" s="397"/>
      <c r="N18" s="370"/>
      <c r="O18" s="371"/>
      <c r="P18" s="423"/>
      <c r="R18" s="277">
        <f t="shared" si="8"/>
        <v>0</v>
      </c>
      <c r="S18" s="296" t="e">
        <f t="shared" si="0"/>
        <v>#N/A</v>
      </c>
      <c r="T18" s="296" t="e">
        <f t="shared" si="1"/>
        <v>#N/A</v>
      </c>
      <c r="U18" s="297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6" t="e">
        <f t="shared" si="7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481" t="s">
        <v>34</v>
      </c>
      <c r="J19" s="481"/>
      <c r="K19" s="481"/>
      <c r="L19" s="481"/>
      <c r="M19" s="481"/>
      <c r="N19" s="481"/>
      <c r="O19" s="1"/>
      <c r="P19" s="12"/>
      <c r="R19" s="277">
        <f t="shared" si="8"/>
        <v>0</v>
      </c>
      <c r="S19" s="296" t="e">
        <f t="shared" si="0"/>
        <v>#N/A</v>
      </c>
      <c r="T19" s="296" t="e">
        <f t="shared" si="1"/>
        <v>#N/A</v>
      </c>
      <c r="U19" s="297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6" t="e">
        <f t="shared" si="7"/>
        <v>#N/A</v>
      </c>
    </row>
    <row r="20" spans="1:27" ht="15" thickBot="1">
      <c r="B20" s="388" t="s">
        <v>145</v>
      </c>
      <c r="C20" s="388"/>
      <c r="D20" s="494" t="s">
        <v>35</v>
      </c>
      <c r="E20" s="495"/>
      <c r="F20" s="294"/>
      <c r="G20" s="294"/>
      <c r="H20" s="348"/>
      <c r="I20" s="24" t="s">
        <v>17</v>
      </c>
      <c r="J20" s="25" t="s">
        <v>36</v>
      </c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8"/>
        <v>BRAND</v>
      </c>
      <c r="S20" s="296" t="e">
        <f t="shared" si="0"/>
        <v>#N/A</v>
      </c>
      <c r="T20" s="296" t="e">
        <f t="shared" si="1"/>
        <v>#N/A</v>
      </c>
      <c r="U20" s="297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6" t="e">
        <f t="shared" si="7"/>
        <v>#N/A</v>
      </c>
    </row>
    <row r="21" spans="1:27" ht="15" customHeight="1">
      <c r="A21" s="28"/>
      <c r="B21" s="533" t="str">
        <f>I24</f>
        <v>VITAMALT</v>
      </c>
      <c r="C21" s="362" cm="1">
        <f t="array" ref="C21:C26">[25]Process!$D$35:$D$40</f>
        <v>14.49</v>
      </c>
      <c r="D21" s="485">
        <v>16.420000000000002</v>
      </c>
      <c r="E21" s="474"/>
      <c r="F21" s="294"/>
      <c r="G21" s="294"/>
      <c r="H21" s="348"/>
      <c r="I21" s="29" t="s">
        <v>6</v>
      </c>
      <c r="J21" s="280">
        <f>AVERAGE(I10:I14)</f>
        <v>97.613928856698109</v>
      </c>
      <c r="K21" s="284">
        <f>COUNTA([22]Brewhouse!$A$408:$A$441)</f>
        <v>34</v>
      </c>
      <c r="L21" s="302">
        <f>AVERAGE([22]Brewhouse!$AU$408:$AU$441)</f>
        <v>98.094341235574888</v>
      </c>
      <c r="M21" s="302">
        <f>AVERAGE([22]Brewhouse!$AU$102:$AU$171,[22]Brewhouse!$AU$173:$AU$253,[22]Brewhouse!$AU$255:$AU$339,[22]Brewhouse!$AU$341:$AU$346,[22]Brewhouse!$AU$348,[22]Brewhouse!$AU$349:$AU$406,[22]Brewhouse!$AU$408:$AU$441)</f>
        <v>97.466998812784027</v>
      </c>
      <c r="N21" s="30">
        <v>98</v>
      </c>
      <c r="O21" s="11"/>
      <c r="P21" s="31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1:27" ht="15" customHeight="1">
      <c r="A22" s="28"/>
      <c r="B22" s="534"/>
      <c r="C22" s="349">
        <v>14.14</v>
      </c>
      <c r="D22" s="486"/>
      <c r="E22" s="469"/>
      <c r="F22" s="294"/>
      <c r="G22" s="294"/>
      <c r="H22" s="348"/>
      <c r="I22" s="33" t="s">
        <v>9</v>
      </c>
      <c r="J22" s="280"/>
      <c r="K22" s="284">
        <f>COUNTA([23]Brewhouse!$A$195:$A$205)</f>
        <v>11</v>
      </c>
      <c r="L22" s="302">
        <f>AVERAGE([23]Brewhouse!$AS$195:$AS$205)</f>
        <v>100.70163578844003</v>
      </c>
      <c r="M22" s="302">
        <f>AVERAGE([23]Brewhouse!$AS$15:$AS$64,[23]Brewhouse!$AS$66:$AS$103,[23]Brewhouse!$AS$105:$AS$140,[23]Brewhouse!$AS$142:$AS$193,[23]Brewhouse!$AS$195:$AS$205)</f>
        <v>97.640391472286225</v>
      </c>
      <c r="N22" s="30">
        <v>98</v>
      </c>
      <c r="O22" s="11"/>
      <c r="P22" s="31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1:27" ht="14.7" customHeight="1">
      <c r="A23" s="28"/>
      <c r="B23" s="534"/>
      <c r="C23" s="349">
        <v>14.31</v>
      </c>
      <c r="D23" s="485">
        <v>16.57</v>
      </c>
      <c r="E23" s="474"/>
      <c r="F23" s="294"/>
      <c r="G23" s="294"/>
      <c r="H23" s="348"/>
      <c r="I23" s="34" t="s">
        <v>12</v>
      </c>
      <c r="J23" s="280"/>
      <c r="K23" s="284">
        <f>COUNTA([24]Brewhouse!$A$47:$A$54)</f>
        <v>8</v>
      </c>
      <c r="L23" s="302">
        <f>AVERAGE([24]Brewhouse!$AU$47:$AU$54)</f>
        <v>96.792443337508828</v>
      </c>
      <c r="M23" s="302">
        <f>AVERAGE([24]Brewhouse!$AU$4:$AU$7,[24]Brewhouse!$AU$9:$AU$22,[24]Brewhouse!$AU$24:$AU$35,[24]Brewhouse!$AU$37:$AU$45,[24]Brewhouse!$AU$47:$AU$54)</f>
        <v>97.03665404260714</v>
      </c>
      <c r="N23" s="30">
        <v>98</v>
      </c>
      <c r="O23" s="11"/>
      <c r="P23" s="31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1:27" ht="14.7" customHeight="1">
      <c r="A24" s="28"/>
      <c r="B24" s="534"/>
      <c r="C24" s="349">
        <v>14.22</v>
      </c>
      <c r="D24" s="486"/>
      <c r="E24" s="469"/>
      <c r="F24" s="294"/>
      <c r="G24" s="294"/>
      <c r="H24" s="348"/>
      <c r="I24" s="22" t="s">
        <v>33</v>
      </c>
      <c r="J24" s="280"/>
      <c r="K24" s="284">
        <f>COUNTA([25]Brewhouse!$A$35:$A$40)</f>
        <v>6</v>
      </c>
      <c r="L24" s="302">
        <f>AVERAGE([25]Brewhouse!$AV$35:$AV$40)</f>
        <v>99.729773602484485</v>
      </c>
      <c r="M24" s="302">
        <f>AVERAGE([25]Brewhouse!$AV$5:$AV$14,[25]Brewhouse!$AV$16:$AV$19,[25]Brewhouse!$AV$21:$AV$24,[25]Brewhouse!$AV$26:$AV$33,[25]Brewhouse!$AV$35:$AV$40)</f>
        <v>99.073437057623821</v>
      </c>
      <c r="N24" s="30">
        <v>98</v>
      </c>
      <c r="O24" s="11"/>
      <c r="P24" s="31"/>
      <c r="R24" s="277"/>
      <c r="S24" s="296"/>
      <c r="T24" s="296"/>
      <c r="U24" s="297"/>
      <c r="V24" s="297"/>
      <c r="W24" s="297"/>
      <c r="X24" s="297"/>
      <c r="Y24" s="297"/>
      <c r="Z24" s="296"/>
      <c r="AA24" s="296"/>
    </row>
    <row r="25" spans="1:27" ht="14.7" customHeight="1">
      <c r="A25" s="28"/>
      <c r="B25" s="534"/>
      <c r="C25" s="349">
        <v>14</v>
      </c>
      <c r="D25" s="485">
        <v>16.510000000000002</v>
      </c>
      <c r="E25" s="474"/>
      <c r="F25" s="422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/>
      <c r="S25" s="296"/>
      <c r="T25" s="296"/>
      <c r="U25" s="297"/>
      <c r="V25" s="297"/>
      <c r="W25" s="297"/>
      <c r="X25" s="297"/>
      <c r="Y25" s="297"/>
      <c r="Z25" s="296"/>
      <c r="AA25" s="296"/>
    </row>
    <row r="26" spans="1:27" ht="14.7" customHeight="1">
      <c r="A26" s="28"/>
      <c r="B26" s="534"/>
      <c r="C26" s="349">
        <v>14.3</v>
      </c>
      <c r="D26" s="486"/>
      <c r="E26" s="469"/>
      <c r="F26" s="422"/>
      <c r="G26" s="294"/>
      <c r="H26" s="348"/>
      <c r="I26" s="36" t="s">
        <v>15</v>
      </c>
      <c r="J26" s="323"/>
      <c r="K26" s="284"/>
      <c r="L26" s="302"/>
      <c r="M26" s="302">
        <f>AVERAGE([26]Brewhouse!$AT$4:$AT$11,[26]Brewhouse!$AT$13:$AT$16)</f>
        <v>95.165309917257005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  <c r="AA26" s="296"/>
    </row>
    <row r="27" spans="1:27" ht="14.7" customHeight="1">
      <c r="A27" s="28"/>
      <c r="B27" s="534"/>
      <c r="C27" s="349"/>
      <c r="D27" s="485"/>
      <c r="E27" s="474"/>
      <c r="F27" s="422"/>
      <c r="G27" s="294"/>
      <c r="H27" s="348"/>
      <c r="I27" s="37" t="s">
        <v>16</v>
      </c>
      <c r="J27" s="323"/>
      <c r="K27" s="284">
        <f>COUNTA([27]Brewhouse!$A$36:$A$43)</f>
        <v>8</v>
      </c>
      <c r="L27" s="302">
        <f>AVERAGE([27]Brewhouse!$AY$36:$AY$43)</f>
        <v>98.453561717677275</v>
      </c>
      <c r="M27" s="302">
        <f>AVERAGE([27]Brewhouse!$AY$6:$AY$13,[27]Brewhouse!$AY$15:$AY$20,[27]Brewhouse!$AY$22:$AY$29,[27]Brewhouse!$AY$31:$AY$34,[27]Brewhouse!$AY$36:$AY$43)</f>
        <v>96.669752433914965</v>
      </c>
      <c r="N27" s="30">
        <v>98</v>
      </c>
      <c r="O27" s="11"/>
      <c r="P27" s="31" t="s">
        <v>41</v>
      </c>
      <c r="R27" s="277"/>
      <c r="S27" s="296"/>
      <c r="T27" s="296"/>
      <c r="U27" s="297"/>
      <c r="V27" s="297"/>
      <c r="W27" s="297"/>
      <c r="X27" s="297"/>
      <c r="Y27" s="297"/>
      <c r="Z27" s="296"/>
      <c r="AA27" s="296"/>
    </row>
    <row r="28" spans="1:27" ht="14.7" customHeight="1">
      <c r="A28" s="28"/>
      <c r="B28" s="534"/>
      <c r="C28" s="349"/>
      <c r="D28" s="486"/>
      <c r="E28" s="469"/>
      <c r="F28" s="294"/>
      <c r="G28" s="294"/>
      <c r="H28" s="348"/>
      <c r="I28" s="412" t="s">
        <v>158</v>
      </c>
      <c r="J28" s="326"/>
      <c r="K28" s="284"/>
      <c r="L28" s="305"/>
      <c r="M28" s="305">
        <f>AVERAGE([28]Brewhouse!$AU$5:$AU$8)</f>
        <v>91.006888337619571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  <c r="AA28" s="296"/>
    </row>
    <row r="29" spans="1:27" ht="14.7" customHeight="1">
      <c r="A29" s="28"/>
      <c r="B29" s="534"/>
      <c r="C29" s="349"/>
      <c r="D29" s="485"/>
      <c r="E29" s="474"/>
      <c r="F29" s="294"/>
      <c r="G29" s="294"/>
      <c r="H29" s="348"/>
      <c r="I29" s="411" t="s">
        <v>157</v>
      </c>
      <c r="J29" s="326"/>
      <c r="K29" s="284"/>
      <c r="L29" s="305"/>
      <c r="M29" s="305"/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5" customHeight="1" thickBot="1">
      <c r="A30" s="28"/>
      <c r="B30" s="534"/>
      <c r="C30" s="349"/>
      <c r="D30" s="486"/>
      <c r="E30" s="469"/>
      <c r="F30" s="294"/>
      <c r="G30" s="294"/>
      <c r="H30" s="348"/>
      <c r="I30" s="407" t="s">
        <v>156</v>
      </c>
      <c r="J30" s="327"/>
      <c r="K30" s="408"/>
      <c r="L30" s="409"/>
      <c r="M30" s="409"/>
      <c r="N30" s="41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5" customHeight="1" thickBot="1">
      <c r="A31" s="28"/>
      <c r="B31" s="534"/>
      <c r="C31" s="349"/>
      <c r="D31" s="485"/>
      <c r="E31" s="474"/>
      <c r="F31" s="294"/>
      <c r="G31" s="294"/>
      <c r="H31" s="348"/>
      <c r="I31" s="1"/>
      <c r="J31" s="39"/>
      <c r="K31" s="405">
        <f>SUM(K21:K30)</f>
        <v>67</v>
      </c>
      <c r="L31" s="406">
        <f>((L21*K21)+(L22*K22)+(L23*K23)+(L24*K24)+(L25*K25)+(K28*L28)+(L26*K26)+(L27*K27)+(L30*K30))/(K31)</f>
        <v>98.556302652817649</v>
      </c>
      <c r="M31" s="406">
        <f>AVERAGE('[29]Jan 31st'!$L$65,'[30]Feb 28th'!$L$35,'[31]Mar. 31st'!$L$35,'[32]Apr. 30th'!$L$45,L31)</f>
        <v>97.592068788451158</v>
      </c>
      <c r="N31" s="4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5" thickBot="1">
      <c r="B32" s="535"/>
      <c r="C32" s="350"/>
      <c r="D32" s="486"/>
      <c r="E32" s="469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2:56" ht="15" thickBot="1">
      <c r="B33" s="528"/>
      <c r="C33" s="362"/>
      <c r="D33" s="466"/>
      <c r="E33" s="467"/>
      <c r="F33" s="294"/>
      <c r="G33" s="42"/>
      <c r="H33" s="41"/>
      <c r="I33" s="42"/>
      <c r="J33" s="519" t="s">
        <v>129</v>
      </c>
      <c r="K33" s="519"/>
      <c r="L33" s="294"/>
      <c r="M33" s="294"/>
      <c r="N33" s="294"/>
      <c r="O33" s="294"/>
      <c r="P33" s="12"/>
    </row>
    <row r="34" spans="2:56" ht="13.5" customHeight="1" thickBot="1">
      <c r="B34" s="521"/>
      <c r="C34" s="349"/>
      <c r="D34" s="468"/>
      <c r="E34" s="469"/>
      <c r="F34" s="294"/>
      <c r="G34" s="42"/>
      <c r="H34" s="41"/>
      <c r="I34" s="41"/>
      <c r="J34" s="292" t="s">
        <v>17</v>
      </c>
      <c r="K34" s="293" t="s">
        <v>147</v>
      </c>
      <c r="L34" s="471" t="s">
        <v>136</v>
      </c>
      <c r="M34" s="471"/>
      <c r="N34" s="472"/>
      <c r="O34" s="294"/>
      <c r="P34" s="12"/>
    </row>
    <row r="35" spans="2:56" ht="15" customHeight="1" thickBot="1">
      <c r="B35" s="521"/>
      <c r="C35" s="349"/>
      <c r="D35" s="473"/>
      <c r="E35" s="474"/>
      <c r="F35" s="294"/>
      <c r="G35" s="42"/>
      <c r="H35" s="41"/>
      <c r="I35" s="41"/>
      <c r="J35" s="287" t="s">
        <v>6</v>
      </c>
      <c r="K35" s="324">
        <f>COUNTA(B10:B14)</f>
        <v>5</v>
      </c>
      <c r="L35" s="343" t="s">
        <v>37</v>
      </c>
      <c r="M35" s="307" t="s">
        <v>38</v>
      </c>
      <c r="N35" s="307" t="s">
        <v>84</v>
      </c>
      <c r="O35" s="294"/>
      <c r="P35" s="12"/>
    </row>
    <row r="36" spans="2:56" ht="15.75" customHeight="1" thickBot="1">
      <c r="B36" s="521"/>
      <c r="C36" s="349"/>
      <c r="D36" s="468"/>
      <c r="E36" s="469"/>
      <c r="F36" s="294"/>
      <c r="G36" s="42"/>
      <c r="H36" s="41"/>
      <c r="I36" s="41"/>
      <c r="J36" s="345" t="s">
        <v>9</v>
      </c>
      <c r="K36" s="324"/>
      <c r="L36" s="344">
        <f>AVERAGE('May 2nd -4th'!I70,'May 2nd -4th'!K70,'May 5th'!K77,'May 6th'!K60,'May 7th'!K57,'May 8th'!K53,'May 9th-10th'!I60,'May 9th-10th'!K60,'May 12th'!K43,K45)</f>
        <v>7.2</v>
      </c>
      <c r="M36" s="325">
        <f>AVERAGE('[29]Jan 29th '!$M$70,'[30]Feb 28th'!$L$40,'[31]Mar. 31st'!$L$40,'[32]Apr. 30th'!$L$50,L36)</f>
        <v>6.629154323936933</v>
      </c>
      <c r="N36" s="420">
        <v>9.1999999999999993</v>
      </c>
      <c r="O36" s="294"/>
      <c r="P36" s="12"/>
    </row>
    <row r="37" spans="2:56" ht="15" customHeight="1">
      <c r="B37" s="521"/>
      <c r="C37" s="349"/>
      <c r="D37" s="473"/>
      <c r="E37" s="474"/>
      <c r="F37" s="294"/>
      <c r="G37" s="42"/>
      <c r="H37" s="41"/>
      <c r="I37" s="41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1"/>
      <c r="C38" s="349"/>
      <c r="D38" s="468"/>
      <c r="E38" s="469"/>
      <c r="F38" s="294"/>
      <c r="G38" s="42"/>
      <c r="H38" s="41"/>
      <c r="I38" s="41"/>
      <c r="J38" s="289" t="s">
        <v>33</v>
      </c>
      <c r="K38" s="324"/>
      <c r="L38" s="294"/>
      <c r="M38" s="294"/>
      <c r="N38" s="294"/>
      <c r="O38" s="294"/>
      <c r="P38" s="12"/>
    </row>
    <row r="39" spans="2:56" ht="14.4">
      <c r="B39" s="521"/>
      <c r="C39" s="349"/>
      <c r="D39" s="473"/>
      <c r="E39" s="474"/>
      <c r="F39" s="294"/>
      <c r="G39" s="42"/>
      <c r="H39" s="41"/>
      <c r="I39" s="41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4.4">
      <c r="B40" s="521"/>
      <c r="C40" s="349"/>
      <c r="D40" s="468"/>
      <c r="E40" s="469"/>
      <c r="F40" s="294"/>
      <c r="G40" s="42"/>
      <c r="H40" s="41"/>
      <c r="I40" s="41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4.4">
      <c r="B41" s="521"/>
      <c r="C41" s="349"/>
      <c r="D41" s="475"/>
      <c r="E41" s="476"/>
      <c r="F41" s="294"/>
      <c r="G41" s="42"/>
      <c r="H41" s="41"/>
      <c r="I41" s="41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" thickBot="1">
      <c r="B42" s="522"/>
      <c r="C42" s="350"/>
      <c r="D42" s="477"/>
      <c r="E42" s="478"/>
      <c r="F42" s="294"/>
      <c r="G42" s="42"/>
      <c r="H42" s="41"/>
      <c r="I42" s="41"/>
      <c r="J42" s="291" t="s">
        <v>148</v>
      </c>
      <c r="K42" s="324"/>
      <c r="L42" s="294"/>
      <c r="M42" s="294"/>
      <c r="N42" s="294"/>
      <c r="O42" s="294"/>
      <c r="P42" s="12"/>
      <c r="BC42" s="44"/>
      <c r="BD42" s="44"/>
    </row>
    <row r="43" spans="2:56" ht="17.7" customHeight="1" thickBot="1">
      <c r="B43" s="312" t="s">
        <v>139</v>
      </c>
      <c r="C43" s="313"/>
      <c r="D43" s="457">
        <f>AVERAGE(D21:E42)</f>
        <v>16.5</v>
      </c>
      <c r="E43" s="458"/>
      <c r="F43" s="294"/>
      <c r="G43" s="42"/>
      <c r="H43" s="41"/>
      <c r="I43" s="41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7" customHeight="1">
      <c r="B44" s="363"/>
      <c r="C44" s="364"/>
      <c r="D44" s="365"/>
      <c r="E44" s="365"/>
      <c r="F44" s="294"/>
      <c r="G44" s="42"/>
      <c r="H44" s="41"/>
      <c r="I44" s="41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75" customHeight="1">
      <c r="B45" s="45"/>
      <c r="C45" s="11"/>
      <c r="D45" s="11"/>
      <c r="E45" s="46"/>
      <c r="F45" s="294"/>
      <c r="G45" s="42"/>
      <c r="H45" s="41"/>
      <c r="I45" s="41"/>
      <c r="J45" s="346" t="s">
        <v>130</v>
      </c>
      <c r="K45" s="324">
        <f>SUM(K35:K44)</f>
        <v>5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294"/>
      <c r="P46" s="334"/>
    </row>
    <row r="47" spans="2:56" ht="15" customHeight="1" thickBot="1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8"/>
      <c r="O47" s="48"/>
      <c r="P47" s="49"/>
    </row>
    <row r="48" spans="2:56" ht="15" customHeight="1" thickBot="1">
      <c r="B48" s="447" t="s">
        <v>17</v>
      </c>
      <c r="C48" s="447" t="s">
        <v>44</v>
      </c>
      <c r="D48" s="459" t="s">
        <v>45</v>
      </c>
      <c r="E48" s="461" t="s">
        <v>46</v>
      </c>
      <c r="F48" s="455" t="s">
        <v>47</v>
      </c>
      <c r="G48" s="445" t="s">
        <v>48</v>
      </c>
      <c r="H48" s="447" t="s">
        <v>49</v>
      </c>
      <c r="I48" s="447" t="s">
        <v>50</v>
      </c>
      <c r="J48" s="439" t="s">
        <v>28</v>
      </c>
      <c r="K48" s="451" t="s">
        <v>51</v>
      </c>
      <c r="L48" s="453" t="s">
        <v>52</v>
      </c>
      <c r="M48" s="439" t="s">
        <v>53</v>
      </c>
      <c r="N48" s="13"/>
      <c r="O48" s="13"/>
      <c r="P48" s="50"/>
    </row>
    <row r="49" spans="2:57" ht="28.5" customHeight="1" thickTop="1" thickBot="1">
      <c r="B49" s="448"/>
      <c r="C49" s="448"/>
      <c r="D49" s="460"/>
      <c r="E49" s="462"/>
      <c r="F49" s="456"/>
      <c r="G49" s="446"/>
      <c r="H49" s="448"/>
      <c r="I49" s="448"/>
      <c r="J49" s="440"/>
      <c r="K49" s="452"/>
      <c r="L49" s="454"/>
      <c r="M49" s="440"/>
      <c r="N49" s="13"/>
      <c r="O49" s="13"/>
      <c r="P49" s="50"/>
      <c r="Q49" s="355"/>
      <c r="AB49" s="51">
        <v>43474</v>
      </c>
      <c r="AC49" s="51">
        <v>43475</v>
      </c>
      <c r="AD49" s="51">
        <v>43476</v>
      </c>
      <c r="AE49" s="51">
        <v>43477</v>
      </c>
      <c r="AF49" s="51">
        <v>43478</v>
      </c>
      <c r="AG49" s="51">
        <v>43479</v>
      </c>
      <c r="AH49" s="51">
        <v>43480</v>
      </c>
      <c r="AI49" s="51">
        <v>43481</v>
      </c>
      <c r="AJ49" s="51">
        <v>43482</v>
      </c>
      <c r="AK49" s="51">
        <v>43483</v>
      </c>
      <c r="AL49" s="51">
        <v>43484</v>
      </c>
      <c r="AM49" s="51">
        <v>43485</v>
      </c>
      <c r="AN49" s="51">
        <v>43486</v>
      </c>
      <c r="AO49" s="51">
        <v>43487</v>
      </c>
      <c r="AP49" s="51">
        <v>43488</v>
      </c>
      <c r="AQ49" s="51">
        <v>43489</v>
      </c>
      <c r="AR49" s="51">
        <v>43490</v>
      </c>
      <c r="AS49" s="51">
        <v>43491</v>
      </c>
      <c r="AT49" s="51">
        <v>43492</v>
      </c>
      <c r="AU49" s="51">
        <v>43493</v>
      </c>
      <c r="AV49" s="51">
        <v>43494</v>
      </c>
      <c r="AW49" s="51">
        <v>43495</v>
      </c>
      <c r="AX49" s="51">
        <v>43496</v>
      </c>
    </row>
    <row r="50" spans="2:57" s="54" customFormat="1" ht="53.25" customHeight="1">
      <c r="B50" s="434" t="str">
        <f>I24</f>
        <v>VITAMALT</v>
      </c>
      <c r="C50" s="283">
        <v>45790</v>
      </c>
      <c r="D50" s="279">
        <f>[33]May_2025!$P$65</f>
        <v>296</v>
      </c>
      <c r="E50" s="279">
        <f>SUM([34]VITAMALT!$J$6:$J$11)</f>
        <v>12.299999999999999</v>
      </c>
      <c r="F50" s="279"/>
      <c r="G50" s="279">
        <f>[33]May_2025!$P$70</f>
        <v>297.8</v>
      </c>
      <c r="H50" s="320"/>
      <c r="I50" s="322"/>
      <c r="J50" s="392" t="s">
        <v>188</v>
      </c>
      <c r="K50" s="416">
        <f>[35]May_2025!$P$60</f>
        <v>1.0449122807017543</v>
      </c>
      <c r="L50" s="314">
        <f>(((D50+E50)-G50)/(D50+E50))*100</f>
        <v>3.4057735971456373</v>
      </c>
      <c r="M50" s="426" t="s">
        <v>201</v>
      </c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57" t="e">
        <f>[20]January_2019!L7</f>
        <v>#REF!</v>
      </c>
      <c r="AC50" s="57" t="e">
        <f>[20]January_2019!M7</f>
        <v>#REF!</v>
      </c>
      <c r="AD50" s="57" t="e">
        <f>[20]January_2019!N7</f>
        <v>#REF!</v>
      </c>
      <c r="AE50" s="57" t="e">
        <f>[20]January_2019!O7</f>
        <v>#REF!</v>
      </c>
      <c r="AF50" s="57" t="e">
        <f>[20]January_2019!P7</f>
        <v>#REF!</v>
      </c>
      <c r="AG50" s="57" t="e">
        <f>[20]January_2019!Q7</f>
        <v>#REF!</v>
      </c>
      <c r="AH50" s="57" t="e">
        <f>[20]January_2019!R7</f>
        <v>#REF!</v>
      </c>
      <c r="AI50" s="57" t="e">
        <f>[20]January_2019!S7</f>
        <v>#REF!</v>
      </c>
      <c r="AJ50" s="57" t="e">
        <f>[20]January_2019!T7</f>
        <v>#REF!</v>
      </c>
      <c r="AK50" s="57" t="e">
        <f>[20]January_2019!U7</f>
        <v>#REF!</v>
      </c>
      <c r="AL50" s="57" t="e">
        <f>[20]January_2019!V7</f>
        <v>#REF!</v>
      </c>
      <c r="AM50" s="57" t="e">
        <f>[20]January_2019!W7</f>
        <v>#REF!</v>
      </c>
      <c r="AN50" s="57" t="e">
        <f>[20]January_2019!X7</f>
        <v>#REF!</v>
      </c>
      <c r="AO50" s="57" t="e">
        <f>[20]January_2019!Y7</f>
        <v>#REF!</v>
      </c>
      <c r="AP50" s="57" t="e">
        <f>[20]January_2019!Z7</f>
        <v>#REF!</v>
      </c>
      <c r="AQ50" s="57" t="e">
        <f>[20]January_2019!AA7</f>
        <v>#REF!</v>
      </c>
      <c r="AR50" s="57" t="e">
        <f>[20]January_2019!AB7</f>
        <v>#REF!</v>
      </c>
      <c r="AS50" s="57" t="e">
        <f>[20]January_2019!AC7</f>
        <v>#REF!</v>
      </c>
      <c r="AT50" s="57" t="e">
        <f>[20]January_2019!AD7</f>
        <v>#REF!</v>
      </c>
      <c r="AU50" s="57" t="e">
        <f>[20]January_2019!AE7</f>
        <v>#REF!</v>
      </c>
      <c r="AV50" s="57" t="e">
        <f>[20]January_2019!AF7</f>
        <v>#REF!</v>
      </c>
      <c r="AW50" s="57" t="e">
        <f>[20]January_2019!AG7</f>
        <v>#REF!</v>
      </c>
      <c r="AX50" s="277" t="e">
        <f>[20]January_2019!AH7</f>
        <v>#REF!</v>
      </c>
      <c r="AY50" s="277"/>
      <c r="AZ50" s="277"/>
      <c r="BA50" s="277"/>
      <c r="BB50" s="277"/>
      <c r="BC50" s="277"/>
      <c r="BD50" s="277"/>
      <c r="BE50" s="277"/>
    </row>
    <row r="51" spans="2:57" s="54" customFormat="1" ht="16.5" customHeight="1">
      <c r="B51" s="415"/>
      <c r="C51" s="283"/>
      <c r="D51" s="377"/>
      <c r="E51" s="378"/>
      <c r="F51" s="379"/>
      <c r="G51" s="303"/>
      <c r="H51" s="320"/>
      <c r="I51" s="322"/>
      <c r="J51" s="398"/>
      <c r="K51" s="286"/>
      <c r="L51" s="314"/>
      <c r="M51" s="419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  <c r="AO51" s="418"/>
      <c r="AP51" s="418"/>
      <c r="AQ51" s="418"/>
      <c r="AR51" s="418"/>
      <c r="AS51" s="418"/>
      <c r="AT51" s="418"/>
      <c r="AU51" s="418"/>
      <c r="AV51" s="418"/>
      <c r="AW51" s="418"/>
    </row>
    <row r="52" spans="2:57" s="54" customFormat="1" ht="51" customHeight="1">
      <c r="B52" s="431"/>
      <c r="C52" s="283"/>
      <c r="D52" s="377"/>
      <c r="E52" s="378"/>
      <c r="F52" s="379"/>
      <c r="G52" s="303"/>
      <c r="H52" s="320"/>
      <c r="I52" s="322"/>
      <c r="J52" s="281"/>
      <c r="K52" s="286"/>
      <c r="L52" s="314"/>
      <c r="M52" s="419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418"/>
      <c r="AC52" s="418"/>
      <c r="AD52" s="418"/>
      <c r="AE52" s="418"/>
      <c r="AF52" s="418"/>
      <c r="AG52" s="418"/>
      <c r="AH52" s="418"/>
      <c r="AI52" s="418"/>
      <c r="AJ52" s="418"/>
      <c r="AK52" s="418"/>
      <c r="AL52" s="418"/>
      <c r="AM52" s="418"/>
      <c r="AN52" s="418"/>
      <c r="AO52" s="418"/>
      <c r="AP52" s="418"/>
      <c r="AQ52" s="418"/>
      <c r="AR52" s="418"/>
      <c r="AS52" s="418"/>
      <c r="AT52" s="418"/>
      <c r="AU52" s="418"/>
      <c r="AV52" s="418"/>
      <c r="AW52" s="418"/>
    </row>
    <row r="53" spans="2:57" ht="18" customHeight="1" thickBot="1">
      <c r="B53" s="59"/>
      <c r="C53" s="309"/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6"/>
      <c r="P53" s="60"/>
    </row>
    <row r="54" spans="2:57" ht="14.4" thickBot="1">
      <c r="B54" s="441" t="s">
        <v>55</v>
      </c>
      <c r="C54" s="442"/>
      <c r="D54" s="442"/>
      <c r="E54" s="442"/>
      <c r="F54" s="443"/>
      <c r="G54" s="441" t="s">
        <v>56</v>
      </c>
      <c r="H54" s="442"/>
      <c r="I54" s="442"/>
      <c r="J54" s="443"/>
      <c r="K54" s="441" t="s">
        <v>51</v>
      </c>
      <c r="L54" s="442"/>
      <c r="M54" s="442"/>
      <c r="N54" s="444"/>
      <c r="O54" s="56"/>
      <c r="P54" s="50"/>
    </row>
    <row r="55" spans="2:57">
      <c r="B55" s="61" t="s">
        <v>17</v>
      </c>
      <c r="C55" s="62" t="s">
        <v>36</v>
      </c>
      <c r="D55" s="62" t="s">
        <v>37</v>
      </c>
      <c r="E55" s="62" t="s">
        <v>38</v>
      </c>
      <c r="F55" s="63" t="s">
        <v>39</v>
      </c>
      <c r="G55" s="62" t="s">
        <v>36</v>
      </c>
      <c r="H55" s="62" t="s">
        <v>37</v>
      </c>
      <c r="I55" s="62" t="s">
        <v>38</v>
      </c>
      <c r="J55" s="63" t="s">
        <v>39</v>
      </c>
      <c r="K55" s="62"/>
      <c r="L55" s="62" t="s">
        <v>37</v>
      </c>
      <c r="M55" s="62" t="s">
        <v>38</v>
      </c>
      <c r="N55" s="63" t="s">
        <v>39</v>
      </c>
      <c r="O55" s="56"/>
      <c r="P55" s="64"/>
    </row>
    <row r="56" spans="2:57">
      <c r="B56" s="29" t="s">
        <v>6</v>
      </c>
      <c r="C56" s="65"/>
      <c r="D56" s="76">
        <v>5.1029678982435289</v>
      </c>
      <c r="E56" s="76">
        <v>6.9687914928340557</v>
      </c>
      <c r="F56" s="66">
        <v>4.8</v>
      </c>
      <c r="G56" s="65"/>
      <c r="H56" s="76">
        <v>4.0305043051635918</v>
      </c>
      <c r="I56" s="76">
        <v>6.9242793069199937</v>
      </c>
      <c r="J56" s="66">
        <v>4.8</v>
      </c>
      <c r="K56" s="67"/>
      <c r="L56" s="194">
        <v>1.0851461988304094</v>
      </c>
      <c r="M56" s="194">
        <v>0.77725437836036171</v>
      </c>
      <c r="N56" s="68">
        <v>1</v>
      </c>
      <c r="O56" s="56"/>
      <c r="P56" s="69"/>
    </row>
    <row r="57" spans="2:57">
      <c r="B57" s="33" t="s">
        <v>9</v>
      </c>
      <c r="C57" s="65"/>
      <c r="D57" s="76">
        <v>5.4863941831001624</v>
      </c>
      <c r="E57" s="76">
        <v>6.0466248242515723</v>
      </c>
      <c r="F57" s="66">
        <v>4.8</v>
      </c>
      <c r="G57" s="65"/>
      <c r="H57" s="76">
        <v>4.1755560913734726</v>
      </c>
      <c r="I57" s="76">
        <v>6.3497243838286446</v>
      </c>
      <c r="J57" s="66">
        <v>4.8</v>
      </c>
      <c r="K57" s="67"/>
      <c r="L57" s="194">
        <v>0.61318713450292395</v>
      </c>
      <c r="M57" s="194">
        <v>0.74352497019151897</v>
      </c>
      <c r="N57" s="68">
        <v>1</v>
      </c>
      <c r="P57" s="69"/>
    </row>
    <row r="58" spans="2:57">
      <c r="B58" s="34" t="s">
        <v>40</v>
      </c>
      <c r="C58" s="65"/>
      <c r="D58" s="76"/>
      <c r="E58" s="76">
        <v>12.554572931825788</v>
      </c>
      <c r="F58" s="66">
        <v>5.5</v>
      </c>
      <c r="G58" s="65"/>
      <c r="H58" s="76"/>
      <c r="I58" s="76">
        <v>13.449891307585697</v>
      </c>
      <c r="J58" s="66">
        <v>5.5</v>
      </c>
      <c r="K58" s="67"/>
      <c r="L58" s="194"/>
      <c r="M58" s="194">
        <v>0.54554653679653675</v>
      </c>
      <c r="N58" s="68">
        <v>1</v>
      </c>
      <c r="P58" s="69"/>
    </row>
    <row r="59" spans="2:57">
      <c r="B59" s="22" t="s">
        <v>33</v>
      </c>
      <c r="C59" s="65">
        <f>L50</f>
        <v>3.4057735971456373</v>
      </c>
      <c r="D59" s="76">
        <v>3.4057735971456373</v>
      </c>
      <c r="E59" s="76">
        <v>1.6190544721882421</v>
      </c>
      <c r="F59" s="66">
        <v>3.3</v>
      </c>
      <c r="G59" s="65">
        <f>[33]May_2025!$P$74</f>
        <v>2.1612156300633463</v>
      </c>
      <c r="H59" s="76">
        <v>2.1612156300633463</v>
      </c>
      <c r="I59" s="76">
        <v>4.4964752224031521</v>
      </c>
      <c r="J59" s="66">
        <v>3.3</v>
      </c>
      <c r="K59" s="67">
        <f>K50</f>
        <v>1.0449122807017543</v>
      </c>
      <c r="L59" s="194">
        <v>1.0449122807017543</v>
      </c>
      <c r="M59" s="194">
        <v>0.90649122807017535</v>
      </c>
      <c r="N59" s="68">
        <v>1</v>
      </c>
      <c r="P59" s="69"/>
    </row>
    <row r="60" spans="2:57">
      <c r="B60" s="35" t="s">
        <v>29</v>
      </c>
      <c r="C60" s="65"/>
      <c r="D60" s="76"/>
      <c r="E60" s="76"/>
      <c r="F60" s="66">
        <v>3.3</v>
      </c>
      <c r="G60" s="282"/>
      <c r="H60" s="76"/>
      <c r="I60" s="76"/>
      <c r="J60" s="66">
        <v>3</v>
      </c>
      <c r="L60" s="194"/>
      <c r="M60" s="194"/>
      <c r="N60" s="68">
        <v>1</v>
      </c>
      <c r="P60" s="69"/>
    </row>
    <row r="61" spans="2:57">
      <c r="B61" s="36" t="s">
        <v>15</v>
      </c>
      <c r="C61" s="282"/>
      <c r="D61" s="76"/>
      <c r="E61" s="76">
        <v>7.8262258425171876</v>
      </c>
      <c r="F61" s="70">
        <f>[21]May_2022!$M$43</f>
        <v>3.4878406700073312</v>
      </c>
      <c r="G61" s="282"/>
      <c r="H61" s="76"/>
      <c r="I61" s="76">
        <v>9.4300678869947632</v>
      </c>
      <c r="J61" s="66">
        <v>5.5</v>
      </c>
      <c r="K61" s="67"/>
      <c r="L61" s="194"/>
      <c r="M61" s="194">
        <v>0.674970760233918</v>
      </c>
      <c r="N61" s="68">
        <v>1</v>
      </c>
      <c r="P61" s="69"/>
    </row>
    <row r="62" spans="2:57">
      <c r="B62" s="37" t="s">
        <v>16</v>
      </c>
      <c r="C62" s="65"/>
      <c r="D62" s="76">
        <v>3.8832609744331941</v>
      </c>
      <c r="E62" s="76">
        <v>2.4852159592783925</v>
      </c>
      <c r="F62" s="66">
        <v>3.3</v>
      </c>
      <c r="G62" s="282"/>
      <c r="H62" s="76">
        <v>4.1755914731086534</v>
      </c>
      <c r="I62" s="76">
        <v>4.4843055604984379</v>
      </c>
      <c r="J62" s="66">
        <v>3.3</v>
      </c>
      <c r="K62" s="67"/>
      <c r="L62" s="194">
        <v>0.69912280701754381</v>
      </c>
      <c r="M62" s="194">
        <v>0.79924705882352942</v>
      </c>
      <c r="N62" s="71">
        <v>1</v>
      </c>
      <c r="P62" s="69"/>
    </row>
    <row r="63" spans="2:57" ht="14.4" thickBot="1">
      <c r="B63" s="38" t="s">
        <v>127</v>
      </c>
      <c r="C63" s="65"/>
      <c r="D63" s="76"/>
      <c r="E63" s="76"/>
      <c r="F63" s="66">
        <v>7.5</v>
      </c>
      <c r="G63" s="282"/>
      <c r="H63" s="76"/>
      <c r="I63" s="76"/>
      <c r="J63" s="66">
        <v>7.5</v>
      </c>
      <c r="K63" s="67"/>
      <c r="L63" s="194"/>
      <c r="M63" s="194"/>
      <c r="N63" s="71">
        <v>1</v>
      </c>
      <c r="P63" s="69"/>
    </row>
    <row r="64" spans="2:57" ht="14.4" thickBot="1">
      <c r="B64" s="417" t="s">
        <v>161</v>
      </c>
      <c r="C64" s="65"/>
      <c r="D64" s="76"/>
      <c r="E64" s="76">
        <v>4.8792508624938291</v>
      </c>
      <c r="F64" s="66">
        <v>4.8</v>
      </c>
      <c r="G64" s="282"/>
      <c r="H64" s="76"/>
      <c r="I64" s="76">
        <v>6.2003723782925313</v>
      </c>
      <c r="J64" s="66">
        <v>4.8</v>
      </c>
      <c r="K64" s="67"/>
      <c r="L64" s="194"/>
      <c r="M64" s="194">
        <v>0.33859649122807017</v>
      </c>
      <c r="N64" s="71">
        <v>1</v>
      </c>
      <c r="O64" s="74"/>
      <c r="P64" s="75"/>
    </row>
    <row r="65" spans="4:14">
      <c r="D65" s="76">
        <v>4.4741587560818088</v>
      </c>
      <c r="E65" s="76">
        <v>6.5821095866187589</v>
      </c>
      <c r="F65" s="341">
        <v>5.5</v>
      </c>
      <c r="H65" s="76">
        <v>3.849089157939324</v>
      </c>
      <c r="I65" s="76">
        <v>7.187202401294833</v>
      </c>
      <c r="J65" s="341">
        <v>5.5</v>
      </c>
      <c r="K65" s="67"/>
      <c r="L65" s="194">
        <v>0.86562134502923971</v>
      </c>
      <c r="M65" s="194">
        <v>0.74813383131030187</v>
      </c>
      <c r="N65" s="386">
        <v>1</v>
      </c>
    </row>
    <row r="69" spans="4:14">
      <c r="F69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54:F54"/>
    <mergeCell ref="G54:J54"/>
    <mergeCell ref="K54:N54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1468" priority="88" operator="notBetween">
      <formula>#REF!</formula>
      <formula>#REF!</formula>
    </cfRule>
  </conditionalFormatting>
  <conditionalFormatting sqref="C47">
    <cfRule type="cellIs" dxfId="1467" priority="120" stopIfTrue="1" operator="greaterThan">
      <formula>100</formula>
    </cfRule>
    <cfRule type="cellIs" dxfId="1466" priority="119" stopIfTrue="1" operator="lessThan">
      <formula>96</formula>
    </cfRule>
  </conditionalFormatting>
  <conditionalFormatting sqref="C56:C57">
    <cfRule type="cellIs" dxfId="1465" priority="64" stopIfTrue="1" operator="lessThanOrEqual">
      <formula>0</formula>
    </cfRule>
  </conditionalFormatting>
  <conditionalFormatting sqref="C56:C60">
    <cfRule type="cellIs" dxfId="1464" priority="63" stopIfTrue="1" operator="greaterThan">
      <formula>$F56</formula>
    </cfRule>
  </conditionalFormatting>
  <conditionalFormatting sqref="C57">
    <cfRule type="cellIs" dxfId="1463" priority="123" stopIfTrue="1" operator="greaterThan">
      <formula>$F56</formula>
    </cfRule>
  </conditionalFormatting>
  <conditionalFormatting sqref="C58:C61">
    <cfRule type="cellIs" dxfId="1462" priority="72" stopIfTrue="1" operator="lessThanOrEqual">
      <formula>0</formula>
    </cfRule>
  </conditionalFormatting>
  <conditionalFormatting sqref="C61">
    <cfRule type="cellIs" dxfId="1461" priority="71" stopIfTrue="1" operator="greaterThan">
      <formula>$J61</formula>
    </cfRule>
  </conditionalFormatting>
  <conditionalFormatting sqref="C67:C71">
    <cfRule type="cellIs" dxfId="1460" priority="111" stopIfTrue="1" operator="lessThanOrEqual">
      <formula>0</formula>
    </cfRule>
  </conditionalFormatting>
  <conditionalFormatting sqref="C68:C71">
    <cfRule type="cellIs" dxfId="1459" priority="110" stopIfTrue="1" operator="greaterThan">
      <formula>$F$67</formula>
    </cfRule>
  </conditionalFormatting>
  <conditionalFormatting sqref="C73">
    <cfRule type="cellIs" dxfId="1458" priority="112" stopIfTrue="1" operator="greaterThan">
      <formula>$F$67</formula>
    </cfRule>
    <cfRule type="cellIs" dxfId="1457" priority="113" stopIfTrue="1" operator="lessThanOrEqual">
      <formula>0</formula>
    </cfRule>
  </conditionalFormatting>
  <conditionalFormatting sqref="C67:D67 D69:D75">
    <cfRule type="cellIs" dxfId="1456" priority="105" stopIfTrue="1" operator="greaterThan">
      <formula>4.5</formula>
    </cfRule>
  </conditionalFormatting>
  <conditionalFormatting sqref="D43:D44">
    <cfRule type="cellIs" dxfId="1455" priority="89" operator="notBetween">
      <formula>#REF!</formula>
      <formula>#REF!</formula>
    </cfRule>
  </conditionalFormatting>
  <conditionalFormatting sqref="D56:D63">
    <cfRule type="cellIs" dxfId="1454" priority="82" stopIfTrue="1" operator="lessThanOrEqual">
      <formula>0</formula>
    </cfRule>
  </conditionalFormatting>
  <conditionalFormatting sqref="D64">
    <cfRule type="cellIs" dxfId="1453" priority="81" stopIfTrue="1" operator="lessThanOrEqual">
      <formula>0</formula>
    </cfRule>
  </conditionalFormatting>
  <conditionalFormatting sqref="D67 D69:D75">
    <cfRule type="cellIs" dxfId="1452" priority="106" stopIfTrue="1" operator="lessThanOrEqual">
      <formula>0</formula>
    </cfRule>
  </conditionalFormatting>
  <conditionalFormatting sqref="D68">
    <cfRule type="cellIs" dxfId="1451" priority="97" stopIfTrue="1" operator="greaterThan">
      <formula>$F$67</formula>
    </cfRule>
    <cfRule type="cellIs" dxfId="1450" priority="98" stopIfTrue="1" operator="lessThanOrEqual">
      <formula>0</formula>
    </cfRule>
  </conditionalFormatting>
  <conditionalFormatting sqref="D56:E65">
    <cfRule type="cellIs" dxfId="1449" priority="60" stopIfTrue="1" operator="greaterThan">
      <formula>$F56</formula>
    </cfRule>
  </conditionalFormatting>
  <conditionalFormatting sqref="D65:E65">
    <cfRule type="cellIs" dxfId="1448" priority="61" stopIfTrue="1" operator="lessThanOrEqual">
      <formula>0</formula>
    </cfRule>
  </conditionalFormatting>
  <conditionalFormatting sqref="E10:E18">
    <cfRule type="cellIs" dxfId="1447" priority="17" operator="lessThan">
      <formula>48</formula>
    </cfRule>
  </conditionalFormatting>
  <conditionalFormatting sqref="E46 E47:F47">
    <cfRule type="cellIs" dxfId="1446" priority="102" stopIfTrue="1" operator="greaterThan">
      <formula>100</formula>
    </cfRule>
  </conditionalFormatting>
  <conditionalFormatting sqref="E47">
    <cfRule type="cellIs" dxfId="1445" priority="100" stopIfTrue="1" operator="greaterThan">
      <formula>100</formula>
    </cfRule>
    <cfRule type="cellIs" dxfId="1444" priority="99" stopIfTrue="1" operator="lessThan">
      <formula>96.8</formula>
    </cfRule>
  </conditionalFormatting>
  <conditionalFormatting sqref="E56:E64">
    <cfRule type="cellIs" dxfId="1443" priority="76" stopIfTrue="1" operator="lessThanOrEqual">
      <formula>0</formula>
    </cfRule>
  </conditionalFormatting>
  <conditionalFormatting sqref="E67:E75">
    <cfRule type="cellIs" dxfId="1442" priority="92" stopIfTrue="1" operator="lessThanOrEqual">
      <formula>0</formula>
    </cfRule>
    <cfRule type="cellIs" dxfId="1441" priority="91" stopIfTrue="1" operator="greaterThan">
      <formula>4.5</formula>
    </cfRule>
  </conditionalFormatting>
  <conditionalFormatting sqref="E47:F47 E46">
    <cfRule type="cellIs" dxfId="1440" priority="101" stopIfTrue="1" operator="lessThan">
      <formula>96.5</formula>
    </cfRule>
  </conditionalFormatting>
  <conditionalFormatting sqref="F10:F18">
    <cfRule type="cellIs" dxfId="1439" priority="18" operator="greaterThan">
      <formula>60</formula>
    </cfRule>
  </conditionalFormatting>
  <conditionalFormatting sqref="F47">
    <cfRule type="cellIs" dxfId="1438" priority="117" stopIfTrue="1" operator="lessThan">
      <formula>96.8</formula>
    </cfRule>
    <cfRule type="cellIs" dxfId="1437" priority="118" stopIfTrue="1" operator="greaterThan">
      <formula>100</formula>
    </cfRule>
  </conditionalFormatting>
  <conditionalFormatting sqref="F65">
    <cfRule type="cellIs" dxfId="1436" priority="77" stopIfTrue="1" operator="greaterThan">
      <formula>$F65</formula>
    </cfRule>
    <cfRule type="cellIs" dxfId="1435" priority="78" stopIfTrue="1" operator="lessThanOrEqual">
      <formula>0</formula>
    </cfRule>
  </conditionalFormatting>
  <conditionalFormatting sqref="G56:G57 C62:C64">
    <cfRule type="cellIs" dxfId="1434" priority="83" stopIfTrue="1" operator="greaterThan">
      <formula>$F56</formula>
    </cfRule>
    <cfRule type="cellIs" dxfId="1433" priority="84" stopIfTrue="1" operator="lessThanOrEqual">
      <formula>0</formula>
    </cfRule>
  </conditionalFormatting>
  <conditionalFormatting sqref="G56:G57">
    <cfRule type="cellIs" dxfId="1432" priority="66" stopIfTrue="1" operator="lessThanOrEqual">
      <formula>0</formula>
    </cfRule>
    <cfRule type="cellIs" dxfId="1431" priority="65" stopIfTrue="1" operator="greaterThan">
      <formula>$F56</formula>
    </cfRule>
  </conditionalFormatting>
  <conditionalFormatting sqref="G58">
    <cfRule type="cellIs" dxfId="1430" priority="122" stopIfTrue="1" operator="lessThanOrEqual">
      <formula>0</formula>
    </cfRule>
    <cfRule type="cellIs" dxfId="1429" priority="121" stopIfTrue="1" operator="greaterThan">
      <formula>$F57</formula>
    </cfRule>
  </conditionalFormatting>
  <conditionalFormatting sqref="G59">
    <cfRule type="cellIs" dxfId="1428" priority="79" stopIfTrue="1" operator="greaterThan">
      <formula>$F59</formula>
    </cfRule>
    <cfRule type="cellIs" dxfId="1427" priority="80" stopIfTrue="1" operator="lessThanOrEqual">
      <formula>0</formula>
    </cfRule>
  </conditionalFormatting>
  <conditionalFormatting sqref="G60:G64">
    <cfRule type="cellIs" dxfId="1426" priority="85" stopIfTrue="1" operator="greaterThan">
      <formula>$J60</formula>
    </cfRule>
    <cfRule type="cellIs" dxfId="1425" priority="86" stopIfTrue="1" operator="lessThanOrEqual">
      <formula>0</formula>
    </cfRule>
  </conditionalFormatting>
  <conditionalFormatting sqref="G69:G74 C72 C74">
    <cfRule type="cellIs" dxfId="1424" priority="114" stopIfTrue="1" operator="greaterThan">
      <formula>4.5</formula>
    </cfRule>
    <cfRule type="cellIs" dxfId="1423" priority="115" stopIfTrue="1" operator="lessThanOrEqual">
      <formula>0</formula>
    </cfRule>
  </conditionalFormatting>
  <conditionalFormatting sqref="G68:H68">
    <cfRule type="cellIs" dxfId="1422" priority="95" stopIfTrue="1" operator="greaterThan">
      <formula>$F$67</formula>
    </cfRule>
    <cfRule type="cellIs" dxfId="1421" priority="96" stopIfTrue="1" operator="lessThanOrEqual">
      <formula>0</formula>
    </cfRule>
  </conditionalFormatting>
  <conditionalFormatting sqref="H10:H15 G10:G18">
    <cfRule type="expression" dxfId="1420" priority="19">
      <formula>IF(+(IF(G10&lt;#REF!,0,IF(G10&gt;#REF!,0,1)))=0,1)</formula>
    </cfRule>
  </conditionalFormatting>
  <conditionalFormatting sqref="H16:H18">
    <cfRule type="expression" dxfId="1419" priority="24">
      <formula>IF(+(IF(H16&lt;T16,0,IF(H16&gt;U16,0,1)))=0,1)</formula>
    </cfRule>
  </conditionalFormatting>
  <conditionalFormatting sqref="H32:H46 I34:I45">
    <cfRule type="cellIs" dxfId="1418" priority="93" stopIfTrue="1" operator="greaterThan">
      <formula>0</formula>
    </cfRule>
  </conditionalFormatting>
  <conditionalFormatting sqref="H50">
    <cfRule type="cellIs" dxfId="1417" priority="15" stopIfTrue="1" operator="lessThanOrEqual">
      <formula>0</formula>
    </cfRule>
    <cfRule type="cellIs" dxfId="1416" priority="3" stopIfTrue="1" operator="lessThanOrEqual">
      <formula>0</formula>
    </cfRule>
    <cfRule type="cellIs" dxfId="1415" priority="4" stopIfTrue="1" operator="greaterThan">
      <formula>$F$34</formula>
    </cfRule>
    <cfRule type="cellIs" dxfId="1414" priority="13" stopIfTrue="1" operator="lessThanOrEqual">
      <formula>0</formula>
    </cfRule>
    <cfRule type="cellIs" dxfId="1413" priority="14" stopIfTrue="1" operator="greaterThan">
      <formula>$F$35</formula>
    </cfRule>
    <cfRule type="cellIs" dxfId="1412" priority="12" stopIfTrue="1" operator="greaterThan">
      <formula>$F$37</formula>
    </cfRule>
  </conditionalFormatting>
  <conditionalFormatting sqref="H51:H52">
    <cfRule type="cellIs" dxfId="1411" priority="34" stopIfTrue="1" operator="greaterThan">
      <formula>$F$31</formula>
    </cfRule>
    <cfRule type="cellIs" dxfId="1410" priority="33" stopIfTrue="1" operator="lessThanOrEqual">
      <formula>0</formula>
    </cfRule>
    <cfRule type="cellIs" dxfId="1409" priority="45" stopIfTrue="1" operator="lessThanOrEqual">
      <formula>0</formula>
    </cfRule>
    <cfRule type="cellIs" dxfId="1408" priority="44" stopIfTrue="1" operator="greaterThan">
      <formula>$F$32</formula>
    </cfRule>
    <cfRule type="cellIs" dxfId="1407" priority="43" stopIfTrue="1" operator="lessThanOrEqual">
      <formula>0</formula>
    </cfRule>
    <cfRule type="cellIs" dxfId="1406" priority="42" stopIfTrue="1" operator="greaterThan">
      <formula>$F$34</formula>
    </cfRule>
  </conditionalFormatting>
  <conditionalFormatting sqref="H56:H63">
    <cfRule type="cellIs" dxfId="1405" priority="70" stopIfTrue="1" operator="lessThanOrEqual">
      <formula>0</formula>
    </cfRule>
    <cfRule type="cellIs" dxfId="1404" priority="69" stopIfTrue="1" operator="greaterThan">
      <formula>$J56</formula>
    </cfRule>
  </conditionalFormatting>
  <conditionalFormatting sqref="H64">
    <cfRule type="cellIs" dxfId="1403" priority="73" operator="greaterThan">
      <formula>5.3</formula>
    </cfRule>
  </conditionalFormatting>
  <conditionalFormatting sqref="H67 H69:H75">
    <cfRule type="cellIs" dxfId="1402" priority="107" stopIfTrue="1" operator="greaterThan">
      <formula>4.5</formula>
    </cfRule>
    <cfRule type="cellIs" dxfId="1401" priority="108" stopIfTrue="1" operator="lessThanOrEqual">
      <formula>0</formula>
    </cfRule>
  </conditionalFormatting>
  <conditionalFormatting sqref="H50:I50">
    <cfRule type="cellIs" dxfId="1400" priority="5" stopIfTrue="1" operator="lessThanOrEqual">
      <formula>0</formula>
    </cfRule>
    <cfRule type="cellIs" dxfId="1399" priority="2" stopIfTrue="1" operator="greaterThan">
      <formula>$F$36</formula>
    </cfRule>
  </conditionalFormatting>
  <conditionalFormatting sqref="H51:I52">
    <cfRule type="cellIs" dxfId="1398" priority="35" stopIfTrue="1" operator="lessThanOrEqual">
      <formula>0</formula>
    </cfRule>
    <cfRule type="cellIs" dxfId="1397" priority="32" stopIfTrue="1" operator="greaterThan">
      <formula>$F$33</formula>
    </cfRule>
  </conditionalFormatting>
  <conditionalFormatting sqref="H65:I65">
    <cfRule type="cellIs" dxfId="1396" priority="59" stopIfTrue="1" operator="lessThanOrEqual">
      <formula>0</formula>
    </cfRule>
    <cfRule type="cellIs" dxfId="1395" priority="58" stopIfTrue="1" operator="greaterThan">
      <formula>$J65</formula>
    </cfRule>
  </conditionalFormatting>
  <conditionalFormatting sqref="I50">
    <cfRule type="cellIs" dxfId="1394" priority="9" stopIfTrue="1" operator="lessThanOrEqual">
      <formula>0</formula>
    </cfRule>
    <cfRule type="cellIs" dxfId="1393" priority="8" stopIfTrue="1" operator="greaterThan">
      <formula>$F$36</formula>
    </cfRule>
    <cfRule type="cellIs" dxfId="1392" priority="7" stopIfTrue="1" operator="lessThanOrEqual">
      <formula>0</formula>
    </cfRule>
    <cfRule type="cellIs" dxfId="1391" priority="6" stopIfTrue="1" operator="greaterThan">
      <formula>$F$34</formula>
    </cfRule>
    <cfRule type="cellIs" dxfId="1390" priority="11" stopIfTrue="1" operator="lessThanOrEqual">
      <formula>0</formula>
    </cfRule>
    <cfRule type="cellIs" dxfId="1389" priority="10" stopIfTrue="1" operator="greaterThan">
      <formula>$F$34</formula>
    </cfRule>
  </conditionalFormatting>
  <conditionalFormatting sqref="I51:I52">
    <cfRule type="cellIs" dxfId="1388" priority="41" stopIfTrue="1" operator="lessThanOrEqual">
      <formula>0</formula>
    </cfRule>
    <cfRule type="cellIs" dxfId="1387" priority="40" stopIfTrue="1" operator="greaterThan">
      <formula>$F$31</formula>
    </cfRule>
    <cfRule type="cellIs" dxfId="1386" priority="39" stopIfTrue="1" operator="lessThanOrEqual">
      <formula>0</formula>
    </cfRule>
    <cfRule type="cellIs" dxfId="1385" priority="38" stopIfTrue="1" operator="greaterThan">
      <formula>$F$33</formula>
    </cfRule>
    <cfRule type="cellIs" dxfId="1384" priority="36" stopIfTrue="1" operator="greaterThan">
      <formula>$F$31</formula>
    </cfRule>
    <cfRule type="cellIs" dxfId="1383" priority="37" stopIfTrue="1" operator="lessThanOrEqual">
      <formula>0</formula>
    </cfRule>
  </conditionalFormatting>
  <conditionalFormatting sqref="I56:I64">
    <cfRule type="cellIs" dxfId="1382" priority="74" stopIfTrue="1" operator="greaterThan">
      <formula>$J56</formula>
    </cfRule>
    <cfRule type="cellIs" dxfId="1381" priority="75" stopIfTrue="1" operator="lessThanOrEqual">
      <formula>0</formula>
    </cfRule>
  </conditionalFormatting>
  <conditionalFormatting sqref="I67:I75">
    <cfRule type="cellIs" dxfId="1380" priority="103" stopIfTrue="1" operator="greaterThan">
      <formula>4.5</formula>
    </cfRule>
    <cfRule type="cellIs" dxfId="1379" priority="104" stopIfTrue="1" operator="lessThanOrEqual">
      <formula>0</formula>
    </cfRule>
  </conditionalFormatting>
  <conditionalFormatting sqref="I10:J15 I16:I18">
    <cfRule type="cellIs" dxfId="1378" priority="31" operator="lessThan">
      <formula>97.9</formula>
    </cfRule>
  </conditionalFormatting>
  <conditionalFormatting sqref="J21:J23">
    <cfRule type="cellIs" dxfId="1377" priority="50" operator="lessThan">
      <formula>98</formula>
    </cfRule>
    <cfRule type="cellIs" dxfId="1376" priority="49" stopIfTrue="1" operator="greaterThan">
      <formula>100</formula>
    </cfRule>
    <cfRule type="cellIs" dxfId="1375" priority="48" stopIfTrue="1" operator="lessThan">
      <formula>96.8</formula>
    </cfRule>
  </conditionalFormatting>
  <conditionalFormatting sqref="J21:J25">
    <cfRule type="cellIs" dxfId="1374" priority="47" operator="lessThan">
      <formula>97.4</formula>
    </cfRule>
  </conditionalFormatting>
  <conditionalFormatting sqref="J26">
    <cfRule type="cellIs" dxfId="1373" priority="51" operator="lessThan">
      <formula>98</formula>
    </cfRule>
  </conditionalFormatting>
  <conditionalFormatting sqref="J27:J29">
    <cfRule type="cellIs" dxfId="1372" priority="53" stopIfTrue="1" operator="greaterThan">
      <formula>100</formula>
    </cfRule>
    <cfRule type="cellIs" dxfId="1371" priority="52" stopIfTrue="1" operator="lessThan">
      <formula>96.8</formula>
    </cfRule>
  </conditionalFormatting>
  <conditionalFormatting sqref="J27:J30">
    <cfRule type="cellIs" dxfId="1370" priority="54" operator="lessThan">
      <formula>98</formula>
    </cfRule>
  </conditionalFormatting>
  <conditionalFormatting sqref="J65">
    <cfRule type="cellIs" dxfId="1369" priority="56" stopIfTrue="1" operator="lessThanOrEqual">
      <formula>0</formula>
    </cfRule>
    <cfRule type="cellIs" dxfId="1368" priority="55" stopIfTrue="1" operator="greaterThan">
      <formula>$F65</formula>
    </cfRule>
  </conditionalFormatting>
  <conditionalFormatting sqref="K10:K15 J16:J18">
    <cfRule type="cellIs" dxfId="1367" priority="30" operator="greaterThan">
      <formula>6.4</formula>
    </cfRule>
    <cfRule type="cellIs" dxfId="1366" priority="27" operator="lessThan">
      <formula>4</formula>
    </cfRule>
    <cfRule type="cellIs" dxfId="1365" priority="26" operator="greaterThan">
      <formula>6</formula>
    </cfRule>
  </conditionalFormatting>
  <conditionalFormatting sqref="K35:K44">
    <cfRule type="cellIs" dxfId="1364" priority="46" operator="notEqual">
      <formula>#REF!</formula>
    </cfRule>
  </conditionalFormatting>
  <conditionalFormatting sqref="K50:K52 K56:N59 L60:N60">
    <cfRule type="cellIs" dxfId="1363" priority="87" stopIfTrue="1" operator="lessThan">
      <formula>100%</formula>
    </cfRule>
  </conditionalFormatting>
  <conditionalFormatting sqref="K67:K72">
    <cfRule type="cellIs" dxfId="1362" priority="109" stopIfTrue="1" operator="lessThan">
      <formula>100%</formula>
    </cfRule>
  </conditionalFormatting>
  <conditionalFormatting sqref="K74:K75">
    <cfRule type="cellIs" dxfId="1361" priority="116" stopIfTrue="1" operator="lessThan">
      <formula>100%</formula>
    </cfRule>
  </conditionalFormatting>
  <conditionalFormatting sqref="K61:N65">
    <cfRule type="cellIs" dxfId="1360" priority="57" stopIfTrue="1" operator="lessThan">
      <formula>100%</formula>
    </cfRule>
  </conditionalFormatting>
  <conditionalFormatting sqref="L10:L15 K16:K18">
    <cfRule type="cellIs" dxfId="1359" priority="29" operator="greaterThan">
      <formula>65</formula>
    </cfRule>
    <cfRule type="cellIs" dxfId="1358" priority="28" operator="between">
      <formula>61</formula>
      <formula>65</formula>
    </cfRule>
  </conditionalFormatting>
  <conditionalFormatting sqref="L36:N36">
    <cfRule type="cellIs" dxfId="1357" priority="22" operator="notEqual">
      <formula>#REF!</formula>
    </cfRule>
  </conditionalFormatting>
  <conditionalFormatting sqref="L67:N75">
    <cfRule type="cellIs" dxfId="1356" priority="94" stopIfTrue="1" operator="lessThan">
      <formula>100%</formula>
    </cfRule>
  </conditionalFormatting>
  <conditionalFormatting sqref="M10:M15 L16:M18">
    <cfRule type="expression" dxfId="1355" priority="25">
      <formula>IF(+(IF(L10&lt;T10,0,IF(L10&gt;U10,0,1)))=0,1)</formula>
    </cfRule>
  </conditionalFormatting>
  <conditionalFormatting sqref="M21 L22:M32">
    <cfRule type="cellIs" dxfId="1354" priority="62" operator="lessThan">
      <formula>98</formula>
    </cfRule>
  </conditionalFormatting>
  <conditionalFormatting sqref="N10:N14">
    <cfRule type="expression" dxfId="1353" priority="1">
      <formula>IF(+(IF(N10&lt;W10,0,IF(N10&gt;X10,0,1)))=0,1)</formula>
    </cfRule>
  </conditionalFormatting>
  <conditionalFormatting sqref="N15">
    <cfRule type="expression" dxfId="1352" priority="20">
      <formula>IF(+(IF(N15&lt;X15,0,IF(N15&gt;Y15,0,1)))=0,1)</formula>
    </cfRule>
  </conditionalFormatting>
  <conditionalFormatting sqref="N16:N18">
    <cfRule type="expression" dxfId="1351" priority="21">
      <formula>IF(+(IF(N16&lt;W16,0,IF(N16&gt;X16,0,1)))=0,1)</formula>
    </cfRule>
  </conditionalFormatting>
  <conditionalFormatting sqref="P6">
    <cfRule type="cellIs" dxfId="1350" priority="90" operator="greaterThanOrEqual">
      <formula>19</formula>
    </cfRule>
  </conditionalFormatting>
  <dataValidations count="1">
    <dataValidation type="list" allowBlank="1" showInputMessage="1" showErrorMessage="1" sqref="R8" xr:uid="{B0F02FED-9AEE-4FE4-9976-7B0D2AFE3C4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69" max="16383" man="1"/>
  </rowBreaks>
  <colBreaks count="1" manualBreakCount="1">
    <brk id="15" max="89" man="1"/>
  </col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3AD55-400D-43AE-8B35-05A7EB6F8F10}">
  <sheetPr codeName="Sheet10">
    <pageSetUpPr fitToPage="1"/>
  </sheetPr>
  <dimension ref="A1:BE74"/>
  <sheetViews>
    <sheetView topLeftCell="A43" zoomScale="80" zoomScaleNormal="80" workbookViewId="0">
      <selection activeCell="O20" sqref="O20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69.3320312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45792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[23]Brewhouse!$A211</f>
        <v>ST193</v>
      </c>
      <c r="D10" s="279">
        <f>[23]Brewhouse!$AD211</f>
        <v>51.1</v>
      </c>
      <c r="E10" s="279">
        <f>[23]Brewhouse!$AG211</f>
        <v>49.1</v>
      </c>
      <c r="F10" s="278">
        <f>[23]Brewhouse!$V211</f>
        <v>79</v>
      </c>
      <c r="G10" s="279">
        <f>[23]Brewhouse!$AE211</f>
        <v>12.07</v>
      </c>
      <c r="H10" s="396">
        <v>11.9</v>
      </c>
      <c r="I10" s="421">
        <f>[23]Brewhouse!$AS211</f>
        <v>98.867922657162993</v>
      </c>
      <c r="J10" s="421">
        <f>[23]Brewhouse!$AT211</f>
        <v>100.32868487216118</v>
      </c>
      <c r="K10" s="398">
        <f>[23]Brewhouse!$Q211</f>
        <v>9.5940959409594146</v>
      </c>
      <c r="L10" s="276">
        <f>[23]Brewhouse!$P211</f>
        <v>62</v>
      </c>
      <c r="M10" s="374">
        <f>[23]Brewhouse!$U211-[23]Brewhouse!$T211</f>
        <v>0.12291666666666667</v>
      </c>
      <c r="N10" s="370">
        <f>[23]Brewhouse!$AW211</f>
        <v>0.29375000000000001</v>
      </c>
      <c r="O10" s="429" t="str">
        <f>[23]Brewhouse!$AV211</f>
        <v>D. Gomaz</v>
      </c>
      <c r="P10" s="423"/>
      <c r="R10" s="277" t="str">
        <f>B10</f>
        <v>STAG</v>
      </c>
      <c r="S10" s="296">
        <f t="shared" ref="S10:S25" si="0">VLOOKUP($B10,$R$3:$X$9,2,FALSE)</f>
        <v>11.6</v>
      </c>
      <c r="T10" s="296">
        <f t="shared" ref="T10:T25" si="1">VLOOKUP($B10,$R$3:$X$9,3,FALSE)</f>
        <v>12</v>
      </c>
      <c r="U10" s="297">
        <f t="shared" ref="U10:U25" si="2">VLOOKUP($B10,$R$3:$X$9,4,FALSE)</f>
        <v>0</v>
      </c>
      <c r="V10" s="297">
        <f t="shared" ref="V10:V25" si="3">VLOOKUP($B10,$R$3:$X$9,5,FALSE)</f>
        <v>0.118055555555556</v>
      </c>
      <c r="W10" s="297">
        <f t="shared" ref="W10:W25" si="4">VLOOKUP($B10,$R$3:$X$9,6,FALSE)</f>
        <v>0.22569444444444445</v>
      </c>
      <c r="X10" s="297">
        <f t="shared" ref="X10:X25" si="5">VLOOKUP($B10,$R$3:$X$9,7,FALSE)</f>
        <v>0.2638888888888889</v>
      </c>
      <c r="Y10" s="297">
        <f t="shared" ref="Y10:Y25" si="6">VLOOKUP($B10,$R$3:$Z$9,8,FALSE)</f>
        <v>0</v>
      </c>
      <c r="Z10" s="296">
        <f t="shared" ref="Z10:Z25" si="7">VLOOKUP($B10,$R$3:$Z$9,9,FALSE)</f>
        <v>60</v>
      </c>
    </row>
    <row r="11" spans="2:29" ht="15.75" customHeight="1">
      <c r="B11" s="33" t="s">
        <v>9</v>
      </c>
      <c r="C11" s="366" t="str">
        <f>[23]Brewhouse!$A212</f>
        <v>ST194</v>
      </c>
      <c r="D11" s="279">
        <f>[23]Brewhouse!$AD212</f>
        <v>54.4</v>
      </c>
      <c r="E11" s="279">
        <f>[23]Brewhouse!$AG212</f>
        <v>51</v>
      </c>
      <c r="F11" s="278">
        <f>[23]Brewhouse!$V212</f>
        <v>80</v>
      </c>
      <c r="G11" s="279">
        <f>[23]Brewhouse!$AE212</f>
        <v>11.64</v>
      </c>
      <c r="H11" s="396">
        <v>12</v>
      </c>
      <c r="I11" s="421">
        <f>[23]Brewhouse!$AS212</f>
        <v>97.867502708764803</v>
      </c>
      <c r="J11" s="421">
        <f>[23]Brewhouse!$AT212</f>
        <v>99.314898796556392</v>
      </c>
      <c r="K11" s="398">
        <f>[23]Brewhouse!$Q212</f>
        <v>7.0652173913043441</v>
      </c>
      <c r="L11" s="276">
        <f>[23]Brewhouse!$P212</f>
        <v>64</v>
      </c>
      <c r="M11" s="374">
        <f>[23]Brewhouse!$U212-[23]Brewhouse!$T212</f>
        <v>0.12708333333333327</v>
      </c>
      <c r="N11" s="370">
        <f>[23]Brewhouse!$AW212</f>
        <v>0.26805555555555549</v>
      </c>
      <c r="O11" s="429" t="str">
        <f>[23]Brewhouse!$AV212</f>
        <v>D. Gomaz</v>
      </c>
      <c r="P11" s="423"/>
      <c r="R11" s="277" t="str">
        <f>B11</f>
        <v>STAG</v>
      </c>
      <c r="S11" s="296">
        <f t="shared" si="0"/>
        <v>11.6</v>
      </c>
      <c r="T11" s="296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296">
        <f t="shared" si="7"/>
        <v>60</v>
      </c>
    </row>
    <row r="12" spans="2:29" ht="15.75" customHeight="1">
      <c r="B12" s="33" t="s">
        <v>9</v>
      </c>
      <c r="C12" s="366" t="str">
        <f>[23]Brewhouse!$A213</f>
        <v>ST195</v>
      </c>
      <c r="D12" s="279">
        <f>[23]Brewhouse!$AD213</f>
        <v>55.2</v>
      </c>
      <c r="E12" s="279">
        <f>[23]Brewhouse!$AG213</f>
        <v>51.9</v>
      </c>
      <c r="F12" s="278">
        <f>[23]Brewhouse!$V213</f>
        <v>81</v>
      </c>
      <c r="G12" s="279">
        <f>[23]Brewhouse!$AE213</f>
        <v>11.7</v>
      </c>
      <c r="H12" s="396">
        <v>11.9</v>
      </c>
      <c r="I12" s="421">
        <f>[23]Brewhouse!$AS213</f>
        <v>100.37302685675083</v>
      </c>
      <c r="J12" s="421">
        <f>[23]Brewhouse!$AT213</f>
        <v>101.85795932389384</v>
      </c>
      <c r="K12" s="398">
        <f>[23]Brewhouse!$Q213</f>
        <v>5.9566787003610058</v>
      </c>
      <c r="L12" s="276">
        <f>[23]Brewhouse!$P213</f>
        <v>60</v>
      </c>
      <c r="M12" s="374">
        <f>[23]Brewhouse!$U213-[23]Brewhouse!$T213</f>
        <v>0.12569444444444439</v>
      </c>
      <c r="N12" s="370">
        <f>[23]Brewhouse!$AW213</f>
        <v>0.26944444444444443</v>
      </c>
      <c r="O12" s="429" t="str">
        <f>[23]Brewhouse!$AV213</f>
        <v>D. Gomaz</v>
      </c>
      <c r="P12" s="423"/>
      <c r="R12" s="277" t="str">
        <f>B12</f>
        <v>STAG</v>
      </c>
      <c r="S12" s="296">
        <f t="shared" si="0"/>
        <v>11.6</v>
      </c>
      <c r="T12" s="296">
        <f t="shared" si="1"/>
        <v>12</v>
      </c>
      <c r="U12" s="297">
        <f t="shared" si="2"/>
        <v>0</v>
      </c>
      <c r="V12" s="297">
        <f t="shared" si="3"/>
        <v>0.118055555555556</v>
      </c>
      <c r="W12" s="297">
        <f t="shared" si="4"/>
        <v>0.22569444444444445</v>
      </c>
      <c r="X12" s="297">
        <f t="shared" si="5"/>
        <v>0.2638888888888889</v>
      </c>
      <c r="Y12" s="297">
        <f t="shared" si="6"/>
        <v>0</v>
      </c>
      <c r="Z12" s="296">
        <f t="shared" si="7"/>
        <v>60</v>
      </c>
    </row>
    <row r="13" spans="2:29" ht="15.75" customHeight="1">
      <c r="B13" s="33" t="s">
        <v>9</v>
      </c>
      <c r="C13" s="366" t="str">
        <f>[23]Brewhouse!$A214</f>
        <v>ST196</v>
      </c>
      <c r="D13" s="279">
        <f>[23]Brewhouse!$AD214</f>
        <v>53.7</v>
      </c>
      <c r="E13" s="279">
        <f>[23]Brewhouse!$AG214</f>
        <v>50.3</v>
      </c>
      <c r="F13" s="278">
        <f>[23]Brewhouse!$V214</f>
        <v>56</v>
      </c>
      <c r="G13" s="279">
        <f>[23]Brewhouse!$AE214</f>
        <v>11.84</v>
      </c>
      <c r="H13" s="396">
        <v>11.9</v>
      </c>
      <c r="I13" s="421">
        <f>[23]Brewhouse!$AS214</f>
        <v>98.153626645427877</v>
      </c>
      <c r="J13" s="421">
        <f>[23]Brewhouse!$AT214</f>
        <v>99.605724998321449</v>
      </c>
      <c r="K13" s="398">
        <f>[23]Brewhouse!$Q214</f>
        <v>4.9001814882032715</v>
      </c>
      <c r="L13" s="276">
        <f>[23]Brewhouse!$P214</f>
        <v>61</v>
      </c>
      <c r="M13" s="374">
        <f>[23]Brewhouse!$U214-[23]Brewhouse!$T214</f>
        <v>0.10277777777777775</v>
      </c>
      <c r="N13" s="370">
        <f>[23]Brewhouse!$AW214</f>
        <v>0.2541666666666666</v>
      </c>
      <c r="O13" s="429" t="str">
        <f>[23]Brewhouse!$AV214</f>
        <v>D. Gomaz</v>
      </c>
      <c r="P13" s="423" t="s">
        <v>203</v>
      </c>
      <c r="R13" s="277" t="str">
        <f t="shared" ref="R13:R22" si="8">B13</f>
        <v>STAG</v>
      </c>
      <c r="S13" s="296">
        <f t="shared" si="0"/>
        <v>11.6</v>
      </c>
      <c r="T13" s="296">
        <f t="shared" si="1"/>
        <v>12</v>
      </c>
      <c r="U13" s="297">
        <f t="shared" si="2"/>
        <v>0</v>
      </c>
      <c r="V13" s="297">
        <f t="shared" si="3"/>
        <v>0.118055555555556</v>
      </c>
      <c r="W13" s="297">
        <f t="shared" si="4"/>
        <v>0.22569444444444445</v>
      </c>
      <c r="X13" s="297">
        <f t="shared" si="5"/>
        <v>0.2638888888888889</v>
      </c>
      <c r="Y13" s="297">
        <f t="shared" si="6"/>
        <v>0</v>
      </c>
      <c r="Z13" s="296">
        <f t="shared" si="7"/>
        <v>60</v>
      </c>
    </row>
    <row r="14" spans="2:29" ht="15.75" customHeight="1">
      <c r="B14" s="33" t="s">
        <v>9</v>
      </c>
      <c r="C14" s="366" t="str">
        <f>[23]Brewhouse!$A215</f>
        <v>ST197</v>
      </c>
      <c r="D14" s="279">
        <f>[23]Brewhouse!$AD215</f>
        <v>52.8</v>
      </c>
      <c r="E14" s="279">
        <f>[23]Brewhouse!$AG215</f>
        <v>49.4</v>
      </c>
      <c r="F14" s="278">
        <f>[23]Brewhouse!$V215</f>
        <v>52</v>
      </c>
      <c r="G14" s="279">
        <f>[23]Brewhouse!$AE215</f>
        <v>12</v>
      </c>
      <c r="H14" s="396">
        <v>12.1</v>
      </c>
      <c r="I14" s="421">
        <f>[23]Brewhouse!$AS215</f>
        <v>98.115990931121161</v>
      </c>
      <c r="J14" s="421">
        <f>[23]Brewhouse!$AT215</f>
        <v>99.567532496042418</v>
      </c>
      <c r="K14" s="398">
        <f>[23]Brewhouse!$Q215</f>
        <v>5.6363636363636385</v>
      </c>
      <c r="L14" s="276">
        <f>[23]Brewhouse!$P215</f>
        <v>58</v>
      </c>
      <c r="M14" s="374">
        <f>[23]Brewhouse!$U215-[23]Brewhouse!$T215</f>
        <v>0.10763888888888884</v>
      </c>
      <c r="N14" s="370">
        <f>[23]Brewhouse!$AW215</f>
        <v>0.26041666666666663</v>
      </c>
      <c r="O14" s="429" t="str">
        <f>[23]Brewhouse!$AV215</f>
        <v>D. Gomaz</v>
      </c>
      <c r="P14" s="423" t="s">
        <v>192</v>
      </c>
      <c r="R14" s="277" t="str">
        <f t="shared" si="8"/>
        <v>STAG</v>
      </c>
      <c r="S14" s="296">
        <f t="shared" si="0"/>
        <v>11.6</v>
      </c>
      <c r="T14" s="296">
        <f t="shared" si="1"/>
        <v>12</v>
      </c>
      <c r="U14" s="297">
        <f t="shared" si="2"/>
        <v>0</v>
      </c>
      <c r="V14" s="297">
        <f t="shared" si="3"/>
        <v>0.118055555555556</v>
      </c>
      <c r="W14" s="297">
        <f t="shared" si="4"/>
        <v>0.22569444444444445</v>
      </c>
      <c r="X14" s="297">
        <f t="shared" si="5"/>
        <v>0.2638888888888889</v>
      </c>
      <c r="Y14" s="297">
        <f t="shared" si="6"/>
        <v>0</v>
      </c>
      <c r="Z14" s="296">
        <f t="shared" si="7"/>
        <v>60</v>
      </c>
    </row>
    <row r="15" spans="2:29" ht="29.25" customHeight="1">
      <c r="B15" s="33" t="s">
        <v>9</v>
      </c>
      <c r="C15" s="366" t="str">
        <f>[23]Brewhouse!$A216</f>
        <v>ST198</v>
      </c>
      <c r="D15" s="279">
        <f>[23]Brewhouse!$AD216</f>
        <v>54.3</v>
      </c>
      <c r="E15" s="279">
        <f>[23]Brewhouse!$AG216</f>
        <v>50.9</v>
      </c>
      <c r="F15" s="278">
        <f>[23]Brewhouse!$V216</f>
        <v>59</v>
      </c>
      <c r="G15" s="279">
        <f>[23]Brewhouse!$AE216</f>
        <v>11.68</v>
      </c>
      <c r="H15" s="396">
        <v>11.3</v>
      </c>
      <c r="I15" s="421">
        <f>[23]Brewhouse!$AS216</f>
        <v>98.809112005591132</v>
      </c>
      <c r="J15" s="421">
        <f>[23]Brewhouse!$AT216</f>
        <v>100.2694826810054</v>
      </c>
      <c r="K15" s="398">
        <f>[23]Brewhouse!$Q216</f>
        <v>2.3765996343692946</v>
      </c>
      <c r="L15" s="276">
        <f>[23]Brewhouse!$P216</f>
        <v>58</v>
      </c>
      <c r="M15" s="374">
        <f>[23]Brewhouse!$U216-[23]Brewhouse!$T216</f>
        <v>0.11388888888888882</v>
      </c>
      <c r="N15" s="370">
        <f>[23]Brewhouse!$AW216</f>
        <v>0.26874999999999993</v>
      </c>
      <c r="O15" s="429" t="str">
        <f>[23]Brewhouse!$AV216</f>
        <v>K. Benjamin</v>
      </c>
      <c r="P15" s="423" t="s">
        <v>204</v>
      </c>
      <c r="R15" s="277" t="str">
        <f t="shared" si="8"/>
        <v>STAG</v>
      </c>
      <c r="S15" s="296">
        <f t="shared" si="0"/>
        <v>11.6</v>
      </c>
      <c r="T15" s="296">
        <f t="shared" si="1"/>
        <v>12</v>
      </c>
      <c r="U15" s="297">
        <f t="shared" si="2"/>
        <v>0</v>
      </c>
      <c r="V15" s="297">
        <f t="shared" si="3"/>
        <v>0.118055555555556</v>
      </c>
      <c r="W15" s="297">
        <f t="shared" si="4"/>
        <v>0.22569444444444445</v>
      </c>
      <c r="X15" s="297">
        <f t="shared" si="5"/>
        <v>0.2638888888888889</v>
      </c>
      <c r="Y15" s="297">
        <f t="shared" si="6"/>
        <v>0</v>
      </c>
      <c r="Z15" s="296">
        <f t="shared" si="7"/>
        <v>60</v>
      </c>
    </row>
    <row r="16" spans="2:29" ht="15.75" customHeight="1">
      <c r="B16" s="33" t="s">
        <v>9</v>
      </c>
      <c r="C16" s="366" t="str">
        <f>[23]Brewhouse!$A217</f>
        <v>ST199</v>
      </c>
      <c r="D16" s="279">
        <f>[23]Brewhouse!$AD217</f>
        <v>55</v>
      </c>
      <c r="E16" s="279">
        <f>[23]Brewhouse!$AG217</f>
        <v>51.8</v>
      </c>
      <c r="F16" s="278">
        <f>[23]Brewhouse!$V217</f>
        <v>63</v>
      </c>
      <c r="G16" s="279">
        <f>[23]Brewhouse!$AE217</f>
        <v>11.76</v>
      </c>
      <c r="H16" s="396">
        <v>11.8</v>
      </c>
      <c r="I16" s="421">
        <f>[23]Brewhouse!$AS217</f>
        <v>101.08067316566927</v>
      </c>
      <c r="J16" s="421">
        <f>[23]Brewhouse!$AT217</f>
        <v>102.57607465035885</v>
      </c>
      <c r="K16" s="398">
        <f>[23]Brewhouse!$Q217</f>
        <v>2.5408348457350245</v>
      </c>
      <c r="L16" s="276">
        <f>[23]Brewhouse!$P217</f>
        <v>63</v>
      </c>
      <c r="M16" s="374">
        <f>[23]Brewhouse!$U217-[23]Brewhouse!$T217</f>
        <v>0.11597222222222225</v>
      </c>
      <c r="N16" s="370">
        <f>[23]Brewhouse!$AW217</f>
        <v>0.25277777777777777</v>
      </c>
      <c r="O16" s="429" t="str">
        <f>[23]Brewhouse!$AV217</f>
        <v>K. Benjamin</v>
      </c>
      <c r="P16" s="423"/>
      <c r="R16" s="277" t="str">
        <f t="shared" si="8"/>
        <v>STAG</v>
      </c>
      <c r="S16" s="296">
        <f t="shared" si="0"/>
        <v>11.6</v>
      </c>
      <c r="T16" s="296">
        <f t="shared" si="1"/>
        <v>12</v>
      </c>
      <c r="U16" s="297">
        <f t="shared" si="2"/>
        <v>0</v>
      </c>
      <c r="V16" s="297">
        <f t="shared" si="3"/>
        <v>0.118055555555556</v>
      </c>
      <c r="W16" s="297">
        <f t="shared" si="4"/>
        <v>0.22569444444444445</v>
      </c>
      <c r="X16" s="297">
        <f t="shared" si="5"/>
        <v>0.2638888888888889</v>
      </c>
      <c r="Y16" s="297">
        <f t="shared" si="6"/>
        <v>0</v>
      </c>
      <c r="Z16" s="296">
        <f t="shared" si="7"/>
        <v>60</v>
      </c>
    </row>
    <row r="17" spans="1:27" ht="15.75" customHeight="1">
      <c r="B17" s="33" t="s">
        <v>9</v>
      </c>
      <c r="C17" s="366" t="str">
        <f>[23]Brewhouse!$A218</f>
        <v>ST200</v>
      </c>
      <c r="D17" s="279">
        <f>[23]Brewhouse!$AD218</f>
        <v>55.1</v>
      </c>
      <c r="E17" s="279">
        <f>[23]Brewhouse!$AG218</f>
        <v>52.2</v>
      </c>
      <c r="F17" s="278">
        <f>[23]Brewhouse!$V218</f>
        <v>66</v>
      </c>
      <c r="G17" s="279">
        <f>[23]Brewhouse!$AE218</f>
        <v>11.63</v>
      </c>
      <c r="H17" s="396">
        <v>11.6</v>
      </c>
      <c r="I17" s="421">
        <f>[23]Brewhouse!$AS218</f>
        <v>100.42130937950147</v>
      </c>
      <c r="J17" s="421">
        <f>[23]Brewhouse!$AT218</f>
        <v>101.90550787524573</v>
      </c>
      <c r="K17" s="398">
        <f>[23]Brewhouse!$Q218</f>
        <v>2.0072992700729824</v>
      </c>
      <c r="L17" s="276">
        <f>[23]Brewhouse!$P218</f>
        <v>61</v>
      </c>
      <c r="M17" s="374">
        <f>[23]Brewhouse!$U218-[23]Brewhouse!$T218</f>
        <v>0.11597222222222225</v>
      </c>
      <c r="N17" s="370">
        <f>[23]Brewhouse!$AW218</f>
        <v>0.25138888888888888</v>
      </c>
      <c r="O17" s="429" t="str">
        <f>[23]Brewhouse!$AV218</f>
        <v>K. Benjamin</v>
      </c>
      <c r="P17" s="423"/>
      <c r="R17" s="277" t="str">
        <f t="shared" si="8"/>
        <v>STAG</v>
      </c>
      <c r="S17" s="296">
        <f t="shared" si="0"/>
        <v>11.6</v>
      </c>
      <c r="T17" s="296">
        <f t="shared" si="1"/>
        <v>12</v>
      </c>
      <c r="U17" s="297">
        <f t="shared" si="2"/>
        <v>0</v>
      </c>
      <c r="V17" s="297">
        <f t="shared" si="3"/>
        <v>0.118055555555556</v>
      </c>
      <c r="W17" s="297">
        <f t="shared" si="4"/>
        <v>0.22569444444444445</v>
      </c>
      <c r="X17" s="297">
        <f t="shared" si="5"/>
        <v>0.2638888888888889</v>
      </c>
      <c r="Y17" s="297">
        <f t="shared" si="6"/>
        <v>0</v>
      </c>
      <c r="Z17" s="296">
        <f t="shared" si="7"/>
        <v>60</v>
      </c>
    </row>
    <row r="18" spans="1:27" ht="15.75" customHeight="1">
      <c r="B18" s="33" t="s">
        <v>9</v>
      </c>
      <c r="C18" s="366" t="str">
        <f>[23]Brewhouse!$A219</f>
        <v>ST201</v>
      </c>
      <c r="D18" s="279">
        <f>[23]Brewhouse!$AD219</f>
        <v>54</v>
      </c>
      <c r="E18" s="279">
        <f>[23]Brewhouse!$AG219</f>
        <v>50.9</v>
      </c>
      <c r="F18" s="278">
        <f>[23]Brewhouse!$V219</f>
        <v>60</v>
      </c>
      <c r="G18" s="279">
        <f>[23]Brewhouse!$AE219</f>
        <v>11.6</v>
      </c>
      <c r="H18" s="396">
        <v>11.7</v>
      </c>
      <c r="I18" s="421">
        <f>[23]Brewhouse!$AS219</f>
        <v>97.675605644629954</v>
      </c>
      <c r="J18" s="421">
        <f>[23]Brewhouse!$AT219</f>
        <v>99.120163700876844</v>
      </c>
      <c r="K18" s="398">
        <f>[23]Brewhouse!$Q219</f>
        <v>2.7422303473491771</v>
      </c>
      <c r="L18" s="276">
        <f>[23]Brewhouse!$P219</f>
        <v>59</v>
      </c>
      <c r="M18" s="374">
        <f>[23]Brewhouse!$U219-[23]Brewhouse!$T219</f>
        <v>0.10763888888888884</v>
      </c>
      <c r="N18" s="370">
        <f>[23]Brewhouse!$AW219</f>
        <v>0.26111111111111107</v>
      </c>
      <c r="O18" s="429" t="str">
        <f>[23]Brewhouse!$AV219</f>
        <v>R.Sookram</v>
      </c>
      <c r="P18" s="423"/>
      <c r="R18" s="277" t="str">
        <f t="shared" si="8"/>
        <v>STAG</v>
      </c>
      <c r="S18" s="296">
        <f t="shared" si="0"/>
        <v>11.6</v>
      </c>
      <c r="T18" s="296">
        <f t="shared" si="1"/>
        <v>12</v>
      </c>
      <c r="U18" s="297">
        <f t="shared" si="2"/>
        <v>0</v>
      </c>
      <c r="V18" s="297">
        <f t="shared" si="3"/>
        <v>0.118055555555556</v>
      </c>
      <c r="W18" s="297">
        <f t="shared" si="4"/>
        <v>0.22569444444444445</v>
      </c>
      <c r="X18" s="297">
        <f t="shared" si="5"/>
        <v>0.2638888888888889</v>
      </c>
      <c r="Y18" s="297">
        <f t="shared" si="6"/>
        <v>0</v>
      </c>
      <c r="Z18" s="296">
        <f t="shared" si="7"/>
        <v>60</v>
      </c>
    </row>
    <row r="19" spans="1:27" ht="15.75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3"/>
      <c r="R19" s="277">
        <f t="shared" si="8"/>
        <v>0</v>
      </c>
      <c r="S19" s="296" t="e">
        <f t="shared" si="0"/>
        <v>#N/A</v>
      </c>
      <c r="T19" s="296" t="e">
        <f t="shared" si="1"/>
        <v>#N/A</v>
      </c>
      <c r="U19" s="297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6" t="e">
        <f t="shared" si="7"/>
        <v>#N/A</v>
      </c>
    </row>
    <row r="20" spans="1:27" ht="15.75" customHeight="1">
      <c r="B20" s="29" t="s">
        <v>6</v>
      </c>
      <c r="C20" s="366" t="str">
        <f>[22]Brewhouse!$A442</f>
        <v>CA337</v>
      </c>
      <c r="D20" s="279">
        <f>[22]Brewhouse!$AF442</f>
        <v>54.6</v>
      </c>
      <c r="E20" s="279">
        <f>[22]Brewhouse!$AI442</f>
        <v>51.9</v>
      </c>
      <c r="F20" s="278">
        <f>[22]Brewhouse!$V442</f>
        <v>62</v>
      </c>
      <c r="G20" s="279">
        <f>[22]Brewhouse!$AG442</f>
        <v>11.45</v>
      </c>
      <c r="H20" s="396">
        <v>11.4</v>
      </c>
      <c r="I20" s="368">
        <f>[22]Brewhouse!$AU442</f>
        <v>101.15075411390035</v>
      </c>
      <c r="J20" s="368">
        <f>[22]Brewhouse!$AV442</f>
        <v>102.95414996337564</v>
      </c>
      <c r="K20" s="281">
        <f>[22]Brewhouse!$Q442</f>
        <v>3.7857142857142811</v>
      </c>
      <c r="L20" s="276">
        <f>[22]Brewhouse!$P442</f>
        <v>60</v>
      </c>
      <c r="M20" s="397">
        <f>[22]Brewhouse!$U442-[22]Brewhouse!$T442</f>
        <v>0.11458333333333348</v>
      </c>
      <c r="N20" s="370">
        <f>[22]Brewhouse!$Z442</f>
        <v>0.26666666666666672</v>
      </c>
      <c r="O20" s="371" t="str">
        <f>[22]Brewhouse!$AX442</f>
        <v>R. Sookram</v>
      </c>
      <c r="P20" s="423"/>
      <c r="R20" s="277" t="e">
        <f>#REF!</f>
        <v>#REF!</v>
      </c>
      <c r="S20" s="296" t="e">
        <f>VLOOKUP(#REF!,$R$3:$X$9,2,FALSE)</f>
        <v>#REF!</v>
      </c>
      <c r="T20" s="296" t="e">
        <f>VLOOKUP(#REF!,$R$3:$X$9,3,FALSE)</f>
        <v>#REF!</v>
      </c>
      <c r="U20" s="297" t="e">
        <f>VLOOKUP(#REF!,$R$3:$X$9,4,FALSE)</f>
        <v>#REF!</v>
      </c>
      <c r="V20" s="297" t="e">
        <f>VLOOKUP(#REF!,$R$3:$X$9,5,FALSE)</f>
        <v>#REF!</v>
      </c>
      <c r="W20" s="297" t="e">
        <f>VLOOKUP(#REF!,$R$3:$X$9,6,FALSE)</f>
        <v>#REF!</v>
      </c>
      <c r="X20" s="297" t="e">
        <f>VLOOKUP(#REF!,$R$3:$X$9,7,FALSE)</f>
        <v>#REF!</v>
      </c>
      <c r="Y20" s="297" t="e">
        <f>VLOOKUP(#REF!,$R$3:$Z$9,8,FALSE)</f>
        <v>#REF!</v>
      </c>
      <c r="Z20" s="296" t="e">
        <f>VLOOKUP(#REF!,$R$3:$Z$9,9,FALSE)</f>
        <v>#REF!</v>
      </c>
    </row>
    <row r="21" spans="1:27" ht="15.75" customHeight="1">
      <c r="B21" s="33"/>
      <c r="C21" s="366"/>
      <c r="D21" s="279"/>
      <c r="E21" s="279"/>
      <c r="F21" s="278"/>
      <c r="G21" s="279"/>
      <c r="H21" s="396"/>
      <c r="I21" s="421"/>
      <c r="J21" s="398"/>
      <c r="K21" s="276"/>
      <c r="L21" s="374"/>
      <c r="M21" s="397"/>
      <c r="N21" s="370"/>
      <c r="O21" s="371"/>
      <c r="P21" s="423"/>
      <c r="R21" s="277">
        <f t="shared" si="8"/>
        <v>0</v>
      </c>
      <c r="S21" s="296" t="e">
        <f t="shared" si="0"/>
        <v>#N/A</v>
      </c>
      <c r="T21" s="296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6" t="e">
        <f t="shared" si="7"/>
        <v>#N/A</v>
      </c>
    </row>
    <row r="22" spans="1:27" ht="15.75" customHeight="1">
      <c r="B22" s="33"/>
      <c r="C22" s="366" t="s">
        <v>202</v>
      </c>
      <c r="D22" s="279"/>
      <c r="E22" s="279"/>
      <c r="F22" s="278"/>
      <c r="G22" s="279"/>
      <c r="H22" s="396"/>
      <c r="I22" s="421"/>
      <c r="J22" s="398"/>
      <c r="K22" s="276"/>
      <c r="L22" s="374"/>
      <c r="M22" s="397"/>
      <c r="N22" s="370"/>
      <c r="O22" s="371"/>
      <c r="P22" s="423"/>
      <c r="R22" s="277">
        <f t="shared" si="8"/>
        <v>0</v>
      </c>
      <c r="S22" s="296" t="e">
        <f t="shared" si="0"/>
        <v>#N/A</v>
      </c>
      <c r="T22" s="296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6" t="e">
        <f t="shared" si="7"/>
        <v>#N/A</v>
      </c>
    </row>
    <row r="23" spans="1:27" ht="15.75" customHeight="1">
      <c r="B23" s="33"/>
      <c r="C23" s="366"/>
      <c r="D23" s="279"/>
      <c r="E23" s="279"/>
      <c r="F23" s="278"/>
      <c r="G23" s="279"/>
      <c r="H23" s="396"/>
      <c r="I23" s="421"/>
      <c r="J23" s="398"/>
      <c r="K23" s="276"/>
      <c r="L23" s="374"/>
      <c r="M23" s="397"/>
      <c r="N23" s="370"/>
      <c r="O23" s="371"/>
      <c r="P23" s="423"/>
      <c r="R23" s="277">
        <f>B23</f>
        <v>0</v>
      </c>
      <c r="S23" s="296" t="e">
        <f t="shared" si="0"/>
        <v>#N/A</v>
      </c>
      <c r="T23" s="296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6" t="e">
        <f t="shared" si="7"/>
        <v>#N/A</v>
      </c>
    </row>
    <row r="24" spans="1:27" ht="15.75" customHeight="1" thickBot="1">
      <c r="B24" s="358"/>
      <c r="C24" s="358"/>
      <c r="D24" s="358"/>
      <c r="E24" s="358"/>
      <c r="F24" s="294"/>
      <c r="G24" s="294"/>
      <c r="H24" s="348"/>
      <c r="I24" s="481" t="s">
        <v>34</v>
      </c>
      <c r="J24" s="481"/>
      <c r="K24" s="481"/>
      <c r="L24" s="481"/>
      <c r="M24" s="481"/>
      <c r="N24" s="481"/>
      <c r="O24" s="1"/>
      <c r="P24" s="12"/>
      <c r="R24" s="277">
        <f>B24</f>
        <v>0</v>
      </c>
      <c r="S24" s="296" t="e">
        <f t="shared" si="0"/>
        <v>#N/A</v>
      </c>
      <c r="T24" s="296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6" t="e">
        <f t="shared" si="7"/>
        <v>#N/A</v>
      </c>
    </row>
    <row r="25" spans="1:27" ht="15" thickBot="1">
      <c r="B25" s="388" t="s">
        <v>145</v>
      </c>
      <c r="C25" s="388"/>
      <c r="D25" s="494" t="s">
        <v>35</v>
      </c>
      <c r="E25" s="495"/>
      <c r="F25" s="294"/>
      <c r="G25" s="294"/>
      <c r="H25" s="348"/>
      <c r="I25" s="24" t="s">
        <v>17</v>
      </c>
      <c r="J25" s="25" t="s">
        <v>36</v>
      </c>
      <c r="K25" s="26" t="s">
        <v>138</v>
      </c>
      <c r="L25" s="25" t="s">
        <v>37</v>
      </c>
      <c r="M25" s="25" t="s">
        <v>38</v>
      </c>
      <c r="N25" s="27" t="s">
        <v>39</v>
      </c>
      <c r="O25" s="294"/>
      <c r="P25" s="12"/>
      <c r="R25" s="277" t="str">
        <f>B25</f>
        <v>BRAND</v>
      </c>
      <c r="S25" s="296" t="e">
        <f t="shared" si="0"/>
        <v>#N/A</v>
      </c>
      <c r="T25" s="296" t="e">
        <f t="shared" si="1"/>
        <v>#N/A</v>
      </c>
      <c r="U25" s="297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6" t="e">
        <f t="shared" si="7"/>
        <v>#N/A</v>
      </c>
    </row>
    <row r="26" spans="1:27" ht="15" customHeight="1">
      <c r="A26" s="28"/>
      <c r="B26" s="482"/>
      <c r="C26" s="362"/>
      <c r="D26" s="485"/>
      <c r="E26" s="474"/>
      <c r="F26" s="294"/>
      <c r="G26" s="294"/>
      <c r="H26" s="348"/>
      <c r="I26" s="29" t="s">
        <v>6</v>
      </c>
      <c r="J26" s="280">
        <f>I20</f>
        <v>101.15075411390035</v>
      </c>
      <c r="K26" s="284">
        <f>COUNTA([22]Brewhouse!$A$408:$A$442)</f>
        <v>35</v>
      </c>
      <c r="L26" s="302">
        <f>AVERAGE([22]Brewhouse!$AU$408:$AU$442)</f>
        <v>98.181667317812753</v>
      </c>
      <c r="M26" s="302">
        <f>AVERAGE([22]Brewhouse!$AU$102:$AU$171,[22]Brewhouse!$AU$173:$AU$253,[22]Brewhouse!$AU$255:$AU$339,[22]Brewhouse!$AU$341:$AU$346,[22]Brewhouse!$AU$348,[22]Brewhouse!$AU$349:$AU$406,[22]Brewhouse!$AU$408:$AU$442)</f>
        <v>97.477962370227829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1:27" ht="15" customHeight="1">
      <c r="A27" s="28"/>
      <c r="B27" s="483"/>
      <c r="C27" s="349"/>
      <c r="D27" s="486"/>
      <c r="E27" s="469"/>
      <c r="F27" s="294"/>
      <c r="G27" s="294"/>
      <c r="H27" s="348"/>
      <c r="I27" s="33" t="s">
        <v>9</v>
      </c>
      <c r="J27" s="280">
        <f>AVERAGE(I10:I18)</f>
        <v>99.040529999402168</v>
      </c>
      <c r="K27" s="284">
        <f>COUNTA([23]Brewhouse!$A$195:$A$219)</f>
        <v>25</v>
      </c>
      <c r="L27" s="302">
        <f>AVERAGE([23]Brewhouse!$AS$195:$AS$219)</f>
        <v>100.61030615551681</v>
      </c>
      <c r="M27" s="302">
        <f>AVERAGE([23]Brewhouse!$AS$15:$AS$64,[23]Brewhouse!$AS$66:$AS$103,[23]Brewhouse!$AS$105:$AS$140,[23]Brewhouse!$AS$142:$AS$193,[23]Brewhouse!$AS$195:$AS$219)</f>
        <v>97.842253062351276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1:27" ht="14.7" customHeight="1">
      <c r="A28" s="28"/>
      <c r="B28" s="483"/>
      <c r="C28" s="349"/>
      <c r="D28" s="485"/>
      <c r="E28" s="474"/>
      <c r="F28" s="294"/>
      <c r="G28" s="294"/>
      <c r="H28" s="348"/>
      <c r="I28" s="34" t="s">
        <v>12</v>
      </c>
      <c r="J28" s="280"/>
      <c r="K28" s="284">
        <f>COUNTA([24]Brewhouse!$A$47:$A$54)</f>
        <v>8</v>
      </c>
      <c r="L28" s="302">
        <f>AVERAGE([24]Brewhouse!$AU$47:$AU$54)</f>
        <v>96.792443337508828</v>
      </c>
      <c r="M28" s="302">
        <f>AVERAGE([24]Brewhouse!$AU$4:$AU$7,[24]Brewhouse!$AU$9:$AU$22,[24]Brewhouse!$AU$24:$AU$35,[24]Brewhouse!$AU$37:$AU$45,[24]Brewhouse!$AU$47:$AU$54)</f>
        <v>97.03665404260714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4.7" customHeight="1">
      <c r="A29" s="28"/>
      <c r="B29" s="483"/>
      <c r="C29" s="349"/>
      <c r="D29" s="486"/>
      <c r="E29" s="469"/>
      <c r="F29" s="294"/>
      <c r="G29" s="294"/>
      <c r="H29" s="348"/>
      <c r="I29" s="22" t="s">
        <v>33</v>
      </c>
      <c r="J29" s="280"/>
      <c r="K29" s="284">
        <f>COUNTA([25]Brewhouse!$A$35:$A$40)</f>
        <v>6</v>
      </c>
      <c r="L29" s="302">
        <f>AVERAGE([25]Brewhouse!$AV$35:$AV$40)</f>
        <v>99.729773602484485</v>
      </c>
      <c r="M29" s="302">
        <f>AVERAGE([25]Brewhouse!$AV$5:$AV$14,[25]Brewhouse!$AV$16:$AV$19,[25]Brewhouse!$AV$21:$AV$24,[25]Brewhouse!$AV$26:$AV$33,[25]Brewhouse!$AV$35:$AV$40)</f>
        <v>99.073437057623821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4.7" customHeight="1">
      <c r="A30" s="28"/>
      <c r="B30" s="483"/>
      <c r="C30" s="349"/>
      <c r="D30" s="485"/>
      <c r="E30" s="474"/>
      <c r="F30" s="422"/>
      <c r="G30" s="294"/>
      <c r="H30" s="348"/>
      <c r="I30" s="35" t="s">
        <v>29</v>
      </c>
      <c r="J30" s="280"/>
      <c r="K30" s="284"/>
      <c r="L30" s="302"/>
      <c r="M30" s="302"/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4.7" customHeight="1">
      <c r="A31" s="28"/>
      <c r="B31" s="483"/>
      <c r="C31" s="349"/>
      <c r="D31" s="486"/>
      <c r="E31" s="469"/>
      <c r="F31" s="422"/>
      <c r="G31" s="294"/>
      <c r="H31" s="348"/>
      <c r="I31" s="36" t="s">
        <v>15</v>
      </c>
      <c r="J31" s="323"/>
      <c r="K31" s="284"/>
      <c r="L31" s="302"/>
      <c r="M31" s="302">
        <f>AVERAGE([26]Brewhouse!$AT$4:$AT$11,[26]Brewhouse!$AT$13:$AT$16)</f>
        <v>95.165309917257005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7" customHeight="1">
      <c r="A32" s="28"/>
      <c r="B32" s="483"/>
      <c r="C32" s="349"/>
      <c r="D32" s="485"/>
      <c r="E32" s="474"/>
      <c r="F32" s="422"/>
      <c r="G32" s="294"/>
      <c r="H32" s="348"/>
      <c r="I32" s="37" t="s">
        <v>16</v>
      </c>
      <c r="J32" s="323"/>
      <c r="K32" s="284">
        <f>COUNTA([27]Brewhouse!$A$36:$A$43)</f>
        <v>8</v>
      </c>
      <c r="L32" s="302">
        <f>AVERAGE([27]Brewhouse!$AY$36:$AY$43)</f>
        <v>98.453561717677275</v>
      </c>
      <c r="M32" s="302">
        <f>AVERAGE([27]Brewhouse!$AY$6:$AY$13,[27]Brewhouse!$AY$15:$AY$20,[27]Brewhouse!$AY$22:$AY$29,[27]Brewhouse!$AY$31:$AY$34,[27]Brewhouse!$AY$36:$AY$43)</f>
        <v>96.669752433914965</v>
      </c>
      <c r="N32" s="30">
        <v>98</v>
      </c>
      <c r="O32" s="11"/>
      <c r="P32" s="31" t="s">
        <v>41</v>
      </c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7" customHeight="1">
      <c r="A33" s="28"/>
      <c r="B33" s="483"/>
      <c r="C33" s="349"/>
      <c r="D33" s="486"/>
      <c r="E33" s="469"/>
      <c r="F33" s="294"/>
      <c r="G33" s="294"/>
      <c r="H33" s="348"/>
      <c r="I33" s="412" t="s">
        <v>158</v>
      </c>
      <c r="J33" s="326"/>
      <c r="K33" s="284"/>
      <c r="L33" s="305"/>
      <c r="M33" s="305">
        <f>AVERAGE([28]Brewhouse!$AU$5:$AU$8)</f>
        <v>91.006888337619571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7" customHeight="1">
      <c r="A34" s="28"/>
      <c r="B34" s="483"/>
      <c r="C34" s="349"/>
      <c r="D34" s="485"/>
      <c r="E34" s="474"/>
      <c r="F34" s="294"/>
      <c r="G34" s="294"/>
      <c r="H34" s="348"/>
      <c r="I34" s="411" t="s">
        <v>157</v>
      </c>
      <c r="J34" s="326"/>
      <c r="K34" s="284"/>
      <c r="L34" s="305"/>
      <c r="M34" s="305"/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customHeight="1" thickBot="1">
      <c r="A35" s="28"/>
      <c r="B35" s="483"/>
      <c r="C35" s="349"/>
      <c r="D35" s="486"/>
      <c r="E35" s="469"/>
      <c r="F35" s="294"/>
      <c r="G35" s="294"/>
      <c r="H35" s="348"/>
      <c r="I35" s="407" t="s">
        <v>156</v>
      </c>
      <c r="J35" s="327"/>
      <c r="K35" s="408"/>
      <c r="L35" s="409"/>
      <c r="M35" s="409"/>
      <c r="N35" s="41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483"/>
      <c r="C36" s="349"/>
      <c r="D36" s="485"/>
      <c r="E36" s="474"/>
      <c r="F36" s="294"/>
      <c r="G36" s="294"/>
      <c r="H36" s="348"/>
      <c r="I36" s="1"/>
      <c r="J36" s="39"/>
      <c r="K36" s="405">
        <f>SUM(K26:K35)</f>
        <v>82</v>
      </c>
      <c r="L36" s="406">
        <f>((L26*K26)+(L27*K27)+(L28*K28)+(L29*K29)+(L30*K30)+(K33*L33)+(L31*K31)+(L32*K32)+(L35*K35))/(K36)</f>
        <v>98.926374293509298</v>
      </c>
      <c r="M36" s="406">
        <f>AVERAGE('[29]Jan 31st'!$L$65,'[30]Feb 28th'!$L$35,'[31]Mar. 31st'!$L$35,'[32]Apr. 30th'!$L$45,L36)</f>
        <v>97.66608311658949</v>
      </c>
      <c r="N36" s="4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thickBot="1">
      <c r="B37" s="484"/>
      <c r="C37" s="350"/>
      <c r="D37" s="486"/>
      <c r="E37" s="469"/>
      <c r="F37" s="294"/>
      <c r="G37" s="42"/>
      <c r="H37" s="41"/>
      <c r="I37" s="42"/>
      <c r="J37" s="42"/>
      <c r="K37" s="351"/>
      <c r="L37" s="348"/>
      <c r="M37" s="348"/>
      <c r="N37" s="11"/>
      <c r="O37" s="294"/>
      <c r="P37" s="12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thickBot="1">
      <c r="B38" s="528"/>
      <c r="C38" s="362"/>
      <c r="D38" s="466"/>
      <c r="E38" s="467"/>
      <c r="F38" s="294"/>
      <c r="G38" s="42"/>
      <c r="H38" s="41"/>
      <c r="I38" s="42"/>
      <c r="J38" s="519" t="s">
        <v>129</v>
      </c>
      <c r="K38" s="519"/>
      <c r="L38" s="294"/>
      <c r="M38" s="294"/>
      <c r="N38" s="294"/>
      <c r="O38" s="294"/>
      <c r="P38" s="12"/>
    </row>
    <row r="39" spans="1:56" ht="13.5" customHeight="1" thickBot="1">
      <c r="B39" s="521"/>
      <c r="C39" s="349"/>
      <c r="D39" s="468"/>
      <c r="E39" s="469"/>
      <c r="F39" s="294"/>
      <c r="G39" s="42"/>
      <c r="H39" s="41"/>
      <c r="I39" s="41"/>
      <c r="J39" s="292" t="s">
        <v>17</v>
      </c>
      <c r="K39" s="293" t="s">
        <v>147</v>
      </c>
      <c r="L39" s="471" t="s">
        <v>136</v>
      </c>
      <c r="M39" s="471"/>
      <c r="N39" s="472"/>
      <c r="O39" s="294"/>
      <c r="P39" s="12"/>
    </row>
    <row r="40" spans="1:56" ht="15" customHeight="1" thickBot="1">
      <c r="B40" s="521"/>
      <c r="C40" s="349"/>
      <c r="D40" s="473"/>
      <c r="E40" s="474"/>
      <c r="F40" s="294"/>
      <c r="G40" s="42"/>
      <c r="H40" s="41"/>
      <c r="I40" s="41"/>
      <c r="J40" s="287" t="s">
        <v>6</v>
      </c>
      <c r="K40" s="324">
        <v>1</v>
      </c>
      <c r="L40" s="343" t="s">
        <v>37</v>
      </c>
      <c r="M40" s="307" t="s">
        <v>38</v>
      </c>
      <c r="N40" s="307" t="s">
        <v>84</v>
      </c>
      <c r="O40" s="294"/>
      <c r="P40" s="12"/>
    </row>
    <row r="41" spans="1:56" ht="15.75" customHeight="1" thickBot="1">
      <c r="B41" s="521"/>
      <c r="C41" s="349"/>
      <c r="D41" s="468"/>
      <c r="E41" s="469"/>
      <c r="F41" s="294"/>
      <c r="G41" s="42"/>
      <c r="H41" s="41"/>
      <c r="I41" s="41"/>
      <c r="J41" s="345" t="s">
        <v>9</v>
      </c>
      <c r="K41" s="324">
        <f>COUNTA(B10:B18)</f>
        <v>9</v>
      </c>
      <c r="L41" s="344">
        <f>AVERAGE('May 2nd -4th'!I70,'May 2nd -4th'!K70,'May 5th'!K77,'May 6th'!K60,'May 7th'!K57,'May 8th'!K53,'May 9th-10th'!I60,'May 9th-10th'!K60,'May 12th'!K43,'May 13th'!K45,K50)</f>
        <v>7.4545454545454541</v>
      </c>
      <c r="M41" s="325">
        <f>AVERAGE('[29]Jan 29th '!$M$70,'[30]Feb 28th'!$L$40,'[31]Mar. 31st'!$L$40,'[32]Apr. 30th'!$L$50,L41)</f>
        <v>6.680063414846023</v>
      </c>
      <c r="N41" s="420">
        <v>9.1999999999999993</v>
      </c>
      <c r="O41" s="294"/>
      <c r="P41" s="12"/>
    </row>
    <row r="42" spans="1:56" ht="15" customHeight="1">
      <c r="B42" s="521"/>
      <c r="C42" s="349"/>
      <c r="D42" s="473"/>
      <c r="E42" s="474"/>
      <c r="F42" s="294"/>
      <c r="G42" s="42"/>
      <c r="H42" s="41"/>
      <c r="I42" s="41"/>
      <c r="J42" s="288" t="s">
        <v>40</v>
      </c>
      <c r="K42" s="324"/>
      <c r="L42" s="294"/>
      <c r="M42" s="294"/>
      <c r="N42" s="294"/>
      <c r="O42" s="294"/>
      <c r="P42" s="12"/>
    </row>
    <row r="43" spans="1:56" ht="15" customHeight="1">
      <c r="B43" s="521"/>
      <c r="C43" s="349"/>
      <c r="D43" s="468"/>
      <c r="E43" s="469"/>
      <c r="F43" s="294"/>
      <c r="G43" s="42"/>
      <c r="H43" s="41"/>
      <c r="I43" s="41"/>
      <c r="J43" s="289" t="s">
        <v>33</v>
      </c>
      <c r="K43" s="324"/>
      <c r="L43" s="294"/>
      <c r="M43" s="294"/>
      <c r="N43" s="294"/>
      <c r="O43" s="294"/>
      <c r="P43" s="12"/>
    </row>
    <row r="44" spans="1:56" ht="14.4">
      <c r="B44" s="521"/>
      <c r="C44" s="349"/>
      <c r="D44" s="473"/>
      <c r="E44" s="474"/>
      <c r="F44" s="294"/>
      <c r="G44" s="42"/>
      <c r="H44" s="41"/>
      <c r="I44" s="41"/>
      <c r="J44" s="290" t="s">
        <v>16</v>
      </c>
      <c r="K44" s="324"/>
      <c r="L44" s="294"/>
      <c r="M44" s="294"/>
      <c r="N44" s="294"/>
      <c r="O44" s="294"/>
      <c r="P44" s="12"/>
      <c r="BC44" s="44"/>
      <c r="BD44" s="44"/>
    </row>
    <row r="45" spans="1:56" ht="14.4">
      <c r="B45" s="521"/>
      <c r="C45" s="349"/>
      <c r="D45" s="468"/>
      <c r="E45" s="469"/>
      <c r="F45" s="294"/>
      <c r="G45" s="42"/>
      <c r="H45" s="41"/>
      <c r="I45" s="41"/>
      <c r="J45" s="291" t="s">
        <v>15</v>
      </c>
      <c r="K45" s="324"/>
      <c r="L45" s="294"/>
      <c r="M45" s="294"/>
      <c r="N45" s="294"/>
      <c r="O45" s="294"/>
      <c r="P45" s="12"/>
      <c r="BC45" s="44"/>
      <c r="BD45" s="44"/>
    </row>
    <row r="46" spans="1:56" ht="14.4">
      <c r="B46" s="521"/>
      <c r="C46" s="349"/>
      <c r="D46" s="475"/>
      <c r="E46" s="476"/>
      <c r="F46" s="294"/>
      <c r="G46" s="42"/>
      <c r="H46" s="41"/>
      <c r="I46" s="41"/>
      <c r="J46" s="291" t="s">
        <v>149</v>
      </c>
      <c r="K46" s="324"/>
      <c r="L46" s="294"/>
      <c r="M46" s="294"/>
      <c r="N46" s="294"/>
      <c r="O46" s="294"/>
      <c r="P46" s="12"/>
      <c r="BC46" s="44"/>
      <c r="BD46" s="44"/>
    </row>
    <row r="47" spans="1:56" ht="15" thickBot="1">
      <c r="B47" s="522"/>
      <c r="C47" s="350"/>
      <c r="D47" s="477"/>
      <c r="E47" s="478"/>
      <c r="F47" s="294"/>
      <c r="G47" s="42"/>
      <c r="H47" s="41"/>
      <c r="I47" s="41"/>
      <c r="J47" s="291" t="s">
        <v>148</v>
      </c>
      <c r="K47" s="324"/>
      <c r="L47" s="294"/>
      <c r="M47" s="294"/>
      <c r="N47" s="294"/>
      <c r="O47" s="294"/>
      <c r="P47" s="12"/>
      <c r="BC47" s="44"/>
      <c r="BD47" s="44"/>
    </row>
    <row r="48" spans="1:56" ht="17.7" customHeight="1" thickBot="1">
      <c r="B48" s="312" t="s">
        <v>139</v>
      </c>
      <c r="C48" s="313"/>
      <c r="D48" s="457" t="e">
        <f>AVERAGE(D26:E47)</f>
        <v>#DIV/0!</v>
      </c>
      <c r="E48" s="458"/>
      <c r="F48" s="294"/>
      <c r="G48" s="42"/>
      <c r="H48" s="41"/>
      <c r="I48" s="41"/>
      <c r="J48" s="295" t="s">
        <v>134</v>
      </c>
      <c r="K48" s="324"/>
      <c r="L48" s="294"/>
      <c r="M48" s="294"/>
      <c r="N48" s="294"/>
      <c r="O48" s="294"/>
      <c r="P48" s="12"/>
      <c r="BC48" s="44"/>
      <c r="BD48" s="44"/>
    </row>
    <row r="49" spans="2:57" ht="17.7" customHeight="1">
      <c r="B49" s="363"/>
      <c r="C49" s="364"/>
      <c r="D49" s="365"/>
      <c r="E49" s="365"/>
      <c r="F49" s="294"/>
      <c r="G49" s="42"/>
      <c r="H49" s="41"/>
      <c r="I49" s="41"/>
      <c r="J49" s="295" t="s">
        <v>131</v>
      </c>
      <c r="K49" s="324"/>
      <c r="L49" s="294"/>
      <c r="M49" s="294"/>
      <c r="N49" s="294"/>
      <c r="O49" s="294"/>
      <c r="P49" s="12"/>
      <c r="BC49" s="44"/>
      <c r="BD49" s="44"/>
    </row>
    <row r="50" spans="2:57" ht="15.75" customHeight="1">
      <c r="B50" s="45"/>
      <c r="C50" s="11"/>
      <c r="D50" s="11"/>
      <c r="E50" s="46"/>
      <c r="F50" s="294"/>
      <c r="G50" s="42"/>
      <c r="H50" s="41"/>
      <c r="I50" s="41"/>
      <c r="J50" s="346" t="s">
        <v>130</v>
      </c>
      <c r="K50" s="324">
        <f>SUM(K40:K49)</f>
        <v>10</v>
      </c>
      <c r="L50" s="294"/>
      <c r="M50" s="294"/>
      <c r="N50" s="294"/>
      <c r="O50" s="294"/>
      <c r="P50" s="12"/>
    </row>
    <row r="51" spans="2:57" ht="20.25" customHeight="1">
      <c r="B51" s="15" t="s">
        <v>42</v>
      </c>
      <c r="C51" s="1" t="s">
        <v>43</v>
      </c>
      <c r="D51" s="1"/>
      <c r="E51" s="1"/>
      <c r="F51" s="294"/>
      <c r="G51" s="42"/>
      <c r="H51" s="41"/>
      <c r="I51" s="42"/>
      <c r="L51" s="294"/>
      <c r="P51" s="334"/>
    </row>
    <row r="52" spans="2:57" ht="15" customHeight="1" thickBot="1"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8"/>
      <c r="O52" s="48"/>
      <c r="P52" s="49"/>
    </row>
    <row r="53" spans="2:57" ht="15" customHeight="1" thickBot="1">
      <c r="B53" s="447" t="s">
        <v>17</v>
      </c>
      <c r="C53" s="447" t="s">
        <v>44</v>
      </c>
      <c r="D53" s="459" t="s">
        <v>45</v>
      </c>
      <c r="E53" s="461" t="s">
        <v>46</v>
      </c>
      <c r="F53" s="455" t="s">
        <v>47</v>
      </c>
      <c r="G53" s="445" t="s">
        <v>48</v>
      </c>
      <c r="H53" s="447" t="s">
        <v>49</v>
      </c>
      <c r="I53" s="447" t="s">
        <v>50</v>
      </c>
      <c r="J53" s="439" t="s">
        <v>28</v>
      </c>
      <c r="K53" s="451" t="s">
        <v>51</v>
      </c>
      <c r="L53" s="453" t="s">
        <v>52</v>
      </c>
      <c r="M53" s="439" t="s">
        <v>53</v>
      </c>
      <c r="N53" s="13"/>
      <c r="O53" s="13"/>
      <c r="P53" s="50"/>
    </row>
    <row r="54" spans="2:57" ht="28.5" customHeight="1" thickTop="1" thickBot="1">
      <c r="B54" s="448"/>
      <c r="C54" s="448"/>
      <c r="D54" s="460"/>
      <c r="E54" s="462"/>
      <c r="F54" s="456"/>
      <c r="G54" s="446"/>
      <c r="H54" s="448"/>
      <c r="I54" s="448"/>
      <c r="J54" s="440"/>
      <c r="K54" s="452"/>
      <c r="L54" s="454"/>
      <c r="M54" s="440"/>
      <c r="N54" s="13"/>
      <c r="O54" s="13"/>
      <c r="P54" s="50"/>
      <c r="Q54" s="355"/>
      <c r="AB54" s="51">
        <v>43474</v>
      </c>
      <c r="AC54" s="51">
        <v>43475</v>
      </c>
      <c r="AD54" s="51">
        <v>43476</v>
      </c>
      <c r="AE54" s="51">
        <v>43477</v>
      </c>
      <c r="AF54" s="51">
        <v>43478</v>
      </c>
      <c r="AG54" s="51">
        <v>43479</v>
      </c>
      <c r="AH54" s="51">
        <v>43480</v>
      </c>
      <c r="AI54" s="51">
        <v>43481</v>
      </c>
      <c r="AJ54" s="51">
        <v>43482</v>
      </c>
      <c r="AK54" s="51">
        <v>43483</v>
      </c>
      <c r="AL54" s="51">
        <v>43484</v>
      </c>
      <c r="AM54" s="51">
        <v>43485</v>
      </c>
      <c r="AN54" s="51">
        <v>43486</v>
      </c>
      <c r="AO54" s="51">
        <v>43487</v>
      </c>
      <c r="AP54" s="51">
        <v>43488</v>
      </c>
      <c r="AQ54" s="51">
        <v>43489</v>
      </c>
      <c r="AR54" s="51">
        <v>43490</v>
      </c>
      <c r="AS54" s="51">
        <v>43491</v>
      </c>
      <c r="AT54" s="51">
        <v>43492</v>
      </c>
      <c r="AU54" s="51">
        <v>43493</v>
      </c>
      <c r="AV54" s="51">
        <v>43494</v>
      </c>
      <c r="AW54" s="51">
        <v>43495</v>
      </c>
      <c r="AX54" s="51">
        <v>43496</v>
      </c>
    </row>
    <row r="55" spans="2:57" s="54" customFormat="1" ht="53.25" customHeight="1">
      <c r="B55" s="430"/>
      <c r="C55" s="283"/>
      <c r="D55" s="279"/>
      <c r="E55" s="279"/>
      <c r="F55" s="279"/>
      <c r="G55" s="279"/>
      <c r="H55" s="320"/>
      <c r="I55" s="322"/>
      <c r="J55" s="281"/>
      <c r="K55" s="416"/>
      <c r="L55" s="314"/>
      <c r="M55" s="426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57" t="e">
        <f>[20]January_2019!L7</f>
        <v>#REF!</v>
      </c>
      <c r="AC55" s="57" t="e">
        <f>[20]January_2019!M7</f>
        <v>#REF!</v>
      </c>
      <c r="AD55" s="57" t="e">
        <f>[20]January_2019!N7</f>
        <v>#REF!</v>
      </c>
      <c r="AE55" s="57" t="e">
        <f>[20]January_2019!O7</f>
        <v>#REF!</v>
      </c>
      <c r="AF55" s="57" t="e">
        <f>[20]January_2019!P7</f>
        <v>#REF!</v>
      </c>
      <c r="AG55" s="57" t="e">
        <f>[20]January_2019!Q7</f>
        <v>#REF!</v>
      </c>
      <c r="AH55" s="57" t="e">
        <f>[20]January_2019!R7</f>
        <v>#REF!</v>
      </c>
      <c r="AI55" s="57" t="e">
        <f>[20]January_2019!S7</f>
        <v>#REF!</v>
      </c>
      <c r="AJ55" s="57" t="e">
        <f>[20]January_2019!T7</f>
        <v>#REF!</v>
      </c>
      <c r="AK55" s="57" t="e">
        <f>[20]January_2019!U7</f>
        <v>#REF!</v>
      </c>
      <c r="AL55" s="57" t="e">
        <f>[20]January_2019!V7</f>
        <v>#REF!</v>
      </c>
      <c r="AM55" s="57" t="e">
        <f>[20]January_2019!W7</f>
        <v>#REF!</v>
      </c>
      <c r="AN55" s="57" t="e">
        <f>[20]January_2019!X7</f>
        <v>#REF!</v>
      </c>
      <c r="AO55" s="57" t="e">
        <f>[20]January_2019!Y7</f>
        <v>#REF!</v>
      </c>
      <c r="AP55" s="57" t="e">
        <f>[20]January_2019!Z7</f>
        <v>#REF!</v>
      </c>
      <c r="AQ55" s="57" t="e">
        <f>[20]January_2019!AA7</f>
        <v>#REF!</v>
      </c>
      <c r="AR55" s="57" t="e">
        <f>[20]January_2019!AB7</f>
        <v>#REF!</v>
      </c>
      <c r="AS55" s="57" t="e">
        <f>[20]January_2019!AC7</f>
        <v>#REF!</v>
      </c>
      <c r="AT55" s="57" t="e">
        <f>[20]January_2019!AD7</f>
        <v>#REF!</v>
      </c>
      <c r="AU55" s="57" t="e">
        <f>[20]January_2019!AE7</f>
        <v>#REF!</v>
      </c>
      <c r="AV55" s="57" t="e">
        <f>[20]January_2019!AF7</f>
        <v>#REF!</v>
      </c>
      <c r="AW55" s="57" t="e">
        <f>[20]January_2019!AG7</f>
        <v>#REF!</v>
      </c>
      <c r="AX55" s="277" t="e">
        <f>[20]January_2019!AH7</f>
        <v>#REF!</v>
      </c>
      <c r="AY55" s="277"/>
      <c r="AZ55" s="277"/>
      <c r="BA55" s="277"/>
      <c r="BB55" s="277"/>
      <c r="BC55" s="277"/>
      <c r="BD55" s="277"/>
      <c r="BE55" s="277"/>
    </row>
    <row r="56" spans="2:57" s="54" customFormat="1" ht="16.5" customHeight="1">
      <c r="B56" s="415"/>
      <c r="C56" s="283"/>
      <c r="D56" s="377"/>
      <c r="E56" s="378"/>
      <c r="F56" s="379"/>
      <c r="G56" s="303"/>
      <c r="H56" s="320"/>
      <c r="I56" s="322"/>
      <c r="J56" s="398"/>
      <c r="K56" s="286"/>
      <c r="L56" s="314"/>
      <c r="M56" s="419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  <c r="AO56" s="418"/>
      <c r="AP56" s="418"/>
      <c r="AQ56" s="418"/>
      <c r="AR56" s="418"/>
      <c r="AS56" s="418"/>
      <c r="AT56" s="418"/>
      <c r="AU56" s="418"/>
      <c r="AV56" s="418"/>
      <c r="AW56" s="418"/>
    </row>
    <row r="57" spans="2:57" s="54" customFormat="1" ht="51" customHeight="1">
      <c r="B57" s="431"/>
      <c r="C57" s="283"/>
      <c r="D57" s="377"/>
      <c r="E57" s="378"/>
      <c r="F57" s="379"/>
      <c r="G57" s="303"/>
      <c r="H57" s="320"/>
      <c r="I57" s="322"/>
      <c r="J57" s="281"/>
      <c r="K57" s="286"/>
      <c r="L57" s="314"/>
      <c r="M57" s="419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  <c r="AO57" s="418"/>
      <c r="AP57" s="418"/>
      <c r="AQ57" s="418"/>
      <c r="AR57" s="418"/>
      <c r="AS57" s="418"/>
      <c r="AT57" s="418"/>
      <c r="AU57" s="418"/>
      <c r="AV57" s="418"/>
      <c r="AW57" s="418"/>
    </row>
    <row r="58" spans="2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6"/>
      <c r="P58" s="60"/>
    </row>
    <row r="59" spans="2:57" ht="14.4" thickBot="1">
      <c r="B59" s="441" t="s">
        <v>55</v>
      </c>
      <c r="C59" s="442"/>
      <c r="D59" s="442"/>
      <c r="E59" s="442"/>
      <c r="F59" s="443"/>
      <c r="G59" s="441" t="s">
        <v>56</v>
      </c>
      <c r="H59" s="442"/>
      <c r="I59" s="442"/>
      <c r="J59" s="443"/>
      <c r="K59" s="441" t="s">
        <v>51</v>
      </c>
      <c r="L59" s="442"/>
      <c r="M59" s="442"/>
      <c r="N59" s="444"/>
      <c r="O59" s="56"/>
      <c r="P59" s="50"/>
    </row>
    <row r="60" spans="2:57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/>
      <c r="L60" s="62" t="s">
        <v>37</v>
      </c>
      <c r="M60" s="62" t="s">
        <v>38</v>
      </c>
      <c r="N60" s="63" t="s">
        <v>39</v>
      </c>
      <c r="O60" s="56"/>
      <c r="P60" s="64"/>
    </row>
    <row r="61" spans="2:57">
      <c r="B61" s="29" t="s">
        <v>6</v>
      </c>
      <c r="C61" s="65"/>
      <c r="D61" s="76">
        <v>5.1029678982435289</v>
      </c>
      <c r="E61" s="76">
        <v>6.9687914928340557</v>
      </c>
      <c r="F61" s="66">
        <v>4.8</v>
      </c>
      <c r="G61" s="65"/>
      <c r="H61" s="76">
        <v>4.0305043051635918</v>
      </c>
      <c r="I61" s="76">
        <v>6.9242793069199937</v>
      </c>
      <c r="J61" s="66">
        <v>4.8</v>
      </c>
      <c r="K61" s="67"/>
      <c r="L61" s="194">
        <v>1.0851461988304094</v>
      </c>
      <c r="M61" s="194">
        <v>0.77725437836036171</v>
      </c>
      <c r="N61" s="68">
        <v>1</v>
      </c>
      <c r="O61" s="56"/>
      <c r="P61" s="69"/>
    </row>
    <row r="62" spans="2:57">
      <c r="B62" s="33" t="s">
        <v>9</v>
      </c>
      <c r="C62" s="65"/>
      <c r="D62" s="76">
        <v>5.4863941831001624</v>
      </c>
      <c r="E62" s="76">
        <v>6.0466248242515723</v>
      </c>
      <c r="F62" s="66">
        <v>4.8</v>
      </c>
      <c r="G62" s="65"/>
      <c r="H62" s="76">
        <v>4.1755560913734726</v>
      </c>
      <c r="I62" s="76">
        <v>6.3497243838286446</v>
      </c>
      <c r="J62" s="66">
        <v>4.8</v>
      </c>
      <c r="K62" s="67"/>
      <c r="L62" s="194">
        <v>0.61318713450292395</v>
      </c>
      <c r="M62" s="194">
        <v>0.74352497019151897</v>
      </c>
      <c r="N62" s="68">
        <v>1</v>
      </c>
      <c r="P62" s="69"/>
    </row>
    <row r="63" spans="2:57">
      <c r="B63" s="34" t="s">
        <v>40</v>
      </c>
      <c r="C63" s="65"/>
      <c r="D63" s="76"/>
      <c r="E63" s="76">
        <v>12.554572931825788</v>
      </c>
      <c r="F63" s="66">
        <v>5.5</v>
      </c>
      <c r="G63" s="65"/>
      <c r="H63" s="76"/>
      <c r="I63" s="76">
        <v>13.449891307585697</v>
      </c>
      <c r="J63" s="66">
        <v>5.5</v>
      </c>
      <c r="K63" s="67"/>
      <c r="L63" s="194"/>
      <c r="M63" s="194">
        <v>0.54554653679653675</v>
      </c>
      <c r="N63" s="68">
        <v>1</v>
      </c>
      <c r="P63" s="69"/>
    </row>
    <row r="64" spans="2:57">
      <c r="B64" s="22" t="s">
        <v>33</v>
      </c>
      <c r="C64" s="65"/>
      <c r="D64" s="76">
        <v>3.4057735971456373</v>
      </c>
      <c r="E64" s="76">
        <v>1.6190544721882421</v>
      </c>
      <c r="F64" s="66">
        <v>3.3</v>
      </c>
      <c r="G64" s="65"/>
      <c r="H64" s="76">
        <v>2.1612156300633463</v>
      </c>
      <c r="I64" s="76">
        <v>4.4964752224031521</v>
      </c>
      <c r="J64" s="66">
        <v>3.3</v>
      </c>
      <c r="K64" s="67"/>
      <c r="L64" s="194">
        <v>1.0449122807017543</v>
      </c>
      <c r="M64" s="194">
        <v>0.90649122807017535</v>
      </c>
      <c r="N64" s="68">
        <v>1</v>
      </c>
      <c r="P64" s="69"/>
    </row>
    <row r="65" spans="2:16">
      <c r="B65" s="35" t="s">
        <v>29</v>
      </c>
      <c r="C65" s="65"/>
      <c r="D65" s="76"/>
      <c r="E65" s="76"/>
      <c r="F65" s="66">
        <v>3.3</v>
      </c>
      <c r="G65" s="282"/>
      <c r="H65" s="76"/>
      <c r="I65" s="76"/>
      <c r="J65" s="66">
        <v>3</v>
      </c>
      <c r="L65" s="194"/>
      <c r="M65" s="194"/>
      <c r="N65" s="68">
        <v>1</v>
      </c>
      <c r="P65" s="69"/>
    </row>
    <row r="66" spans="2:16">
      <c r="B66" s="36" t="s">
        <v>15</v>
      </c>
      <c r="C66" s="282"/>
      <c r="D66" s="76"/>
      <c r="E66" s="76">
        <v>7.8262258425171876</v>
      </c>
      <c r="F66" s="70">
        <f>[21]May_2022!$M$43</f>
        <v>3.4878406700073312</v>
      </c>
      <c r="G66" s="282"/>
      <c r="H66" s="76"/>
      <c r="I66" s="76">
        <v>9.4300678869947632</v>
      </c>
      <c r="J66" s="66">
        <v>5.5</v>
      </c>
      <c r="K66" s="67"/>
      <c r="L66" s="194"/>
      <c r="M66" s="194">
        <v>0.674970760233918</v>
      </c>
      <c r="N66" s="68">
        <v>1</v>
      </c>
      <c r="P66" s="69"/>
    </row>
    <row r="67" spans="2:16">
      <c r="B67" s="37" t="s">
        <v>16</v>
      </c>
      <c r="C67" s="65"/>
      <c r="D67" s="76">
        <v>3.8832609744331941</v>
      </c>
      <c r="E67" s="76">
        <v>2.4852159592783925</v>
      </c>
      <c r="F67" s="66">
        <v>3.3</v>
      </c>
      <c r="G67" s="282"/>
      <c r="H67" s="76">
        <v>4.1755914731086534</v>
      </c>
      <c r="I67" s="76">
        <v>4.4843055604984379</v>
      </c>
      <c r="J67" s="66">
        <v>3.3</v>
      </c>
      <c r="K67" s="67"/>
      <c r="L67" s="194">
        <v>0.69912280701754381</v>
      </c>
      <c r="M67" s="194">
        <v>0.79924705882352942</v>
      </c>
      <c r="N67" s="71">
        <v>1</v>
      </c>
      <c r="P67" s="69"/>
    </row>
    <row r="68" spans="2:16" ht="14.4" thickBot="1">
      <c r="B68" s="38" t="s">
        <v>127</v>
      </c>
      <c r="C68" s="65"/>
      <c r="D68" s="76"/>
      <c r="E68" s="76"/>
      <c r="F68" s="66">
        <v>7.5</v>
      </c>
      <c r="G68" s="282"/>
      <c r="H68" s="76"/>
      <c r="I68" s="76"/>
      <c r="J68" s="66">
        <v>7.5</v>
      </c>
      <c r="K68" s="67"/>
      <c r="L68" s="194"/>
      <c r="M68" s="194"/>
      <c r="N68" s="71">
        <v>1</v>
      </c>
      <c r="P68" s="69"/>
    </row>
    <row r="69" spans="2:16" ht="14.4" thickBot="1">
      <c r="B69" s="417" t="s">
        <v>161</v>
      </c>
      <c r="C69" s="65"/>
      <c r="D69" s="76"/>
      <c r="E69" s="76">
        <v>4.8792508624938291</v>
      </c>
      <c r="F69" s="66">
        <v>4.8</v>
      </c>
      <c r="G69" s="282"/>
      <c r="H69" s="76"/>
      <c r="I69" s="76">
        <v>6.2003723782925313</v>
      </c>
      <c r="J69" s="66">
        <v>4.8</v>
      </c>
      <c r="K69" s="67"/>
      <c r="L69" s="194"/>
      <c r="M69" s="194">
        <v>0.33859649122807017</v>
      </c>
      <c r="N69" s="71">
        <v>1</v>
      </c>
      <c r="O69" s="74"/>
      <c r="P69" s="75"/>
    </row>
    <row r="70" spans="2:16">
      <c r="D70" s="76">
        <v>4.4741587560818088</v>
      </c>
      <c r="E70" s="76">
        <v>6.5821095866187589</v>
      </c>
      <c r="F70" s="341">
        <v>5.5</v>
      </c>
      <c r="H70" s="76">
        <v>3.849089157939324</v>
      </c>
      <c r="I70" s="76">
        <v>7.187202401294833</v>
      </c>
      <c r="J70" s="341">
        <v>5.5</v>
      </c>
      <c r="K70" s="67"/>
      <c r="L70" s="194">
        <v>0.86562134502923971</v>
      </c>
      <c r="M70" s="194">
        <v>0.74813383131030187</v>
      </c>
      <c r="N70" s="386">
        <v>1</v>
      </c>
    </row>
    <row r="74" spans="2:16">
      <c r="F74" s="315"/>
    </row>
  </sheetData>
  <mergeCells count="51">
    <mergeCell ref="M53:M54"/>
    <mergeCell ref="B59:F59"/>
    <mergeCell ref="G59:J59"/>
    <mergeCell ref="K59:N59"/>
    <mergeCell ref="G53:G54"/>
    <mergeCell ref="H53:H54"/>
    <mergeCell ref="I53:I54"/>
    <mergeCell ref="J53:J54"/>
    <mergeCell ref="K53:K54"/>
    <mergeCell ref="L53:L54"/>
    <mergeCell ref="F53:F54"/>
    <mergeCell ref="D48:E48"/>
    <mergeCell ref="B53:B54"/>
    <mergeCell ref="C53:C54"/>
    <mergeCell ref="D53:D54"/>
    <mergeCell ref="E53:E54"/>
    <mergeCell ref="B38:B47"/>
    <mergeCell ref="D38:E39"/>
    <mergeCell ref="J38:K38"/>
    <mergeCell ref="L39:N39"/>
    <mergeCell ref="D40:E41"/>
    <mergeCell ref="D42:E43"/>
    <mergeCell ref="D44:E45"/>
    <mergeCell ref="D46:E47"/>
    <mergeCell ref="I24:N24"/>
    <mergeCell ref="D25:E25"/>
    <mergeCell ref="B26:B37"/>
    <mergeCell ref="D26:E27"/>
    <mergeCell ref="D28:E29"/>
    <mergeCell ref="D30:E31"/>
    <mergeCell ref="D32:E33"/>
    <mergeCell ref="D34:E35"/>
    <mergeCell ref="D36:E37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8:B49">
    <cfRule type="cellIs" dxfId="1349" priority="108" operator="notBetween">
      <formula>#REF!</formula>
      <formula>#REF!</formula>
    </cfRule>
  </conditionalFormatting>
  <conditionalFormatting sqref="C52">
    <cfRule type="cellIs" dxfId="1348" priority="140" stopIfTrue="1" operator="greaterThan">
      <formula>100</formula>
    </cfRule>
    <cfRule type="cellIs" dxfId="1347" priority="139" stopIfTrue="1" operator="lessThan">
      <formula>96</formula>
    </cfRule>
  </conditionalFormatting>
  <conditionalFormatting sqref="C61:C62">
    <cfRule type="cellIs" dxfId="1346" priority="84" stopIfTrue="1" operator="lessThanOrEqual">
      <formula>0</formula>
    </cfRule>
  </conditionalFormatting>
  <conditionalFormatting sqref="C61:C65">
    <cfRule type="cellIs" dxfId="1345" priority="83" stopIfTrue="1" operator="greaterThan">
      <formula>$F61</formula>
    </cfRule>
  </conditionalFormatting>
  <conditionalFormatting sqref="C62">
    <cfRule type="cellIs" dxfId="1344" priority="143" stopIfTrue="1" operator="greaterThan">
      <formula>$F61</formula>
    </cfRule>
  </conditionalFormatting>
  <conditionalFormatting sqref="C63:C66">
    <cfRule type="cellIs" dxfId="1343" priority="92" stopIfTrue="1" operator="lessThanOrEqual">
      <formula>0</formula>
    </cfRule>
  </conditionalFormatting>
  <conditionalFormatting sqref="C66">
    <cfRule type="cellIs" dxfId="1342" priority="91" stopIfTrue="1" operator="greaterThan">
      <formula>$J66</formula>
    </cfRule>
  </conditionalFormatting>
  <conditionalFormatting sqref="C72:C76">
    <cfRule type="cellIs" dxfId="1341" priority="131" stopIfTrue="1" operator="lessThanOrEqual">
      <formula>0</formula>
    </cfRule>
  </conditionalFormatting>
  <conditionalFormatting sqref="C73:C76">
    <cfRule type="cellIs" dxfId="1340" priority="130" stopIfTrue="1" operator="greaterThan">
      <formula>$F$72</formula>
    </cfRule>
  </conditionalFormatting>
  <conditionalFormatting sqref="C78">
    <cfRule type="cellIs" dxfId="1339" priority="133" stopIfTrue="1" operator="lessThanOrEqual">
      <formula>0</formula>
    </cfRule>
    <cfRule type="cellIs" dxfId="1338" priority="132" stopIfTrue="1" operator="greaterThan">
      <formula>$F$72</formula>
    </cfRule>
  </conditionalFormatting>
  <conditionalFormatting sqref="C72:D72 D74:D80">
    <cfRule type="cellIs" dxfId="1337" priority="125" stopIfTrue="1" operator="greaterThan">
      <formula>4.5</formula>
    </cfRule>
  </conditionalFormatting>
  <conditionalFormatting sqref="D48:D49">
    <cfRule type="cellIs" dxfId="1336" priority="109" operator="notBetween">
      <formula>#REF!</formula>
      <formula>#REF!</formula>
    </cfRule>
  </conditionalFormatting>
  <conditionalFormatting sqref="D61:D68">
    <cfRule type="cellIs" dxfId="1335" priority="102" stopIfTrue="1" operator="lessThanOrEqual">
      <formula>0</formula>
    </cfRule>
  </conditionalFormatting>
  <conditionalFormatting sqref="D69">
    <cfRule type="cellIs" dxfId="1334" priority="101" stopIfTrue="1" operator="lessThanOrEqual">
      <formula>0</formula>
    </cfRule>
  </conditionalFormatting>
  <conditionalFormatting sqref="D72 D74:D80">
    <cfRule type="cellIs" dxfId="1333" priority="126" stopIfTrue="1" operator="lessThanOrEqual">
      <formula>0</formula>
    </cfRule>
  </conditionalFormatting>
  <conditionalFormatting sqref="D73">
    <cfRule type="cellIs" dxfId="1332" priority="117" stopIfTrue="1" operator="greaterThan">
      <formula>$F$72</formula>
    </cfRule>
    <cfRule type="cellIs" dxfId="1331" priority="118" stopIfTrue="1" operator="lessThanOrEqual">
      <formula>0</formula>
    </cfRule>
  </conditionalFormatting>
  <conditionalFormatting sqref="D61:E70">
    <cfRule type="cellIs" dxfId="1330" priority="80" stopIfTrue="1" operator="greaterThan">
      <formula>$F61</formula>
    </cfRule>
  </conditionalFormatting>
  <conditionalFormatting sqref="D70:E70">
    <cfRule type="cellIs" dxfId="1329" priority="81" stopIfTrue="1" operator="lessThanOrEqual">
      <formula>0</formula>
    </cfRule>
  </conditionalFormatting>
  <conditionalFormatting sqref="E10:E23">
    <cfRule type="cellIs" dxfId="1328" priority="2" operator="lessThan">
      <formula>48</formula>
    </cfRule>
  </conditionalFormatting>
  <conditionalFormatting sqref="E51 E52:F52">
    <cfRule type="cellIs" dxfId="1327" priority="122" stopIfTrue="1" operator="greaterThan">
      <formula>100</formula>
    </cfRule>
  </conditionalFormatting>
  <conditionalFormatting sqref="E52">
    <cfRule type="cellIs" dxfId="1326" priority="120" stopIfTrue="1" operator="greaterThan">
      <formula>100</formula>
    </cfRule>
    <cfRule type="cellIs" dxfId="1325" priority="119" stopIfTrue="1" operator="lessThan">
      <formula>96.8</formula>
    </cfRule>
  </conditionalFormatting>
  <conditionalFormatting sqref="E61:E69">
    <cfRule type="cellIs" dxfId="1324" priority="96" stopIfTrue="1" operator="lessThanOrEqual">
      <formula>0</formula>
    </cfRule>
  </conditionalFormatting>
  <conditionalFormatting sqref="E72:E80">
    <cfRule type="cellIs" dxfId="1323" priority="111" stopIfTrue="1" operator="greaterThan">
      <formula>4.5</formula>
    </cfRule>
    <cfRule type="cellIs" dxfId="1322" priority="112" stopIfTrue="1" operator="lessThanOrEqual">
      <formula>0</formula>
    </cfRule>
  </conditionalFormatting>
  <conditionalFormatting sqref="E52:F52 E51">
    <cfRule type="cellIs" dxfId="1321" priority="121" stopIfTrue="1" operator="lessThan">
      <formula>96.5</formula>
    </cfRule>
  </conditionalFormatting>
  <conditionalFormatting sqref="F10:F23">
    <cfRule type="cellIs" dxfId="1320" priority="3" operator="greaterThan">
      <formula>60</formula>
    </cfRule>
  </conditionalFormatting>
  <conditionalFormatting sqref="F52">
    <cfRule type="cellIs" dxfId="1319" priority="138" stopIfTrue="1" operator="greaterThan">
      <formula>100</formula>
    </cfRule>
    <cfRule type="cellIs" dxfId="1318" priority="137" stopIfTrue="1" operator="lessThan">
      <formula>96.8</formula>
    </cfRule>
  </conditionalFormatting>
  <conditionalFormatting sqref="F70">
    <cfRule type="cellIs" dxfId="1317" priority="97" stopIfTrue="1" operator="greaterThan">
      <formula>$F70</formula>
    </cfRule>
    <cfRule type="cellIs" dxfId="1316" priority="98" stopIfTrue="1" operator="lessThanOrEqual">
      <formula>0</formula>
    </cfRule>
  </conditionalFormatting>
  <conditionalFormatting sqref="G21:G23">
    <cfRule type="expression" dxfId="1315" priority="19">
      <formula>IF(+(IF(G21&lt;#REF!,0,IF(G21&gt;#REF!,0,1)))=0,1)</formula>
    </cfRule>
  </conditionalFormatting>
  <conditionalFormatting sqref="G61:G62 C67:C69">
    <cfRule type="cellIs" dxfId="1314" priority="103" stopIfTrue="1" operator="greaterThan">
      <formula>$F61</formula>
    </cfRule>
    <cfRule type="cellIs" dxfId="1313" priority="104" stopIfTrue="1" operator="lessThanOrEqual">
      <formula>0</formula>
    </cfRule>
  </conditionalFormatting>
  <conditionalFormatting sqref="G61:G62">
    <cfRule type="cellIs" dxfId="1312" priority="85" stopIfTrue="1" operator="greaterThan">
      <formula>$F61</formula>
    </cfRule>
    <cfRule type="cellIs" dxfId="1311" priority="86" stopIfTrue="1" operator="lessThanOrEqual">
      <formula>0</formula>
    </cfRule>
  </conditionalFormatting>
  <conditionalFormatting sqref="G63">
    <cfRule type="cellIs" dxfId="1310" priority="141" stopIfTrue="1" operator="greaterThan">
      <formula>$F62</formula>
    </cfRule>
    <cfRule type="cellIs" dxfId="1309" priority="142" stopIfTrue="1" operator="lessThanOrEqual">
      <formula>0</formula>
    </cfRule>
  </conditionalFormatting>
  <conditionalFormatting sqref="G64">
    <cfRule type="cellIs" dxfId="1308" priority="100" stopIfTrue="1" operator="lessThanOrEqual">
      <formula>0</formula>
    </cfRule>
    <cfRule type="cellIs" dxfId="1307" priority="99" stopIfTrue="1" operator="greaterThan">
      <formula>$F64</formula>
    </cfRule>
  </conditionalFormatting>
  <conditionalFormatting sqref="G65:G69">
    <cfRule type="cellIs" dxfId="1306" priority="106" stopIfTrue="1" operator="lessThanOrEqual">
      <formula>0</formula>
    </cfRule>
    <cfRule type="cellIs" dxfId="1305" priority="105" stopIfTrue="1" operator="greaterThan">
      <formula>$J65</formula>
    </cfRule>
  </conditionalFormatting>
  <conditionalFormatting sqref="G74:G79 C77 C79">
    <cfRule type="cellIs" dxfId="1304" priority="134" stopIfTrue="1" operator="greaterThan">
      <formula>4.5</formula>
    </cfRule>
    <cfRule type="cellIs" dxfId="1303" priority="135" stopIfTrue="1" operator="lessThanOrEqual">
      <formula>0</formula>
    </cfRule>
  </conditionalFormatting>
  <conditionalFormatting sqref="G10:H20">
    <cfRule type="expression" dxfId="1302" priority="4">
      <formula>IF(+(IF(G10&lt;#REF!,0,IF(G10&gt;#REF!,0,1)))=0,1)</formula>
    </cfRule>
  </conditionalFormatting>
  <conditionalFormatting sqref="G73:H73">
    <cfRule type="cellIs" dxfId="1301" priority="115" stopIfTrue="1" operator="greaterThan">
      <formula>$F$72</formula>
    </cfRule>
    <cfRule type="cellIs" dxfId="1300" priority="116" stopIfTrue="1" operator="lessThanOrEqual">
      <formula>0</formula>
    </cfRule>
  </conditionalFormatting>
  <conditionalFormatting sqref="H21:H23">
    <cfRule type="expression" dxfId="1299" priority="44">
      <formula>IF(+(IF(H21&lt;T21,0,IF(H21&gt;U21,0,1)))=0,1)</formula>
    </cfRule>
  </conditionalFormatting>
  <conditionalFormatting sqref="H37:H51 I39:I50">
    <cfRule type="cellIs" dxfId="1298" priority="113" stopIfTrue="1" operator="greaterThan">
      <formula>0</formula>
    </cfRule>
  </conditionalFormatting>
  <conditionalFormatting sqref="H55">
    <cfRule type="cellIs" dxfId="1297" priority="34" stopIfTrue="1" operator="greaterThan">
      <formula>$F$42</formula>
    </cfRule>
    <cfRule type="cellIs" dxfId="1296" priority="35" stopIfTrue="1" operator="lessThanOrEqual">
      <formula>0</formula>
    </cfRule>
    <cfRule type="cellIs" dxfId="1295" priority="26" stopIfTrue="1" operator="greaterThan">
      <formula>$F$39</formula>
    </cfRule>
    <cfRule type="cellIs" dxfId="1294" priority="36" stopIfTrue="1" operator="greaterThan">
      <formula>$F$40</formula>
    </cfRule>
    <cfRule type="cellIs" dxfId="1293" priority="37" stopIfTrue="1" operator="lessThanOrEqual">
      <formula>0</formula>
    </cfRule>
    <cfRule type="cellIs" dxfId="1292" priority="25" stopIfTrue="1" operator="lessThanOrEqual">
      <formula>0</formula>
    </cfRule>
  </conditionalFormatting>
  <conditionalFormatting sqref="H56:H57">
    <cfRule type="cellIs" dxfId="1291" priority="62" stopIfTrue="1" operator="greaterThan">
      <formula>$F$39</formula>
    </cfRule>
    <cfRule type="cellIs" dxfId="1290" priority="53" stopIfTrue="1" operator="lessThanOrEqual">
      <formula>0</formula>
    </cfRule>
    <cfRule type="cellIs" dxfId="1289" priority="54" stopIfTrue="1" operator="greaterThan">
      <formula>$F$36</formula>
    </cfRule>
    <cfRule type="cellIs" dxfId="1288" priority="63" stopIfTrue="1" operator="lessThanOrEqual">
      <formula>0</formula>
    </cfRule>
    <cfRule type="cellIs" dxfId="1287" priority="64" stopIfTrue="1" operator="greaterThan">
      <formula>$F$37</formula>
    </cfRule>
    <cfRule type="cellIs" dxfId="1286" priority="65" stopIfTrue="1" operator="lessThanOrEqual">
      <formula>0</formula>
    </cfRule>
  </conditionalFormatting>
  <conditionalFormatting sqref="H61:H68">
    <cfRule type="cellIs" dxfId="1285" priority="89" stopIfTrue="1" operator="greaterThan">
      <formula>$J61</formula>
    </cfRule>
    <cfRule type="cellIs" dxfId="1284" priority="90" stopIfTrue="1" operator="lessThanOrEqual">
      <formula>0</formula>
    </cfRule>
  </conditionalFormatting>
  <conditionalFormatting sqref="H69">
    <cfRule type="cellIs" dxfId="1283" priority="93" operator="greaterThan">
      <formula>5.3</formula>
    </cfRule>
  </conditionalFormatting>
  <conditionalFormatting sqref="H72 H74:H80">
    <cfRule type="cellIs" dxfId="1282" priority="128" stopIfTrue="1" operator="lessThanOrEqual">
      <formula>0</formula>
    </cfRule>
    <cfRule type="cellIs" dxfId="1281" priority="127" stopIfTrue="1" operator="greaterThan">
      <formula>4.5</formula>
    </cfRule>
  </conditionalFormatting>
  <conditionalFormatting sqref="H55:I55">
    <cfRule type="cellIs" dxfId="1280" priority="24" stopIfTrue="1" operator="greaterThan">
      <formula>$F$41</formula>
    </cfRule>
    <cfRule type="cellIs" dxfId="1279" priority="27" stopIfTrue="1" operator="lessThanOrEqual">
      <formula>0</formula>
    </cfRule>
  </conditionalFormatting>
  <conditionalFormatting sqref="H56:I57">
    <cfRule type="cellIs" dxfId="1278" priority="52" stopIfTrue="1" operator="greaterThan">
      <formula>$F$38</formula>
    </cfRule>
    <cfRule type="cellIs" dxfId="1277" priority="55" stopIfTrue="1" operator="lessThanOrEqual">
      <formula>0</formula>
    </cfRule>
  </conditionalFormatting>
  <conditionalFormatting sqref="H70:I70">
    <cfRule type="cellIs" dxfId="1276" priority="78" stopIfTrue="1" operator="greaterThan">
      <formula>$J70</formula>
    </cfRule>
    <cfRule type="cellIs" dxfId="1275" priority="79" stopIfTrue="1" operator="lessThanOrEqual">
      <formula>0</formula>
    </cfRule>
  </conditionalFormatting>
  <conditionalFormatting sqref="I21:I23">
    <cfRule type="cellIs" dxfId="1274" priority="51" operator="lessThan">
      <formula>97.9</formula>
    </cfRule>
  </conditionalFormatting>
  <conditionalFormatting sqref="I55">
    <cfRule type="cellIs" dxfId="1273" priority="32" stopIfTrue="1" operator="greaterThan">
      <formula>$F$39</formula>
    </cfRule>
    <cfRule type="cellIs" dxfId="1272" priority="28" stopIfTrue="1" operator="greaterThan">
      <formula>$F$39</formula>
    </cfRule>
    <cfRule type="cellIs" dxfId="1271" priority="29" stopIfTrue="1" operator="lessThanOrEqual">
      <formula>0</formula>
    </cfRule>
    <cfRule type="cellIs" dxfId="1270" priority="30" stopIfTrue="1" operator="greaterThan">
      <formula>$F$41</formula>
    </cfRule>
    <cfRule type="cellIs" dxfId="1269" priority="33" stopIfTrue="1" operator="lessThanOrEqual">
      <formula>0</formula>
    </cfRule>
    <cfRule type="cellIs" dxfId="1268" priority="31" stopIfTrue="1" operator="lessThanOrEqual">
      <formula>0</formula>
    </cfRule>
  </conditionalFormatting>
  <conditionalFormatting sqref="I56:I57">
    <cfRule type="cellIs" dxfId="1267" priority="58" stopIfTrue="1" operator="greaterThan">
      <formula>$F$38</formula>
    </cfRule>
    <cfRule type="cellIs" dxfId="1266" priority="61" stopIfTrue="1" operator="lessThanOrEqual">
      <formula>0</formula>
    </cfRule>
    <cfRule type="cellIs" dxfId="1265" priority="60" stopIfTrue="1" operator="greaterThan">
      <formula>$F$36</formula>
    </cfRule>
    <cfRule type="cellIs" dxfId="1264" priority="59" stopIfTrue="1" operator="lessThanOrEqual">
      <formula>0</formula>
    </cfRule>
    <cfRule type="cellIs" dxfId="1263" priority="57" stopIfTrue="1" operator="lessThanOrEqual">
      <formula>0</formula>
    </cfRule>
    <cfRule type="cellIs" dxfId="1262" priority="56" stopIfTrue="1" operator="greaterThan">
      <formula>$F$36</formula>
    </cfRule>
  </conditionalFormatting>
  <conditionalFormatting sqref="I61:I69">
    <cfRule type="cellIs" dxfId="1261" priority="94" stopIfTrue="1" operator="greaterThan">
      <formula>$J61</formula>
    </cfRule>
    <cfRule type="cellIs" dxfId="1260" priority="95" stopIfTrue="1" operator="lessThanOrEqual">
      <formula>0</formula>
    </cfRule>
  </conditionalFormatting>
  <conditionalFormatting sqref="I72:I80">
    <cfRule type="cellIs" dxfId="1259" priority="124" stopIfTrue="1" operator="lessThanOrEqual">
      <formula>0</formula>
    </cfRule>
    <cfRule type="cellIs" dxfId="1258" priority="123" stopIfTrue="1" operator="greaterThan">
      <formula>4.5</formula>
    </cfRule>
  </conditionalFormatting>
  <conditionalFormatting sqref="I10:J20">
    <cfRule type="cellIs" dxfId="1257" priority="11" operator="lessThan">
      <formula>97.9</formula>
    </cfRule>
  </conditionalFormatting>
  <conditionalFormatting sqref="J21:J23">
    <cfRule type="cellIs" dxfId="1256" priority="46" operator="greaterThan">
      <formula>6</formula>
    </cfRule>
    <cfRule type="cellIs" dxfId="1255" priority="47" operator="lessThan">
      <formula>4</formula>
    </cfRule>
    <cfRule type="cellIs" dxfId="1254" priority="50" operator="greaterThan">
      <formula>6.4</formula>
    </cfRule>
  </conditionalFormatting>
  <conditionalFormatting sqref="J26:J28">
    <cfRule type="cellIs" dxfId="1253" priority="68" stopIfTrue="1" operator="lessThan">
      <formula>96.8</formula>
    </cfRule>
    <cfRule type="cellIs" dxfId="1252" priority="69" stopIfTrue="1" operator="greaterThan">
      <formula>100</formula>
    </cfRule>
    <cfRule type="cellIs" dxfId="1251" priority="70" operator="lessThan">
      <formula>98</formula>
    </cfRule>
  </conditionalFormatting>
  <conditionalFormatting sqref="J26:J30">
    <cfRule type="cellIs" dxfId="1250" priority="67" operator="lessThan">
      <formula>97.4</formula>
    </cfRule>
  </conditionalFormatting>
  <conditionalFormatting sqref="J31">
    <cfRule type="cellIs" dxfId="1249" priority="71" operator="lessThan">
      <formula>98</formula>
    </cfRule>
  </conditionalFormatting>
  <conditionalFormatting sqref="J32:J34">
    <cfRule type="cellIs" dxfId="1248" priority="73" stopIfTrue="1" operator="greaterThan">
      <formula>100</formula>
    </cfRule>
    <cfRule type="cellIs" dxfId="1247" priority="72" stopIfTrue="1" operator="lessThan">
      <formula>96.8</formula>
    </cfRule>
  </conditionalFormatting>
  <conditionalFormatting sqref="J32:J35">
    <cfRule type="cellIs" dxfId="1246" priority="74" operator="lessThan">
      <formula>98</formula>
    </cfRule>
  </conditionalFormatting>
  <conditionalFormatting sqref="J70">
    <cfRule type="cellIs" dxfId="1245" priority="76" stopIfTrue="1" operator="lessThanOrEqual">
      <formula>0</formula>
    </cfRule>
    <cfRule type="cellIs" dxfId="1244" priority="75" stopIfTrue="1" operator="greaterThan">
      <formula>$F70</formula>
    </cfRule>
  </conditionalFormatting>
  <conditionalFormatting sqref="K10:K20">
    <cfRule type="cellIs" dxfId="1243" priority="10" operator="greaterThan">
      <formula>6.4</formula>
    </cfRule>
    <cfRule type="cellIs" dxfId="1242" priority="7" operator="lessThan">
      <formula>4</formula>
    </cfRule>
    <cfRule type="cellIs" dxfId="1241" priority="6" operator="greaterThan">
      <formula>6</formula>
    </cfRule>
  </conditionalFormatting>
  <conditionalFormatting sqref="K21:K23">
    <cfRule type="cellIs" dxfId="1240" priority="48" operator="between">
      <formula>61</formula>
      <formula>65</formula>
    </cfRule>
    <cfRule type="cellIs" dxfId="1239" priority="49" operator="greaterThan">
      <formula>65</formula>
    </cfRule>
  </conditionalFormatting>
  <conditionalFormatting sqref="K40:K49">
    <cfRule type="cellIs" dxfId="1238" priority="66" operator="notEqual">
      <formula>#REF!</formula>
    </cfRule>
  </conditionalFormatting>
  <conditionalFormatting sqref="K55:K57 K61:N64 L65:N65">
    <cfRule type="cellIs" dxfId="1237" priority="107" stopIfTrue="1" operator="lessThan">
      <formula>100%</formula>
    </cfRule>
  </conditionalFormatting>
  <conditionalFormatting sqref="K72:K77">
    <cfRule type="cellIs" dxfId="1236" priority="129" stopIfTrue="1" operator="lessThan">
      <formula>100%</formula>
    </cfRule>
  </conditionalFormatting>
  <conditionalFormatting sqref="K79:K80">
    <cfRule type="cellIs" dxfId="1235" priority="136" stopIfTrue="1" operator="lessThan">
      <formula>100%</formula>
    </cfRule>
  </conditionalFormatting>
  <conditionalFormatting sqref="K66:N70">
    <cfRule type="cellIs" dxfId="1234" priority="77" stopIfTrue="1" operator="lessThan">
      <formula>100%</formula>
    </cfRule>
  </conditionalFormatting>
  <conditionalFormatting sqref="L19:L20">
    <cfRule type="cellIs" dxfId="1233" priority="9" operator="greaterThan">
      <formula>65</formula>
    </cfRule>
    <cfRule type="cellIs" dxfId="1232" priority="8" operator="between">
      <formula>61</formula>
      <formula>65</formula>
    </cfRule>
  </conditionalFormatting>
  <conditionalFormatting sqref="L10:M18">
    <cfRule type="cellIs" dxfId="1231" priority="21" operator="greaterThan">
      <formula>65</formula>
    </cfRule>
    <cfRule type="cellIs" dxfId="1230" priority="20" operator="between">
      <formula>61</formula>
      <formula>65</formula>
    </cfRule>
  </conditionalFormatting>
  <conditionalFormatting sqref="L21:M23">
    <cfRule type="expression" dxfId="1229" priority="45">
      <formula>IF(+(IF(L21&lt;T21,0,IF(L21&gt;U21,0,1)))=0,1)</formula>
    </cfRule>
  </conditionalFormatting>
  <conditionalFormatting sqref="L41:N41">
    <cfRule type="cellIs" dxfId="1228" priority="43" operator="notEqual">
      <formula>#REF!</formula>
    </cfRule>
  </conditionalFormatting>
  <conditionalFormatting sqref="L72:N80">
    <cfRule type="cellIs" dxfId="1227" priority="114" stopIfTrue="1" operator="lessThan">
      <formula>100%</formula>
    </cfRule>
  </conditionalFormatting>
  <conditionalFormatting sqref="M10:M19">
    <cfRule type="expression" dxfId="1226" priority="22">
      <formula>IF(+(IF(M10&lt;U10,0,IF(M10&gt;V10,0,1)))=0,1)</formula>
    </cfRule>
  </conditionalFormatting>
  <conditionalFormatting sqref="M20">
    <cfRule type="expression" dxfId="1225" priority="5">
      <formula>IF(+(IF(M20&lt;U20,0,IF(M20&gt;V20,0,1)))=0,1)</formula>
    </cfRule>
  </conditionalFormatting>
  <conditionalFormatting sqref="M26 L27:M37">
    <cfRule type="cellIs" dxfId="1224" priority="82" operator="lessThan">
      <formula>98</formula>
    </cfRule>
  </conditionalFormatting>
  <conditionalFormatting sqref="N10:N23">
    <cfRule type="expression" dxfId="1223" priority="1">
      <formula>IF(+(IF(N10&lt;W10,0,IF(N10&gt;X10,0,1)))=0,1)</formula>
    </cfRule>
  </conditionalFormatting>
  <conditionalFormatting sqref="P6">
    <cfRule type="cellIs" dxfId="1222" priority="110" operator="greaterThanOrEqual">
      <formula>19</formula>
    </cfRule>
  </conditionalFormatting>
  <dataValidations count="1">
    <dataValidation type="list" allowBlank="1" showInputMessage="1" showErrorMessage="1" sqref="R8" xr:uid="{72B945D6-C89F-4542-9E7D-CE55FE0CD5B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58164-32C9-42A5-8C00-9617D0AB5D9C}">
  <sheetPr codeName="Sheet11">
    <pageSetUpPr fitToPage="1"/>
  </sheetPr>
  <dimension ref="A1:BE73"/>
  <sheetViews>
    <sheetView topLeftCell="A9" zoomScale="80" zoomScaleNormal="80" workbookViewId="0">
      <selection activeCell="C16" sqref="C16:N16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45793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[22]Brewhouse!$A443</f>
        <v>CA338</v>
      </c>
      <c r="D10" s="279">
        <f>[22]Brewhouse!$AF443</f>
        <v>54.9</v>
      </c>
      <c r="E10" s="279">
        <f>[22]Brewhouse!$AI443</f>
        <v>50.9</v>
      </c>
      <c r="F10" s="278">
        <f>[22]Brewhouse!$V443</f>
        <v>62</v>
      </c>
      <c r="G10" s="279">
        <f>[22]Brewhouse!$AG443</f>
        <v>11.7</v>
      </c>
      <c r="H10" s="396">
        <v>11.7</v>
      </c>
      <c r="I10" s="368">
        <f>[22]Brewhouse!$AU443</f>
        <v>100.7608150740576</v>
      </c>
      <c r="J10" s="368">
        <f>[22]Brewhouse!$AV443</f>
        <v>102.55746883592818</v>
      </c>
      <c r="K10" s="281">
        <f>[22]Brewhouse!$Q443</f>
        <v>8.9483065953654233</v>
      </c>
      <c r="L10" s="276">
        <f>[22]Brewhouse!$P443</f>
        <v>57</v>
      </c>
      <c r="M10" s="397">
        <f>[22]Brewhouse!$U443-[22]Brewhouse!$T443</f>
        <v>0.11805555555555558</v>
      </c>
      <c r="N10" s="370">
        <f>[22]Brewhouse!$Z443</f>
        <v>0.31388888888888888</v>
      </c>
      <c r="O10" s="371" t="str">
        <f>[22]Brewhouse!$AX443</f>
        <v>R. Sookram</v>
      </c>
      <c r="P10" s="423"/>
      <c r="R10" s="277" t="str">
        <f t="shared" ref="R10:R24" si="0">B10</f>
        <v>CARIB</v>
      </c>
      <c r="S10" s="296">
        <f t="shared" ref="S10:S24" si="1">VLOOKUP($B10,$R$3:$X$9,2,FALSE)</f>
        <v>11.6</v>
      </c>
      <c r="T10" s="296">
        <f t="shared" ref="T10:T24" si="2">VLOOKUP($B10,$R$3:$X$9,3,FALSE)</f>
        <v>12</v>
      </c>
      <c r="U10" s="297">
        <f t="shared" ref="U10:U24" si="3">VLOOKUP($B10,$R$3:$X$9,4,FALSE)</f>
        <v>0</v>
      </c>
      <c r="V10" s="297">
        <f t="shared" ref="V10:V24" si="4">VLOOKUP($B10,$R$3:$X$9,5,FALSE)</f>
        <v>0.118055555555556</v>
      </c>
      <c r="W10" s="297">
        <f t="shared" ref="W10:W24" si="5">VLOOKUP($B10,$R$3:$X$9,6,FALSE)</f>
        <v>0.22569444444444445</v>
      </c>
      <c r="X10" s="297">
        <f t="shared" ref="X10:X24" si="6">VLOOKUP($B10,$R$3:$X$9,7,FALSE)</f>
        <v>0.2638888888888889</v>
      </c>
      <c r="Y10" s="297">
        <f t="shared" ref="Y10:Y24" si="7">VLOOKUP($B10,$R$3:$Z$9,8,FALSE)</f>
        <v>0</v>
      </c>
      <c r="Z10" s="296">
        <f t="shared" ref="Z10:Z24" si="8">VLOOKUP($B10,$R$3:$Z$9,9,FALSE)</f>
        <v>60</v>
      </c>
    </row>
    <row r="11" spans="2:29" ht="15.75" customHeight="1">
      <c r="B11" s="29" t="s">
        <v>6</v>
      </c>
      <c r="C11" s="366" t="str">
        <f>[22]Brewhouse!$A444</f>
        <v>CA339</v>
      </c>
      <c r="D11" s="279">
        <f>[22]Brewhouse!$AF444</f>
        <v>54.2</v>
      </c>
      <c r="E11" s="279">
        <f>[22]Brewhouse!$AI444</f>
        <v>50.8</v>
      </c>
      <c r="F11" s="278">
        <f>[22]Brewhouse!$V444</f>
        <v>54</v>
      </c>
      <c r="G11" s="279">
        <f>[22]Brewhouse!$AG444</f>
        <v>11.9</v>
      </c>
      <c r="H11" s="396">
        <v>11.9</v>
      </c>
      <c r="I11" s="368">
        <f>[22]Brewhouse!$AU444</f>
        <v>102.11087687430556</v>
      </c>
      <c r="J11" s="368">
        <f>[22]Brewhouse!$AV444</f>
        <v>103.93181520775359</v>
      </c>
      <c r="K11" s="281">
        <f>[22]Brewhouse!$Q444</f>
        <v>7.1530249110320341</v>
      </c>
      <c r="L11" s="276">
        <f>[22]Brewhouse!$P444</f>
        <v>58</v>
      </c>
      <c r="M11" s="397">
        <f>[22]Brewhouse!$U444-[22]Brewhouse!$T444</f>
        <v>0.10416666666666663</v>
      </c>
      <c r="N11" s="370">
        <f>[22]Brewhouse!$Z444</f>
        <v>0.25347222222222221</v>
      </c>
      <c r="O11" s="371" t="str">
        <f>[22]Brewhouse!$AX444</f>
        <v>R. Sookram</v>
      </c>
      <c r="P11" s="423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[22]Brewhouse!$A445</f>
        <v>CA340</v>
      </c>
      <c r="D12" s="279">
        <f>[22]Brewhouse!$AF445</f>
        <v>53.5</v>
      </c>
      <c r="E12" s="279">
        <f>[22]Brewhouse!$AI445</f>
        <v>50.1</v>
      </c>
      <c r="F12" s="278">
        <f>[22]Brewhouse!$V445</f>
        <v>61</v>
      </c>
      <c r="G12" s="279">
        <f>[22]Brewhouse!$AG445</f>
        <v>11.9</v>
      </c>
      <c r="H12" s="396">
        <v>11.9</v>
      </c>
      <c r="I12" s="368">
        <f>[22]Brewhouse!$AU445</f>
        <v>97.714774385845217</v>
      </c>
      <c r="J12" s="368">
        <f>[22]Brewhouse!$AV445</f>
        <v>99.459671099355447</v>
      </c>
      <c r="K12" s="281">
        <f>[22]Brewhouse!$Q445</f>
        <v>6.0854092526690415</v>
      </c>
      <c r="L12" s="276">
        <f>[22]Brewhouse!$P445</f>
        <v>58</v>
      </c>
      <c r="M12" s="397">
        <f>[22]Brewhouse!$U445-[22]Brewhouse!$T445</f>
        <v>0.10486111111111113</v>
      </c>
      <c r="N12" s="370">
        <f>[22]Brewhouse!$Z445</f>
        <v>0.24722222222222223</v>
      </c>
      <c r="O12" s="371" t="str">
        <f>[22]Brewhouse!$AX445</f>
        <v>R. Sookram</v>
      </c>
      <c r="P12" s="423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[22]Brewhouse!$A446</f>
        <v>CA341</v>
      </c>
      <c r="D13" s="279">
        <f>[22]Brewhouse!$AF446</f>
        <v>54.1</v>
      </c>
      <c r="E13" s="279">
        <f>[22]Brewhouse!$AI446</f>
        <v>50.9</v>
      </c>
      <c r="F13" s="278">
        <f>[22]Brewhouse!$V446</f>
        <v>57</v>
      </c>
      <c r="G13" s="279">
        <f>[22]Brewhouse!$AG446</f>
        <v>11.89</v>
      </c>
      <c r="H13" s="396">
        <v>12.1</v>
      </c>
      <c r="I13" s="368">
        <f>[22]Brewhouse!$AU446</f>
        <v>99.152464501194331</v>
      </c>
      <c r="J13" s="368">
        <f>[22]Brewhouse!$AV446</f>
        <v>100.9231305555778</v>
      </c>
      <c r="K13" s="281">
        <f>[22]Brewhouse!$Q446</f>
        <v>5.0177935943060499</v>
      </c>
      <c r="L13" s="276">
        <f>[22]Brewhouse!$P446</f>
        <v>58</v>
      </c>
      <c r="M13" s="397">
        <f>[22]Brewhouse!$U446-[22]Brewhouse!$T446</f>
        <v>0.10138888888888886</v>
      </c>
      <c r="N13" s="370">
        <f>[22]Brewhouse!$Z446</f>
        <v>0.2590277777777778</v>
      </c>
      <c r="O13" s="371" t="str">
        <f>[22]Brewhouse!$AX446</f>
        <v>R. Sookram</v>
      </c>
      <c r="P13" s="423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4.4">
      <c r="B14" s="29" t="s">
        <v>6</v>
      </c>
      <c r="C14" s="366" t="str">
        <f>[22]Brewhouse!$A447</f>
        <v>CA342</v>
      </c>
      <c r="D14" s="279">
        <f>[22]Brewhouse!$AF447</f>
        <v>55.2</v>
      </c>
      <c r="E14" s="279">
        <f>[22]Brewhouse!$AI447</f>
        <v>51.9</v>
      </c>
      <c r="F14" s="278">
        <f>[22]Brewhouse!$V447</f>
        <v>65</v>
      </c>
      <c r="G14" s="279">
        <f>[22]Brewhouse!$AG447</f>
        <v>11.75</v>
      </c>
      <c r="H14" s="396">
        <v>11.8</v>
      </c>
      <c r="I14" s="368">
        <f>[22]Brewhouse!$AU447</f>
        <v>100.20719306291083</v>
      </c>
      <c r="J14" s="368">
        <f>[22]Brewhouse!$AV447</f>
        <v>101.99669447423894</v>
      </c>
      <c r="K14" s="281">
        <f>[22]Brewhouse!$Q447</f>
        <v>4.4210526315789398</v>
      </c>
      <c r="L14" s="276">
        <f>[22]Brewhouse!$P447</f>
        <v>61</v>
      </c>
      <c r="M14" s="397">
        <f>[22]Brewhouse!$U447-[22]Brewhouse!$T447</f>
        <v>0.11041666666666672</v>
      </c>
      <c r="N14" s="370">
        <f>[22]Brewhouse!$Z447</f>
        <v>0.28750000000000003</v>
      </c>
      <c r="O14" s="371" t="str">
        <f>[22]Brewhouse!$AX447</f>
        <v>K.Benjamin</v>
      </c>
      <c r="P14" s="423" t="s">
        <v>208</v>
      </c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[22]Brewhouse!$A448</f>
        <v>CA343</v>
      </c>
      <c r="D15" s="279">
        <f>[22]Brewhouse!$AF448</f>
        <v>54.8</v>
      </c>
      <c r="E15" s="279">
        <f>[22]Brewhouse!$AI448</f>
        <v>52.5</v>
      </c>
      <c r="F15" s="278">
        <f>[22]Brewhouse!$V448</f>
        <v>62</v>
      </c>
      <c r="G15" s="279">
        <f>[22]Brewhouse!$AG448</f>
        <v>11.6</v>
      </c>
      <c r="H15" s="396">
        <v>11.6</v>
      </c>
      <c r="I15" s="368">
        <f>[22]Brewhouse!$AU448</f>
        <v>99.43566641619546</v>
      </c>
      <c r="J15" s="368">
        <f>[22]Brewhouse!$AV448</f>
        <v>101.2114863810409</v>
      </c>
      <c r="K15" s="281">
        <f>[22]Brewhouse!$Q448</f>
        <v>4.1134751773049647</v>
      </c>
      <c r="L15" s="276">
        <f>[22]Brewhouse!$P448</f>
        <v>59</v>
      </c>
      <c r="M15" s="397">
        <f>[22]Brewhouse!$U448-[22]Brewhouse!$T448</f>
        <v>0.16527777777777775</v>
      </c>
      <c r="N15" s="370">
        <f>[22]Brewhouse!$Z448</f>
        <v>0.32777777777777772</v>
      </c>
      <c r="O15" s="371" t="str">
        <f>[22]Brewhouse!$AX448</f>
        <v>K.Benjamin</v>
      </c>
      <c r="P15" s="423" t="s">
        <v>206</v>
      </c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[22]Brewhouse!$A449</f>
        <v>CA344</v>
      </c>
      <c r="D16" s="279">
        <f>[22]Brewhouse!$AF449</f>
        <v>55</v>
      </c>
      <c r="E16" s="279">
        <f>[22]Brewhouse!$AI449</f>
        <v>52.5</v>
      </c>
      <c r="F16" s="278">
        <f>[22]Brewhouse!$V449</f>
        <v>75</v>
      </c>
      <c r="G16" s="279">
        <f>[22]Brewhouse!$AG449</f>
        <v>11.6</v>
      </c>
      <c r="H16" s="396">
        <v>11.7</v>
      </c>
      <c r="I16" s="368">
        <f>[22]Brewhouse!$AU449</f>
        <v>99.805050917955171</v>
      </c>
      <c r="J16" s="368">
        <f>[22]Brewhouse!$AV449</f>
        <v>101.58717645993016</v>
      </c>
      <c r="K16" s="281">
        <f>[22]Brewhouse!$Q449</f>
        <v>3.929203539823007</v>
      </c>
      <c r="L16" s="276">
        <f>[22]Brewhouse!$P449</f>
        <v>61</v>
      </c>
      <c r="M16" s="397">
        <f>[22]Brewhouse!$U449-[22]Brewhouse!$T449</f>
        <v>0.12847222222222232</v>
      </c>
      <c r="N16" s="370">
        <f>[22]Brewhouse!$Z449</f>
        <v>0.34375000000000011</v>
      </c>
      <c r="O16" s="371" t="str">
        <f>[22]Brewhouse!$AX449</f>
        <v>K.Benjamin</v>
      </c>
      <c r="P16" s="423" t="s">
        <v>207</v>
      </c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3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33" t="s">
        <v>9</v>
      </c>
      <c r="C18" s="366" t="str">
        <f>[23]Brewhouse!$A220</f>
        <v>ST202</v>
      </c>
      <c r="D18" s="279">
        <f>[23]Brewhouse!$AD220</f>
        <v>52.6</v>
      </c>
      <c r="E18" s="279">
        <f>[23]Brewhouse!$AG220</f>
        <v>48.6</v>
      </c>
      <c r="F18" s="278">
        <f>[23]Brewhouse!$V220</f>
        <v>76</v>
      </c>
      <c r="G18" s="279">
        <f>[23]Brewhouse!$AE220</f>
        <v>11.86</v>
      </c>
      <c r="H18" s="396">
        <v>11.9</v>
      </c>
      <c r="I18" s="421">
        <f>[23]Brewhouse!$AS220</f>
        <v>95.681687628441722</v>
      </c>
      <c r="J18" s="421">
        <f>[23]Brewhouse!$AT220</f>
        <v>97.097215773002745</v>
      </c>
      <c r="K18" s="398">
        <f>[23]Brewhouse!$Q220</f>
        <v>7.4681238615664736</v>
      </c>
      <c r="L18" s="276">
        <f>[23]Brewhouse!$P220</f>
        <v>58</v>
      </c>
      <c r="M18" s="374">
        <f>[23]Brewhouse!$U220-[23]Brewhouse!$T220</f>
        <v>0.1166666666666667</v>
      </c>
      <c r="N18" s="370">
        <f>[23]Brewhouse!$AW220</f>
        <v>0.27083333333333326</v>
      </c>
      <c r="O18" s="429" t="str">
        <f>[23]Brewhouse!$AV220</f>
        <v>K. Benjamin</v>
      </c>
      <c r="P18" s="423" t="s">
        <v>205</v>
      </c>
      <c r="R18" s="277" t="str">
        <f t="shared" si="0"/>
        <v>STAG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7" ht="15.75" customHeight="1">
      <c r="B19" s="22"/>
      <c r="C19" s="366"/>
      <c r="D19" s="279"/>
      <c r="E19" s="279"/>
      <c r="F19" s="278"/>
      <c r="G19" s="279"/>
      <c r="H19" s="396"/>
      <c r="I19" s="368"/>
      <c r="J19" s="368"/>
      <c r="K19" s="281"/>
      <c r="L19" s="433"/>
      <c r="M19" s="374"/>
      <c r="N19" s="370"/>
      <c r="O19" s="371"/>
      <c r="P19" s="42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>
      <c r="B20" s="33"/>
      <c r="C20" s="366"/>
      <c r="D20" s="279"/>
      <c r="E20" s="279"/>
      <c r="F20" s="278"/>
      <c r="G20" s="279"/>
      <c r="H20" s="396"/>
      <c r="I20" s="421"/>
      <c r="J20" s="398"/>
      <c r="K20" s="276"/>
      <c r="L20" s="374"/>
      <c r="M20" s="397"/>
      <c r="N20" s="370"/>
      <c r="O20" s="371"/>
      <c r="P20" s="42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>
      <c r="B21" s="33"/>
      <c r="C21" s="366" t="s">
        <v>202</v>
      </c>
      <c r="D21" s="279"/>
      <c r="E21" s="279"/>
      <c r="F21" s="278"/>
      <c r="G21" s="279"/>
      <c r="H21" s="396"/>
      <c r="I21" s="421"/>
      <c r="J21" s="398"/>
      <c r="K21" s="276"/>
      <c r="L21" s="374"/>
      <c r="M21" s="397"/>
      <c r="N21" s="370"/>
      <c r="O21" s="371"/>
      <c r="P21" s="42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>
      <c r="B22" s="33"/>
      <c r="C22" s="366"/>
      <c r="D22" s="279"/>
      <c r="E22" s="279"/>
      <c r="F22" s="278"/>
      <c r="G22" s="279"/>
      <c r="H22" s="396"/>
      <c r="I22" s="421"/>
      <c r="J22" s="398"/>
      <c r="K22" s="276"/>
      <c r="L22" s="374"/>
      <c r="M22" s="397"/>
      <c r="N22" s="370"/>
      <c r="O22" s="371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" thickBot="1">
      <c r="B24" s="388" t="s">
        <v>145</v>
      </c>
      <c r="C24" s="388"/>
      <c r="D24" s="494" t="s">
        <v>35</v>
      </c>
      <c r="E24" s="495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 t="shared" si="0"/>
        <v>BRAND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" customHeight="1">
      <c r="A25" s="28"/>
      <c r="B25" s="482"/>
      <c r="C25" s="362"/>
      <c r="D25" s="485"/>
      <c r="E25" s="474"/>
      <c r="F25" s="294"/>
      <c r="G25" s="294"/>
      <c r="H25" s="348"/>
      <c r="I25" s="29" t="s">
        <v>6</v>
      </c>
      <c r="J25" s="280">
        <f>AVERAGE(I10:I16)</f>
        <v>99.883834461780594</v>
      </c>
      <c r="K25" s="284">
        <f>COUNTA([22]Brewhouse!$A$408:$A$448)</f>
        <v>41</v>
      </c>
      <c r="L25" s="302">
        <f>AVERAGE([22]Brewhouse!$AU$408:$AU$448)</f>
        <v>98.432686498486717</v>
      </c>
      <c r="M25" s="302">
        <f>AVERAGE([22]Brewhouse!$AU$102:$AU$171,[22]Brewhouse!$AU$173:$AU$253,[22]Brewhouse!$AU$255:$AU$339,[22]Brewhouse!$AU$341:$AU$346,[22]Brewhouse!$AU$348,[22]Brewhouse!$AU$349:$AU$406,[22]Brewhouse!$AU$408:$AU$448)</f>
        <v>97.520401013775029</v>
      </c>
      <c r="N25" s="30">
        <v>98</v>
      </c>
      <c r="O25" s="11"/>
      <c r="P25" s="31"/>
      <c r="R25" s="277"/>
      <c r="S25" s="296"/>
      <c r="T25" s="296"/>
      <c r="U25" s="297"/>
      <c r="V25" s="297"/>
      <c r="W25" s="297"/>
      <c r="X25" s="297"/>
      <c r="Y25" s="297"/>
      <c r="Z25" s="296"/>
    </row>
    <row r="26" spans="1:27" ht="15" customHeight="1">
      <c r="A26" s="28"/>
      <c r="B26" s="483"/>
      <c r="C26" s="349"/>
      <c r="D26" s="486"/>
      <c r="E26" s="469"/>
      <c r="F26" s="294"/>
      <c r="G26" s="294"/>
      <c r="H26" s="348"/>
      <c r="I26" s="33" t="s">
        <v>9</v>
      </c>
      <c r="J26" s="280">
        <f>I18</f>
        <v>95.681687628441722</v>
      </c>
      <c r="K26" s="284">
        <f>COUNTA([23]Brewhouse!$A$195:$A$220)</f>
        <v>26</v>
      </c>
      <c r="L26" s="302">
        <f>AVERAGE([23]Brewhouse!$AS$195:$AS$220)</f>
        <v>100.42074390447546</v>
      </c>
      <c r="M26" s="302">
        <f>AVERAGE([23]Brewhouse!$AS$15:$AS$64,[23]Brewhouse!$AS$66:$AS$103,[23]Brewhouse!$AS$105:$AS$140,[23]Brewhouse!$AS$142:$AS$193,[23]Brewhouse!$AS$195:$AS$220)</f>
        <v>97.831557193866587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1:27" ht="14.7" customHeight="1">
      <c r="A27" s="28"/>
      <c r="B27" s="483"/>
      <c r="C27" s="349"/>
      <c r="D27" s="485"/>
      <c r="E27" s="474"/>
      <c r="F27" s="294"/>
      <c r="G27" s="294"/>
      <c r="H27" s="348"/>
      <c r="I27" s="34" t="s">
        <v>12</v>
      </c>
      <c r="J27" s="280"/>
      <c r="K27" s="284">
        <f>COUNTA([24]Brewhouse!$A$47:$A$54)</f>
        <v>8</v>
      </c>
      <c r="L27" s="302">
        <f>AVERAGE([24]Brewhouse!$AU$47:$AU$54)</f>
        <v>96.792443337508828</v>
      </c>
      <c r="M27" s="302">
        <f>AVERAGE([24]Brewhouse!$AU$4:$AU$7,[24]Brewhouse!$AU$9:$AU$22,[24]Brewhouse!$AU$24:$AU$35,[24]Brewhouse!$AU$37:$AU$45,[24]Brewhouse!$AU$47:$AU$54)</f>
        <v>97.03665404260714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1:27" ht="14.7" customHeight="1">
      <c r="A28" s="28"/>
      <c r="B28" s="483"/>
      <c r="C28" s="349"/>
      <c r="D28" s="486"/>
      <c r="E28" s="469"/>
      <c r="F28" s="294"/>
      <c r="G28" s="294"/>
      <c r="H28" s="348"/>
      <c r="I28" s="22" t="s">
        <v>33</v>
      </c>
      <c r="J28" s="280"/>
      <c r="K28" s="284">
        <f>COUNTA([25]Brewhouse!$A$35:$A$40)</f>
        <v>6</v>
      </c>
      <c r="L28" s="302">
        <f>AVERAGE([25]Brewhouse!$AV$35:$AV$40)</f>
        <v>99.729773602484485</v>
      </c>
      <c r="M28" s="302">
        <f>AVERAGE([25]Brewhouse!$AV$5:$AV$14,[25]Brewhouse!$AV$16:$AV$19,[25]Brewhouse!$AV$21:$AV$24,[25]Brewhouse!$AV$26:$AV$33,[25]Brewhouse!$AV$35:$AV$40)</f>
        <v>99.073437057623821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  <c r="AA28" s="296"/>
    </row>
    <row r="29" spans="1:27" ht="14.7" customHeight="1">
      <c r="A29" s="28"/>
      <c r="B29" s="483"/>
      <c r="C29" s="349"/>
      <c r="D29" s="485"/>
      <c r="E29" s="474"/>
      <c r="F29" s="422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4.7" customHeight="1">
      <c r="A30" s="28"/>
      <c r="B30" s="483"/>
      <c r="C30" s="349"/>
      <c r="D30" s="486"/>
      <c r="E30" s="469"/>
      <c r="F30" s="422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AVERAGE([26]Brewhouse!$AT$4:$AT$11,[26]Brewhouse!$AT$13:$AT$16)</f>
        <v>95.165309917257005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4.7" customHeight="1">
      <c r="A31" s="28"/>
      <c r="B31" s="483"/>
      <c r="C31" s="349"/>
      <c r="D31" s="485"/>
      <c r="E31" s="474"/>
      <c r="F31" s="422"/>
      <c r="G31" s="294"/>
      <c r="H31" s="348"/>
      <c r="I31" s="37" t="s">
        <v>16</v>
      </c>
      <c r="J31" s="323"/>
      <c r="K31" s="284">
        <f>COUNTA([27]Brewhouse!$A$36:$A$43)</f>
        <v>8</v>
      </c>
      <c r="L31" s="302">
        <f>AVERAGE([27]Brewhouse!$AY$36:$AY$43)</f>
        <v>98.453561717677275</v>
      </c>
      <c r="M31" s="302">
        <f>AVERAGE([27]Brewhouse!$AY$6:$AY$13,[27]Brewhouse!$AY$15:$AY$20,[27]Brewhouse!$AY$22:$AY$29,[27]Brewhouse!$AY$31:$AY$34,[27]Brewhouse!$AY$36:$AY$43)</f>
        <v>96.669752433914965</v>
      </c>
      <c r="N31" s="30">
        <v>98</v>
      </c>
      <c r="O31" s="11"/>
      <c r="P31" s="31" t="s">
        <v>41</v>
      </c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7" customHeight="1">
      <c r="A32" s="28"/>
      <c r="B32" s="483"/>
      <c r="C32" s="349"/>
      <c r="D32" s="486"/>
      <c r="E32" s="469"/>
      <c r="F32" s="294"/>
      <c r="G32" s="294"/>
      <c r="H32" s="348"/>
      <c r="I32" s="412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7" customHeight="1">
      <c r="A33" s="28"/>
      <c r="B33" s="483"/>
      <c r="C33" s="349"/>
      <c r="D33" s="485"/>
      <c r="E33" s="474"/>
      <c r="F33" s="294"/>
      <c r="G33" s="294"/>
      <c r="H33" s="348"/>
      <c r="I33" s="411" t="s">
        <v>157</v>
      </c>
      <c r="J33" s="326"/>
      <c r="K33" s="284"/>
      <c r="L33" s="305"/>
      <c r="M33" s="305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5" customHeight="1" thickBot="1">
      <c r="A34" s="28"/>
      <c r="B34" s="483"/>
      <c r="C34" s="349"/>
      <c r="D34" s="486"/>
      <c r="E34" s="469"/>
      <c r="F34" s="294"/>
      <c r="G34" s="294"/>
      <c r="H34" s="348"/>
      <c r="I34" s="407" t="s">
        <v>156</v>
      </c>
      <c r="J34" s="327"/>
      <c r="K34" s="408"/>
      <c r="L34" s="409"/>
      <c r="M34" s="409"/>
      <c r="N34" s="41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customHeight="1" thickBot="1">
      <c r="A35" s="28"/>
      <c r="B35" s="483"/>
      <c r="C35" s="349"/>
      <c r="D35" s="485"/>
      <c r="E35" s="474"/>
      <c r="F35" s="294"/>
      <c r="G35" s="294"/>
      <c r="H35" s="348"/>
      <c r="I35" s="1"/>
      <c r="J35" s="39"/>
      <c r="K35" s="405">
        <f>SUM(K25:K34)</f>
        <v>89</v>
      </c>
      <c r="L35" s="406">
        <f>((L25*K25)+(L26*K26)+(L27*K27)+(L28*K28)+(L29*K29)+(K32*L32)+(L30*K30)+(L31*K31)+(L34*K34))/(K35)</f>
        <v>98.955350224839478</v>
      </c>
      <c r="M35" s="406">
        <f>AVERAGE('[29]Jan 31st'!$L$65,'[30]Feb 28th'!$L$35,'[31]Mar. 31st'!$L$35,'[32]Apr. 30th'!$L$45,L35)</f>
        <v>97.671878302855532</v>
      </c>
      <c r="N35" s="4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thickBot="1">
      <c r="B36" s="484"/>
      <c r="C36" s="350"/>
      <c r="D36" s="486"/>
      <c r="E36" s="469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thickBot="1">
      <c r="B37" s="528"/>
      <c r="C37" s="362"/>
      <c r="D37" s="466"/>
      <c r="E37" s="467"/>
      <c r="F37" s="294"/>
      <c r="G37" s="42"/>
      <c r="H37" s="41"/>
      <c r="I37" s="42"/>
      <c r="J37" s="519" t="s">
        <v>129</v>
      </c>
      <c r="K37" s="519"/>
      <c r="L37" s="294"/>
      <c r="M37" s="294"/>
      <c r="N37" s="294"/>
      <c r="O37" s="294"/>
      <c r="P37" s="12"/>
    </row>
    <row r="38" spans="1:56" ht="13.5" customHeight="1" thickBot="1">
      <c r="B38" s="521"/>
      <c r="C38" s="349"/>
      <c r="D38" s="468"/>
      <c r="E38" s="469"/>
      <c r="F38" s="294"/>
      <c r="G38" s="42"/>
      <c r="H38" s="41"/>
      <c r="I38" s="41"/>
      <c r="J38" s="292" t="s">
        <v>17</v>
      </c>
      <c r="K38" s="293" t="s">
        <v>147</v>
      </c>
      <c r="L38" s="471" t="s">
        <v>136</v>
      </c>
      <c r="M38" s="471"/>
      <c r="N38" s="472"/>
      <c r="O38" s="294"/>
      <c r="P38" s="12"/>
    </row>
    <row r="39" spans="1:56" ht="15" customHeight="1" thickBot="1">
      <c r="B39" s="521"/>
      <c r="C39" s="349"/>
      <c r="D39" s="473"/>
      <c r="E39" s="474"/>
      <c r="F39" s="294"/>
      <c r="G39" s="42"/>
      <c r="H39" s="41"/>
      <c r="I39" s="41"/>
      <c r="J39" s="287" t="s">
        <v>6</v>
      </c>
      <c r="K39" s="324">
        <f>COUNTA(B10:B16)</f>
        <v>7</v>
      </c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21"/>
      <c r="C40" s="349"/>
      <c r="D40" s="468"/>
      <c r="E40" s="469"/>
      <c r="F40" s="294"/>
      <c r="G40" s="42"/>
      <c r="H40" s="41"/>
      <c r="I40" s="41"/>
      <c r="J40" s="345" t="s">
        <v>9</v>
      </c>
      <c r="K40" s="324">
        <v>2</v>
      </c>
      <c r="L40" s="344">
        <f>AVERAGE('May 2nd -4th'!I70,'May 2nd -4th'!K70,'May 5th'!K77,'May 6th'!K60,'May 7th'!K57,'May 8th'!K53,'May 9th-10th'!I60,'May 9th-10th'!K60,'May 12th'!K43,'May 13th'!K45,'May 14th'!K50,K49)</f>
        <v>7.583333333333333</v>
      </c>
      <c r="M40" s="325">
        <f>AVERAGE('[29]Jan 29th '!$M$70,'[30]Feb 28th'!$L$40,'[31]Mar. 31st'!$L$40,'[32]Apr. 30th'!$L$50,L40)</f>
        <v>6.7058209906036002</v>
      </c>
      <c r="N40" s="420">
        <v>9.1999999999999993</v>
      </c>
      <c r="O40" s="294"/>
      <c r="P40" s="12"/>
    </row>
    <row r="41" spans="1:56" ht="15" customHeight="1">
      <c r="B41" s="521"/>
      <c r="C41" s="349"/>
      <c r="D41" s="473"/>
      <c r="E41" s="474"/>
      <c r="F41" s="294"/>
      <c r="G41" s="42"/>
      <c r="H41" s="41"/>
      <c r="I41" s="41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1"/>
      <c r="C42" s="349"/>
      <c r="D42" s="468"/>
      <c r="E42" s="469"/>
      <c r="F42" s="294"/>
      <c r="G42" s="42"/>
      <c r="H42" s="41"/>
      <c r="I42" s="41"/>
      <c r="J42" s="289" t="s">
        <v>33</v>
      </c>
      <c r="K42" s="324"/>
      <c r="L42" s="294"/>
      <c r="M42" s="294"/>
      <c r="N42" s="294"/>
      <c r="O42" s="294"/>
      <c r="P42" s="12"/>
    </row>
    <row r="43" spans="1:56" ht="14.4">
      <c r="B43" s="521"/>
      <c r="C43" s="349"/>
      <c r="D43" s="473"/>
      <c r="E43" s="474"/>
      <c r="F43" s="294"/>
      <c r="G43" s="42"/>
      <c r="H43" s="41"/>
      <c r="I43" s="41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4.4">
      <c r="B44" s="521"/>
      <c r="C44" s="349"/>
      <c r="D44" s="468"/>
      <c r="E44" s="469"/>
      <c r="F44" s="294"/>
      <c r="G44" s="42"/>
      <c r="H44" s="41"/>
      <c r="I44" s="41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4.4">
      <c r="B45" s="521"/>
      <c r="C45" s="349"/>
      <c r="D45" s="475"/>
      <c r="E45" s="476"/>
      <c r="F45" s="294"/>
      <c r="G45" s="42"/>
      <c r="H45" s="41"/>
      <c r="I45" s="41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" thickBot="1">
      <c r="B46" s="522"/>
      <c r="C46" s="350"/>
      <c r="D46" s="477"/>
      <c r="E46" s="478"/>
      <c r="F46" s="294"/>
      <c r="G46" s="42"/>
      <c r="H46" s="41"/>
      <c r="I46" s="41"/>
      <c r="J46" s="291" t="s">
        <v>148</v>
      </c>
      <c r="K46" s="324"/>
      <c r="L46" s="294"/>
      <c r="M46" s="294"/>
      <c r="N46" s="294"/>
      <c r="O46" s="294"/>
      <c r="P46" s="12"/>
      <c r="BC46" s="44"/>
      <c r="BD46" s="44"/>
    </row>
    <row r="47" spans="1:56" ht="17.7" customHeight="1" thickBot="1">
      <c r="B47" s="312" t="s">
        <v>139</v>
      </c>
      <c r="C47" s="313"/>
      <c r="D47" s="457" t="e">
        <f>AVERAGE(D25:E46)</f>
        <v>#DIV/0!</v>
      </c>
      <c r="E47" s="458"/>
      <c r="F47" s="294"/>
      <c r="G47" s="42"/>
      <c r="H47" s="41"/>
      <c r="I47" s="41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7" customHeight="1">
      <c r="B48" s="363"/>
      <c r="C48" s="364"/>
      <c r="D48" s="365"/>
      <c r="E48" s="365"/>
      <c r="F48" s="294"/>
      <c r="G48" s="42"/>
      <c r="H48" s="41"/>
      <c r="I48" s="41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customHeight="1">
      <c r="B49" s="45"/>
      <c r="C49" s="11"/>
      <c r="D49" s="11"/>
      <c r="E49" s="46"/>
      <c r="F49" s="294"/>
      <c r="G49" s="42"/>
      <c r="H49" s="41"/>
      <c r="I49" s="41"/>
      <c r="J49" s="346" t="s">
        <v>130</v>
      </c>
      <c r="K49" s="324">
        <f>SUM(K39:K48)</f>
        <v>9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P50" s="334"/>
    </row>
    <row r="51" spans="2:57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</row>
    <row r="52" spans="2:57" ht="15" customHeight="1" thickBot="1">
      <c r="B52" s="447" t="s">
        <v>17</v>
      </c>
      <c r="C52" s="447" t="s">
        <v>44</v>
      </c>
      <c r="D52" s="459" t="s">
        <v>45</v>
      </c>
      <c r="E52" s="461" t="s">
        <v>46</v>
      </c>
      <c r="F52" s="455" t="s">
        <v>47</v>
      </c>
      <c r="G52" s="445" t="s">
        <v>48</v>
      </c>
      <c r="H52" s="447" t="s">
        <v>49</v>
      </c>
      <c r="I52" s="447" t="s">
        <v>50</v>
      </c>
      <c r="J52" s="439" t="s">
        <v>28</v>
      </c>
      <c r="K52" s="451" t="s">
        <v>51</v>
      </c>
      <c r="L52" s="453" t="s">
        <v>52</v>
      </c>
      <c r="M52" s="439" t="s">
        <v>53</v>
      </c>
      <c r="N52" s="13"/>
      <c r="O52" s="13"/>
      <c r="P52" s="50"/>
    </row>
    <row r="53" spans="2:57" ht="28.5" customHeight="1" thickTop="1" thickBot="1">
      <c r="B53" s="448"/>
      <c r="C53" s="448"/>
      <c r="D53" s="460"/>
      <c r="E53" s="462"/>
      <c r="F53" s="456"/>
      <c r="G53" s="446"/>
      <c r="H53" s="448"/>
      <c r="I53" s="448"/>
      <c r="J53" s="440"/>
      <c r="K53" s="452"/>
      <c r="L53" s="454"/>
      <c r="M53" s="440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3.25" customHeight="1">
      <c r="B54" s="431"/>
      <c r="C54" s="283"/>
      <c r="D54" s="377"/>
      <c r="E54" s="378"/>
      <c r="F54" s="379"/>
      <c r="G54" s="303"/>
      <c r="H54" s="320"/>
      <c r="I54" s="322"/>
      <c r="J54" s="281"/>
      <c r="K54" s="286"/>
      <c r="L54" s="314"/>
      <c r="M54" s="419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57" t="e">
        <f>[20]January_2019!L7</f>
        <v>#REF!</v>
      </c>
      <c r="AC54" s="57" t="e">
        <f>[20]January_2019!M7</f>
        <v>#REF!</v>
      </c>
      <c r="AD54" s="57" t="e">
        <f>[20]January_2019!N7</f>
        <v>#REF!</v>
      </c>
      <c r="AE54" s="57" t="e">
        <f>[20]January_2019!O7</f>
        <v>#REF!</v>
      </c>
      <c r="AF54" s="57" t="e">
        <f>[20]January_2019!P7</f>
        <v>#REF!</v>
      </c>
      <c r="AG54" s="57" t="e">
        <f>[20]January_2019!Q7</f>
        <v>#REF!</v>
      </c>
      <c r="AH54" s="57" t="e">
        <f>[20]January_2019!R7</f>
        <v>#REF!</v>
      </c>
      <c r="AI54" s="57" t="e">
        <f>[20]January_2019!S7</f>
        <v>#REF!</v>
      </c>
      <c r="AJ54" s="57" t="e">
        <f>[20]January_2019!T7</f>
        <v>#REF!</v>
      </c>
      <c r="AK54" s="57" t="e">
        <f>[20]January_2019!U7</f>
        <v>#REF!</v>
      </c>
      <c r="AL54" s="57" t="e">
        <f>[20]January_2019!V7</f>
        <v>#REF!</v>
      </c>
      <c r="AM54" s="57" t="e">
        <f>[20]January_2019!W7</f>
        <v>#REF!</v>
      </c>
      <c r="AN54" s="57" t="e">
        <f>[20]January_2019!X7</f>
        <v>#REF!</v>
      </c>
      <c r="AO54" s="57" t="e">
        <f>[20]January_2019!Y7</f>
        <v>#REF!</v>
      </c>
      <c r="AP54" s="57" t="e">
        <f>[20]January_2019!Z7</f>
        <v>#REF!</v>
      </c>
      <c r="AQ54" s="57" t="e">
        <f>[20]January_2019!AA7</f>
        <v>#REF!</v>
      </c>
      <c r="AR54" s="57" t="e">
        <f>[20]January_2019!AB7</f>
        <v>#REF!</v>
      </c>
      <c r="AS54" s="57" t="e">
        <f>[20]January_2019!AC7</f>
        <v>#REF!</v>
      </c>
      <c r="AT54" s="57" t="e">
        <f>[20]January_2019!AD7</f>
        <v>#REF!</v>
      </c>
      <c r="AU54" s="57" t="e">
        <f>[20]January_2019!AE7</f>
        <v>#REF!</v>
      </c>
      <c r="AV54" s="57" t="e">
        <f>[20]January_2019!AF7</f>
        <v>#REF!</v>
      </c>
      <c r="AW54" s="57" t="e">
        <f>[20]January_2019!AG7</f>
        <v>#REF!</v>
      </c>
      <c r="AX54" s="277" t="e">
        <f>[20]January_2019!AH7</f>
        <v>#REF!</v>
      </c>
      <c r="AY54" s="277"/>
      <c r="AZ54" s="277"/>
      <c r="BA54" s="277"/>
      <c r="BB54" s="277"/>
      <c r="BC54" s="277"/>
      <c r="BD54" s="277"/>
      <c r="BE54" s="277"/>
    </row>
    <row r="55" spans="2:57" s="54" customFormat="1" ht="16.5" customHeight="1">
      <c r="B55" s="431"/>
      <c r="C55" s="283"/>
      <c r="D55" s="377"/>
      <c r="E55" s="378"/>
      <c r="F55" s="379"/>
      <c r="G55" s="303"/>
      <c r="H55" s="320"/>
      <c r="I55" s="322"/>
      <c r="J55" s="281"/>
      <c r="K55" s="286"/>
      <c r="L55" s="314"/>
      <c r="M55" s="419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  <c r="AO55" s="418"/>
      <c r="AP55" s="418"/>
      <c r="AQ55" s="418"/>
      <c r="AR55" s="418"/>
      <c r="AS55" s="418"/>
      <c r="AT55" s="418"/>
      <c r="AU55" s="418"/>
      <c r="AV55" s="418"/>
      <c r="AW55" s="418"/>
    </row>
    <row r="56" spans="2:57" s="54" customFormat="1" ht="51" customHeight="1">
      <c r="B56" s="431"/>
      <c r="C56" s="283"/>
      <c r="D56" s="377"/>
      <c r="E56" s="378"/>
      <c r="F56" s="379"/>
      <c r="G56" s="303"/>
      <c r="H56" s="320"/>
      <c r="I56" s="322"/>
      <c r="J56" s="281"/>
      <c r="K56" s="286"/>
      <c r="L56" s="314"/>
      <c r="M56" s="419"/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  <c r="AO56" s="418"/>
      <c r="AP56" s="418"/>
      <c r="AQ56" s="418"/>
      <c r="AR56" s="418"/>
      <c r="AS56" s="418"/>
      <c r="AT56" s="418"/>
      <c r="AU56" s="418"/>
      <c r="AV56" s="418"/>
      <c r="AW56" s="418"/>
    </row>
    <row r="57" spans="2:57" ht="18" customHeight="1" thickBot="1">
      <c r="B57" s="59"/>
      <c r="C57" s="30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6"/>
      <c r="P57" s="60"/>
    </row>
    <row r="58" spans="2:57" ht="14.4" thickBot="1">
      <c r="B58" s="441" t="s">
        <v>55</v>
      </c>
      <c r="C58" s="442"/>
      <c r="D58" s="442"/>
      <c r="E58" s="442"/>
      <c r="F58" s="443"/>
      <c r="G58" s="441" t="s">
        <v>56</v>
      </c>
      <c r="H58" s="442"/>
      <c r="I58" s="442"/>
      <c r="J58" s="443"/>
      <c r="K58" s="441" t="s">
        <v>51</v>
      </c>
      <c r="L58" s="442"/>
      <c r="M58" s="442"/>
      <c r="N58" s="444"/>
      <c r="O58" s="56"/>
      <c r="P58" s="50"/>
    </row>
    <row r="59" spans="2:57">
      <c r="B59" s="61" t="s">
        <v>17</v>
      </c>
      <c r="C59" s="62" t="s">
        <v>36</v>
      </c>
      <c r="D59" s="62" t="s">
        <v>37</v>
      </c>
      <c r="E59" s="62" t="s">
        <v>38</v>
      </c>
      <c r="F59" s="63" t="s">
        <v>39</v>
      </c>
      <c r="G59" s="62" t="s">
        <v>36</v>
      </c>
      <c r="H59" s="62" t="s">
        <v>37</v>
      </c>
      <c r="I59" s="62" t="s">
        <v>38</v>
      </c>
      <c r="J59" s="63" t="s">
        <v>39</v>
      </c>
      <c r="K59" s="62"/>
      <c r="L59" s="62" t="s">
        <v>37</v>
      </c>
      <c r="M59" s="62" t="s">
        <v>38</v>
      </c>
      <c r="N59" s="63" t="s">
        <v>39</v>
      </c>
      <c r="O59" s="56"/>
      <c r="P59" s="64"/>
    </row>
    <row r="60" spans="2:57">
      <c r="B60" s="29" t="s">
        <v>6</v>
      </c>
      <c r="C60" s="65"/>
      <c r="D60" s="76">
        <v>5.1029678982435289</v>
      </c>
      <c r="E60" s="76">
        <v>6.9687914928340557</v>
      </c>
      <c r="F60" s="66">
        <v>4.8</v>
      </c>
      <c r="G60" s="65"/>
      <c r="H60" s="76">
        <v>4.0305043051635918</v>
      </c>
      <c r="I60" s="76">
        <v>6.9242793069199937</v>
      </c>
      <c r="J60" s="66">
        <v>4.8</v>
      </c>
      <c r="K60" s="67"/>
      <c r="L60" s="194">
        <v>1.0851461988304094</v>
      </c>
      <c r="M60" s="194">
        <v>0.77725437836036171</v>
      </c>
      <c r="N60" s="68">
        <v>1</v>
      </c>
      <c r="O60" s="56"/>
      <c r="P60" s="69"/>
    </row>
    <row r="61" spans="2:57">
      <c r="B61" s="33" t="s">
        <v>9</v>
      </c>
      <c r="C61" s="65"/>
      <c r="D61" s="76">
        <v>5.4863941831001624</v>
      </c>
      <c r="E61" s="76">
        <v>6.0466248242515723</v>
      </c>
      <c r="F61" s="66">
        <v>4.8</v>
      </c>
      <c r="G61" s="65"/>
      <c r="H61" s="76">
        <v>4.1755560913734726</v>
      </c>
      <c r="I61" s="76">
        <v>6.3497243838286446</v>
      </c>
      <c r="J61" s="66">
        <v>4.8</v>
      </c>
      <c r="K61" s="67"/>
      <c r="L61" s="194">
        <v>0.61318713450292395</v>
      </c>
      <c r="M61" s="194">
        <v>0.74352497019151897</v>
      </c>
      <c r="N61" s="68">
        <v>1</v>
      </c>
      <c r="P61" s="69"/>
    </row>
    <row r="62" spans="2:57">
      <c r="B62" s="34" t="s">
        <v>40</v>
      </c>
      <c r="C62" s="65"/>
      <c r="D62" s="76"/>
      <c r="E62" s="76">
        <v>12.554572931825788</v>
      </c>
      <c r="F62" s="66">
        <v>5.5</v>
      </c>
      <c r="G62" s="65"/>
      <c r="H62" s="76"/>
      <c r="I62" s="76">
        <v>13.449891307585697</v>
      </c>
      <c r="J62" s="66">
        <v>5.5</v>
      </c>
      <c r="K62" s="67"/>
      <c r="L62" s="194"/>
      <c r="M62" s="194">
        <v>0.54554653679653675</v>
      </c>
      <c r="N62" s="68">
        <v>1</v>
      </c>
      <c r="P62" s="69"/>
    </row>
    <row r="63" spans="2:57">
      <c r="B63" s="22" t="s">
        <v>33</v>
      </c>
      <c r="C63" s="65"/>
      <c r="D63" s="76">
        <v>3.4057735971456373</v>
      </c>
      <c r="E63" s="76">
        <v>1.6190544721882421</v>
      </c>
      <c r="F63" s="66">
        <v>3.3</v>
      </c>
      <c r="G63" s="65"/>
      <c r="H63" s="76">
        <v>2.1612156300633463</v>
      </c>
      <c r="I63" s="76">
        <v>4.4964752224031521</v>
      </c>
      <c r="J63" s="66">
        <v>3.3</v>
      </c>
      <c r="K63" s="67"/>
      <c r="L63" s="194">
        <v>1.0449122807017543</v>
      </c>
      <c r="M63" s="194">
        <v>0.90649122807017535</v>
      </c>
      <c r="N63" s="68">
        <v>1</v>
      </c>
      <c r="P63" s="69"/>
    </row>
    <row r="64" spans="2:57">
      <c r="B64" s="35" t="s">
        <v>29</v>
      </c>
      <c r="C64" s="65"/>
      <c r="D64" s="76"/>
      <c r="E64" s="76"/>
      <c r="F64" s="66">
        <v>3.3</v>
      </c>
      <c r="G64" s="282"/>
      <c r="H64" s="76"/>
      <c r="I64" s="76"/>
      <c r="J64" s="66">
        <v>3</v>
      </c>
      <c r="L64" s="194"/>
      <c r="M64" s="194"/>
      <c r="N64" s="68">
        <v>1</v>
      </c>
      <c r="P64" s="69"/>
    </row>
    <row r="65" spans="2:16">
      <c r="B65" s="36" t="s">
        <v>15</v>
      </c>
      <c r="C65" s="282"/>
      <c r="D65" s="76"/>
      <c r="E65" s="76">
        <v>7.8262258425171876</v>
      </c>
      <c r="F65" s="70">
        <f>[21]May_2022!$M$43</f>
        <v>3.4878406700073312</v>
      </c>
      <c r="G65" s="282"/>
      <c r="H65" s="76"/>
      <c r="I65" s="76">
        <v>9.4300678869947632</v>
      </c>
      <c r="J65" s="66">
        <v>5.5</v>
      </c>
      <c r="K65" s="67"/>
      <c r="L65" s="194"/>
      <c r="M65" s="194">
        <v>0.674970760233918</v>
      </c>
      <c r="N65" s="68">
        <v>1</v>
      </c>
      <c r="P65" s="69"/>
    </row>
    <row r="66" spans="2:16">
      <c r="B66" s="37" t="s">
        <v>16</v>
      </c>
      <c r="C66" s="65"/>
      <c r="D66" s="76">
        <v>3.8832609744331941</v>
      </c>
      <c r="E66" s="76">
        <v>2.4852159592783925</v>
      </c>
      <c r="F66" s="66">
        <v>3.3</v>
      </c>
      <c r="G66" s="282"/>
      <c r="H66" s="76">
        <v>4.1755914731086534</v>
      </c>
      <c r="I66" s="76">
        <v>4.4843055604984379</v>
      </c>
      <c r="J66" s="66">
        <v>3.3</v>
      </c>
      <c r="K66" s="67"/>
      <c r="L66" s="194">
        <v>0.69912280701754381</v>
      </c>
      <c r="M66" s="194">
        <v>0.79924705882352942</v>
      </c>
      <c r="N66" s="71">
        <v>1</v>
      </c>
      <c r="P66" s="69"/>
    </row>
    <row r="67" spans="2:16" ht="14.4" thickBot="1">
      <c r="B67" s="38" t="s">
        <v>127</v>
      </c>
      <c r="C67" s="65"/>
      <c r="D67" s="76"/>
      <c r="E67" s="76"/>
      <c r="F67" s="66">
        <v>7.5</v>
      </c>
      <c r="G67" s="282"/>
      <c r="H67" s="76"/>
      <c r="I67" s="76"/>
      <c r="J67" s="66">
        <v>7.5</v>
      </c>
      <c r="K67" s="67"/>
      <c r="L67" s="194"/>
      <c r="M67" s="194"/>
      <c r="N67" s="71">
        <v>1</v>
      </c>
      <c r="P67" s="69"/>
    </row>
    <row r="68" spans="2:16" ht="14.4" thickBot="1">
      <c r="B68" s="417" t="s">
        <v>161</v>
      </c>
      <c r="C68" s="65"/>
      <c r="D68" s="76"/>
      <c r="E68" s="76">
        <v>4.8792508624938291</v>
      </c>
      <c r="F68" s="66">
        <v>4.8</v>
      </c>
      <c r="G68" s="282"/>
      <c r="H68" s="76"/>
      <c r="I68" s="76">
        <v>6.2003723782925313</v>
      </c>
      <c r="J68" s="66">
        <v>4.8</v>
      </c>
      <c r="K68" s="67"/>
      <c r="L68" s="194"/>
      <c r="M68" s="194">
        <v>0.33859649122807017</v>
      </c>
      <c r="N68" s="71">
        <v>1</v>
      </c>
      <c r="O68" s="74"/>
      <c r="P68" s="75"/>
    </row>
    <row r="69" spans="2:16">
      <c r="D69" s="76">
        <v>4.4741587560818088</v>
      </c>
      <c r="E69" s="76">
        <v>6.5821095866187589</v>
      </c>
      <c r="F69" s="341">
        <v>5.5</v>
      </c>
      <c r="H69" s="76">
        <v>3.849089157939324</v>
      </c>
      <c r="I69" s="76">
        <v>7.187202401294833</v>
      </c>
      <c r="J69" s="341">
        <v>5.5</v>
      </c>
      <c r="K69" s="67"/>
      <c r="L69" s="194">
        <v>0.86562134502923971</v>
      </c>
      <c r="M69" s="194">
        <v>0.74813383131030187</v>
      </c>
      <c r="N69" s="386">
        <v>1</v>
      </c>
    </row>
    <row r="73" spans="2:16">
      <c r="F73" s="315"/>
    </row>
  </sheetData>
  <mergeCells count="51">
    <mergeCell ref="M52:M53"/>
    <mergeCell ref="B58:F58"/>
    <mergeCell ref="G58:J58"/>
    <mergeCell ref="K58:N58"/>
    <mergeCell ref="G52:G53"/>
    <mergeCell ref="H52:H53"/>
    <mergeCell ref="I52:I53"/>
    <mergeCell ref="J52:J53"/>
    <mergeCell ref="K52:K53"/>
    <mergeCell ref="L52:L53"/>
    <mergeCell ref="F52:F53"/>
    <mergeCell ref="D47:E47"/>
    <mergeCell ref="B52:B53"/>
    <mergeCell ref="C52:C53"/>
    <mergeCell ref="D52:D53"/>
    <mergeCell ref="E52:E53"/>
    <mergeCell ref="B37:B46"/>
    <mergeCell ref="D37:E38"/>
    <mergeCell ref="J37:K37"/>
    <mergeCell ref="L38:N38"/>
    <mergeCell ref="D39:E40"/>
    <mergeCell ref="D41:E42"/>
    <mergeCell ref="D43:E44"/>
    <mergeCell ref="D45:E46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7:B48">
    <cfRule type="cellIs" dxfId="1221" priority="117" operator="notBetween">
      <formula>#REF!</formula>
      <formula>#REF!</formula>
    </cfRule>
  </conditionalFormatting>
  <conditionalFormatting sqref="C51">
    <cfRule type="cellIs" dxfId="1220" priority="149" stopIfTrue="1" operator="greaterThan">
      <formula>100</formula>
    </cfRule>
    <cfRule type="cellIs" dxfId="1219" priority="148" stopIfTrue="1" operator="lessThan">
      <formula>96</formula>
    </cfRule>
  </conditionalFormatting>
  <conditionalFormatting sqref="C60:C61">
    <cfRule type="cellIs" dxfId="1218" priority="93" stopIfTrue="1" operator="lessThanOrEqual">
      <formula>0</formula>
    </cfRule>
  </conditionalFormatting>
  <conditionalFormatting sqref="C60:C64">
    <cfRule type="cellIs" dxfId="1217" priority="92" stopIfTrue="1" operator="greaterThan">
      <formula>$F60</formula>
    </cfRule>
  </conditionalFormatting>
  <conditionalFormatting sqref="C61">
    <cfRule type="cellIs" dxfId="1216" priority="152" stopIfTrue="1" operator="greaterThan">
      <formula>$F60</formula>
    </cfRule>
  </conditionalFormatting>
  <conditionalFormatting sqref="C62:C65">
    <cfRule type="cellIs" dxfId="1215" priority="101" stopIfTrue="1" operator="lessThanOrEqual">
      <formula>0</formula>
    </cfRule>
  </conditionalFormatting>
  <conditionalFormatting sqref="C65">
    <cfRule type="cellIs" dxfId="1214" priority="100" stopIfTrue="1" operator="greaterThan">
      <formula>$J65</formula>
    </cfRule>
  </conditionalFormatting>
  <conditionalFormatting sqref="C71:C75">
    <cfRule type="cellIs" dxfId="1213" priority="140" stopIfTrue="1" operator="lessThanOrEqual">
      <formula>0</formula>
    </cfRule>
  </conditionalFormatting>
  <conditionalFormatting sqref="C72:C75">
    <cfRule type="cellIs" dxfId="1212" priority="139" stopIfTrue="1" operator="greaterThan">
      <formula>$F$71</formula>
    </cfRule>
  </conditionalFormatting>
  <conditionalFormatting sqref="C77">
    <cfRule type="cellIs" dxfId="1211" priority="142" stopIfTrue="1" operator="lessThanOrEqual">
      <formula>0</formula>
    </cfRule>
    <cfRule type="cellIs" dxfId="1210" priority="141" stopIfTrue="1" operator="greaterThan">
      <formula>$F$71</formula>
    </cfRule>
  </conditionalFormatting>
  <conditionalFormatting sqref="C71:D71 D73:D79">
    <cfRule type="cellIs" dxfId="1209" priority="134" stopIfTrue="1" operator="greaterThan">
      <formula>4.5</formula>
    </cfRule>
  </conditionalFormatting>
  <conditionalFormatting sqref="D47:D48">
    <cfRule type="cellIs" dxfId="1208" priority="118" operator="notBetween">
      <formula>#REF!</formula>
      <formula>#REF!</formula>
    </cfRule>
  </conditionalFormatting>
  <conditionalFormatting sqref="D60:D67">
    <cfRule type="cellIs" dxfId="1207" priority="111" stopIfTrue="1" operator="lessThanOrEqual">
      <formula>0</formula>
    </cfRule>
  </conditionalFormatting>
  <conditionalFormatting sqref="D68">
    <cfRule type="cellIs" dxfId="1206" priority="110" stopIfTrue="1" operator="lessThanOrEqual">
      <formula>0</formula>
    </cfRule>
  </conditionalFormatting>
  <conditionalFormatting sqref="D71 D73:D79">
    <cfRule type="cellIs" dxfId="1205" priority="135" stopIfTrue="1" operator="lessThanOrEqual">
      <formula>0</formula>
    </cfRule>
  </conditionalFormatting>
  <conditionalFormatting sqref="D72">
    <cfRule type="cellIs" dxfId="1204" priority="127" stopIfTrue="1" operator="lessThanOrEqual">
      <formula>0</formula>
    </cfRule>
    <cfRule type="cellIs" dxfId="1203" priority="126" stopIfTrue="1" operator="greaterThan">
      <formula>$F$71</formula>
    </cfRule>
  </conditionalFormatting>
  <conditionalFormatting sqref="D60:E69">
    <cfRule type="cellIs" dxfId="1202" priority="89" stopIfTrue="1" operator="greaterThan">
      <formula>$F60</formula>
    </cfRule>
  </conditionalFormatting>
  <conditionalFormatting sqref="D69:E69">
    <cfRule type="cellIs" dxfId="1201" priority="90" stopIfTrue="1" operator="lessThanOrEqual">
      <formula>0</formula>
    </cfRule>
  </conditionalFormatting>
  <conditionalFormatting sqref="E10:E22">
    <cfRule type="cellIs" dxfId="1200" priority="6" operator="lessThan">
      <formula>48</formula>
    </cfRule>
  </conditionalFormatting>
  <conditionalFormatting sqref="E50 E51:F51">
    <cfRule type="cellIs" dxfId="1199" priority="131" stopIfTrue="1" operator="greaterThan">
      <formula>100</formula>
    </cfRule>
  </conditionalFormatting>
  <conditionalFormatting sqref="E51">
    <cfRule type="cellIs" dxfId="1198" priority="128" stopIfTrue="1" operator="lessThan">
      <formula>96.8</formula>
    </cfRule>
    <cfRule type="cellIs" dxfId="1197" priority="129" stopIfTrue="1" operator="greaterThan">
      <formula>100</formula>
    </cfRule>
  </conditionalFormatting>
  <conditionalFormatting sqref="E60:E68">
    <cfRule type="cellIs" dxfId="1196" priority="105" stopIfTrue="1" operator="lessThanOrEqual">
      <formula>0</formula>
    </cfRule>
  </conditionalFormatting>
  <conditionalFormatting sqref="E71:E79">
    <cfRule type="cellIs" dxfId="1195" priority="121" stopIfTrue="1" operator="lessThanOrEqual">
      <formula>0</formula>
    </cfRule>
    <cfRule type="cellIs" dxfId="1194" priority="120" stopIfTrue="1" operator="greaterThan">
      <formula>4.5</formula>
    </cfRule>
  </conditionalFormatting>
  <conditionalFormatting sqref="E51:F51 E50">
    <cfRule type="cellIs" dxfId="1193" priority="130" stopIfTrue="1" operator="lessThan">
      <formula>96.5</formula>
    </cfRule>
  </conditionalFormatting>
  <conditionalFormatting sqref="F10:F22">
    <cfRule type="cellIs" dxfId="1192" priority="7" operator="greaterThan">
      <formula>60</formula>
    </cfRule>
  </conditionalFormatting>
  <conditionalFormatting sqref="F51">
    <cfRule type="cellIs" dxfId="1191" priority="147" stopIfTrue="1" operator="greaterThan">
      <formula>100</formula>
    </cfRule>
    <cfRule type="cellIs" dxfId="1190" priority="146" stopIfTrue="1" operator="lessThan">
      <formula>96.8</formula>
    </cfRule>
  </conditionalFormatting>
  <conditionalFormatting sqref="F69">
    <cfRule type="cellIs" dxfId="1189" priority="107" stopIfTrue="1" operator="lessThanOrEqual">
      <formula>0</formula>
    </cfRule>
    <cfRule type="cellIs" dxfId="1188" priority="106" stopIfTrue="1" operator="greaterThan">
      <formula>$F69</formula>
    </cfRule>
  </conditionalFormatting>
  <conditionalFormatting sqref="G18:G22">
    <cfRule type="expression" dxfId="1187" priority="8">
      <formula>IF(+(IF(G18&lt;#REF!,0,IF(G18&gt;#REF!,0,1)))=0,1)</formula>
    </cfRule>
  </conditionalFormatting>
  <conditionalFormatting sqref="G60:G61 C66:C68">
    <cfRule type="cellIs" dxfId="1186" priority="113" stopIfTrue="1" operator="lessThanOrEqual">
      <formula>0</formula>
    </cfRule>
    <cfRule type="cellIs" dxfId="1185" priority="112" stopIfTrue="1" operator="greaterThan">
      <formula>$F60</formula>
    </cfRule>
  </conditionalFormatting>
  <conditionalFormatting sqref="G60:G61">
    <cfRule type="cellIs" dxfId="1184" priority="94" stopIfTrue="1" operator="greaterThan">
      <formula>$F60</formula>
    </cfRule>
    <cfRule type="cellIs" dxfId="1183" priority="95" stopIfTrue="1" operator="lessThanOrEqual">
      <formula>0</formula>
    </cfRule>
  </conditionalFormatting>
  <conditionalFormatting sqref="G62">
    <cfRule type="cellIs" dxfId="1182" priority="150" stopIfTrue="1" operator="greaterThan">
      <formula>$F61</formula>
    </cfRule>
    <cfRule type="cellIs" dxfId="1181" priority="151" stopIfTrue="1" operator="lessThanOrEqual">
      <formula>0</formula>
    </cfRule>
  </conditionalFormatting>
  <conditionalFormatting sqref="G63">
    <cfRule type="cellIs" dxfId="1180" priority="109" stopIfTrue="1" operator="lessThanOrEqual">
      <formula>0</formula>
    </cfRule>
    <cfRule type="cellIs" dxfId="1179" priority="108" stopIfTrue="1" operator="greaterThan">
      <formula>$F63</formula>
    </cfRule>
  </conditionalFormatting>
  <conditionalFormatting sqref="G64:G68">
    <cfRule type="cellIs" dxfId="1178" priority="115" stopIfTrue="1" operator="lessThanOrEqual">
      <formula>0</formula>
    </cfRule>
    <cfRule type="cellIs" dxfId="1177" priority="114" stopIfTrue="1" operator="greaterThan">
      <formula>$J64</formula>
    </cfRule>
  </conditionalFormatting>
  <conditionalFormatting sqref="G73:G78 C76 C78">
    <cfRule type="cellIs" dxfId="1176" priority="143" stopIfTrue="1" operator="greaterThan">
      <formula>4.5</formula>
    </cfRule>
    <cfRule type="cellIs" dxfId="1175" priority="144" stopIfTrue="1" operator="lessThanOrEqual">
      <formula>0</formula>
    </cfRule>
  </conditionalFormatting>
  <conditionalFormatting sqref="G10:H17">
    <cfRule type="expression" dxfId="1174" priority="16">
      <formula>IF(+(IF(G10&lt;#REF!,0,IF(G10&gt;#REF!,0,1)))=0,1)</formula>
    </cfRule>
  </conditionalFormatting>
  <conditionalFormatting sqref="G72:H72">
    <cfRule type="cellIs" dxfId="1173" priority="124" stopIfTrue="1" operator="greaterThan">
      <formula>$F$71</formula>
    </cfRule>
    <cfRule type="cellIs" dxfId="1172" priority="125" stopIfTrue="1" operator="lessThanOrEqual">
      <formula>0</formula>
    </cfRule>
  </conditionalFormatting>
  <conditionalFormatting sqref="H18:H19">
    <cfRule type="expression" dxfId="1171" priority="12">
      <formula>IF(+(IF(H18&lt;#REF!,0,IF(H18&gt;#REF!,0,1)))=0,1)</formula>
    </cfRule>
  </conditionalFormatting>
  <conditionalFormatting sqref="H20:H22">
    <cfRule type="expression" dxfId="1170" priority="53">
      <formula>IF(+(IF(H20&lt;T20,0,IF(H20&gt;U20,0,1)))=0,1)</formula>
    </cfRule>
  </conditionalFormatting>
  <conditionalFormatting sqref="H36:H50 I38:I49">
    <cfRule type="cellIs" dxfId="1169" priority="122" stopIfTrue="1" operator="greaterThan">
      <formula>0</formula>
    </cfRule>
  </conditionalFormatting>
  <conditionalFormatting sqref="H54:H56">
    <cfRule type="cellIs" dxfId="1168" priority="73" stopIfTrue="1" operator="greaterThan">
      <formula>$F$36</formula>
    </cfRule>
    <cfRule type="cellIs" dxfId="1167" priority="71" stopIfTrue="1" operator="greaterThan">
      <formula>$F$38</formula>
    </cfRule>
    <cfRule type="cellIs" dxfId="1166" priority="72" stopIfTrue="1" operator="lessThanOrEqual">
      <formula>0</formula>
    </cfRule>
    <cfRule type="cellIs" dxfId="1165" priority="63" stopIfTrue="1" operator="greaterThan">
      <formula>$F$35</formula>
    </cfRule>
    <cfRule type="cellIs" dxfId="1164" priority="62" stopIfTrue="1" operator="lessThanOrEqual">
      <formula>0</formula>
    </cfRule>
    <cfRule type="cellIs" dxfId="1163" priority="74" stopIfTrue="1" operator="lessThanOrEqual">
      <formula>0</formula>
    </cfRule>
  </conditionalFormatting>
  <conditionalFormatting sqref="H60:H67">
    <cfRule type="cellIs" dxfId="1162" priority="98" stopIfTrue="1" operator="greaterThan">
      <formula>$J60</formula>
    </cfRule>
    <cfRule type="cellIs" dxfId="1161" priority="99" stopIfTrue="1" operator="lessThanOrEqual">
      <formula>0</formula>
    </cfRule>
  </conditionalFormatting>
  <conditionalFormatting sqref="H68">
    <cfRule type="cellIs" dxfId="1160" priority="102" operator="greaterThan">
      <formula>5.3</formula>
    </cfRule>
  </conditionalFormatting>
  <conditionalFormatting sqref="H71 H73:H79">
    <cfRule type="cellIs" dxfId="1159" priority="137" stopIfTrue="1" operator="lessThanOrEqual">
      <formula>0</formula>
    </cfRule>
    <cfRule type="cellIs" dxfId="1158" priority="136" stopIfTrue="1" operator="greaterThan">
      <formula>4.5</formula>
    </cfRule>
  </conditionalFormatting>
  <conditionalFormatting sqref="H54:I56">
    <cfRule type="cellIs" dxfId="1157" priority="61" stopIfTrue="1" operator="greaterThan">
      <formula>$F$37</formula>
    </cfRule>
    <cfRule type="cellIs" dxfId="1156" priority="64" stopIfTrue="1" operator="lessThanOrEqual">
      <formula>0</formula>
    </cfRule>
  </conditionalFormatting>
  <conditionalFormatting sqref="H69:I69">
    <cfRule type="cellIs" dxfId="1155" priority="88" stopIfTrue="1" operator="lessThanOrEqual">
      <formula>0</formula>
    </cfRule>
    <cfRule type="cellIs" dxfId="1154" priority="87" stopIfTrue="1" operator="greaterThan">
      <formula>$J69</formula>
    </cfRule>
  </conditionalFormatting>
  <conditionalFormatting sqref="I20:I22">
    <cfRule type="cellIs" dxfId="1153" priority="60" operator="lessThan">
      <formula>97.9</formula>
    </cfRule>
  </conditionalFormatting>
  <conditionalFormatting sqref="I54:I56">
    <cfRule type="cellIs" dxfId="1152" priority="66" stopIfTrue="1" operator="lessThanOrEqual">
      <formula>0</formula>
    </cfRule>
    <cfRule type="cellIs" dxfId="1151" priority="65" stopIfTrue="1" operator="greaterThan">
      <formula>$F$35</formula>
    </cfRule>
    <cfRule type="cellIs" dxfId="1150" priority="67" stopIfTrue="1" operator="greaterThan">
      <formula>$F$37</formula>
    </cfRule>
    <cfRule type="cellIs" dxfId="1149" priority="70" stopIfTrue="1" operator="lessThanOrEqual">
      <formula>0</formula>
    </cfRule>
    <cfRule type="cellIs" dxfId="1148" priority="69" stopIfTrue="1" operator="greaterThan">
      <formula>$F$35</formula>
    </cfRule>
    <cfRule type="cellIs" dxfId="1147" priority="68" stopIfTrue="1" operator="lessThanOrEqual">
      <formula>0</formula>
    </cfRule>
  </conditionalFormatting>
  <conditionalFormatting sqref="I60:I68">
    <cfRule type="cellIs" dxfId="1146" priority="103" stopIfTrue="1" operator="greaterThan">
      <formula>$J60</formula>
    </cfRule>
    <cfRule type="cellIs" dxfId="1145" priority="104" stopIfTrue="1" operator="lessThanOrEqual">
      <formula>0</formula>
    </cfRule>
  </conditionalFormatting>
  <conditionalFormatting sqref="I71:I79">
    <cfRule type="cellIs" dxfId="1144" priority="132" stopIfTrue="1" operator="greaterThan">
      <formula>4.5</formula>
    </cfRule>
    <cfRule type="cellIs" dxfId="1143" priority="133" stopIfTrue="1" operator="lessThanOrEqual">
      <formula>0</formula>
    </cfRule>
  </conditionalFormatting>
  <conditionalFormatting sqref="I10:J19">
    <cfRule type="cellIs" dxfId="1142" priority="5" operator="lessThan">
      <formula>97.9</formula>
    </cfRule>
  </conditionalFormatting>
  <conditionalFormatting sqref="J20:J22">
    <cfRule type="cellIs" dxfId="1141" priority="55" operator="greaterThan">
      <formula>6</formula>
    </cfRule>
    <cfRule type="cellIs" dxfId="1140" priority="56" operator="lessThan">
      <formula>4</formula>
    </cfRule>
    <cfRule type="cellIs" dxfId="1139" priority="59" operator="greaterThan">
      <formula>6.4</formula>
    </cfRule>
  </conditionalFormatting>
  <conditionalFormatting sqref="J25:J27">
    <cfRule type="cellIs" dxfId="1138" priority="79" operator="lessThan">
      <formula>98</formula>
    </cfRule>
    <cfRule type="cellIs" dxfId="1137" priority="78" stopIfTrue="1" operator="greaterThan">
      <formula>100</formula>
    </cfRule>
    <cfRule type="cellIs" dxfId="1136" priority="77" stopIfTrue="1" operator="lessThan">
      <formula>96.8</formula>
    </cfRule>
  </conditionalFormatting>
  <conditionalFormatting sqref="J25:J29">
    <cfRule type="cellIs" dxfId="1135" priority="76" operator="lessThan">
      <formula>97.4</formula>
    </cfRule>
  </conditionalFormatting>
  <conditionalFormatting sqref="J30">
    <cfRule type="cellIs" dxfId="1134" priority="80" operator="lessThan">
      <formula>98</formula>
    </cfRule>
  </conditionalFormatting>
  <conditionalFormatting sqref="J31:J33">
    <cfRule type="cellIs" dxfId="1133" priority="82" stopIfTrue="1" operator="greaterThan">
      <formula>100</formula>
    </cfRule>
    <cfRule type="cellIs" dxfId="1132" priority="81" stopIfTrue="1" operator="lessThan">
      <formula>96.8</formula>
    </cfRule>
  </conditionalFormatting>
  <conditionalFormatting sqref="J31:J34">
    <cfRule type="cellIs" dxfId="1131" priority="83" operator="lessThan">
      <formula>98</formula>
    </cfRule>
  </conditionalFormatting>
  <conditionalFormatting sqref="J69">
    <cfRule type="cellIs" dxfId="1130" priority="85" stopIfTrue="1" operator="lessThanOrEqual">
      <formula>0</formula>
    </cfRule>
    <cfRule type="cellIs" dxfId="1129" priority="84" stopIfTrue="1" operator="greaterThan">
      <formula>$F69</formula>
    </cfRule>
  </conditionalFormatting>
  <conditionalFormatting sqref="K10:K19">
    <cfRule type="cellIs" dxfId="1128" priority="3" operator="lessThan">
      <formula>4</formula>
    </cfRule>
    <cfRule type="cellIs" dxfId="1127" priority="4" operator="greaterThan">
      <formula>6.4</formula>
    </cfRule>
    <cfRule type="cellIs" dxfId="1126" priority="2" operator="greaterThan">
      <formula>6</formula>
    </cfRule>
  </conditionalFormatting>
  <conditionalFormatting sqref="K20:K22">
    <cfRule type="cellIs" dxfId="1125" priority="58" operator="greaterThan">
      <formula>65</formula>
    </cfRule>
    <cfRule type="cellIs" dxfId="1124" priority="57" operator="between">
      <formula>61</formula>
      <formula>65</formula>
    </cfRule>
  </conditionalFormatting>
  <conditionalFormatting sqref="K39:K48">
    <cfRule type="cellIs" dxfId="1123" priority="75" operator="notEqual">
      <formula>#REF!</formula>
    </cfRule>
  </conditionalFormatting>
  <conditionalFormatting sqref="K54:K56 K60:N63 L64:N64">
    <cfRule type="cellIs" dxfId="1122" priority="116" stopIfTrue="1" operator="lessThan">
      <formula>100%</formula>
    </cfRule>
  </conditionalFormatting>
  <conditionalFormatting sqref="K71:K76">
    <cfRule type="cellIs" dxfId="1121" priority="138" stopIfTrue="1" operator="lessThan">
      <formula>100%</formula>
    </cfRule>
  </conditionalFormatting>
  <conditionalFormatting sqref="K78:K79">
    <cfRule type="cellIs" dxfId="1120" priority="145" stopIfTrue="1" operator="lessThan">
      <formula>100%</formula>
    </cfRule>
  </conditionalFormatting>
  <conditionalFormatting sqref="K65:N69">
    <cfRule type="cellIs" dxfId="1119" priority="86" stopIfTrue="1" operator="lessThan">
      <formula>100%</formula>
    </cfRule>
  </conditionalFormatting>
  <conditionalFormatting sqref="L10:L17 L19">
    <cfRule type="cellIs" dxfId="1118" priority="21" operator="greaterThan">
      <formula>65</formula>
    </cfRule>
    <cfRule type="cellIs" dxfId="1117" priority="20" operator="between">
      <formula>61</formula>
      <formula>65</formula>
    </cfRule>
  </conditionalFormatting>
  <conditionalFormatting sqref="L18:M18">
    <cfRule type="cellIs" dxfId="1116" priority="10" operator="greaterThan">
      <formula>65</formula>
    </cfRule>
    <cfRule type="cellIs" dxfId="1115" priority="9" operator="between">
      <formula>61</formula>
      <formula>65</formula>
    </cfRule>
  </conditionalFormatting>
  <conditionalFormatting sqref="L20:M22">
    <cfRule type="expression" dxfId="1114" priority="54">
      <formula>IF(+(IF(L20&lt;T20,0,IF(L20&gt;U20,0,1)))=0,1)</formula>
    </cfRule>
  </conditionalFormatting>
  <conditionalFormatting sqref="L40:N40">
    <cfRule type="cellIs" dxfId="1113" priority="52" operator="notEqual">
      <formula>#REF!</formula>
    </cfRule>
  </conditionalFormatting>
  <conditionalFormatting sqref="L71:N79">
    <cfRule type="cellIs" dxfId="1112" priority="123" stopIfTrue="1" operator="lessThan">
      <formula>100%</formula>
    </cfRule>
  </conditionalFormatting>
  <conditionalFormatting sqref="M10:M19">
    <cfRule type="expression" dxfId="1111" priority="11">
      <formula>IF(+(IF(M10&lt;U10,0,IF(M10&gt;V10,0,1)))=0,1)</formula>
    </cfRule>
  </conditionalFormatting>
  <conditionalFormatting sqref="M25 L26:M36">
    <cfRule type="cellIs" dxfId="1110" priority="91" operator="lessThan">
      <formula>98</formula>
    </cfRule>
  </conditionalFormatting>
  <conditionalFormatting sqref="N10:N18">
    <cfRule type="expression" dxfId="1109" priority="1">
      <formula>IF(+(IF(N10&lt;W10,0,IF(N10&gt;X10,0,1)))=0,1)</formula>
    </cfRule>
  </conditionalFormatting>
  <conditionalFormatting sqref="N19">
    <cfRule type="expression" dxfId="1108" priority="50">
      <formula>IF(+(IF(N19&lt;X19,0,IF(N19&gt;Y19,0,1)))=0,1)</formula>
    </cfRule>
  </conditionalFormatting>
  <conditionalFormatting sqref="N20:N22">
    <cfRule type="expression" dxfId="1107" priority="51">
      <formula>IF(+(IF(N20&lt;W20,0,IF(N20&gt;X20,0,1)))=0,1)</formula>
    </cfRule>
  </conditionalFormatting>
  <conditionalFormatting sqref="P6">
    <cfRule type="cellIs" dxfId="1106" priority="119" operator="greaterThanOrEqual">
      <formula>19</formula>
    </cfRule>
  </conditionalFormatting>
  <dataValidations count="1">
    <dataValidation type="list" allowBlank="1" showInputMessage="1" showErrorMessage="1" sqref="R8" xr:uid="{4264E29A-895C-4945-9910-FBCC67936D1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3" max="16383" man="1"/>
  </rowBreaks>
  <colBreaks count="1" manualBreakCount="1">
    <brk id="15" max="89" man="1"/>
  </col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E985E-D542-43DD-8B48-CED68863BE26}">
  <sheetPr codeName="Sheet12">
    <pageSetUpPr fitToPage="1"/>
  </sheetPr>
  <dimension ref="A1:BE76"/>
  <sheetViews>
    <sheetView topLeftCell="A26" zoomScale="80" zoomScaleNormal="80" workbookViewId="0">
      <selection activeCell="B17" sqref="B17:O17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45796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[23]Brewhouse!$A221</f>
        <v>ST203</v>
      </c>
      <c r="D10" s="279">
        <f>[23]Brewhouse!$AD221</f>
        <v>54.4</v>
      </c>
      <c r="E10" s="279">
        <f>[23]Brewhouse!$AG221</f>
        <v>50.1</v>
      </c>
      <c r="F10" s="278">
        <f>[23]Brewhouse!$V221</f>
        <v>71</v>
      </c>
      <c r="G10" s="279">
        <f>[23]Brewhouse!$AE221</f>
        <v>11.8</v>
      </c>
      <c r="H10" s="367"/>
      <c r="I10" s="421">
        <f>[23]Brewhouse!$AS221</f>
        <v>97.885552432619079</v>
      </c>
      <c r="J10" s="421">
        <f>[23]Brewhouse!$AT221</f>
        <v>99.333215463971797</v>
      </c>
      <c r="K10" s="398">
        <f>[23]Brewhouse!$Q221</f>
        <v>7.3394495412844041</v>
      </c>
      <c r="L10" s="276">
        <f>[23]Brewhouse!$P221</f>
        <v>59</v>
      </c>
      <c r="M10" s="374">
        <f>[23]Brewhouse!$U221-[23]Brewhouse!$T221</f>
        <v>0.13958333333333334</v>
      </c>
      <c r="N10" s="370">
        <f>[23]Brewhouse!$AW221</f>
        <v>0.27708333333333335</v>
      </c>
      <c r="O10" s="429" t="str">
        <f>[23]Brewhouse!$AV221</f>
        <v>D. Gomaz</v>
      </c>
      <c r="P10" s="423"/>
      <c r="R10" s="277" t="str">
        <f t="shared" ref="R10:R26" si="0">B10</f>
        <v>STAG</v>
      </c>
      <c r="S10" s="296">
        <f t="shared" ref="S10:S27" si="1">VLOOKUP($B10,$R$3:$X$9,2,FALSE)</f>
        <v>11.6</v>
      </c>
      <c r="T10" s="296">
        <f t="shared" ref="T10:T27" si="2">VLOOKUP($B10,$R$3:$X$9,3,FALSE)</f>
        <v>12</v>
      </c>
      <c r="U10" s="297">
        <f t="shared" ref="U10:U27" si="3">VLOOKUP($B10,$R$3:$X$9,4,FALSE)</f>
        <v>0</v>
      </c>
      <c r="V10" s="297">
        <f t="shared" ref="V10:V27" si="4">VLOOKUP($B10,$R$3:$X$9,5,FALSE)</f>
        <v>0.118055555555556</v>
      </c>
      <c r="W10" s="297">
        <f t="shared" ref="W10:W27" si="5">VLOOKUP($B10,$R$3:$X$9,6,FALSE)</f>
        <v>0.22569444444444445</v>
      </c>
      <c r="X10" s="297">
        <f t="shared" ref="X10:X27" si="6">VLOOKUP($B10,$R$3:$X$9,7,FALSE)</f>
        <v>0.2638888888888889</v>
      </c>
      <c r="Y10" s="297">
        <f t="shared" ref="Y10:Y27" si="7">VLOOKUP($B10,$R$3:$Z$9,8,FALSE)</f>
        <v>0</v>
      </c>
      <c r="Z10" s="296">
        <f t="shared" ref="Z10:Z27" si="8">VLOOKUP($B10,$R$3:$Z$9,9,FALSE)</f>
        <v>60</v>
      </c>
    </row>
    <row r="11" spans="2:29" ht="15.75" customHeight="1">
      <c r="B11" s="33" t="s">
        <v>9</v>
      </c>
      <c r="C11" s="366" t="str">
        <f>[23]Brewhouse!$A222</f>
        <v>ST204</v>
      </c>
      <c r="D11" s="279">
        <f>[23]Brewhouse!$AD222</f>
        <v>54.3</v>
      </c>
      <c r="E11" s="279">
        <f>[23]Brewhouse!$AG222</f>
        <v>49.13</v>
      </c>
      <c r="F11" s="436"/>
      <c r="G11" s="279">
        <f>[23]Brewhouse!$AE222</f>
        <v>11.8</v>
      </c>
      <c r="H11" s="396">
        <v>12</v>
      </c>
      <c r="I11" s="421">
        <f>[23]Brewhouse!$AS222</f>
        <v>95.870530359639602</v>
      </c>
      <c r="J11" s="421">
        <f>[23]Brewhouse!$AT222</f>
        <v>97.28885226973226</v>
      </c>
      <c r="K11" s="398">
        <f>[23]Brewhouse!$Q222</f>
        <v>5.5258467023172928</v>
      </c>
      <c r="L11" s="276">
        <f>[23]Brewhouse!$P222</f>
        <v>58</v>
      </c>
      <c r="M11" s="435"/>
      <c r="N11" s="435"/>
      <c r="O11" s="429" t="str">
        <f>[23]Brewhouse!$AV222</f>
        <v>D. Gomaz</v>
      </c>
      <c r="P11" s="423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[23]Brewhouse!$A223</f>
        <v>ST205</v>
      </c>
      <c r="D12" s="279">
        <f>[23]Brewhouse!$AD223</f>
        <v>54.8</v>
      </c>
      <c r="E12" s="279">
        <f>[23]Brewhouse!$AG223</f>
        <v>51.6</v>
      </c>
      <c r="F12" s="278">
        <f>[23]Brewhouse!$V223</f>
        <v>64</v>
      </c>
      <c r="G12" s="279">
        <f>[23]Brewhouse!$AE223</f>
        <v>11.69</v>
      </c>
      <c r="H12" s="396">
        <v>11.7</v>
      </c>
      <c r="I12" s="421">
        <f>[23]Brewhouse!$AS223</f>
        <v>100.16797995065821</v>
      </c>
      <c r="J12" s="421">
        <f>[23]Brewhouse!$AT223</f>
        <v>101.6484343092314</v>
      </c>
      <c r="K12" s="398">
        <f>[23]Brewhouse!$Q223</f>
        <v>6.4695009242144179</v>
      </c>
      <c r="L12" s="276">
        <f>[23]Brewhouse!$P223</f>
        <v>59</v>
      </c>
      <c r="M12" s="374">
        <f>[23]Brewhouse!$U223-[23]Brewhouse!$T223</f>
        <v>0.14166666666666672</v>
      </c>
      <c r="N12" s="370">
        <f>[23]Brewhouse!$AW223</f>
        <v>0.60763888888888884</v>
      </c>
      <c r="O12" s="429" t="str">
        <f>[23]Brewhouse!$AV223</f>
        <v>K. Benjamin</v>
      </c>
      <c r="P12" s="423" t="s">
        <v>209</v>
      </c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[23]Brewhouse!$A224</f>
        <v>ST206</v>
      </c>
      <c r="D13" s="279">
        <f>[23]Brewhouse!$AD224</f>
        <v>55.2</v>
      </c>
      <c r="E13" s="279">
        <f>[23]Brewhouse!$AG224</f>
        <v>52</v>
      </c>
      <c r="F13" s="278">
        <f>[23]Brewhouse!$V224</f>
        <v>61</v>
      </c>
      <c r="G13" s="279">
        <f>[23]Brewhouse!$AE224</f>
        <v>11.6</v>
      </c>
      <c r="H13" s="396">
        <v>11.6</v>
      </c>
      <c r="I13" s="421">
        <f>[23]Brewhouse!$AS224</f>
        <v>99.91135688893435</v>
      </c>
      <c r="J13" s="421">
        <f>[23]Brewhouse!$AT224</f>
        <v>101.38849993410646</v>
      </c>
      <c r="K13" s="398">
        <f>[23]Brewhouse!$Q224</f>
        <v>5.4446460980036298</v>
      </c>
      <c r="L13" s="276">
        <f>[23]Brewhouse!$P224</f>
        <v>61</v>
      </c>
      <c r="M13" s="374">
        <f>[23]Brewhouse!$U224-[23]Brewhouse!$T224</f>
        <v>0.11458333333333337</v>
      </c>
      <c r="N13" s="370">
        <f>[23]Brewhouse!$AW224</f>
        <v>0.58750000000000002</v>
      </c>
      <c r="O13" s="429" t="str">
        <f>[23]Brewhouse!$AV224</f>
        <v>K. Benjamin</v>
      </c>
      <c r="P13" s="423" t="s">
        <v>209</v>
      </c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[23]Brewhouse!$A225</f>
        <v>ST207</v>
      </c>
      <c r="D14" s="279">
        <f>[23]Brewhouse!$AD225</f>
        <v>53.9</v>
      </c>
      <c r="E14" s="279">
        <f>[23]Brewhouse!$AG225</f>
        <v>51.2</v>
      </c>
      <c r="F14" s="278">
        <f>[23]Brewhouse!$V225</f>
        <v>62</v>
      </c>
      <c r="G14" s="279">
        <f>[23]Brewhouse!$AE225</f>
        <v>11.62</v>
      </c>
      <c r="H14" s="396">
        <v>11.6</v>
      </c>
      <c r="I14" s="421">
        <f>[23]Brewhouse!$AS225</f>
        <v>98.49752950633092</v>
      </c>
      <c r="J14" s="421">
        <f>[23]Brewhouse!$AT225</f>
        <v>99.953295080700798</v>
      </c>
      <c r="K14" s="398">
        <f>[23]Brewhouse!$Q225</f>
        <v>4.9270072992700653</v>
      </c>
      <c r="L14" s="276">
        <f>[23]Brewhouse!$P225</f>
        <v>61</v>
      </c>
      <c r="M14" s="374">
        <f>[23]Brewhouse!$U225-[23]Brewhouse!$T225</f>
        <v>0.12291666666666667</v>
      </c>
      <c r="N14" s="370">
        <f>[23]Brewhouse!$AW225</f>
        <v>0.31111111111111112</v>
      </c>
      <c r="O14" s="429" t="str">
        <f>[23]Brewhouse!$AV225</f>
        <v>R.Sookram</v>
      </c>
      <c r="P14" s="423" t="s">
        <v>209</v>
      </c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[23]Brewhouse!$A226</f>
        <v>ST208</v>
      </c>
      <c r="D15" s="279">
        <f>[23]Brewhouse!$AD226</f>
        <v>54.2</v>
      </c>
      <c r="E15" s="279">
        <f>[23]Brewhouse!$AG226</f>
        <v>51.1</v>
      </c>
      <c r="F15" s="278">
        <f>[23]Brewhouse!$V226</f>
        <v>68</v>
      </c>
      <c r="G15" s="279">
        <f>[23]Brewhouse!$AE226</f>
        <v>11.76</v>
      </c>
      <c r="H15" s="396">
        <v>11.8</v>
      </c>
      <c r="I15" s="421">
        <f>[23]Brewhouse!$AS226</f>
        <v>100.08956846077814</v>
      </c>
      <c r="J15" s="421">
        <f>[23]Brewhouse!$AT226</f>
        <v>101.56886391975077</v>
      </c>
      <c r="K15" s="398">
        <f>[23]Brewhouse!$Q226</f>
        <v>4.5537340619307836</v>
      </c>
      <c r="L15" s="276">
        <f>[23]Brewhouse!$P226</f>
        <v>58</v>
      </c>
      <c r="M15" s="374">
        <f>[23]Brewhouse!$U226-[23]Brewhouse!$T226</f>
        <v>0.11250000000000004</v>
      </c>
      <c r="N15" s="370">
        <f>[23]Brewhouse!$AW226</f>
        <v>0.27638888888888891</v>
      </c>
      <c r="O15" s="429" t="str">
        <f>[23]Brewhouse!$AV226</f>
        <v>R.Sookram</v>
      </c>
      <c r="P15" s="423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[23]Brewhouse!$A227</f>
        <v>ST209</v>
      </c>
      <c r="D16" s="279">
        <f>[23]Brewhouse!$AD227</f>
        <v>54.1</v>
      </c>
      <c r="E16" s="279">
        <f>[23]Brewhouse!$AG227</f>
        <v>48.3</v>
      </c>
      <c r="F16" s="278">
        <f>[23]Brewhouse!$V227</f>
        <v>66</v>
      </c>
      <c r="G16" s="279">
        <f>[23]Brewhouse!$AE227</f>
        <v>11.64</v>
      </c>
      <c r="H16" s="396">
        <v>11.6</v>
      </c>
      <c r="I16" s="421">
        <f>[23]Brewhouse!$AS227</f>
        <v>92.80227957183709</v>
      </c>
      <c r="J16" s="421">
        <f>[23]Brewhouse!$AT227</f>
        <v>94.174318208025795</v>
      </c>
      <c r="K16" s="392"/>
      <c r="L16" s="276">
        <f>[23]Brewhouse!$P227</f>
        <v>0</v>
      </c>
      <c r="M16" s="435"/>
      <c r="N16" s="370">
        <f>[23]Brewhouse!$AW227</f>
        <v>0.26249999999999996</v>
      </c>
      <c r="O16" s="429" t="str">
        <f>[23]Brewhouse!$AV227</f>
        <v>R.Sookram</v>
      </c>
      <c r="P16" s="423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75" customHeight="1">
      <c r="B17" s="33" t="s">
        <v>9</v>
      </c>
      <c r="C17" s="366" t="str">
        <f>[23]Brewhouse!$A228</f>
        <v>ST210</v>
      </c>
      <c r="D17" s="279">
        <f>[23]Brewhouse!$AD228</f>
        <v>52.7</v>
      </c>
      <c r="E17" s="279">
        <f>[23]Brewhouse!$AG228</f>
        <v>50.3</v>
      </c>
      <c r="F17" s="278">
        <f>[23]Brewhouse!$V228</f>
        <v>76</v>
      </c>
      <c r="G17" s="279">
        <f>[23]Brewhouse!$AE228</f>
        <v>11.4</v>
      </c>
      <c r="H17" s="396">
        <v>11.4</v>
      </c>
      <c r="I17" s="421">
        <f>[23]Brewhouse!$AS228</f>
        <v>101.36025128712886</v>
      </c>
      <c r="J17" s="421">
        <f>[23]Brewhouse!$AT228</f>
        <v>102.83224433808482</v>
      </c>
      <c r="K17" s="398">
        <f>[23]Brewhouse!$Q228</f>
        <v>2.4482109227871884</v>
      </c>
      <c r="L17" s="276">
        <f>[23]Brewhouse!$P228</f>
        <v>60</v>
      </c>
      <c r="M17" s="374">
        <f>[23]Brewhouse!$U228-[23]Brewhouse!$T228</f>
        <v>0.13194444444444442</v>
      </c>
      <c r="N17" s="370">
        <f>[23]Brewhouse!$AW228</f>
        <v>0.28888888888888886</v>
      </c>
      <c r="O17" s="429" t="str">
        <f>[23]Brewhouse!$AV228</f>
        <v>R.Sookram</v>
      </c>
      <c r="P17" s="423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7" ht="15.75" customHeight="1">
      <c r="B18" s="33"/>
      <c r="C18" s="366"/>
      <c r="D18" s="279"/>
      <c r="E18" s="279"/>
      <c r="F18" s="278"/>
      <c r="G18" s="279"/>
      <c r="H18" s="396"/>
      <c r="I18" s="421"/>
      <c r="J18" s="421"/>
      <c r="K18" s="398"/>
      <c r="L18" s="276"/>
      <c r="M18" s="374"/>
      <c r="N18" s="370"/>
      <c r="O18" s="429"/>
      <c r="P18" s="423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customHeight="1">
      <c r="B19" s="33"/>
      <c r="C19" s="366"/>
      <c r="D19" s="279"/>
      <c r="E19" s="279"/>
      <c r="F19" s="278"/>
      <c r="G19" s="279"/>
      <c r="H19" s="396"/>
      <c r="I19" s="421"/>
      <c r="J19" s="421"/>
      <c r="K19" s="398"/>
      <c r="L19" s="276"/>
      <c r="M19" s="374"/>
      <c r="N19" s="370"/>
      <c r="O19" s="429"/>
      <c r="P19" s="42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.75" customHeight="1">
      <c r="B20" s="33"/>
      <c r="C20" s="366"/>
      <c r="D20" s="279"/>
      <c r="E20" s="279"/>
      <c r="F20" s="278"/>
      <c r="G20" s="279"/>
      <c r="H20" s="396"/>
      <c r="I20" s="421"/>
      <c r="J20" s="421"/>
      <c r="K20" s="398"/>
      <c r="L20" s="433"/>
      <c r="M20" s="374"/>
      <c r="N20" s="370"/>
      <c r="O20" s="429"/>
      <c r="P20" s="42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>
      <c r="B21" s="33"/>
      <c r="C21" s="366"/>
      <c r="D21" s="279"/>
      <c r="E21" s="279"/>
      <c r="F21" s="278"/>
      <c r="G21" s="279"/>
      <c r="H21" s="396"/>
      <c r="I21" s="421"/>
      <c r="J21" s="421"/>
      <c r="K21" s="398"/>
      <c r="L21" s="433"/>
      <c r="M21" s="374"/>
      <c r="N21" s="370"/>
      <c r="O21" s="429"/>
      <c r="P21" s="42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customHeight="1">
      <c r="B22" s="22"/>
      <c r="C22" s="366"/>
      <c r="D22" s="279"/>
      <c r="E22" s="279"/>
      <c r="F22" s="278"/>
      <c r="G22" s="279"/>
      <c r="H22" s="396"/>
      <c r="I22" s="368"/>
      <c r="J22" s="368"/>
      <c r="K22" s="281"/>
      <c r="L22" s="433"/>
      <c r="M22" s="374"/>
      <c r="N22" s="370"/>
      <c r="O22" s="371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customHeight="1">
      <c r="B23" s="33"/>
      <c r="C23" s="366"/>
      <c r="D23" s="279"/>
      <c r="E23" s="279"/>
      <c r="F23" s="278"/>
      <c r="G23" s="279"/>
      <c r="H23" s="396"/>
      <c r="I23" s="421"/>
      <c r="J23" s="398"/>
      <c r="K23" s="276"/>
      <c r="L23" s="374"/>
      <c r="M23" s="397"/>
      <c r="N23" s="370"/>
      <c r="O23" s="371"/>
      <c r="P23" s="42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7" ht="15.75" customHeight="1">
      <c r="B24" s="33"/>
      <c r="C24" s="366" t="s">
        <v>202</v>
      </c>
      <c r="D24" s="279"/>
      <c r="E24" s="279"/>
      <c r="F24" s="278"/>
      <c r="G24" s="279"/>
      <c r="H24" s="396"/>
      <c r="I24" s="421"/>
      <c r="J24" s="398"/>
      <c r="K24" s="276"/>
      <c r="L24" s="374"/>
      <c r="M24" s="397"/>
      <c r="N24" s="370"/>
      <c r="O24" s="371"/>
      <c r="P24" s="42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7" ht="15.75" customHeight="1">
      <c r="B25" s="33"/>
      <c r="C25" s="366"/>
      <c r="D25" s="279"/>
      <c r="E25" s="279"/>
      <c r="F25" s="278"/>
      <c r="G25" s="279"/>
      <c r="H25" s="396"/>
      <c r="I25" s="421"/>
      <c r="J25" s="398"/>
      <c r="K25" s="276"/>
      <c r="L25" s="374"/>
      <c r="M25" s="397"/>
      <c r="N25" s="370"/>
      <c r="O25" s="371"/>
      <c r="P25" s="42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7" ht="15.75" customHeight="1" thickBot="1">
      <c r="B26" s="358"/>
      <c r="C26" s="358"/>
      <c r="D26" s="358"/>
      <c r="E26" s="358"/>
      <c r="F26" s="294"/>
      <c r="G26" s="294"/>
      <c r="H26" s="348"/>
      <c r="I26" s="481" t="s">
        <v>34</v>
      </c>
      <c r="J26" s="481"/>
      <c r="K26" s="481"/>
      <c r="L26" s="481"/>
      <c r="M26" s="481"/>
      <c r="N26" s="481"/>
      <c r="O26" s="1"/>
      <c r="P26" s="12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7" ht="15" thickBot="1">
      <c r="B27" s="388" t="s">
        <v>145</v>
      </c>
      <c r="C27" s="388"/>
      <c r="D27" s="494" t="s">
        <v>35</v>
      </c>
      <c r="E27" s="495"/>
      <c r="F27" s="294"/>
      <c r="G27" s="294"/>
      <c r="H27" s="348"/>
      <c r="I27" s="24" t="s">
        <v>17</v>
      </c>
      <c r="J27" s="25" t="s">
        <v>36</v>
      </c>
      <c r="K27" s="26" t="s">
        <v>138</v>
      </c>
      <c r="L27" s="25" t="s">
        <v>37</v>
      </c>
      <c r="M27" s="25" t="s">
        <v>38</v>
      </c>
      <c r="N27" s="27" t="s">
        <v>39</v>
      </c>
      <c r="O27" s="294"/>
      <c r="P27" s="12"/>
      <c r="R27" s="277" t="str">
        <f>B27</f>
        <v>BRAND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7" ht="15" customHeight="1">
      <c r="A28" s="28"/>
      <c r="B28" s="482" t="str">
        <f>I29</f>
        <v>STAG</v>
      </c>
      <c r="C28" s="362" cm="1">
        <f t="array" ref="C28:C31">[23]Process!$D$174:$D$177</f>
        <v>11.8</v>
      </c>
      <c r="D28" s="485">
        <v>11.82</v>
      </c>
      <c r="E28" s="474"/>
      <c r="F28" s="294"/>
      <c r="G28" s="294"/>
      <c r="H28" s="348"/>
      <c r="I28" s="29" t="s">
        <v>6</v>
      </c>
      <c r="J28" s="280"/>
      <c r="K28" s="284">
        <f>COUNTA([22]Brewhouse!$A$408:$A$448)</f>
        <v>41</v>
      </c>
      <c r="L28" s="302">
        <f>AVERAGE([22]Brewhouse!$AU$408:$AU$448)</f>
        <v>98.432686498486717</v>
      </c>
      <c r="M28" s="302">
        <f>AVERAGE([22]Brewhouse!$AU$102:$AU$171,[22]Brewhouse!$AU$173:$AU$253,[22]Brewhouse!$AU$255:$AU$339,[22]Brewhouse!$AU$341:$AU$346,[22]Brewhouse!$AU$348,[22]Brewhouse!$AU$349:$AU$406,[22]Brewhouse!$AU$408:$AU$448)</f>
        <v>97.520401013775029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5" customHeight="1">
      <c r="A29" s="28"/>
      <c r="B29" s="483"/>
      <c r="C29" s="349">
        <v>9.5</v>
      </c>
      <c r="D29" s="486"/>
      <c r="E29" s="469"/>
      <c r="F29" s="294"/>
      <c r="G29" s="294"/>
      <c r="H29" s="348"/>
      <c r="I29" s="33" t="s">
        <v>9</v>
      </c>
      <c r="J29" s="280">
        <f>AVERAGE(I10:I17)</f>
        <v>98.323131057240772</v>
      </c>
      <c r="K29" s="284">
        <f>COUNTA([23]Brewhouse!$A$195:$A$228)</f>
        <v>34</v>
      </c>
      <c r="L29" s="302">
        <f>AVERAGE([23]Brewhouse!$AS$195:$AS$228)</f>
        <v>99.927187940420239</v>
      </c>
      <c r="M29" s="302">
        <f>AVERAGE([23]Brewhouse!$AS$15:$AS$64,[23]Brewhouse!$AS$66:$AS$103,[23]Brewhouse!$AS$105:$AS$140,[23]Brewhouse!$AS$142:$AS$193,[23]Brewhouse!$AS$195:$AS$228)</f>
        <v>97.850283817233205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7" ht="14.7" customHeight="1">
      <c r="A30" s="28"/>
      <c r="B30" s="483"/>
      <c r="C30" s="349">
        <v>12.09</v>
      </c>
      <c r="D30" s="485">
        <v>11.86</v>
      </c>
      <c r="E30" s="474"/>
      <c r="F30" s="294"/>
      <c r="G30" s="294"/>
      <c r="H30" s="348"/>
      <c r="I30" s="34" t="s">
        <v>12</v>
      </c>
      <c r="J30" s="280"/>
      <c r="K30" s="284">
        <f>COUNTA([24]Brewhouse!$A$47:$A$54)</f>
        <v>8</v>
      </c>
      <c r="L30" s="302">
        <f>AVERAGE([24]Brewhouse!$AU$47:$AU$54)</f>
        <v>96.792443337508828</v>
      </c>
      <c r="M30" s="302">
        <f>AVERAGE([24]Brewhouse!$AU$4:$AU$7,[24]Brewhouse!$AU$9:$AU$22,[24]Brewhouse!$AU$24:$AU$35,[24]Brewhouse!$AU$37:$AU$45,[24]Brewhouse!$AU$47:$AU$54)</f>
        <v>97.03665404260714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7" ht="14.7" customHeight="1">
      <c r="A31" s="28"/>
      <c r="B31" s="483"/>
      <c r="C31" s="349">
        <v>13.91</v>
      </c>
      <c r="D31" s="486"/>
      <c r="E31" s="469"/>
      <c r="F31" s="294"/>
      <c r="G31" s="294"/>
      <c r="H31" s="348"/>
      <c r="I31" s="22" t="s">
        <v>33</v>
      </c>
      <c r="J31" s="280"/>
      <c r="K31" s="284">
        <f>COUNTA([25]Brewhouse!$A$35:$A$40)</f>
        <v>6</v>
      </c>
      <c r="L31" s="302">
        <f>AVERAGE([25]Brewhouse!$AV$35:$AV$40)</f>
        <v>99.729773602484485</v>
      </c>
      <c r="M31" s="302">
        <f>AVERAGE([25]Brewhouse!$AV$5:$AV$14,[25]Brewhouse!$AV$16:$AV$19,[25]Brewhouse!$AV$21:$AV$24,[25]Brewhouse!$AV$26:$AV$33,[25]Brewhouse!$AV$35:$AV$40)</f>
        <v>99.073437057623821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7" customHeight="1">
      <c r="A32" s="28"/>
      <c r="B32" s="483"/>
      <c r="C32" s="349" cm="1">
        <f t="array" ref="C32:C35">[23]Process!$D$186:$D$189</f>
        <v>11.78</v>
      </c>
      <c r="D32" s="485">
        <v>11.82</v>
      </c>
      <c r="E32" s="474"/>
      <c r="F32" s="422"/>
      <c r="G32" s="294"/>
      <c r="H32" s="348"/>
      <c r="I32" s="35" t="s">
        <v>29</v>
      </c>
      <c r="J32" s="280"/>
      <c r="K32" s="284"/>
      <c r="L32" s="302"/>
      <c r="M32" s="302"/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7" customHeight="1">
      <c r="A33" s="28"/>
      <c r="B33" s="483"/>
      <c r="C33" s="349">
        <v>12</v>
      </c>
      <c r="D33" s="486"/>
      <c r="E33" s="469"/>
      <c r="F33" s="422"/>
      <c r="G33" s="294"/>
      <c r="H33" s="348"/>
      <c r="I33" s="36" t="s">
        <v>15</v>
      </c>
      <c r="J33" s="323"/>
      <c r="K33" s="284"/>
      <c r="L33" s="302"/>
      <c r="M33" s="302">
        <f>AVERAGE([26]Brewhouse!$AT$4:$AT$11,[26]Brewhouse!$AT$13:$AT$16)</f>
        <v>95.165309917257005</v>
      </c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7" customHeight="1">
      <c r="A34" s="28"/>
      <c r="B34" s="483"/>
      <c r="C34" s="349">
        <v>11.94</v>
      </c>
      <c r="D34" s="485">
        <v>11.78</v>
      </c>
      <c r="E34" s="474"/>
      <c r="F34" s="422"/>
      <c r="G34" s="294"/>
      <c r="H34" s="348"/>
      <c r="I34" s="37" t="s">
        <v>16</v>
      </c>
      <c r="J34" s="323"/>
      <c r="K34" s="284">
        <f>COUNTA([27]Brewhouse!$A$36:$A$43)</f>
        <v>8</v>
      </c>
      <c r="L34" s="302">
        <f>AVERAGE([27]Brewhouse!$AY$36:$AY$43)</f>
        <v>98.453561717677275</v>
      </c>
      <c r="M34" s="302">
        <f>AVERAGE([27]Brewhouse!$AY$6:$AY$13,[27]Brewhouse!$AY$15:$AY$20,[27]Brewhouse!$AY$22:$AY$29,[27]Brewhouse!$AY$31:$AY$34,[27]Brewhouse!$AY$36:$AY$43)</f>
        <v>96.669752433914965</v>
      </c>
      <c r="N34" s="30">
        <v>98</v>
      </c>
      <c r="O34" s="11"/>
      <c r="P34" s="31" t="s">
        <v>41</v>
      </c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7" customHeight="1">
      <c r="A35" s="28"/>
      <c r="B35" s="483"/>
      <c r="C35" s="349">
        <v>11.53</v>
      </c>
      <c r="D35" s="486"/>
      <c r="E35" s="469"/>
      <c r="F35" s="294"/>
      <c r="G35" s="294"/>
      <c r="H35" s="348"/>
      <c r="I35" s="412" t="s">
        <v>158</v>
      </c>
      <c r="J35" s="326"/>
      <c r="K35" s="284"/>
      <c r="L35" s="305"/>
      <c r="M35" s="305">
        <f>AVERAGE([28]Brewhouse!$AU$5:$AU$8)</f>
        <v>91.006888337619571</v>
      </c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7" customHeight="1">
      <c r="A36" s="28"/>
      <c r="B36" s="483"/>
      <c r="C36" s="349"/>
      <c r="D36" s="485"/>
      <c r="E36" s="474"/>
      <c r="F36" s="294"/>
      <c r="G36" s="294"/>
      <c r="H36" s="348"/>
      <c r="I36" s="411" t="s">
        <v>157</v>
      </c>
      <c r="J36" s="326"/>
      <c r="K36" s="284"/>
      <c r="L36" s="305"/>
      <c r="M36" s="305"/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483"/>
      <c r="C37" s="349"/>
      <c r="D37" s="486"/>
      <c r="E37" s="469"/>
      <c r="F37" s="294"/>
      <c r="G37" s="294"/>
      <c r="H37" s="348"/>
      <c r="I37" s="407" t="s">
        <v>156</v>
      </c>
      <c r="J37" s="327"/>
      <c r="K37" s="408"/>
      <c r="L37" s="409"/>
      <c r="M37" s="409"/>
      <c r="N37" s="41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483"/>
      <c r="C38" s="349"/>
      <c r="D38" s="485"/>
      <c r="E38" s="474"/>
      <c r="F38" s="294"/>
      <c r="G38" s="294"/>
      <c r="H38" s="348"/>
      <c r="I38" s="1"/>
      <c r="J38" s="39"/>
      <c r="K38" s="405">
        <f>SUM(K28:K37)</f>
        <v>97</v>
      </c>
      <c r="L38" s="406">
        <f>((L28*K28)+(L29*K29)+(L30*K30)+(L31*K31)+(L32*K32)+(K35*L35)+(L33*K33)+(L34*K34)+(L37*K37))/(K38)</f>
        <v>98.903208437821021</v>
      </c>
      <c r="M38" s="406">
        <f>AVERAGE('[29]Jan 31st'!$L$65,'[30]Feb 28th'!$L$35,'[31]Mar. 31st'!$L$35,'[32]Apr. 30th'!$L$45,L38)</f>
        <v>97.661449945451835</v>
      </c>
      <c r="N38" s="4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thickBot="1">
      <c r="B39" s="484"/>
      <c r="C39" s="350"/>
      <c r="D39" s="486"/>
      <c r="E39" s="469"/>
      <c r="F39" s="294"/>
      <c r="G39" s="42"/>
      <c r="H39" s="41"/>
      <c r="I39" s="42"/>
      <c r="J39" s="42"/>
      <c r="K39" s="351"/>
      <c r="L39" s="348"/>
      <c r="M39" s="348"/>
      <c r="N39" s="11"/>
      <c r="O39" s="294"/>
      <c r="P39" s="12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thickBot="1">
      <c r="B40" s="528"/>
      <c r="C40" s="362"/>
      <c r="D40" s="466"/>
      <c r="E40" s="467"/>
      <c r="F40" s="294"/>
      <c r="G40" s="42"/>
      <c r="H40" s="41"/>
      <c r="I40" s="42"/>
      <c r="J40" s="519" t="s">
        <v>129</v>
      </c>
      <c r="K40" s="519"/>
      <c r="L40" s="294"/>
      <c r="M40" s="294"/>
      <c r="N40" s="294"/>
      <c r="O40" s="294"/>
      <c r="P40" s="12"/>
    </row>
    <row r="41" spans="1:56" ht="13.5" customHeight="1" thickBot="1">
      <c r="B41" s="521"/>
      <c r="C41" s="349"/>
      <c r="D41" s="468"/>
      <c r="E41" s="469"/>
      <c r="F41" s="294"/>
      <c r="G41" s="42"/>
      <c r="H41" s="41"/>
      <c r="I41" s="41"/>
      <c r="J41" s="292" t="s">
        <v>17</v>
      </c>
      <c r="K41" s="293" t="s">
        <v>147</v>
      </c>
      <c r="L41" s="471" t="s">
        <v>136</v>
      </c>
      <c r="M41" s="471"/>
      <c r="N41" s="472"/>
      <c r="O41" s="294"/>
      <c r="P41" s="12"/>
    </row>
    <row r="42" spans="1:56" ht="15" customHeight="1" thickBot="1">
      <c r="B42" s="521"/>
      <c r="C42" s="349"/>
      <c r="D42" s="473"/>
      <c r="E42" s="474"/>
      <c r="F42" s="294"/>
      <c r="G42" s="42"/>
      <c r="H42" s="41"/>
      <c r="I42" s="41"/>
      <c r="J42" s="287" t="s">
        <v>6</v>
      </c>
      <c r="K42" s="324"/>
      <c r="L42" s="343" t="s">
        <v>37</v>
      </c>
      <c r="M42" s="307" t="s">
        <v>38</v>
      </c>
      <c r="N42" s="307" t="s">
        <v>84</v>
      </c>
      <c r="O42" s="294"/>
      <c r="P42" s="12"/>
    </row>
    <row r="43" spans="1:56" ht="15.75" customHeight="1" thickBot="1">
      <c r="B43" s="521"/>
      <c r="C43" s="349"/>
      <c r="D43" s="468"/>
      <c r="E43" s="469"/>
      <c r="F43" s="294"/>
      <c r="G43" s="42"/>
      <c r="H43" s="41"/>
      <c r="I43" s="41"/>
      <c r="J43" s="345" t="s">
        <v>9</v>
      </c>
      <c r="K43" s="324">
        <f>COUNTA(B10:B17)</f>
        <v>8</v>
      </c>
      <c r="L43" s="344">
        <f>AVERAGE('May 2nd -4th'!I70,'May 2nd -4th'!K70,'May 5th'!K77,'May 6th'!K60,'May 7th'!K57,'May 8th'!K53,'May 9th-10th'!I60,'May 9th-10th'!K60,'May 12th'!K43,'May 13th'!K45,'May 14th'!K50,'May 15th'!K49,K52)</f>
        <v>7.615384615384615</v>
      </c>
      <c r="M43" s="325">
        <f>AVERAGE('[29]Jan 29th '!$M$70,'[30]Feb 28th'!$L$40,'[31]Mar. 31st'!$L$40,'[32]Apr. 30th'!$L$50,L43)</f>
        <v>6.7122312470138557</v>
      </c>
      <c r="N43" s="420">
        <v>9.1999999999999993</v>
      </c>
      <c r="O43" s="294"/>
      <c r="P43" s="12"/>
    </row>
    <row r="44" spans="1:56" ht="15" customHeight="1">
      <c r="B44" s="521"/>
      <c r="C44" s="349"/>
      <c r="D44" s="473"/>
      <c r="E44" s="474"/>
      <c r="F44" s="294"/>
      <c r="G44" s="42"/>
      <c r="H44" s="41"/>
      <c r="I44" s="41"/>
      <c r="J44" s="288" t="s">
        <v>40</v>
      </c>
      <c r="K44" s="324"/>
      <c r="L44" s="294"/>
      <c r="M44" s="294"/>
      <c r="N44" s="294"/>
      <c r="O44" s="294"/>
      <c r="P44" s="12"/>
    </row>
    <row r="45" spans="1:56" ht="15" customHeight="1">
      <c r="B45" s="521"/>
      <c r="C45" s="349"/>
      <c r="D45" s="468"/>
      <c r="E45" s="469"/>
      <c r="F45" s="294"/>
      <c r="G45" s="42"/>
      <c r="H45" s="41"/>
      <c r="I45" s="41"/>
      <c r="J45" s="289" t="s">
        <v>33</v>
      </c>
      <c r="K45" s="324"/>
      <c r="L45" s="294"/>
      <c r="M45" s="294"/>
      <c r="N45" s="294"/>
      <c r="O45" s="294"/>
      <c r="P45" s="12"/>
    </row>
    <row r="46" spans="1:56" ht="14.4">
      <c r="B46" s="521"/>
      <c r="C46" s="349"/>
      <c r="D46" s="473"/>
      <c r="E46" s="474"/>
      <c r="F46" s="294"/>
      <c r="G46" s="42"/>
      <c r="H46" s="41"/>
      <c r="I46" s="41"/>
      <c r="J46" s="290" t="s">
        <v>16</v>
      </c>
      <c r="K46" s="324"/>
      <c r="L46" s="294"/>
      <c r="M46" s="294"/>
      <c r="N46" s="294"/>
      <c r="O46" s="294"/>
      <c r="P46" s="12"/>
      <c r="BC46" s="44"/>
      <c r="BD46" s="44"/>
    </row>
    <row r="47" spans="1:56" ht="14.4">
      <c r="B47" s="521"/>
      <c r="C47" s="349"/>
      <c r="D47" s="468"/>
      <c r="E47" s="469"/>
      <c r="F47" s="294"/>
      <c r="G47" s="42"/>
      <c r="H47" s="41"/>
      <c r="I47" s="41"/>
      <c r="J47" s="291" t="s">
        <v>15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1"/>
      <c r="C48" s="349"/>
      <c r="D48" s="475"/>
      <c r="E48" s="476"/>
      <c r="F48" s="294"/>
      <c r="G48" s="42"/>
      <c r="H48" s="41"/>
      <c r="I48" s="41"/>
      <c r="J48" s="291" t="s">
        <v>149</v>
      </c>
      <c r="K48" s="324"/>
      <c r="L48" s="294"/>
      <c r="M48" s="294"/>
      <c r="N48" s="294"/>
      <c r="O48" s="294"/>
      <c r="P48" s="12"/>
      <c r="BC48" s="44"/>
      <c r="BD48" s="44"/>
    </row>
    <row r="49" spans="2:57" ht="15" thickBot="1">
      <c r="B49" s="522"/>
      <c r="C49" s="350"/>
      <c r="D49" s="477"/>
      <c r="E49" s="478"/>
      <c r="F49" s="294"/>
      <c r="G49" s="42"/>
      <c r="H49" s="41"/>
      <c r="I49" s="41"/>
      <c r="J49" s="291" t="s">
        <v>148</v>
      </c>
      <c r="K49" s="324"/>
      <c r="L49" s="294"/>
      <c r="M49" s="294"/>
      <c r="N49" s="294"/>
      <c r="O49" s="294"/>
      <c r="P49" s="12"/>
      <c r="BC49" s="44"/>
      <c r="BD49" s="44"/>
    </row>
    <row r="50" spans="2:57" ht="17.7" customHeight="1" thickBot="1">
      <c r="B50" s="312" t="s">
        <v>139</v>
      </c>
      <c r="C50" s="313"/>
      <c r="D50" s="457">
        <f>AVERAGE(D28:E49)</f>
        <v>11.82</v>
      </c>
      <c r="E50" s="458"/>
      <c r="F50" s="294"/>
      <c r="G50" s="42"/>
      <c r="H50" s="41"/>
      <c r="I50" s="41"/>
      <c r="J50" s="295" t="s">
        <v>134</v>
      </c>
      <c r="K50" s="324"/>
      <c r="L50" s="294"/>
      <c r="M50" s="294"/>
      <c r="N50" s="294"/>
      <c r="O50" s="294"/>
      <c r="P50" s="12"/>
      <c r="BC50" s="44"/>
      <c r="BD50" s="44"/>
    </row>
    <row r="51" spans="2:57" ht="17.7" customHeight="1">
      <c r="B51" s="363"/>
      <c r="C51" s="364"/>
      <c r="D51" s="365"/>
      <c r="E51" s="365"/>
      <c r="F51" s="294"/>
      <c r="G51" s="42"/>
      <c r="H51" s="41"/>
      <c r="I51" s="41"/>
      <c r="J51" s="295" t="s">
        <v>131</v>
      </c>
      <c r="K51" s="324"/>
      <c r="L51" s="294"/>
      <c r="M51" s="294"/>
      <c r="N51" s="294"/>
      <c r="O51" s="294"/>
      <c r="P51" s="12"/>
      <c r="BC51" s="44"/>
      <c r="BD51" s="44"/>
    </row>
    <row r="52" spans="2:57" ht="15.75" customHeight="1">
      <c r="B52" s="45"/>
      <c r="C52" s="11"/>
      <c r="D52" s="11"/>
      <c r="E52" s="46"/>
      <c r="F52" s="294"/>
      <c r="G52" s="42"/>
      <c r="H52" s="41"/>
      <c r="I52" s="41"/>
      <c r="J52" s="346" t="s">
        <v>130</v>
      </c>
      <c r="K52" s="324">
        <f>SUM(K42:K51)</f>
        <v>8</v>
      </c>
      <c r="L52" s="294"/>
      <c r="M52" s="294"/>
      <c r="N52" s="294"/>
      <c r="O52" s="294"/>
      <c r="P52" s="12"/>
    </row>
    <row r="53" spans="2:57" ht="20.25" customHeight="1">
      <c r="B53" s="15" t="s">
        <v>42</v>
      </c>
      <c r="C53" s="1" t="s">
        <v>43</v>
      </c>
      <c r="D53" s="1"/>
      <c r="E53" s="1"/>
      <c r="F53" s="294"/>
      <c r="G53" s="42"/>
      <c r="H53" s="41"/>
      <c r="I53" s="42"/>
      <c r="L53" s="294"/>
      <c r="P53" s="334"/>
    </row>
    <row r="54" spans="2:57" ht="15" customHeight="1" thickBot="1"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8"/>
      <c r="O54" s="48"/>
      <c r="P54" s="49"/>
    </row>
    <row r="55" spans="2:57" ht="15" customHeight="1" thickBot="1">
      <c r="B55" s="447" t="s">
        <v>17</v>
      </c>
      <c r="C55" s="447" t="s">
        <v>44</v>
      </c>
      <c r="D55" s="459" t="s">
        <v>45</v>
      </c>
      <c r="E55" s="461" t="s">
        <v>46</v>
      </c>
      <c r="F55" s="455" t="s">
        <v>47</v>
      </c>
      <c r="G55" s="445" t="s">
        <v>48</v>
      </c>
      <c r="H55" s="447" t="s">
        <v>49</v>
      </c>
      <c r="I55" s="447" t="s">
        <v>50</v>
      </c>
      <c r="J55" s="439" t="s">
        <v>28</v>
      </c>
      <c r="K55" s="451" t="s">
        <v>51</v>
      </c>
      <c r="L55" s="453" t="s">
        <v>52</v>
      </c>
      <c r="M55" s="439" t="s">
        <v>53</v>
      </c>
      <c r="N55" s="13"/>
      <c r="O55" s="13"/>
      <c r="P55" s="50"/>
    </row>
    <row r="56" spans="2:57" ht="28.5" customHeight="1" thickTop="1" thickBot="1">
      <c r="B56" s="448"/>
      <c r="C56" s="448"/>
      <c r="D56" s="460"/>
      <c r="E56" s="462"/>
      <c r="F56" s="456"/>
      <c r="G56" s="446"/>
      <c r="H56" s="448"/>
      <c r="I56" s="448"/>
      <c r="J56" s="440"/>
      <c r="K56" s="452"/>
      <c r="L56" s="454"/>
      <c r="M56" s="440"/>
      <c r="N56" s="13"/>
      <c r="O56" s="13"/>
      <c r="P56" s="50"/>
      <c r="Q56" s="355"/>
      <c r="AB56" s="51">
        <v>43474</v>
      </c>
      <c r="AC56" s="51">
        <v>43475</v>
      </c>
      <c r="AD56" s="51">
        <v>43476</v>
      </c>
      <c r="AE56" s="51">
        <v>43477</v>
      </c>
      <c r="AF56" s="51">
        <v>43478</v>
      </c>
      <c r="AG56" s="51">
        <v>43479</v>
      </c>
      <c r="AH56" s="51">
        <v>43480</v>
      </c>
      <c r="AI56" s="51">
        <v>43481</v>
      </c>
      <c r="AJ56" s="51">
        <v>43482</v>
      </c>
      <c r="AK56" s="51">
        <v>43483</v>
      </c>
      <c r="AL56" s="51">
        <v>43484</v>
      </c>
      <c r="AM56" s="51">
        <v>43485</v>
      </c>
      <c r="AN56" s="51">
        <v>43486</v>
      </c>
      <c r="AO56" s="51">
        <v>43487</v>
      </c>
      <c r="AP56" s="51">
        <v>43488</v>
      </c>
      <c r="AQ56" s="51">
        <v>43489</v>
      </c>
      <c r="AR56" s="51">
        <v>43490</v>
      </c>
      <c r="AS56" s="51">
        <v>43491</v>
      </c>
      <c r="AT56" s="51">
        <v>43492</v>
      </c>
      <c r="AU56" s="51">
        <v>43493</v>
      </c>
      <c r="AV56" s="51">
        <v>43494</v>
      </c>
      <c r="AW56" s="51">
        <v>43495</v>
      </c>
      <c r="AX56" s="51">
        <v>43496</v>
      </c>
    </row>
    <row r="57" spans="2:57" s="54" customFormat="1" ht="53.25" customHeight="1">
      <c r="B57" s="430" t="str">
        <f>I29</f>
        <v>STAG</v>
      </c>
      <c r="C57" s="283">
        <v>45793</v>
      </c>
      <c r="D57" s="377">
        <f>[33]May_2025!$S$13</f>
        <v>422.49999999999989</v>
      </c>
      <c r="E57" s="378"/>
      <c r="F57" s="379"/>
      <c r="G57" s="303">
        <f>[33]May_2025!$S$17</f>
        <v>403.1</v>
      </c>
      <c r="H57" s="320"/>
      <c r="I57" s="322"/>
      <c r="J57" s="392" t="s">
        <v>162</v>
      </c>
      <c r="K57" s="416">
        <f>[35]May_2025!$S$18</f>
        <v>0.70719298245614037</v>
      </c>
      <c r="L57" s="281">
        <f>(((D57+E57)-G57)/(D57+E57))*100</f>
        <v>4.5917159763313302</v>
      </c>
      <c r="M57" s="419" t="s">
        <v>200</v>
      </c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57" t="e">
        <f>[20]January_2019!L7</f>
        <v>#REF!</v>
      </c>
      <c r="AC57" s="57" t="e">
        <f>[20]January_2019!M7</f>
        <v>#REF!</v>
      </c>
      <c r="AD57" s="57" t="e">
        <f>[20]January_2019!N7</f>
        <v>#REF!</v>
      </c>
      <c r="AE57" s="57" t="e">
        <f>[20]January_2019!O7</f>
        <v>#REF!</v>
      </c>
      <c r="AF57" s="57" t="e">
        <f>[20]January_2019!P7</f>
        <v>#REF!</v>
      </c>
      <c r="AG57" s="57" t="e">
        <f>[20]January_2019!Q7</f>
        <v>#REF!</v>
      </c>
      <c r="AH57" s="57" t="e">
        <f>[20]January_2019!R7</f>
        <v>#REF!</v>
      </c>
      <c r="AI57" s="57" t="e">
        <f>[20]January_2019!S7</f>
        <v>#REF!</v>
      </c>
      <c r="AJ57" s="57" t="e">
        <f>[20]January_2019!T7</f>
        <v>#REF!</v>
      </c>
      <c r="AK57" s="57" t="e">
        <f>[20]January_2019!U7</f>
        <v>#REF!</v>
      </c>
      <c r="AL57" s="57" t="e">
        <f>[20]January_2019!V7</f>
        <v>#REF!</v>
      </c>
      <c r="AM57" s="57" t="e">
        <f>[20]January_2019!W7</f>
        <v>#REF!</v>
      </c>
      <c r="AN57" s="57" t="e">
        <f>[20]January_2019!X7</f>
        <v>#REF!</v>
      </c>
      <c r="AO57" s="57" t="e">
        <f>[20]January_2019!Y7</f>
        <v>#REF!</v>
      </c>
      <c r="AP57" s="57" t="e">
        <f>[20]January_2019!Z7</f>
        <v>#REF!</v>
      </c>
      <c r="AQ57" s="57" t="e">
        <f>[20]January_2019!AA7</f>
        <v>#REF!</v>
      </c>
      <c r="AR57" s="57" t="e">
        <f>[20]January_2019!AB7</f>
        <v>#REF!</v>
      </c>
      <c r="AS57" s="57" t="e">
        <f>[20]January_2019!AC7</f>
        <v>#REF!</v>
      </c>
      <c r="AT57" s="57" t="e">
        <f>[20]January_2019!AD7</f>
        <v>#REF!</v>
      </c>
      <c r="AU57" s="57" t="e">
        <f>[20]January_2019!AE7</f>
        <v>#REF!</v>
      </c>
      <c r="AV57" s="57" t="e">
        <f>[20]January_2019!AF7</f>
        <v>#REF!</v>
      </c>
      <c r="AW57" s="57" t="e">
        <f>[20]January_2019!AG7</f>
        <v>#REF!</v>
      </c>
      <c r="AX57" s="277" t="e">
        <f>[20]January_2019!AH7</f>
        <v>#REF!</v>
      </c>
      <c r="AY57" s="277"/>
      <c r="AZ57" s="277"/>
      <c r="BA57" s="277"/>
      <c r="BB57" s="277"/>
      <c r="BC57" s="277"/>
      <c r="BD57" s="277"/>
      <c r="BE57" s="277"/>
    </row>
    <row r="58" spans="2:57" s="54" customFormat="1" ht="16.5" customHeight="1">
      <c r="B58" s="431"/>
      <c r="C58" s="283"/>
      <c r="D58" s="377"/>
      <c r="E58" s="378"/>
      <c r="F58" s="379"/>
      <c r="G58" s="303"/>
      <c r="H58" s="320"/>
      <c r="I58" s="322"/>
      <c r="J58" s="281"/>
      <c r="K58" s="286"/>
      <c r="L58" s="314"/>
      <c r="M58" s="419"/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  <c r="AO58" s="418"/>
      <c r="AP58" s="418"/>
      <c r="AQ58" s="418"/>
      <c r="AR58" s="418"/>
      <c r="AS58" s="418"/>
      <c r="AT58" s="418"/>
      <c r="AU58" s="418"/>
      <c r="AV58" s="418"/>
      <c r="AW58" s="418"/>
    </row>
    <row r="59" spans="2:57" s="54" customFormat="1" ht="51" customHeight="1">
      <c r="B59" s="431"/>
      <c r="C59" s="283"/>
      <c r="D59" s="377"/>
      <c r="E59" s="378"/>
      <c r="F59" s="379"/>
      <c r="G59" s="303"/>
      <c r="H59" s="320"/>
      <c r="I59" s="322"/>
      <c r="J59" s="281"/>
      <c r="K59" s="286"/>
      <c r="L59" s="314"/>
      <c r="M59" s="419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6"/>
      <c r="P60" s="60"/>
    </row>
    <row r="61" spans="2:57" ht="14.4" thickBot="1">
      <c r="B61" s="441" t="s">
        <v>55</v>
      </c>
      <c r="C61" s="442"/>
      <c r="D61" s="442"/>
      <c r="E61" s="442"/>
      <c r="F61" s="443"/>
      <c r="G61" s="441" t="s">
        <v>56</v>
      </c>
      <c r="H61" s="442"/>
      <c r="I61" s="442"/>
      <c r="J61" s="443"/>
      <c r="K61" s="441" t="s">
        <v>51</v>
      </c>
      <c r="L61" s="442"/>
      <c r="M61" s="442"/>
      <c r="N61" s="444"/>
      <c r="O61" s="56"/>
      <c r="P61" s="50"/>
    </row>
    <row r="62" spans="2:57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/>
      <c r="L62" s="62" t="s">
        <v>37</v>
      </c>
      <c r="M62" s="62" t="s">
        <v>38</v>
      </c>
      <c r="N62" s="63" t="s">
        <v>39</v>
      </c>
      <c r="O62" s="56"/>
      <c r="P62" s="64"/>
    </row>
    <row r="63" spans="2:57">
      <c r="B63" s="29" t="s">
        <v>6</v>
      </c>
      <c r="C63" s="65"/>
      <c r="D63" s="76">
        <v>5.1029678982435289</v>
      </c>
      <c r="E63" s="76">
        <v>6.9687914928340557</v>
      </c>
      <c r="F63" s="66">
        <v>4.8</v>
      </c>
      <c r="G63" s="65"/>
      <c r="H63" s="76">
        <v>4.0305043051635918</v>
      </c>
      <c r="I63" s="76">
        <v>6.9242793069199937</v>
      </c>
      <c r="J63" s="66">
        <v>4.8</v>
      </c>
      <c r="K63" s="67"/>
      <c r="L63" s="194">
        <v>0.99065789473684207</v>
      </c>
      <c r="M63" s="194">
        <v>0.77601726484616851</v>
      </c>
      <c r="N63" s="68">
        <v>1</v>
      </c>
      <c r="O63" s="56"/>
      <c r="P63" s="69"/>
    </row>
    <row r="64" spans="2:57">
      <c r="B64" s="33" t="s">
        <v>9</v>
      </c>
      <c r="C64" s="65">
        <f>L57</f>
        <v>4.5917159763313302</v>
      </c>
      <c r="D64" s="76">
        <v>5.2022252292888638</v>
      </c>
      <c r="E64" s="76">
        <v>5.9617606818962967</v>
      </c>
      <c r="F64" s="66">
        <v>4.8</v>
      </c>
      <c r="G64" s="65">
        <f>[33]May_2025!$S$21</f>
        <v>4.5917159763313382</v>
      </c>
      <c r="H64" s="76">
        <v>4.3078757344170349</v>
      </c>
      <c r="I64" s="76">
        <v>6.2686652702189285</v>
      </c>
      <c r="J64" s="66">
        <v>4.8</v>
      </c>
      <c r="K64" s="67">
        <f>K57</f>
        <v>0.70719298245614037</v>
      </c>
      <c r="L64" s="194">
        <v>0.61318713450292395</v>
      </c>
      <c r="M64" s="194">
        <v>0.74352497019151897</v>
      </c>
      <c r="N64" s="68">
        <v>1</v>
      </c>
      <c r="P64" s="69"/>
    </row>
    <row r="65" spans="2:16">
      <c r="B65" s="34" t="s">
        <v>40</v>
      </c>
      <c r="C65" s="65"/>
      <c r="D65" s="76"/>
      <c r="E65" s="76">
        <v>12.554572931825788</v>
      </c>
      <c r="F65" s="66">
        <v>5.5</v>
      </c>
      <c r="G65" s="65"/>
      <c r="H65" s="76"/>
      <c r="I65" s="76">
        <v>13.449891307585697</v>
      </c>
      <c r="J65" s="66">
        <v>5.5</v>
      </c>
      <c r="K65" s="67"/>
      <c r="L65" s="194"/>
      <c r="M65" s="194">
        <v>0.54554653679653675</v>
      </c>
      <c r="N65" s="68">
        <v>1</v>
      </c>
      <c r="P65" s="69"/>
    </row>
    <row r="66" spans="2:16">
      <c r="B66" s="22" t="s">
        <v>33</v>
      </c>
      <c r="C66" s="65"/>
      <c r="D66" s="76">
        <v>3.4057735971456373</v>
      </c>
      <c r="E66" s="76">
        <v>1.6190544721882421</v>
      </c>
      <c r="F66" s="66">
        <v>3.3</v>
      </c>
      <c r="G66" s="65"/>
      <c r="H66" s="76">
        <v>2.1612156300633463</v>
      </c>
      <c r="I66" s="76">
        <v>4.4964752224031521</v>
      </c>
      <c r="J66" s="66">
        <v>3.3</v>
      </c>
      <c r="K66" s="67"/>
      <c r="L66" s="194">
        <v>1.0449122807017543</v>
      </c>
      <c r="M66" s="194">
        <v>0.90649122807017535</v>
      </c>
      <c r="N66" s="68">
        <v>1</v>
      </c>
      <c r="P66" s="69"/>
    </row>
    <row r="67" spans="2:16">
      <c r="B67" s="35" t="s">
        <v>29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7.8262258425171876</v>
      </c>
      <c r="F68" s="70">
        <f>[21]May_2022!$M$43</f>
        <v>3.4878406700073312</v>
      </c>
      <c r="G68" s="282"/>
      <c r="H68" s="76"/>
      <c r="I68" s="76">
        <v>9.4300678869947632</v>
      </c>
      <c r="J68" s="66">
        <v>5.5</v>
      </c>
      <c r="K68" s="67"/>
      <c r="L68" s="194"/>
      <c r="M68" s="194">
        <v>0.674970760233918</v>
      </c>
      <c r="N68" s="68">
        <v>1</v>
      </c>
      <c r="P68" s="69"/>
    </row>
    <row r="69" spans="2:16">
      <c r="B69" s="37" t="s">
        <v>16</v>
      </c>
      <c r="C69" s="65"/>
      <c r="D69" s="76">
        <v>3.8832609744331941</v>
      </c>
      <c r="E69" s="76">
        <v>2.4852159592783925</v>
      </c>
      <c r="F69" s="66">
        <v>3.3</v>
      </c>
      <c r="G69" s="282"/>
      <c r="H69" s="76">
        <v>4.1755914731086534</v>
      </c>
      <c r="I69" s="76">
        <v>4.4843055604984379</v>
      </c>
      <c r="J69" s="66">
        <v>3.3</v>
      </c>
      <c r="K69" s="67"/>
      <c r="L69" s="194">
        <v>0.69912280701754381</v>
      </c>
      <c r="M69" s="194">
        <v>0.79924705882352942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4.4" thickBot="1">
      <c r="B71" s="417" t="s">
        <v>161</v>
      </c>
      <c r="C71" s="65"/>
      <c r="D71" s="76"/>
      <c r="E71" s="76">
        <v>4.8792508624938291</v>
      </c>
      <c r="F71" s="66">
        <v>4.8</v>
      </c>
      <c r="G71" s="282"/>
      <c r="H71" s="76"/>
      <c r="I71" s="76">
        <v>6.2003723782925313</v>
      </c>
      <c r="J71" s="66">
        <v>4.8</v>
      </c>
      <c r="K71" s="67"/>
      <c r="L71" s="194"/>
      <c r="M71" s="194">
        <v>0.33859649122807017</v>
      </c>
      <c r="N71" s="71">
        <v>1</v>
      </c>
      <c r="O71" s="74"/>
      <c r="P71" s="75"/>
    </row>
    <row r="72" spans="2:16">
      <c r="D72" s="76">
        <v>4.4889338410281105</v>
      </c>
      <c r="E72" s="76">
        <v>6.5488774990021801</v>
      </c>
      <c r="F72" s="341">
        <v>5.5</v>
      </c>
      <c r="H72" s="76">
        <v>3.9343370401263393</v>
      </c>
      <c r="I72" s="76">
        <v>7.1563230866730807</v>
      </c>
      <c r="J72" s="341">
        <v>5.5</v>
      </c>
      <c r="K72" s="67"/>
      <c r="L72" s="194">
        <v>0.84801819363222863</v>
      </c>
      <c r="M72" s="194">
        <v>0.74777387012185703</v>
      </c>
      <c r="N72" s="386">
        <v>1</v>
      </c>
    </row>
    <row r="76" spans="2:16">
      <c r="F76" s="315"/>
    </row>
  </sheetData>
  <mergeCells count="51">
    <mergeCell ref="M55:M56"/>
    <mergeCell ref="B61:F61"/>
    <mergeCell ref="G61:J61"/>
    <mergeCell ref="K61:N61"/>
    <mergeCell ref="G55:G56"/>
    <mergeCell ref="H55:H56"/>
    <mergeCell ref="I55:I56"/>
    <mergeCell ref="J55:J56"/>
    <mergeCell ref="K55:K56"/>
    <mergeCell ref="L55:L56"/>
    <mergeCell ref="F55:F56"/>
    <mergeCell ref="D50:E50"/>
    <mergeCell ref="B55:B56"/>
    <mergeCell ref="C55:C56"/>
    <mergeCell ref="D55:D56"/>
    <mergeCell ref="E55:E56"/>
    <mergeCell ref="B40:B49"/>
    <mergeCell ref="D40:E41"/>
    <mergeCell ref="J40:K40"/>
    <mergeCell ref="L41:N41"/>
    <mergeCell ref="D42:E43"/>
    <mergeCell ref="D44:E45"/>
    <mergeCell ref="D46:E47"/>
    <mergeCell ref="D48:E49"/>
    <mergeCell ref="I26:N26"/>
    <mergeCell ref="D27:E27"/>
    <mergeCell ref="B28:B39"/>
    <mergeCell ref="D28:E29"/>
    <mergeCell ref="D30:E31"/>
    <mergeCell ref="D32:E33"/>
    <mergeCell ref="D34:E35"/>
    <mergeCell ref="D36:E37"/>
    <mergeCell ref="D38:E39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0:B51">
    <cfRule type="cellIs" dxfId="1105" priority="84" operator="notBetween">
      <formula>#REF!</formula>
      <formula>#REF!</formula>
    </cfRule>
  </conditionalFormatting>
  <conditionalFormatting sqref="C54">
    <cfRule type="cellIs" dxfId="1104" priority="115" stopIfTrue="1" operator="lessThan">
      <formula>96</formula>
    </cfRule>
    <cfRule type="cellIs" dxfId="1103" priority="116" stopIfTrue="1" operator="greaterThan">
      <formula>100</formula>
    </cfRule>
  </conditionalFormatting>
  <conditionalFormatting sqref="C63:C64">
    <cfRule type="cellIs" dxfId="1102" priority="60" stopIfTrue="1" operator="lessThanOrEqual">
      <formula>0</formula>
    </cfRule>
  </conditionalFormatting>
  <conditionalFormatting sqref="C63:C67">
    <cfRule type="cellIs" dxfId="1101" priority="59" stopIfTrue="1" operator="greaterThan">
      <formula>$F63</formula>
    </cfRule>
  </conditionalFormatting>
  <conditionalFormatting sqref="C64">
    <cfRule type="cellIs" dxfId="1100" priority="119" stopIfTrue="1" operator="greaterThan">
      <formula>$F63</formula>
    </cfRule>
  </conditionalFormatting>
  <conditionalFormatting sqref="C65:C68">
    <cfRule type="cellIs" dxfId="1099" priority="68" stopIfTrue="1" operator="lessThanOrEqual">
      <formula>0</formula>
    </cfRule>
  </conditionalFormatting>
  <conditionalFormatting sqref="C68">
    <cfRule type="cellIs" dxfId="1098" priority="67" stopIfTrue="1" operator="greaterThan">
      <formula>$J68</formula>
    </cfRule>
  </conditionalFormatting>
  <conditionalFormatting sqref="C74:C78">
    <cfRule type="cellIs" dxfId="1097" priority="107" stopIfTrue="1" operator="lessThanOrEqual">
      <formula>0</formula>
    </cfRule>
  </conditionalFormatting>
  <conditionalFormatting sqref="C75:C78">
    <cfRule type="cellIs" dxfId="1096" priority="106" stopIfTrue="1" operator="greaterThan">
      <formula>$F$74</formula>
    </cfRule>
  </conditionalFormatting>
  <conditionalFormatting sqref="C80">
    <cfRule type="cellIs" dxfId="1095" priority="109" stopIfTrue="1" operator="lessThanOrEqual">
      <formula>0</formula>
    </cfRule>
    <cfRule type="cellIs" dxfId="1094" priority="108" stopIfTrue="1" operator="greaterThan">
      <formula>$F$74</formula>
    </cfRule>
  </conditionalFormatting>
  <conditionalFormatting sqref="C74:D74 D76:D82">
    <cfRule type="cellIs" dxfId="1093" priority="101" stopIfTrue="1" operator="greaterThan">
      <formula>4.5</formula>
    </cfRule>
  </conditionalFormatting>
  <conditionalFormatting sqref="D50:D51">
    <cfRule type="cellIs" dxfId="1092" priority="85" operator="notBetween">
      <formula>#REF!</formula>
      <formula>#REF!</formula>
    </cfRule>
  </conditionalFormatting>
  <conditionalFormatting sqref="D63:D70">
    <cfRule type="cellIs" dxfId="1091" priority="78" stopIfTrue="1" operator="lessThanOrEqual">
      <formula>0</formula>
    </cfRule>
  </conditionalFormatting>
  <conditionalFormatting sqref="D71">
    <cfRule type="cellIs" dxfId="1090" priority="77" stopIfTrue="1" operator="lessThanOrEqual">
      <formula>0</formula>
    </cfRule>
  </conditionalFormatting>
  <conditionalFormatting sqref="D74 D76:D82">
    <cfRule type="cellIs" dxfId="1089" priority="102" stopIfTrue="1" operator="lessThanOrEqual">
      <formula>0</formula>
    </cfRule>
  </conditionalFormatting>
  <conditionalFormatting sqref="D75">
    <cfRule type="cellIs" dxfId="1088" priority="94" stopIfTrue="1" operator="lessThanOrEqual">
      <formula>0</formula>
    </cfRule>
    <cfRule type="cellIs" dxfId="1087" priority="93" stopIfTrue="1" operator="greaterThan">
      <formula>$F$74</formula>
    </cfRule>
  </conditionalFormatting>
  <conditionalFormatting sqref="D63:E72">
    <cfRule type="cellIs" dxfId="1086" priority="56" stopIfTrue="1" operator="greaterThan">
      <formula>$F63</formula>
    </cfRule>
  </conditionalFormatting>
  <conditionalFormatting sqref="D72:E72">
    <cfRule type="cellIs" dxfId="1085" priority="57" stopIfTrue="1" operator="lessThanOrEqual">
      <formula>0</formula>
    </cfRule>
  </conditionalFormatting>
  <conditionalFormatting sqref="E10:E25">
    <cfRule type="cellIs" dxfId="1084" priority="7" operator="lessThan">
      <formula>48</formula>
    </cfRule>
  </conditionalFormatting>
  <conditionalFormatting sqref="E53 E54:F54">
    <cfRule type="cellIs" dxfId="1083" priority="98" stopIfTrue="1" operator="greaterThan">
      <formula>100</formula>
    </cfRule>
  </conditionalFormatting>
  <conditionalFormatting sqref="E54">
    <cfRule type="cellIs" dxfId="1082" priority="95" stopIfTrue="1" operator="lessThan">
      <formula>96.8</formula>
    </cfRule>
    <cfRule type="cellIs" dxfId="1081" priority="96" stopIfTrue="1" operator="greaterThan">
      <formula>100</formula>
    </cfRule>
  </conditionalFormatting>
  <conditionalFormatting sqref="E63:E71">
    <cfRule type="cellIs" dxfId="1080" priority="72" stopIfTrue="1" operator="lessThanOrEqual">
      <formula>0</formula>
    </cfRule>
  </conditionalFormatting>
  <conditionalFormatting sqref="E74:E82">
    <cfRule type="cellIs" dxfId="1079" priority="87" stopIfTrue="1" operator="greaterThan">
      <formula>4.5</formula>
    </cfRule>
    <cfRule type="cellIs" dxfId="1078" priority="88" stopIfTrue="1" operator="lessThanOrEqual">
      <formula>0</formula>
    </cfRule>
  </conditionalFormatting>
  <conditionalFormatting sqref="E54:F54 E53">
    <cfRule type="cellIs" dxfId="1077" priority="97" stopIfTrue="1" operator="lessThan">
      <formula>96.5</formula>
    </cfRule>
  </conditionalFormatting>
  <conditionalFormatting sqref="F10:F25">
    <cfRule type="cellIs" dxfId="1076" priority="8" operator="greaterThan">
      <formula>60</formula>
    </cfRule>
  </conditionalFormatting>
  <conditionalFormatting sqref="F54">
    <cfRule type="cellIs" dxfId="1075" priority="114" stopIfTrue="1" operator="greaterThan">
      <formula>100</formula>
    </cfRule>
    <cfRule type="cellIs" dxfId="1074" priority="113" stopIfTrue="1" operator="lessThan">
      <formula>96.8</formula>
    </cfRule>
  </conditionalFormatting>
  <conditionalFormatting sqref="F72">
    <cfRule type="cellIs" dxfId="1073" priority="74" stopIfTrue="1" operator="lessThanOrEqual">
      <formula>0</formula>
    </cfRule>
    <cfRule type="cellIs" dxfId="1072" priority="73" stopIfTrue="1" operator="greaterThan">
      <formula>$F72</formula>
    </cfRule>
  </conditionalFormatting>
  <conditionalFormatting sqref="G63:G64 C69:C71">
    <cfRule type="cellIs" dxfId="1071" priority="79" stopIfTrue="1" operator="greaterThan">
      <formula>$F63</formula>
    </cfRule>
    <cfRule type="cellIs" dxfId="1070" priority="80" stopIfTrue="1" operator="lessThanOrEqual">
      <formula>0</formula>
    </cfRule>
  </conditionalFormatting>
  <conditionalFormatting sqref="G63:G64">
    <cfRule type="cellIs" dxfId="1069" priority="61" stopIfTrue="1" operator="greaterThan">
      <formula>$F63</formula>
    </cfRule>
    <cfRule type="cellIs" dxfId="1068" priority="62" stopIfTrue="1" operator="lessThanOrEqual">
      <formula>0</formula>
    </cfRule>
  </conditionalFormatting>
  <conditionalFormatting sqref="G65">
    <cfRule type="cellIs" dxfId="1067" priority="117" stopIfTrue="1" operator="greaterThan">
      <formula>$F64</formula>
    </cfRule>
    <cfRule type="cellIs" dxfId="1066" priority="118" stopIfTrue="1" operator="lessThanOrEqual">
      <formula>0</formula>
    </cfRule>
  </conditionalFormatting>
  <conditionalFormatting sqref="G66">
    <cfRule type="cellIs" dxfId="1065" priority="75" stopIfTrue="1" operator="greaterThan">
      <formula>$F66</formula>
    </cfRule>
    <cfRule type="cellIs" dxfId="1064" priority="76" stopIfTrue="1" operator="lessThanOrEqual">
      <formula>0</formula>
    </cfRule>
  </conditionalFormatting>
  <conditionalFormatting sqref="G67:G71">
    <cfRule type="cellIs" dxfId="1063" priority="81" stopIfTrue="1" operator="greaterThan">
      <formula>$J67</formula>
    </cfRule>
    <cfRule type="cellIs" dxfId="1062" priority="82" stopIfTrue="1" operator="lessThanOrEqual">
      <formula>0</formula>
    </cfRule>
  </conditionalFormatting>
  <conditionalFormatting sqref="G76:G81 C79 C81">
    <cfRule type="cellIs" dxfId="1061" priority="111" stopIfTrue="1" operator="lessThanOrEqual">
      <formula>0</formula>
    </cfRule>
    <cfRule type="cellIs" dxfId="1060" priority="110" stopIfTrue="1" operator="greaterThan">
      <formula>4.5</formula>
    </cfRule>
  </conditionalFormatting>
  <conditionalFormatting sqref="G75:H75">
    <cfRule type="cellIs" dxfId="1059" priority="92" stopIfTrue="1" operator="lessThanOrEqual">
      <formula>0</formula>
    </cfRule>
    <cfRule type="cellIs" dxfId="1058" priority="91" stopIfTrue="1" operator="greaterThan">
      <formula>$F$74</formula>
    </cfRule>
  </conditionalFormatting>
  <conditionalFormatting sqref="H10:H22 G10:G25">
    <cfRule type="expression" dxfId="1057" priority="9">
      <formula>IF(+(IF(G10&lt;#REF!,0,IF(G10&gt;#REF!,0,1)))=0,1)</formula>
    </cfRule>
  </conditionalFormatting>
  <conditionalFormatting sqref="H23:H25">
    <cfRule type="expression" dxfId="1056" priority="20">
      <formula>IF(+(IF(H23&lt;T23,0,IF(H23&gt;U23,0,1)))=0,1)</formula>
    </cfRule>
  </conditionalFormatting>
  <conditionalFormatting sqref="H39:H53 I41:I52">
    <cfRule type="cellIs" dxfId="1055" priority="89" stopIfTrue="1" operator="greaterThan">
      <formula>0</formula>
    </cfRule>
  </conditionalFormatting>
  <conditionalFormatting sqref="H57:H59">
    <cfRule type="cellIs" dxfId="1054" priority="39" stopIfTrue="1" operator="lessThanOrEqual">
      <formula>0</formula>
    </cfRule>
    <cfRule type="cellIs" dxfId="1053" priority="40" stopIfTrue="1" operator="greaterThan">
      <formula>$F$39</formula>
    </cfRule>
    <cfRule type="cellIs" dxfId="1052" priority="30" stopIfTrue="1" operator="greaterThan">
      <formula>$F$38</formula>
    </cfRule>
    <cfRule type="cellIs" dxfId="1051" priority="38" stopIfTrue="1" operator="greaterThan">
      <formula>$F$41</formula>
    </cfRule>
    <cfRule type="cellIs" dxfId="1050" priority="29" stopIfTrue="1" operator="lessThanOrEqual">
      <formula>0</formula>
    </cfRule>
    <cfRule type="cellIs" dxfId="1049" priority="41" stopIfTrue="1" operator="lessThanOrEqual">
      <formula>0</formula>
    </cfRule>
  </conditionalFormatting>
  <conditionalFormatting sqref="H63:H70">
    <cfRule type="cellIs" dxfId="1048" priority="65" stopIfTrue="1" operator="greaterThan">
      <formula>$J63</formula>
    </cfRule>
    <cfRule type="cellIs" dxfId="1047" priority="66" stopIfTrue="1" operator="lessThanOrEqual">
      <formula>0</formula>
    </cfRule>
  </conditionalFormatting>
  <conditionalFormatting sqref="H71">
    <cfRule type="cellIs" dxfId="1046" priority="69" operator="greaterThan">
      <formula>5.3</formula>
    </cfRule>
  </conditionalFormatting>
  <conditionalFormatting sqref="H74 H76:H82">
    <cfRule type="cellIs" dxfId="1045" priority="104" stopIfTrue="1" operator="lessThanOrEqual">
      <formula>0</formula>
    </cfRule>
    <cfRule type="cellIs" dxfId="1044" priority="103" stopIfTrue="1" operator="greaterThan">
      <formula>4.5</formula>
    </cfRule>
  </conditionalFormatting>
  <conditionalFormatting sqref="H57:I59">
    <cfRule type="cellIs" dxfId="1043" priority="31" stopIfTrue="1" operator="lessThanOrEqual">
      <formula>0</formula>
    </cfRule>
    <cfRule type="cellIs" dxfId="1042" priority="28" stopIfTrue="1" operator="greaterThan">
      <formula>$F$40</formula>
    </cfRule>
  </conditionalFormatting>
  <conditionalFormatting sqref="H72:I72">
    <cfRule type="cellIs" dxfId="1041" priority="54" stopIfTrue="1" operator="greaterThan">
      <formula>$J72</formula>
    </cfRule>
    <cfRule type="cellIs" dxfId="1040" priority="55" stopIfTrue="1" operator="lessThanOrEqual">
      <formula>0</formula>
    </cfRule>
  </conditionalFormatting>
  <conditionalFormatting sqref="I57:I59">
    <cfRule type="cellIs" dxfId="1039" priority="36" stopIfTrue="1" operator="greaterThan">
      <formula>$F$38</formula>
    </cfRule>
    <cfRule type="cellIs" dxfId="1038" priority="35" stopIfTrue="1" operator="lessThanOrEqual">
      <formula>0</formula>
    </cfRule>
    <cfRule type="cellIs" dxfId="1037" priority="37" stopIfTrue="1" operator="lessThanOrEqual">
      <formula>0</formula>
    </cfRule>
    <cfRule type="cellIs" dxfId="1036" priority="34" stopIfTrue="1" operator="greaterThan">
      <formula>$F$40</formula>
    </cfRule>
    <cfRule type="cellIs" dxfId="1035" priority="33" stopIfTrue="1" operator="lessThanOrEqual">
      <formula>0</formula>
    </cfRule>
    <cfRule type="cellIs" dxfId="1034" priority="32" stopIfTrue="1" operator="greaterThan">
      <formula>$F$38</formula>
    </cfRule>
  </conditionalFormatting>
  <conditionalFormatting sqref="I63:I71">
    <cfRule type="cellIs" dxfId="1033" priority="71" stopIfTrue="1" operator="lessThanOrEqual">
      <formula>0</formula>
    </cfRule>
    <cfRule type="cellIs" dxfId="1032" priority="70" stopIfTrue="1" operator="greaterThan">
      <formula>$J63</formula>
    </cfRule>
  </conditionalFormatting>
  <conditionalFormatting sqref="I74:I82">
    <cfRule type="cellIs" dxfId="1031" priority="100" stopIfTrue="1" operator="lessThanOrEqual">
      <formula>0</formula>
    </cfRule>
    <cfRule type="cellIs" dxfId="1030" priority="99" stopIfTrue="1" operator="greaterThan">
      <formula>4.5</formula>
    </cfRule>
  </conditionalFormatting>
  <conditionalFormatting sqref="I10:J22 I23:I25">
    <cfRule type="cellIs" dxfId="1029" priority="27" operator="lessThan">
      <formula>97.9</formula>
    </cfRule>
  </conditionalFormatting>
  <conditionalFormatting sqref="J28:J30">
    <cfRule type="cellIs" dxfId="1028" priority="46" operator="lessThan">
      <formula>98</formula>
    </cfRule>
    <cfRule type="cellIs" dxfId="1027" priority="45" stopIfTrue="1" operator="greaterThan">
      <formula>100</formula>
    </cfRule>
    <cfRule type="cellIs" dxfId="1026" priority="44" stopIfTrue="1" operator="lessThan">
      <formula>96.8</formula>
    </cfRule>
  </conditionalFormatting>
  <conditionalFormatting sqref="J28:J32">
    <cfRule type="cellIs" dxfId="1025" priority="43" operator="lessThan">
      <formula>97.4</formula>
    </cfRule>
  </conditionalFormatting>
  <conditionalFormatting sqref="J33">
    <cfRule type="cellIs" dxfId="1024" priority="47" operator="lessThan">
      <formula>98</formula>
    </cfRule>
  </conditionalFormatting>
  <conditionalFormatting sqref="J34:J36">
    <cfRule type="cellIs" dxfId="1023" priority="49" stopIfTrue="1" operator="greaterThan">
      <formula>100</formula>
    </cfRule>
    <cfRule type="cellIs" dxfId="1022" priority="48" stopIfTrue="1" operator="lessThan">
      <formula>96.8</formula>
    </cfRule>
  </conditionalFormatting>
  <conditionalFormatting sqref="J34:J37">
    <cfRule type="cellIs" dxfId="1021" priority="50" operator="lessThan">
      <formula>98</formula>
    </cfRule>
  </conditionalFormatting>
  <conditionalFormatting sqref="J72">
    <cfRule type="cellIs" dxfId="1020" priority="51" stopIfTrue="1" operator="greaterThan">
      <formula>$F72</formula>
    </cfRule>
    <cfRule type="cellIs" dxfId="1019" priority="52" stopIfTrue="1" operator="lessThanOrEqual">
      <formula>0</formula>
    </cfRule>
  </conditionalFormatting>
  <conditionalFormatting sqref="K10:K22 J23:J25">
    <cfRule type="cellIs" dxfId="1018" priority="26" operator="greaterThan">
      <formula>6.4</formula>
    </cfRule>
    <cfRule type="cellIs" dxfId="1017" priority="22" operator="greaterThan">
      <formula>6</formula>
    </cfRule>
    <cfRule type="cellIs" dxfId="1016" priority="23" operator="lessThan">
      <formula>4</formula>
    </cfRule>
  </conditionalFormatting>
  <conditionalFormatting sqref="K42:K51">
    <cfRule type="cellIs" dxfId="1015" priority="42" operator="notEqual">
      <formula>#REF!</formula>
    </cfRule>
  </conditionalFormatting>
  <conditionalFormatting sqref="K57:K59">
    <cfRule type="cellIs" dxfId="1014" priority="1" stopIfTrue="1" operator="lessThan">
      <formula>100%</formula>
    </cfRule>
  </conditionalFormatting>
  <conditionalFormatting sqref="K74:K79">
    <cfRule type="cellIs" dxfId="1013" priority="105" stopIfTrue="1" operator="lessThan">
      <formula>100%</formula>
    </cfRule>
  </conditionalFormatting>
  <conditionalFormatting sqref="K81:K82">
    <cfRule type="cellIs" dxfId="1012" priority="112" stopIfTrue="1" operator="lessThan">
      <formula>100%</formula>
    </cfRule>
  </conditionalFormatting>
  <conditionalFormatting sqref="K63:N66 L67:N67">
    <cfRule type="cellIs" dxfId="1011" priority="83" stopIfTrue="1" operator="lessThan">
      <formula>100%</formula>
    </cfRule>
  </conditionalFormatting>
  <conditionalFormatting sqref="K68:N72">
    <cfRule type="cellIs" dxfId="1010" priority="53" stopIfTrue="1" operator="lessThan">
      <formula>100%</formula>
    </cfRule>
  </conditionalFormatting>
  <conditionalFormatting sqref="L22">
    <cfRule type="cellIs" dxfId="1009" priority="16" operator="greaterThan">
      <formula>65</formula>
    </cfRule>
    <cfRule type="cellIs" dxfId="1008" priority="15" operator="between">
      <formula>61</formula>
      <formula>65</formula>
    </cfRule>
  </conditionalFormatting>
  <conditionalFormatting sqref="L10:M21 K23:K25">
    <cfRule type="cellIs" dxfId="1007" priority="25" operator="greaterThan">
      <formula>65</formula>
    </cfRule>
    <cfRule type="cellIs" dxfId="1006" priority="24" operator="between">
      <formula>61</formula>
      <formula>65</formula>
    </cfRule>
  </conditionalFormatting>
  <conditionalFormatting sqref="L43:N43">
    <cfRule type="cellIs" dxfId="1005" priority="19" operator="notEqual">
      <formula>#REF!</formula>
    </cfRule>
  </conditionalFormatting>
  <conditionalFormatting sqref="L74:N82">
    <cfRule type="cellIs" dxfId="1004" priority="90" stopIfTrue="1" operator="lessThan">
      <formula>100%</formula>
    </cfRule>
  </conditionalFormatting>
  <conditionalFormatting sqref="M10:M22 L23:M25">
    <cfRule type="expression" dxfId="1003" priority="21">
      <formula>IF(+(IF(L10&lt;T10,0,IF(L10&gt;U10,0,1)))=0,1)</formula>
    </cfRule>
  </conditionalFormatting>
  <conditionalFormatting sqref="M28 L29:M39">
    <cfRule type="cellIs" dxfId="1002" priority="58" operator="lessThan">
      <formula>98</formula>
    </cfRule>
  </conditionalFormatting>
  <conditionalFormatting sqref="N10:N21">
    <cfRule type="expression" dxfId="1001" priority="2">
      <formula>IF(+(IF(N10&lt;W10,0,IF(N10&gt;X10,0,1)))=0,1)</formula>
    </cfRule>
  </conditionalFormatting>
  <conditionalFormatting sqref="N22">
    <cfRule type="expression" dxfId="1000" priority="17">
      <formula>IF(+(IF(N22&lt;X22,0,IF(N22&gt;Y22,0,1)))=0,1)</formula>
    </cfRule>
  </conditionalFormatting>
  <conditionalFormatting sqref="N23:N25">
    <cfRule type="expression" dxfId="999" priority="18">
      <formula>IF(+(IF(N23&lt;W23,0,IF(N23&gt;X23,0,1)))=0,1)</formula>
    </cfRule>
  </conditionalFormatting>
  <conditionalFormatting sqref="P6">
    <cfRule type="cellIs" dxfId="998" priority="86" operator="greaterThanOrEqual">
      <formula>19</formula>
    </cfRule>
  </conditionalFormatting>
  <dataValidations count="1">
    <dataValidation type="list" allowBlank="1" showInputMessage="1" showErrorMessage="1" sqref="R8" xr:uid="{CA0D3998-229F-4646-A6EF-B301CDED9D64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27543-20D1-4700-89DB-BAA1D04C988C}">
  <sheetPr codeName="Sheet13">
    <pageSetUpPr fitToPage="1"/>
  </sheetPr>
  <dimension ref="A1:BE72"/>
  <sheetViews>
    <sheetView topLeftCell="A50" zoomScale="80" zoomScaleNormal="80" workbookViewId="0">
      <selection activeCell="K40" sqref="K40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7.33203125" style="275" customWidth="1"/>
    <col min="10" max="10" width="27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45797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[22]Brewhouse!$A450</f>
        <v>CA345</v>
      </c>
      <c r="D10" s="279">
        <f>[22]Brewhouse!$AF450</f>
        <v>53.8</v>
      </c>
      <c r="E10" s="279">
        <f>[22]Brewhouse!$AI450</f>
        <v>49.4</v>
      </c>
      <c r="F10" s="278">
        <f>[22]Brewhouse!$V450</f>
        <v>75</v>
      </c>
      <c r="G10" s="279">
        <f>[22]Brewhouse!$AG450</f>
        <v>11.79</v>
      </c>
      <c r="H10" s="396">
        <v>11.8</v>
      </c>
      <c r="I10" s="368">
        <f>[22]Brewhouse!$AU450</f>
        <v>95.136570676243821</v>
      </c>
      <c r="J10" s="368">
        <f>[22]Brewhouse!$AV450</f>
        <v>97.323803899524748</v>
      </c>
      <c r="K10" s="281">
        <f>[22]Brewhouse!$Q450</f>
        <v>7.658802177858437</v>
      </c>
      <c r="L10" s="276">
        <f>[22]Brewhouse!$P450</f>
        <v>63</v>
      </c>
      <c r="M10" s="397">
        <f>[22]Brewhouse!$U450-[22]Brewhouse!$T450</f>
        <v>0.12430555555555556</v>
      </c>
      <c r="N10" s="370">
        <f>[22]Brewhouse!$Z450</f>
        <v>0.25486111111111109</v>
      </c>
      <c r="O10" s="371" t="str">
        <f>[22]Brewhouse!$AX450</f>
        <v>K.Benjamin</v>
      </c>
      <c r="P10" s="423"/>
      <c r="R10" s="277" t="str">
        <f>B10</f>
        <v>CARIB</v>
      </c>
      <c r="S10" s="296">
        <f t="shared" ref="S10:S23" si="0">VLOOKUP($B10,$R$3:$X$9,2,FALSE)</f>
        <v>11.6</v>
      </c>
      <c r="T10" s="296">
        <f t="shared" ref="T10:T23" si="1">VLOOKUP($B10,$R$3:$X$9,3,FALSE)</f>
        <v>12</v>
      </c>
      <c r="U10" s="297">
        <f t="shared" ref="U10:U23" si="2">VLOOKUP($B10,$R$3:$X$9,4,FALSE)</f>
        <v>0</v>
      </c>
      <c r="V10" s="297">
        <f t="shared" ref="V10:V23" si="3">VLOOKUP($B10,$R$3:$X$9,5,FALSE)</f>
        <v>0.118055555555556</v>
      </c>
      <c r="W10" s="297">
        <f t="shared" ref="W10:W23" si="4">VLOOKUP($B10,$R$3:$X$9,6,FALSE)</f>
        <v>0.22569444444444445</v>
      </c>
      <c r="X10" s="297">
        <f t="shared" ref="X10:X23" si="5">VLOOKUP($B10,$R$3:$X$9,7,FALSE)</f>
        <v>0.2638888888888889</v>
      </c>
      <c r="Y10" s="297">
        <f t="shared" ref="Y10:Y23" si="6">VLOOKUP($B10,$R$3:$Z$9,8,FALSE)</f>
        <v>0</v>
      </c>
      <c r="Z10" s="296">
        <f t="shared" ref="Z10:Z23" si="7">VLOOKUP($B10,$R$3:$Z$9,9,FALSE)</f>
        <v>60</v>
      </c>
    </row>
    <row r="11" spans="2:29" ht="15.75" customHeight="1">
      <c r="B11" s="29" t="s">
        <v>6</v>
      </c>
      <c r="C11" s="366" t="str">
        <f>[22]Brewhouse!$A451</f>
        <v>CA346</v>
      </c>
      <c r="D11" s="279">
        <f>[22]Brewhouse!$AF451</f>
        <v>54.1</v>
      </c>
      <c r="E11" s="279">
        <f>[22]Brewhouse!$AI451</f>
        <v>50.11</v>
      </c>
      <c r="F11" s="278">
        <f>[22]Brewhouse!$V451</f>
        <v>69</v>
      </c>
      <c r="G11" s="279">
        <f>[22]Brewhouse!$AG451</f>
        <v>11.9</v>
      </c>
      <c r="H11" s="396">
        <v>12</v>
      </c>
      <c r="I11" s="368">
        <f>[22]Brewhouse!$AU451</f>
        <v>97.36416377322503</v>
      </c>
      <c r="J11" s="368">
        <f>[22]Brewhouse!$AV451</f>
        <v>99.602610379488283</v>
      </c>
      <c r="K11" s="281">
        <f>[22]Brewhouse!$Q451</f>
        <v>4.581818181818174</v>
      </c>
      <c r="L11" s="276">
        <f>[22]Brewhouse!$P451</f>
        <v>60</v>
      </c>
      <c r="M11" s="397">
        <f>[22]Brewhouse!$U451-[22]Brewhouse!$T451</f>
        <v>0.11041666666666666</v>
      </c>
      <c r="N11" s="370">
        <f>[22]Brewhouse!$Z451</f>
        <v>0.25138888888888888</v>
      </c>
      <c r="O11" s="371" t="str">
        <f>[22]Brewhouse!$AX451</f>
        <v>D. Gomez</v>
      </c>
      <c r="P11" s="423"/>
      <c r="R11" s="277" t="str">
        <f>B11</f>
        <v>CARIB</v>
      </c>
      <c r="S11" s="296">
        <f t="shared" si="0"/>
        <v>11.6</v>
      </c>
      <c r="T11" s="296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296">
        <f t="shared" si="7"/>
        <v>60</v>
      </c>
    </row>
    <row r="12" spans="2:29" ht="15.75" customHeight="1">
      <c r="B12" s="29" t="s">
        <v>6</v>
      </c>
      <c r="C12" s="366" t="str">
        <f>[22]Brewhouse!$A452</f>
        <v>CA347</v>
      </c>
      <c r="D12" s="279">
        <f>[22]Brewhouse!$AF452</f>
        <v>54.2</v>
      </c>
      <c r="E12" s="279">
        <f>[22]Brewhouse!$AI452</f>
        <v>50.2</v>
      </c>
      <c r="F12" s="278">
        <f>[22]Brewhouse!$V452</f>
        <v>76</v>
      </c>
      <c r="G12" s="279">
        <f>[22]Brewhouse!$AG452</f>
        <v>11.62</v>
      </c>
      <c r="H12" s="396">
        <v>11.6</v>
      </c>
      <c r="I12" s="368">
        <f>[22]Brewhouse!$AU452</f>
        <v>97.862623391351264</v>
      </c>
      <c r="J12" s="368">
        <f>[22]Brewhouse!$AV452</f>
        <v>100.10948689455283</v>
      </c>
      <c r="K12" s="392"/>
      <c r="L12" s="276">
        <f>[22]Brewhouse!$P452</f>
        <v>60</v>
      </c>
      <c r="M12" s="397">
        <f>[22]Brewhouse!$U452-[22]Brewhouse!$T452</f>
        <v>0.11458333333333331</v>
      </c>
      <c r="N12" s="370">
        <f>[22]Brewhouse!$Z452</f>
        <v>0.27291666666666664</v>
      </c>
      <c r="O12" s="371" t="str">
        <f>[22]Brewhouse!$AX452</f>
        <v>D. Gomez</v>
      </c>
      <c r="P12" s="423"/>
      <c r="R12" s="277" t="str">
        <f>B12</f>
        <v>CARIB</v>
      </c>
      <c r="S12" s="296">
        <f t="shared" si="0"/>
        <v>11.6</v>
      </c>
      <c r="T12" s="296">
        <f t="shared" si="1"/>
        <v>12</v>
      </c>
      <c r="U12" s="297">
        <f t="shared" si="2"/>
        <v>0</v>
      </c>
      <c r="V12" s="297">
        <f t="shared" si="3"/>
        <v>0.118055555555556</v>
      </c>
      <c r="W12" s="297">
        <f t="shared" si="4"/>
        <v>0.22569444444444445</v>
      </c>
      <c r="X12" s="297">
        <f t="shared" si="5"/>
        <v>0.2638888888888889</v>
      </c>
      <c r="Y12" s="297">
        <f t="shared" si="6"/>
        <v>0</v>
      </c>
      <c r="Z12" s="296">
        <f t="shared" si="7"/>
        <v>60</v>
      </c>
    </row>
    <row r="13" spans="2:29" ht="15.75" customHeight="1">
      <c r="B13" s="29" t="s">
        <v>6</v>
      </c>
      <c r="C13" s="366" t="str">
        <f>[22]Brewhouse!$A453</f>
        <v>CA348</v>
      </c>
      <c r="D13" s="279">
        <f>[22]Brewhouse!$AF453</f>
        <v>54.4</v>
      </c>
      <c r="E13" s="279">
        <f>[22]Brewhouse!$AI453</f>
        <v>50.9</v>
      </c>
      <c r="F13" s="278">
        <f>[22]Brewhouse!$V453</f>
        <v>61</v>
      </c>
      <c r="G13" s="279">
        <f>[22]Brewhouse!$AG453</f>
        <v>11.4</v>
      </c>
      <c r="H13" s="396">
        <v>11.4</v>
      </c>
      <c r="I13" s="368">
        <f>[22]Brewhouse!$AU453</f>
        <v>97.800609434185759</v>
      </c>
      <c r="J13" s="368">
        <f>[22]Brewhouse!$AV453</f>
        <v>100.04565587494729</v>
      </c>
      <c r="K13" s="281">
        <f>[22]Brewhouse!$Q453</f>
        <v>4.3137254901960809</v>
      </c>
      <c r="L13" s="276">
        <f>[22]Brewhouse!$P453</f>
        <v>59</v>
      </c>
      <c r="M13" s="397">
        <f>[22]Brewhouse!$U453-[22]Brewhouse!$T453</f>
        <v>0.10208333333333341</v>
      </c>
      <c r="N13" s="370">
        <f>[22]Brewhouse!$Z453</f>
        <v>0.26458333333333339</v>
      </c>
      <c r="O13" s="371" t="str">
        <f>[22]Brewhouse!$AX453</f>
        <v>R. Regis</v>
      </c>
      <c r="P13" s="423"/>
      <c r="R13" s="277" t="str">
        <f>B13</f>
        <v>CARIB</v>
      </c>
      <c r="S13" s="296">
        <f t="shared" si="0"/>
        <v>11.6</v>
      </c>
      <c r="T13" s="296">
        <f t="shared" si="1"/>
        <v>12</v>
      </c>
      <c r="U13" s="297">
        <f t="shared" si="2"/>
        <v>0</v>
      </c>
      <c r="V13" s="297">
        <f t="shared" si="3"/>
        <v>0.118055555555556</v>
      </c>
      <c r="W13" s="297">
        <f t="shared" si="4"/>
        <v>0.22569444444444445</v>
      </c>
      <c r="X13" s="297">
        <f t="shared" si="5"/>
        <v>0.2638888888888889</v>
      </c>
      <c r="Y13" s="297">
        <f t="shared" si="6"/>
        <v>0</v>
      </c>
      <c r="Z13" s="296">
        <f t="shared" si="7"/>
        <v>60</v>
      </c>
    </row>
    <row r="14" spans="2:29" ht="15.75" customHeight="1">
      <c r="B14" s="29" t="s">
        <v>6</v>
      </c>
      <c r="C14" s="366" t="str">
        <f>[22]Brewhouse!$A454</f>
        <v>CA349</v>
      </c>
      <c r="D14" s="279">
        <f>[22]Brewhouse!$AF454</f>
        <v>54.2</v>
      </c>
      <c r="E14" s="279">
        <f>[22]Brewhouse!$AI454</f>
        <v>50.5</v>
      </c>
      <c r="F14" s="278">
        <f>[22]Brewhouse!$V454</f>
        <v>62</v>
      </c>
      <c r="G14" s="279">
        <f>[22]Brewhouse!$AG454</f>
        <v>11.6</v>
      </c>
      <c r="H14" s="396">
        <v>11.6</v>
      </c>
      <c r="I14" s="368">
        <f>[22]Brewhouse!$AU454</f>
        <v>98.95270542785191</v>
      </c>
      <c r="J14" s="368">
        <f>[22]Brewhouse!$AV454</f>
        <v>101.2240653148488</v>
      </c>
      <c r="K14" s="281">
        <f>[22]Brewhouse!$Q454</f>
        <v>5.1773049645389975</v>
      </c>
      <c r="L14" s="276">
        <f>[22]Brewhouse!$P454</f>
        <v>58</v>
      </c>
      <c r="M14" s="397">
        <f>[22]Brewhouse!$U454-[22]Brewhouse!$T454</f>
        <v>0.11666666666666659</v>
      </c>
      <c r="N14" s="370">
        <f>[22]Brewhouse!$Z454</f>
        <v>0.27847222222222218</v>
      </c>
      <c r="O14" s="371" t="str">
        <f>[22]Brewhouse!$AX454</f>
        <v>R. Sookram</v>
      </c>
      <c r="P14" s="423" t="s">
        <v>192</v>
      </c>
      <c r="R14" s="277" t="str">
        <f t="shared" ref="R14:R23" si="8">B14</f>
        <v>CARIB</v>
      </c>
      <c r="S14" s="296">
        <f t="shared" si="0"/>
        <v>11.6</v>
      </c>
      <c r="T14" s="296">
        <f t="shared" si="1"/>
        <v>12</v>
      </c>
      <c r="U14" s="297">
        <f t="shared" si="2"/>
        <v>0</v>
      </c>
      <c r="V14" s="297">
        <f t="shared" si="3"/>
        <v>0.118055555555556</v>
      </c>
      <c r="W14" s="297">
        <f t="shared" si="4"/>
        <v>0.22569444444444445</v>
      </c>
      <c r="X14" s="297">
        <f t="shared" si="5"/>
        <v>0.2638888888888889</v>
      </c>
      <c r="Y14" s="297">
        <f t="shared" si="6"/>
        <v>0</v>
      </c>
      <c r="Z14" s="296">
        <f t="shared" si="7"/>
        <v>60</v>
      </c>
    </row>
    <row r="15" spans="2:29" ht="15.75" customHeight="1">
      <c r="B15" s="29" t="s">
        <v>6</v>
      </c>
      <c r="C15" s="366" t="str">
        <f>[22]Brewhouse!$A455</f>
        <v>CA350</v>
      </c>
      <c r="D15" s="279">
        <f>[22]Brewhouse!$AF455</f>
        <v>55.4</v>
      </c>
      <c r="E15" s="279">
        <f>[22]Brewhouse!$AI455</f>
        <v>52</v>
      </c>
      <c r="F15" s="278">
        <f>[22]Brewhouse!$V455</f>
        <v>60</v>
      </c>
      <c r="G15" s="279">
        <f>[22]Brewhouse!$AG455</f>
        <v>11.7</v>
      </c>
      <c r="H15" s="396">
        <v>11.6</v>
      </c>
      <c r="I15" s="368">
        <f>[22]Brewhouse!$AU455</f>
        <v>100.51724226058469</v>
      </c>
      <c r="J15" s="368">
        <f>[22]Brewhouse!$AV455</f>
        <v>102.82779908845419</v>
      </c>
      <c r="K15" s="281">
        <f>[22]Brewhouse!$Q455</f>
        <v>4.0701754385964923</v>
      </c>
      <c r="L15" s="276">
        <f>[22]Brewhouse!$P455</f>
        <v>58</v>
      </c>
      <c r="M15" s="397">
        <f>[22]Brewhouse!$U455-[22]Brewhouse!$T455</f>
        <v>0.10972222222222228</v>
      </c>
      <c r="N15" s="370">
        <f>[22]Brewhouse!$Z455</f>
        <v>0.25208333333333333</v>
      </c>
      <c r="O15" s="371" t="str">
        <f>[22]Brewhouse!$AX455</f>
        <v>R. Sookram</v>
      </c>
      <c r="P15" s="423" t="s">
        <v>192</v>
      </c>
      <c r="R15" s="277" t="str">
        <f t="shared" si="8"/>
        <v>CARIB</v>
      </c>
      <c r="S15" s="296">
        <f t="shared" si="0"/>
        <v>11.6</v>
      </c>
      <c r="T15" s="296">
        <f t="shared" si="1"/>
        <v>12</v>
      </c>
      <c r="U15" s="297">
        <f t="shared" si="2"/>
        <v>0</v>
      </c>
      <c r="V15" s="297">
        <f t="shared" si="3"/>
        <v>0.118055555555556</v>
      </c>
      <c r="W15" s="297">
        <f t="shared" si="4"/>
        <v>0.22569444444444445</v>
      </c>
      <c r="X15" s="297">
        <f t="shared" si="5"/>
        <v>0.2638888888888889</v>
      </c>
      <c r="Y15" s="297">
        <f t="shared" si="6"/>
        <v>0</v>
      </c>
      <c r="Z15" s="296">
        <f t="shared" si="7"/>
        <v>60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3"/>
      <c r="R16" s="277">
        <f t="shared" si="8"/>
        <v>0</v>
      </c>
      <c r="S16" s="296" t="e">
        <f t="shared" si="0"/>
        <v>#N/A</v>
      </c>
      <c r="T16" s="296" t="e">
        <f t="shared" si="1"/>
        <v>#N/A</v>
      </c>
      <c r="U16" s="297" t="e">
        <f t="shared" si="2"/>
        <v>#N/A</v>
      </c>
      <c r="V16" s="297" t="e">
        <f t="shared" si="3"/>
        <v>#N/A</v>
      </c>
      <c r="W16" s="297" t="e">
        <f t="shared" si="4"/>
        <v>#N/A</v>
      </c>
      <c r="X16" s="297" t="e">
        <f t="shared" si="5"/>
        <v>#N/A</v>
      </c>
      <c r="Y16" s="297" t="e">
        <f t="shared" si="6"/>
        <v>#N/A</v>
      </c>
      <c r="Z16" s="296" t="e">
        <f t="shared" si="7"/>
        <v>#N/A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3"/>
      <c r="R17" s="277">
        <f t="shared" si="8"/>
        <v>0</v>
      </c>
      <c r="S17" s="296" t="e">
        <f t="shared" si="0"/>
        <v>#N/A</v>
      </c>
      <c r="T17" s="296" t="e">
        <f t="shared" si="1"/>
        <v>#N/A</v>
      </c>
      <c r="U17" s="297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6" t="e">
        <f t="shared" si="7"/>
        <v>#N/A</v>
      </c>
    </row>
    <row r="18" spans="1:27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3"/>
      <c r="R18" s="277">
        <f t="shared" si="8"/>
        <v>0</v>
      </c>
      <c r="S18" s="296" t="e">
        <f t="shared" si="0"/>
        <v>#N/A</v>
      </c>
      <c r="T18" s="296" t="e">
        <f t="shared" si="1"/>
        <v>#N/A</v>
      </c>
      <c r="U18" s="297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6" t="e">
        <f t="shared" si="7"/>
        <v>#N/A</v>
      </c>
    </row>
    <row r="19" spans="1:27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3"/>
      <c r="R19" s="277">
        <f t="shared" si="8"/>
        <v>0</v>
      </c>
      <c r="S19" s="296" t="e">
        <f t="shared" si="0"/>
        <v>#N/A</v>
      </c>
      <c r="T19" s="296" t="e">
        <f t="shared" si="1"/>
        <v>#N/A</v>
      </c>
      <c r="U19" s="297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6" t="e">
        <f t="shared" si="7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429"/>
      <c r="P20" s="423"/>
      <c r="R20" s="277">
        <f t="shared" si="8"/>
        <v>0</v>
      </c>
      <c r="S20" s="296" t="e">
        <f t="shared" si="0"/>
        <v>#N/A</v>
      </c>
      <c r="T20" s="296" t="e">
        <f t="shared" si="1"/>
        <v>#N/A</v>
      </c>
      <c r="U20" s="297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6" t="e">
        <f t="shared" si="7"/>
        <v>#N/A</v>
      </c>
    </row>
    <row r="21" spans="1:27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9"/>
      <c r="P21" s="423"/>
      <c r="R21" s="277">
        <f t="shared" si="8"/>
        <v>0</v>
      </c>
      <c r="S21" s="296" t="e">
        <f t="shared" si="0"/>
        <v>#N/A</v>
      </c>
      <c r="T21" s="296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6" t="e">
        <f t="shared" si="7"/>
        <v>#N/A</v>
      </c>
    </row>
    <row r="22" spans="1:27" ht="15.75" customHeight="1" thickBot="1">
      <c r="B22" s="358"/>
      <c r="C22" s="358"/>
      <c r="D22" s="358"/>
      <c r="E22" s="358"/>
      <c r="F22" s="294"/>
      <c r="G22" s="294"/>
      <c r="H22" s="348"/>
      <c r="I22" s="481" t="s">
        <v>34</v>
      </c>
      <c r="J22" s="481"/>
      <c r="K22" s="481"/>
      <c r="L22" s="481"/>
      <c r="M22" s="481"/>
      <c r="N22" s="481"/>
      <c r="O22" s="1"/>
      <c r="P22" s="12"/>
      <c r="R22" s="277">
        <f t="shared" si="8"/>
        <v>0</v>
      </c>
      <c r="S22" s="296" t="e">
        <f t="shared" si="0"/>
        <v>#N/A</v>
      </c>
      <c r="T22" s="296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6" t="e">
        <f t="shared" si="7"/>
        <v>#N/A</v>
      </c>
    </row>
    <row r="23" spans="1:27" ht="15" thickBot="1">
      <c r="B23" s="388" t="s">
        <v>145</v>
      </c>
      <c r="C23" s="388"/>
      <c r="D23" s="494" t="s">
        <v>35</v>
      </c>
      <c r="E23" s="495"/>
      <c r="F23" s="294"/>
      <c r="G23" s="294"/>
      <c r="H23" s="348"/>
      <c r="I23" s="24" t="s">
        <v>17</v>
      </c>
      <c r="J23" s="25" t="s">
        <v>36</v>
      </c>
      <c r="K23" s="26" t="s">
        <v>138</v>
      </c>
      <c r="L23" s="25" t="s">
        <v>37</v>
      </c>
      <c r="M23" s="25" t="s">
        <v>38</v>
      </c>
      <c r="N23" s="27" t="s">
        <v>39</v>
      </c>
      <c r="O23" s="294"/>
      <c r="P23" s="12"/>
      <c r="R23" s="277" t="str">
        <f t="shared" si="8"/>
        <v>BRAND</v>
      </c>
      <c r="S23" s="296" t="e">
        <f t="shared" si="0"/>
        <v>#N/A</v>
      </c>
      <c r="T23" s="296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6" t="e">
        <f t="shared" si="7"/>
        <v>#N/A</v>
      </c>
    </row>
    <row r="24" spans="1:27" ht="15" customHeight="1">
      <c r="A24" s="28"/>
      <c r="B24" s="520"/>
      <c r="C24" s="362"/>
      <c r="D24" s="485"/>
      <c r="E24" s="474"/>
      <c r="F24" s="294"/>
      <c r="G24" s="294"/>
      <c r="H24" s="348"/>
      <c r="I24" s="29" t="s">
        <v>6</v>
      </c>
      <c r="J24" s="280">
        <f>AVERAGE(I10:I15)</f>
        <v>97.938985827240401</v>
      </c>
      <c r="K24" s="284">
        <f>COUNTA([22]Brewhouse!$A$408:$A$455)</f>
        <v>48</v>
      </c>
      <c r="L24" s="302">
        <f>AVERAGE([22]Brewhouse!$AU$408:$AU$455)</f>
        <v>98.399564839986496</v>
      </c>
      <c r="M24" s="302">
        <f>AVERAGE([22]Brewhouse!$AU$102:$AU$171,[22]Brewhouse!$AU$173:$AU$253,[22]Brewhouse!$AU$255:$AU$339,[22]Brewhouse!$AU$341:$AU$346,[22]Brewhouse!$AU$348,[22]Brewhouse!$AU$349:$AU$406,[22]Brewhouse!$AU$408:$AU$455)</f>
        <v>97.534143589090121</v>
      </c>
      <c r="N24" s="30">
        <v>98</v>
      </c>
      <c r="O24" s="11"/>
      <c r="P24" s="31"/>
      <c r="R24" s="277"/>
      <c r="S24" s="296"/>
      <c r="T24" s="296"/>
      <c r="U24" s="297"/>
      <c r="V24" s="297"/>
      <c r="W24" s="297"/>
      <c r="X24" s="297"/>
      <c r="Y24" s="297"/>
      <c r="Z24" s="296"/>
    </row>
    <row r="25" spans="1:27" ht="15" customHeight="1">
      <c r="A25" s="28"/>
      <c r="B25" s="521"/>
      <c r="C25" s="349"/>
      <c r="D25" s="486"/>
      <c r="E25" s="469"/>
      <c r="F25" s="294"/>
      <c r="G25" s="294"/>
      <c r="H25" s="348"/>
      <c r="I25" s="33" t="s">
        <v>9</v>
      </c>
      <c r="J25" s="280"/>
      <c r="K25" s="284">
        <f>COUNTA([23]Brewhouse!$A$195:$A$228)</f>
        <v>34</v>
      </c>
      <c r="L25" s="302">
        <f>AVERAGE([23]Brewhouse!$AS$195:$AS$228)</f>
        <v>99.927187940420239</v>
      </c>
      <c r="M25" s="302">
        <f>AVERAGE([23]Brewhouse!$AS$15:$AS$64,[23]Brewhouse!$AS$66:$AS$103,[23]Brewhouse!$AS$105:$AS$140,[23]Brewhouse!$AS$142:$AS$193,[23]Brewhouse!$AS$195:$AS$228)</f>
        <v>97.850283817233205</v>
      </c>
      <c r="N25" s="30">
        <v>98</v>
      </c>
      <c r="O25" s="11"/>
      <c r="P25" s="31"/>
      <c r="R25" s="277"/>
      <c r="S25" s="296"/>
      <c r="T25" s="296"/>
      <c r="U25" s="297"/>
      <c r="V25" s="297"/>
      <c r="W25" s="297"/>
      <c r="X25" s="297"/>
      <c r="Y25" s="297"/>
      <c r="Z25" s="296"/>
    </row>
    <row r="26" spans="1:27" ht="14.7" customHeight="1">
      <c r="A26" s="28"/>
      <c r="B26" s="521"/>
      <c r="C26" s="349"/>
      <c r="D26" s="485"/>
      <c r="E26" s="474"/>
      <c r="F26" s="294"/>
      <c r="G26" s="294"/>
      <c r="H26" s="348"/>
      <c r="I26" s="34" t="s">
        <v>12</v>
      </c>
      <c r="J26" s="280"/>
      <c r="K26" s="284">
        <f>COUNTA([24]Brewhouse!$A$47:$A$54)</f>
        <v>8</v>
      </c>
      <c r="L26" s="302">
        <f>AVERAGE([24]Brewhouse!$AU$47:$AU$54)</f>
        <v>96.792443337508828</v>
      </c>
      <c r="M26" s="302">
        <f>AVERAGE([24]Brewhouse!$AU$4:$AU$7,[24]Brewhouse!$AU$9:$AU$22,[24]Brewhouse!$AU$24:$AU$35,[24]Brewhouse!$AU$37:$AU$45,[24]Brewhouse!$AU$47:$AU$54)</f>
        <v>97.03665404260714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1:27" ht="14.7" customHeight="1">
      <c r="A27" s="28"/>
      <c r="B27" s="521"/>
      <c r="C27" s="349"/>
      <c r="D27" s="486"/>
      <c r="E27" s="469"/>
      <c r="F27" s="294"/>
      <c r="G27" s="294"/>
      <c r="H27" s="348"/>
      <c r="I27" s="22" t="s">
        <v>33</v>
      </c>
      <c r="J27" s="280"/>
      <c r="K27" s="284">
        <f>COUNTA([25]Brewhouse!$A$35:$A$40)</f>
        <v>6</v>
      </c>
      <c r="L27" s="302">
        <f>AVERAGE([25]Brewhouse!$AV$35:$AV$40)</f>
        <v>99.729773602484485</v>
      </c>
      <c r="M27" s="302">
        <f>AVERAGE([25]Brewhouse!$AV$5:$AV$14,[25]Brewhouse!$AV$16:$AV$19,[25]Brewhouse!$AV$21:$AV$24,[25]Brewhouse!$AV$26:$AV$33,[25]Brewhouse!$AV$35:$AV$40)</f>
        <v>99.073437057623821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1:27" ht="14.7" customHeight="1">
      <c r="A28" s="28"/>
      <c r="B28" s="521"/>
      <c r="C28" s="349"/>
      <c r="D28" s="485"/>
      <c r="E28" s="474"/>
      <c r="F28" s="422"/>
      <c r="G28" s="294"/>
      <c r="H28" s="348"/>
      <c r="I28" s="35" t="s">
        <v>29</v>
      </c>
      <c r="J28" s="280"/>
      <c r="K28" s="284"/>
      <c r="L28" s="302"/>
      <c r="M28" s="302"/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4.7" customHeight="1">
      <c r="A29" s="28"/>
      <c r="B29" s="521"/>
      <c r="C29" s="349"/>
      <c r="D29" s="486"/>
      <c r="E29" s="469"/>
      <c r="F29" s="422"/>
      <c r="G29" s="294"/>
      <c r="H29" s="348"/>
      <c r="I29" s="36" t="s">
        <v>15</v>
      </c>
      <c r="J29" s="323"/>
      <c r="K29" s="284"/>
      <c r="L29" s="302"/>
      <c r="M29" s="302">
        <f>AVERAGE([26]Brewhouse!$AT$4:$AT$11,[26]Brewhouse!$AT$13:$AT$16)</f>
        <v>95.165309917257005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4.7" customHeight="1">
      <c r="A30" s="28"/>
      <c r="B30" s="521"/>
      <c r="C30" s="349"/>
      <c r="D30" s="485"/>
      <c r="E30" s="474"/>
      <c r="F30" s="422"/>
      <c r="G30" s="294"/>
      <c r="H30" s="348"/>
      <c r="I30" s="37" t="s">
        <v>16</v>
      </c>
      <c r="J30" s="323"/>
      <c r="K30" s="284">
        <f>COUNTA([27]Brewhouse!$A$36:$A$43)</f>
        <v>8</v>
      </c>
      <c r="L30" s="302">
        <f>AVERAGE([27]Brewhouse!$AY$36:$AY$43)</f>
        <v>98.453561717677275</v>
      </c>
      <c r="M30" s="302">
        <f>AVERAGE([27]Brewhouse!$AY$6:$AY$13,[27]Brewhouse!$AY$15:$AY$20,[27]Brewhouse!$AY$22:$AY$29,[27]Brewhouse!$AY$31:$AY$34,[27]Brewhouse!$AY$36:$AY$43)</f>
        <v>96.669752433914965</v>
      </c>
      <c r="N30" s="30">
        <v>98</v>
      </c>
      <c r="O30" s="11"/>
      <c r="P30" s="31" t="s">
        <v>41</v>
      </c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4.7" customHeight="1">
      <c r="A31" s="28"/>
      <c r="B31" s="521"/>
      <c r="C31" s="349"/>
      <c r="D31" s="486"/>
      <c r="E31" s="469"/>
      <c r="F31" s="294"/>
      <c r="G31" s="294"/>
      <c r="H31" s="348"/>
      <c r="I31" s="412" t="s">
        <v>158</v>
      </c>
      <c r="J31" s="326"/>
      <c r="K31" s="284"/>
      <c r="L31" s="305"/>
      <c r="M31" s="305">
        <f>AVERAGE([28]Brewhouse!$AU$5:$AU$8)</f>
        <v>91.006888337619571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7" customHeight="1">
      <c r="A32" s="28"/>
      <c r="B32" s="521"/>
      <c r="C32" s="349"/>
      <c r="D32" s="485"/>
      <c r="E32" s="474"/>
      <c r="F32" s="294"/>
      <c r="G32" s="294"/>
      <c r="H32" s="348"/>
      <c r="I32" s="411" t="s">
        <v>157</v>
      </c>
      <c r="J32" s="326"/>
      <c r="K32" s="284"/>
      <c r="L32" s="305"/>
      <c r="M32" s="305"/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5" customHeight="1" thickBot="1">
      <c r="A33" s="28"/>
      <c r="B33" s="521"/>
      <c r="C33" s="349"/>
      <c r="D33" s="486"/>
      <c r="E33" s="469"/>
      <c r="F33" s="294"/>
      <c r="G33" s="294"/>
      <c r="H33" s="348"/>
      <c r="I33" s="407" t="s">
        <v>156</v>
      </c>
      <c r="J33" s="327"/>
      <c r="K33" s="408"/>
      <c r="L33" s="409"/>
      <c r="M33" s="409"/>
      <c r="N33" s="41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5" customHeight="1" thickBot="1">
      <c r="A34" s="28"/>
      <c r="B34" s="521"/>
      <c r="C34" s="349"/>
      <c r="D34" s="485"/>
      <c r="E34" s="474"/>
      <c r="F34" s="294"/>
      <c r="G34" s="294"/>
      <c r="H34" s="348"/>
      <c r="I34" s="1"/>
      <c r="J34" s="39"/>
      <c r="K34" s="405">
        <f>SUM(K24:K33)</f>
        <v>104</v>
      </c>
      <c r="L34" s="406">
        <f>((L24*K24)+(L25*K25)+(L26*K26)+(L27*K27)+(L28*K28)+(K31*L31)+(L29*K29)+(L30*K30)+(L33*K33))/(K34)</f>
        <v>98.856251772596494</v>
      </c>
      <c r="M34" s="406">
        <f>AVERAGE('[29]Jan 31st'!$L$65,'[30]Feb 28th'!$L$35,'[31]Mar. 31st'!$L$35,'[32]Apr. 30th'!$L$45,L34)</f>
        <v>97.652058612406933</v>
      </c>
      <c r="N34" s="4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thickBot="1">
      <c r="B35" s="522"/>
      <c r="C35" s="350"/>
      <c r="D35" s="486"/>
      <c r="E35" s="469"/>
      <c r="F35" s="294"/>
      <c r="G35" s="42"/>
      <c r="H35" s="41"/>
      <c r="I35" s="42"/>
      <c r="J35" s="42"/>
      <c r="K35" s="351"/>
      <c r="L35" s="348"/>
      <c r="M35" s="348"/>
      <c r="N35" s="11"/>
      <c r="O35" s="294"/>
      <c r="P35" s="12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thickBot="1">
      <c r="B36" s="528"/>
      <c r="C36" s="362"/>
      <c r="D36" s="466"/>
      <c r="E36" s="467"/>
      <c r="F36" s="294"/>
      <c r="G36" s="42"/>
      <c r="H36" s="41"/>
      <c r="I36" s="42"/>
      <c r="J36" s="519" t="s">
        <v>129</v>
      </c>
      <c r="K36" s="519"/>
      <c r="L36" s="294"/>
      <c r="M36" s="294"/>
      <c r="N36" s="294"/>
      <c r="O36" s="294"/>
      <c r="P36" s="12"/>
    </row>
    <row r="37" spans="1:56" ht="13.5" customHeight="1" thickBot="1">
      <c r="B37" s="521"/>
      <c r="C37" s="349"/>
      <c r="D37" s="468"/>
      <c r="E37" s="469"/>
      <c r="F37" s="294"/>
      <c r="G37" s="42"/>
      <c r="H37" s="41"/>
      <c r="I37" s="41"/>
      <c r="J37" s="292" t="s">
        <v>17</v>
      </c>
      <c r="K37" s="293" t="s">
        <v>147</v>
      </c>
      <c r="L37" s="471" t="s">
        <v>136</v>
      </c>
      <c r="M37" s="471"/>
      <c r="N37" s="472"/>
      <c r="O37" s="294"/>
      <c r="P37" s="12"/>
    </row>
    <row r="38" spans="1:56" ht="15" customHeight="1" thickBot="1">
      <c r="B38" s="521"/>
      <c r="C38" s="349"/>
      <c r="D38" s="473"/>
      <c r="E38" s="474"/>
      <c r="F38" s="294"/>
      <c r="G38" s="42"/>
      <c r="H38" s="41"/>
      <c r="I38" s="41"/>
      <c r="J38" s="287" t="s">
        <v>6</v>
      </c>
      <c r="K38" s="324">
        <f>COUNTA(B10:B15)</f>
        <v>6</v>
      </c>
      <c r="L38" s="343" t="s">
        <v>37</v>
      </c>
      <c r="M38" s="307" t="s">
        <v>38</v>
      </c>
      <c r="N38" s="307" t="s">
        <v>84</v>
      </c>
      <c r="O38" s="294"/>
      <c r="P38" s="12"/>
    </row>
    <row r="39" spans="1:56" ht="15.75" customHeight="1" thickBot="1">
      <c r="B39" s="521"/>
      <c r="C39" s="349"/>
      <c r="D39" s="468"/>
      <c r="E39" s="469"/>
      <c r="F39" s="294"/>
      <c r="G39" s="42"/>
      <c r="H39" s="41"/>
      <c r="I39" s="41"/>
      <c r="J39" s="345" t="s">
        <v>9</v>
      </c>
      <c r="K39" s="324"/>
      <c r="L39" s="344">
        <f>AVERAGE('May 2nd -4th'!I70,'May 2nd -4th'!K70,'May 5th'!K77,'May 6th'!K60,'May 7th'!K57,'May 8th'!K53,'May 9th-10th'!I60,'May 9th-10th'!K60,'May 12th'!K43,'May 13th'!K45,'May 14th'!K50,'May 15th'!K49,'May 16th'!K52,K48)</f>
        <v>7.5</v>
      </c>
      <c r="M39" s="325">
        <f>AVERAGE('[29]Jan 29th '!$M$70,'[30]Feb 28th'!$L$40,'[31]Mar. 31st'!$L$40,'[32]Apr. 30th'!$L$50,L39)</f>
        <v>6.6891543239369327</v>
      </c>
      <c r="N39" s="420">
        <v>9.1999999999999993</v>
      </c>
      <c r="O39" s="294"/>
      <c r="P39" s="12"/>
    </row>
    <row r="40" spans="1:56" ht="15" customHeight="1">
      <c r="B40" s="521"/>
      <c r="C40" s="349"/>
      <c r="D40" s="473"/>
      <c r="E40" s="474"/>
      <c r="F40" s="294"/>
      <c r="G40" s="42"/>
      <c r="H40" s="41"/>
      <c r="I40" s="41"/>
      <c r="J40" s="288" t="s">
        <v>40</v>
      </c>
      <c r="K40" s="324"/>
      <c r="L40" s="294"/>
      <c r="M40" s="294"/>
      <c r="N40" s="294"/>
      <c r="O40" s="294"/>
      <c r="P40" s="12"/>
    </row>
    <row r="41" spans="1:56" ht="15" customHeight="1">
      <c r="B41" s="521"/>
      <c r="C41" s="349"/>
      <c r="D41" s="468"/>
      <c r="E41" s="469"/>
      <c r="F41" s="294"/>
      <c r="G41" s="42"/>
      <c r="H41" s="41"/>
      <c r="I41" s="41"/>
      <c r="J41" s="289" t="s">
        <v>33</v>
      </c>
      <c r="K41" s="324"/>
      <c r="L41" s="294"/>
      <c r="M41" s="294"/>
      <c r="N41" s="294"/>
      <c r="O41" s="294"/>
      <c r="P41" s="12"/>
    </row>
    <row r="42" spans="1:56" ht="14.4">
      <c r="B42" s="521"/>
      <c r="C42" s="349"/>
      <c r="D42" s="473"/>
      <c r="E42" s="474"/>
      <c r="F42" s="294"/>
      <c r="G42" s="42"/>
      <c r="H42" s="41"/>
      <c r="I42" s="41"/>
      <c r="J42" s="290" t="s">
        <v>16</v>
      </c>
      <c r="K42" s="324"/>
      <c r="L42" s="294"/>
      <c r="M42" s="294"/>
      <c r="N42" s="294"/>
      <c r="O42" s="294"/>
      <c r="P42" s="12"/>
      <c r="BC42" s="44"/>
      <c r="BD42" s="44"/>
    </row>
    <row r="43" spans="1:56" ht="14.4">
      <c r="B43" s="521"/>
      <c r="C43" s="349"/>
      <c r="D43" s="468"/>
      <c r="E43" s="469"/>
      <c r="F43" s="294"/>
      <c r="G43" s="42"/>
      <c r="H43" s="41"/>
      <c r="I43" s="41"/>
      <c r="J43" s="291" t="s">
        <v>15</v>
      </c>
      <c r="K43" s="324"/>
      <c r="L43" s="294"/>
      <c r="M43" s="294"/>
      <c r="N43" s="294"/>
      <c r="O43" s="294"/>
      <c r="P43" s="12"/>
      <c r="BC43" s="44"/>
      <c r="BD43" s="44"/>
    </row>
    <row r="44" spans="1:56" ht="14.4">
      <c r="B44" s="521"/>
      <c r="C44" s="349"/>
      <c r="D44" s="475"/>
      <c r="E44" s="476"/>
      <c r="F44" s="294"/>
      <c r="G44" s="42"/>
      <c r="H44" s="41"/>
      <c r="I44" s="41"/>
      <c r="J44" s="291" t="s">
        <v>149</v>
      </c>
      <c r="K44" s="324"/>
      <c r="L44" s="294"/>
      <c r="M44" s="294"/>
      <c r="N44" s="294"/>
      <c r="O44" s="294"/>
      <c r="P44" s="12"/>
      <c r="BC44" s="44"/>
      <c r="BD44" s="44"/>
    </row>
    <row r="45" spans="1:56" ht="15" thickBot="1">
      <c r="B45" s="522"/>
      <c r="C45" s="350"/>
      <c r="D45" s="477"/>
      <c r="E45" s="478"/>
      <c r="F45" s="294"/>
      <c r="G45" s="42"/>
      <c r="H45" s="41"/>
      <c r="I45" s="41"/>
      <c r="J45" s="291" t="s">
        <v>148</v>
      </c>
      <c r="K45" s="324"/>
      <c r="L45" s="294"/>
      <c r="M45" s="294"/>
      <c r="N45" s="294"/>
      <c r="O45" s="294"/>
      <c r="P45" s="12"/>
      <c r="BC45" s="44"/>
      <c r="BD45" s="44"/>
    </row>
    <row r="46" spans="1:56" ht="17.7" customHeight="1" thickBot="1">
      <c r="B46" s="312" t="s">
        <v>139</v>
      </c>
      <c r="C46" s="313"/>
      <c r="D46" s="457" t="e">
        <f>AVERAGE(D24:E45)</f>
        <v>#DIV/0!</v>
      </c>
      <c r="E46" s="458"/>
      <c r="F46" s="294"/>
      <c r="G46" s="42"/>
      <c r="H46" s="41"/>
      <c r="I46" s="41"/>
      <c r="J46" s="295" t="s">
        <v>134</v>
      </c>
      <c r="K46" s="324"/>
      <c r="L46" s="294"/>
      <c r="M46" s="294"/>
      <c r="N46" s="294"/>
      <c r="O46" s="294"/>
      <c r="P46" s="12"/>
      <c r="BC46" s="44"/>
      <c r="BD46" s="44"/>
    </row>
    <row r="47" spans="1:56" ht="17.7" customHeight="1">
      <c r="B47" s="363"/>
      <c r="C47" s="364"/>
      <c r="D47" s="365"/>
      <c r="E47" s="365"/>
      <c r="F47" s="294"/>
      <c r="G47" s="42"/>
      <c r="H47" s="41"/>
      <c r="I47" s="41"/>
      <c r="J47" s="295" t="s">
        <v>131</v>
      </c>
      <c r="K47" s="324"/>
      <c r="L47" s="294"/>
      <c r="M47" s="294"/>
      <c r="N47" s="294"/>
      <c r="O47" s="294"/>
      <c r="P47" s="12"/>
      <c r="BC47" s="44"/>
      <c r="BD47" s="44"/>
    </row>
    <row r="48" spans="1:56" ht="15.75" customHeight="1">
      <c r="B48" s="45"/>
      <c r="C48" s="11"/>
      <c r="D48" s="11"/>
      <c r="E48" s="46"/>
      <c r="F48" s="294"/>
      <c r="G48" s="42"/>
      <c r="H48" s="41"/>
      <c r="I48" s="41"/>
      <c r="J48" s="346" t="s">
        <v>130</v>
      </c>
      <c r="K48" s="324">
        <f>SUM(K38:K47)</f>
        <v>6</v>
      </c>
      <c r="L48" s="294"/>
      <c r="M48" s="294"/>
      <c r="N48" s="294"/>
      <c r="O48" s="294"/>
      <c r="P48" s="12"/>
    </row>
    <row r="49" spans="2:57" ht="20.25" customHeight="1">
      <c r="B49" s="15" t="s">
        <v>42</v>
      </c>
      <c r="C49" s="1" t="s">
        <v>43</v>
      </c>
      <c r="D49" s="1"/>
      <c r="E49" s="1"/>
      <c r="F49" s="294"/>
      <c r="G49" s="42"/>
      <c r="H49" s="41"/>
      <c r="I49" s="42"/>
      <c r="L49" s="294"/>
      <c r="P49" s="334"/>
    </row>
    <row r="50" spans="2:57" ht="15" customHeight="1" thickBot="1"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8"/>
      <c r="O50" s="48"/>
      <c r="P50" s="49"/>
    </row>
    <row r="51" spans="2:57" ht="15" customHeight="1" thickBot="1">
      <c r="B51" s="447" t="s">
        <v>17</v>
      </c>
      <c r="C51" s="447" t="s">
        <v>44</v>
      </c>
      <c r="D51" s="459" t="s">
        <v>45</v>
      </c>
      <c r="E51" s="461" t="s">
        <v>46</v>
      </c>
      <c r="F51" s="455" t="s">
        <v>47</v>
      </c>
      <c r="G51" s="445" t="s">
        <v>48</v>
      </c>
      <c r="H51" s="447" t="s">
        <v>49</v>
      </c>
      <c r="I51" s="447" t="s">
        <v>50</v>
      </c>
      <c r="J51" s="439" t="s">
        <v>28</v>
      </c>
      <c r="K51" s="451" t="s">
        <v>51</v>
      </c>
      <c r="L51" s="453" t="s">
        <v>52</v>
      </c>
      <c r="M51" s="439" t="s">
        <v>53</v>
      </c>
      <c r="N51" s="13"/>
      <c r="O51" s="13"/>
      <c r="P51" s="50"/>
    </row>
    <row r="52" spans="2:57" ht="28.5" customHeight="1" thickTop="1" thickBot="1">
      <c r="B52" s="448"/>
      <c r="C52" s="448"/>
      <c r="D52" s="460"/>
      <c r="E52" s="462"/>
      <c r="F52" s="456"/>
      <c r="G52" s="446"/>
      <c r="H52" s="448"/>
      <c r="I52" s="448"/>
      <c r="J52" s="440"/>
      <c r="K52" s="452"/>
      <c r="L52" s="454"/>
      <c r="M52" s="440"/>
      <c r="N52" s="13"/>
      <c r="O52" s="13"/>
      <c r="P52" s="50"/>
      <c r="Q52" s="355"/>
      <c r="AB52" s="51">
        <v>43474</v>
      </c>
      <c r="AC52" s="51">
        <v>43475</v>
      </c>
      <c r="AD52" s="51">
        <v>43476</v>
      </c>
      <c r="AE52" s="51">
        <v>43477</v>
      </c>
      <c r="AF52" s="51">
        <v>43478</v>
      </c>
      <c r="AG52" s="51">
        <v>43479</v>
      </c>
      <c r="AH52" s="51">
        <v>43480</v>
      </c>
      <c r="AI52" s="51">
        <v>43481</v>
      </c>
      <c r="AJ52" s="51">
        <v>43482</v>
      </c>
      <c r="AK52" s="51">
        <v>43483</v>
      </c>
      <c r="AL52" s="51">
        <v>43484</v>
      </c>
      <c r="AM52" s="51">
        <v>43485</v>
      </c>
      <c r="AN52" s="51">
        <v>43486</v>
      </c>
      <c r="AO52" s="51">
        <v>43487</v>
      </c>
      <c r="AP52" s="51">
        <v>43488</v>
      </c>
      <c r="AQ52" s="51">
        <v>43489</v>
      </c>
      <c r="AR52" s="51">
        <v>43490</v>
      </c>
      <c r="AS52" s="51">
        <v>43491</v>
      </c>
      <c r="AT52" s="51">
        <v>43492</v>
      </c>
      <c r="AU52" s="51">
        <v>43493</v>
      </c>
      <c r="AV52" s="51">
        <v>43494</v>
      </c>
      <c r="AW52" s="51">
        <v>43495</v>
      </c>
      <c r="AX52" s="51">
        <v>43496</v>
      </c>
    </row>
    <row r="53" spans="2:57" s="54" customFormat="1" ht="53.25" customHeight="1">
      <c r="B53" s="415"/>
      <c r="C53" s="283"/>
      <c r="D53" s="377"/>
      <c r="E53" s="378"/>
      <c r="F53" s="379"/>
      <c r="G53" s="303"/>
      <c r="H53" s="320"/>
      <c r="I53" s="322"/>
      <c r="J53" s="281"/>
      <c r="K53" s="416"/>
      <c r="L53" s="281"/>
      <c r="M53" s="419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57" t="e">
        <f>[20]January_2019!L7</f>
        <v>#REF!</v>
      </c>
      <c r="AC53" s="57" t="e">
        <f>[20]January_2019!M7</f>
        <v>#REF!</v>
      </c>
      <c r="AD53" s="57" t="e">
        <f>[20]January_2019!N7</f>
        <v>#REF!</v>
      </c>
      <c r="AE53" s="57" t="e">
        <f>[20]January_2019!O7</f>
        <v>#REF!</v>
      </c>
      <c r="AF53" s="57" t="e">
        <f>[20]January_2019!P7</f>
        <v>#REF!</v>
      </c>
      <c r="AG53" s="57" t="e">
        <f>[20]January_2019!Q7</f>
        <v>#REF!</v>
      </c>
      <c r="AH53" s="57" t="e">
        <f>[20]January_2019!R7</f>
        <v>#REF!</v>
      </c>
      <c r="AI53" s="57" t="e">
        <f>[20]January_2019!S7</f>
        <v>#REF!</v>
      </c>
      <c r="AJ53" s="57" t="e">
        <f>[20]January_2019!T7</f>
        <v>#REF!</v>
      </c>
      <c r="AK53" s="57" t="e">
        <f>[20]January_2019!U7</f>
        <v>#REF!</v>
      </c>
      <c r="AL53" s="57" t="e">
        <f>[20]January_2019!V7</f>
        <v>#REF!</v>
      </c>
      <c r="AM53" s="57" t="e">
        <f>[20]January_2019!W7</f>
        <v>#REF!</v>
      </c>
      <c r="AN53" s="57" t="e">
        <f>[20]January_2019!X7</f>
        <v>#REF!</v>
      </c>
      <c r="AO53" s="57" t="e">
        <f>[20]January_2019!Y7</f>
        <v>#REF!</v>
      </c>
      <c r="AP53" s="57" t="e">
        <f>[20]January_2019!Z7</f>
        <v>#REF!</v>
      </c>
      <c r="AQ53" s="57" t="e">
        <f>[20]January_2019!AA7</f>
        <v>#REF!</v>
      </c>
      <c r="AR53" s="57" t="e">
        <f>[20]January_2019!AB7</f>
        <v>#REF!</v>
      </c>
      <c r="AS53" s="57" t="e">
        <f>[20]January_2019!AC7</f>
        <v>#REF!</v>
      </c>
      <c r="AT53" s="57" t="e">
        <f>[20]January_2019!AD7</f>
        <v>#REF!</v>
      </c>
      <c r="AU53" s="57" t="e">
        <f>[20]January_2019!AE7</f>
        <v>#REF!</v>
      </c>
      <c r="AV53" s="57" t="e">
        <f>[20]January_2019!AF7</f>
        <v>#REF!</v>
      </c>
      <c r="AW53" s="57" t="e">
        <f>[20]January_2019!AG7</f>
        <v>#REF!</v>
      </c>
      <c r="AX53" s="277" t="e">
        <f>[20]January_2019!AH7</f>
        <v>#REF!</v>
      </c>
      <c r="AY53" s="277"/>
      <c r="AZ53" s="277"/>
      <c r="BA53" s="277"/>
      <c r="BB53" s="277"/>
      <c r="BC53" s="277"/>
      <c r="BD53" s="277"/>
      <c r="BE53" s="277"/>
    </row>
    <row r="54" spans="2:57" s="54" customFormat="1" ht="16.5" customHeight="1">
      <c r="B54" s="431"/>
      <c r="C54" s="283"/>
      <c r="D54" s="377"/>
      <c r="E54" s="378"/>
      <c r="F54" s="379"/>
      <c r="G54" s="303"/>
      <c r="H54" s="320"/>
      <c r="I54" s="322"/>
      <c r="J54" s="281"/>
      <c r="K54" s="286"/>
      <c r="L54" s="314"/>
      <c r="M54" s="419"/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8"/>
      <c r="AC54" s="418"/>
      <c r="AD54" s="418"/>
      <c r="AE54" s="418"/>
      <c r="AF54" s="418"/>
      <c r="AG54" s="418"/>
      <c r="AH54" s="418"/>
      <c r="AI54" s="418"/>
      <c r="AJ54" s="418"/>
      <c r="AK54" s="418"/>
      <c r="AL54" s="418"/>
      <c r="AM54" s="418"/>
      <c r="AN54" s="418"/>
      <c r="AO54" s="418"/>
      <c r="AP54" s="418"/>
      <c r="AQ54" s="418"/>
      <c r="AR54" s="418"/>
      <c r="AS54" s="418"/>
      <c r="AT54" s="418"/>
      <c r="AU54" s="418"/>
      <c r="AV54" s="418"/>
      <c r="AW54" s="418"/>
    </row>
    <row r="55" spans="2:57" s="54" customFormat="1" ht="51" customHeight="1">
      <c r="B55" s="431"/>
      <c r="C55" s="283"/>
      <c r="D55" s="377"/>
      <c r="E55" s="378"/>
      <c r="F55" s="379"/>
      <c r="G55" s="303"/>
      <c r="H55" s="320"/>
      <c r="I55" s="322"/>
      <c r="J55" s="281"/>
      <c r="K55" s="286"/>
      <c r="L55" s="314"/>
      <c r="M55" s="419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  <c r="AO55" s="418"/>
      <c r="AP55" s="418"/>
      <c r="AQ55" s="418"/>
      <c r="AR55" s="418"/>
      <c r="AS55" s="418"/>
      <c r="AT55" s="418"/>
      <c r="AU55" s="418"/>
      <c r="AV55" s="418"/>
      <c r="AW55" s="418"/>
    </row>
    <row r="56" spans="2:57" ht="18" customHeight="1" thickBot="1">
      <c r="B56" s="59"/>
      <c r="C56" s="309"/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6"/>
      <c r="P56" s="60"/>
    </row>
    <row r="57" spans="2:57" ht="14.4" thickBot="1">
      <c r="B57" s="441" t="s">
        <v>55</v>
      </c>
      <c r="C57" s="442"/>
      <c r="D57" s="442"/>
      <c r="E57" s="442"/>
      <c r="F57" s="443"/>
      <c r="G57" s="441" t="s">
        <v>56</v>
      </c>
      <c r="H57" s="442"/>
      <c r="I57" s="442"/>
      <c r="J57" s="443"/>
      <c r="K57" s="441" t="s">
        <v>51</v>
      </c>
      <c r="L57" s="442"/>
      <c r="M57" s="442"/>
      <c r="N57" s="444"/>
      <c r="O57" s="56"/>
      <c r="P57" s="50"/>
    </row>
    <row r="58" spans="2:57">
      <c r="B58" s="61" t="s">
        <v>17</v>
      </c>
      <c r="C58" s="62" t="s">
        <v>36</v>
      </c>
      <c r="D58" s="62" t="s">
        <v>37</v>
      </c>
      <c r="E58" s="62" t="s">
        <v>38</v>
      </c>
      <c r="F58" s="63" t="s">
        <v>39</v>
      </c>
      <c r="G58" s="62" t="s">
        <v>36</v>
      </c>
      <c r="H58" s="62" t="s">
        <v>37</v>
      </c>
      <c r="I58" s="62" t="s">
        <v>38</v>
      </c>
      <c r="J58" s="63" t="s">
        <v>39</v>
      </c>
      <c r="K58" s="62"/>
      <c r="L58" s="62" t="s">
        <v>37</v>
      </c>
      <c r="M58" s="62" t="s">
        <v>38</v>
      </c>
      <c r="N58" s="63" t="s">
        <v>39</v>
      </c>
      <c r="O58" s="56"/>
      <c r="P58" s="64"/>
    </row>
    <row r="59" spans="2:57">
      <c r="B59" s="29" t="s">
        <v>6</v>
      </c>
      <c r="C59" s="65"/>
      <c r="D59" s="76">
        <v>5.1029678982435289</v>
      </c>
      <c r="E59" s="76">
        <v>6.9687914928340557</v>
      </c>
      <c r="F59" s="66">
        <v>4.8</v>
      </c>
      <c r="G59" s="65"/>
      <c r="H59" s="76">
        <v>4.0305043051635918</v>
      </c>
      <c r="I59" s="76">
        <v>6.9242793069199937</v>
      </c>
      <c r="J59" s="66">
        <v>4.8</v>
      </c>
      <c r="K59" s="67"/>
      <c r="L59" s="194">
        <v>0.99065789473684207</v>
      </c>
      <c r="M59" s="194">
        <v>0.77601726484616851</v>
      </c>
      <c r="N59" s="68">
        <v>1</v>
      </c>
      <c r="O59" s="56"/>
      <c r="P59" s="69"/>
    </row>
    <row r="60" spans="2:57">
      <c r="B60" s="33" t="s">
        <v>9</v>
      </c>
      <c r="C60" s="65"/>
      <c r="D60" s="76">
        <v>5.2022252292888638</v>
      </c>
      <c r="E60" s="76">
        <v>5.9617606818962967</v>
      </c>
      <c r="F60" s="66">
        <v>4.8</v>
      </c>
      <c r="G60" s="65"/>
      <c r="H60" s="76">
        <v>4.3078757344170349</v>
      </c>
      <c r="I60" s="76">
        <v>6.2686652702189285</v>
      </c>
      <c r="J60" s="66">
        <v>4.8</v>
      </c>
      <c r="K60" s="67"/>
      <c r="L60" s="194">
        <v>0.61318713450292395</v>
      </c>
      <c r="M60" s="194">
        <v>0.74352497019151897</v>
      </c>
      <c r="N60" s="68">
        <v>1</v>
      </c>
      <c r="P60" s="69"/>
    </row>
    <row r="61" spans="2:57">
      <c r="B61" s="34" t="s">
        <v>40</v>
      </c>
      <c r="C61" s="65"/>
      <c r="D61" s="76"/>
      <c r="E61" s="76">
        <v>12.554572931825788</v>
      </c>
      <c r="F61" s="66">
        <v>5.5</v>
      </c>
      <c r="G61" s="65"/>
      <c r="H61" s="76"/>
      <c r="I61" s="76">
        <v>13.449891307585697</v>
      </c>
      <c r="J61" s="66">
        <v>5.5</v>
      </c>
      <c r="K61" s="67"/>
      <c r="L61" s="194"/>
      <c r="M61" s="194">
        <v>0.54554653679653675</v>
      </c>
      <c r="N61" s="68">
        <v>1</v>
      </c>
      <c r="P61" s="69"/>
    </row>
    <row r="62" spans="2:57">
      <c r="B62" s="22" t="s">
        <v>33</v>
      </c>
      <c r="C62" s="65"/>
      <c r="D62" s="76">
        <v>3.4057735971456373</v>
      </c>
      <c r="E62" s="76">
        <v>1.6190544721882421</v>
      </c>
      <c r="F62" s="66">
        <v>3.3</v>
      </c>
      <c r="G62" s="65"/>
      <c r="H62" s="76">
        <v>2.1612156300633463</v>
      </c>
      <c r="I62" s="76">
        <v>4.4964752224031521</v>
      </c>
      <c r="J62" s="66">
        <v>3.3</v>
      </c>
      <c r="K62" s="67"/>
      <c r="L62" s="194">
        <v>1.0449122807017543</v>
      </c>
      <c r="M62" s="194">
        <v>0.90649122807017535</v>
      </c>
      <c r="N62" s="68">
        <v>1</v>
      </c>
      <c r="P62" s="69"/>
    </row>
    <row r="63" spans="2:57">
      <c r="B63" s="35" t="s">
        <v>29</v>
      </c>
      <c r="C63" s="65"/>
      <c r="D63" s="76"/>
      <c r="E63" s="76"/>
      <c r="F63" s="66">
        <v>3.3</v>
      </c>
      <c r="G63" s="282"/>
      <c r="H63" s="76"/>
      <c r="I63" s="76"/>
      <c r="J63" s="66">
        <v>3</v>
      </c>
      <c r="L63" s="194"/>
      <c r="M63" s="194"/>
      <c r="N63" s="68">
        <v>1</v>
      </c>
      <c r="P63" s="69"/>
    </row>
    <row r="64" spans="2:57">
      <c r="B64" s="36" t="s">
        <v>15</v>
      </c>
      <c r="C64" s="282"/>
      <c r="D64" s="76"/>
      <c r="E64" s="76">
        <v>7.8262258425171876</v>
      </c>
      <c r="F64" s="70">
        <f>[21]May_2022!$M$43</f>
        <v>3.4878406700073312</v>
      </c>
      <c r="G64" s="282"/>
      <c r="H64" s="76"/>
      <c r="I64" s="76">
        <v>9.4300678869947632</v>
      </c>
      <c r="J64" s="66">
        <v>5.5</v>
      </c>
      <c r="K64" s="67"/>
      <c r="L64" s="194"/>
      <c r="M64" s="194">
        <v>0.674970760233918</v>
      </c>
      <c r="N64" s="68">
        <v>1</v>
      </c>
      <c r="P64" s="69"/>
    </row>
    <row r="65" spans="2:16">
      <c r="B65" s="37" t="s">
        <v>16</v>
      </c>
      <c r="C65" s="65"/>
      <c r="D65" s="76">
        <v>3.8832609744331941</v>
      </c>
      <c r="E65" s="76">
        <v>2.4852159592783925</v>
      </c>
      <c r="F65" s="66">
        <v>3.3</v>
      </c>
      <c r="G65" s="282"/>
      <c r="H65" s="76">
        <v>4.1755914731086534</v>
      </c>
      <c r="I65" s="76">
        <v>4.4843055604984379</v>
      </c>
      <c r="J65" s="66">
        <v>3.3</v>
      </c>
      <c r="K65" s="67"/>
      <c r="L65" s="194">
        <v>0.69912280701754381</v>
      </c>
      <c r="M65" s="194">
        <v>0.79924705882352942</v>
      </c>
      <c r="N65" s="71">
        <v>1</v>
      </c>
      <c r="P65" s="69"/>
    </row>
    <row r="66" spans="2:16" ht="14.4" thickBot="1">
      <c r="B66" s="38" t="s">
        <v>127</v>
      </c>
      <c r="C66" s="65"/>
      <c r="D66" s="76"/>
      <c r="E66" s="76"/>
      <c r="F66" s="66">
        <v>7.5</v>
      </c>
      <c r="G66" s="282"/>
      <c r="H66" s="76"/>
      <c r="I66" s="76"/>
      <c r="J66" s="66">
        <v>7.5</v>
      </c>
      <c r="K66" s="67"/>
      <c r="L66" s="194"/>
      <c r="M66" s="194"/>
      <c r="N66" s="71">
        <v>1</v>
      </c>
      <c r="P66" s="69"/>
    </row>
    <row r="67" spans="2:16" ht="14.4" thickBot="1">
      <c r="B67" s="417" t="s">
        <v>161</v>
      </c>
      <c r="C67" s="65"/>
      <c r="D67" s="76"/>
      <c r="E67" s="76">
        <v>4.8792508624938291</v>
      </c>
      <c r="F67" s="66">
        <v>4.8</v>
      </c>
      <c r="G67" s="282"/>
      <c r="H67" s="76"/>
      <c r="I67" s="76">
        <v>6.2003723782925313</v>
      </c>
      <c r="J67" s="66">
        <v>4.8</v>
      </c>
      <c r="K67" s="67"/>
      <c r="L67" s="194"/>
      <c r="M67" s="194">
        <v>0.33859649122807017</v>
      </c>
      <c r="N67" s="71">
        <v>1</v>
      </c>
      <c r="O67" s="74"/>
      <c r="P67" s="75"/>
    </row>
    <row r="68" spans="2:16">
      <c r="D68" s="76">
        <v>4.4889338410281105</v>
      </c>
      <c r="E68" s="76">
        <v>6.5488774990021801</v>
      </c>
      <c r="F68" s="341">
        <v>5.5</v>
      </c>
      <c r="H68" s="76">
        <v>3.9343370401263393</v>
      </c>
      <c r="I68" s="76">
        <v>7.1563230866730807</v>
      </c>
      <c r="J68" s="341">
        <v>5.5</v>
      </c>
      <c r="K68" s="67"/>
      <c r="L68" s="194">
        <v>0.84801819363222863</v>
      </c>
      <c r="M68" s="194">
        <v>0.74777387012185703</v>
      </c>
      <c r="N68" s="386">
        <v>1</v>
      </c>
    </row>
    <row r="72" spans="2:16">
      <c r="F72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2:N22"/>
    <mergeCell ref="D23:E23"/>
    <mergeCell ref="B24:B35"/>
    <mergeCell ref="D24:E25"/>
    <mergeCell ref="D26:E27"/>
    <mergeCell ref="D28:E29"/>
    <mergeCell ref="D30:E31"/>
    <mergeCell ref="D32:E33"/>
    <mergeCell ref="D34:E35"/>
    <mergeCell ref="B36:B45"/>
    <mergeCell ref="D36:E37"/>
    <mergeCell ref="J36:K36"/>
    <mergeCell ref="L37:N37"/>
    <mergeCell ref="D38:E39"/>
    <mergeCell ref="D40:E41"/>
    <mergeCell ref="D42:E43"/>
    <mergeCell ref="D44:E45"/>
    <mergeCell ref="D46:E46"/>
    <mergeCell ref="B51:B52"/>
    <mergeCell ref="C51:C52"/>
    <mergeCell ref="D51:D52"/>
    <mergeCell ref="E51:E52"/>
    <mergeCell ref="M51:M52"/>
    <mergeCell ref="B57:F57"/>
    <mergeCell ref="G57:J57"/>
    <mergeCell ref="K57:N57"/>
    <mergeCell ref="G51:G52"/>
    <mergeCell ref="H51:H52"/>
    <mergeCell ref="I51:I52"/>
    <mergeCell ref="J51:J52"/>
    <mergeCell ref="K51:K52"/>
    <mergeCell ref="L51:L52"/>
    <mergeCell ref="F51:F52"/>
  </mergeCells>
  <conditionalFormatting sqref="B46:B47">
    <cfRule type="cellIs" dxfId="997" priority="86" operator="notBetween">
      <formula>#REF!</formula>
      <formula>#REF!</formula>
    </cfRule>
  </conditionalFormatting>
  <conditionalFormatting sqref="C50">
    <cfRule type="cellIs" dxfId="996" priority="117" stopIfTrue="1" operator="lessThan">
      <formula>96</formula>
    </cfRule>
    <cfRule type="cellIs" dxfId="995" priority="118" stopIfTrue="1" operator="greaterThan">
      <formula>100</formula>
    </cfRule>
  </conditionalFormatting>
  <conditionalFormatting sqref="C59:C60">
    <cfRule type="cellIs" dxfId="994" priority="62" stopIfTrue="1" operator="lessThanOrEqual">
      <formula>0</formula>
    </cfRule>
  </conditionalFormatting>
  <conditionalFormatting sqref="C59:C63">
    <cfRule type="cellIs" dxfId="993" priority="61" stopIfTrue="1" operator="greaterThan">
      <formula>$F59</formula>
    </cfRule>
  </conditionalFormatting>
  <conditionalFormatting sqref="C60">
    <cfRule type="cellIs" dxfId="992" priority="121" stopIfTrue="1" operator="greaterThan">
      <formula>$F59</formula>
    </cfRule>
  </conditionalFormatting>
  <conditionalFormatting sqref="C61:C64">
    <cfRule type="cellIs" dxfId="991" priority="70" stopIfTrue="1" operator="lessThanOrEqual">
      <formula>0</formula>
    </cfRule>
  </conditionalFormatting>
  <conditionalFormatting sqref="C64">
    <cfRule type="cellIs" dxfId="990" priority="69" stopIfTrue="1" operator="greaterThan">
      <formula>$J64</formula>
    </cfRule>
  </conditionalFormatting>
  <conditionalFormatting sqref="C70:C74">
    <cfRule type="cellIs" dxfId="989" priority="109" stopIfTrue="1" operator="lessThanOrEqual">
      <formula>0</formula>
    </cfRule>
  </conditionalFormatting>
  <conditionalFormatting sqref="C71:C74">
    <cfRule type="cellIs" dxfId="988" priority="108" stopIfTrue="1" operator="greaterThan">
      <formula>$F$70</formula>
    </cfRule>
  </conditionalFormatting>
  <conditionalFormatting sqref="C76">
    <cfRule type="cellIs" dxfId="987" priority="110" stopIfTrue="1" operator="greaterThan">
      <formula>$F$70</formula>
    </cfRule>
    <cfRule type="cellIs" dxfId="986" priority="111" stopIfTrue="1" operator="lessThanOrEqual">
      <formula>0</formula>
    </cfRule>
  </conditionalFormatting>
  <conditionalFormatting sqref="C70:D70 D72:D78">
    <cfRule type="cellIs" dxfId="985" priority="103" stopIfTrue="1" operator="greaterThan">
      <formula>4.5</formula>
    </cfRule>
  </conditionalFormatting>
  <conditionalFormatting sqref="D46:D47">
    <cfRule type="cellIs" dxfId="984" priority="87" operator="notBetween">
      <formula>#REF!</formula>
      <formula>#REF!</formula>
    </cfRule>
  </conditionalFormatting>
  <conditionalFormatting sqref="D59:D66">
    <cfRule type="cellIs" dxfId="983" priority="80" stopIfTrue="1" operator="lessThanOrEqual">
      <formula>0</formula>
    </cfRule>
  </conditionalFormatting>
  <conditionalFormatting sqref="D67">
    <cfRule type="cellIs" dxfId="982" priority="79" stopIfTrue="1" operator="lessThanOrEqual">
      <formula>0</formula>
    </cfRule>
  </conditionalFormatting>
  <conditionalFormatting sqref="D70 D72:D78">
    <cfRule type="cellIs" dxfId="981" priority="104" stopIfTrue="1" operator="lessThanOrEqual">
      <formula>0</formula>
    </cfRule>
  </conditionalFormatting>
  <conditionalFormatting sqref="D71">
    <cfRule type="cellIs" dxfId="980" priority="96" stopIfTrue="1" operator="lessThanOrEqual">
      <formula>0</formula>
    </cfRule>
    <cfRule type="cellIs" dxfId="979" priority="95" stopIfTrue="1" operator="greaterThan">
      <formula>$F$70</formula>
    </cfRule>
  </conditionalFormatting>
  <conditionalFormatting sqref="D59:E68">
    <cfRule type="cellIs" dxfId="978" priority="58" stopIfTrue="1" operator="greaterThan">
      <formula>$F59</formula>
    </cfRule>
  </conditionalFormatting>
  <conditionalFormatting sqref="D68:E68">
    <cfRule type="cellIs" dxfId="977" priority="59" stopIfTrue="1" operator="lessThanOrEqual">
      <formula>0</formula>
    </cfRule>
  </conditionalFormatting>
  <conditionalFormatting sqref="E10:E21">
    <cfRule type="cellIs" dxfId="976" priority="14" operator="lessThan">
      <formula>48</formula>
    </cfRule>
  </conditionalFormatting>
  <conditionalFormatting sqref="E49 E50:F50">
    <cfRule type="cellIs" dxfId="975" priority="100" stopIfTrue="1" operator="greaterThan">
      <formula>100</formula>
    </cfRule>
  </conditionalFormatting>
  <conditionalFormatting sqref="E50">
    <cfRule type="cellIs" dxfId="974" priority="97" stopIfTrue="1" operator="lessThan">
      <formula>96.8</formula>
    </cfRule>
    <cfRule type="cellIs" dxfId="973" priority="98" stopIfTrue="1" operator="greaterThan">
      <formula>100</formula>
    </cfRule>
  </conditionalFormatting>
  <conditionalFormatting sqref="E59:E67">
    <cfRule type="cellIs" dxfId="972" priority="74" stopIfTrue="1" operator="lessThanOrEqual">
      <formula>0</formula>
    </cfRule>
  </conditionalFormatting>
  <conditionalFormatting sqref="E70:E78">
    <cfRule type="cellIs" dxfId="971" priority="89" stopIfTrue="1" operator="greaterThan">
      <formula>4.5</formula>
    </cfRule>
    <cfRule type="cellIs" dxfId="970" priority="90" stopIfTrue="1" operator="lessThanOrEqual">
      <formula>0</formula>
    </cfRule>
  </conditionalFormatting>
  <conditionalFormatting sqref="E50:F50 E49">
    <cfRule type="cellIs" dxfId="969" priority="99" stopIfTrue="1" operator="lessThan">
      <formula>96.5</formula>
    </cfRule>
  </conditionalFormatting>
  <conditionalFormatting sqref="F10:F21">
    <cfRule type="cellIs" dxfId="968" priority="15" operator="greaterThan">
      <formula>60</formula>
    </cfRule>
  </conditionalFormatting>
  <conditionalFormatting sqref="F50">
    <cfRule type="cellIs" dxfId="967" priority="116" stopIfTrue="1" operator="greaterThan">
      <formula>100</formula>
    </cfRule>
    <cfRule type="cellIs" dxfId="966" priority="115" stopIfTrue="1" operator="lessThan">
      <formula>96.8</formula>
    </cfRule>
  </conditionalFormatting>
  <conditionalFormatting sqref="F68">
    <cfRule type="cellIs" dxfId="965" priority="76" stopIfTrue="1" operator="lessThanOrEqual">
      <formula>0</formula>
    </cfRule>
    <cfRule type="cellIs" dxfId="964" priority="75" stopIfTrue="1" operator="greaterThan">
      <formula>$F68</formula>
    </cfRule>
  </conditionalFormatting>
  <conditionalFormatting sqref="G59:G60 C65:C67">
    <cfRule type="cellIs" dxfId="963" priority="81" stopIfTrue="1" operator="greaterThan">
      <formula>$F59</formula>
    </cfRule>
    <cfRule type="cellIs" dxfId="962" priority="82" stopIfTrue="1" operator="lessThanOrEqual">
      <formula>0</formula>
    </cfRule>
  </conditionalFormatting>
  <conditionalFormatting sqref="G59:G60">
    <cfRule type="cellIs" dxfId="961" priority="64" stopIfTrue="1" operator="lessThanOrEqual">
      <formula>0</formula>
    </cfRule>
    <cfRule type="cellIs" dxfId="960" priority="63" stopIfTrue="1" operator="greaterThan">
      <formula>$F59</formula>
    </cfRule>
  </conditionalFormatting>
  <conditionalFormatting sqref="G61">
    <cfRule type="cellIs" dxfId="959" priority="120" stopIfTrue="1" operator="lessThanOrEqual">
      <formula>0</formula>
    </cfRule>
    <cfRule type="cellIs" dxfId="958" priority="119" stopIfTrue="1" operator="greaterThan">
      <formula>$F60</formula>
    </cfRule>
  </conditionalFormatting>
  <conditionalFormatting sqref="G62">
    <cfRule type="cellIs" dxfId="957" priority="77" stopIfTrue="1" operator="greaterThan">
      <formula>$F62</formula>
    </cfRule>
    <cfRule type="cellIs" dxfId="956" priority="78" stopIfTrue="1" operator="lessThanOrEqual">
      <formula>0</formula>
    </cfRule>
  </conditionalFormatting>
  <conditionalFormatting sqref="G63:G67">
    <cfRule type="cellIs" dxfId="955" priority="84" stopIfTrue="1" operator="lessThanOrEqual">
      <formula>0</formula>
    </cfRule>
    <cfRule type="cellIs" dxfId="954" priority="83" stopIfTrue="1" operator="greaterThan">
      <formula>$J63</formula>
    </cfRule>
  </conditionalFormatting>
  <conditionalFormatting sqref="G72:G77 C75 C77">
    <cfRule type="cellIs" dxfId="953" priority="112" stopIfTrue="1" operator="greaterThan">
      <formula>4.5</formula>
    </cfRule>
    <cfRule type="cellIs" dxfId="952" priority="113" stopIfTrue="1" operator="lessThanOrEqual">
      <formula>0</formula>
    </cfRule>
  </conditionalFormatting>
  <conditionalFormatting sqref="G10:H21">
    <cfRule type="expression" dxfId="951" priority="16">
      <formula>IF(+(IF(G10&lt;#REF!,0,IF(G10&gt;#REF!,0,1)))=0,1)</formula>
    </cfRule>
  </conditionalFormatting>
  <conditionalFormatting sqref="G71:H71">
    <cfRule type="cellIs" dxfId="950" priority="93" stopIfTrue="1" operator="greaterThan">
      <formula>$F$70</formula>
    </cfRule>
    <cfRule type="cellIs" dxfId="949" priority="94" stopIfTrue="1" operator="lessThanOrEqual">
      <formula>0</formula>
    </cfRule>
  </conditionalFormatting>
  <conditionalFormatting sqref="H35:H49 I37:I48">
    <cfRule type="cellIs" dxfId="948" priority="91" stopIfTrue="1" operator="greaterThan">
      <formula>0</formula>
    </cfRule>
  </conditionalFormatting>
  <conditionalFormatting sqref="H53:H55">
    <cfRule type="cellIs" dxfId="947" priority="41" stopIfTrue="1" operator="lessThanOrEqual">
      <formula>0</formula>
    </cfRule>
    <cfRule type="cellIs" dxfId="946" priority="40" stopIfTrue="1" operator="greaterThan">
      <formula>$F$37</formula>
    </cfRule>
    <cfRule type="cellIs" dxfId="945" priority="42" stopIfTrue="1" operator="greaterThan">
      <formula>$F$35</formula>
    </cfRule>
    <cfRule type="cellIs" dxfId="944" priority="31" stopIfTrue="1" operator="lessThanOrEqual">
      <formula>0</formula>
    </cfRule>
    <cfRule type="cellIs" dxfId="943" priority="32" stopIfTrue="1" operator="greaterThan">
      <formula>$F$34</formula>
    </cfRule>
    <cfRule type="cellIs" dxfId="942" priority="43" stopIfTrue="1" operator="lessThanOrEqual">
      <formula>0</formula>
    </cfRule>
  </conditionalFormatting>
  <conditionalFormatting sqref="H59:H66">
    <cfRule type="cellIs" dxfId="941" priority="68" stopIfTrue="1" operator="lessThanOrEqual">
      <formula>0</formula>
    </cfRule>
    <cfRule type="cellIs" dxfId="940" priority="67" stopIfTrue="1" operator="greaterThan">
      <formula>$J59</formula>
    </cfRule>
  </conditionalFormatting>
  <conditionalFormatting sqref="H67">
    <cfRule type="cellIs" dxfId="939" priority="71" operator="greaterThan">
      <formula>5.3</formula>
    </cfRule>
  </conditionalFormatting>
  <conditionalFormatting sqref="H70 H72:H78">
    <cfRule type="cellIs" dxfId="938" priority="105" stopIfTrue="1" operator="greaterThan">
      <formula>4.5</formula>
    </cfRule>
    <cfRule type="cellIs" dxfId="937" priority="106" stopIfTrue="1" operator="lessThanOrEqual">
      <formula>0</formula>
    </cfRule>
  </conditionalFormatting>
  <conditionalFormatting sqref="H53:I55">
    <cfRule type="cellIs" dxfId="936" priority="30" stopIfTrue="1" operator="greaterThan">
      <formula>$F$36</formula>
    </cfRule>
    <cfRule type="cellIs" dxfId="935" priority="33" stopIfTrue="1" operator="lessThanOrEqual">
      <formula>0</formula>
    </cfRule>
  </conditionalFormatting>
  <conditionalFormatting sqref="H68:I68">
    <cfRule type="cellIs" dxfId="934" priority="57" stopIfTrue="1" operator="lessThanOrEqual">
      <formula>0</formula>
    </cfRule>
    <cfRule type="cellIs" dxfId="933" priority="56" stopIfTrue="1" operator="greaterThan">
      <formula>$J68</formula>
    </cfRule>
  </conditionalFormatting>
  <conditionalFormatting sqref="I53:I55">
    <cfRule type="cellIs" dxfId="932" priority="38" stopIfTrue="1" operator="greaterThan">
      <formula>$F$34</formula>
    </cfRule>
    <cfRule type="cellIs" dxfId="931" priority="37" stopIfTrue="1" operator="lessThanOrEqual">
      <formula>0</formula>
    </cfRule>
    <cfRule type="cellIs" dxfId="930" priority="34" stopIfTrue="1" operator="greaterThan">
      <formula>$F$34</formula>
    </cfRule>
    <cfRule type="cellIs" dxfId="929" priority="35" stopIfTrue="1" operator="lessThanOrEqual">
      <formula>0</formula>
    </cfRule>
    <cfRule type="cellIs" dxfId="928" priority="36" stopIfTrue="1" operator="greaterThan">
      <formula>$F$36</formula>
    </cfRule>
    <cfRule type="cellIs" dxfId="927" priority="39" stopIfTrue="1" operator="lessThanOrEqual">
      <formula>0</formula>
    </cfRule>
  </conditionalFormatting>
  <conditionalFormatting sqref="I59:I67">
    <cfRule type="cellIs" dxfId="926" priority="73" stopIfTrue="1" operator="lessThanOrEqual">
      <formula>0</formula>
    </cfRule>
    <cfRule type="cellIs" dxfId="925" priority="72" stopIfTrue="1" operator="greaterThan">
      <formula>$J59</formula>
    </cfRule>
  </conditionalFormatting>
  <conditionalFormatting sqref="I70:I78">
    <cfRule type="cellIs" dxfId="924" priority="101" stopIfTrue="1" operator="greaterThan">
      <formula>4.5</formula>
    </cfRule>
    <cfRule type="cellIs" dxfId="923" priority="102" stopIfTrue="1" operator="lessThanOrEqual">
      <formula>0</formula>
    </cfRule>
  </conditionalFormatting>
  <conditionalFormatting sqref="I10:J21">
    <cfRule type="cellIs" dxfId="922" priority="29" operator="lessThan">
      <formula>97.9</formula>
    </cfRule>
  </conditionalFormatting>
  <conditionalFormatting sqref="J24:J26">
    <cfRule type="cellIs" dxfId="921" priority="48" operator="lessThan">
      <formula>98</formula>
    </cfRule>
    <cfRule type="cellIs" dxfId="920" priority="47" stopIfTrue="1" operator="greaterThan">
      <formula>100</formula>
    </cfRule>
    <cfRule type="cellIs" dxfId="919" priority="46" stopIfTrue="1" operator="lessThan">
      <formula>96.8</formula>
    </cfRule>
  </conditionalFormatting>
  <conditionalFormatting sqref="J24:J28">
    <cfRule type="cellIs" dxfId="918" priority="45" operator="lessThan">
      <formula>97.4</formula>
    </cfRule>
  </conditionalFormatting>
  <conditionalFormatting sqref="J29">
    <cfRule type="cellIs" dxfId="917" priority="49" operator="lessThan">
      <formula>98</formula>
    </cfRule>
  </conditionalFormatting>
  <conditionalFormatting sqref="J30:J32">
    <cfRule type="cellIs" dxfId="916" priority="51" stopIfTrue="1" operator="greaterThan">
      <formula>100</formula>
    </cfRule>
    <cfRule type="cellIs" dxfId="915" priority="50" stopIfTrue="1" operator="lessThan">
      <formula>96.8</formula>
    </cfRule>
  </conditionalFormatting>
  <conditionalFormatting sqref="J30:J33">
    <cfRule type="cellIs" dxfId="914" priority="52" operator="lessThan">
      <formula>98</formula>
    </cfRule>
  </conditionalFormatting>
  <conditionalFormatting sqref="J68">
    <cfRule type="cellIs" dxfId="913" priority="54" stopIfTrue="1" operator="lessThanOrEqual">
      <formula>0</formula>
    </cfRule>
    <cfRule type="cellIs" dxfId="912" priority="53" stopIfTrue="1" operator="greaterThan">
      <formula>$F68</formula>
    </cfRule>
  </conditionalFormatting>
  <conditionalFormatting sqref="K10:K21">
    <cfRule type="cellIs" dxfId="911" priority="28" operator="greaterThan">
      <formula>6.4</formula>
    </cfRule>
    <cfRule type="cellIs" dxfId="910" priority="25" operator="lessThan">
      <formula>4</formula>
    </cfRule>
    <cfRule type="cellIs" dxfId="909" priority="24" operator="greaterThan">
      <formula>6</formula>
    </cfRule>
  </conditionalFormatting>
  <conditionalFormatting sqref="K38:K47">
    <cfRule type="cellIs" dxfId="908" priority="44" operator="notEqual">
      <formula>#REF!</formula>
    </cfRule>
  </conditionalFormatting>
  <conditionalFormatting sqref="K53:K55">
    <cfRule type="cellIs" dxfId="907" priority="12" stopIfTrue="1" operator="lessThan">
      <formula>100%</formula>
    </cfRule>
  </conditionalFormatting>
  <conditionalFormatting sqref="K70:K75">
    <cfRule type="cellIs" dxfId="906" priority="107" stopIfTrue="1" operator="lessThan">
      <formula>100%</formula>
    </cfRule>
  </conditionalFormatting>
  <conditionalFormatting sqref="K77:K78">
    <cfRule type="cellIs" dxfId="905" priority="114" stopIfTrue="1" operator="lessThan">
      <formula>100%</formula>
    </cfRule>
  </conditionalFormatting>
  <conditionalFormatting sqref="K59:N62 L63:N63">
    <cfRule type="cellIs" dxfId="904" priority="85" stopIfTrue="1" operator="lessThan">
      <formula>100%</formula>
    </cfRule>
  </conditionalFormatting>
  <conditionalFormatting sqref="K64:N68">
    <cfRule type="cellIs" dxfId="903" priority="55" stopIfTrue="1" operator="lessThan">
      <formula>100%</formula>
    </cfRule>
  </conditionalFormatting>
  <conditionalFormatting sqref="L10:L21">
    <cfRule type="cellIs" dxfId="902" priority="27" operator="greaterThan">
      <formula>65</formula>
    </cfRule>
    <cfRule type="cellIs" dxfId="901" priority="26" operator="between">
      <formula>61</formula>
      <formula>65</formula>
    </cfRule>
  </conditionalFormatting>
  <conditionalFormatting sqref="L39:N39">
    <cfRule type="cellIs" dxfId="900" priority="21" operator="notEqual">
      <formula>#REF!</formula>
    </cfRule>
  </conditionalFormatting>
  <conditionalFormatting sqref="L70:N78">
    <cfRule type="cellIs" dxfId="899" priority="92" stopIfTrue="1" operator="lessThan">
      <formula>100%</formula>
    </cfRule>
  </conditionalFormatting>
  <conditionalFormatting sqref="M10:M21">
    <cfRule type="expression" dxfId="898" priority="23">
      <formula>IF(+(IF(M10&lt;U10,0,IF(M10&gt;V10,0,1)))=0,1)</formula>
    </cfRule>
  </conditionalFormatting>
  <conditionalFormatting sqref="M24 L25:M35">
    <cfRule type="cellIs" dxfId="897" priority="60" operator="lessThan">
      <formula>98</formula>
    </cfRule>
  </conditionalFormatting>
  <conditionalFormatting sqref="N10:N21">
    <cfRule type="expression" dxfId="896" priority="20">
      <formula>IF(+(IF(N10&lt;W10,0,IF(N10&gt;X10,0,1)))=0,1)</formula>
    </cfRule>
  </conditionalFormatting>
  <conditionalFormatting sqref="P6">
    <cfRule type="cellIs" dxfId="895" priority="88" operator="greaterThanOrEqual">
      <formula>19</formula>
    </cfRule>
  </conditionalFormatting>
  <dataValidations count="1">
    <dataValidation type="list" allowBlank="1" showInputMessage="1" showErrorMessage="1" sqref="R8" xr:uid="{7F738955-0F37-45EA-AB16-AAFF5A223744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2" max="16383" man="1"/>
  </rowBreaks>
  <colBreaks count="1" manualBreakCount="1">
    <brk id="15" max="89" man="1"/>
  </col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0AAD9-5344-455E-BEA9-1AE701083CBB}">
  <sheetPr codeName="Sheet14">
    <pageSetUpPr fitToPage="1"/>
  </sheetPr>
  <dimension ref="A1:BE74"/>
  <sheetViews>
    <sheetView topLeftCell="A47" zoomScale="70" zoomScaleNormal="70" workbookViewId="0">
      <selection activeCell="M56" sqref="M56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26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45798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[22]Brewhouse!$A456</f>
        <v>CA351</v>
      </c>
      <c r="D10" s="279">
        <f>[22]Brewhouse!$AF456</f>
        <v>54.5</v>
      </c>
      <c r="E10" s="279">
        <f>[22]Brewhouse!$AI456</f>
        <v>50.7</v>
      </c>
      <c r="F10" s="278">
        <f>[22]Brewhouse!$V456</f>
        <v>66</v>
      </c>
      <c r="G10" s="279">
        <f>[22]Brewhouse!$AG456</f>
        <v>11.71</v>
      </c>
      <c r="H10" s="396">
        <v>11.7</v>
      </c>
      <c r="I10" s="368">
        <f>[22]Brewhouse!$AU456</f>
        <v>101.27782496495649</v>
      </c>
      <c r="J10" s="368">
        <f>[22]Brewhouse!$AV456</f>
        <v>103.60241883972125</v>
      </c>
      <c r="K10" s="281">
        <f>[22]Brewhouse!$Q456</f>
        <v>8.6131386861313857</v>
      </c>
      <c r="L10" s="276">
        <f>[22]Brewhouse!$P456</f>
        <v>60</v>
      </c>
      <c r="M10" s="397">
        <f>[22]Brewhouse!$U456-[22]Brewhouse!$T456</f>
        <v>0.11388888888888893</v>
      </c>
      <c r="N10" s="370">
        <f>[22]Brewhouse!$Z456</f>
        <v>0.24722222222222223</v>
      </c>
      <c r="O10" s="371" t="str">
        <f>[22]Brewhouse!$AX456</f>
        <v>R. Regis</v>
      </c>
      <c r="P10" s="423"/>
      <c r="R10" s="277" t="str">
        <f>B10</f>
        <v>CARIB</v>
      </c>
      <c r="S10" s="296">
        <f t="shared" ref="S10:S24" si="0">VLOOKUP($B10,$R$3:$X$9,2,FALSE)</f>
        <v>11.6</v>
      </c>
      <c r="T10" s="296">
        <f t="shared" ref="T10:T24" si="1">VLOOKUP($B10,$R$3:$X$9,3,FALSE)</f>
        <v>12</v>
      </c>
      <c r="U10" s="297">
        <f t="shared" ref="U10:U24" si="2">VLOOKUP($B10,$R$3:$X$9,4,FALSE)</f>
        <v>0</v>
      </c>
      <c r="V10" s="297">
        <f t="shared" ref="V10:V24" si="3">VLOOKUP($B10,$R$3:$X$9,5,FALSE)</f>
        <v>0.118055555555556</v>
      </c>
      <c r="W10" s="297">
        <f t="shared" ref="W10:W24" si="4">VLOOKUP($B10,$R$3:$X$9,6,FALSE)</f>
        <v>0.22569444444444445</v>
      </c>
      <c r="X10" s="297">
        <f t="shared" ref="X10:X24" si="5">VLOOKUP($B10,$R$3:$X$9,7,FALSE)</f>
        <v>0.2638888888888889</v>
      </c>
      <c r="Y10" s="297">
        <f t="shared" ref="Y10:Y24" si="6">VLOOKUP($B10,$R$3:$Z$9,8,FALSE)</f>
        <v>0</v>
      </c>
      <c r="Z10" s="296">
        <f t="shared" ref="Z10:Z24" si="7">VLOOKUP($B10,$R$3:$Z$9,9,FALSE)</f>
        <v>60</v>
      </c>
    </row>
    <row r="11" spans="2:29" ht="15.75" customHeight="1">
      <c r="B11" s="29" t="s">
        <v>6</v>
      </c>
      <c r="C11" s="366" t="str">
        <f>[22]Brewhouse!$A457</f>
        <v>CA352</v>
      </c>
      <c r="D11" s="279">
        <f>[22]Brewhouse!$AF457</f>
        <v>54.6</v>
      </c>
      <c r="E11" s="279">
        <f>[22]Brewhouse!$AI457</f>
        <v>50.9</v>
      </c>
      <c r="F11" s="278">
        <f>[22]Brewhouse!$V457</f>
        <v>63</v>
      </c>
      <c r="G11" s="279">
        <f>[22]Brewhouse!$AG457</f>
        <v>11.77</v>
      </c>
      <c r="H11" s="396">
        <v>11.8</v>
      </c>
      <c r="I11" s="368">
        <f>[22]Brewhouse!$AU457</f>
        <v>102.5837050649381</v>
      </c>
      <c r="J11" s="368">
        <f>[22]Brewhouse!$AV457</f>
        <v>104.93827234091529</v>
      </c>
      <c r="K11" s="281">
        <f>[22]Brewhouse!$Q457</f>
        <v>6.7636363636363619</v>
      </c>
      <c r="L11" s="276">
        <f>[22]Brewhouse!$P457</f>
        <v>57</v>
      </c>
      <c r="M11" s="397">
        <f>[22]Brewhouse!$U457-[22]Brewhouse!$T457</f>
        <v>0.10833333333333328</v>
      </c>
      <c r="N11" s="370">
        <f>[22]Brewhouse!$Z457</f>
        <v>0.26597222222222217</v>
      </c>
      <c r="O11" s="371" t="str">
        <f>[22]Brewhouse!$AX457</f>
        <v>R. Sookram</v>
      </c>
      <c r="P11" s="423"/>
      <c r="R11" s="277" t="str">
        <f t="shared" ref="R11:R20" si="8">B11</f>
        <v>CARIB</v>
      </c>
      <c r="S11" s="296">
        <f t="shared" si="0"/>
        <v>11.6</v>
      </c>
      <c r="T11" s="296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296">
        <f t="shared" si="7"/>
        <v>60</v>
      </c>
    </row>
    <row r="12" spans="2:29" ht="15.75" customHeight="1">
      <c r="B12" s="29" t="s">
        <v>6</v>
      </c>
      <c r="C12" s="366" t="str">
        <f>[22]Brewhouse!$A458</f>
        <v>CA353</v>
      </c>
      <c r="D12" s="279">
        <f>[22]Brewhouse!$AF458</f>
        <v>56.1</v>
      </c>
      <c r="E12" s="279">
        <f>[22]Brewhouse!$AI458</f>
        <v>52.6</v>
      </c>
      <c r="F12" s="278">
        <f>[22]Brewhouse!$V458</f>
        <v>66</v>
      </c>
      <c r="G12" s="279">
        <f>[22]Brewhouse!$AG458</f>
        <v>11.66</v>
      </c>
      <c r="H12" s="367"/>
      <c r="I12" s="368">
        <f>[22]Brewhouse!$AU458</f>
        <v>104.66984401683426</v>
      </c>
      <c r="J12" s="368">
        <f>[22]Brewhouse!$AV458</f>
        <v>107.07271674001898</v>
      </c>
      <c r="K12" s="281">
        <f>[22]Brewhouse!$Q458</f>
        <v>5.9285714285714288</v>
      </c>
      <c r="L12" s="276">
        <f>[22]Brewhouse!$P458</f>
        <v>57</v>
      </c>
      <c r="M12" s="397">
        <f>[22]Brewhouse!$U458-[22]Brewhouse!$T458</f>
        <v>0.10972222222222217</v>
      </c>
      <c r="N12" s="370">
        <f>[22]Brewhouse!$Z458</f>
        <v>0.24583333333333324</v>
      </c>
      <c r="O12" s="371" t="str">
        <f>[22]Brewhouse!$AX458</f>
        <v>R. Sookram</v>
      </c>
      <c r="P12" s="423"/>
      <c r="R12" s="277" t="str">
        <f t="shared" si="8"/>
        <v>CARIB</v>
      </c>
      <c r="S12" s="296">
        <f t="shared" si="0"/>
        <v>11.6</v>
      </c>
      <c r="T12" s="296">
        <f t="shared" si="1"/>
        <v>12</v>
      </c>
      <c r="U12" s="297">
        <f t="shared" si="2"/>
        <v>0</v>
      </c>
      <c r="V12" s="297">
        <f t="shared" si="3"/>
        <v>0.118055555555556</v>
      </c>
      <c r="W12" s="297">
        <f t="shared" si="4"/>
        <v>0.22569444444444445</v>
      </c>
      <c r="X12" s="297">
        <f t="shared" si="5"/>
        <v>0.2638888888888889</v>
      </c>
      <c r="Y12" s="297">
        <f t="shared" si="6"/>
        <v>0</v>
      </c>
      <c r="Z12" s="296">
        <f t="shared" si="7"/>
        <v>60</v>
      </c>
    </row>
    <row r="13" spans="2:29" ht="15.75" customHeight="1">
      <c r="B13" s="29" t="s">
        <v>6</v>
      </c>
      <c r="C13" s="366" t="str">
        <f>[22]Brewhouse!$A459</f>
        <v>CA354</v>
      </c>
      <c r="D13" s="279">
        <f>[22]Brewhouse!$AF459</f>
        <v>55.5</v>
      </c>
      <c r="E13" s="279">
        <f>[22]Brewhouse!$AI459</f>
        <v>52.1</v>
      </c>
      <c r="F13" s="278">
        <f>[22]Brewhouse!$V459</f>
        <v>62</v>
      </c>
      <c r="G13" s="279">
        <f>[22]Brewhouse!$AG459</f>
        <v>11.63</v>
      </c>
      <c r="H13" s="396">
        <v>11.6</v>
      </c>
      <c r="I13" s="368">
        <f>[22]Brewhouse!$AU459</f>
        <v>98.304019498125228</v>
      </c>
      <c r="J13" s="368">
        <f>[22]Brewhouse!$AV459</f>
        <v>100.56432036291447</v>
      </c>
      <c r="K13" s="281">
        <f>[22]Brewhouse!$Q459</f>
        <v>4.848484848484846</v>
      </c>
      <c r="L13" s="276">
        <f>[22]Brewhouse!$P459</f>
        <v>57</v>
      </c>
      <c r="M13" s="397">
        <f>[22]Brewhouse!$U459-[22]Brewhouse!$T459</f>
        <v>0.10833333333333328</v>
      </c>
      <c r="N13" s="370">
        <f>[22]Brewhouse!$Z459</f>
        <v>0.25555555555555554</v>
      </c>
      <c r="O13" s="371" t="str">
        <f>[22]Brewhouse!$AX459</f>
        <v>R. Sookram</v>
      </c>
      <c r="P13" s="423"/>
      <c r="R13" s="277" t="str">
        <f t="shared" si="8"/>
        <v>CARIB</v>
      </c>
      <c r="S13" s="296">
        <f t="shared" si="0"/>
        <v>11.6</v>
      </c>
      <c r="T13" s="296">
        <f t="shared" si="1"/>
        <v>12</v>
      </c>
      <c r="U13" s="297">
        <f t="shared" si="2"/>
        <v>0</v>
      </c>
      <c r="V13" s="297">
        <f t="shared" si="3"/>
        <v>0.118055555555556</v>
      </c>
      <c r="W13" s="297">
        <f t="shared" si="4"/>
        <v>0.22569444444444445</v>
      </c>
      <c r="X13" s="297">
        <f t="shared" si="5"/>
        <v>0.2638888888888889</v>
      </c>
      <c r="Y13" s="297">
        <f t="shared" si="6"/>
        <v>0</v>
      </c>
      <c r="Z13" s="296">
        <f t="shared" si="7"/>
        <v>60</v>
      </c>
    </row>
    <row r="14" spans="2:29" ht="15.75" customHeight="1">
      <c r="B14" s="29" t="s">
        <v>6</v>
      </c>
      <c r="C14" s="366" t="str">
        <f>[22]Brewhouse!$A460</f>
        <v>CA355</v>
      </c>
      <c r="D14" s="279">
        <f>[22]Brewhouse!$AF460</f>
        <v>53.9</v>
      </c>
      <c r="E14" s="279">
        <f>[22]Brewhouse!$AI460</f>
        <v>50.5</v>
      </c>
      <c r="F14" s="278">
        <f>[22]Brewhouse!$V460</f>
        <v>61</v>
      </c>
      <c r="G14" s="279">
        <f>[22]Brewhouse!$AG460</f>
        <v>11.82</v>
      </c>
      <c r="H14" s="396">
        <v>11.9</v>
      </c>
      <c r="I14" s="368">
        <f>[22]Brewhouse!$AU460</f>
        <v>97.014683349877245</v>
      </c>
      <c r="J14" s="368">
        <f>[22]Brewhouse!$AV460</f>
        <v>99.245338553931916</v>
      </c>
      <c r="K14" s="281">
        <f>[22]Brewhouse!$Q460</f>
        <v>5.7092198581560263</v>
      </c>
      <c r="L14" s="276">
        <f>[22]Brewhouse!$P460</f>
        <v>58</v>
      </c>
      <c r="M14" s="397">
        <f>[22]Brewhouse!$U460-[22]Brewhouse!$T460</f>
        <v>0.11111111111111116</v>
      </c>
      <c r="N14" s="370">
        <f>[22]Brewhouse!$Z460</f>
        <v>0.26250000000000007</v>
      </c>
      <c r="O14" s="371" t="str">
        <f>[22]Brewhouse!$AX460</f>
        <v>K.Benjamin</v>
      </c>
      <c r="P14" s="423"/>
      <c r="R14" s="277" t="str">
        <f t="shared" si="8"/>
        <v>CARIB</v>
      </c>
      <c r="S14" s="296">
        <f t="shared" si="0"/>
        <v>11.6</v>
      </c>
      <c r="T14" s="296">
        <f t="shared" si="1"/>
        <v>12</v>
      </c>
      <c r="U14" s="297">
        <f t="shared" si="2"/>
        <v>0</v>
      </c>
      <c r="V14" s="297">
        <f t="shared" si="3"/>
        <v>0.118055555555556</v>
      </c>
      <c r="W14" s="297">
        <f t="shared" si="4"/>
        <v>0.22569444444444445</v>
      </c>
      <c r="X14" s="297">
        <f t="shared" si="5"/>
        <v>0.2638888888888889</v>
      </c>
      <c r="Y14" s="297">
        <f t="shared" si="6"/>
        <v>0</v>
      </c>
      <c r="Z14" s="296">
        <f t="shared" si="7"/>
        <v>60</v>
      </c>
    </row>
    <row r="15" spans="2:29" ht="15.75" customHeight="1">
      <c r="B15" s="29" t="s">
        <v>6</v>
      </c>
      <c r="C15" s="366" t="str">
        <f>[22]Brewhouse!$A461</f>
        <v>CA356</v>
      </c>
      <c r="D15" s="279">
        <f>[22]Brewhouse!$AF461</f>
        <v>54.1</v>
      </c>
      <c r="E15" s="279">
        <f>[22]Brewhouse!$AI461</f>
        <v>50.6</v>
      </c>
      <c r="F15" s="278">
        <f>[22]Brewhouse!$V461</f>
        <v>58</v>
      </c>
      <c r="G15" s="279">
        <f>[22]Brewhouse!$AG461</f>
        <v>11.83</v>
      </c>
      <c r="H15" s="396">
        <v>12</v>
      </c>
      <c r="I15" s="368">
        <f>[22]Brewhouse!$AU461</f>
        <v>97.447580490241648</v>
      </c>
      <c r="J15" s="368">
        <f>[22]Brewhouse!$AV461</f>
        <v>99.68794488493829</v>
      </c>
      <c r="K15" s="281">
        <f>[22]Brewhouse!$Q461</f>
        <v>4.6785714285714244</v>
      </c>
      <c r="L15" s="276">
        <f>[22]Brewhouse!$P461</f>
        <v>59</v>
      </c>
      <c r="M15" s="397">
        <f>[22]Brewhouse!$U461-[22]Brewhouse!$T461</f>
        <v>0.10555555555555562</v>
      </c>
      <c r="N15" s="370">
        <f>[22]Brewhouse!$Z461</f>
        <v>0.25625000000000009</v>
      </c>
      <c r="O15" s="371" t="str">
        <f>[22]Brewhouse!$AX461</f>
        <v>K.Benjamin</v>
      </c>
      <c r="P15" s="423"/>
      <c r="R15" s="277" t="str">
        <f t="shared" si="8"/>
        <v>CARIB</v>
      </c>
      <c r="S15" s="296">
        <f t="shared" si="0"/>
        <v>11.6</v>
      </c>
      <c r="T15" s="296">
        <f t="shared" si="1"/>
        <v>12</v>
      </c>
      <c r="U15" s="297">
        <f t="shared" si="2"/>
        <v>0</v>
      </c>
      <c r="V15" s="297">
        <f t="shared" si="3"/>
        <v>0.118055555555556</v>
      </c>
      <c r="W15" s="297">
        <f t="shared" si="4"/>
        <v>0.22569444444444445</v>
      </c>
      <c r="X15" s="297">
        <f t="shared" si="5"/>
        <v>0.2638888888888889</v>
      </c>
      <c r="Y15" s="297">
        <f t="shared" si="6"/>
        <v>0</v>
      </c>
      <c r="Z15" s="296">
        <f t="shared" si="7"/>
        <v>60</v>
      </c>
    </row>
    <row r="16" spans="2:29" ht="15.75" customHeight="1">
      <c r="B16" s="29" t="s">
        <v>6</v>
      </c>
      <c r="C16" s="366" t="str">
        <f>[22]Brewhouse!$A462</f>
        <v>CA357</v>
      </c>
      <c r="D16" s="279">
        <f>[22]Brewhouse!$AF462</f>
        <v>54.5</v>
      </c>
      <c r="E16" s="279">
        <f>[22]Brewhouse!$AI462</f>
        <v>51.1</v>
      </c>
      <c r="F16" s="278">
        <f>[22]Brewhouse!$V462</f>
        <v>60</v>
      </c>
      <c r="G16" s="279">
        <f>[22]Brewhouse!$AG462</f>
        <v>11.8</v>
      </c>
      <c r="H16" s="396">
        <v>11.8</v>
      </c>
      <c r="I16" s="368">
        <f>[22]Brewhouse!$AU462</f>
        <v>98.167333053044118</v>
      </c>
      <c r="J16" s="368">
        <f>[22]Brewhouse!$AV462</f>
        <v>100.42449109120635</v>
      </c>
      <c r="K16" s="392"/>
      <c r="L16" s="276">
        <f>[22]Brewhouse!$P462</f>
        <v>60</v>
      </c>
      <c r="M16" s="397">
        <f>[22]Brewhouse!$U462-[22]Brewhouse!$T462</f>
        <v>0.11041666666666661</v>
      </c>
      <c r="N16" s="370">
        <f>[22]Brewhouse!$Z462</f>
        <v>0.25486111111111098</v>
      </c>
      <c r="O16" s="371" t="str">
        <f>[22]Brewhouse!$AX462</f>
        <v>K.Benjamin</v>
      </c>
      <c r="P16" s="423"/>
      <c r="R16" s="277" t="str">
        <f t="shared" si="8"/>
        <v>CARIB</v>
      </c>
      <c r="S16" s="296">
        <f t="shared" si="0"/>
        <v>11.6</v>
      </c>
      <c r="T16" s="296">
        <f t="shared" si="1"/>
        <v>12</v>
      </c>
      <c r="U16" s="297">
        <f t="shared" si="2"/>
        <v>0</v>
      </c>
      <c r="V16" s="297">
        <f t="shared" si="3"/>
        <v>0.118055555555556</v>
      </c>
      <c r="W16" s="297">
        <f t="shared" si="4"/>
        <v>0.22569444444444445</v>
      </c>
      <c r="X16" s="297">
        <f t="shared" si="5"/>
        <v>0.2638888888888889</v>
      </c>
      <c r="Y16" s="297">
        <f t="shared" si="6"/>
        <v>0</v>
      </c>
      <c r="Z16" s="296">
        <f t="shared" si="7"/>
        <v>60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3"/>
      <c r="R17" s="277">
        <f t="shared" si="8"/>
        <v>0</v>
      </c>
      <c r="S17" s="296" t="e">
        <f t="shared" si="0"/>
        <v>#N/A</v>
      </c>
      <c r="T17" s="296" t="e">
        <f t="shared" si="1"/>
        <v>#N/A</v>
      </c>
      <c r="U17" s="297" t="e">
        <f t="shared" si="2"/>
        <v>#N/A</v>
      </c>
      <c r="V17" s="297" t="e">
        <f t="shared" si="3"/>
        <v>#N/A</v>
      </c>
      <c r="W17" s="297" t="e">
        <f t="shared" si="4"/>
        <v>#N/A</v>
      </c>
      <c r="X17" s="297" t="e">
        <f t="shared" si="5"/>
        <v>#N/A</v>
      </c>
      <c r="Y17" s="297" t="e">
        <f t="shared" si="6"/>
        <v>#N/A</v>
      </c>
      <c r="Z17" s="296" t="e">
        <f t="shared" si="7"/>
        <v>#N/A</v>
      </c>
    </row>
    <row r="18" spans="1:27" ht="15.75" hidden="1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3"/>
      <c r="R18" s="277">
        <f t="shared" si="8"/>
        <v>0</v>
      </c>
      <c r="S18" s="296" t="e">
        <f t="shared" si="0"/>
        <v>#N/A</v>
      </c>
      <c r="T18" s="296" t="e">
        <f t="shared" si="1"/>
        <v>#N/A</v>
      </c>
      <c r="U18" s="297" t="e">
        <f t="shared" si="2"/>
        <v>#N/A</v>
      </c>
      <c r="V18" s="297" t="e">
        <f t="shared" si="3"/>
        <v>#N/A</v>
      </c>
      <c r="W18" s="297" t="e">
        <f t="shared" si="4"/>
        <v>#N/A</v>
      </c>
      <c r="X18" s="297" t="e">
        <f t="shared" si="5"/>
        <v>#N/A</v>
      </c>
      <c r="Y18" s="297" t="e">
        <f t="shared" si="6"/>
        <v>#N/A</v>
      </c>
      <c r="Z18" s="296" t="e">
        <f t="shared" si="7"/>
        <v>#N/A</v>
      </c>
    </row>
    <row r="19" spans="1:27" ht="15.75" hidden="1" customHeight="1">
      <c r="B19" s="29"/>
      <c r="C19" s="366"/>
      <c r="D19" s="279"/>
      <c r="E19" s="279"/>
      <c r="F19" s="278"/>
      <c r="G19" s="279"/>
      <c r="H19" s="396"/>
      <c r="I19" s="368"/>
      <c r="J19" s="368"/>
      <c r="K19" s="281"/>
      <c r="L19" s="276"/>
      <c r="M19" s="397"/>
      <c r="N19" s="370"/>
      <c r="O19" s="371"/>
      <c r="P19" s="423"/>
      <c r="R19" s="277">
        <f t="shared" si="8"/>
        <v>0</v>
      </c>
      <c r="S19" s="296" t="e">
        <f t="shared" si="0"/>
        <v>#N/A</v>
      </c>
      <c r="T19" s="296" t="e">
        <f t="shared" si="1"/>
        <v>#N/A</v>
      </c>
      <c r="U19" s="297" t="e">
        <f t="shared" si="2"/>
        <v>#N/A</v>
      </c>
      <c r="V19" s="297" t="e">
        <f t="shared" si="3"/>
        <v>#N/A</v>
      </c>
      <c r="W19" s="297" t="e">
        <f t="shared" si="4"/>
        <v>#N/A</v>
      </c>
      <c r="X19" s="297" t="e">
        <f t="shared" si="5"/>
        <v>#N/A</v>
      </c>
      <c r="Y19" s="297" t="e">
        <f t="shared" si="6"/>
        <v>#N/A</v>
      </c>
      <c r="Z19" s="296" t="e">
        <f t="shared" si="7"/>
        <v>#N/A</v>
      </c>
    </row>
    <row r="20" spans="1:27" ht="15.75" hidden="1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3"/>
      <c r="R20" s="277">
        <f t="shared" si="8"/>
        <v>0</v>
      </c>
      <c r="S20" s="296" t="e">
        <f t="shared" si="0"/>
        <v>#N/A</v>
      </c>
      <c r="T20" s="296" t="e">
        <f t="shared" si="1"/>
        <v>#N/A</v>
      </c>
      <c r="U20" s="297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6" t="e">
        <f t="shared" si="7"/>
        <v>#N/A</v>
      </c>
    </row>
    <row r="21" spans="1:27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429"/>
      <c r="P21" s="423"/>
      <c r="R21" s="277">
        <f>B21</f>
        <v>0</v>
      </c>
      <c r="S21" s="296" t="e">
        <f t="shared" si="0"/>
        <v>#N/A</v>
      </c>
      <c r="T21" s="296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6" t="e">
        <f t="shared" si="7"/>
        <v>#N/A</v>
      </c>
    </row>
    <row r="22" spans="1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429"/>
      <c r="P22" s="423"/>
      <c r="R22" s="277">
        <f>B22</f>
        <v>0</v>
      </c>
      <c r="S22" s="296" t="e">
        <f t="shared" si="0"/>
        <v>#N/A</v>
      </c>
      <c r="T22" s="296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6" t="e">
        <f t="shared" si="7"/>
        <v>#N/A</v>
      </c>
    </row>
    <row r="23" spans="1:27" ht="15.75" customHeight="1" thickBot="1">
      <c r="B23" s="358"/>
      <c r="C23" s="358"/>
      <c r="D23" s="358"/>
      <c r="E23" s="358"/>
      <c r="F23" s="294"/>
      <c r="G23" s="294"/>
      <c r="H23" s="348"/>
      <c r="I23" s="481" t="s">
        <v>34</v>
      </c>
      <c r="J23" s="481"/>
      <c r="K23" s="481"/>
      <c r="L23" s="481"/>
      <c r="M23" s="481"/>
      <c r="N23" s="481"/>
      <c r="O23" s="1"/>
      <c r="P23" s="12"/>
      <c r="R23" s="277">
        <f>B23</f>
        <v>0</v>
      </c>
      <c r="S23" s="296" t="e">
        <f t="shared" si="0"/>
        <v>#N/A</v>
      </c>
      <c r="T23" s="296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6" t="e">
        <f t="shared" si="7"/>
        <v>#N/A</v>
      </c>
    </row>
    <row r="24" spans="1:27" ht="15" thickBot="1">
      <c r="B24" s="388" t="s">
        <v>145</v>
      </c>
      <c r="C24" s="388"/>
      <c r="D24" s="494" t="s">
        <v>35</v>
      </c>
      <c r="E24" s="495"/>
      <c r="F24" s="294"/>
      <c r="G24" s="294"/>
      <c r="H24" s="348"/>
      <c r="I24" s="24" t="s">
        <v>17</v>
      </c>
      <c r="J24" s="25" t="s">
        <v>36</v>
      </c>
      <c r="K24" s="26" t="s">
        <v>138</v>
      </c>
      <c r="L24" s="25" t="s">
        <v>37</v>
      </c>
      <c r="M24" s="25" t="s">
        <v>38</v>
      </c>
      <c r="N24" s="27" t="s">
        <v>39</v>
      </c>
      <c r="O24" s="294"/>
      <c r="P24" s="12"/>
      <c r="R24" s="277" t="str">
        <f>B24</f>
        <v>BRAND</v>
      </c>
      <c r="S24" s="296" t="e">
        <f t="shared" si="0"/>
        <v>#N/A</v>
      </c>
      <c r="T24" s="296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6" t="e">
        <f t="shared" si="7"/>
        <v>#N/A</v>
      </c>
    </row>
    <row r="25" spans="1:27" ht="15" customHeight="1">
      <c r="A25" s="28"/>
      <c r="B25" s="520" t="s">
        <v>6</v>
      </c>
      <c r="C25" s="362">
        <f>[22]Process!$D$387</f>
        <v>11.9</v>
      </c>
      <c r="D25" s="485">
        <v>11.75</v>
      </c>
      <c r="E25" s="474"/>
      <c r="F25" s="294"/>
      <c r="G25" s="294"/>
      <c r="H25" s="348"/>
      <c r="I25" s="29" t="s">
        <v>6</v>
      </c>
      <c r="J25" s="280">
        <f>AVERAGE(I10:I16)</f>
        <v>99.923570062573873</v>
      </c>
      <c r="K25" s="284">
        <f>COUNTA([22]Brewhouse!$A$408:$A$462)</f>
        <v>55</v>
      </c>
      <c r="L25" s="302">
        <f>AVERAGE([22]Brewhouse!$AU$408:$AU$462)</f>
        <v>98.593529141043049</v>
      </c>
      <c r="M25" s="302">
        <f>AVERAGE([22]Brewhouse!$AU$102:$AU$171,[22]Brewhouse!$AU$173:$AU$253,[22]Brewhouse!$AU$255:$AU$339,[22]Brewhouse!$AU$341:$AU$346,[22]Brewhouse!$AU$348,[22]Brewhouse!$AU$349:$AU$406,[22]Brewhouse!$AU$408:$AU$462)</f>
        <v>97.581126693905802</v>
      </c>
      <c r="N25" s="30">
        <v>98</v>
      </c>
      <c r="O25" s="11"/>
      <c r="P25" s="31"/>
      <c r="R25" s="277"/>
      <c r="S25" s="296"/>
      <c r="T25" s="296"/>
      <c r="U25" s="297"/>
      <c r="V25" s="297"/>
      <c r="W25" s="297"/>
      <c r="X25" s="297"/>
      <c r="Y25" s="297"/>
      <c r="Z25" s="296"/>
    </row>
    <row r="26" spans="1:27" ht="15" customHeight="1">
      <c r="A26" s="28"/>
      <c r="B26" s="521"/>
      <c r="C26" s="349">
        <f>[22]Process!$D$387</f>
        <v>11.9</v>
      </c>
      <c r="D26" s="486"/>
      <c r="E26" s="469"/>
      <c r="F26" s="294"/>
      <c r="G26" s="294"/>
      <c r="H26" s="348"/>
      <c r="I26" s="33" t="s">
        <v>9</v>
      </c>
      <c r="J26" s="280"/>
      <c r="K26" s="284">
        <f>COUNTA([23]Brewhouse!$A$195:$A$228)</f>
        <v>34</v>
      </c>
      <c r="L26" s="302">
        <f>AVERAGE([23]Brewhouse!$AS$195:$AS$228)</f>
        <v>99.927187940420239</v>
      </c>
      <c r="M26" s="302">
        <f>AVERAGE([23]Brewhouse!$AS$15:$AS$64,[23]Brewhouse!$AS$66:$AS$103,[23]Brewhouse!$AS$105:$AS$140,[23]Brewhouse!$AS$142:$AS$193,[23]Brewhouse!$AS$195:$AS$228)</f>
        <v>97.850283817233205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</row>
    <row r="27" spans="1:27" ht="14.7" customHeight="1">
      <c r="A27" s="28"/>
      <c r="B27" s="521"/>
      <c r="C27" s="349" cm="1">
        <f t="array" ref="C27:C28">[22]Process!$D$405:$D$406</f>
        <v>12.18</v>
      </c>
      <c r="D27" s="485">
        <v>11.76</v>
      </c>
      <c r="E27" s="474"/>
      <c r="F27" s="294"/>
      <c r="G27" s="294"/>
      <c r="H27" s="348"/>
      <c r="I27" s="34" t="s">
        <v>12</v>
      </c>
      <c r="J27" s="280"/>
      <c r="K27" s="284">
        <f>COUNTA([24]Brewhouse!$A$47:$A$54)</f>
        <v>8</v>
      </c>
      <c r="L27" s="302">
        <f>AVERAGE([24]Brewhouse!$AU$47:$AU$54)</f>
        <v>96.792443337508828</v>
      </c>
      <c r="M27" s="302">
        <f>AVERAGE([24]Brewhouse!$AU$4:$AU$7,[24]Brewhouse!$AU$9:$AU$22,[24]Brewhouse!$AU$24:$AU$35,[24]Brewhouse!$AU$37:$AU$45,[24]Brewhouse!$AU$47:$AU$54)</f>
        <v>97.03665404260714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1:27" ht="14.7" customHeight="1">
      <c r="A28" s="28"/>
      <c r="B28" s="521"/>
      <c r="C28" s="349">
        <v>12.04</v>
      </c>
      <c r="D28" s="486"/>
      <c r="E28" s="469"/>
      <c r="F28" s="294"/>
      <c r="G28" s="294"/>
      <c r="H28" s="348"/>
      <c r="I28" s="22" t="s">
        <v>33</v>
      </c>
      <c r="J28" s="280"/>
      <c r="K28" s="284">
        <f>COUNTA([25]Brewhouse!$A$35:$A$40)</f>
        <v>6</v>
      </c>
      <c r="L28" s="302">
        <f>AVERAGE([25]Brewhouse!$AV$35:$AV$40)</f>
        <v>99.729773602484485</v>
      </c>
      <c r="M28" s="302">
        <f>AVERAGE([25]Brewhouse!$AV$5:$AV$14,[25]Brewhouse!$AV$16:$AV$19,[25]Brewhouse!$AV$21:$AV$24,[25]Brewhouse!$AV$26:$AV$33,[25]Brewhouse!$AV$35:$AV$40)</f>
        <v>99.073437057623821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4.7" customHeight="1">
      <c r="A29" s="28"/>
      <c r="B29" s="521"/>
      <c r="C29" s="349" cm="1">
        <f t="array" ref="C29:C36">[22]Process!$D$397:$D$404</f>
        <v>11.83</v>
      </c>
      <c r="D29" s="485">
        <v>11.6</v>
      </c>
      <c r="E29" s="474"/>
      <c r="F29" s="422"/>
      <c r="G29" s="294"/>
      <c r="H29" s="348"/>
      <c r="I29" s="35" t="s">
        <v>29</v>
      </c>
      <c r="J29" s="280"/>
      <c r="K29" s="284"/>
      <c r="L29" s="302"/>
      <c r="M29" s="302"/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7" ht="14.7" customHeight="1">
      <c r="A30" s="28"/>
      <c r="B30" s="521"/>
      <c r="C30" s="349">
        <v>11.73</v>
      </c>
      <c r="D30" s="486"/>
      <c r="E30" s="469"/>
      <c r="F30" s="422"/>
      <c r="G30" s="294"/>
      <c r="H30" s="348"/>
      <c r="I30" s="36" t="s">
        <v>15</v>
      </c>
      <c r="J30" s="323"/>
      <c r="K30" s="284"/>
      <c r="L30" s="302"/>
      <c r="M30" s="302">
        <f>AVERAGE([26]Brewhouse!$AT$4:$AT$11,[26]Brewhouse!$AT$13:$AT$16)</f>
        <v>95.165309917257005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4.7" customHeight="1">
      <c r="A31" s="28"/>
      <c r="B31" s="521"/>
      <c r="C31" s="349">
        <v>11.85</v>
      </c>
      <c r="D31" s="485">
        <v>11.82</v>
      </c>
      <c r="E31" s="474"/>
      <c r="F31" s="422"/>
      <c r="G31" s="294"/>
      <c r="H31" s="348"/>
      <c r="I31" s="37" t="s">
        <v>16</v>
      </c>
      <c r="J31" s="323"/>
      <c r="K31" s="284">
        <f>COUNTA([27]Brewhouse!$A$36:$A$43)</f>
        <v>8</v>
      </c>
      <c r="L31" s="302">
        <f>AVERAGE([27]Brewhouse!$AY$36:$AY$43)</f>
        <v>98.453561717677275</v>
      </c>
      <c r="M31" s="302">
        <f>AVERAGE([27]Brewhouse!$AY$6:$AY$13,[27]Brewhouse!$AY$15:$AY$20,[27]Brewhouse!$AY$22:$AY$29,[27]Brewhouse!$AY$31:$AY$34,[27]Brewhouse!$AY$36:$AY$43)</f>
        <v>96.669752433914965</v>
      </c>
      <c r="N31" s="30">
        <v>98</v>
      </c>
      <c r="O31" s="11"/>
      <c r="P31" s="31" t="s">
        <v>41</v>
      </c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4.7" customHeight="1">
      <c r="A32" s="28"/>
      <c r="B32" s="521"/>
      <c r="C32" s="349">
        <v>11.8</v>
      </c>
      <c r="D32" s="486"/>
      <c r="E32" s="469"/>
      <c r="F32" s="294"/>
      <c r="G32" s="294"/>
      <c r="H32" s="348"/>
      <c r="I32" s="412" t="s">
        <v>158</v>
      </c>
      <c r="J32" s="326"/>
      <c r="K32" s="284"/>
      <c r="L32" s="305"/>
      <c r="M32" s="305">
        <f>AVERAGE([28]Brewhouse!$AU$5:$AU$8)</f>
        <v>91.006888337619571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7" customHeight="1">
      <c r="A33" s="28"/>
      <c r="B33" s="521"/>
      <c r="C33" s="349">
        <v>11.87</v>
      </c>
      <c r="D33" s="485">
        <v>11.64</v>
      </c>
      <c r="E33" s="474"/>
      <c r="F33" s="294"/>
      <c r="G33" s="294"/>
      <c r="H33" s="348"/>
      <c r="I33" s="411" t="s">
        <v>157</v>
      </c>
      <c r="J33" s="326"/>
      <c r="K33" s="284"/>
      <c r="L33" s="305"/>
      <c r="M33" s="305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5" customHeight="1" thickBot="1">
      <c r="A34" s="28"/>
      <c r="B34" s="521"/>
      <c r="C34" s="349">
        <v>11.9</v>
      </c>
      <c r="D34" s="486"/>
      <c r="E34" s="469"/>
      <c r="F34" s="294"/>
      <c r="G34" s="294"/>
      <c r="H34" s="348"/>
      <c r="I34" s="407" t="s">
        <v>156</v>
      </c>
      <c r="J34" s="327"/>
      <c r="K34" s="408"/>
      <c r="L34" s="409"/>
      <c r="M34" s="409"/>
      <c r="N34" s="41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5" customHeight="1" thickBot="1">
      <c r="A35" s="28"/>
      <c r="B35" s="521"/>
      <c r="C35" s="349">
        <v>11.9</v>
      </c>
      <c r="D35" s="485">
        <v>11.99</v>
      </c>
      <c r="E35" s="474"/>
      <c r="F35" s="294"/>
      <c r="G35" s="294"/>
      <c r="H35" s="348"/>
      <c r="I35" s="1"/>
      <c r="J35" s="39"/>
      <c r="K35" s="405">
        <f>SUM(K25:K34)</f>
        <v>111</v>
      </c>
      <c r="L35" s="406">
        <f>((L25*K25)+(L26*K26)+(L27*K27)+(L28*K28)+(L29*K29)+(K32*L32)+(L30*K30)+(L31*K31)+(L34*K34))/(K35)</f>
        <v>98.923560133225692</v>
      </c>
      <c r="M35" s="406">
        <f>AVERAGE('[29]Jan 31st'!$L$65,'[30]Feb 28th'!$L$35,'[31]Mar. 31st'!$L$35,'[32]Apr. 30th'!$L$45,L35)</f>
        <v>97.665520284532775</v>
      </c>
      <c r="N35" s="4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thickBot="1">
      <c r="B36" s="522"/>
      <c r="C36" s="350">
        <v>11.9</v>
      </c>
      <c r="D36" s="486"/>
      <c r="E36" s="469"/>
      <c r="F36" s="294"/>
      <c r="G36" s="42"/>
      <c r="H36" s="41"/>
      <c r="I36" s="42"/>
      <c r="J36" s="42"/>
      <c r="K36" s="351"/>
      <c r="L36" s="348"/>
      <c r="M36" s="348"/>
      <c r="N36" s="11"/>
      <c r="O36" s="294"/>
      <c r="P36" s="12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thickBot="1">
      <c r="B37" s="528"/>
      <c r="C37" s="362"/>
      <c r="D37" s="466"/>
      <c r="E37" s="467"/>
      <c r="F37" s="294"/>
      <c r="G37" s="42"/>
      <c r="H37" s="41"/>
      <c r="I37" s="42"/>
      <c r="J37" s="519" t="s">
        <v>129</v>
      </c>
      <c r="K37" s="519"/>
      <c r="L37" s="294"/>
      <c r="M37" s="294"/>
      <c r="N37" s="294"/>
      <c r="O37" s="294"/>
      <c r="P37" s="12"/>
    </row>
    <row r="38" spans="1:56" ht="13.5" customHeight="1" thickBot="1">
      <c r="B38" s="521"/>
      <c r="C38" s="349"/>
      <c r="D38" s="468"/>
      <c r="E38" s="469"/>
      <c r="F38" s="294"/>
      <c r="G38" s="42"/>
      <c r="H38" s="41"/>
      <c r="I38" s="41"/>
      <c r="J38" s="292" t="s">
        <v>17</v>
      </c>
      <c r="K38" s="293" t="s">
        <v>147</v>
      </c>
      <c r="L38" s="471" t="s">
        <v>136</v>
      </c>
      <c r="M38" s="471"/>
      <c r="N38" s="472"/>
      <c r="O38" s="294"/>
      <c r="P38" s="12"/>
    </row>
    <row r="39" spans="1:56" ht="15" customHeight="1" thickBot="1">
      <c r="B39" s="521"/>
      <c r="C39" s="349"/>
      <c r="D39" s="473"/>
      <c r="E39" s="474"/>
      <c r="F39" s="294"/>
      <c r="G39" s="42"/>
      <c r="H39" s="41"/>
      <c r="I39" s="41"/>
      <c r="J39" s="287" t="s">
        <v>6</v>
      </c>
      <c r="K39" s="324">
        <f>COUNTA(B10:B16)</f>
        <v>7</v>
      </c>
      <c r="L39" s="343" t="s">
        <v>37</v>
      </c>
      <c r="M39" s="307" t="s">
        <v>38</v>
      </c>
      <c r="N39" s="307" t="s">
        <v>84</v>
      </c>
      <c r="O39" s="294"/>
      <c r="P39" s="12"/>
    </row>
    <row r="40" spans="1:56" ht="15.75" customHeight="1" thickBot="1">
      <c r="B40" s="521"/>
      <c r="C40" s="349"/>
      <c r="D40" s="468"/>
      <c r="E40" s="469"/>
      <c r="F40" s="294"/>
      <c r="G40" s="42"/>
      <c r="H40" s="41"/>
      <c r="I40" s="41"/>
      <c r="J40" s="345" t="s">
        <v>9</v>
      </c>
      <c r="K40" s="324"/>
      <c r="L40" s="344">
        <f>AVERAGE('May 2nd -4th'!I70,'May 2nd -4th'!K70,'May 5th'!K77,'May 6th'!K60,'May 7th'!K57,'May 8th'!K53,'May 9th-10th'!I60,'May 9th-10th'!K60,'May 12th'!K43,'May 13th'!K45,'May 14th'!K50,'May 15th'!K49,'May 16th'!K52,'May 19th'!K48,K49)</f>
        <v>7.4666666666666668</v>
      </c>
      <c r="M40" s="325">
        <f>AVERAGE('[29]Jan 29th '!$M$70,'[30]Feb 28th'!$L$40,'[31]Mar. 31st'!$L$40,'[32]Apr. 30th'!$L$50,L40)</f>
        <v>6.6824876572702667</v>
      </c>
      <c r="N40" s="420">
        <v>9.1999999999999993</v>
      </c>
      <c r="O40" s="294"/>
      <c r="P40" s="12"/>
    </row>
    <row r="41" spans="1:56" ht="15" customHeight="1">
      <c r="B41" s="521"/>
      <c r="C41" s="349"/>
      <c r="D41" s="473"/>
      <c r="E41" s="474"/>
      <c r="F41" s="294"/>
      <c r="G41" s="42"/>
      <c r="H41" s="41"/>
      <c r="I41" s="41"/>
      <c r="J41" s="288" t="s">
        <v>40</v>
      </c>
      <c r="K41" s="324"/>
      <c r="L41" s="294"/>
      <c r="M41" s="294"/>
      <c r="N41" s="294"/>
      <c r="O41" s="294"/>
      <c r="P41" s="12"/>
    </row>
    <row r="42" spans="1:56" ht="15" customHeight="1">
      <c r="B42" s="521"/>
      <c r="C42" s="349"/>
      <c r="D42" s="468"/>
      <c r="E42" s="469"/>
      <c r="F42" s="294"/>
      <c r="G42" s="42"/>
      <c r="H42" s="41"/>
      <c r="I42" s="41"/>
      <c r="J42" s="289" t="s">
        <v>33</v>
      </c>
      <c r="K42" s="324"/>
      <c r="L42" s="294"/>
      <c r="M42" s="294"/>
      <c r="N42" s="294"/>
      <c r="O42" s="294"/>
      <c r="P42" s="12"/>
    </row>
    <row r="43" spans="1:56" ht="14.4">
      <c r="B43" s="521"/>
      <c r="C43" s="349"/>
      <c r="D43" s="473"/>
      <c r="E43" s="474"/>
      <c r="F43" s="294"/>
      <c r="G43" s="42"/>
      <c r="H43" s="41"/>
      <c r="I43" s="41"/>
      <c r="J43" s="290" t="s">
        <v>16</v>
      </c>
      <c r="K43" s="324"/>
      <c r="L43" s="294"/>
      <c r="M43" s="294"/>
      <c r="N43" s="294"/>
      <c r="O43" s="294"/>
      <c r="P43" s="12"/>
      <c r="BC43" s="44"/>
      <c r="BD43" s="44"/>
    </row>
    <row r="44" spans="1:56" ht="14.4">
      <c r="B44" s="521"/>
      <c r="C44" s="349"/>
      <c r="D44" s="468"/>
      <c r="E44" s="469"/>
      <c r="F44" s="294"/>
      <c r="G44" s="42"/>
      <c r="H44" s="41"/>
      <c r="I44" s="41"/>
      <c r="J44" s="291" t="s">
        <v>15</v>
      </c>
      <c r="K44" s="324"/>
      <c r="L44" s="294"/>
      <c r="M44" s="294"/>
      <c r="N44" s="294"/>
      <c r="O44" s="294"/>
      <c r="P44" s="12"/>
      <c r="BC44" s="44"/>
      <c r="BD44" s="44"/>
    </row>
    <row r="45" spans="1:56" ht="14.4">
      <c r="B45" s="521"/>
      <c r="C45" s="349"/>
      <c r="D45" s="475"/>
      <c r="E45" s="476"/>
      <c r="F45" s="294"/>
      <c r="G45" s="42"/>
      <c r="H45" s="41"/>
      <c r="I45" s="41"/>
      <c r="J45" s="291" t="s">
        <v>149</v>
      </c>
      <c r="K45" s="324"/>
      <c r="L45" s="294"/>
      <c r="M45" s="294"/>
      <c r="N45" s="294"/>
      <c r="O45" s="294"/>
      <c r="P45" s="12"/>
      <c r="BC45" s="44"/>
      <c r="BD45" s="44"/>
    </row>
    <row r="46" spans="1:56" ht="15" thickBot="1">
      <c r="B46" s="522"/>
      <c r="C46" s="350"/>
      <c r="D46" s="477"/>
      <c r="E46" s="478"/>
      <c r="F46" s="294"/>
      <c r="G46" s="42"/>
      <c r="H46" s="41"/>
      <c r="I46" s="41"/>
      <c r="J46" s="291" t="s">
        <v>148</v>
      </c>
      <c r="K46" s="324"/>
      <c r="L46" s="294"/>
      <c r="M46" s="294"/>
      <c r="N46" s="294"/>
      <c r="O46" s="294"/>
      <c r="P46" s="12"/>
      <c r="BC46" s="44"/>
      <c r="BD46" s="44"/>
    </row>
    <row r="47" spans="1:56" ht="17.7" customHeight="1" thickBot="1">
      <c r="B47" s="312" t="s">
        <v>139</v>
      </c>
      <c r="C47" s="313"/>
      <c r="D47" s="457">
        <f>AVERAGE(D25:E46)</f>
        <v>11.76</v>
      </c>
      <c r="E47" s="458"/>
      <c r="F47" s="294"/>
      <c r="G47" s="42"/>
      <c r="H47" s="41"/>
      <c r="I47" s="41"/>
      <c r="J47" s="295" t="s">
        <v>134</v>
      </c>
      <c r="K47" s="324"/>
      <c r="L47" s="294"/>
      <c r="M47" s="294"/>
      <c r="N47" s="294"/>
      <c r="O47" s="294"/>
      <c r="P47" s="12"/>
      <c r="BC47" s="44"/>
      <c r="BD47" s="44"/>
    </row>
    <row r="48" spans="1:56" ht="17.7" customHeight="1">
      <c r="B48" s="363"/>
      <c r="C48" s="364"/>
      <c r="D48" s="365"/>
      <c r="E48" s="365"/>
      <c r="F48" s="294"/>
      <c r="G48" s="42"/>
      <c r="H48" s="41"/>
      <c r="I48" s="41"/>
      <c r="J48" s="295" t="s">
        <v>131</v>
      </c>
      <c r="K48" s="324"/>
      <c r="L48" s="294"/>
      <c r="M48" s="294"/>
      <c r="N48" s="294"/>
      <c r="O48" s="294"/>
      <c r="P48" s="12"/>
      <c r="BC48" s="44"/>
      <c r="BD48" s="44"/>
    </row>
    <row r="49" spans="2:57" ht="15.75" customHeight="1">
      <c r="B49" s="45"/>
      <c r="C49" s="11"/>
      <c r="D49" s="11"/>
      <c r="E49" s="46"/>
      <c r="F49" s="294"/>
      <c r="G49" s="42"/>
      <c r="H49" s="41"/>
      <c r="I49" s="41"/>
      <c r="J49" s="346" t="s">
        <v>130</v>
      </c>
      <c r="K49" s="324">
        <f>SUM(K39:K48)</f>
        <v>7</v>
      </c>
      <c r="L49" s="294"/>
      <c r="M49" s="294"/>
      <c r="N49" s="294"/>
      <c r="O49" s="294"/>
      <c r="P49" s="12"/>
    </row>
    <row r="50" spans="2:57" ht="20.25" customHeight="1">
      <c r="B50" s="15" t="s">
        <v>42</v>
      </c>
      <c r="C50" s="1" t="s">
        <v>43</v>
      </c>
      <c r="D50" s="1"/>
      <c r="E50" s="1"/>
      <c r="F50" s="294"/>
      <c r="G50" s="42"/>
      <c r="H50" s="41"/>
      <c r="I50" s="42"/>
      <c r="L50" s="294"/>
      <c r="P50" s="334"/>
    </row>
    <row r="51" spans="2:57" ht="15" customHeight="1" thickBot="1"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8"/>
      <c r="O51" s="48"/>
      <c r="P51" s="49"/>
    </row>
    <row r="52" spans="2:57" ht="15" customHeight="1" thickBot="1">
      <c r="B52" s="447" t="s">
        <v>17</v>
      </c>
      <c r="C52" s="447" t="s">
        <v>44</v>
      </c>
      <c r="D52" s="459" t="s">
        <v>45</v>
      </c>
      <c r="E52" s="461" t="s">
        <v>46</v>
      </c>
      <c r="F52" s="455" t="s">
        <v>47</v>
      </c>
      <c r="G52" s="445" t="s">
        <v>48</v>
      </c>
      <c r="H52" s="447" t="s">
        <v>49</v>
      </c>
      <c r="I52" s="447" t="s">
        <v>50</v>
      </c>
      <c r="J52" s="439" t="s">
        <v>28</v>
      </c>
      <c r="K52" s="451" t="s">
        <v>51</v>
      </c>
      <c r="L52" s="453" t="s">
        <v>52</v>
      </c>
      <c r="M52" s="439" t="s">
        <v>53</v>
      </c>
      <c r="N52" s="13"/>
      <c r="O52" s="13"/>
      <c r="P52" s="50"/>
    </row>
    <row r="53" spans="2:57" ht="28.5" customHeight="1" thickTop="1" thickBot="1">
      <c r="B53" s="448"/>
      <c r="C53" s="448"/>
      <c r="D53" s="460"/>
      <c r="E53" s="462"/>
      <c r="F53" s="456"/>
      <c r="G53" s="446"/>
      <c r="H53" s="448"/>
      <c r="I53" s="448"/>
      <c r="J53" s="440"/>
      <c r="K53" s="452"/>
      <c r="L53" s="454"/>
      <c r="M53" s="440"/>
      <c r="N53" s="13"/>
      <c r="O53" s="13"/>
      <c r="P53" s="50"/>
      <c r="Q53" s="355"/>
      <c r="AB53" s="51">
        <v>43474</v>
      </c>
      <c r="AC53" s="51">
        <v>43475</v>
      </c>
      <c r="AD53" s="51">
        <v>43476</v>
      </c>
      <c r="AE53" s="51">
        <v>43477</v>
      </c>
      <c r="AF53" s="51">
        <v>43478</v>
      </c>
      <c r="AG53" s="51">
        <v>43479</v>
      </c>
      <c r="AH53" s="51">
        <v>43480</v>
      </c>
      <c r="AI53" s="51">
        <v>43481</v>
      </c>
      <c r="AJ53" s="51">
        <v>43482</v>
      </c>
      <c r="AK53" s="51">
        <v>43483</v>
      </c>
      <c r="AL53" s="51">
        <v>43484</v>
      </c>
      <c r="AM53" s="51">
        <v>43485</v>
      </c>
      <c r="AN53" s="51">
        <v>43486</v>
      </c>
      <c r="AO53" s="51">
        <v>43487</v>
      </c>
      <c r="AP53" s="51">
        <v>43488</v>
      </c>
      <c r="AQ53" s="51">
        <v>43489</v>
      </c>
      <c r="AR53" s="51">
        <v>43490</v>
      </c>
      <c r="AS53" s="51">
        <v>43491</v>
      </c>
      <c r="AT53" s="51">
        <v>43492</v>
      </c>
      <c r="AU53" s="51">
        <v>43493</v>
      </c>
      <c r="AV53" s="51">
        <v>43494</v>
      </c>
      <c r="AW53" s="51">
        <v>43495</v>
      </c>
      <c r="AX53" s="51">
        <v>43496</v>
      </c>
    </row>
    <row r="54" spans="2:57" s="54" customFormat="1" ht="51" customHeight="1">
      <c r="B54" s="415" t="str">
        <f>I25</f>
        <v>CARIB</v>
      </c>
      <c r="C54" s="283">
        <v>45797</v>
      </c>
      <c r="D54" s="377">
        <f>[33]May_2025!$W$3</f>
        <v>510.98</v>
      </c>
      <c r="E54" s="378"/>
      <c r="F54" s="379"/>
      <c r="G54" s="303">
        <f>[33]May_2025!$W$7</f>
        <v>479.5</v>
      </c>
      <c r="H54" s="320"/>
      <c r="I54" s="322"/>
      <c r="J54" s="392" t="s">
        <v>211</v>
      </c>
      <c r="K54" s="286">
        <f>[35]May_2025!$W$18</f>
        <v>0.42061403508771927</v>
      </c>
      <c r="L54" s="314">
        <f>(((D54+E54)-G54)/(D54+E54))*100</f>
        <v>6.1607107910290066</v>
      </c>
      <c r="M54" s="419" t="s">
        <v>210</v>
      </c>
      <c r="N54" s="13"/>
      <c r="O54" s="13"/>
      <c r="P54" s="50"/>
      <c r="R54" s="275"/>
      <c r="S54" s="275"/>
      <c r="T54" s="275"/>
      <c r="U54" s="275"/>
      <c r="V54" s="275"/>
      <c r="W54" s="275"/>
      <c r="X54" s="275"/>
      <c r="Y54" s="275"/>
      <c r="Z54" s="275"/>
      <c r="AA54" s="275"/>
      <c r="AB54" s="418"/>
      <c r="AC54" s="418"/>
      <c r="AD54" s="418"/>
      <c r="AE54" s="418"/>
      <c r="AF54" s="418"/>
      <c r="AG54" s="418"/>
      <c r="AH54" s="418"/>
      <c r="AI54" s="418"/>
      <c r="AJ54" s="418"/>
      <c r="AK54" s="418"/>
      <c r="AL54" s="418"/>
      <c r="AM54" s="418"/>
      <c r="AN54" s="418"/>
      <c r="AO54" s="418"/>
      <c r="AP54" s="418"/>
      <c r="AQ54" s="418"/>
      <c r="AR54" s="418"/>
      <c r="AS54" s="418"/>
      <c r="AT54" s="418"/>
      <c r="AU54" s="418"/>
      <c r="AV54" s="418"/>
      <c r="AW54" s="418"/>
    </row>
    <row r="55" spans="2:57" s="54" customFormat="1" ht="23.25" customHeight="1">
      <c r="B55" s="415"/>
      <c r="C55" s="283"/>
      <c r="D55" s="377"/>
      <c r="E55" s="378"/>
      <c r="F55" s="379"/>
      <c r="G55" s="303"/>
      <c r="H55" s="320"/>
      <c r="I55" s="322"/>
      <c r="J55" s="281"/>
      <c r="K55" s="286"/>
      <c r="L55" s="314"/>
      <c r="M55" s="419"/>
      <c r="N55" s="13"/>
      <c r="O55" s="13"/>
      <c r="P55" s="50"/>
      <c r="R55" s="275"/>
      <c r="S55" s="275"/>
      <c r="T55" s="275"/>
      <c r="U55" s="275"/>
      <c r="V55" s="275"/>
      <c r="W55" s="275"/>
      <c r="X55" s="275"/>
      <c r="Y55" s="275"/>
      <c r="Z55" s="275"/>
      <c r="AA55" s="275"/>
      <c r="AB55" s="418"/>
      <c r="AC55" s="418"/>
      <c r="AD55" s="418"/>
      <c r="AE55" s="418"/>
      <c r="AF55" s="418"/>
      <c r="AG55" s="418"/>
      <c r="AH55" s="418"/>
      <c r="AI55" s="418"/>
      <c r="AJ55" s="418"/>
      <c r="AK55" s="418"/>
      <c r="AL55" s="418"/>
      <c r="AM55" s="418"/>
      <c r="AN55" s="418"/>
      <c r="AO55" s="418"/>
      <c r="AP55" s="418"/>
      <c r="AQ55" s="418"/>
      <c r="AR55" s="418"/>
      <c r="AS55" s="418"/>
      <c r="AT55" s="418"/>
      <c r="AU55" s="418"/>
      <c r="AV55" s="418"/>
      <c r="AW55" s="418"/>
    </row>
    <row r="56" spans="2:57" s="54" customFormat="1" ht="53.25" customHeight="1">
      <c r="B56" s="415" t="str">
        <f>I25</f>
        <v>CARIB</v>
      </c>
      <c r="C56" s="283">
        <v>45797</v>
      </c>
      <c r="D56" s="377">
        <f>[33]May_2025!$V$3</f>
        <v>107.5</v>
      </c>
      <c r="E56" s="378"/>
      <c r="F56" s="379"/>
      <c r="G56" s="303">
        <f>[33]May_2025!$V$7</f>
        <v>102.2</v>
      </c>
      <c r="H56" s="320"/>
      <c r="I56" s="322"/>
      <c r="J56" s="392" t="s">
        <v>188</v>
      </c>
      <c r="K56" s="416">
        <f>[35]May_2025!$V$18</f>
        <v>0.35859649122807019</v>
      </c>
      <c r="L56" s="314">
        <f>(((D56+E56)-G56)/(D56+E56))*100</f>
        <v>4.9302325581395321</v>
      </c>
      <c r="M56" s="419" t="s">
        <v>210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57" t="e">
        <f>[20]January_2019!L7</f>
        <v>#REF!</v>
      </c>
      <c r="AC56" s="57" t="e">
        <f>[20]January_2019!M7</f>
        <v>#REF!</v>
      </c>
      <c r="AD56" s="57" t="e">
        <f>[20]January_2019!N7</f>
        <v>#REF!</v>
      </c>
      <c r="AE56" s="57" t="e">
        <f>[20]January_2019!O7</f>
        <v>#REF!</v>
      </c>
      <c r="AF56" s="57" t="e">
        <f>[20]January_2019!P7</f>
        <v>#REF!</v>
      </c>
      <c r="AG56" s="57" t="e">
        <f>[20]January_2019!Q7</f>
        <v>#REF!</v>
      </c>
      <c r="AH56" s="57" t="e">
        <f>[20]January_2019!R7</f>
        <v>#REF!</v>
      </c>
      <c r="AI56" s="57" t="e">
        <f>[20]January_2019!S7</f>
        <v>#REF!</v>
      </c>
      <c r="AJ56" s="57" t="e">
        <f>[20]January_2019!T7</f>
        <v>#REF!</v>
      </c>
      <c r="AK56" s="57" t="e">
        <f>[20]January_2019!U7</f>
        <v>#REF!</v>
      </c>
      <c r="AL56" s="57" t="e">
        <f>[20]January_2019!V7</f>
        <v>#REF!</v>
      </c>
      <c r="AM56" s="57" t="e">
        <f>[20]January_2019!W7</f>
        <v>#REF!</v>
      </c>
      <c r="AN56" s="57" t="e">
        <f>[20]January_2019!X7</f>
        <v>#REF!</v>
      </c>
      <c r="AO56" s="57" t="e">
        <f>[20]January_2019!Y7</f>
        <v>#REF!</v>
      </c>
      <c r="AP56" s="57" t="e">
        <f>[20]January_2019!Z7</f>
        <v>#REF!</v>
      </c>
      <c r="AQ56" s="57" t="e">
        <f>[20]January_2019!AA7</f>
        <v>#REF!</v>
      </c>
      <c r="AR56" s="57" t="e">
        <f>[20]January_2019!AB7</f>
        <v>#REF!</v>
      </c>
      <c r="AS56" s="57" t="e">
        <f>[20]January_2019!AC7</f>
        <v>#REF!</v>
      </c>
      <c r="AT56" s="57" t="e">
        <f>[20]January_2019!AD7</f>
        <v>#REF!</v>
      </c>
      <c r="AU56" s="57" t="e">
        <f>[20]January_2019!AE7</f>
        <v>#REF!</v>
      </c>
      <c r="AV56" s="57" t="e">
        <f>[20]January_2019!AF7</f>
        <v>#REF!</v>
      </c>
      <c r="AW56" s="57" t="e">
        <f>[20]January_2019!AG7</f>
        <v>#REF!</v>
      </c>
      <c r="AX56" s="277" t="e">
        <f>[20]January_2019!AH7</f>
        <v>#REF!</v>
      </c>
      <c r="AY56" s="277"/>
      <c r="AZ56" s="277"/>
      <c r="BA56" s="277"/>
      <c r="BB56" s="277"/>
      <c r="BC56" s="277"/>
      <c r="BD56" s="277"/>
      <c r="BE56" s="277"/>
    </row>
    <row r="57" spans="2:57" s="54" customFormat="1" ht="16.5" hidden="1" customHeight="1">
      <c r="B57" s="431"/>
      <c r="C57" s="283"/>
      <c r="D57" s="377"/>
      <c r="E57" s="378"/>
      <c r="F57" s="379"/>
      <c r="G57" s="303"/>
      <c r="H57" s="320"/>
      <c r="I57" s="322"/>
      <c r="J57" s="281"/>
      <c r="K57" s="286"/>
      <c r="L57" s="314"/>
      <c r="M57" s="419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  <c r="AO57" s="418"/>
      <c r="AP57" s="418"/>
      <c r="AQ57" s="418"/>
      <c r="AR57" s="418"/>
      <c r="AS57" s="418"/>
      <c r="AT57" s="418"/>
      <c r="AU57" s="418"/>
      <c r="AV57" s="418"/>
      <c r="AW57" s="418"/>
    </row>
    <row r="58" spans="2:57" ht="18" customHeight="1" thickBot="1">
      <c r="B58" s="59"/>
      <c r="C58" s="30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6"/>
      <c r="P58" s="60"/>
    </row>
    <row r="59" spans="2:57" ht="14.4" thickBot="1">
      <c r="B59" s="441" t="s">
        <v>55</v>
      </c>
      <c r="C59" s="442"/>
      <c r="D59" s="442"/>
      <c r="E59" s="442"/>
      <c r="F59" s="443"/>
      <c r="G59" s="441" t="s">
        <v>56</v>
      </c>
      <c r="H59" s="442"/>
      <c r="I59" s="442"/>
      <c r="J59" s="443"/>
      <c r="K59" s="441" t="s">
        <v>51</v>
      </c>
      <c r="L59" s="442"/>
      <c r="M59" s="442"/>
      <c r="N59" s="444"/>
      <c r="O59" s="56"/>
      <c r="P59" s="50"/>
    </row>
    <row r="60" spans="2:57">
      <c r="B60" s="61" t="s">
        <v>17</v>
      </c>
      <c r="C60" s="62" t="s">
        <v>36</v>
      </c>
      <c r="D60" s="62" t="s">
        <v>37</v>
      </c>
      <c r="E60" s="62" t="s">
        <v>38</v>
      </c>
      <c r="F60" s="63" t="s">
        <v>39</v>
      </c>
      <c r="G60" s="62" t="s">
        <v>36</v>
      </c>
      <c r="H60" s="62" t="s">
        <v>37</v>
      </c>
      <c r="I60" s="62" t="s">
        <v>38</v>
      </c>
      <c r="J60" s="63" t="s">
        <v>39</v>
      </c>
      <c r="K60" s="62"/>
      <c r="L60" s="62" t="s">
        <v>37</v>
      </c>
      <c r="M60" s="62" t="s">
        <v>38</v>
      </c>
      <c r="N60" s="63" t="s">
        <v>39</v>
      </c>
      <c r="O60" s="56"/>
      <c r="P60" s="64"/>
    </row>
    <row r="61" spans="2:57">
      <c r="B61" s="29" t="s">
        <v>6</v>
      </c>
      <c r="C61" s="65">
        <f>AVERAGE(L54,L56)</f>
        <v>5.5454716745842694</v>
      </c>
      <c r="D61" s="76">
        <v>5.3720968606905908</v>
      </c>
      <c r="E61" s="76">
        <v>6.9214074465572883</v>
      </c>
      <c r="F61" s="66">
        <v>4.8</v>
      </c>
      <c r="G61" s="65">
        <f>AVERAGE([33]May_2025!$V$11:$W$11)</f>
        <v>5.3752458451368419</v>
      </c>
      <c r="H61" s="76">
        <v>4.9254528369876605</v>
      </c>
      <c r="I61" s="76">
        <v>6.9208691613252906</v>
      </c>
      <c r="J61" s="66">
        <v>4.8</v>
      </c>
      <c r="K61" s="67">
        <f>AVERAGE([35]May_2025!$V$18:$W$18)</f>
        <v>0.38960526315789473</v>
      </c>
      <c r="L61" s="194">
        <v>0.79030701754385957</v>
      </c>
      <c r="M61" s="194">
        <v>0.76283655473414003</v>
      </c>
      <c r="N61" s="68">
        <v>1</v>
      </c>
      <c r="O61" s="56"/>
      <c r="P61" s="69"/>
    </row>
    <row r="62" spans="2:57">
      <c r="B62" s="33" t="s">
        <v>9</v>
      </c>
      <c r="C62" s="65"/>
      <c r="D62" s="76">
        <v>5.2022252292888638</v>
      </c>
      <c r="E62" s="76">
        <v>5.9617606818962967</v>
      </c>
      <c r="F62" s="66">
        <v>4.8</v>
      </c>
      <c r="G62" s="65"/>
      <c r="H62" s="76">
        <v>4.3078757344170349</v>
      </c>
      <c r="I62" s="76">
        <v>6.2686652702189285</v>
      </c>
      <c r="J62" s="66">
        <v>4.8</v>
      </c>
      <c r="K62" s="67"/>
      <c r="L62" s="194">
        <v>0.61318713450292395</v>
      </c>
      <c r="M62" s="194">
        <v>0.74352497019151897</v>
      </c>
      <c r="N62" s="68">
        <v>1</v>
      </c>
      <c r="P62" s="69"/>
    </row>
    <row r="63" spans="2:57">
      <c r="B63" s="34" t="s">
        <v>40</v>
      </c>
      <c r="C63" s="65"/>
      <c r="D63" s="76"/>
      <c r="E63" s="76">
        <v>12.554572931825788</v>
      </c>
      <c r="F63" s="66">
        <v>5.5</v>
      </c>
      <c r="G63" s="65"/>
      <c r="H63" s="76"/>
      <c r="I63" s="76">
        <v>13.449891307585697</v>
      </c>
      <c r="J63" s="66">
        <v>5.5</v>
      </c>
      <c r="K63" s="67"/>
      <c r="L63" s="194"/>
      <c r="M63" s="194">
        <v>0.54554653679653675</v>
      </c>
      <c r="N63" s="68">
        <v>1</v>
      </c>
      <c r="P63" s="69"/>
    </row>
    <row r="64" spans="2:57">
      <c r="B64" s="22" t="s">
        <v>33</v>
      </c>
      <c r="C64" s="65"/>
      <c r="D64" s="76">
        <v>3.4057735971456373</v>
      </c>
      <c r="E64" s="76">
        <v>1.6190544721882421</v>
      </c>
      <c r="F64" s="66">
        <v>3.3</v>
      </c>
      <c r="G64" s="65"/>
      <c r="H64" s="76">
        <v>2.1612156300633463</v>
      </c>
      <c r="I64" s="76">
        <v>4.4964752224031521</v>
      </c>
      <c r="J64" s="66">
        <v>3.3</v>
      </c>
      <c r="K64" s="67"/>
      <c r="L64" s="194">
        <v>1.0449122807017543</v>
      </c>
      <c r="M64" s="194">
        <v>0.90649122807017535</v>
      </c>
      <c r="N64" s="68">
        <v>1</v>
      </c>
      <c r="P64" s="69"/>
    </row>
    <row r="65" spans="2:16">
      <c r="B65" s="35" t="s">
        <v>29</v>
      </c>
      <c r="C65" s="65"/>
      <c r="D65" s="76"/>
      <c r="E65" s="76"/>
      <c r="F65" s="66">
        <v>3.3</v>
      </c>
      <c r="G65" s="282"/>
      <c r="H65" s="76"/>
      <c r="I65" s="76"/>
      <c r="J65" s="66">
        <v>3</v>
      </c>
      <c r="L65" s="194"/>
      <c r="M65" s="194"/>
      <c r="N65" s="68">
        <v>1</v>
      </c>
      <c r="P65" s="69"/>
    </row>
    <row r="66" spans="2:16">
      <c r="B66" s="36" t="s">
        <v>15</v>
      </c>
      <c r="C66" s="282"/>
      <c r="D66" s="76"/>
      <c r="E66" s="76">
        <v>7.8262258425171876</v>
      </c>
      <c r="F66" s="70">
        <f>[21]May_2022!$M$43</f>
        <v>3.4878406700073312</v>
      </c>
      <c r="G66" s="282"/>
      <c r="H66" s="76"/>
      <c r="I66" s="76">
        <v>9.4300678869947632</v>
      </c>
      <c r="J66" s="66">
        <v>5.5</v>
      </c>
      <c r="K66" s="67"/>
      <c r="L66" s="194"/>
      <c r="M66" s="194">
        <v>0.674970760233918</v>
      </c>
      <c r="N66" s="68">
        <v>1</v>
      </c>
      <c r="P66" s="69"/>
    </row>
    <row r="67" spans="2:16">
      <c r="B67" s="37" t="s">
        <v>16</v>
      </c>
      <c r="C67" s="65"/>
      <c r="D67" s="76">
        <v>3.8832609744331941</v>
      </c>
      <c r="E67" s="76">
        <v>2.4852159592783925</v>
      </c>
      <c r="F67" s="66">
        <v>3.3</v>
      </c>
      <c r="G67" s="282"/>
      <c r="H67" s="76">
        <v>4.1755914731086534</v>
      </c>
      <c r="I67" s="76">
        <v>4.4843055604984379</v>
      </c>
      <c r="J67" s="66">
        <v>3.3</v>
      </c>
      <c r="K67" s="67"/>
      <c r="L67" s="194">
        <v>0.69912280701754381</v>
      </c>
      <c r="M67" s="194">
        <v>0.79924705882352942</v>
      </c>
      <c r="N67" s="71">
        <v>1</v>
      </c>
      <c r="P67" s="69"/>
    </row>
    <row r="68" spans="2:16" ht="14.4" thickBot="1">
      <c r="B68" s="38" t="s">
        <v>127</v>
      </c>
      <c r="C68" s="65"/>
      <c r="D68" s="76"/>
      <c r="E68" s="76"/>
      <c r="F68" s="66">
        <v>7.5</v>
      </c>
      <c r="G68" s="282"/>
      <c r="H68" s="76"/>
      <c r="I68" s="76"/>
      <c r="J68" s="66">
        <v>7.5</v>
      </c>
      <c r="K68" s="67"/>
      <c r="L68" s="194"/>
      <c r="M68" s="194"/>
      <c r="N68" s="71">
        <v>1</v>
      </c>
      <c r="P68" s="69"/>
    </row>
    <row r="69" spans="2:16" ht="14.4" thickBot="1">
      <c r="B69" s="417" t="s">
        <v>161</v>
      </c>
      <c r="C69" s="65"/>
      <c r="D69" s="76"/>
      <c r="E69" s="76">
        <v>4.8792508624938291</v>
      </c>
      <c r="F69" s="66">
        <v>4.8</v>
      </c>
      <c r="G69" s="282"/>
      <c r="H69" s="76"/>
      <c r="I69" s="76">
        <v>6.2003723782925313</v>
      </c>
      <c r="J69" s="66">
        <v>4.8</v>
      </c>
      <c r="K69" s="67"/>
      <c r="L69" s="194"/>
      <c r="M69" s="194">
        <v>0.33859649122807017</v>
      </c>
      <c r="N69" s="71">
        <v>1</v>
      </c>
      <c r="O69" s="74"/>
      <c r="P69" s="75"/>
    </row>
    <row r="70" spans="2:16">
      <c r="D70" s="76">
        <v>4.7154831058672366</v>
      </c>
      <c r="E70" s="76">
        <v>6.5345141373220814</v>
      </c>
      <c r="F70" s="341">
        <v>5.5</v>
      </c>
      <c r="H70" s="76">
        <v>4.3522539890958862</v>
      </c>
      <c r="I70" s="76">
        <v>7.1506985717877312</v>
      </c>
      <c r="J70" s="341">
        <v>5.5</v>
      </c>
      <c r="K70" s="67"/>
      <c r="L70" s="194">
        <v>0.76467038809144072</v>
      </c>
      <c r="M70" s="194">
        <v>0.74158450810974674</v>
      </c>
      <c r="N70" s="386">
        <v>1</v>
      </c>
    </row>
    <row r="74" spans="2:16">
      <c r="F74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3:N23"/>
    <mergeCell ref="D24:E24"/>
    <mergeCell ref="B25:B36"/>
    <mergeCell ref="D25:E26"/>
    <mergeCell ref="D27:E28"/>
    <mergeCell ref="D29:E30"/>
    <mergeCell ref="D31:E32"/>
    <mergeCell ref="D33:E34"/>
    <mergeCell ref="D35:E36"/>
    <mergeCell ref="B37:B46"/>
    <mergeCell ref="D37:E38"/>
    <mergeCell ref="J37:K37"/>
    <mergeCell ref="L38:N38"/>
    <mergeCell ref="D39:E40"/>
    <mergeCell ref="D41:E42"/>
    <mergeCell ref="D43:E44"/>
    <mergeCell ref="D45:E46"/>
    <mergeCell ref="D47:E47"/>
    <mergeCell ref="B52:B53"/>
    <mergeCell ref="C52:C53"/>
    <mergeCell ref="D52:D53"/>
    <mergeCell ref="E52:E53"/>
    <mergeCell ref="M52:M53"/>
    <mergeCell ref="B59:F59"/>
    <mergeCell ref="G59:J59"/>
    <mergeCell ref="K59:N59"/>
    <mergeCell ref="G52:G53"/>
    <mergeCell ref="H52:H53"/>
    <mergeCell ref="I52:I53"/>
    <mergeCell ref="J52:J53"/>
    <mergeCell ref="K52:K53"/>
    <mergeCell ref="L52:L53"/>
    <mergeCell ref="F52:F53"/>
  </mergeCells>
  <conditionalFormatting sqref="B47:B48">
    <cfRule type="cellIs" dxfId="894" priority="71" operator="notBetween">
      <formula>#REF!</formula>
      <formula>#REF!</formula>
    </cfRule>
  </conditionalFormatting>
  <conditionalFormatting sqref="C51">
    <cfRule type="cellIs" dxfId="893" priority="102" stopIfTrue="1" operator="lessThan">
      <formula>96</formula>
    </cfRule>
    <cfRule type="cellIs" dxfId="892" priority="103" stopIfTrue="1" operator="greaterThan">
      <formula>100</formula>
    </cfRule>
  </conditionalFormatting>
  <conditionalFormatting sqref="C61:C62">
    <cfRule type="cellIs" dxfId="891" priority="47" stopIfTrue="1" operator="lessThanOrEqual">
      <formula>0</formula>
    </cfRule>
  </conditionalFormatting>
  <conditionalFormatting sqref="C61:C65">
    <cfRule type="cellIs" dxfId="890" priority="46" stopIfTrue="1" operator="greaterThan">
      <formula>$F61</formula>
    </cfRule>
  </conditionalFormatting>
  <conditionalFormatting sqref="C62">
    <cfRule type="cellIs" dxfId="889" priority="106" stopIfTrue="1" operator="greaterThan">
      <formula>$F61</formula>
    </cfRule>
  </conditionalFormatting>
  <conditionalFormatting sqref="C63:C66">
    <cfRule type="cellIs" dxfId="888" priority="55" stopIfTrue="1" operator="lessThanOrEqual">
      <formula>0</formula>
    </cfRule>
  </conditionalFormatting>
  <conditionalFormatting sqref="C66">
    <cfRule type="cellIs" dxfId="887" priority="54" stopIfTrue="1" operator="greaterThan">
      <formula>$J66</formula>
    </cfRule>
  </conditionalFormatting>
  <conditionalFormatting sqref="C72:C76">
    <cfRule type="cellIs" dxfId="886" priority="94" stopIfTrue="1" operator="lessThanOrEqual">
      <formula>0</formula>
    </cfRule>
  </conditionalFormatting>
  <conditionalFormatting sqref="C73:C76">
    <cfRule type="cellIs" dxfId="885" priority="93" stopIfTrue="1" operator="greaterThan">
      <formula>$F$72</formula>
    </cfRule>
  </conditionalFormatting>
  <conditionalFormatting sqref="C78">
    <cfRule type="cellIs" dxfId="884" priority="95" stopIfTrue="1" operator="greaterThan">
      <formula>$F$72</formula>
    </cfRule>
    <cfRule type="cellIs" dxfId="883" priority="96" stopIfTrue="1" operator="lessThanOrEqual">
      <formula>0</formula>
    </cfRule>
  </conditionalFormatting>
  <conditionalFormatting sqref="C72:D72 D74:D80">
    <cfRule type="cellIs" dxfId="882" priority="88" stopIfTrue="1" operator="greaterThan">
      <formula>4.5</formula>
    </cfRule>
  </conditionalFormatting>
  <conditionalFormatting sqref="D47:D48">
    <cfRule type="cellIs" dxfId="881" priority="72" operator="notBetween">
      <formula>#REF!</formula>
      <formula>#REF!</formula>
    </cfRule>
  </conditionalFormatting>
  <conditionalFormatting sqref="D61:D68">
    <cfRule type="cellIs" dxfId="880" priority="65" stopIfTrue="1" operator="lessThanOrEqual">
      <formula>0</formula>
    </cfRule>
  </conditionalFormatting>
  <conditionalFormatting sqref="D69">
    <cfRule type="cellIs" dxfId="879" priority="64" stopIfTrue="1" operator="lessThanOrEqual">
      <formula>0</formula>
    </cfRule>
  </conditionalFormatting>
  <conditionalFormatting sqref="D72 D74:D80">
    <cfRule type="cellIs" dxfId="878" priority="89" stopIfTrue="1" operator="lessThanOrEqual">
      <formula>0</formula>
    </cfRule>
  </conditionalFormatting>
  <conditionalFormatting sqref="D73">
    <cfRule type="cellIs" dxfId="877" priority="81" stopIfTrue="1" operator="lessThanOrEqual">
      <formula>0</formula>
    </cfRule>
    <cfRule type="cellIs" dxfId="876" priority="80" stopIfTrue="1" operator="greaterThan">
      <formula>$F$72</formula>
    </cfRule>
  </conditionalFormatting>
  <conditionalFormatting sqref="D61:E70">
    <cfRule type="cellIs" dxfId="875" priority="43" stopIfTrue="1" operator="greaterThan">
      <formula>$F61</formula>
    </cfRule>
  </conditionalFormatting>
  <conditionalFormatting sqref="D70:E70">
    <cfRule type="cellIs" dxfId="874" priority="44" stopIfTrue="1" operator="lessThanOrEqual">
      <formula>0</formula>
    </cfRule>
  </conditionalFormatting>
  <conditionalFormatting sqref="E10:E22">
    <cfRule type="cellIs" dxfId="873" priority="3" operator="lessThan">
      <formula>48</formula>
    </cfRule>
  </conditionalFormatting>
  <conditionalFormatting sqref="E50 E51:F51">
    <cfRule type="cellIs" dxfId="872" priority="85" stopIfTrue="1" operator="greaterThan">
      <formula>100</formula>
    </cfRule>
  </conditionalFormatting>
  <conditionalFormatting sqref="E51">
    <cfRule type="cellIs" dxfId="871" priority="82" stopIfTrue="1" operator="lessThan">
      <formula>96.8</formula>
    </cfRule>
    <cfRule type="cellIs" dxfId="870" priority="83" stopIfTrue="1" operator="greaterThan">
      <formula>100</formula>
    </cfRule>
  </conditionalFormatting>
  <conditionalFormatting sqref="E61:E69">
    <cfRule type="cellIs" dxfId="869" priority="59" stopIfTrue="1" operator="lessThanOrEqual">
      <formula>0</formula>
    </cfRule>
  </conditionalFormatting>
  <conditionalFormatting sqref="E72:E80">
    <cfRule type="cellIs" dxfId="868" priority="74" stopIfTrue="1" operator="greaterThan">
      <formula>4.5</formula>
    </cfRule>
    <cfRule type="cellIs" dxfId="867" priority="75" stopIfTrue="1" operator="lessThanOrEqual">
      <formula>0</formula>
    </cfRule>
  </conditionalFormatting>
  <conditionalFormatting sqref="E51:F51 E50">
    <cfRule type="cellIs" dxfId="866" priority="84" stopIfTrue="1" operator="lessThan">
      <formula>96.5</formula>
    </cfRule>
  </conditionalFormatting>
  <conditionalFormatting sqref="F10:F22">
    <cfRule type="cellIs" dxfId="865" priority="4" operator="greaterThan">
      <formula>60</formula>
    </cfRule>
  </conditionalFormatting>
  <conditionalFormatting sqref="F51">
    <cfRule type="cellIs" dxfId="864" priority="101" stopIfTrue="1" operator="greaterThan">
      <formula>100</formula>
    </cfRule>
    <cfRule type="cellIs" dxfId="863" priority="100" stopIfTrue="1" operator="lessThan">
      <formula>96.8</formula>
    </cfRule>
  </conditionalFormatting>
  <conditionalFormatting sqref="F70">
    <cfRule type="cellIs" dxfId="862" priority="61" stopIfTrue="1" operator="lessThanOrEqual">
      <formula>0</formula>
    </cfRule>
    <cfRule type="cellIs" dxfId="861" priority="60" stopIfTrue="1" operator="greaterThan">
      <formula>$F70</formula>
    </cfRule>
  </conditionalFormatting>
  <conditionalFormatting sqref="G61:G62 C67:C69">
    <cfRule type="cellIs" dxfId="860" priority="66" stopIfTrue="1" operator="greaterThan">
      <formula>$F61</formula>
    </cfRule>
    <cfRule type="cellIs" dxfId="859" priority="67" stopIfTrue="1" operator="lessThanOrEqual">
      <formula>0</formula>
    </cfRule>
  </conditionalFormatting>
  <conditionalFormatting sqref="G61:G62">
    <cfRule type="cellIs" dxfId="858" priority="49" stopIfTrue="1" operator="lessThanOrEqual">
      <formula>0</formula>
    </cfRule>
    <cfRule type="cellIs" dxfId="857" priority="48" stopIfTrue="1" operator="greaterThan">
      <formula>$F61</formula>
    </cfRule>
  </conditionalFormatting>
  <conditionalFormatting sqref="G63">
    <cfRule type="cellIs" dxfId="856" priority="105" stopIfTrue="1" operator="lessThanOrEqual">
      <formula>0</formula>
    </cfRule>
    <cfRule type="cellIs" dxfId="855" priority="104" stopIfTrue="1" operator="greaterThan">
      <formula>$F62</formula>
    </cfRule>
  </conditionalFormatting>
  <conditionalFormatting sqref="G64">
    <cfRule type="cellIs" dxfId="854" priority="62" stopIfTrue="1" operator="greaterThan">
      <formula>$F64</formula>
    </cfRule>
    <cfRule type="cellIs" dxfId="853" priority="63" stopIfTrue="1" operator="lessThanOrEqual">
      <formula>0</formula>
    </cfRule>
  </conditionalFormatting>
  <conditionalFormatting sqref="G65:G69">
    <cfRule type="cellIs" dxfId="852" priority="69" stopIfTrue="1" operator="lessThanOrEqual">
      <formula>0</formula>
    </cfRule>
    <cfRule type="cellIs" dxfId="851" priority="68" stopIfTrue="1" operator="greaterThan">
      <formula>$J65</formula>
    </cfRule>
  </conditionalFormatting>
  <conditionalFormatting sqref="G74:G79 C77 C79">
    <cfRule type="cellIs" dxfId="850" priority="97" stopIfTrue="1" operator="greaterThan">
      <formula>4.5</formula>
    </cfRule>
    <cfRule type="cellIs" dxfId="849" priority="98" stopIfTrue="1" operator="lessThanOrEqual">
      <formula>0</formula>
    </cfRule>
  </conditionalFormatting>
  <conditionalFormatting sqref="G10:H22">
    <cfRule type="expression" dxfId="848" priority="5">
      <formula>IF(+(IF(G10&lt;#REF!,0,IF(G10&gt;#REF!,0,1)))=0,1)</formula>
    </cfRule>
  </conditionalFormatting>
  <conditionalFormatting sqref="G73:H73">
    <cfRule type="cellIs" dxfId="847" priority="78" stopIfTrue="1" operator="greaterThan">
      <formula>$F$72</formula>
    </cfRule>
    <cfRule type="cellIs" dxfId="846" priority="79" stopIfTrue="1" operator="lessThanOrEqual">
      <formula>0</formula>
    </cfRule>
  </conditionalFormatting>
  <conditionalFormatting sqref="H36:H50 I38:I49">
    <cfRule type="cellIs" dxfId="845" priority="76" stopIfTrue="1" operator="greaterThan">
      <formula>0</formula>
    </cfRule>
  </conditionalFormatting>
  <conditionalFormatting sqref="H54:H57">
    <cfRule type="cellIs" dxfId="844" priority="26" stopIfTrue="1" operator="lessThanOrEqual">
      <formula>0</formula>
    </cfRule>
    <cfRule type="cellIs" dxfId="843" priority="25" stopIfTrue="1" operator="greaterThan">
      <formula>$F$38</formula>
    </cfRule>
    <cfRule type="cellIs" dxfId="842" priority="27" stopIfTrue="1" operator="greaterThan">
      <formula>$F$36</formula>
    </cfRule>
    <cfRule type="cellIs" dxfId="841" priority="16" stopIfTrue="1" operator="lessThanOrEqual">
      <formula>0</formula>
    </cfRule>
    <cfRule type="cellIs" dxfId="840" priority="17" stopIfTrue="1" operator="greaterThan">
      <formula>$F$35</formula>
    </cfRule>
    <cfRule type="cellIs" dxfId="839" priority="28" stopIfTrue="1" operator="lessThanOrEqual">
      <formula>0</formula>
    </cfRule>
  </conditionalFormatting>
  <conditionalFormatting sqref="H61:H68">
    <cfRule type="cellIs" dxfId="838" priority="53" stopIfTrue="1" operator="lessThanOrEqual">
      <formula>0</formula>
    </cfRule>
    <cfRule type="cellIs" dxfId="837" priority="52" stopIfTrue="1" operator="greaterThan">
      <formula>$J61</formula>
    </cfRule>
  </conditionalFormatting>
  <conditionalFormatting sqref="H69">
    <cfRule type="cellIs" dxfId="836" priority="56" operator="greaterThan">
      <formula>5.3</formula>
    </cfRule>
  </conditionalFormatting>
  <conditionalFormatting sqref="H72 H74:H80">
    <cfRule type="cellIs" dxfId="835" priority="90" stopIfTrue="1" operator="greaterThan">
      <formula>4.5</formula>
    </cfRule>
    <cfRule type="cellIs" dxfId="834" priority="91" stopIfTrue="1" operator="lessThanOrEqual">
      <formula>0</formula>
    </cfRule>
  </conditionalFormatting>
  <conditionalFormatting sqref="H54:I57">
    <cfRule type="cellIs" dxfId="833" priority="15" stopIfTrue="1" operator="greaterThan">
      <formula>$F$37</formula>
    </cfRule>
    <cfRule type="cellIs" dxfId="832" priority="18" stopIfTrue="1" operator="lessThanOrEqual">
      <formula>0</formula>
    </cfRule>
  </conditionalFormatting>
  <conditionalFormatting sqref="H70:I70">
    <cfRule type="cellIs" dxfId="831" priority="42" stopIfTrue="1" operator="lessThanOrEqual">
      <formula>0</formula>
    </cfRule>
    <cfRule type="cellIs" dxfId="830" priority="41" stopIfTrue="1" operator="greaterThan">
      <formula>$J70</formula>
    </cfRule>
  </conditionalFormatting>
  <conditionalFormatting sqref="I54:I57">
    <cfRule type="cellIs" dxfId="829" priority="23" stopIfTrue="1" operator="greaterThan">
      <formula>$F$35</formula>
    </cfRule>
    <cfRule type="cellIs" dxfId="828" priority="22" stopIfTrue="1" operator="lessThanOrEqual">
      <formula>0</formula>
    </cfRule>
    <cfRule type="cellIs" dxfId="827" priority="19" stopIfTrue="1" operator="greaterThan">
      <formula>$F$35</formula>
    </cfRule>
    <cfRule type="cellIs" dxfId="826" priority="20" stopIfTrue="1" operator="lessThanOrEqual">
      <formula>0</formula>
    </cfRule>
    <cfRule type="cellIs" dxfId="825" priority="21" stopIfTrue="1" operator="greaterThan">
      <formula>$F$37</formula>
    </cfRule>
    <cfRule type="cellIs" dxfId="824" priority="24" stopIfTrue="1" operator="lessThanOrEqual">
      <formula>0</formula>
    </cfRule>
  </conditionalFormatting>
  <conditionalFormatting sqref="I61:I69">
    <cfRule type="cellIs" dxfId="823" priority="58" stopIfTrue="1" operator="lessThanOrEqual">
      <formula>0</formula>
    </cfRule>
    <cfRule type="cellIs" dxfId="822" priority="57" stopIfTrue="1" operator="greaterThan">
      <formula>$J61</formula>
    </cfRule>
  </conditionalFormatting>
  <conditionalFormatting sqref="I72:I80">
    <cfRule type="cellIs" dxfId="821" priority="86" stopIfTrue="1" operator="greaterThan">
      <formula>4.5</formula>
    </cfRule>
    <cfRule type="cellIs" dxfId="820" priority="87" stopIfTrue="1" operator="lessThanOrEqual">
      <formula>0</formula>
    </cfRule>
  </conditionalFormatting>
  <conditionalFormatting sqref="I10:J22">
    <cfRule type="cellIs" dxfId="819" priority="14" operator="lessThan">
      <formula>97.9</formula>
    </cfRule>
  </conditionalFormatting>
  <conditionalFormatting sqref="J25:J27">
    <cfRule type="cellIs" dxfId="818" priority="33" operator="lessThan">
      <formula>98</formula>
    </cfRule>
    <cfRule type="cellIs" dxfId="817" priority="32" stopIfTrue="1" operator="greaterThan">
      <formula>100</formula>
    </cfRule>
    <cfRule type="cellIs" dxfId="816" priority="31" stopIfTrue="1" operator="lessThan">
      <formula>96.8</formula>
    </cfRule>
  </conditionalFormatting>
  <conditionalFormatting sqref="J25:J29">
    <cfRule type="cellIs" dxfId="815" priority="30" operator="lessThan">
      <formula>97.4</formula>
    </cfRule>
  </conditionalFormatting>
  <conditionalFormatting sqref="J30">
    <cfRule type="cellIs" dxfId="814" priority="34" operator="lessThan">
      <formula>98</formula>
    </cfRule>
  </conditionalFormatting>
  <conditionalFormatting sqref="J31:J33">
    <cfRule type="cellIs" dxfId="813" priority="36" stopIfTrue="1" operator="greaterThan">
      <formula>100</formula>
    </cfRule>
    <cfRule type="cellIs" dxfId="812" priority="35" stopIfTrue="1" operator="lessThan">
      <formula>96.8</formula>
    </cfRule>
  </conditionalFormatting>
  <conditionalFormatting sqref="J31:J34">
    <cfRule type="cellIs" dxfId="811" priority="37" operator="lessThan">
      <formula>98</formula>
    </cfRule>
  </conditionalFormatting>
  <conditionalFormatting sqref="J70">
    <cfRule type="cellIs" dxfId="810" priority="39" stopIfTrue="1" operator="lessThanOrEqual">
      <formula>0</formula>
    </cfRule>
    <cfRule type="cellIs" dxfId="809" priority="38" stopIfTrue="1" operator="greaterThan">
      <formula>$F70</formula>
    </cfRule>
  </conditionalFormatting>
  <conditionalFormatting sqref="K10:K22">
    <cfRule type="cellIs" dxfId="808" priority="13" operator="greaterThan">
      <formula>6.4</formula>
    </cfRule>
    <cfRule type="cellIs" dxfId="807" priority="10" operator="lessThan">
      <formula>4</formula>
    </cfRule>
    <cfRule type="cellIs" dxfId="806" priority="9" operator="greaterThan">
      <formula>6</formula>
    </cfRule>
  </conditionalFormatting>
  <conditionalFormatting sqref="K39:K48">
    <cfRule type="cellIs" dxfId="805" priority="29" operator="notEqual">
      <formula>#REF!</formula>
    </cfRule>
  </conditionalFormatting>
  <conditionalFormatting sqref="K54:K57">
    <cfRule type="cellIs" dxfId="804" priority="1" stopIfTrue="1" operator="lessThan">
      <formula>100%</formula>
    </cfRule>
  </conditionalFormatting>
  <conditionalFormatting sqref="K72:K77">
    <cfRule type="cellIs" dxfId="803" priority="92" stopIfTrue="1" operator="lessThan">
      <formula>100%</formula>
    </cfRule>
  </conditionalFormatting>
  <conditionalFormatting sqref="K79:K80">
    <cfRule type="cellIs" dxfId="802" priority="99" stopIfTrue="1" operator="lessThan">
      <formula>100%</formula>
    </cfRule>
  </conditionalFormatting>
  <conditionalFormatting sqref="K61:N64 L65:N65">
    <cfRule type="cellIs" dxfId="801" priority="70" stopIfTrue="1" operator="lessThan">
      <formula>100%</formula>
    </cfRule>
  </conditionalFormatting>
  <conditionalFormatting sqref="K66:N70">
    <cfRule type="cellIs" dxfId="800" priority="40" stopIfTrue="1" operator="lessThan">
      <formula>100%</formula>
    </cfRule>
  </conditionalFormatting>
  <conditionalFormatting sqref="L10:L22">
    <cfRule type="cellIs" dxfId="799" priority="12" operator="greaterThan">
      <formula>65</formula>
    </cfRule>
    <cfRule type="cellIs" dxfId="798" priority="11" operator="between">
      <formula>61</formula>
      <formula>65</formula>
    </cfRule>
  </conditionalFormatting>
  <conditionalFormatting sqref="L40:N40">
    <cfRule type="cellIs" dxfId="797" priority="7" operator="notEqual">
      <formula>#REF!</formula>
    </cfRule>
  </conditionalFormatting>
  <conditionalFormatting sqref="L72:N80">
    <cfRule type="cellIs" dxfId="796" priority="77" stopIfTrue="1" operator="lessThan">
      <formula>100%</formula>
    </cfRule>
  </conditionalFormatting>
  <conditionalFormatting sqref="M10:M22">
    <cfRule type="expression" dxfId="795" priority="8">
      <formula>IF(+(IF(M10&lt;U10,0,IF(M10&gt;V10,0,1)))=0,1)</formula>
    </cfRule>
  </conditionalFormatting>
  <conditionalFormatting sqref="M25 L26:M36">
    <cfRule type="cellIs" dxfId="794" priority="45" operator="lessThan">
      <formula>98</formula>
    </cfRule>
  </conditionalFormatting>
  <conditionalFormatting sqref="N10:N22">
    <cfRule type="expression" dxfId="793" priority="6">
      <formula>IF(+(IF(N10&lt;W10,0,IF(N10&gt;X10,0,1)))=0,1)</formula>
    </cfRule>
  </conditionalFormatting>
  <conditionalFormatting sqref="P6">
    <cfRule type="cellIs" dxfId="792" priority="73" operator="greaterThanOrEqual">
      <formula>19</formula>
    </cfRule>
  </conditionalFormatting>
  <dataValidations count="1">
    <dataValidation type="list" allowBlank="1" showInputMessage="1" showErrorMessage="1" sqref="R8" xr:uid="{8541006F-1D48-4978-891D-08D128C06082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4" max="16383" man="1"/>
  </rowBreaks>
  <colBreaks count="1" manualBreakCount="1">
    <brk id="15" max="89" man="1"/>
  </col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DA072-C86C-4BF9-8E9B-1E49EB0AA855}">
  <sheetPr codeName="Sheet15">
    <pageSetUpPr fitToPage="1"/>
  </sheetPr>
  <dimension ref="A1:BE78"/>
  <sheetViews>
    <sheetView topLeftCell="A8" zoomScale="90" zoomScaleNormal="90" workbookViewId="0">
      <selection activeCell="E19" sqref="E19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26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45799</v>
      </c>
      <c r="J4" s="399" t="s">
        <v>164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163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[22]Brewhouse!$A463</f>
        <v>CA358</v>
      </c>
      <c r="D10" s="279">
        <f>[22]Brewhouse!$AF463</f>
        <v>57</v>
      </c>
      <c r="E10" s="279">
        <f>[22]Brewhouse!$AI463</f>
        <v>51.5</v>
      </c>
      <c r="F10" s="278">
        <f>[22]Brewhouse!$V463</f>
        <v>64</v>
      </c>
      <c r="G10" s="279">
        <f>[22]Brewhouse!$AG463</f>
        <v>11.67</v>
      </c>
      <c r="H10" s="396">
        <v>11.7</v>
      </c>
      <c r="I10" s="368">
        <f>[22]Brewhouse!$AU463</f>
        <v>98.296729895830666</v>
      </c>
      <c r="J10" s="368">
        <f>[22]Brewhouse!$AV463</f>
        <v>100.55661662329831</v>
      </c>
      <c r="K10" s="281">
        <f>[22]Brewhouse!$Q463</f>
        <v>4.9473684210526319</v>
      </c>
      <c r="L10" s="276">
        <f>[22]Brewhouse!$P463</f>
        <v>62</v>
      </c>
      <c r="M10" s="397">
        <f>[22]Brewhouse!$U463-[22]Brewhouse!$T463</f>
        <v>0.10833333333333328</v>
      </c>
      <c r="N10" s="370">
        <f>[22]Brewhouse!$Z463</f>
        <v>0.26944444444444443</v>
      </c>
      <c r="O10" s="371" t="str">
        <f>[22]Brewhouse!$AX463</f>
        <v>K.Benjamin</v>
      </c>
      <c r="P10" s="423"/>
      <c r="R10" s="277" t="str">
        <f>B10</f>
        <v>CARIB</v>
      </c>
      <c r="S10" s="296">
        <f t="shared" ref="S10:S28" si="0">VLOOKUP($B10,$R$3:$X$9,2,FALSE)</f>
        <v>11.6</v>
      </c>
      <c r="T10" s="296">
        <f t="shared" ref="T10:T28" si="1">VLOOKUP($B10,$R$3:$X$9,3,FALSE)</f>
        <v>12</v>
      </c>
      <c r="U10" s="297">
        <f t="shared" ref="U10:U28" si="2">VLOOKUP($B10,$R$3:$X$9,4,FALSE)</f>
        <v>0</v>
      </c>
      <c r="V10" s="297">
        <f t="shared" ref="V10:V28" si="3">VLOOKUP($B10,$R$3:$X$9,5,FALSE)</f>
        <v>0.118055555555556</v>
      </c>
      <c r="W10" s="297">
        <f t="shared" ref="W10:W28" si="4">VLOOKUP($B10,$R$3:$X$9,6,FALSE)</f>
        <v>0.22569444444444445</v>
      </c>
      <c r="X10" s="297">
        <f t="shared" ref="X10:X28" si="5">VLOOKUP($B10,$R$3:$X$9,7,FALSE)</f>
        <v>0.2638888888888889</v>
      </c>
      <c r="Y10" s="297">
        <f t="shared" ref="Y10:Y28" si="6">VLOOKUP($B10,$R$3:$Z$9,8,FALSE)</f>
        <v>0</v>
      </c>
      <c r="Z10" s="296">
        <f t="shared" ref="Z10:Z28" si="7">VLOOKUP($B10,$R$3:$Z$9,9,FALSE)</f>
        <v>60</v>
      </c>
    </row>
    <row r="11" spans="2:29" ht="15.75" customHeight="1">
      <c r="B11" s="29" t="s">
        <v>6</v>
      </c>
      <c r="C11" s="366" t="str">
        <f>[22]Brewhouse!$A464</f>
        <v>CA359</v>
      </c>
      <c r="D11" s="279">
        <f>[22]Brewhouse!$AF464</f>
        <v>55.2</v>
      </c>
      <c r="E11" s="279">
        <f>[22]Brewhouse!$AI464</f>
        <v>47.6</v>
      </c>
      <c r="F11" s="278">
        <f>[22]Brewhouse!$V464</f>
        <v>69</v>
      </c>
      <c r="G11" s="279">
        <f>[22]Brewhouse!$AG464</f>
        <v>12.32</v>
      </c>
      <c r="H11" s="396">
        <v>11.9</v>
      </c>
      <c r="I11" s="368">
        <f>[22]Brewhouse!$AU464</f>
        <v>98.689372310249198</v>
      </c>
      <c r="J11" s="368">
        <f>[22]Brewhouse!$AV464</f>
        <v>100.95521744206249</v>
      </c>
      <c r="K11" s="281">
        <f>[22]Brewhouse!$Q464</f>
        <v>8.0072463768115973</v>
      </c>
      <c r="L11" s="276">
        <f>[22]Brewhouse!$P464</f>
        <v>60</v>
      </c>
      <c r="M11" s="397">
        <f>[22]Brewhouse!$U464-[22]Brewhouse!$T464</f>
        <v>0.1118055555555556</v>
      </c>
      <c r="N11" s="370">
        <f>[22]Brewhouse!$Z464</f>
        <v>0.24444444444444446</v>
      </c>
      <c r="O11" s="371" t="str">
        <f>[22]Brewhouse!$AX464</f>
        <v>R. Regis</v>
      </c>
      <c r="P11" s="423"/>
      <c r="R11" s="277" t="str">
        <f t="shared" ref="R11:R23" si="8">B11</f>
        <v>CARIB</v>
      </c>
      <c r="S11" s="296">
        <f t="shared" si="0"/>
        <v>11.6</v>
      </c>
      <c r="T11" s="296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296">
        <f t="shared" si="7"/>
        <v>60</v>
      </c>
    </row>
    <row r="12" spans="2:29" ht="15.75" customHeight="1">
      <c r="B12" s="29" t="s">
        <v>6</v>
      </c>
      <c r="C12" s="366" t="str">
        <f>[22]Brewhouse!$A465</f>
        <v>CA360</v>
      </c>
      <c r="D12" s="279">
        <f>[22]Brewhouse!$AF465</f>
        <v>55.6</v>
      </c>
      <c r="E12" s="279">
        <f>[22]Brewhouse!$AI465</f>
        <v>50.5</v>
      </c>
      <c r="F12" s="278">
        <f>[22]Brewhouse!$V465</f>
        <v>62</v>
      </c>
      <c r="G12" s="279">
        <f>[22]Brewhouse!$AG465</f>
        <v>12</v>
      </c>
      <c r="H12" s="396">
        <v>11.8</v>
      </c>
      <c r="I12" s="368">
        <f>[22]Brewhouse!$AU465</f>
        <v>102.41364770585815</v>
      </c>
      <c r="J12" s="368">
        <f>[22]Brewhouse!$AV465</f>
        <v>104.76458801796498</v>
      </c>
      <c r="K12" s="281">
        <f>[22]Brewhouse!$Q465</f>
        <v>7.9496402877697863</v>
      </c>
      <c r="L12" s="276">
        <f>[22]Brewhouse!$P465</f>
        <v>63</v>
      </c>
      <c r="M12" s="397">
        <f>[22]Brewhouse!$U465-[22]Brewhouse!$T465</f>
        <v>0.10624999999999996</v>
      </c>
      <c r="N12" s="370">
        <f>[22]Brewhouse!$Z465</f>
        <v>0.24930555555555556</v>
      </c>
      <c r="O12" s="371" t="str">
        <f>[22]Brewhouse!$AX465</f>
        <v>R. Sookram</v>
      </c>
      <c r="P12" s="423"/>
      <c r="R12" s="277" t="str">
        <f t="shared" si="8"/>
        <v>CARIB</v>
      </c>
      <c r="S12" s="296">
        <f t="shared" si="0"/>
        <v>11.6</v>
      </c>
      <c r="T12" s="296">
        <f t="shared" si="1"/>
        <v>12</v>
      </c>
      <c r="U12" s="297">
        <f t="shared" si="2"/>
        <v>0</v>
      </c>
      <c r="V12" s="297">
        <f t="shared" si="3"/>
        <v>0.118055555555556</v>
      </c>
      <c r="W12" s="297">
        <f t="shared" si="4"/>
        <v>0.22569444444444445</v>
      </c>
      <c r="X12" s="297">
        <f t="shared" si="5"/>
        <v>0.2638888888888889</v>
      </c>
      <c r="Y12" s="297">
        <f t="shared" si="6"/>
        <v>0</v>
      </c>
      <c r="Z12" s="296">
        <f t="shared" si="7"/>
        <v>60</v>
      </c>
    </row>
    <row r="13" spans="2:29" ht="15.75" customHeight="1">
      <c r="B13" s="29" t="s">
        <v>6</v>
      </c>
      <c r="C13" s="366" t="str">
        <f>[22]Brewhouse!$A466</f>
        <v>CA361</v>
      </c>
      <c r="D13" s="279">
        <f>[22]Brewhouse!$AF466</f>
        <v>55.4</v>
      </c>
      <c r="E13" s="279">
        <f>[22]Brewhouse!$AI466</f>
        <v>51.8</v>
      </c>
      <c r="F13" s="278">
        <f>[22]Brewhouse!$V466</f>
        <v>62</v>
      </c>
      <c r="G13" s="279">
        <f>[22]Brewhouse!$AG466</f>
        <v>11.65</v>
      </c>
      <c r="H13" s="396">
        <v>11.8</v>
      </c>
      <c r="I13" s="368">
        <f>[22]Brewhouse!$AU466</f>
        <v>102.28996596570761</v>
      </c>
      <c r="J13" s="368">
        <f>[22]Brewhouse!$AV466</f>
        <v>104.63806712116583</v>
      </c>
      <c r="K13" s="281">
        <f>[22]Brewhouse!$Q466</f>
        <v>4.7292418772563138</v>
      </c>
      <c r="L13" s="276">
        <f>[22]Brewhouse!$P466</f>
        <v>57</v>
      </c>
      <c r="M13" s="397">
        <f>[22]Brewhouse!$U466-[22]Brewhouse!$T466</f>
        <v>0.10694444444444451</v>
      </c>
      <c r="N13" s="370">
        <f>[22]Brewhouse!$Z466</f>
        <v>0.24722222222222223</v>
      </c>
      <c r="O13" s="371" t="str">
        <f>[22]Brewhouse!$AX466</f>
        <v>R. Sookram</v>
      </c>
      <c r="P13" s="423"/>
      <c r="R13" s="277" t="str">
        <f t="shared" si="8"/>
        <v>CARIB</v>
      </c>
      <c r="S13" s="296">
        <f t="shared" si="0"/>
        <v>11.6</v>
      </c>
      <c r="T13" s="296">
        <f t="shared" si="1"/>
        <v>12</v>
      </c>
      <c r="U13" s="297">
        <f t="shared" si="2"/>
        <v>0</v>
      </c>
      <c r="V13" s="297">
        <f t="shared" si="3"/>
        <v>0.118055555555556</v>
      </c>
      <c r="W13" s="297">
        <f t="shared" si="4"/>
        <v>0.22569444444444445</v>
      </c>
      <c r="X13" s="297">
        <f t="shared" si="5"/>
        <v>0.2638888888888889</v>
      </c>
      <c r="Y13" s="297">
        <f t="shared" si="6"/>
        <v>0</v>
      </c>
      <c r="Z13" s="296">
        <f t="shared" si="7"/>
        <v>60</v>
      </c>
    </row>
    <row r="14" spans="2:29" ht="15.75" customHeight="1">
      <c r="B14" s="29" t="s">
        <v>6</v>
      </c>
      <c r="C14" s="366" t="str">
        <f>[22]Brewhouse!$A467</f>
        <v>CA362</v>
      </c>
      <c r="D14" s="279">
        <f>[22]Brewhouse!$AF467</f>
        <v>56</v>
      </c>
      <c r="E14" s="279">
        <f>[22]Brewhouse!$AI467</f>
        <v>50.9</v>
      </c>
      <c r="F14" s="278">
        <f>[22]Brewhouse!$V467</f>
        <v>63</v>
      </c>
      <c r="G14" s="279">
        <f>[22]Brewhouse!$AG467</f>
        <v>11.82</v>
      </c>
      <c r="H14" s="396">
        <v>11.8</v>
      </c>
      <c r="I14" s="368">
        <f>[22]Brewhouse!$AU467</f>
        <v>98.146891722866016</v>
      </c>
      <c r="J14" s="368">
        <f>[22]Brewhouse!$AV467</f>
        <v>100.40321006888824</v>
      </c>
      <c r="K14" s="281">
        <f>[22]Brewhouse!$Q467</f>
        <v>4.857142857142855</v>
      </c>
      <c r="L14" s="276">
        <f>[22]Brewhouse!$P467</f>
        <v>58</v>
      </c>
      <c r="M14" s="397">
        <f>[22]Brewhouse!$U467-[22]Brewhouse!$T467</f>
        <v>0.10416666666666674</v>
      </c>
      <c r="N14" s="370">
        <f>[22]Brewhouse!$Z467</f>
        <v>0.24583333333333335</v>
      </c>
      <c r="O14" s="371" t="str">
        <f>[22]Brewhouse!$AX467</f>
        <v>R. Sookram</v>
      </c>
      <c r="P14" s="423"/>
      <c r="R14" s="277" t="str">
        <f t="shared" si="8"/>
        <v>CARIB</v>
      </c>
      <c r="S14" s="296">
        <f t="shared" si="0"/>
        <v>11.6</v>
      </c>
      <c r="T14" s="296">
        <f t="shared" si="1"/>
        <v>12</v>
      </c>
      <c r="U14" s="297">
        <f t="shared" si="2"/>
        <v>0</v>
      </c>
      <c r="V14" s="297">
        <f t="shared" si="3"/>
        <v>0.118055555555556</v>
      </c>
      <c r="W14" s="297">
        <f t="shared" si="4"/>
        <v>0.22569444444444445</v>
      </c>
      <c r="X14" s="297">
        <f t="shared" si="5"/>
        <v>0.2638888888888889</v>
      </c>
      <c r="Y14" s="297">
        <f t="shared" si="6"/>
        <v>0</v>
      </c>
      <c r="Z14" s="296">
        <f t="shared" si="7"/>
        <v>60</v>
      </c>
    </row>
    <row r="15" spans="2:29" ht="15.75" customHeight="1">
      <c r="B15" s="29" t="s">
        <v>6</v>
      </c>
      <c r="C15" s="366" t="str">
        <f>[22]Brewhouse!$A468</f>
        <v>CA363</v>
      </c>
      <c r="D15" s="279">
        <f>[22]Brewhouse!$AF468</f>
        <v>55.7</v>
      </c>
      <c r="E15" s="279">
        <f>[22]Brewhouse!$AI468</f>
        <v>51.9</v>
      </c>
      <c r="F15" s="278">
        <f>[22]Brewhouse!$V468</f>
        <v>59</v>
      </c>
      <c r="G15" s="279">
        <f>[22]Brewhouse!$AG468</f>
        <v>11.8</v>
      </c>
      <c r="H15" s="396">
        <v>11.9</v>
      </c>
      <c r="I15" s="368">
        <f>[22]Brewhouse!$AU468</f>
        <v>100.07512142272587</v>
      </c>
      <c r="J15" s="368">
        <f>[22]Brewhouse!$AV468</f>
        <v>102.37576822348329</v>
      </c>
      <c r="K15" s="281">
        <f>[22]Brewhouse!$Q468</f>
        <v>3.6265709156193946</v>
      </c>
      <c r="L15" s="276">
        <f>[22]Brewhouse!$P468</f>
        <v>58</v>
      </c>
      <c r="M15" s="397">
        <f>[22]Brewhouse!$U468-[22]Brewhouse!$T468</f>
        <v>0.10069444444444442</v>
      </c>
      <c r="N15" s="370">
        <f>[22]Brewhouse!$Z468</f>
        <v>0.23472222222222217</v>
      </c>
      <c r="O15" s="371" t="str">
        <f>[22]Brewhouse!$AX468</f>
        <v>R. Sookram</v>
      </c>
      <c r="P15" s="423"/>
      <c r="R15" s="277" t="str">
        <f t="shared" si="8"/>
        <v>CARIB</v>
      </c>
      <c r="S15" s="296">
        <f t="shared" si="0"/>
        <v>11.6</v>
      </c>
      <c r="T15" s="296">
        <f t="shared" si="1"/>
        <v>12</v>
      </c>
      <c r="U15" s="297">
        <f t="shared" si="2"/>
        <v>0</v>
      </c>
      <c r="V15" s="297">
        <f t="shared" si="3"/>
        <v>0.118055555555556</v>
      </c>
      <c r="W15" s="297">
        <f t="shared" si="4"/>
        <v>0.22569444444444445</v>
      </c>
      <c r="X15" s="297">
        <f t="shared" si="5"/>
        <v>0.2638888888888889</v>
      </c>
      <c r="Y15" s="297">
        <f t="shared" si="6"/>
        <v>0</v>
      </c>
      <c r="Z15" s="296">
        <f t="shared" si="7"/>
        <v>60</v>
      </c>
    </row>
    <row r="16" spans="2:29" ht="15.75" customHeight="1">
      <c r="B16" s="29" t="s">
        <v>6</v>
      </c>
      <c r="C16" s="366" t="str">
        <f>[22]Brewhouse!$A469</f>
        <v>CA364</v>
      </c>
      <c r="D16" s="279">
        <f>[22]Brewhouse!$AF469</f>
        <v>55.8</v>
      </c>
      <c r="E16" s="279">
        <f>[22]Brewhouse!$AI469</f>
        <v>51.1</v>
      </c>
      <c r="F16" s="278">
        <f>[22]Brewhouse!$V469</f>
        <v>59</v>
      </c>
      <c r="G16" s="279">
        <f>[22]Brewhouse!$AG469</f>
        <v>11.89</v>
      </c>
      <c r="H16" s="396">
        <v>11.9</v>
      </c>
      <c r="I16" s="368">
        <f>[22]Brewhouse!$AU469</f>
        <v>99.410866604727133</v>
      </c>
      <c r="J16" s="368">
        <f>[22]Brewhouse!$AV469</f>
        <v>101.69624271982174</v>
      </c>
      <c r="K16" s="281">
        <f>[22]Brewhouse!$Q469</f>
        <v>3.7992831541218597</v>
      </c>
      <c r="L16" s="276">
        <f>[22]Brewhouse!$P469</f>
        <v>61</v>
      </c>
      <c r="M16" s="397">
        <f>[22]Brewhouse!$U469-[22]Brewhouse!$T469</f>
        <v>0.10833333333333339</v>
      </c>
      <c r="N16" s="370">
        <f>[22]Brewhouse!$Z469</f>
        <v>0.24305555555555569</v>
      </c>
      <c r="O16" s="371" t="str">
        <f>[22]Brewhouse!$AX469</f>
        <v>K.Benjamin</v>
      </c>
      <c r="P16" s="423"/>
      <c r="R16" s="277" t="str">
        <f t="shared" si="8"/>
        <v>CARIB</v>
      </c>
      <c r="S16" s="296">
        <f t="shared" si="0"/>
        <v>11.6</v>
      </c>
      <c r="T16" s="296">
        <f t="shared" si="1"/>
        <v>12</v>
      </c>
      <c r="U16" s="297">
        <f t="shared" si="2"/>
        <v>0</v>
      </c>
      <c r="V16" s="297">
        <f t="shared" si="3"/>
        <v>0.118055555555556</v>
      </c>
      <c r="W16" s="297">
        <f t="shared" si="4"/>
        <v>0.22569444444444445</v>
      </c>
      <c r="X16" s="297">
        <f t="shared" si="5"/>
        <v>0.2638888888888889</v>
      </c>
      <c r="Y16" s="297">
        <f t="shared" si="6"/>
        <v>0</v>
      </c>
      <c r="Z16" s="296">
        <f t="shared" si="7"/>
        <v>60</v>
      </c>
    </row>
    <row r="17" spans="1:26" ht="15.75" customHeight="1">
      <c r="B17" s="29" t="s">
        <v>6</v>
      </c>
      <c r="C17" s="366" t="str">
        <f>[22]Brewhouse!$A470</f>
        <v>CA365</v>
      </c>
      <c r="D17" s="279">
        <f>[22]Brewhouse!$AF470</f>
        <v>56.4</v>
      </c>
      <c r="E17" s="279">
        <f>[22]Brewhouse!$AI470</f>
        <v>51</v>
      </c>
      <c r="F17" s="278">
        <f>[22]Brewhouse!$V470</f>
        <v>57</v>
      </c>
      <c r="G17" s="279">
        <f>[22]Brewhouse!$AG470</f>
        <v>11.87</v>
      </c>
      <c r="H17" s="396">
        <v>11.9</v>
      </c>
      <c r="I17" s="368">
        <f>[22]Brewhouse!$AU470</f>
        <v>99.216324791410642</v>
      </c>
      <c r="J17" s="368">
        <f>[22]Brewhouse!$AV470</f>
        <v>101.49722854620174</v>
      </c>
      <c r="K17" s="281">
        <f>[22]Brewhouse!$Q470</f>
        <v>5.0000000000000009</v>
      </c>
      <c r="L17" s="276">
        <f>[22]Brewhouse!$P470</f>
        <v>60</v>
      </c>
      <c r="M17" s="397">
        <f>[22]Brewhouse!$U470-[22]Brewhouse!$T470</f>
        <v>0.10555555555555562</v>
      </c>
      <c r="N17" s="370">
        <f>[22]Brewhouse!$Z470</f>
        <v>0.25069444444444455</v>
      </c>
      <c r="O17" s="371" t="str">
        <f>[22]Brewhouse!$AX470</f>
        <v>K.Benjamin</v>
      </c>
      <c r="P17" s="423"/>
      <c r="R17" s="277" t="str">
        <f t="shared" si="8"/>
        <v>CARIB</v>
      </c>
      <c r="S17" s="296">
        <f t="shared" si="0"/>
        <v>11.6</v>
      </c>
      <c r="T17" s="296">
        <f t="shared" si="1"/>
        <v>12</v>
      </c>
      <c r="U17" s="297">
        <f t="shared" si="2"/>
        <v>0</v>
      </c>
      <c r="V17" s="297">
        <f t="shared" si="3"/>
        <v>0.118055555555556</v>
      </c>
      <c r="W17" s="297">
        <f t="shared" si="4"/>
        <v>0.22569444444444445</v>
      </c>
      <c r="X17" s="297">
        <f t="shared" si="5"/>
        <v>0.2638888888888889</v>
      </c>
      <c r="Y17" s="297">
        <f t="shared" si="6"/>
        <v>0</v>
      </c>
      <c r="Z17" s="296">
        <f t="shared" si="7"/>
        <v>60</v>
      </c>
    </row>
    <row r="18" spans="1:26" ht="15.75" customHeight="1">
      <c r="B18" s="432">
        <v>45799</v>
      </c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3"/>
      <c r="R18" s="277"/>
      <c r="S18" s="296"/>
      <c r="T18" s="296"/>
      <c r="U18" s="297"/>
      <c r="V18" s="297"/>
      <c r="W18" s="297"/>
      <c r="X18" s="297"/>
      <c r="Y18" s="297"/>
      <c r="Z18" s="296"/>
    </row>
    <row r="19" spans="1:26" ht="15.75" customHeight="1">
      <c r="B19" s="29" t="s">
        <v>6</v>
      </c>
      <c r="C19" s="366" t="str">
        <f>[22]Brewhouse!$A471</f>
        <v>CA366</v>
      </c>
      <c r="D19" s="279">
        <f>[22]Brewhouse!$AF471</f>
        <v>56.5</v>
      </c>
      <c r="E19" s="279">
        <f>[22]Brewhouse!$AI471</f>
        <v>51.2</v>
      </c>
      <c r="F19" s="278">
        <f>[22]Brewhouse!$V471</f>
        <v>59</v>
      </c>
      <c r="G19" s="279">
        <f>[22]Brewhouse!$AG471</f>
        <v>11.85</v>
      </c>
      <c r="H19" s="396">
        <v>11.9</v>
      </c>
      <c r="I19" s="368">
        <f>[22]Brewhouse!$AU471</f>
        <v>99.85305901163683</v>
      </c>
      <c r="J19" s="368">
        <f>[22]Brewhouse!$AV471</f>
        <v>102.14834847734735</v>
      </c>
      <c r="K19" s="281">
        <f>[22]Brewhouse!$Q471</f>
        <v>5.1681415929203567</v>
      </c>
      <c r="L19" s="276">
        <f>[22]Brewhouse!$P471</f>
        <v>62</v>
      </c>
      <c r="M19" s="397">
        <f>[22]Brewhouse!$U471-[22]Brewhouse!$T471</f>
        <v>0.11180555555555571</v>
      </c>
      <c r="N19" s="370">
        <f>[22]Brewhouse!$Z471</f>
        <v>0.25347222222222232</v>
      </c>
      <c r="O19" s="371" t="str">
        <f>[22]Brewhouse!$AX471</f>
        <v>K.Benjamin</v>
      </c>
      <c r="P19" s="423"/>
      <c r="R19" s="277" t="str">
        <f t="shared" si="8"/>
        <v>CARIB</v>
      </c>
      <c r="S19" s="296">
        <f t="shared" si="0"/>
        <v>11.6</v>
      </c>
      <c r="T19" s="296">
        <f t="shared" si="1"/>
        <v>12</v>
      </c>
      <c r="U19" s="297">
        <f t="shared" si="2"/>
        <v>0</v>
      </c>
      <c r="V19" s="297">
        <f t="shared" si="3"/>
        <v>0.118055555555556</v>
      </c>
      <c r="W19" s="297">
        <f t="shared" si="4"/>
        <v>0.22569444444444445</v>
      </c>
      <c r="X19" s="297">
        <f t="shared" si="5"/>
        <v>0.2638888888888889</v>
      </c>
      <c r="Y19" s="297">
        <f t="shared" si="6"/>
        <v>0</v>
      </c>
      <c r="Z19" s="296">
        <f t="shared" si="7"/>
        <v>60</v>
      </c>
    </row>
    <row r="20" spans="1:26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3"/>
      <c r="R20" s="277">
        <f t="shared" si="8"/>
        <v>0</v>
      </c>
      <c r="S20" s="296" t="e">
        <f t="shared" si="0"/>
        <v>#N/A</v>
      </c>
      <c r="T20" s="296" t="e">
        <f t="shared" si="1"/>
        <v>#N/A</v>
      </c>
      <c r="U20" s="297" t="e">
        <f t="shared" si="2"/>
        <v>#N/A</v>
      </c>
      <c r="V20" s="297" t="e">
        <f t="shared" si="3"/>
        <v>#N/A</v>
      </c>
      <c r="W20" s="297" t="e">
        <f t="shared" si="4"/>
        <v>#N/A</v>
      </c>
      <c r="X20" s="297" t="e">
        <f t="shared" si="5"/>
        <v>#N/A</v>
      </c>
      <c r="Y20" s="297" t="e">
        <f t="shared" si="6"/>
        <v>#N/A</v>
      </c>
      <c r="Z20" s="296" t="e">
        <f t="shared" si="7"/>
        <v>#N/A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3"/>
      <c r="R21" s="277">
        <f t="shared" si="8"/>
        <v>0</v>
      </c>
      <c r="S21" s="296" t="e">
        <f t="shared" si="0"/>
        <v>#N/A</v>
      </c>
      <c r="T21" s="296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6" t="e">
        <f t="shared" si="7"/>
        <v>#N/A</v>
      </c>
    </row>
    <row r="22" spans="1:26" ht="15.75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3"/>
      <c r="R22" s="277">
        <f t="shared" si="8"/>
        <v>0</v>
      </c>
      <c r="S22" s="296" t="e">
        <f t="shared" si="0"/>
        <v>#N/A</v>
      </c>
      <c r="T22" s="296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6" t="e">
        <f t="shared" si="7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3"/>
      <c r="R23" s="277">
        <f t="shared" si="8"/>
        <v>0</v>
      </c>
      <c r="S23" s="296" t="e">
        <f t="shared" si="0"/>
        <v>#N/A</v>
      </c>
      <c r="T23" s="296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6" t="e">
        <f t="shared" si="7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3"/>
      <c r="R24" s="277">
        <f>B24</f>
        <v>0</v>
      </c>
      <c r="S24" s="296" t="e">
        <f t="shared" si="0"/>
        <v>#N/A</v>
      </c>
      <c r="T24" s="296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6" t="e">
        <f t="shared" si="7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9"/>
      <c r="P25" s="423"/>
      <c r="R25" s="277">
        <f>B25</f>
        <v>0</v>
      </c>
      <c r="S25" s="296" t="e">
        <f t="shared" si="0"/>
        <v>#N/A</v>
      </c>
      <c r="T25" s="296" t="e">
        <f t="shared" si="1"/>
        <v>#N/A</v>
      </c>
      <c r="U25" s="297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6" t="e">
        <f t="shared" si="7"/>
        <v>#N/A</v>
      </c>
    </row>
    <row r="26" spans="1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9"/>
      <c r="P26" s="423"/>
      <c r="R26" s="277">
        <f>B26</f>
        <v>0</v>
      </c>
      <c r="S26" s="296" t="e">
        <f t="shared" si="0"/>
        <v>#N/A</v>
      </c>
      <c r="T26" s="296" t="e">
        <f t="shared" si="1"/>
        <v>#N/A</v>
      </c>
      <c r="U26" s="297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6" t="e">
        <f t="shared" si="7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481" t="s">
        <v>34</v>
      </c>
      <c r="J27" s="481"/>
      <c r="K27" s="481"/>
      <c r="L27" s="481"/>
      <c r="M27" s="481"/>
      <c r="N27" s="481"/>
      <c r="O27" s="1"/>
      <c r="P27" s="12"/>
      <c r="R27" s="277">
        <f>B27</f>
        <v>0</v>
      </c>
      <c r="S27" s="296" t="e">
        <f t="shared" si="0"/>
        <v>#N/A</v>
      </c>
      <c r="T27" s="296" t="e">
        <f t="shared" si="1"/>
        <v>#N/A</v>
      </c>
      <c r="U27" s="297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6" t="e">
        <f t="shared" si="7"/>
        <v>#N/A</v>
      </c>
    </row>
    <row r="28" spans="1:26" ht="15" thickBot="1">
      <c r="B28" s="388" t="s">
        <v>145</v>
      </c>
      <c r="C28" s="388"/>
      <c r="D28" s="494" t="s">
        <v>35</v>
      </c>
      <c r="E28" s="495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>B28</f>
        <v>BRAND</v>
      </c>
      <c r="S28" s="296" t="e">
        <f t="shared" si="0"/>
        <v>#N/A</v>
      </c>
      <c r="T28" s="296" t="e">
        <f t="shared" si="1"/>
        <v>#N/A</v>
      </c>
      <c r="U28" s="297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6" t="e">
        <f t="shared" si="7"/>
        <v>#N/A</v>
      </c>
    </row>
    <row r="29" spans="1:26" ht="15" customHeight="1">
      <c r="A29" s="28"/>
      <c r="B29" s="520" t="str">
        <f>I29</f>
        <v>CARIB</v>
      </c>
      <c r="C29" s="362" cm="1">
        <f t="array" ref="C29:C40">[22]Process!$D$408:$D$419</f>
        <v>11.7</v>
      </c>
      <c r="D29" s="485">
        <v>11.64</v>
      </c>
      <c r="E29" s="474"/>
      <c r="F29" s="294"/>
      <c r="G29" s="294"/>
      <c r="H29" s="348"/>
      <c r="I29" s="29" t="s">
        <v>6</v>
      </c>
      <c r="J29" s="280">
        <f>AVERAGE(I10:I17)</f>
        <v>99.81736505242192</v>
      </c>
      <c r="K29" s="284">
        <f>COUNTA([22]Brewhouse!$A$408:$A$470)</f>
        <v>63</v>
      </c>
      <c r="L29" s="302">
        <f>AVERAGE([22]Brewhouse!$AU$408:$AU$470)</f>
        <v>98.748936875821315</v>
      </c>
      <c r="M29" s="302">
        <f>AVERAGE([22]Brewhouse!$AU$102:$AU$171,[22]Brewhouse!$AU$173:$AU$253,[22]Brewhouse!$AU$255:$AU$339,[22]Brewhouse!$AU$341:$AU$346,[22]Brewhouse!$AU$348,[22]Brewhouse!$AU$349:$AU$406,[22]Brewhouse!$AU$408:$AU$470)</f>
        <v>97.630274789697353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6" ht="15" customHeight="1">
      <c r="A30" s="28"/>
      <c r="B30" s="521"/>
      <c r="C30" s="349">
        <v>11.9</v>
      </c>
      <c r="D30" s="486"/>
      <c r="E30" s="469"/>
      <c r="F30" s="294"/>
      <c r="G30" s="294"/>
      <c r="H30" s="348"/>
      <c r="I30" s="33" t="s">
        <v>9</v>
      </c>
      <c r="J30" s="280"/>
      <c r="K30" s="284">
        <f>COUNTA([23]Brewhouse!$A$195:$A$228)</f>
        <v>34</v>
      </c>
      <c r="L30" s="302">
        <f>AVERAGE([23]Brewhouse!$AS$195:$AS$228)</f>
        <v>99.927187940420239</v>
      </c>
      <c r="M30" s="302">
        <f>AVERAGE([23]Brewhouse!$AS$15:$AS$64,[23]Brewhouse!$AS$66:$AS$103,[23]Brewhouse!$AS$105:$AS$140,[23]Brewhouse!$AS$142:$AS$193,[23]Brewhouse!$AS$195:$AS$228)</f>
        <v>97.850283817233205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4.7" customHeight="1">
      <c r="A31" s="28"/>
      <c r="B31" s="521"/>
      <c r="C31" s="349">
        <v>11.9</v>
      </c>
      <c r="D31" s="485">
        <v>11.58</v>
      </c>
      <c r="E31" s="474"/>
      <c r="F31" s="294"/>
      <c r="G31" s="294"/>
      <c r="H31" s="348"/>
      <c r="I31" s="34" t="s">
        <v>12</v>
      </c>
      <c r="J31" s="280"/>
      <c r="K31" s="284">
        <f>COUNTA([24]Brewhouse!$A$47:$A$54)</f>
        <v>8</v>
      </c>
      <c r="L31" s="302">
        <f>AVERAGE([24]Brewhouse!$AU$47:$AU$54)</f>
        <v>96.792443337508828</v>
      </c>
      <c r="M31" s="302">
        <f>AVERAGE([24]Brewhouse!$AU$4:$AU$7,[24]Brewhouse!$AU$9:$AU$22,[24]Brewhouse!$AU$24:$AU$35,[24]Brewhouse!$AU$37:$AU$45,[24]Brewhouse!$AU$47:$AU$54)</f>
        <v>97.03665404260714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7" customHeight="1">
      <c r="A32" s="28"/>
      <c r="B32" s="521"/>
      <c r="C32" s="349">
        <v>11.8</v>
      </c>
      <c r="D32" s="486"/>
      <c r="E32" s="469"/>
      <c r="F32" s="294"/>
      <c r="G32" s="294"/>
      <c r="H32" s="348"/>
      <c r="I32" s="22" t="s">
        <v>33</v>
      </c>
      <c r="J32" s="280"/>
      <c r="K32" s="284">
        <f>COUNTA([25]Brewhouse!$A$35:$A$40)</f>
        <v>6</v>
      </c>
      <c r="L32" s="302">
        <f>AVERAGE([25]Brewhouse!$AV$35:$AV$40)</f>
        <v>99.729773602484485</v>
      </c>
      <c r="M32" s="302">
        <f>AVERAGE([25]Brewhouse!$AV$5:$AV$14,[25]Brewhouse!$AV$16:$AV$19,[25]Brewhouse!$AV$21:$AV$24,[25]Brewhouse!$AV$26:$AV$33,[25]Brewhouse!$AV$35:$AV$40)</f>
        <v>99.073437057623821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7" customHeight="1">
      <c r="A33" s="28"/>
      <c r="B33" s="521"/>
      <c r="C33" s="349">
        <v>11.9</v>
      </c>
      <c r="D33" s="485">
        <v>11.65</v>
      </c>
      <c r="E33" s="474"/>
      <c r="F33" s="422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56" ht="14.7" customHeight="1">
      <c r="A34" s="28"/>
      <c r="B34" s="521"/>
      <c r="C34" s="349">
        <v>12</v>
      </c>
      <c r="D34" s="486"/>
      <c r="E34" s="469"/>
      <c r="F34" s="422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AVERAGE([26]Brewhouse!$AT$4:$AT$11,[26]Brewhouse!$AT$13:$AT$16)</f>
        <v>95.165309917257005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7" customHeight="1">
      <c r="A35" s="28"/>
      <c r="B35" s="521"/>
      <c r="C35" s="349">
        <v>11.8</v>
      </c>
      <c r="D35" s="485">
        <v>11.79</v>
      </c>
      <c r="E35" s="474"/>
      <c r="F35" s="422"/>
      <c r="G35" s="294"/>
      <c r="H35" s="348"/>
      <c r="I35" s="37" t="s">
        <v>16</v>
      </c>
      <c r="J35" s="323"/>
      <c r="K35" s="284">
        <f>COUNTA([27]Brewhouse!$A$36:$A$43)</f>
        <v>8</v>
      </c>
      <c r="L35" s="302">
        <f>AVERAGE([27]Brewhouse!$AY$36:$AY$43)</f>
        <v>98.453561717677275</v>
      </c>
      <c r="M35" s="302">
        <f>AVERAGE([27]Brewhouse!$AY$6:$AY$13,[27]Brewhouse!$AY$15:$AY$20,[27]Brewhouse!$AY$22:$AY$29,[27]Brewhouse!$AY$31:$AY$34,[27]Brewhouse!$AY$36:$AY$43)</f>
        <v>96.669752433914965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7" customHeight="1">
      <c r="A36" s="28"/>
      <c r="B36" s="521"/>
      <c r="C36" s="349">
        <v>11.7</v>
      </c>
      <c r="D36" s="486"/>
      <c r="E36" s="469"/>
      <c r="F36" s="294"/>
      <c r="G36" s="294"/>
      <c r="H36" s="348"/>
      <c r="I36" s="412" t="s">
        <v>158</v>
      </c>
      <c r="J36" s="326"/>
      <c r="K36" s="284"/>
      <c r="L36" s="305"/>
      <c r="M36" s="305">
        <f>AVERAGE([28]Brewhouse!$AU$5:$AU$8)</f>
        <v>91.006888337619571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7" customHeight="1">
      <c r="A37" s="28"/>
      <c r="B37" s="521"/>
      <c r="C37" s="349">
        <v>11.9</v>
      </c>
      <c r="D37" s="485">
        <v>11.81</v>
      </c>
      <c r="E37" s="474"/>
      <c r="F37" s="294"/>
      <c r="G37" s="294"/>
      <c r="H37" s="348"/>
      <c r="I37" s="411" t="s">
        <v>157</v>
      </c>
      <c r="J37" s="326"/>
      <c r="K37" s="284"/>
      <c r="L37" s="305"/>
      <c r="M37" s="305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21"/>
      <c r="C38" s="349">
        <v>12</v>
      </c>
      <c r="D38" s="486"/>
      <c r="E38" s="469"/>
      <c r="F38" s="294"/>
      <c r="G38" s="294"/>
      <c r="H38" s="348"/>
      <c r="I38" s="407" t="s">
        <v>156</v>
      </c>
      <c r="J38" s="327"/>
      <c r="K38" s="408"/>
      <c r="L38" s="409"/>
      <c r="M38" s="409"/>
      <c r="N38" s="41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521"/>
      <c r="C39" s="349">
        <v>11.6</v>
      </c>
      <c r="D39" s="485">
        <v>11.73</v>
      </c>
      <c r="E39" s="474"/>
      <c r="F39" s="294"/>
      <c r="G39" s="294"/>
      <c r="H39" s="348"/>
      <c r="I39" s="1"/>
      <c r="J39" s="39"/>
      <c r="K39" s="405">
        <f>SUM(K29:K38)</f>
        <v>119</v>
      </c>
      <c r="L39" s="406">
        <f>((L29*K29)+(L30*K30)+(L31*K31)+(L32*K32)+(L33*K33)+(K36*L36)+(L34*K34)+(L35*K35)+(L38*K38))/(K39)</f>
        <v>98.983647858885931</v>
      </c>
      <c r="M39" s="406">
        <f>AVERAGE('[29]Jan 31st'!$L$65,'[30]Feb 28th'!$L$35,'[31]Mar. 31st'!$L$35,'[32]Apr. 30th'!$L$45,L39)</f>
        <v>97.677537829664828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thickBot="1">
      <c r="B40" s="522"/>
      <c r="C40" s="350">
        <v>11.9</v>
      </c>
      <c r="D40" s="486"/>
      <c r="E40" s="46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" thickBot="1">
      <c r="B41" s="528"/>
      <c r="C41" s="362"/>
      <c r="D41" s="466"/>
      <c r="E41" s="467"/>
      <c r="F41" s="294"/>
      <c r="G41" s="42"/>
      <c r="H41" s="41"/>
      <c r="I41" s="42"/>
      <c r="J41" s="519" t="s">
        <v>129</v>
      </c>
      <c r="K41" s="519"/>
      <c r="L41" s="294"/>
      <c r="M41" s="294"/>
      <c r="N41" s="294"/>
      <c r="O41" s="294"/>
      <c r="P41" s="12"/>
    </row>
    <row r="42" spans="1:56" ht="13.5" customHeight="1" thickBot="1">
      <c r="B42" s="521"/>
      <c r="C42" s="349"/>
      <c r="D42" s="468"/>
      <c r="E42" s="469"/>
      <c r="F42" s="294"/>
      <c r="G42" s="42"/>
      <c r="H42" s="41"/>
      <c r="I42" s="41"/>
      <c r="J42" s="292" t="s">
        <v>17</v>
      </c>
      <c r="K42" s="293" t="s">
        <v>147</v>
      </c>
      <c r="L42" s="471" t="s">
        <v>136</v>
      </c>
      <c r="M42" s="471"/>
      <c r="N42" s="472"/>
      <c r="O42" s="294"/>
      <c r="P42" s="12"/>
    </row>
    <row r="43" spans="1:56" ht="15" customHeight="1" thickBot="1">
      <c r="B43" s="521"/>
      <c r="C43" s="349"/>
      <c r="D43" s="473"/>
      <c r="E43" s="474"/>
      <c r="F43" s="294"/>
      <c r="G43" s="42"/>
      <c r="H43" s="41"/>
      <c r="I43" s="41"/>
      <c r="J43" s="287" t="s">
        <v>6</v>
      </c>
      <c r="K43" s="324">
        <f>COUNTA(B10:B17)</f>
        <v>8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21"/>
      <c r="C44" s="349"/>
      <c r="D44" s="468"/>
      <c r="E44" s="469"/>
      <c r="F44" s="294"/>
      <c r="G44" s="42"/>
      <c r="H44" s="41"/>
      <c r="I44" s="41"/>
      <c r="J44" s="345" t="s">
        <v>9</v>
      </c>
      <c r="K44" s="324"/>
      <c r="L44" s="344">
        <f>AVERAGE('May 2nd -4th'!I70,'May 2nd -4th'!K70,'May 5th'!K77,'May 6th'!K60,'May 7th'!K57,'May 8th'!K53,'May 9th-10th'!I60,'May 9th-10th'!K60,'May 12th'!K43,'May 13th'!K45,'May 14th'!K50,'May 15th'!K49,'May 16th'!K52,'May 19th'!K48,'May 20th'!K49,K53)</f>
        <v>7.5</v>
      </c>
      <c r="M44" s="325">
        <f>AVERAGE('[29]Jan 29th '!$M$70,'[30]Feb 28th'!$L$40,'[31]Mar. 31st'!$L$40,'[32]Apr. 30th'!$L$50,L44)</f>
        <v>6.6891543239369327</v>
      </c>
      <c r="N44" s="420">
        <v>9.1999999999999993</v>
      </c>
      <c r="O44" s="294"/>
      <c r="P44" s="12"/>
    </row>
    <row r="45" spans="1:56" ht="15" customHeight="1">
      <c r="B45" s="521"/>
      <c r="C45" s="349"/>
      <c r="D45" s="473"/>
      <c r="E45" s="474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1"/>
      <c r="C46" s="349"/>
      <c r="D46" s="468"/>
      <c r="E46" s="469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4.4">
      <c r="B47" s="521"/>
      <c r="C47" s="349"/>
      <c r="D47" s="473"/>
      <c r="E47" s="474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1"/>
      <c r="C48" s="349"/>
      <c r="D48" s="468"/>
      <c r="E48" s="46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1"/>
      <c r="C49" s="349"/>
      <c r="D49" s="475"/>
      <c r="E49" s="476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2"/>
      <c r="C50" s="350"/>
      <c r="D50" s="477"/>
      <c r="E50" s="478"/>
      <c r="F50" s="294"/>
      <c r="G50" s="42"/>
      <c r="H50" s="41"/>
      <c r="I50" s="41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457">
        <f>AVERAGE(D29:E50)</f>
        <v>11.700000000000001</v>
      </c>
      <c r="E51" s="458"/>
      <c r="F51" s="294"/>
      <c r="G51" s="42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8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P54" s="334"/>
    </row>
    <row r="55" spans="2:57" ht="15" customHeight="1" thickBo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8"/>
      <c r="O55" s="48"/>
      <c r="P55" s="49"/>
    </row>
    <row r="56" spans="2:57" ht="15" customHeight="1" thickBot="1">
      <c r="B56" s="447" t="s">
        <v>17</v>
      </c>
      <c r="C56" s="447" t="s">
        <v>44</v>
      </c>
      <c r="D56" s="459" t="s">
        <v>45</v>
      </c>
      <c r="E56" s="461" t="s">
        <v>46</v>
      </c>
      <c r="F56" s="455" t="s">
        <v>47</v>
      </c>
      <c r="G56" s="445" t="s">
        <v>48</v>
      </c>
      <c r="H56" s="447" t="s">
        <v>49</v>
      </c>
      <c r="I56" s="447" t="s">
        <v>50</v>
      </c>
      <c r="J56" s="439" t="s">
        <v>28</v>
      </c>
      <c r="K56" s="451" t="s">
        <v>51</v>
      </c>
      <c r="L56" s="453" t="s">
        <v>52</v>
      </c>
      <c r="M56" s="439" t="s">
        <v>53</v>
      </c>
      <c r="N56" s="13"/>
      <c r="O56" s="13"/>
      <c r="P56" s="50"/>
    </row>
    <row r="57" spans="2:57" ht="28.5" customHeight="1" thickTop="1" thickBot="1">
      <c r="B57" s="448"/>
      <c r="C57" s="448"/>
      <c r="D57" s="460"/>
      <c r="E57" s="462"/>
      <c r="F57" s="456"/>
      <c r="G57" s="446"/>
      <c r="H57" s="448"/>
      <c r="I57" s="448"/>
      <c r="J57" s="440"/>
      <c r="K57" s="452"/>
      <c r="L57" s="454"/>
      <c r="M57" s="440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1" customHeight="1">
      <c r="B58" s="415" t="str">
        <f>I29</f>
        <v>CARIB</v>
      </c>
      <c r="C58" s="283">
        <v>45798</v>
      </c>
      <c r="D58" s="377">
        <f>[33]May_2025!$X$3</f>
        <v>508.70000000000005</v>
      </c>
      <c r="E58" s="378"/>
      <c r="F58" s="379"/>
      <c r="G58" s="303">
        <f>[33]May_2025!$X$7</f>
        <v>482.9</v>
      </c>
      <c r="H58" s="320"/>
      <c r="I58" s="322"/>
      <c r="J58" s="392" t="s">
        <v>214</v>
      </c>
      <c r="K58" s="286">
        <f>[35]May_2025!$X$18</f>
        <v>0.56479532163742696</v>
      </c>
      <c r="L58" s="314">
        <f>(((D58+E58)-G58)/(D58+E58))*100</f>
        <v>5.0717515234912653</v>
      </c>
      <c r="M58" s="419" t="s">
        <v>210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  <c r="AO58" s="418"/>
      <c r="AP58" s="418"/>
      <c r="AQ58" s="418"/>
      <c r="AR58" s="418"/>
      <c r="AS58" s="418"/>
      <c r="AT58" s="418"/>
      <c r="AU58" s="418"/>
      <c r="AV58" s="418"/>
      <c r="AW58" s="418"/>
    </row>
    <row r="59" spans="2:57" s="54" customFormat="1" ht="23.25" customHeight="1">
      <c r="B59" s="415"/>
      <c r="C59" s="283"/>
      <c r="D59" s="377"/>
      <c r="E59" s="378"/>
      <c r="F59" s="379"/>
      <c r="G59" s="303"/>
      <c r="H59" s="320"/>
      <c r="I59" s="322"/>
      <c r="J59" s="281"/>
      <c r="K59" s="286"/>
      <c r="L59" s="314"/>
      <c r="M59" s="419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</row>
    <row r="60" spans="2:57" s="54" customFormat="1" ht="53.25" customHeight="1">
      <c r="B60" s="415" t="str">
        <f>I29</f>
        <v>CARIB</v>
      </c>
      <c r="C60" s="283">
        <v>45798</v>
      </c>
      <c r="D60" s="377">
        <f>[33]May_2025!$Y$3</f>
        <v>100.69999999999999</v>
      </c>
      <c r="E60" s="378"/>
      <c r="F60" s="379"/>
      <c r="G60" s="303">
        <f>[33]May_2025!$Y$7</f>
        <v>91.7</v>
      </c>
      <c r="H60" s="320"/>
      <c r="I60" s="322"/>
      <c r="J60" s="392" t="s">
        <v>212</v>
      </c>
      <c r="K60" s="286">
        <f>[35]May_2025!$Y$18</f>
        <v>0.32175438596491229</v>
      </c>
      <c r="L60" s="314">
        <f>(((D60+E60)-G60)/(D60+E60))*100</f>
        <v>8.9374379344587744</v>
      </c>
      <c r="M60" s="419" t="s">
        <v>213</v>
      </c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 t="e">
        <f>[20]January_2019!L7</f>
        <v>#REF!</v>
      </c>
      <c r="AC60" s="57" t="e">
        <f>[20]January_2019!M7</f>
        <v>#REF!</v>
      </c>
      <c r="AD60" s="57" t="e">
        <f>[20]January_2019!N7</f>
        <v>#REF!</v>
      </c>
      <c r="AE60" s="57" t="e">
        <f>[20]January_2019!O7</f>
        <v>#REF!</v>
      </c>
      <c r="AF60" s="57" t="e">
        <f>[20]January_2019!P7</f>
        <v>#REF!</v>
      </c>
      <c r="AG60" s="57" t="e">
        <f>[20]January_2019!Q7</f>
        <v>#REF!</v>
      </c>
      <c r="AH60" s="57" t="e">
        <f>[20]January_2019!R7</f>
        <v>#REF!</v>
      </c>
      <c r="AI60" s="57" t="e">
        <f>[20]January_2019!S7</f>
        <v>#REF!</v>
      </c>
      <c r="AJ60" s="57" t="e">
        <f>[20]January_2019!T7</f>
        <v>#REF!</v>
      </c>
      <c r="AK60" s="57" t="e">
        <f>[20]January_2019!U7</f>
        <v>#REF!</v>
      </c>
      <c r="AL60" s="57" t="e">
        <f>[20]January_2019!V7</f>
        <v>#REF!</v>
      </c>
      <c r="AM60" s="57" t="e">
        <f>[20]January_2019!W7</f>
        <v>#REF!</v>
      </c>
      <c r="AN60" s="57" t="e">
        <f>[20]January_2019!X7</f>
        <v>#REF!</v>
      </c>
      <c r="AO60" s="57" t="e">
        <f>[20]January_2019!Y7</f>
        <v>#REF!</v>
      </c>
      <c r="AP60" s="57" t="e">
        <f>[20]January_2019!Z7</f>
        <v>#REF!</v>
      </c>
      <c r="AQ60" s="57" t="e">
        <f>[20]January_2019!AA7</f>
        <v>#REF!</v>
      </c>
      <c r="AR60" s="57" t="e">
        <f>[20]January_2019!AB7</f>
        <v>#REF!</v>
      </c>
      <c r="AS60" s="57" t="e">
        <f>[20]January_2019!AC7</f>
        <v>#REF!</v>
      </c>
      <c r="AT60" s="57" t="e">
        <f>[20]January_2019!AD7</f>
        <v>#REF!</v>
      </c>
      <c r="AU60" s="57" t="e">
        <f>[20]January_2019!AE7</f>
        <v>#REF!</v>
      </c>
      <c r="AV60" s="57" t="e">
        <f>[20]January_2019!AF7</f>
        <v>#REF!</v>
      </c>
      <c r="AW60" s="57" t="e">
        <f>[20]January_2019!AG7</f>
        <v>#REF!</v>
      </c>
      <c r="AX60" s="277" t="e">
        <f>[20]January_2019!AH7</f>
        <v>#REF!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>
      <c r="B61" s="431"/>
      <c r="C61" s="283"/>
      <c r="D61" s="377"/>
      <c r="E61" s="378"/>
      <c r="F61" s="379"/>
      <c r="G61" s="303"/>
      <c r="H61" s="320"/>
      <c r="I61" s="322"/>
      <c r="J61" s="281"/>
      <c r="K61" s="286"/>
      <c r="L61" s="314"/>
      <c r="M61" s="419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  <c r="AO61" s="418"/>
      <c r="AP61" s="418"/>
      <c r="AQ61" s="418"/>
      <c r="AR61" s="418"/>
      <c r="AS61" s="418"/>
      <c r="AT61" s="418"/>
      <c r="AU61" s="418"/>
      <c r="AV61" s="418"/>
      <c r="AW61" s="418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6"/>
      <c r="P62" s="60"/>
    </row>
    <row r="63" spans="2:57" ht="14.4" thickBot="1">
      <c r="B63" s="441" t="s">
        <v>55</v>
      </c>
      <c r="C63" s="442"/>
      <c r="D63" s="442"/>
      <c r="E63" s="442"/>
      <c r="F63" s="443"/>
      <c r="G63" s="441" t="s">
        <v>56</v>
      </c>
      <c r="H63" s="442"/>
      <c r="I63" s="442"/>
      <c r="J63" s="443"/>
      <c r="K63" s="441" t="s">
        <v>51</v>
      </c>
      <c r="L63" s="442"/>
      <c r="M63" s="442"/>
      <c r="N63" s="444"/>
      <c r="O63" s="56"/>
      <c r="P63" s="50"/>
    </row>
    <row r="64" spans="2:57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>
        <f>AVERAGE(L58,L60)</f>
        <v>7.0045947289750199</v>
      </c>
      <c r="D65" s="76">
        <v>5.4530188175840388</v>
      </c>
      <c r="E65" s="76">
        <v>6.868505102717501</v>
      </c>
      <c r="F65" s="66">
        <v>4.8</v>
      </c>
      <c r="G65" s="65">
        <f>AVERAGE([33]May_2025!$X$11:$Y$11)</f>
        <v>8.353503602981263</v>
      </c>
      <c r="H65" s="76">
        <v>5.4793130983753402</v>
      </c>
      <c r="I65" s="76">
        <v>6.9315592898270397</v>
      </c>
      <c r="J65" s="66">
        <v>4.8</v>
      </c>
      <c r="K65" s="67"/>
      <c r="L65" s="194">
        <v>0.70354897660818716</v>
      </c>
      <c r="M65" s="194">
        <v>0.75229569645890415</v>
      </c>
      <c r="N65" s="68">
        <v>1</v>
      </c>
      <c r="O65" s="56"/>
      <c r="P65" s="69"/>
    </row>
    <row r="66" spans="2:16">
      <c r="B66" s="33" t="s">
        <v>9</v>
      </c>
      <c r="C66" s="65"/>
      <c r="D66" s="76">
        <v>5.2022252292888638</v>
      </c>
      <c r="E66" s="76">
        <v>5.9617606818962967</v>
      </c>
      <c r="F66" s="66">
        <v>4.8</v>
      </c>
      <c r="G66" s="65"/>
      <c r="H66" s="76">
        <v>4.3078757344170349</v>
      </c>
      <c r="I66" s="76">
        <v>6.2686652702189285</v>
      </c>
      <c r="J66" s="66">
        <v>4.8</v>
      </c>
      <c r="K66" s="67"/>
      <c r="L66" s="194">
        <v>0.61318713450292395</v>
      </c>
      <c r="M66" s="194">
        <v>0.74352497019151897</v>
      </c>
      <c r="N66" s="68">
        <v>1</v>
      </c>
      <c r="P66" s="69"/>
    </row>
    <row r="67" spans="2:16">
      <c r="B67" s="34" t="s">
        <v>40</v>
      </c>
      <c r="C67" s="65"/>
      <c r="D67" s="76"/>
      <c r="E67" s="76">
        <v>12.554572931825788</v>
      </c>
      <c r="F67" s="66">
        <v>5.5</v>
      </c>
      <c r="G67" s="65"/>
      <c r="H67" s="76"/>
      <c r="I67" s="76">
        <v>13.449891307585697</v>
      </c>
      <c r="J67" s="66">
        <v>5.5</v>
      </c>
      <c r="K67" s="67"/>
      <c r="L67" s="194"/>
      <c r="M67" s="194">
        <v>0.54554653679653675</v>
      </c>
      <c r="N67" s="68">
        <v>1</v>
      </c>
      <c r="P67" s="69"/>
    </row>
    <row r="68" spans="2:16">
      <c r="B68" s="22" t="s">
        <v>33</v>
      </c>
      <c r="C68" s="65"/>
      <c r="D68" s="76">
        <v>3.4057735971456373</v>
      </c>
      <c r="E68" s="76">
        <v>1.6190544721882421</v>
      </c>
      <c r="F68" s="66">
        <v>3.3</v>
      </c>
      <c r="G68" s="65"/>
      <c r="H68" s="76">
        <v>2.1612156300633463</v>
      </c>
      <c r="I68" s="76">
        <v>4.4964752224031521</v>
      </c>
      <c r="J68" s="66">
        <v>3.3</v>
      </c>
      <c r="K68" s="67"/>
      <c r="L68" s="194">
        <v>1.0449122807017543</v>
      </c>
      <c r="M68" s="194">
        <v>0.90649122807017535</v>
      </c>
      <c r="N68" s="68">
        <v>1</v>
      </c>
      <c r="P68" s="69"/>
    </row>
    <row r="69" spans="2:16">
      <c r="B69" s="35" t="s">
        <v>29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L69" s="194"/>
      <c r="M69" s="194"/>
      <c r="N69" s="68">
        <v>1</v>
      </c>
      <c r="P69" s="69"/>
    </row>
    <row r="70" spans="2:16">
      <c r="B70" s="36" t="s">
        <v>15</v>
      </c>
      <c r="C70" s="282"/>
      <c r="D70" s="76"/>
      <c r="E70" s="76">
        <v>7.8262258425171876</v>
      </c>
      <c r="F70" s="70">
        <f>[21]May_2022!$M$43</f>
        <v>3.4878406700073312</v>
      </c>
      <c r="G70" s="282"/>
      <c r="H70" s="76"/>
      <c r="I70" s="76">
        <v>9.4300678869947632</v>
      </c>
      <c r="J70" s="66">
        <v>5.5</v>
      </c>
      <c r="K70" s="67"/>
      <c r="L70" s="194"/>
      <c r="M70" s="194">
        <v>0.674970760233918</v>
      </c>
      <c r="N70" s="68">
        <v>1</v>
      </c>
      <c r="P70" s="69"/>
    </row>
    <row r="71" spans="2:16">
      <c r="B71" s="37" t="s">
        <v>16</v>
      </c>
      <c r="C71" s="65"/>
      <c r="D71" s="76">
        <v>3.8832609744331941</v>
      </c>
      <c r="E71" s="76">
        <v>2.4852159592783925</v>
      </c>
      <c r="F71" s="66">
        <v>3.3</v>
      </c>
      <c r="G71" s="282"/>
      <c r="H71" s="76">
        <v>4.1755914731086534</v>
      </c>
      <c r="I71" s="76">
        <v>4.4843055604984379</v>
      </c>
      <c r="J71" s="66">
        <v>3.3</v>
      </c>
      <c r="K71" s="67"/>
      <c r="L71" s="194">
        <v>0.69912280701754381</v>
      </c>
      <c r="M71" s="194">
        <v>0.79924705882352942</v>
      </c>
      <c r="N71" s="71">
        <v>1</v>
      </c>
      <c r="P71" s="69"/>
    </row>
    <row r="72" spans="2:16" ht="14.4" thickBot="1">
      <c r="B72" s="38" t="s">
        <v>127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4.4" thickBot="1">
      <c r="B73" s="417" t="s">
        <v>161</v>
      </c>
      <c r="C73" s="65"/>
      <c r="D73" s="76"/>
      <c r="E73" s="76">
        <v>4.8792508624938291</v>
      </c>
      <c r="F73" s="66">
        <v>4.8</v>
      </c>
      <c r="G73" s="282"/>
      <c r="H73" s="76"/>
      <c r="I73" s="76">
        <v>6.2003723782925313</v>
      </c>
      <c r="J73" s="66">
        <v>4.8</v>
      </c>
      <c r="K73" s="67"/>
      <c r="L73" s="194">
        <v>0</v>
      </c>
      <c r="M73" s="194">
        <v>0.33859649122807017</v>
      </c>
      <c r="N73" s="71">
        <v>1</v>
      </c>
      <c r="O73" s="74"/>
      <c r="P73" s="75"/>
    </row>
    <row r="74" spans="2:16">
      <c r="D74" s="76">
        <v>4.8476080078789163</v>
      </c>
      <c r="E74" s="76">
        <v>6.5155892779476794</v>
      </c>
      <c r="F74" s="341">
        <v>5.5</v>
      </c>
      <c r="H74" s="76">
        <v>4.71169169886016</v>
      </c>
      <c r="I74" s="76">
        <v>7.1520869052399991</v>
      </c>
      <c r="J74" s="341">
        <v>5.5</v>
      </c>
      <c r="K74" s="67"/>
      <c r="L74" s="194">
        <v>0.71522492127755288</v>
      </c>
      <c r="M74" s="194">
        <v>0.73651711121045049</v>
      </c>
      <c r="N74" s="386">
        <v>1</v>
      </c>
    </row>
    <row r="78" spans="2:16">
      <c r="F78" s="315"/>
    </row>
  </sheetData>
  <mergeCells count="51">
    <mergeCell ref="M56:M57"/>
    <mergeCell ref="B63:F63"/>
    <mergeCell ref="G63:J63"/>
    <mergeCell ref="K63:N63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791" priority="70" operator="notBetween">
      <formula>#REF!</formula>
      <formula>#REF!</formula>
    </cfRule>
  </conditionalFormatting>
  <conditionalFormatting sqref="C55">
    <cfRule type="cellIs" dxfId="790" priority="101" stopIfTrue="1" operator="lessThan">
      <formula>96</formula>
    </cfRule>
    <cfRule type="cellIs" dxfId="789" priority="102" stopIfTrue="1" operator="greaterThan">
      <formula>100</formula>
    </cfRule>
  </conditionalFormatting>
  <conditionalFormatting sqref="C65:C66">
    <cfRule type="cellIs" dxfId="788" priority="46" stopIfTrue="1" operator="lessThanOrEqual">
      <formula>0</formula>
    </cfRule>
  </conditionalFormatting>
  <conditionalFormatting sqref="C65:C69">
    <cfRule type="cellIs" dxfId="787" priority="45" stopIfTrue="1" operator="greaterThan">
      <formula>$F65</formula>
    </cfRule>
  </conditionalFormatting>
  <conditionalFormatting sqref="C66">
    <cfRule type="cellIs" dxfId="786" priority="105" stopIfTrue="1" operator="greaterThan">
      <formula>$F65</formula>
    </cfRule>
  </conditionalFormatting>
  <conditionalFormatting sqref="C67:C70">
    <cfRule type="cellIs" dxfId="785" priority="54" stopIfTrue="1" operator="lessThanOrEqual">
      <formula>0</formula>
    </cfRule>
  </conditionalFormatting>
  <conditionalFormatting sqref="C70">
    <cfRule type="cellIs" dxfId="784" priority="53" stopIfTrue="1" operator="greaterThan">
      <formula>$J70</formula>
    </cfRule>
  </conditionalFormatting>
  <conditionalFormatting sqref="C76:C80">
    <cfRule type="cellIs" dxfId="783" priority="93" stopIfTrue="1" operator="lessThanOrEqual">
      <formula>0</formula>
    </cfRule>
  </conditionalFormatting>
  <conditionalFormatting sqref="C77:C80">
    <cfRule type="cellIs" dxfId="782" priority="92" stopIfTrue="1" operator="greaterThan">
      <formula>$F$76</formula>
    </cfRule>
  </conditionalFormatting>
  <conditionalFormatting sqref="C82">
    <cfRule type="cellIs" dxfId="781" priority="94" stopIfTrue="1" operator="greaterThan">
      <formula>$F$76</formula>
    </cfRule>
    <cfRule type="cellIs" dxfId="780" priority="95" stopIfTrue="1" operator="lessThanOrEqual">
      <formula>0</formula>
    </cfRule>
  </conditionalFormatting>
  <conditionalFormatting sqref="C76:D76 D78:D84">
    <cfRule type="cellIs" dxfId="779" priority="87" stopIfTrue="1" operator="greaterThan">
      <formula>4.5</formula>
    </cfRule>
  </conditionalFormatting>
  <conditionalFormatting sqref="D51:D52">
    <cfRule type="cellIs" dxfId="778" priority="71" operator="notBetween">
      <formula>#REF!</formula>
      <formula>#REF!</formula>
    </cfRule>
  </conditionalFormatting>
  <conditionalFormatting sqref="D65:D72">
    <cfRule type="cellIs" dxfId="777" priority="64" stopIfTrue="1" operator="lessThanOrEqual">
      <formula>0</formula>
    </cfRule>
  </conditionalFormatting>
  <conditionalFormatting sqref="D73">
    <cfRule type="cellIs" dxfId="776" priority="63" stopIfTrue="1" operator="lessThanOrEqual">
      <formula>0</formula>
    </cfRule>
  </conditionalFormatting>
  <conditionalFormatting sqref="D76 D78:D84">
    <cfRule type="cellIs" dxfId="775" priority="88" stopIfTrue="1" operator="lessThanOrEqual">
      <formula>0</formula>
    </cfRule>
  </conditionalFormatting>
  <conditionalFormatting sqref="D77">
    <cfRule type="cellIs" dxfId="774" priority="80" stopIfTrue="1" operator="lessThanOrEqual">
      <formula>0</formula>
    </cfRule>
    <cfRule type="cellIs" dxfId="773" priority="79" stopIfTrue="1" operator="greaterThan">
      <formula>$F$76</formula>
    </cfRule>
  </conditionalFormatting>
  <conditionalFormatting sqref="D65:E74">
    <cfRule type="cellIs" dxfId="772" priority="42" stopIfTrue="1" operator="greaterThan">
      <formula>$F65</formula>
    </cfRule>
  </conditionalFormatting>
  <conditionalFormatting sqref="D74:E74">
    <cfRule type="cellIs" dxfId="771" priority="43" stopIfTrue="1" operator="lessThanOrEqual">
      <formula>0</formula>
    </cfRule>
  </conditionalFormatting>
  <conditionalFormatting sqref="E10:E26">
    <cfRule type="cellIs" dxfId="770" priority="2" operator="lessThan">
      <formula>48</formula>
    </cfRule>
  </conditionalFormatting>
  <conditionalFormatting sqref="E54 E55:F55">
    <cfRule type="cellIs" dxfId="769" priority="84" stopIfTrue="1" operator="greaterThan">
      <formula>100</formula>
    </cfRule>
  </conditionalFormatting>
  <conditionalFormatting sqref="E55">
    <cfRule type="cellIs" dxfId="768" priority="81" stopIfTrue="1" operator="lessThan">
      <formula>96.8</formula>
    </cfRule>
    <cfRule type="cellIs" dxfId="767" priority="82" stopIfTrue="1" operator="greaterThan">
      <formula>100</formula>
    </cfRule>
  </conditionalFormatting>
  <conditionalFormatting sqref="E65:E73">
    <cfRule type="cellIs" dxfId="766" priority="58" stopIfTrue="1" operator="lessThanOrEqual">
      <formula>0</formula>
    </cfRule>
  </conditionalFormatting>
  <conditionalFormatting sqref="E76:E84">
    <cfRule type="cellIs" dxfId="765" priority="73" stopIfTrue="1" operator="greaterThan">
      <formula>4.5</formula>
    </cfRule>
    <cfRule type="cellIs" dxfId="764" priority="74" stopIfTrue="1" operator="lessThanOrEqual">
      <formula>0</formula>
    </cfRule>
  </conditionalFormatting>
  <conditionalFormatting sqref="E55:F55 E54">
    <cfRule type="cellIs" dxfId="763" priority="83" stopIfTrue="1" operator="lessThan">
      <formula>96.5</formula>
    </cfRule>
  </conditionalFormatting>
  <conditionalFormatting sqref="F10:F26">
    <cfRule type="cellIs" dxfId="762" priority="3" operator="greaterThan">
      <formula>60</formula>
    </cfRule>
  </conditionalFormatting>
  <conditionalFormatting sqref="F55">
    <cfRule type="cellIs" dxfId="761" priority="100" stopIfTrue="1" operator="greaterThan">
      <formula>100</formula>
    </cfRule>
    <cfRule type="cellIs" dxfId="760" priority="99" stopIfTrue="1" operator="lessThan">
      <formula>96.8</formula>
    </cfRule>
  </conditionalFormatting>
  <conditionalFormatting sqref="F74">
    <cfRule type="cellIs" dxfId="759" priority="60" stopIfTrue="1" operator="lessThanOrEqual">
      <formula>0</formula>
    </cfRule>
    <cfRule type="cellIs" dxfId="758" priority="59" stopIfTrue="1" operator="greaterThan">
      <formula>$F74</formula>
    </cfRule>
  </conditionalFormatting>
  <conditionalFormatting sqref="G65:G66 C71:C73">
    <cfRule type="cellIs" dxfId="757" priority="65" stopIfTrue="1" operator="greaterThan">
      <formula>$F65</formula>
    </cfRule>
    <cfRule type="cellIs" dxfId="756" priority="66" stopIfTrue="1" operator="lessThanOrEqual">
      <formula>0</formula>
    </cfRule>
  </conditionalFormatting>
  <conditionalFormatting sqref="G65:G66">
    <cfRule type="cellIs" dxfId="755" priority="48" stopIfTrue="1" operator="lessThanOrEqual">
      <formula>0</formula>
    </cfRule>
    <cfRule type="cellIs" dxfId="754" priority="47" stopIfTrue="1" operator="greaterThan">
      <formula>$F65</formula>
    </cfRule>
  </conditionalFormatting>
  <conditionalFormatting sqref="G67">
    <cfRule type="cellIs" dxfId="753" priority="104" stopIfTrue="1" operator="lessThanOrEqual">
      <formula>0</formula>
    </cfRule>
    <cfRule type="cellIs" dxfId="752" priority="103" stopIfTrue="1" operator="greaterThan">
      <formula>$F66</formula>
    </cfRule>
  </conditionalFormatting>
  <conditionalFormatting sqref="G68">
    <cfRule type="cellIs" dxfId="751" priority="61" stopIfTrue="1" operator="greaterThan">
      <formula>$F68</formula>
    </cfRule>
    <cfRule type="cellIs" dxfId="750" priority="62" stopIfTrue="1" operator="lessThanOrEqual">
      <formula>0</formula>
    </cfRule>
  </conditionalFormatting>
  <conditionalFormatting sqref="G69:G73">
    <cfRule type="cellIs" dxfId="749" priority="68" stopIfTrue="1" operator="lessThanOrEqual">
      <formula>0</formula>
    </cfRule>
    <cfRule type="cellIs" dxfId="748" priority="67" stopIfTrue="1" operator="greaterThan">
      <formula>$J69</formula>
    </cfRule>
  </conditionalFormatting>
  <conditionalFormatting sqref="G78:G83 C81 C83">
    <cfRule type="cellIs" dxfId="747" priority="96" stopIfTrue="1" operator="greaterThan">
      <formula>4.5</formula>
    </cfRule>
    <cfRule type="cellIs" dxfId="746" priority="97" stopIfTrue="1" operator="lessThanOrEqual">
      <formula>0</formula>
    </cfRule>
  </conditionalFormatting>
  <conditionalFormatting sqref="G10:H26">
    <cfRule type="expression" dxfId="745" priority="4">
      <formula>IF(+(IF(G10&lt;#REF!,0,IF(G10&gt;#REF!,0,1)))=0,1)</formula>
    </cfRule>
  </conditionalFormatting>
  <conditionalFormatting sqref="G77:H77">
    <cfRule type="cellIs" dxfId="744" priority="77" stopIfTrue="1" operator="greaterThan">
      <formula>$F$76</formula>
    </cfRule>
    <cfRule type="cellIs" dxfId="743" priority="78" stopIfTrue="1" operator="lessThanOrEqual">
      <formula>0</formula>
    </cfRule>
  </conditionalFormatting>
  <conditionalFormatting sqref="H40:H54 I42:I53">
    <cfRule type="cellIs" dxfId="742" priority="75" stopIfTrue="1" operator="greaterThan">
      <formula>0</formula>
    </cfRule>
  </conditionalFormatting>
  <conditionalFormatting sqref="H58:H61">
    <cfRule type="cellIs" dxfId="741" priority="25" stopIfTrue="1" operator="lessThanOrEqual">
      <formula>0</formula>
    </cfRule>
    <cfRule type="cellIs" dxfId="740" priority="24" stopIfTrue="1" operator="greaterThan">
      <formula>$F$42</formula>
    </cfRule>
    <cfRule type="cellIs" dxfId="739" priority="26" stopIfTrue="1" operator="greaterThan">
      <formula>$F$40</formula>
    </cfRule>
    <cfRule type="cellIs" dxfId="738" priority="15" stopIfTrue="1" operator="lessThanOrEqual">
      <formula>0</formula>
    </cfRule>
    <cfRule type="cellIs" dxfId="737" priority="16" stopIfTrue="1" operator="greaterThan">
      <formula>$F$39</formula>
    </cfRule>
    <cfRule type="cellIs" dxfId="736" priority="27" stopIfTrue="1" operator="lessThanOrEqual">
      <formula>0</formula>
    </cfRule>
  </conditionalFormatting>
  <conditionalFormatting sqref="H65:H72">
    <cfRule type="cellIs" dxfId="735" priority="52" stopIfTrue="1" operator="lessThanOrEqual">
      <formula>0</formula>
    </cfRule>
    <cfRule type="cellIs" dxfId="734" priority="51" stopIfTrue="1" operator="greaterThan">
      <formula>$J65</formula>
    </cfRule>
  </conditionalFormatting>
  <conditionalFormatting sqref="H73">
    <cfRule type="cellIs" dxfId="733" priority="55" operator="greaterThan">
      <formula>5.3</formula>
    </cfRule>
  </conditionalFormatting>
  <conditionalFormatting sqref="H76 H78:H84">
    <cfRule type="cellIs" dxfId="732" priority="89" stopIfTrue="1" operator="greaterThan">
      <formula>4.5</formula>
    </cfRule>
    <cfRule type="cellIs" dxfId="731" priority="90" stopIfTrue="1" operator="lessThanOrEqual">
      <formula>0</formula>
    </cfRule>
  </conditionalFormatting>
  <conditionalFormatting sqref="H58:I61">
    <cfRule type="cellIs" dxfId="730" priority="14" stopIfTrue="1" operator="greaterThan">
      <formula>$F$41</formula>
    </cfRule>
    <cfRule type="cellIs" dxfId="729" priority="17" stopIfTrue="1" operator="lessThanOrEqual">
      <formula>0</formula>
    </cfRule>
  </conditionalFormatting>
  <conditionalFormatting sqref="H74:I74">
    <cfRule type="cellIs" dxfId="728" priority="41" stopIfTrue="1" operator="lessThanOrEqual">
      <formula>0</formula>
    </cfRule>
    <cfRule type="cellIs" dxfId="727" priority="40" stopIfTrue="1" operator="greaterThan">
      <formula>$J74</formula>
    </cfRule>
  </conditionalFormatting>
  <conditionalFormatting sqref="I58:I61">
    <cfRule type="cellIs" dxfId="726" priority="22" stopIfTrue="1" operator="greaterThan">
      <formula>$F$39</formula>
    </cfRule>
    <cfRule type="cellIs" dxfId="725" priority="21" stopIfTrue="1" operator="lessThanOrEqual">
      <formula>0</formula>
    </cfRule>
    <cfRule type="cellIs" dxfId="724" priority="18" stopIfTrue="1" operator="greaterThan">
      <formula>$F$39</formula>
    </cfRule>
    <cfRule type="cellIs" dxfId="723" priority="19" stopIfTrue="1" operator="lessThanOrEqual">
      <formula>0</formula>
    </cfRule>
    <cfRule type="cellIs" dxfId="722" priority="20" stopIfTrue="1" operator="greaterThan">
      <formula>$F$41</formula>
    </cfRule>
    <cfRule type="cellIs" dxfId="721" priority="23" stopIfTrue="1" operator="lessThanOrEqual">
      <formula>0</formula>
    </cfRule>
  </conditionalFormatting>
  <conditionalFormatting sqref="I65:I73">
    <cfRule type="cellIs" dxfId="720" priority="57" stopIfTrue="1" operator="lessThanOrEqual">
      <formula>0</formula>
    </cfRule>
    <cfRule type="cellIs" dxfId="719" priority="56" stopIfTrue="1" operator="greaterThan">
      <formula>$J65</formula>
    </cfRule>
  </conditionalFormatting>
  <conditionalFormatting sqref="I76:I84">
    <cfRule type="cellIs" dxfId="718" priority="85" stopIfTrue="1" operator="greaterThan">
      <formula>4.5</formula>
    </cfRule>
    <cfRule type="cellIs" dxfId="717" priority="86" stopIfTrue="1" operator="lessThanOrEqual">
      <formula>0</formula>
    </cfRule>
  </conditionalFormatting>
  <conditionalFormatting sqref="I10:J26">
    <cfRule type="cellIs" dxfId="716" priority="13" operator="lessThan">
      <formula>97.9</formula>
    </cfRule>
  </conditionalFormatting>
  <conditionalFormatting sqref="J29:J31">
    <cfRule type="cellIs" dxfId="715" priority="32" operator="lessThan">
      <formula>98</formula>
    </cfRule>
    <cfRule type="cellIs" dxfId="714" priority="31" stopIfTrue="1" operator="greaterThan">
      <formula>100</formula>
    </cfRule>
    <cfRule type="cellIs" dxfId="713" priority="30" stopIfTrue="1" operator="lessThan">
      <formula>96.8</formula>
    </cfRule>
  </conditionalFormatting>
  <conditionalFormatting sqref="J29:J33">
    <cfRule type="cellIs" dxfId="712" priority="29" operator="lessThan">
      <formula>97.4</formula>
    </cfRule>
  </conditionalFormatting>
  <conditionalFormatting sqref="J34">
    <cfRule type="cellIs" dxfId="711" priority="33" operator="lessThan">
      <formula>98</formula>
    </cfRule>
  </conditionalFormatting>
  <conditionalFormatting sqref="J35:J37">
    <cfRule type="cellIs" dxfId="710" priority="35" stopIfTrue="1" operator="greaterThan">
      <formula>100</formula>
    </cfRule>
    <cfRule type="cellIs" dxfId="709" priority="34" stopIfTrue="1" operator="lessThan">
      <formula>96.8</formula>
    </cfRule>
  </conditionalFormatting>
  <conditionalFormatting sqref="J35:J38">
    <cfRule type="cellIs" dxfId="708" priority="36" operator="lessThan">
      <formula>98</formula>
    </cfRule>
  </conditionalFormatting>
  <conditionalFormatting sqref="J74">
    <cfRule type="cellIs" dxfId="707" priority="38" stopIfTrue="1" operator="lessThanOrEqual">
      <formula>0</formula>
    </cfRule>
    <cfRule type="cellIs" dxfId="706" priority="37" stopIfTrue="1" operator="greaterThan">
      <formula>$F74</formula>
    </cfRule>
  </conditionalFormatting>
  <conditionalFormatting sqref="K10:K26">
    <cfRule type="cellIs" dxfId="705" priority="12" operator="greaterThan">
      <formula>6.4</formula>
    </cfRule>
    <cfRule type="cellIs" dxfId="704" priority="9" operator="lessThan">
      <formula>4</formula>
    </cfRule>
    <cfRule type="cellIs" dxfId="703" priority="8" operator="greaterThan">
      <formula>6</formula>
    </cfRule>
  </conditionalFormatting>
  <conditionalFormatting sqref="K43:K52">
    <cfRule type="cellIs" dxfId="702" priority="28" operator="notEqual">
      <formula>#REF!</formula>
    </cfRule>
  </conditionalFormatting>
  <conditionalFormatting sqref="K58:K61">
    <cfRule type="cellIs" dxfId="701" priority="1" stopIfTrue="1" operator="lessThan">
      <formula>100%</formula>
    </cfRule>
  </conditionalFormatting>
  <conditionalFormatting sqref="K76:K81">
    <cfRule type="cellIs" dxfId="700" priority="91" stopIfTrue="1" operator="lessThan">
      <formula>100%</formula>
    </cfRule>
  </conditionalFormatting>
  <conditionalFormatting sqref="K83:K84">
    <cfRule type="cellIs" dxfId="699" priority="98" stopIfTrue="1" operator="lessThan">
      <formula>100%</formula>
    </cfRule>
  </conditionalFormatting>
  <conditionalFormatting sqref="K65:N68 L69:N69">
    <cfRule type="cellIs" dxfId="698" priority="69" stopIfTrue="1" operator="lessThan">
      <formula>100%</formula>
    </cfRule>
  </conditionalFormatting>
  <conditionalFormatting sqref="K70:N74">
    <cfRule type="cellIs" dxfId="697" priority="39" stopIfTrue="1" operator="lessThan">
      <formula>100%</formula>
    </cfRule>
  </conditionalFormatting>
  <conditionalFormatting sqref="L10:L26">
    <cfRule type="cellIs" dxfId="696" priority="11" operator="greaterThan">
      <formula>65</formula>
    </cfRule>
    <cfRule type="cellIs" dxfId="695" priority="10" operator="between">
      <formula>61</formula>
      <formula>65</formula>
    </cfRule>
  </conditionalFormatting>
  <conditionalFormatting sqref="L44:N44">
    <cfRule type="cellIs" dxfId="694" priority="6" operator="notEqual">
      <formula>#REF!</formula>
    </cfRule>
  </conditionalFormatting>
  <conditionalFormatting sqref="L76:N84">
    <cfRule type="cellIs" dxfId="693" priority="76" stopIfTrue="1" operator="lessThan">
      <formula>100%</formula>
    </cfRule>
  </conditionalFormatting>
  <conditionalFormatting sqref="M10:M26">
    <cfRule type="expression" dxfId="692" priority="7">
      <formula>IF(+(IF(M10&lt;U10,0,IF(M10&gt;V10,0,1)))=0,1)</formula>
    </cfRule>
  </conditionalFormatting>
  <conditionalFormatting sqref="M29 L30:M40">
    <cfRule type="cellIs" dxfId="691" priority="44" operator="lessThan">
      <formula>98</formula>
    </cfRule>
  </conditionalFormatting>
  <conditionalFormatting sqref="N10:N26">
    <cfRule type="expression" dxfId="690" priority="5">
      <formula>IF(+(IF(N10&lt;W10,0,IF(N10&gt;X10,0,1)))=0,1)</formula>
    </cfRule>
  </conditionalFormatting>
  <conditionalFormatting sqref="P6">
    <cfRule type="cellIs" dxfId="689" priority="72" operator="greaterThanOrEqual">
      <formula>19</formula>
    </cfRule>
  </conditionalFormatting>
  <dataValidations count="1">
    <dataValidation type="list" allowBlank="1" showInputMessage="1" showErrorMessage="1" sqref="R8" xr:uid="{2259C1E9-E697-4498-AF08-ADDEC6FEE28D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CDB16-15E2-4784-AA54-606F664813F8}">
  <sheetPr codeName="Sheet16">
    <pageSetUpPr fitToPage="1"/>
  </sheetPr>
  <dimension ref="A1:BE78"/>
  <sheetViews>
    <sheetView topLeftCell="A19" zoomScale="80" zoomScaleNormal="80" workbookViewId="0">
      <selection activeCell="G59" sqref="G59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26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15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45800</v>
      </c>
      <c r="J4" s="399" t="s">
        <v>215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216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[22]Brewhouse!$A472</f>
        <v>CA367</v>
      </c>
      <c r="D10" s="279">
        <f>[22]Brewhouse!$AF472</f>
        <v>53.5</v>
      </c>
      <c r="E10" s="279">
        <f>[22]Brewhouse!$AI472</f>
        <v>49.6</v>
      </c>
      <c r="F10" s="278">
        <f>[22]Brewhouse!$V472</f>
        <v>60</v>
      </c>
      <c r="G10" s="279">
        <f>[22]Brewhouse!$AG472</f>
        <v>11.98</v>
      </c>
      <c r="H10" s="396">
        <v>12</v>
      </c>
      <c r="I10" s="368">
        <f>[22]Brewhouse!$AU472</f>
        <v>100.20325573917277</v>
      </c>
      <c r="J10" s="368">
        <f>[22]Brewhouse!$AV472</f>
        <v>102.50385867030386</v>
      </c>
      <c r="K10" s="281">
        <f>[22]Brewhouse!$Q472</f>
        <v>8.7234042553191387</v>
      </c>
      <c r="L10" s="276">
        <f>[22]Brewhouse!$P472</f>
        <v>59</v>
      </c>
      <c r="M10" s="397">
        <f>[22]Brewhouse!$U472-[22]Brewhouse!$T472</f>
        <v>0.11388888888888893</v>
      </c>
      <c r="N10" s="370">
        <f>[22]Brewhouse!$Z472</f>
        <v>0.24305555555555558</v>
      </c>
      <c r="O10" s="371" t="str">
        <f>[22]Brewhouse!$AX472</f>
        <v>R. Regis</v>
      </c>
      <c r="P10" s="423"/>
      <c r="R10" s="277" t="str">
        <f>B10</f>
        <v>CARIB</v>
      </c>
      <c r="S10" s="296">
        <f t="shared" ref="S10:S28" si="0">VLOOKUP($B10,$R$3:$X$9,2,FALSE)</f>
        <v>11.6</v>
      </c>
      <c r="T10" s="296">
        <f t="shared" ref="T10:T28" si="1">VLOOKUP($B10,$R$3:$X$9,3,FALSE)</f>
        <v>12</v>
      </c>
      <c r="U10" s="297">
        <f t="shared" ref="U10:U28" si="2">VLOOKUP($B10,$R$3:$X$9,4,FALSE)</f>
        <v>0</v>
      </c>
      <c r="V10" s="297">
        <f t="shared" ref="V10:V28" si="3">VLOOKUP($B10,$R$3:$X$9,5,FALSE)</f>
        <v>0.118055555555556</v>
      </c>
      <c r="W10" s="297">
        <f t="shared" ref="W10:W28" si="4">VLOOKUP($B10,$R$3:$X$9,6,FALSE)</f>
        <v>0.22569444444444445</v>
      </c>
      <c r="X10" s="297">
        <f t="shared" ref="X10:X28" si="5">VLOOKUP($B10,$R$3:$X$9,7,FALSE)</f>
        <v>0.2638888888888889</v>
      </c>
      <c r="Y10" s="297">
        <f t="shared" ref="Y10:Y28" si="6">VLOOKUP($B10,$R$3:$Z$9,8,FALSE)</f>
        <v>0</v>
      </c>
      <c r="Z10" s="296">
        <f t="shared" ref="Z10:Z28" si="7">VLOOKUP($B10,$R$3:$Z$9,9,FALSE)</f>
        <v>60</v>
      </c>
    </row>
    <row r="11" spans="2:29" ht="15.75" customHeight="1">
      <c r="B11" s="29" t="s">
        <v>6</v>
      </c>
      <c r="C11" s="366" t="str">
        <f>[22]Brewhouse!$A473</f>
        <v>CA368</v>
      </c>
      <c r="D11" s="279">
        <f>[22]Brewhouse!$AF473</f>
        <v>52.2</v>
      </c>
      <c r="E11" s="279">
        <f>[22]Brewhouse!$AI473</f>
        <v>48.8</v>
      </c>
      <c r="F11" s="278">
        <f>[22]Brewhouse!$V473</f>
        <v>55</v>
      </c>
      <c r="G11" s="279">
        <f>[22]Brewhouse!$AG473</f>
        <v>11.71</v>
      </c>
      <c r="H11" s="396">
        <v>11.8</v>
      </c>
      <c r="I11" s="368">
        <f>[22]Brewhouse!$AU473</f>
        <v>96.242512503008982</v>
      </c>
      <c r="J11" s="368">
        <f>[22]Brewhouse!$AV473</f>
        <v>98.451921624389243</v>
      </c>
      <c r="K11" s="281">
        <f>[22]Brewhouse!$Q473</f>
        <v>8.0714285714285641</v>
      </c>
      <c r="L11" s="276">
        <f>[22]Brewhouse!$P473</f>
        <v>61</v>
      </c>
      <c r="M11" s="397">
        <f>[22]Brewhouse!$U473-[22]Brewhouse!$T473</f>
        <v>0.10069444444444442</v>
      </c>
      <c r="N11" s="370">
        <f>[22]Brewhouse!$Z473</f>
        <v>0.23055555555555557</v>
      </c>
      <c r="O11" s="371" t="str">
        <f>[22]Brewhouse!$AX473</f>
        <v>R. Regis</v>
      </c>
      <c r="P11" s="423"/>
      <c r="R11" s="277" t="str">
        <f>B11</f>
        <v>CARIB</v>
      </c>
      <c r="S11" s="296">
        <f t="shared" si="0"/>
        <v>11.6</v>
      </c>
      <c r="T11" s="296">
        <f t="shared" si="1"/>
        <v>12</v>
      </c>
      <c r="U11" s="297">
        <f t="shared" si="2"/>
        <v>0</v>
      </c>
      <c r="V11" s="297">
        <f t="shared" si="3"/>
        <v>0.118055555555556</v>
      </c>
      <c r="W11" s="297">
        <f t="shared" si="4"/>
        <v>0.22569444444444445</v>
      </c>
      <c r="X11" s="297">
        <f t="shared" si="5"/>
        <v>0.2638888888888889</v>
      </c>
      <c r="Y11" s="297">
        <f t="shared" si="6"/>
        <v>0</v>
      </c>
      <c r="Z11" s="296">
        <f t="shared" si="7"/>
        <v>60</v>
      </c>
    </row>
    <row r="12" spans="2:29" ht="15.75" customHeight="1">
      <c r="B12" s="29" t="s">
        <v>6</v>
      </c>
      <c r="C12" s="366" t="str">
        <f>[22]Brewhouse!$A474</f>
        <v>CA369</v>
      </c>
      <c r="D12" s="279">
        <f>[22]Brewhouse!$AF474</f>
        <v>53.4</v>
      </c>
      <c r="E12" s="279">
        <f>[22]Brewhouse!$AI474</f>
        <v>49.7</v>
      </c>
      <c r="F12" s="278">
        <f>[22]Brewhouse!$V474</f>
        <v>67</v>
      </c>
      <c r="G12" s="279">
        <f>[22]Brewhouse!$AG474</f>
        <v>12.12</v>
      </c>
      <c r="H12" s="396">
        <v>11.9</v>
      </c>
      <c r="I12" s="368">
        <f>[22]Brewhouse!$AU474</f>
        <v>101.54386197711933</v>
      </c>
      <c r="J12" s="368">
        <f>[22]Brewhouse!$AV474</f>
        <v>103.87497251276139</v>
      </c>
      <c r="K12" s="281">
        <f>[22]Brewhouse!$Q474</f>
        <v>7.1403197158081628</v>
      </c>
      <c r="L12" s="276">
        <f>[22]Brewhouse!$P474</f>
        <v>61</v>
      </c>
      <c r="M12" s="397">
        <f>[22]Brewhouse!$U474-[22]Brewhouse!$T474</f>
        <v>0.11180555555555555</v>
      </c>
      <c r="N12" s="370">
        <f>[22]Brewhouse!$Z474</f>
        <v>0.24583333333333329</v>
      </c>
      <c r="O12" s="371" t="str">
        <f>[22]Brewhouse!$AX474</f>
        <v>R. Regis</v>
      </c>
      <c r="P12" s="423"/>
      <c r="R12" s="277" t="str">
        <f t="shared" ref="R12:R28" si="8">B12</f>
        <v>CARIB</v>
      </c>
      <c r="S12" s="296">
        <f t="shared" si="0"/>
        <v>11.6</v>
      </c>
      <c r="T12" s="296">
        <f t="shared" si="1"/>
        <v>12</v>
      </c>
      <c r="U12" s="297">
        <f t="shared" si="2"/>
        <v>0</v>
      </c>
      <c r="V12" s="297">
        <f t="shared" si="3"/>
        <v>0.118055555555556</v>
      </c>
      <c r="W12" s="297">
        <f t="shared" si="4"/>
        <v>0.22569444444444445</v>
      </c>
      <c r="X12" s="297">
        <f t="shared" si="5"/>
        <v>0.2638888888888889</v>
      </c>
      <c r="Y12" s="297">
        <f t="shared" si="6"/>
        <v>0</v>
      </c>
      <c r="Z12" s="296">
        <f t="shared" si="7"/>
        <v>60</v>
      </c>
    </row>
    <row r="13" spans="2:29" ht="15.75" customHeight="1">
      <c r="B13" s="29" t="s">
        <v>6</v>
      </c>
      <c r="C13" s="366" t="str">
        <f>[22]Brewhouse!$A475</f>
        <v>CA370</v>
      </c>
      <c r="D13" s="279">
        <f>[22]Brewhouse!$AF475</f>
        <v>55.5</v>
      </c>
      <c r="E13" s="279">
        <f>[22]Brewhouse!$AI475</f>
        <v>52</v>
      </c>
      <c r="F13" s="278">
        <f>[22]Brewhouse!$V475</f>
        <v>64</v>
      </c>
      <c r="G13" s="279">
        <f>[22]Brewhouse!$AG475</f>
        <v>12.03</v>
      </c>
      <c r="H13" s="396">
        <v>12</v>
      </c>
      <c r="I13" s="368">
        <f>[22]Brewhouse!$AU475</f>
        <v>101.92914166114666</v>
      </c>
      <c r="J13" s="368">
        <f>[22]Brewhouse!$AV475</f>
        <v>104.27253919457739</v>
      </c>
      <c r="K13" s="281">
        <f>[22]Brewhouse!$Q475</f>
        <v>5.1408450704225261</v>
      </c>
      <c r="L13" s="276">
        <f>[22]Brewhouse!$P475</f>
        <v>60</v>
      </c>
      <c r="M13" s="397">
        <f>[22]Brewhouse!$U475-[22]Brewhouse!$T475</f>
        <v>0.10833333333333339</v>
      </c>
      <c r="N13" s="370">
        <f>[22]Brewhouse!$Z475</f>
        <v>0.24513888888888891</v>
      </c>
      <c r="O13" s="371" t="str">
        <f>[22]Brewhouse!$AX475</f>
        <v>R. Regis</v>
      </c>
      <c r="P13" s="423"/>
      <c r="R13" s="277" t="str">
        <f t="shared" si="8"/>
        <v>CARIB</v>
      </c>
      <c r="S13" s="296">
        <f t="shared" si="0"/>
        <v>11.6</v>
      </c>
      <c r="T13" s="296">
        <f t="shared" si="1"/>
        <v>12</v>
      </c>
      <c r="U13" s="297">
        <f t="shared" si="2"/>
        <v>0</v>
      </c>
      <c r="V13" s="297">
        <f t="shared" si="3"/>
        <v>0.118055555555556</v>
      </c>
      <c r="W13" s="297">
        <f t="shared" si="4"/>
        <v>0.22569444444444445</v>
      </c>
      <c r="X13" s="297">
        <f t="shared" si="5"/>
        <v>0.2638888888888889</v>
      </c>
      <c r="Y13" s="297">
        <f t="shared" si="6"/>
        <v>0</v>
      </c>
      <c r="Z13" s="296">
        <f t="shared" si="7"/>
        <v>60</v>
      </c>
    </row>
    <row r="14" spans="2:29" ht="15.75" customHeight="1">
      <c r="B14" s="29" t="s">
        <v>6</v>
      </c>
      <c r="C14" s="366" t="str">
        <f>[22]Brewhouse!$A476</f>
        <v>CA371</v>
      </c>
      <c r="D14" s="279">
        <f>[22]Brewhouse!$AF476</f>
        <v>55.5</v>
      </c>
      <c r="E14" s="279">
        <f>[22]Brewhouse!$AI476</f>
        <v>52.1</v>
      </c>
      <c r="F14" s="278">
        <f>[22]Brewhouse!$V476</f>
        <v>65</v>
      </c>
      <c r="G14" s="279">
        <f>[22]Brewhouse!$AG476</f>
        <v>11.61</v>
      </c>
      <c r="H14" s="396">
        <v>11.6</v>
      </c>
      <c r="I14" s="368">
        <f>[22]Brewhouse!$AU476</f>
        <v>98.425622276353863</v>
      </c>
      <c r="J14" s="368">
        <f>[22]Brewhouse!$AV476</f>
        <v>100.68859587656844</v>
      </c>
      <c r="K14" s="281">
        <f>[22]Brewhouse!$Q476</f>
        <v>3.6135957066189559</v>
      </c>
      <c r="L14" s="276">
        <f>[22]Brewhouse!$P476</f>
        <v>57</v>
      </c>
      <c r="M14" s="397">
        <f>[22]Brewhouse!$U476-[22]Brewhouse!$T476</f>
        <v>0.10833333333333339</v>
      </c>
      <c r="N14" s="370">
        <f>[22]Brewhouse!$Z476</f>
        <v>0.25347222222222221</v>
      </c>
      <c r="O14" s="371" t="str">
        <f>[22]Brewhouse!$AX476</f>
        <v>R. Sookram</v>
      </c>
      <c r="P14" s="423"/>
      <c r="R14" s="277" t="str">
        <f t="shared" si="8"/>
        <v>CARIB</v>
      </c>
      <c r="S14" s="296">
        <f t="shared" si="0"/>
        <v>11.6</v>
      </c>
      <c r="T14" s="296">
        <f t="shared" si="1"/>
        <v>12</v>
      </c>
      <c r="U14" s="297">
        <f t="shared" si="2"/>
        <v>0</v>
      </c>
      <c r="V14" s="297">
        <f t="shared" si="3"/>
        <v>0.118055555555556</v>
      </c>
      <c r="W14" s="297">
        <f t="shared" si="4"/>
        <v>0.22569444444444445</v>
      </c>
      <c r="X14" s="297">
        <f t="shared" si="5"/>
        <v>0.2638888888888889</v>
      </c>
      <c r="Y14" s="297">
        <f t="shared" si="6"/>
        <v>0</v>
      </c>
      <c r="Z14" s="296">
        <f t="shared" si="7"/>
        <v>60</v>
      </c>
    </row>
    <row r="15" spans="2:29" ht="15.75" customHeight="1">
      <c r="B15" s="29" t="s">
        <v>6</v>
      </c>
      <c r="C15" s="366" t="str">
        <f>[22]Brewhouse!$A477</f>
        <v>CA372</v>
      </c>
      <c r="D15" s="279">
        <f>[22]Brewhouse!$AF477</f>
        <v>54.7</v>
      </c>
      <c r="E15" s="279">
        <f>[22]Brewhouse!$AI477</f>
        <v>51.3</v>
      </c>
      <c r="F15" s="278">
        <f>[22]Brewhouse!$V477</f>
        <v>62</v>
      </c>
      <c r="G15" s="279">
        <f>[22]Brewhouse!$AG477</f>
        <v>11.64</v>
      </c>
      <c r="H15" s="396">
        <v>11.6</v>
      </c>
      <c r="I15" s="368">
        <f>[22]Brewhouse!$AU477</f>
        <v>96.914288345047083</v>
      </c>
      <c r="J15" s="368">
        <f>[22]Brewhouse!$AV477</f>
        <v>99.142513790172003</v>
      </c>
      <c r="K15" s="281">
        <f>[22]Brewhouse!$Q477</f>
        <v>3.7789661319073033</v>
      </c>
      <c r="L15" s="276">
        <f>[22]Brewhouse!$P477</f>
        <v>60</v>
      </c>
      <c r="M15" s="397">
        <f>[22]Brewhouse!$U477-[22]Brewhouse!$T477</f>
        <v>0.10416666666666674</v>
      </c>
      <c r="N15" s="370">
        <f>[22]Brewhouse!$Z477</f>
        <v>0.26250000000000007</v>
      </c>
      <c r="O15" s="371" t="str">
        <f>[22]Brewhouse!$AX477</f>
        <v>R. Sookram</v>
      </c>
      <c r="P15" s="423"/>
      <c r="R15" s="277" t="str">
        <f t="shared" si="8"/>
        <v>CARIB</v>
      </c>
      <c r="S15" s="296">
        <f t="shared" si="0"/>
        <v>11.6</v>
      </c>
      <c r="T15" s="296">
        <f t="shared" si="1"/>
        <v>12</v>
      </c>
      <c r="U15" s="297">
        <f t="shared" si="2"/>
        <v>0</v>
      </c>
      <c r="V15" s="297">
        <f t="shared" si="3"/>
        <v>0.118055555555556</v>
      </c>
      <c r="W15" s="297">
        <f t="shared" si="4"/>
        <v>0.22569444444444445</v>
      </c>
      <c r="X15" s="297">
        <f t="shared" si="5"/>
        <v>0.2638888888888889</v>
      </c>
      <c r="Y15" s="297">
        <f t="shared" si="6"/>
        <v>0</v>
      </c>
      <c r="Z15" s="296">
        <f t="shared" si="7"/>
        <v>60</v>
      </c>
    </row>
    <row r="16" spans="2:29" ht="15.75" customHeight="1">
      <c r="B16" s="29" t="s">
        <v>6</v>
      </c>
      <c r="C16" s="366" t="str">
        <f>[22]Brewhouse!$A478</f>
        <v>CA373</v>
      </c>
      <c r="D16" s="279">
        <f>[22]Brewhouse!$AF478</f>
        <v>54.8</v>
      </c>
      <c r="E16" s="279">
        <f>[22]Brewhouse!$AI478</f>
        <v>50.7</v>
      </c>
      <c r="F16" s="278">
        <f>[22]Brewhouse!$V478</f>
        <v>62</v>
      </c>
      <c r="G16" s="279">
        <f>[22]Brewhouse!$AG478</f>
        <v>11.64</v>
      </c>
      <c r="H16" s="396">
        <v>11.6</v>
      </c>
      <c r="I16" s="368">
        <f>[22]Brewhouse!$AU478</f>
        <v>95.899416163198268</v>
      </c>
      <c r="J16" s="368">
        <f>[22]Brewhouse!$AV478</f>
        <v>98.104187552732569</v>
      </c>
      <c r="K16" s="281">
        <f>[22]Brewhouse!$Q478</f>
        <v>4.6208112874779621</v>
      </c>
      <c r="L16" s="276">
        <f>[22]Brewhouse!$P478</f>
        <v>59</v>
      </c>
      <c r="M16" s="397">
        <f>[22]Brewhouse!$U478-[22]Brewhouse!$T478</f>
        <v>0.10069444444444453</v>
      </c>
      <c r="N16" s="370">
        <f>[22]Brewhouse!$Z478</f>
        <v>0.25138888888888888</v>
      </c>
      <c r="O16" s="371" t="str">
        <f>[22]Brewhouse!$AX478</f>
        <v>R. Sookram</v>
      </c>
      <c r="P16" s="423"/>
      <c r="R16" s="277" t="str">
        <f t="shared" si="8"/>
        <v>CARIB</v>
      </c>
      <c r="S16" s="296">
        <f t="shared" si="0"/>
        <v>11.6</v>
      </c>
      <c r="T16" s="296">
        <f t="shared" si="1"/>
        <v>12</v>
      </c>
      <c r="U16" s="297">
        <f t="shared" si="2"/>
        <v>0</v>
      </c>
      <c r="V16" s="297">
        <f t="shared" si="3"/>
        <v>0.118055555555556</v>
      </c>
      <c r="W16" s="297">
        <f t="shared" si="4"/>
        <v>0.22569444444444445</v>
      </c>
      <c r="X16" s="297">
        <f t="shared" si="5"/>
        <v>0.2638888888888889</v>
      </c>
      <c r="Y16" s="297">
        <f t="shared" si="6"/>
        <v>0</v>
      </c>
      <c r="Z16" s="296">
        <f t="shared" si="7"/>
        <v>60</v>
      </c>
    </row>
    <row r="17" spans="1:26" ht="15.75" customHeight="1">
      <c r="B17" s="29" t="s">
        <v>6</v>
      </c>
      <c r="C17" s="366" t="str">
        <f>[22]Brewhouse!$A479</f>
        <v>CA374</v>
      </c>
      <c r="D17" s="279">
        <f>[22]Brewhouse!$AF479</f>
        <v>56.7</v>
      </c>
      <c r="E17" s="279">
        <f>[22]Brewhouse!$AI479</f>
        <v>49.6</v>
      </c>
      <c r="F17" s="278">
        <f>[22]Brewhouse!$V479</f>
        <v>57</v>
      </c>
      <c r="G17" s="279">
        <f>[22]Brewhouse!$AG479</f>
        <v>11.6</v>
      </c>
      <c r="H17" s="396">
        <v>11.6</v>
      </c>
      <c r="I17" s="368">
        <f>[22]Brewhouse!$AU479</f>
        <v>93.818758218829061</v>
      </c>
      <c r="J17" s="368">
        <f>[22]Brewhouse!$AV479</f>
        <v>95.975694331667356</v>
      </c>
      <c r="K17" s="281">
        <f>[22]Brewhouse!$Q479</f>
        <v>2.9032258064516085</v>
      </c>
      <c r="L17" s="276">
        <f>[22]Brewhouse!$P479</f>
        <v>57</v>
      </c>
      <c r="M17" s="397">
        <f>[22]Brewhouse!$U479-[22]Brewhouse!$T479</f>
        <v>0.10555555555555551</v>
      </c>
      <c r="N17" s="370">
        <f>[22]Brewhouse!$Z479</f>
        <v>0.26180555555555551</v>
      </c>
      <c r="O17" s="371" t="str">
        <f>[22]Brewhouse!$AX479</f>
        <v>R. Sookram</v>
      </c>
      <c r="P17" s="423"/>
      <c r="R17" s="277" t="str">
        <f t="shared" si="8"/>
        <v>CARIB</v>
      </c>
      <c r="S17" s="296">
        <f t="shared" si="0"/>
        <v>11.6</v>
      </c>
      <c r="T17" s="296">
        <f t="shared" si="1"/>
        <v>12</v>
      </c>
      <c r="U17" s="297">
        <f t="shared" si="2"/>
        <v>0</v>
      </c>
      <c r="V17" s="297">
        <f t="shared" si="3"/>
        <v>0.118055555555556</v>
      </c>
      <c r="W17" s="297">
        <f t="shared" si="4"/>
        <v>0.22569444444444445</v>
      </c>
      <c r="X17" s="297">
        <f t="shared" si="5"/>
        <v>0.2638888888888889</v>
      </c>
      <c r="Y17" s="297">
        <f t="shared" si="6"/>
        <v>0</v>
      </c>
      <c r="Z17" s="296">
        <f t="shared" si="7"/>
        <v>60</v>
      </c>
    </row>
    <row r="18" spans="1:26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371"/>
      <c r="P18" s="423"/>
      <c r="R18" s="277"/>
      <c r="S18" s="296"/>
      <c r="T18" s="296"/>
      <c r="U18" s="297"/>
      <c r="V18" s="297"/>
      <c r="W18" s="297"/>
      <c r="X18" s="297"/>
      <c r="Y18" s="297"/>
      <c r="Z18" s="296"/>
    </row>
    <row r="19" spans="1:26" ht="15.75" customHeight="1">
      <c r="B19" s="33" t="s">
        <v>9</v>
      </c>
      <c r="C19" s="366" t="str">
        <f>[23]Brewhouse!$A229</f>
        <v>ST211</v>
      </c>
      <c r="D19" s="279">
        <f>[23]Brewhouse!$AD229</f>
        <v>54.4</v>
      </c>
      <c r="E19" s="279">
        <f>[23]Brewhouse!$AG229</f>
        <v>51</v>
      </c>
      <c r="F19" s="278">
        <f>[23]Brewhouse!$V229</f>
        <v>58</v>
      </c>
      <c r="G19" s="279">
        <f>[23]Brewhouse!$AE229</f>
        <v>12.3</v>
      </c>
      <c r="H19" s="396">
        <v>11.6</v>
      </c>
      <c r="I19" s="421">
        <f>[23]Brewhouse!$AS229</f>
        <v>104.17219224910809</v>
      </c>
      <c r="J19" s="421">
        <f>[23]Brewhouse!$AT229</f>
        <v>106.15324188277053</v>
      </c>
      <c r="K19" s="398">
        <f>[23]Brewhouse!$Q229</f>
        <v>2.372262773722623</v>
      </c>
      <c r="L19" s="276">
        <f>[23]Brewhouse!$P229</f>
        <v>60</v>
      </c>
      <c r="M19" s="374">
        <f>[23]Brewhouse!$U229-[23]Brewhouse!$T229</f>
        <v>0.12847222222222232</v>
      </c>
      <c r="N19" s="370">
        <f>[23]Brewhouse!$AW229</f>
        <v>0.28055555555555556</v>
      </c>
      <c r="O19" s="429" t="str">
        <f>[23]Brewhouse!$AV229</f>
        <v>K. Benjamin</v>
      </c>
      <c r="P19" s="423" t="s">
        <v>217</v>
      </c>
      <c r="R19" s="277" t="str">
        <f t="shared" si="8"/>
        <v>STAG</v>
      </c>
      <c r="S19" s="296">
        <f t="shared" si="0"/>
        <v>11.6</v>
      </c>
      <c r="T19" s="296">
        <f t="shared" si="1"/>
        <v>12</v>
      </c>
      <c r="U19" s="297">
        <f t="shared" si="2"/>
        <v>0</v>
      </c>
      <c r="V19" s="297">
        <f t="shared" si="3"/>
        <v>0.118055555555556</v>
      </c>
      <c r="W19" s="297">
        <f t="shared" si="4"/>
        <v>0.22569444444444445</v>
      </c>
      <c r="X19" s="297">
        <f t="shared" si="5"/>
        <v>0.2638888888888889</v>
      </c>
      <c r="Y19" s="297">
        <f t="shared" si="6"/>
        <v>0</v>
      </c>
      <c r="Z19" s="296">
        <f t="shared" si="7"/>
        <v>60</v>
      </c>
    </row>
    <row r="20" spans="1:26" ht="15.75" customHeight="1">
      <c r="B20" s="33" t="s">
        <v>9</v>
      </c>
      <c r="C20" s="366" t="str">
        <f>[23]Brewhouse!$A230</f>
        <v>ST212</v>
      </c>
      <c r="D20" s="279">
        <f>[23]Brewhouse!$AD230</f>
        <v>54.4</v>
      </c>
      <c r="E20" s="279">
        <f>[23]Brewhouse!$AG230</f>
        <v>51.1</v>
      </c>
      <c r="F20" s="278">
        <f>[23]Brewhouse!$V230</f>
        <v>61</v>
      </c>
      <c r="G20" s="279">
        <f>[23]Brewhouse!$AE230</f>
        <v>11.6</v>
      </c>
      <c r="H20" s="396">
        <v>11.6</v>
      </c>
      <c r="I20" s="421">
        <f>[23]Brewhouse!$AS230</f>
        <v>98.018130850466463</v>
      </c>
      <c r="J20" s="421">
        <f>[23]Brewhouse!$AT230</f>
        <v>99.88275953628667</v>
      </c>
      <c r="K20" s="398">
        <f>[23]Brewhouse!$Q230</f>
        <v>2.9038112522686053</v>
      </c>
      <c r="L20" s="276">
        <f>[23]Brewhouse!$P230</f>
        <v>60</v>
      </c>
      <c r="M20" s="374">
        <f>[23]Brewhouse!$U230-[23]Brewhouse!$T230</f>
        <v>0.12083333333333335</v>
      </c>
      <c r="N20" s="370">
        <f>[23]Brewhouse!$AW230</f>
        <v>0.30833333333333324</v>
      </c>
      <c r="O20" s="429" t="str">
        <f>[23]Brewhouse!$AV230</f>
        <v>K. Benjamin</v>
      </c>
      <c r="P20" s="423"/>
      <c r="R20" s="277" t="str">
        <f t="shared" si="8"/>
        <v>STAG</v>
      </c>
      <c r="S20" s="296">
        <f t="shared" si="0"/>
        <v>11.6</v>
      </c>
      <c r="T20" s="296">
        <f t="shared" si="1"/>
        <v>12</v>
      </c>
      <c r="U20" s="297">
        <f t="shared" si="2"/>
        <v>0</v>
      </c>
      <c r="V20" s="297">
        <f t="shared" si="3"/>
        <v>0.118055555555556</v>
      </c>
      <c r="W20" s="297">
        <f t="shared" si="4"/>
        <v>0.22569444444444445</v>
      </c>
      <c r="X20" s="297">
        <f t="shared" si="5"/>
        <v>0.2638888888888889</v>
      </c>
      <c r="Y20" s="297">
        <f t="shared" si="6"/>
        <v>0</v>
      </c>
      <c r="Z20" s="296">
        <f t="shared" si="7"/>
        <v>60</v>
      </c>
    </row>
    <row r="21" spans="1:26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3"/>
      <c r="R21" s="277">
        <f t="shared" si="8"/>
        <v>0</v>
      </c>
      <c r="S21" s="296" t="e">
        <f t="shared" si="0"/>
        <v>#N/A</v>
      </c>
      <c r="T21" s="296" t="e">
        <f t="shared" si="1"/>
        <v>#N/A</v>
      </c>
      <c r="U21" s="297" t="e">
        <f t="shared" si="2"/>
        <v>#N/A</v>
      </c>
      <c r="V21" s="297" t="e">
        <f t="shared" si="3"/>
        <v>#N/A</v>
      </c>
      <c r="W21" s="297" t="e">
        <f t="shared" si="4"/>
        <v>#N/A</v>
      </c>
      <c r="X21" s="297" t="e">
        <f t="shared" si="5"/>
        <v>#N/A</v>
      </c>
      <c r="Y21" s="297" t="e">
        <f t="shared" si="6"/>
        <v>#N/A</v>
      </c>
      <c r="Z21" s="296" t="e">
        <f t="shared" si="7"/>
        <v>#N/A</v>
      </c>
    </row>
    <row r="22" spans="1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3"/>
      <c r="R22" s="277">
        <f t="shared" si="8"/>
        <v>0</v>
      </c>
      <c r="S22" s="296" t="e">
        <f t="shared" si="0"/>
        <v>#N/A</v>
      </c>
      <c r="T22" s="296" t="e">
        <f t="shared" si="1"/>
        <v>#N/A</v>
      </c>
      <c r="U22" s="297" t="e">
        <f t="shared" si="2"/>
        <v>#N/A</v>
      </c>
      <c r="V22" s="297" t="e">
        <f t="shared" si="3"/>
        <v>#N/A</v>
      </c>
      <c r="W22" s="297" t="e">
        <f t="shared" si="4"/>
        <v>#N/A</v>
      </c>
      <c r="X22" s="297" t="e">
        <f t="shared" si="5"/>
        <v>#N/A</v>
      </c>
      <c r="Y22" s="297" t="e">
        <f t="shared" si="6"/>
        <v>#N/A</v>
      </c>
      <c r="Z22" s="296" t="e">
        <f t="shared" si="7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3"/>
      <c r="R23" s="277">
        <f t="shared" si="8"/>
        <v>0</v>
      </c>
      <c r="S23" s="296" t="e">
        <f t="shared" si="0"/>
        <v>#N/A</v>
      </c>
      <c r="T23" s="296" t="e">
        <f t="shared" si="1"/>
        <v>#N/A</v>
      </c>
      <c r="U23" s="297" t="e">
        <f t="shared" si="2"/>
        <v>#N/A</v>
      </c>
      <c r="V23" s="297" t="e">
        <f t="shared" si="3"/>
        <v>#N/A</v>
      </c>
      <c r="W23" s="297" t="e">
        <f t="shared" si="4"/>
        <v>#N/A</v>
      </c>
      <c r="X23" s="297" t="e">
        <f t="shared" si="5"/>
        <v>#N/A</v>
      </c>
      <c r="Y23" s="297" t="e">
        <f t="shared" si="6"/>
        <v>#N/A</v>
      </c>
      <c r="Z23" s="296" t="e">
        <f t="shared" si="7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3"/>
      <c r="R24" s="277">
        <f t="shared" si="8"/>
        <v>0</v>
      </c>
      <c r="S24" s="296" t="e">
        <f t="shared" si="0"/>
        <v>#N/A</v>
      </c>
      <c r="T24" s="296" t="e">
        <f t="shared" si="1"/>
        <v>#N/A</v>
      </c>
      <c r="U24" s="297" t="e">
        <f t="shared" si="2"/>
        <v>#N/A</v>
      </c>
      <c r="V24" s="297" t="e">
        <f t="shared" si="3"/>
        <v>#N/A</v>
      </c>
      <c r="W24" s="297" t="e">
        <f t="shared" si="4"/>
        <v>#N/A</v>
      </c>
      <c r="X24" s="297" t="e">
        <f t="shared" si="5"/>
        <v>#N/A</v>
      </c>
      <c r="Y24" s="297" t="e">
        <f t="shared" si="6"/>
        <v>#N/A</v>
      </c>
      <c r="Z24" s="296" t="e">
        <f t="shared" si="7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9"/>
      <c r="P25" s="423"/>
      <c r="R25" s="277">
        <f t="shared" si="8"/>
        <v>0</v>
      </c>
      <c r="S25" s="296" t="e">
        <f t="shared" si="0"/>
        <v>#N/A</v>
      </c>
      <c r="T25" s="296" t="e">
        <f t="shared" si="1"/>
        <v>#N/A</v>
      </c>
      <c r="U25" s="297" t="e">
        <f t="shared" si="2"/>
        <v>#N/A</v>
      </c>
      <c r="V25" s="297" t="e">
        <f t="shared" si="3"/>
        <v>#N/A</v>
      </c>
      <c r="W25" s="297" t="e">
        <f t="shared" si="4"/>
        <v>#N/A</v>
      </c>
      <c r="X25" s="297" t="e">
        <f t="shared" si="5"/>
        <v>#N/A</v>
      </c>
      <c r="Y25" s="297" t="e">
        <f t="shared" si="6"/>
        <v>#N/A</v>
      </c>
      <c r="Z25" s="296" t="e">
        <f t="shared" si="7"/>
        <v>#N/A</v>
      </c>
    </row>
    <row r="26" spans="1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9"/>
      <c r="P26" s="423"/>
      <c r="R26" s="277">
        <f t="shared" si="8"/>
        <v>0</v>
      </c>
      <c r="S26" s="296" t="e">
        <f t="shared" si="0"/>
        <v>#N/A</v>
      </c>
      <c r="T26" s="296" t="e">
        <f t="shared" si="1"/>
        <v>#N/A</v>
      </c>
      <c r="U26" s="297" t="e">
        <f t="shared" si="2"/>
        <v>#N/A</v>
      </c>
      <c r="V26" s="297" t="e">
        <f t="shared" si="3"/>
        <v>#N/A</v>
      </c>
      <c r="W26" s="297" t="e">
        <f t="shared" si="4"/>
        <v>#N/A</v>
      </c>
      <c r="X26" s="297" t="e">
        <f t="shared" si="5"/>
        <v>#N/A</v>
      </c>
      <c r="Y26" s="297" t="e">
        <f t="shared" si="6"/>
        <v>#N/A</v>
      </c>
      <c r="Z26" s="296" t="e">
        <f t="shared" si="7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481" t="s">
        <v>34</v>
      </c>
      <c r="J27" s="481"/>
      <c r="K27" s="481"/>
      <c r="L27" s="481"/>
      <c r="M27" s="481"/>
      <c r="N27" s="481"/>
      <c r="O27" s="1"/>
      <c r="P27" s="12"/>
      <c r="R27" s="277">
        <f t="shared" si="8"/>
        <v>0</v>
      </c>
      <c r="S27" s="296" t="e">
        <f t="shared" si="0"/>
        <v>#N/A</v>
      </c>
      <c r="T27" s="296" t="e">
        <f t="shared" si="1"/>
        <v>#N/A</v>
      </c>
      <c r="U27" s="297" t="e">
        <f t="shared" si="2"/>
        <v>#N/A</v>
      </c>
      <c r="V27" s="297" t="e">
        <f t="shared" si="3"/>
        <v>#N/A</v>
      </c>
      <c r="W27" s="297" t="e">
        <f t="shared" si="4"/>
        <v>#N/A</v>
      </c>
      <c r="X27" s="297" t="e">
        <f t="shared" si="5"/>
        <v>#N/A</v>
      </c>
      <c r="Y27" s="297" t="e">
        <f t="shared" si="6"/>
        <v>#N/A</v>
      </c>
      <c r="Z27" s="296" t="e">
        <f t="shared" si="7"/>
        <v>#N/A</v>
      </c>
    </row>
    <row r="28" spans="1:26" ht="15" thickBot="1">
      <c r="B28" s="388" t="s">
        <v>145</v>
      </c>
      <c r="C28" s="388"/>
      <c r="D28" s="494" t="s">
        <v>35</v>
      </c>
      <c r="E28" s="495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8"/>
        <v>BRAND</v>
      </c>
      <c r="S28" s="296" t="e">
        <f t="shared" si="0"/>
        <v>#N/A</v>
      </c>
      <c r="T28" s="296" t="e">
        <f t="shared" si="1"/>
        <v>#N/A</v>
      </c>
      <c r="U28" s="297" t="e">
        <f t="shared" si="2"/>
        <v>#N/A</v>
      </c>
      <c r="V28" s="297" t="e">
        <f t="shared" si="3"/>
        <v>#N/A</v>
      </c>
      <c r="W28" s="297" t="e">
        <f t="shared" si="4"/>
        <v>#N/A</v>
      </c>
      <c r="X28" s="297" t="e">
        <f t="shared" si="5"/>
        <v>#N/A</v>
      </c>
      <c r="Y28" s="297" t="e">
        <f t="shared" si="6"/>
        <v>#N/A</v>
      </c>
      <c r="Z28" s="296" t="e">
        <f t="shared" si="7"/>
        <v>#N/A</v>
      </c>
    </row>
    <row r="29" spans="1:26" ht="15" customHeight="1">
      <c r="A29" s="28"/>
      <c r="B29" s="482" t="str">
        <f>I30</f>
        <v>STAG</v>
      </c>
      <c r="C29" s="362" cm="1">
        <f t="array" ref="C29:C30">[23]Process!$D$192:$D$193</f>
        <v>11.6</v>
      </c>
      <c r="D29" s="485">
        <v>11.87</v>
      </c>
      <c r="E29" s="474"/>
      <c r="F29" s="294"/>
      <c r="G29" s="294"/>
      <c r="H29" s="348"/>
      <c r="I29" s="29" t="s">
        <v>6</v>
      </c>
      <c r="J29" s="280">
        <f>AVERAGE('May 21st'!I19,'May 22nd'!I10:I17)</f>
        <v>98.314435099501424</v>
      </c>
      <c r="K29" s="284">
        <f>COUNTA([22]Brewhouse!$A$408:$A$479)</f>
        <v>72</v>
      </c>
      <c r="L29" s="302">
        <f>AVERAGE([22]Brewhouse!$AU$408:$AU$479)</f>
        <v>98.694624153781334</v>
      </c>
      <c r="M29" s="302">
        <f>AVERAGE([22]Brewhouse!$AU$102:$AU$171,[22]Brewhouse!$AU$173:$AU$253,[22]Brewhouse!$AU$255:$AU$339,[22]Brewhouse!$AU$341:$AU$346,[22]Brewhouse!$AU$348,[22]Brewhouse!$AU$349:$AU$406,[22]Brewhouse!$AU$408:$AU$479)</f>
        <v>97.646782679210006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6" ht="15" customHeight="1">
      <c r="A30" s="28"/>
      <c r="B30" s="483"/>
      <c r="C30" s="349">
        <v>11.9</v>
      </c>
      <c r="D30" s="486"/>
      <c r="E30" s="469"/>
      <c r="F30" s="294"/>
      <c r="G30" s="294"/>
      <c r="H30" s="348"/>
      <c r="I30" s="33" t="s">
        <v>9</v>
      </c>
      <c r="J30" s="280">
        <f>I19</f>
        <v>104.17219224910809</v>
      </c>
      <c r="K30" s="284">
        <f>COUNTA([23]Brewhouse!$A$195:$A$229)</f>
        <v>35</v>
      </c>
      <c r="L30" s="302">
        <f>AVERAGE([23]Brewhouse!$AS$195:$AS$229)</f>
        <v>100.04847377781131</v>
      </c>
      <c r="M30" s="302">
        <f>AVERAGE([23]Brewhouse!$AS$15:$AS$64,[23]Brewhouse!$AS$66:$AS$103,[23]Brewhouse!$AS$105:$AS$140,[23]Brewhouse!$AS$142:$AS$193,[23]Brewhouse!$AS$195:$AS$229)</f>
        <v>97.880245468569115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4.7" customHeight="1">
      <c r="A31" s="28"/>
      <c r="B31" s="483"/>
      <c r="C31" s="349"/>
      <c r="D31" s="485"/>
      <c r="E31" s="474"/>
      <c r="F31" s="294"/>
      <c r="G31" s="294"/>
      <c r="H31" s="348"/>
      <c r="I31" s="34" t="s">
        <v>12</v>
      </c>
      <c r="J31" s="280"/>
      <c r="K31" s="284">
        <f>COUNTA([24]Brewhouse!$A$47:$A$54)</f>
        <v>8</v>
      </c>
      <c r="L31" s="302">
        <f>AVERAGE([24]Brewhouse!$AU$47:$AU$54)</f>
        <v>96.792443337508828</v>
      </c>
      <c r="M31" s="302">
        <f>AVERAGE([24]Brewhouse!$AU$4:$AU$7,[24]Brewhouse!$AU$9:$AU$22,[24]Brewhouse!$AU$24:$AU$35,[24]Brewhouse!$AU$37:$AU$45,[24]Brewhouse!$AU$47:$AU$54)</f>
        <v>97.03665404260714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7" customHeight="1">
      <c r="A32" s="28"/>
      <c r="B32" s="483"/>
      <c r="C32" s="349"/>
      <c r="D32" s="486"/>
      <c r="E32" s="469"/>
      <c r="F32" s="294"/>
      <c r="G32" s="294"/>
      <c r="H32" s="348"/>
      <c r="I32" s="22" t="s">
        <v>33</v>
      </c>
      <c r="J32" s="280"/>
      <c r="K32" s="284">
        <f>COUNTA([25]Brewhouse!$A$35:$A$40)</f>
        <v>6</v>
      </c>
      <c r="L32" s="302">
        <f>AVERAGE([25]Brewhouse!$AV$35:$AV$40)</f>
        <v>99.729773602484485</v>
      </c>
      <c r="M32" s="302">
        <f>AVERAGE([25]Brewhouse!$AV$5:$AV$14,[25]Brewhouse!$AV$16:$AV$19,[25]Brewhouse!$AV$21:$AV$24,[25]Brewhouse!$AV$26:$AV$33,[25]Brewhouse!$AV$35:$AV$40)</f>
        <v>99.073437057623821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7" customHeight="1">
      <c r="A33" s="28"/>
      <c r="B33" s="483"/>
      <c r="C33" s="349"/>
      <c r="D33" s="485"/>
      <c r="E33" s="474"/>
      <c r="F33" s="422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56" ht="14.7" customHeight="1">
      <c r="A34" s="28"/>
      <c r="B34" s="483"/>
      <c r="C34" s="349"/>
      <c r="D34" s="486"/>
      <c r="E34" s="469"/>
      <c r="F34" s="422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AVERAGE([26]Brewhouse!$AT$4:$AT$11,[26]Brewhouse!$AT$13:$AT$16)</f>
        <v>95.165309917257005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7" customHeight="1">
      <c r="A35" s="28"/>
      <c r="B35" s="483"/>
      <c r="C35" s="349"/>
      <c r="D35" s="485"/>
      <c r="E35" s="474"/>
      <c r="F35" s="422"/>
      <c r="G35" s="294"/>
      <c r="H35" s="348"/>
      <c r="I35" s="37" t="s">
        <v>16</v>
      </c>
      <c r="J35" s="323"/>
      <c r="K35" s="284">
        <f>COUNTA([27]Brewhouse!$A$36:$A$43)</f>
        <v>8</v>
      </c>
      <c r="L35" s="302">
        <f>AVERAGE([27]Brewhouse!$AY$36:$AY$43)</f>
        <v>98.453561717677275</v>
      </c>
      <c r="M35" s="302">
        <f>AVERAGE([27]Brewhouse!$AY$6:$AY$13,[27]Brewhouse!$AY$15:$AY$20,[27]Brewhouse!$AY$22:$AY$29,[27]Brewhouse!$AY$31:$AY$34,[27]Brewhouse!$AY$36:$AY$43)</f>
        <v>96.669752433914965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7" customHeight="1">
      <c r="A36" s="28"/>
      <c r="B36" s="483"/>
      <c r="C36" s="349"/>
      <c r="D36" s="486"/>
      <c r="E36" s="469"/>
      <c r="F36" s="294"/>
      <c r="G36" s="294"/>
      <c r="H36" s="348"/>
      <c r="I36" s="412" t="s">
        <v>158</v>
      </c>
      <c r="J36" s="326"/>
      <c r="K36" s="284"/>
      <c r="L36" s="305"/>
      <c r="M36" s="305">
        <f>AVERAGE([28]Brewhouse!$AU$5:$AU$8)</f>
        <v>91.006888337619571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7" customHeight="1">
      <c r="A37" s="28"/>
      <c r="B37" s="483"/>
      <c r="C37" s="349"/>
      <c r="D37" s="485"/>
      <c r="E37" s="474"/>
      <c r="F37" s="294"/>
      <c r="G37" s="294"/>
      <c r="H37" s="348"/>
      <c r="I37" s="411" t="s">
        <v>157</v>
      </c>
      <c r="J37" s="326"/>
      <c r="K37" s="284"/>
      <c r="L37" s="305"/>
      <c r="M37" s="305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483"/>
      <c r="C38" s="349"/>
      <c r="D38" s="486"/>
      <c r="E38" s="469"/>
      <c r="F38" s="294"/>
      <c r="G38" s="294"/>
      <c r="H38" s="348"/>
      <c r="I38" s="407" t="s">
        <v>156</v>
      </c>
      <c r="J38" s="327"/>
      <c r="K38" s="408"/>
      <c r="L38" s="409"/>
      <c r="M38" s="409"/>
      <c r="N38" s="41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483"/>
      <c r="C39" s="349"/>
      <c r="D39" s="485"/>
      <c r="E39" s="474"/>
      <c r="F39" s="294"/>
      <c r="G39" s="294"/>
      <c r="H39" s="348"/>
      <c r="I39" s="1"/>
      <c r="J39" s="39"/>
      <c r="K39" s="405">
        <f>SUM(K29:K38)</f>
        <v>129</v>
      </c>
      <c r="L39" s="406">
        <f>((L29*K29)+(L30*K30)+(L31*K31)+(L32*K32)+(L33*K33)+(K36*L36)+(L34*K34)+(L35*K35)+(L38*K38))/(K39)</f>
        <v>98.977179870946102</v>
      </c>
      <c r="M39" s="406">
        <f>AVERAGE('[29]Jan 31st'!$L$65,'[30]Feb 28th'!$L$35,'[31]Mar. 31st'!$L$35,'[32]Apr. 30th'!$L$45,L39)</f>
        <v>97.676244232076854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thickBot="1">
      <c r="B40" s="484"/>
      <c r="C40" s="350"/>
      <c r="D40" s="486"/>
      <c r="E40" s="46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" thickBot="1">
      <c r="B41" s="528"/>
      <c r="C41" s="362"/>
      <c r="D41" s="466"/>
      <c r="E41" s="467"/>
      <c r="F41" s="294"/>
      <c r="G41" s="42"/>
      <c r="H41" s="41"/>
      <c r="I41" s="42"/>
      <c r="J41" s="519" t="s">
        <v>129</v>
      </c>
      <c r="K41" s="519"/>
      <c r="L41" s="294"/>
      <c r="M41" s="294"/>
      <c r="N41" s="294"/>
      <c r="O41" s="294"/>
      <c r="P41" s="12"/>
    </row>
    <row r="42" spans="1:56" ht="13.5" customHeight="1" thickBot="1">
      <c r="B42" s="521"/>
      <c r="C42" s="349"/>
      <c r="D42" s="468"/>
      <c r="E42" s="469"/>
      <c r="F42" s="294"/>
      <c r="G42" s="42"/>
      <c r="H42" s="41"/>
      <c r="I42" s="41"/>
      <c r="J42" s="292" t="s">
        <v>17</v>
      </c>
      <c r="K42" s="293" t="s">
        <v>147</v>
      </c>
      <c r="L42" s="471" t="s">
        <v>136</v>
      </c>
      <c r="M42" s="471"/>
      <c r="N42" s="472"/>
      <c r="O42" s="294"/>
      <c r="P42" s="12"/>
    </row>
    <row r="43" spans="1:56" ht="15" customHeight="1" thickBot="1">
      <c r="B43" s="521"/>
      <c r="C43" s="349"/>
      <c r="D43" s="473"/>
      <c r="E43" s="474"/>
      <c r="F43" s="294"/>
      <c r="G43" s="42"/>
      <c r="H43" s="41"/>
      <c r="I43" s="41"/>
      <c r="J43" s="287" t="s">
        <v>6</v>
      </c>
      <c r="K43" s="324">
        <f>COUNTA(B10:B17,1)</f>
        <v>9</v>
      </c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21"/>
      <c r="C44" s="349"/>
      <c r="D44" s="468"/>
      <c r="E44" s="469"/>
      <c r="F44" s="294"/>
      <c r="G44" s="42"/>
      <c r="H44" s="41"/>
      <c r="I44" s="41"/>
      <c r="J44" s="345" t="s">
        <v>9</v>
      </c>
      <c r="K44" s="324">
        <v>2</v>
      </c>
      <c r="L44" s="344">
        <f>AVERAGE('May 2nd -4th'!I70,'May 2nd -4th'!K70,'May 5th'!K77,'May 6th'!K60,'May 7th'!K57,'May 8th'!K53,'May 9th-10th'!I60,'May 9th-10th'!K60,'May 12th'!K43,'May 13th'!K45,'May 14th'!K50,'May 15th'!K49,'May 16th'!K52,'May 19th'!K48,'May 20th'!K49,'May 21st'!K53,K53)</f>
        <v>7.7058823529411766</v>
      </c>
      <c r="M44" s="325">
        <f>AVERAGE('[29]Jan 29th '!$M$70,'[30]Feb 28th'!$L$40,'[31]Mar. 31st'!$L$40,'[32]Apr. 30th'!$L$50,L44)</f>
        <v>6.7303307945251678</v>
      </c>
      <c r="N44" s="420">
        <v>9.1999999999999993</v>
      </c>
      <c r="O44" s="294"/>
      <c r="P44" s="12"/>
    </row>
    <row r="45" spans="1:56" ht="15" customHeight="1">
      <c r="B45" s="521"/>
      <c r="C45" s="349"/>
      <c r="D45" s="473"/>
      <c r="E45" s="474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1"/>
      <c r="C46" s="349"/>
      <c r="D46" s="468"/>
      <c r="E46" s="469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4.4">
      <c r="B47" s="521"/>
      <c r="C47" s="349"/>
      <c r="D47" s="473"/>
      <c r="E47" s="474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1"/>
      <c r="C48" s="349"/>
      <c r="D48" s="468"/>
      <c r="E48" s="46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1"/>
      <c r="C49" s="349"/>
      <c r="D49" s="475"/>
      <c r="E49" s="476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2"/>
      <c r="C50" s="350"/>
      <c r="D50" s="477"/>
      <c r="E50" s="478"/>
      <c r="F50" s="294"/>
      <c r="G50" s="42"/>
      <c r="H50" s="41"/>
      <c r="I50" s="41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457">
        <f>AVERAGE(D29:E50)</f>
        <v>11.87</v>
      </c>
      <c r="E51" s="458"/>
      <c r="F51" s="294"/>
      <c r="G51" s="42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11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P54" s="334"/>
    </row>
    <row r="55" spans="2:57" ht="15" customHeight="1" thickBo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8"/>
      <c r="O55" s="48"/>
      <c r="P55" s="49"/>
    </row>
    <row r="56" spans="2:57" ht="15" customHeight="1" thickBot="1">
      <c r="B56" s="447" t="s">
        <v>17</v>
      </c>
      <c r="C56" s="447" t="s">
        <v>44</v>
      </c>
      <c r="D56" s="459" t="s">
        <v>45</v>
      </c>
      <c r="E56" s="461" t="s">
        <v>46</v>
      </c>
      <c r="F56" s="455" t="s">
        <v>47</v>
      </c>
      <c r="G56" s="445" t="s">
        <v>48</v>
      </c>
      <c r="H56" s="447" t="s">
        <v>49</v>
      </c>
      <c r="I56" s="447" t="s">
        <v>50</v>
      </c>
      <c r="J56" s="439" t="s">
        <v>28</v>
      </c>
      <c r="K56" s="451" t="s">
        <v>51</v>
      </c>
      <c r="L56" s="453" t="s">
        <v>52</v>
      </c>
      <c r="M56" s="439" t="s">
        <v>53</v>
      </c>
      <c r="N56" s="13"/>
      <c r="O56" s="13"/>
      <c r="P56" s="50"/>
    </row>
    <row r="57" spans="2:57" ht="28.5" customHeight="1" thickTop="1" thickBot="1">
      <c r="B57" s="448"/>
      <c r="C57" s="448"/>
      <c r="D57" s="460"/>
      <c r="E57" s="462"/>
      <c r="F57" s="456"/>
      <c r="G57" s="446"/>
      <c r="H57" s="448"/>
      <c r="I57" s="448"/>
      <c r="J57" s="440"/>
      <c r="K57" s="452"/>
      <c r="L57" s="454"/>
      <c r="M57" s="440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1" customHeight="1">
      <c r="B58" s="430" t="str">
        <f>I30</f>
        <v>STAG</v>
      </c>
      <c r="C58" s="283">
        <v>45799</v>
      </c>
      <c r="D58" s="377">
        <f>[33]May_2025!$Y$13</f>
        <v>89.4</v>
      </c>
      <c r="E58" s="378"/>
      <c r="F58" s="379"/>
      <c r="G58" s="303">
        <f>[33]May_2025!$Y$17</f>
        <v>83.4</v>
      </c>
      <c r="H58" s="320"/>
      <c r="I58" s="322"/>
      <c r="J58" s="392" t="s">
        <v>188</v>
      </c>
      <c r="K58" s="286">
        <f>[35]May_2025!$Z$18</f>
        <v>0.29263157894736846</v>
      </c>
      <c r="L58" s="314">
        <f>(((D58+E58)-G58)/(D58+E58))*100</f>
        <v>6.7114093959731544</v>
      </c>
      <c r="M58" s="419" t="s">
        <v>213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  <c r="AO58" s="418"/>
      <c r="AP58" s="418"/>
      <c r="AQ58" s="418"/>
      <c r="AR58" s="418"/>
      <c r="AS58" s="418"/>
      <c r="AT58" s="418"/>
      <c r="AU58" s="418"/>
      <c r="AV58" s="418"/>
      <c r="AW58" s="418"/>
    </row>
    <row r="59" spans="2:57" s="54" customFormat="1" ht="23.25" customHeight="1">
      <c r="B59" s="415"/>
      <c r="C59" s="283"/>
      <c r="D59" s="377"/>
      <c r="E59" s="378"/>
      <c r="F59" s="379"/>
      <c r="G59" s="303"/>
      <c r="H59" s="320"/>
      <c r="I59" s="322"/>
      <c r="J59" s="281"/>
      <c r="K59" s="286"/>
      <c r="L59" s="314"/>
      <c r="M59" s="419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</row>
    <row r="60" spans="2:57" s="54" customFormat="1" ht="53.25" customHeight="1">
      <c r="B60" s="415"/>
      <c r="C60" s="283"/>
      <c r="D60" s="377"/>
      <c r="E60" s="378"/>
      <c r="F60" s="379"/>
      <c r="G60" s="303"/>
      <c r="H60" s="320"/>
      <c r="I60" s="322"/>
      <c r="J60" s="281"/>
      <c r="K60" s="286"/>
      <c r="L60" s="314"/>
      <c r="M60" s="419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 t="e">
        <f>[20]January_2019!L7</f>
        <v>#REF!</v>
      </c>
      <c r="AC60" s="57" t="e">
        <f>[20]January_2019!M7</f>
        <v>#REF!</v>
      </c>
      <c r="AD60" s="57" t="e">
        <f>[20]January_2019!N7</f>
        <v>#REF!</v>
      </c>
      <c r="AE60" s="57" t="e">
        <f>[20]January_2019!O7</f>
        <v>#REF!</v>
      </c>
      <c r="AF60" s="57" t="e">
        <f>[20]January_2019!P7</f>
        <v>#REF!</v>
      </c>
      <c r="AG60" s="57" t="e">
        <f>[20]January_2019!Q7</f>
        <v>#REF!</v>
      </c>
      <c r="AH60" s="57" t="e">
        <f>[20]January_2019!R7</f>
        <v>#REF!</v>
      </c>
      <c r="AI60" s="57" t="e">
        <f>[20]January_2019!S7</f>
        <v>#REF!</v>
      </c>
      <c r="AJ60" s="57" t="e">
        <f>[20]January_2019!T7</f>
        <v>#REF!</v>
      </c>
      <c r="AK60" s="57" t="e">
        <f>[20]January_2019!U7</f>
        <v>#REF!</v>
      </c>
      <c r="AL60" s="57" t="e">
        <f>[20]January_2019!V7</f>
        <v>#REF!</v>
      </c>
      <c r="AM60" s="57" t="e">
        <f>[20]January_2019!W7</f>
        <v>#REF!</v>
      </c>
      <c r="AN60" s="57" t="e">
        <f>[20]January_2019!X7</f>
        <v>#REF!</v>
      </c>
      <c r="AO60" s="57" t="e">
        <f>[20]January_2019!Y7</f>
        <v>#REF!</v>
      </c>
      <c r="AP60" s="57" t="e">
        <f>[20]January_2019!Z7</f>
        <v>#REF!</v>
      </c>
      <c r="AQ60" s="57" t="e">
        <f>[20]January_2019!AA7</f>
        <v>#REF!</v>
      </c>
      <c r="AR60" s="57" t="e">
        <f>[20]January_2019!AB7</f>
        <v>#REF!</v>
      </c>
      <c r="AS60" s="57" t="e">
        <f>[20]January_2019!AC7</f>
        <v>#REF!</v>
      </c>
      <c r="AT60" s="57" t="e">
        <f>[20]January_2019!AD7</f>
        <v>#REF!</v>
      </c>
      <c r="AU60" s="57" t="e">
        <f>[20]January_2019!AE7</f>
        <v>#REF!</v>
      </c>
      <c r="AV60" s="57" t="e">
        <f>[20]January_2019!AF7</f>
        <v>#REF!</v>
      </c>
      <c r="AW60" s="57" t="e">
        <f>[20]January_2019!AG7</f>
        <v>#REF!</v>
      </c>
      <c r="AX60" s="277" t="e">
        <f>[20]January_2019!AH7</f>
        <v>#REF!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>
      <c r="B61" s="431"/>
      <c r="C61" s="283"/>
      <c r="D61" s="377"/>
      <c r="E61" s="378"/>
      <c r="F61" s="379"/>
      <c r="G61" s="303"/>
      <c r="H61" s="320"/>
      <c r="I61" s="322"/>
      <c r="J61" s="281"/>
      <c r="K61" s="286"/>
      <c r="L61" s="314"/>
      <c r="M61" s="419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  <c r="AO61" s="418"/>
      <c r="AP61" s="418"/>
      <c r="AQ61" s="418"/>
      <c r="AR61" s="418"/>
      <c r="AS61" s="418"/>
      <c r="AT61" s="418"/>
      <c r="AU61" s="418"/>
      <c r="AV61" s="418"/>
      <c r="AW61" s="418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6"/>
      <c r="P62" s="60"/>
    </row>
    <row r="63" spans="2:57" ht="14.4" thickBot="1">
      <c r="B63" s="441" t="s">
        <v>55</v>
      </c>
      <c r="C63" s="442"/>
      <c r="D63" s="442"/>
      <c r="E63" s="442"/>
      <c r="F63" s="443"/>
      <c r="G63" s="441" t="s">
        <v>56</v>
      </c>
      <c r="H63" s="442"/>
      <c r="I63" s="442"/>
      <c r="J63" s="443"/>
      <c r="K63" s="441" t="s">
        <v>51</v>
      </c>
      <c r="L63" s="442"/>
      <c r="M63" s="442"/>
      <c r="N63" s="444"/>
      <c r="O63" s="56"/>
      <c r="P63" s="50"/>
    </row>
    <row r="64" spans="2:57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/>
      <c r="D65" s="76">
        <v>5.4530188175840388</v>
      </c>
      <c r="E65" s="76">
        <v>6.868505102717501</v>
      </c>
      <c r="F65" s="66">
        <v>4.8</v>
      </c>
      <c r="G65" s="65"/>
      <c r="H65" s="76">
        <v>5.4849755224482779</v>
      </c>
      <c r="I65" s="76">
        <v>6.9252389998460453</v>
      </c>
      <c r="J65" s="66">
        <v>4.8</v>
      </c>
      <c r="K65" s="67"/>
      <c r="L65" s="194">
        <v>0.65789148797920738</v>
      </c>
      <c r="M65" s="194">
        <v>0.74483760677447608</v>
      </c>
      <c r="N65" s="68">
        <v>1</v>
      </c>
      <c r="O65" s="56"/>
      <c r="P65" s="69"/>
    </row>
    <row r="66" spans="2:16">
      <c r="B66" s="33" t="s">
        <v>9</v>
      </c>
      <c r="C66" s="65">
        <f>L58</f>
        <v>6.7114093959731544</v>
      </c>
      <c r="D66" s="76">
        <v>5.2972668357283919</v>
      </c>
      <c r="E66" s="76">
        <v>5.9709003331637485</v>
      </c>
      <c r="F66" s="66">
        <v>4.8</v>
      </c>
      <c r="G66" s="65"/>
      <c r="H66" s="76">
        <v>4.3078757344170349</v>
      </c>
      <c r="I66" s="76">
        <v>6.2686652702189285</v>
      </c>
      <c r="J66" s="66">
        <v>4.8</v>
      </c>
      <c r="K66" s="67">
        <f>K58</f>
        <v>0.29263157894736846</v>
      </c>
      <c r="L66" s="194">
        <v>0.61318713450292395</v>
      </c>
      <c r="M66" s="194">
        <v>0.74352497019151897</v>
      </c>
      <c r="N66" s="68">
        <v>1</v>
      </c>
      <c r="P66" s="69"/>
    </row>
    <row r="67" spans="2:16">
      <c r="B67" s="34" t="s">
        <v>40</v>
      </c>
      <c r="C67" s="65"/>
      <c r="D67" s="76"/>
      <c r="E67" s="76">
        <v>12.554572931825788</v>
      </c>
      <c r="F67" s="66">
        <v>5.5</v>
      </c>
      <c r="G67" s="65"/>
      <c r="H67" s="76"/>
      <c r="I67" s="76">
        <v>13.449891307585697</v>
      </c>
      <c r="J67" s="66">
        <v>5.5</v>
      </c>
      <c r="K67" s="67"/>
      <c r="L67" s="194"/>
      <c r="M67" s="194">
        <v>0.54554653679653675</v>
      </c>
      <c r="N67" s="68">
        <v>1</v>
      </c>
      <c r="P67" s="69"/>
    </row>
    <row r="68" spans="2:16">
      <c r="B68" s="22" t="s">
        <v>33</v>
      </c>
      <c r="C68" s="65"/>
      <c r="D68" s="76">
        <v>3.4057735971456373</v>
      </c>
      <c r="E68" s="76">
        <v>1.6190544721882421</v>
      </c>
      <c r="F68" s="66">
        <v>3.3</v>
      </c>
      <c r="G68" s="65"/>
      <c r="H68" s="76">
        <v>2.1612156300633463</v>
      </c>
      <c r="I68" s="76">
        <v>4.4964752224031521</v>
      </c>
      <c r="J68" s="66">
        <v>3.3</v>
      </c>
      <c r="K68" s="67"/>
      <c r="L68" s="194">
        <v>1.0449122807017543</v>
      </c>
      <c r="M68" s="194">
        <v>0.90649122807017535</v>
      </c>
      <c r="N68" s="68">
        <v>1</v>
      </c>
      <c r="P68" s="69"/>
    </row>
    <row r="69" spans="2:16">
      <c r="B69" s="35" t="s">
        <v>29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L69" s="194"/>
      <c r="M69" s="194"/>
      <c r="N69" s="68">
        <v>1</v>
      </c>
      <c r="P69" s="69"/>
    </row>
    <row r="70" spans="2:16">
      <c r="B70" s="36" t="s">
        <v>15</v>
      </c>
      <c r="C70" s="282"/>
      <c r="D70" s="76"/>
      <c r="E70" s="76">
        <v>7.8262258425171876</v>
      </c>
      <c r="F70" s="70">
        <f>[21]May_2022!$M$43</f>
        <v>3.4878406700073312</v>
      </c>
      <c r="G70" s="282"/>
      <c r="H70" s="76"/>
      <c r="I70" s="76">
        <v>9.4300678869947632</v>
      </c>
      <c r="J70" s="66">
        <v>5.5</v>
      </c>
      <c r="K70" s="67"/>
      <c r="L70" s="194"/>
      <c r="M70" s="194">
        <v>0.674970760233918</v>
      </c>
      <c r="N70" s="68">
        <v>1</v>
      </c>
      <c r="P70" s="69"/>
    </row>
    <row r="71" spans="2:16">
      <c r="B71" s="37" t="s">
        <v>16</v>
      </c>
      <c r="C71" s="65"/>
      <c r="D71" s="76">
        <v>3.8832609744331941</v>
      </c>
      <c r="E71" s="76">
        <v>2.4852159592783925</v>
      </c>
      <c r="F71" s="66">
        <v>3.3</v>
      </c>
      <c r="G71" s="282"/>
      <c r="H71" s="76">
        <v>4.1755914731086534</v>
      </c>
      <c r="I71" s="76">
        <v>4.4843055604984379</v>
      </c>
      <c r="J71" s="66">
        <v>3.3</v>
      </c>
      <c r="K71" s="67"/>
      <c r="L71" s="194">
        <v>0.69912280701754381</v>
      </c>
      <c r="M71" s="194">
        <v>0.79924705882352942</v>
      </c>
      <c r="N71" s="71">
        <v>1</v>
      </c>
      <c r="P71" s="69"/>
    </row>
    <row r="72" spans="2:16" ht="14.4" thickBot="1">
      <c r="B72" s="38" t="s">
        <v>127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4.4" thickBot="1">
      <c r="B73" s="417" t="s">
        <v>161</v>
      </c>
      <c r="C73" s="65"/>
      <c r="D73" s="76"/>
      <c r="E73" s="76">
        <v>4.8792508624938291</v>
      </c>
      <c r="F73" s="66">
        <v>4.8</v>
      </c>
      <c r="G73" s="282"/>
      <c r="H73" s="76"/>
      <c r="I73" s="76">
        <v>6.2003723782925313</v>
      </c>
      <c r="J73" s="66">
        <v>4.8</v>
      </c>
      <c r="K73" s="67"/>
      <c r="L73" s="194"/>
      <c r="M73" s="194">
        <v>0.33859649122807017</v>
      </c>
      <c r="N73" s="71">
        <v>1</v>
      </c>
      <c r="O73" s="74"/>
      <c r="P73" s="75"/>
    </row>
    <row r="74" spans="2:16">
      <c r="D74" s="76">
        <v>4.8832199158773326</v>
      </c>
      <c r="E74" s="76">
        <v>6.5162468569677179</v>
      </c>
      <c r="F74" s="341">
        <v>5.5</v>
      </c>
      <c r="H74" s="76">
        <v>4.7283106695078834</v>
      </c>
      <c r="I74" s="76">
        <v>7.1484597214741621</v>
      </c>
      <c r="J74" s="341">
        <v>5.5</v>
      </c>
      <c r="K74" s="67"/>
      <c r="L74" s="194">
        <v>0.6850396825396825</v>
      </c>
      <c r="M74" s="194">
        <v>0.7327787135539795</v>
      </c>
      <c r="N74" s="386">
        <v>1</v>
      </c>
    </row>
    <row r="78" spans="2:16">
      <c r="F78" s="315"/>
    </row>
  </sheetData>
  <mergeCells count="51">
    <mergeCell ref="M56:M57"/>
    <mergeCell ref="B63:F63"/>
    <mergeCell ref="G63:J63"/>
    <mergeCell ref="K63:N63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688" priority="81" operator="notBetween">
      <formula>#REF!</formula>
      <formula>#REF!</formula>
    </cfRule>
  </conditionalFormatting>
  <conditionalFormatting sqref="C55">
    <cfRule type="cellIs" dxfId="687" priority="113" stopIfTrue="1" operator="greaterThan">
      <formula>100</formula>
    </cfRule>
    <cfRule type="cellIs" dxfId="686" priority="112" stopIfTrue="1" operator="lessThan">
      <formula>96</formula>
    </cfRule>
  </conditionalFormatting>
  <conditionalFormatting sqref="C65:C66">
    <cfRule type="cellIs" dxfId="685" priority="57" stopIfTrue="1" operator="lessThanOrEqual">
      <formula>0</formula>
    </cfRule>
  </conditionalFormatting>
  <conditionalFormatting sqref="C65:C69">
    <cfRule type="cellIs" dxfId="684" priority="56" stopIfTrue="1" operator="greaterThan">
      <formula>$F65</formula>
    </cfRule>
  </conditionalFormatting>
  <conditionalFormatting sqref="C66">
    <cfRule type="cellIs" dxfId="683" priority="116" stopIfTrue="1" operator="greaterThan">
      <formula>$F65</formula>
    </cfRule>
  </conditionalFormatting>
  <conditionalFormatting sqref="C67:C70">
    <cfRule type="cellIs" dxfId="682" priority="65" stopIfTrue="1" operator="lessThanOrEqual">
      <formula>0</formula>
    </cfRule>
  </conditionalFormatting>
  <conditionalFormatting sqref="C70">
    <cfRule type="cellIs" dxfId="681" priority="64" stopIfTrue="1" operator="greaterThan">
      <formula>$J70</formula>
    </cfRule>
  </conditionalFormatting>
  <conditionalFormatting sqref="C76:C80">
    <cfRule type="cellIs" dxfId="680" priority="104" stopIfTrue="1" operator="lessThanOrEqual">
      <formula>0</formula>
    </cfRule>
  </conditionalFormatting>
  <conditionalFormatting sqref="C77:C80">
    <cfRule type="cellIs" dxfId="679" priority="103" stopIfTrue="1" operator="greaterThan">
      <formula>$F$76</formula>
    </cfRule>
  </conditionalFormatting>
  <conditionalFormatting sqref="C82">
    <cfRule type="cellIs" dxfId="678" priority="106" stopIfTrue="1" operator="lessThanOrEqual">
      <formula>0</formula>
    </cfRule>
    <cfRule type="cellIs" dxfId="677" priority="105" stopIfTrue="1" operator="greaterThan">
      <formula>$F$76</formula>
    </cfRule>
  </conditionalFormatting>
  <conditionalFormatting sqref="C76:D76 D78:D84">
    <cfRule type="cellIs" dxfId="676" priority="98" stopIfTrue="1" operator="greaterThan">
      <formula>4.5</formula>
    </cfRule>
  </conditionalFormatting>
  <conditionalFormatting sqref="D51:D52">
    <cfRule type="cellIs" dxfId="675" priority="82" operator="notBetween">
      <formula>#REF!</formula>
      <formula>#REF!</formula>
    </cfRule>
  </conditionalFormatting>
  <conditionalFormatting sqref="D65:D72">
    <cfRule type="cellIs" dxfId="674" priority="75" stopIfTrue="1" operator="lessThanOrEqual">
      <formula>0</formula>
    </cfRule>
  </conditionalFormatting>
  <conditionalFormatting sqref="D73">
    <cfRule type="cellIs" dxfId="673" priority="74" stopIfTrue="1" operator="lessThanOrEqual">
      <formula>0</formula>
    </cfRule>
  </conditionalFormatting>
  <conditionalFormatting sqref="D76 D78:D84">
    <cfRule type="cellIs" dxfId="672" priority="99" stopIfTrue="1" operator="lessThanOrEqual">
      <formula>0</formula>
    </cfRule>
  </conditionalFormatting>
  <conditionalFormatting sqref="D77">
    <cfRule type="cellIs" dxfId="671" priority="91" stopIfTrue="1" operator="lessThanOrEqual">
      <formula>0</formula>
    </cfRule>
    <cfRule type="cellIs" dxfId="670" priority="90" stopIfTrue="1" operator="greaterThan">
      <formula>$F$76</formula>
    </cfRule>
  </conditionalFormatting>
  <conditionalFormatting sqref="D65:E74">
    <cfRule type="cellIs" dxfId="669" priority="53" stopIfTrue="1" operator="greaterThan">
      <formula>$F65</formula>
    </cfRule>
  </conditionalFormatting>
  <conditionalFormatting sqref="D74:E74">
    <cfRule type="cellIs" dxfId="668" priority="54" stopIfTrue="1" operator="lessThanOrEqual">
      <formula>0</formula>
    </cfRule>
  </conditionalFormatting>
  <conditionalFormatting sqref="E10:E26">
    <cfRule type="cellIs" dxfId="667" priority="2" operator="lessThan">
      <formula>48</formula>
    </cfRule>
  </conditionalFormatting>
  <conditionalFormatting sqref="E54 E55:F55">
    <cfRule type="cellIs" dxfId="666" priority="95" stopIfTrue="1" operator="greaterThan">
      <formula>100</formula>
    </cfRule>
  </conditionalFormatting>
  <conditionalFormatting sqref="E55">
    <cfRule type="cellIs" dxfId="665" priority="93" stopIfTrue="1" operator="greaterThan">
      <formula>100</formula>
    </cfRule>
    <cfRule type="cellIs" dxfId="664" priority="92" stopIfTrue="1" operator="lessThan">
      <formula>96.8</formula>
    </cfRule>
  </conditionalFormatting>
  <conditionalFormatting sqref="E65:E73">
    <cfRule type="cellIs" dxfId="663" priority="69" stopIfTrue="1" operator="lessThanOrEqual">
      <formula>0</formula>
    </cfRule>
  </conditionalFormatting>
  <conditionalFormatting sqref="E76:E84">
    <cfRule type="cellIs" dxfId="662" priority="84" stopIfTrue="1" operator="greaterThan">
      <formula>4.5</formula>
    </cfRule>
    <cfRule type="cellIs" dxfId="661" priority="85" stopIfTrue="1" operator="lessThanOrEqual">
      <formula>0</formula>
    </cfRule>
  </conditionalFormatting>
  <conditionalFormatting sqref="E55:F55 E54">
    <cfRule type="cellIs" dxfId="660" priority="94" stopIfTrue="1" operator="lessThan">
      <formula>96.5</formula>
    </cfRule>
  </conditionalFormatting>
  <conditionalFormatting sqref="F10:F26">
    <cfRule type="cellIs" dxfId="659" priority="3" operator="greaterThan">
      <formula>60</formula>
    </cfRule>
  </conditionalFormatting>
  <conditionalFormatting sqref="F55">
    <cfRule type="cellIs" dxfId="658" priority="110" stopIfTrue="1" operator="lessThan">
      <formula>96.8</formula>
    </cfRule>
    <cfRule type="cellIs" dxfId="657" priority="111" stopIfTrue="1" operator="greaterThan">
      <formula>100</formula>
    </cfRule>
  </conditionalFormatting>
  <conditionalFormatting sqref="F74">
    <cfRule type="cellIs" dxfId="656" priority="70" stopIfTrue="1" operator="greaterThan">
      <formula>$F74</formula>
    </cfRule>
    <cfRule type="cellIs" dxfId="655" priority="71" stopIfTrue="1" operator="lessThanOrEqual">
      <formula>0</formula>
    </cfRule>
  </conditionalFormatting>
  <conditionalFormatting sqref="G65:G66 C71:C73">
    <cfRule type="cellIs" dxfId="654" priority="77" stopIfTrue="1" operator="lessThanOrEqual">
      <formula>0</formula>
    </cfRule>
    <cfRule type="cellIs" dxfId="653" priority="76" stopIfTrue="1" operator="greaterThan">
      <formula>$F65</formula>
    </cfRule>
  </conditionalFormatting>
  <conditionalFormatting sqref="G65:G66">
    <cfRule type="cellIs" dxfId="652" priority="59" stopIfTrue="1" operator="lessThanOrEqual">
      <formula>0</formula>
    </cfRule>
    <cfRule type="cellIs" dxfId="651" priority="58" stopIfTrue="1" operator="greaterThan">
      <formula>$F65</formula>
    </cfRule>
  </conditionalFormatting>
  <conditionalFormatting sqref="G67">
    <cfRule type="cellIs" dxfId="650" priority="115" stopIfTrue="1" operator="lessThanOrEqual">
      <formula>0</formula>
    </cfRule>
    <cfRule type="cellIs" dxfId="649" priority="114" stopIfTrue="1" operator="greaterThan">
      <formula>$F66</formula>
    </cfRule>
  </conditionalFormatting>
  <conditionalFormatting sqref="G68">
    <cfRule type="cellIs" dxfId="648" priority="72" stopIfTrue="1" operator="greaterThan">
      <formula>$F68</formula>
    </cfRule>
    <cfRule type="cellIs" dxfId="647" priority="73" stopIfTrue="1" operator="lessThanOrEqual">
      <formula>0</formula>
    </cfRule>
  </conditionalFormatting>
  <conditionalFormatting sqref="G69:G73">
    <cfRule type="cellIs" dxfId="646" priority="78" stopIfTrue="1" operator="greaterThan">
      <formula>$J69</formula>
    </cfRule>
    <cfRule type="cellIs" dxfId="645" priority="79" stopIfTrue="1" operator="lessThanOrEqual">
      <formula>0</formula>
    </cfRule>
  </conditionalFormatting>
  <conditionalFormatting sqref="G78:G83 C81 C83">
    <cfRule type="cellIs" dxfId="644" priority="107" stopIfTrue="1" operator="greaterThan">
      <formula>4.5</formula>
    </cfRule>
    <cfRule type="cellIs" dxfId="643" priority="108" stopIfTrue="1" operator="lessThanOrEqual">
      <formula>0</formula>
    </cfRule>
  </conditionalFormatting>
  <conditionalFormatting sqref="G10:H26">
    <cfRule type="expression" dxfId="642" priority="4">
      <formula>IF(+(IF(G10&lt;#REF!,0,IF(G10&gt;#REF!,0,1)))=0,1)</formula>
    </cfRule>
  </conditionalFormatting>
  <conditionalFormatting sqref="G77:H77">
    <cfRule type="cellIs" dxfId="641" priority="88" stopIfTrue="1" operator="greaterThan">
      <formula>$F$76</formula>
    </cfRule>
    <cfRule type="cellIs" dxfId="640" priority="89" stopIfTrue="1" operator="lessThanOrEqual">
      <formula>0</formula>
    </cfRule>
  </conditionalFormatting>
  <conditionalFormatting sqref="H40:H54 I42:I53">
    <cfRule type="cellIs" dxfId="639" priority="86" stopIfTrue="1" operator="greaterThan">
      <formula>0</formula>
    </cfRule>
  </conditionalFormatting>
  <conditionalFormatting sqref="H58:H61">
    <cfRule type="cellIs" dxfId="638" priority="36" stopIfTrue="1" operator="lessThanOrEqual">
      <formula>0</formula>
    </cfRule>
    <cfRule type="cellIs" dxfId="637" priority="35" stopIfTrue="1" operator="greaterThan">
      <formula>$F$42</formula>
    </cfRule>
    <cfRule type="cellIs" dxfId="636" priority="37" stopIfTrue="1" operator="greaterThan">
      <formula>$F$40</formula>
    </cfRule>
    <cfRule type="cellIs" dxfId="635" priority="26" stopIfTrue="1" operator="lessThanOrEqual">
      <formula>0</formula>
    </cfRule>
    <cfRule type="cellIs" dxfId="634" priority="27" stopIfTrue="1" operator="greaterThan">
      <formula>$F$39</formula>
    </cfRule>
    <cfRule type="cellIs" dxfId="633" priority="38" stopIfTrue="1" operator="lessThanOrEqual">
      <formula>0</formula>
    </cfRule>
  </conditionalFormatting>
  <conditionalFormatting sqref="H65:H72">
    <cfRule type="cellIs" dxfId="632" priority="62" stopIfTrue="1" operator="greaterThan">
      <formula>$J65</formula>
    </cfRule>
    <cfRule type="cellIs" dxfId="631" priority="63" stopIfTrue="1" operator="lessThanOrEqual">
      <formula>0</formula>
    </cfRule>
  </conditionalFormatting>
  <conditionalFormatting sqref="H73">
    <cfRule type="cellIs" dxfId="630" priority="66" operator="greaterThan">
      <formula>5.3</formula>
    </cfRule>
  </conditionalFormatting>
  <conditionalFormatting sqref="H76 H78:H84">
    <cfRule type="cellIs" dxfId="629" priority="100" stopIfTrue="1" operator="greaterThan">
      <formula>4.5</formula>
    </cfRule>
    <cfRule type="cellIs" dxfId="628" priority="101" stopIfTrue="1" operator="lessThanOrEqual">
      <formula>0</formula>
    </cfRule>
  </conditionalFormatting>
  <conditionalFormatting sqref="H58:I61">
    <cfRule type="cellIs" dxfId="627" priority="25" stopIfTrue="1" operator="greaterThan">
      <formula>$F$41</formula>
    </cfRule>
    <cfRule type="cellIs" dxfId="626" priority="28" stopIfTrue="1" operator="lessThanOrEqual">
      <formula>0</formula>
    </cfRule>
  </conditionalFormatting>
  <conditionalFormatting sqref="H74:I74">
    <cfRule type="cellIs" dxfId="625" priority="51" stopIfTrue="1" operator="greaterThan">
      <formula>$J74</formula>
    </cfRule>
    <cfRule type="cellIs" dxfId="624" priority="52" stopIfTrue="1" operator="lessThanOrEqual">
      <formula>0</formula>
    </cfRule>
  </conditionalFormatting>
  <conditionalFormatting sqref="I58:I61">
    <cfRule type="cellIs" dxfId="623" priority="34" stopIfTrue="1" operator="lessThanOrEqual">
      <formula>0</formula>
    </cfRule>
    <cfRule type="cellIs" dxfId="622" priority="33" stopIfTrue="1" operator="greaterThan">
      <formula>$F$39</formula>
    </cfRule>
    <cfRule type="cellIs" dxfId="621" priority="32" stopIfTrue="1" operator="lessThanOrEqual">
      <formula>0</formula>
    </cfRule>
    <cfRule type="cellIs" dxfId="620" priority="31" stopIfTrue="1" operator="greaterThan">
      <formula>$F$41</formula>
    </cfRule>
    <cfRule type="cellIs" dxfId="619" priority="30" stopIfTrue="1" operator="lessThanOrEqual">
      <formula>0</formula>
    </cfRule>
    <cfRule type="cellIs" dxfId="618" priority="29" stopIfTrue="1" operator="greaterThan">
      <formula>$F$39</formula>
    </cfRule>
  </conditionalFormatting>
  <conditionalFormatting sqref="I65:I73">
    <cfRule type="cellIs" dxfId="617" priority="68" stopIfTrue="1" operator="lessThanOrEqual">
      <formula>0</formula>
    </cfRule>
    <cfRule type="cellIs" dxfId="616" priority="67" stopIfTrue="1" operator="greaterThan">
      <formula>$J65</formula>
    </cfRule>
  </conditionalFormatting>
  <conditionalFormatting sqref="I76:I84">
    <cfRule type="cellIs" dxfId="615" priority="96" stopIfTrue="1" operator="greaterThan">
      <formula>4.5</formula>
    </cfRule>
    <cfRule type="cellIs" dxfId="614" priority="97" stopIfTrue="1" operator="lessThanOrEqual">
      <formula>0</formula>
    </cfRule>
  </conditionalFormatting>
  <conditionalFormatting sqref="I10:J26">
    <cfRule type="cellIs" dxfId="613" priority="11" operator="lessThan">
      <formula>97.9</formula>
    </cfRule>
  </conditionalFormatting>
  <conditionalFormatting sqref="J29:J31">
    <cfRule type="cellIs" dxfId="612" priority="43" operator="lessThan">
      <formula>98</formula>
    </cfRule>
    <cfRule type="cellIs" dxfId="611" priority="42" stopIfTrue="1" operator="greaterThan">
      <formula>100</formula>
    </cfRule>
    <cfRule type="cellIs" dxfId="610" priority="41" stopIfTrue="1" operator="lessThan">
      <formula>96.8</formula>
    </cfRule>
  </conditionalFormatting>
  <conditionalFormatting sqref="J29:J33">
    <cfRule type="cellIs" dxfId="609" priority="40" operator="lessThan">
      <formula>97.4</formula>
    </cfRule>
  </conditionalFormatting>
  <conditionalFormatting sqref="J34">
    <cfRule type="cellIs" dxfId="608" priority="44" operator="lessThan">
      <formula>98</formula>
    </cfRule>
  </conditionalFormatting>
  <conditionalFormatting sqref="J35:J37">
    <cfRule type="cellIs" dxfId="607" priority="46" stopIfTrue="1" operator="greaterThan">
      <formula>100</formula>
    </cfRule>
    <cfRule type="cellIs" dxfId="606" priority="45" stopIfTrue="1" operator="lessThan">
      <formula>96.8</formula>
    </cfRule>
  </conditionalFormatting>
  <conditionalFormatting sqref="J35:J38">
    <cfRule type="cellIs" dxfId="605" priority="47" operator="lessThan">
      <formula>98</formula>
    </cfRule>
  </conditionalFormatting>
  <conditionalFormatting sqref="J74">
    <cfRule type="cellIs" dxfId="604" priority="49" stopIfTrue="1" operator="lessThanOrEqual">
      <formula>0</formula>
    </cfRule>
    <cfRule type="cellIs" dxfId="603" priority="48" stopIfTrue="1" operator="greaterThan">
      <formula>$F74</formula>
    </cfRule>
  </conditionalFormatting>
  <conditionalFormatting sqref="K10:K26">
    <cfRule type="cellIs" dxfId="602" priority="6" operator="greaterThan">
      <formula>6</formula>
    </cfRule>
    <cfRule type="cellIs" dxfId="601" priority="7" operator="lessThan">
      <formula>4</formula>
    </cfRule>
    <cfRule type="cellIs" dxfId="600" priority="10" operator="greaterThan">
      <formula>6.4</formula>
    </cfRule>
  </conditionalFormatting>
  <conditionalFormatting sqref="K43:K52">
    <cfRule type="cellIs" dxfId="599" priority="39" operator="notEqual">
      <formula>#REF!</formula>
    </cfRule>
  </conditionalFormatting>
  <conditionalFormatting sqref="K58:K61">
    <cfRule type="cellIs" dxfId="598" priority="12" stopIfTrue="1" operator="lessThan">
      <formula>100%</formula>
    </cfRule>
  </conditionalFormatting>
  <conditionalFormatting sqref="K76:K81">
    <cfRule type="cellIs" dxfId="597" priority="102" stopIfTrue="1" operator="lessThan">
      <formula>100%</formula>
    </cfRule>
  </conditionalFormatting>
  <conditionalFormatting sqref="K83:K84">
    <cfRule type="cellIs" dxfId="596" priority="109" stopIfTrue="1" operator="lessThan">
      <formula>100%</formula>
    </cfRule>
  </conditionalFormatting>
  <conditionalFormatting sqref="K65:N68 L69:N69">
    <cfRule type="cellIs" dxfId="595" priority="80" stopIfTrue="1" operator="lessThan">
      <formula>100%</formula>
    </cfRule>
  </conditionalFormatting>
  <conditionalFormatting sqref="K70:N74">
    <cfRule type="cellIs" dxfId="594" priority="50" stopIfTrue="1" operator="lessThan">
      <formula>100%</formula>
    </cfRule>
  </conditionalFormatting>
  <conditionalFormatting sqref="L10:L18 L21:L26">
    <cfRule type="cellIs" dxfId="593" priority="21" operator="between">
      <formula>61</formula>
      <formula>65</formula>
    </cfRule>
    <cfRule type="cellIs" dxfId="592" priority="22" operator="greaterThan">
      <formula>65</formula>
    </cfRule>
  </conditionalFormatting>
  <conditionalFormatting sqref="L19:M20">
    <cfRule type="cellIs" dxfId="591" priority="8" operator="between">
      <formula>61</formula>
      <formula>65</formula>
    </cfRule>
    <cfRule type="cellIs" dxfId="590" priority="9" operator="greaterThan">
      <formula>65</formula>
    </cfRule>
  </conditionalFormatting>
  <conditionalFormatting sqref="L44:N44">
    <cfRule type="cellIs" dxfId="589" priority="17" operator="notEqual">
      <formula>#REF!</formula>
    </cfRule>
  </conditionalFormatting>
  <conditionalFormatting sqref="L76:N84">
    <cfRule type="cellIs" dxfId="588" priority="87" stopIfTrue="1" operator="lessThan">
      <formula>100%</formula>
    </cfRule>
  </conditionalFormatting>
  <conditionalFormatting sqref="M10:M26">
    <cfRule type="expression" dxfId="587" priority="5">
      <formula>IF(+(IF(M10&lt;U10,0,IF(M10&gt;V10,0,1)))=0,1)</formula>
    </cfRule>
  </conditionalFormatting>
  <conditionalFormatting sqref="M29 L30:M40">
    <cfRule type="cellIs" dxfId="586" priority="55" operator="lessThan">
      <formula>98</formula>
    </cfRule>
  </conditionalFormatting>
  <conditionalFormatting sqref="N10:N26">
    <cfRule type="expression" dxfId="585" priority="1">
      <formula>IF(+(IF(N10&lt;W10,0,IF(N10&gt;X10,0,1)))=0,1)</formula>
    </cfRule>
  </conditionalFormatting>
  <conditionalFormatting sqref="P6">
    <cfRule type="cellIs" dxfId="584" priority="83" operator="greaterThanOrEqual">
      <formula>19</formula>
    </cfRule>
  </conditionalFormatting>
  <dataValidations count="1">
    <dataValidation type="list" allowBlank="1" showInputMessage="1" showErrorMessage="1" sqref="R8" xr:uid="{FEC0B31C-69D1-4809-89C6-ED64EC1A05D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1AF1-52A4-49A9-A9EA-2A0B606C2CAB}">
  <sheetPr codeName="Sheet17">
    <pageSetUpPr fitToPage="1"/>
  </sheetPr>
  <dimension ref="A1:BE78"/>
  <sheetViews>
    <sheetView zoomScale="60" zoomScaleNormal="60" workbookViewId="0">
      <selection activeCell="B16" sqref="B16:O16"/>
    </sheetView>
  </sheetViews>
  <sheetFormatPr defaultColWidth="9.44140625" defaultRowHeight="13.8"/>
  <cols>
    <col min="1" max="1" width="3.33203125" style="275" customWidth="1"/>
    <col min="2" max="2" width="19.66406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45803</v>
      </c>
      <c r="J4" s="399" t="s">
        <v>215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216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hidden="1" customHeight="1">
      <c r="B10" s="33"/>
      <c r="C10" s="366"/>
      <c r="D10" s="279"/>
      <c r="E10" s="279"/>
      <c r="F10" s="278"/>
      <c r="G10" s="279"/>
      <c r="H10" s="396"/>
      <c r="I10" s="421"/>
      <c r="J10" s="421"/>
      <c r="K10" s="398"/>
      <c r="L10" s="276"/>
      <c r="M10" s="374"/>
      <c r="N10" s="370"/>
      <c r="O10" s="429"/>
      <c r="P10" s="423"/>
      <c r="R10" s="277">
        <f t="shared" ref="R10:R28" si="0">B10</f>
        <v>0</v>
      </c>
      <c r="S10" s="296" t="e">
        <f t="shared" ref="S10:S28" si="1">VLOOKUP($B10,$R$3:$X$9,2,FALSE)</f>
        <v>#N/A</v>
      </c>
      <c r="T10" s="296" t="e">
        <f t="shared" ref="T10:T28" si="2">VLOOKUP($B10,$R$3:$X$9,3,FALSE)</f>
        <v>#N/A</v>
      </c>
      <c r="U10" s="297" t="e">
        <f t="shared" ref="U10:U28" si="3">VLOOKUP($B10,$R$3:$X$9,4,FALSE)</f>
        <v>#N/A</v>
      </c>
      <c r="V10" s="297" t="e">
        <f t="shared" ref="V10:V28" si="4">VLOOKUP($B10,$R$3:$X$9,5,FALSE)</f>
        <v>#N/A</v>
      </c>
      <c r="W10" s="297" t="e">
        <f t="shared" ref="W10:W28" si="5">VLOOKUP($B10,$R$3:$X$9,6,FALSE)</f>
        <v>#N/A</v>
      </c>
      <c r="X10" s="297" t="e">
        <f t="shared" ref="X10:X28" si="6">VLOOKUP($B10,$R$3:$X$9,7,FALSE)</f>
        <v>#N/A</v>
      </c>
      <c r="Y10" s="297" t="e">
        <f t="shared" ref="Y10:Y28" si="7">VLOOKUP($B10,$R$3:$Z$9,8,FALSE)</f>
        <v>#N/A</v>
      </c>
      <c r="Z10" s="296" t="e">
        <f t="shared" ref="Z10:Z28" si="8">VLOOKUP($B10,$R$3:$Z$9,9,FALSE)</f>
        <v>#N/A</v>
      </c>
    </row>
    <row r="11" spans="2:29" ht="15.75" customHeight="1">
      <c r="B11" s="33" t="s">
        <v>9</v>
      </c>
      <c r="C11" s="366" t="str">
        <f>[23]Brewhouse!$A231</f>
        <v>ST213</v>
      </c>
      <c r="D11" s="279">
        <f>[23]Brewhouse!$AD231</f>
        <v>54.8</v>
      </c>
      <c r="E11" s="279">
        <f>[23]Brewhouse!$AG231</f>
        <v>51.8</v>
      </c>
      <c r="F11" s="278">
        <f>[23]Brewhouse!$V231</f>
        <v>62</v>
      </c>
      <c r="G11" s="279">
        <f>[23]Brewhouse!$AE231</f>
        <v>11.8</v>
      </c>
      <c r="H11" s="396">
        <v>11.9</v>
      </c>
      <c r="I11" s="421">
        <f>[23]Brewhouse!$AS231</f>
        <v>101.29164628597466</v>
      </c>
      <c r="J11" s="421">
        <f>[23]Brewhouse!$AT231</f>
        <v>103.21791638200995</v>
      </c>
      <c r="K11" s="398">
        <f>[23]Brewhouse!$Q231</f>
        <v>2.5547445255474428</v>
      </c>
      <c r="L11" s="276">
        <f>[23]Brewhouse!$P231</f>
        <v>61</v>
      </c>
      <c r="M11" s="374">
        <f>[23]Brewhouse!$U231-[23]Brewhouse!$T231</f>
        <v>0.14027777777777778</v>
      </c>
      <c r="N11" s="370">
        <f>[23]Brewhouse!$AW231</f>
        <v>0.35972222222222222</v>
      </c>
      <c r="O11" s="429" t="str">
        <f>[23]Brewhouse!$AV231</f>
        <v>R. Regis</v>
      </c>
      <c r="P11" s="423"/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 t="s">
        <v>9</v>
      </c>
      <c r="C12" s="366" t="str">
        <f>[23]Brewhouse!$A232</f>
        <v>ST214</v>
      </c>
      <c r="D12" s="279">
        <f>[23]Brewhouse!$AD232</f>
        <v>54.6</v>
      </c>
      <c r="E12" s="279">
        <f>[23]Brewhouse!$AG232</f>
        <v>51.4</v>
      </c>
      <c r="F12" s="278">
        <f>[23]Brewhouse!$V232</f>
        <v>60</v>
      </c>
      <c r="G12" s="279">
        <f>[23]Brewhouse!$AE232</f>
        <v>11.6</v>
      </c>
      <c r="H12" s="396">
        <v>11.7</v>
      </c>
      <c r="I12" s="421">
        <f>[23]Brewhouse!$AS232</f>
        <v>98.717568355226533</v>
      </c>
      <c r="J12" s="421">
        <f>[23]Brewhouse!$AT232</f>
        <v>100.59488703695796</v>
      </c>
      <c r="K12" s="398">
        <f>[23]Brewhouse!$Q232</f>
        <v>2.3636363636363584</v>
      </c>
      <c r="L12" s="276">
        <f>[23]Brewhouse!$P232</f>
        <v>60</v>
      </c>
      <c r="M12" s="374">
        <f>[23]Brewhouse!$U232-[23]Brewhouse!$T232</f>
        <v>0.11111111111111116</v>
      </c>
      <c r="N12" s="370">
        <f>[23]Brewhouse!$AW232</f>
        <v>0.33888888888888891</v>
      </c>
      <c r="O12" s="429" t="str">
        <f>[23]Brewhouse!$AV232</f>
        <v>R. Regis</v>
      </c>
      <c r="P12" s="423"/>
      <c r="R12" s="277" t="str">
        <f t="shared" si="0"/>
        <v>STAG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33" t="s">
        <v>9</v>
      </c>
      <c r="C13" s="366" t="str">
        <f>[23]Brewhouse!$A233</f>
        <v>ST215</v>
      </c>
      <c r="D13" s="279">
        <f>[23]Brewhouse!$AD233</f>
        <v>54.6</v>
      </c>
      <c r="E13" s="279">
        <f>[23]Brewhouse!$AG233</f>
        <v>49.2</v>
      </c>
      <c r="F13" s="278">
        <f>[23]Brewhouse!$V233</f>
        <v>63</v>
      </c>
      <c r="G13" s="279">
        <f>[23]Brewhouse!$AE233</f>
        <v>11.6</v>
      </c>
      <c r="H13" s="396">
        <v>11.8</v>
      </c>
      <c r="I13" s="421">
        <f>[23]Brewhouse!$AS233</f>
        <v>94.373621092817032</v>
      </c>
      <c r="J13" s="421">
        <f>[23]Brewhouse!$AT233</f>
        <v>96.168919162139019</v>
      </c>
      <c r="K13" s="398">
        <f>[23]Brewhouse!$Q233</f>
        <v>2.3636363636363584</v>
      </c>
      <c r="L13" s="276">
        <f>[23]Brewhouse!$P233</f>
        <v>60</v>
      </c>
      <c r="M13" s="374">
        <f>[23]Brewhouse!$U233-[23]Brewhouse!$T233</f>
        <v>0.11597222222222214</v>
      </c>
      <c r="N13" s="370">
        <f>[23]Brewhouse!$AW233</f>
        <v>0.31249999999999994</v>
      </c>
      <c r="O13" s="429" t="str">
        <f>[23]Brewhouse!$AV233</f>
        <v>R. Regis</v>
      </c>
      <c r="P13" s="423"/>
      <c r="R13" s="277" t="str">
        <f t="shared" si="0"/>
        <v>STAG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33" t="s">
        <v>9</v>
      </c>
      <c r="C14" s="366" t="str">
        <f>[23]Brewhouse!$A234</f>
        <v>ST216</v>
      </c>
      <c r="D14" s="279">
        <f>[23]Brewhouse!$AD234</f>
        <v>54.7</v>
      </c>
      <c r="E14" s="279">
        <f>[23]Brewhouse!$AG234</f>
        <v>49.4</v>
      </c>
      <c r="F14" s="278">
        <f>[23]Brewhouse!$V234</f>
        <v>63</v>
      </c>
      <c r="G14" s="279">
        <f>[23]Brewhouse!$AE234</f>
        <v>11.6</v>
      </c>
      <c r="H14" s="396">
        <v>11.7</v>
      </c>
      <c r="I14" s="421">
        <f>[23]Brewhouse!$AS234</f>
        <v>94.757253698885393</v>
      </c>
      <c r="J14" s="421">
        <f>[23]Brewhouse!$AT234</f>
        <v>96.559849727838767</v>
      </c>
      <c r="K14" s="398">
        <f>[23]Brewhouse!$Q234</f>
        <v>1.2844036697247627</v>
      </c>
      <c r="L14" s="276">
        <f>[23]Brewhouse!$P234</f>
        <v>58</v>
      </c>
      <c r="M14" s="374">
        <f>[23]Brewhouse!$U234-[23]Brewhouse!$T234</f>
        <v>0.10555555555555562</v>
      </c>
      <c r="N14" s="370">
        <f>[23]Brewhouse!$AW234</f>
        <v>0.29583333333333334</v>
      </c>
      <c r="O14" s="429" t="str">
        <f>[23]Brewhouse!$AV234</f>
        <v>R.Sookram</v>
      </c>
      <c r="P14" s="423"/>
      <c r="R14" s="277" t="str">
        <f t="shared" si="0"/>
        <v>STAG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33" t="s">
        <v>9</v>
      </c>
      <c r="C15" s="366" t="str">
        <f>[23]Brewhouse!$A235</f>
        <v>ST217</v>
      </c>
      <c r="D15" s="279">
        <f>[23]Brewhouse!$AD235</f>
        <v>56.5</v>
      </c>
      <c r="E15" s="279">
        <f>[23]Brewhouse!$AG235</f>
        <v>49.4</v>
      </c>
      <c r="F15" s="278">
        <f>[23]Brewhouse!$V235</f>
        <v>60</v>
      </c>
      <c r="G15" s="279">
        <f>[23]Brewhouse!$AE235</f>
        <v>11.8</v>
      </c>
      <c r="H15" s="396">
        <v>11.8</v>
      </c>
      <c r="I15" s="421">
        <f>[23]Brewhouse!$AS235</f>
        <v>96.356247062990235</v>
      </c>
      <c r="J15" s="421">
        <f>[23]Brewhouse!$AT235</f>
        <v>98.189860619093707</v>
      </c>
      <c r="K15" s="398">
        <f>[23]Brewhouse!$Q235</f>
        <v>0.91240875912407471</v>
      </c>
      <c r="L15" s="276">
        <f>[23]Brewhouse!$P235</f>
        <v>65</v>
      </c>
      <c r="M15" s="374">
        <f>[23]Brewhouse!$U235-[23]Brewhouse!$T235</f>
        <v>9.6527777777777768E-2</v>
      </c>
      <c r="N15" s="370">
        <f>[23]Brewhouse!$AW235</f>
        <v>0.30625000000000002</v>
      </c>
      <c r="O15" s="429" t="str">
        <f>[23]Brewhouse!$AV235</f>
        <v>R.Sookram</v>
      </c>
      <c r="P15" s="423"/>
      <c r="R15" s="277" t="str">
        <f t="shared" si="0"/>
        <v>STAG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33" t="s">
        <v>9</v>
      </c>
      <c r="C16" s="366" t="str">
        <f>[23]Brewhouse!$A236</f>
        <v>ST218</v>
      </c>
      <c r="D16" s="279">
        <f>[23]Brewhouse!$AD236</f>
        <v>54.2</v>
      </c>
      <c r="E16" s="279">
        <f>[23]Brewhouse!$AG236</f>
        <v>51.1</v>
      </c>
      <c r="F16" s="278">
        <f>[23]Brewhouse!$V236</f>
        <v>64</v>
      </c>
      <c r="G16" s="279">
        <f>[23]Brewhouse!$AE236</f>
        <v>11.6</v>
      </c>
      <c r="H16" s="396">
        <v>11.9</v>
      </c>
      <c r="I16" s="421">
        <f>[23]Brewhouse!$AS236</f>
        <v>97.895175175059975</v>
      </c>
      <c r="J16" s="421">
        <f>[23]Brewhouse!$AT236</f>
        <v>99.758073801246312</v>
      </c>
      <c r="K16" s="398">
        <f>[23]Brewhouse!$Q236</f>
        <v>1.4787430683918616</v>
      </c>
      <c r="L16" s="276">
        <f>[23]Brewhouse!$P236</f>
        <v>101</v>
      </c>
      <c r="M16" s="374">
        <f>[23]Brewhouse!$U236-[23]Brewhouse!$T236</f>
        <v>0.12361111111111123</v>
      </c>
      <c r="N16" s="370">
        <f>[23]Brewhouse!$AW236</f>
        <v>0.27500000000000013</v>
      </c>
      <c r="O16" s="429" t="str">
        <f>[23]Brewhouse!$AV236</f>
        <v>R.Sookram</v>
      </c>
      <c r="P16" s="423"/>
      <c r="R16" s="277" t="str">
        <f t="shared" si="0"/>
        <v>STAG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6" ht="15.75" customHeight="1">
      <c r="B17" s="33"/>
      <c r="C17" s="366"/>
      <c r="D17" s="279"/>
      <c r="E17" s="279"/>
      <c r="F17" s="278"/>
      <c r="G17" s="279"/>
      <c r="H17" s="396"/>
      <c r="I17" s="421"/>
      <c r="J17" s="421"/>
      <c r="K17" s="398"/>
      <c r="L17" s="276"/>
      <c r="M17" s="374"/>
      <c r="N17" s="370"/>
      <c r="O17" s="429"/>
      <c r="P17" s="423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6" ht="15.75" customHeight="1">
      <c r="B18" s="33"/>
      <c r="C18" s="366"/>
      <c r="D18" s="279"/>
      <c r="E18" s="279"/>
      <c r="F18" s="278"/>
      <c r="G18" s="279"/>
      <c r="H18" s="396"/>
      <c r="I18" s="421"/>
      <c r="J18" s="421"/>
      <c r="K18" s="398"/>
      <c r="L18" s="276"/>
      <c r="M18" s="374"/>
      <c r="N18" s="370"/>
      <c r="O18" s="429"/>
      <c r="P18" s="423"/>
      <c r="R18" s="277"/>
      <c r="S18" s="296"/>
      <c r="T18" s="296"/>
      <c r="U18" s="297"/>
      <c r="V18" s="297"/>
      <c r="W18" s="297"/>
      <c r="X18" s="297"/>
      <c r="Y18" s="297"/>
      <c r="Z18" s="296"/>
    </row>
    <row r="19" spans="1:26" ht="15.75" customHeight="1">
      <c r="B19" s="33"/>
      <c r="C19" s="366"/>
      <c r="D19" s="279"/>
      <c r="E19" s="279"/>
      <c r="F19" s="278"/>
      <c r="G19" s="279"/>
      <c r="H19" s="396"/>
      <c r="I19" s="421"/>
      <c r="J19" s="421"/>
      <c r="K19" s="398"/>
      <c r="L19" s="276"/>
      <c r="M19" s="374"/>
      <c r="N19" s="370"/>
      <c r="O19" s="429"/>
      <c r="P19" s="42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hidden="1" customHeight="1">
      <c r="B20" s="33"/>
      <c r="C20" s="366"/>
      <c r="D20" s="279"/>
      <c r="E20" s="279"/>
      <c r="F20" s="278"/>
      <c r="G20" s="279"/>
      <c r="H20" s="396"/>
      <c r="I20" s="421"/>
      <c r="J20" s="421"/>
      <c r="K20" s="398"/>
      <c r="L20" s="276"/>
      <c r="M20" s="374"/>
      <c r="N20" s="370"/>
      <c r="O20" s="429"/>
      <c r="P20" s="42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hidden="1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9"/>
      <c r="P25" s="42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9"/>
      <c r="P26" s="423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481" t="s">
        <v>34</v>
      </c>
      <c r="J27" s="481"/>
      <c r="K27" s="481"/>
      <c r="L27" s="481"/>
      <c r="M27" s="481"/>
      <c r="N27" s="481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thickBot="1">
      <c r="B28" s="388" t="s">
        <v>145</v>
      </c>
      <c r="C28" s="388"/>
      <c r="D28" s="494" t="s">
        <v>35</v>
      </c>
      <c r="E28" s="495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>BRAND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482" t="str">
        <f>I30</f>
        <v>STAG</v>
      </c>
      <c r="C29" s="362">
        <f>[23]Process!D190</f>
        <v>11.8</v>
      </c>
      <c r="D29" s="485">
        <v>11.87</v>
      </c>
      <c r="E29" s="474"/>
      <c r="F29" s="294"/>
      <c r="G29" s="294"/>
      <c r="H29" s="348"/>
      <c r="I29" s="29" t="s">
        <v>6</v>
      </c>
      <c r="J29" s="280"/>
      <c r="K29" s="284">
        <f>COUNTA([22]Brewhouse!$A$408:$A$479)</f>
        <v>72</v>
      </c>
      <c r="L29" s="302">
        <f>AVERAGE([22]Brewhouse!$AU$408:$AU$479)</f>
        <v>98.694624153781334</v>
      </c>
      <c r="M29" s="302">
        <f>AVERAGE([22]Brewhouse!$AU$102:$AU$171,[22]Brewhouse!$AU$173:$AU$253,[22]Brewhouse!$AU$255:$AU$339,[22]Brewhouse!$AU$341:$AU$346,[22]Brewhouse!$AU$348,[22]Brewhouse!$AU$349:$AU$406,[22]Brewhouse!$AU$408:$AU$479)</f>
        <v>97.646782679210006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6" ht="15" customHeight="1">
      <c r="A30" s="28"/>
      <c r="B30" s="483"/>
      <c r="C30" s="349">
        <f>[23]Process!D191</f>
        <v>11.8</v>
      </c>
      <c r="D30" s="486"/>
      <c r="E30" s="469"/>
      <c r="F30" s="294"/>
      <c r="G30" s="294"/>
      <c r="H30" s="348"/>
      <c r="I30" s="33" t="s">
        <v>9</v>
      </c>
      <c r="J30" s="280">
        <f>AVERAGE(I10:I17)</f>
        <v>97.231918611825634</v>
      </c>
      <c r="K30" s="284">
        <f>COUNTA([23]Brewhouse!$A$195:$A$236)</f>
        <v>42</v>
      </c>
      <c r="L30" s="302">
        <f>AVERAGE([23]Brewhouse!$AS$195:$AS$236)</f>
        <v>99.597767255828956</v>
      </c>
      <c r="M30" s="302">
        <f>AVERAGE([23]Brewhouse!$AS$15:$AS$64,[23]Brewhouse!$AS$66:$AS$103,[23]Brewhouse!$AS$105:$AS$140,[23]Brewhouse!$AS$142:$AS$193,[23]Brewhouse!$AS$195:$AS$236)</f>
        <v>97.863034111878463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4.7" customHeight="1">
      <c r="A31" s="28"/>
      <c r="B31" s="483"/>
      <c r="C31" s="349">
        <f>[23]Process!D195</f>
        <v>11.73</v>
      </c>
      <c r="D31" s="485">
        <v>11.87</v>
      </c>
      <c r="E31" s="474"/>
      <c r="F31" s="294"/>
      <c r="G31" s="294"/>
      <c r="H31" s="348"/>
      <c r="I31" s="34" t="s">
        <v>12</v>
      </c>
      <c r="J31" s="280"/>
      <c r="K31" s="284">
        <f>COUNTA([24]Brewhouse!$A$47:$A$54)</f>
        <v>8</v>
      </c>
      <c r="L31" s="302">
        <f>AVERAGE([24]Brewhouse!$AU$47:$AU$54)</f>
        <v>96.792443337508828</v>
      </c>
      <c r="M31" s="302">
        <f>AVERAGE([24]Brewhouse!$AU$4:$AU$7,[24]Brewhouse!$AU$9:$AU$22,[24]Brewhouse!$AU$24:$AU$35,[24]Brewhouse!$AU$37:$AU$45,[24]Brewhouse!$AU$47:$AU$54)</f>
        <v>97.03665404260714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7" customHeight="1">
      <c r="A32" s="28"/>
      <c r="B32" s="483"/>
      <c r="C32" s="349">
        <f>[23]Process!D196</f>
        <v>11.9</v>
      </c>
      <c r="D32" s="486"/>
      <c r="E32" s="469"/>
      <c r="F32" s="294"/>
      <c r="G32" s="294"/>
      <c r="H32" s="348"/>
      <c r="I32" s="22" t="s">
        <v>33</v>
      </c>
      <c r="J32" s="280"/>
      <c r="K32" s="284">
        <f>COUNTA([25]Brewhouse!$A$35:$A$40)</f>
        <v>6</v>
      </c>
      <c r="L32" s="302">
        <f>AVERAGE([25]Brewhouse!$AV$35:$AV$40)</f>
        <v>99.729773602484485</v>
      </c>
      <c r="M32" s="302">
        <f>AVERAGE([25]Brewhouse!$AV$5:$AV$14,[25]Brewhouse!$AV$16:$AV$19,[25]Brewhouse!$AV$21:$AV$24,[25]Brewhouse!$AV$26:$AV$33,[25]Brewhouse!$AV$35:$AV$40)</f>
        <v>99.073437057623821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7" customHeight="1">
      <c r="A33" s="28"/>
      <c r="B33" s="483"/>
      <c r="C33" s="349">
        <f>[23]Process!D197</f>
        <v>12</v>
      </c>
      <c r="D33" s="485">
        <v>11.6</v>
      </c>
      <c r="E33" s="474"/>
      <c r="F33" s="422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56" ht="14.7" customHeight="1">
      <c r="A34" s="28"/>
      <c r="B34" s="483"/>
      <c r="C34" s="349">
        <f>[23]Process!D198</f>
        <v>11.6</v>
      </c>
      <c r="D34" s="486"/>
      <c r="E34" s="469"/>
      <c r="F34" s="422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AVERAGE([26]Brewhouse!$AT$4:$AT$11,[26]Brewhouse!$AT$13:$AT$16)</f>
        <v>95.165309917257005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7" customHeight="1">
      <c r="A35" s="28"/>
      <c r="B35" s="483"/>
      <c r="C35" s="349">
        <f>[23]Process!D199</f>
        <v>12.04</v>
      </c>
      <c r="D35" s="485">
        <v>11.74</v>
      </c>
      <c r="E35" s="474"/>
      <c r="F35" s="422"/>
      <c r="G35" s="294"/>
      <c r="H35" s="348"/>
      <c r="I35" s="37" t="s">
        <v>16</v>
      </c>
      <c r="J35" s="323"/>
      <c r="K35" s="284">
        <f>COUNTA([27]Brewhouse!$A$36:$A$43)</f>
        <v>8</v>
      </c>
      <c r="L35" s="302">
        <f>AVERAGE([27]Brewhouse!$AY$36:$AY$43)</f>
        <v>98.453561717677275</v>
      </c>
      <c r="M35" s="302">
        <f>AVERAGE([27]Brewhouse!$AY$6:$AY$13,[27]Brewhouse!$AY$15:$AY$20,[27]Brewhouse!$AY$22:$AY$29,[27]Brewhouse!$AY$31:$AY$34,[27]Brewhouse!$AY$36:$AY$43)</f>
        <v>96.669752433914965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7" customHeight="1">
      <c r="A36" s="28"/>
      <c r="B36" s="483"/>
      <c r="C36" s="349">
        <f>[23]Process!D200</f>
        <v>12.01</v>
      </c>
      <c r="D36" s="486"/>
      <c r="E36" s="469"/>
      <c r="F36" s="294"/>
      <c r="G36" s="294"/>
      <c r="H36" s="348"/>
      <c r="I36" s="412" t="s">
        <v>158</v>
      </c>
      <c r="J36" s="326"/>
      <c r="K36" s="284"/>
      <c r="L36" s="305"/>
      <c r="M36" s="305">
        <f>AVERAGE([28]Brewhouse!$AU$5:$AU$8)</f>
        <v>91.006888337619571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7" customHeight="1">
      <c r="A37" s="28"/>
      <c r="B37" s="483"/>
      <c r="C37" s="349">
        <f>[23]Process!D201</f>
        <v>11.68</v>
      </c>
      <c r="D37" s="485">
        <v>11.8</v>
      </c>
      <c r="E37" s="474"/>
      <c r="F37" s="294"/>
      <c r="G37" s="294"/>
      <c r="H37" s="348"/>
      <c r="I37" s="411" t="s">
        <v>157</v>
      </c>
      <c r="J37" s="326"/>
      <c r="K37" s="284"/>
      <c r="L37" s="305"/>
      <c r="M37" s="305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483"/>
      <c r="C38" s="349">
        <f>[23]Process!D202</f>
        <v>11.74</v>
      </c>
      <c r="D38" s="486"/>
      <c r="E38" s="469"/>
      <c r="F38" s="294"/>
      <c r="G38" s="294"/>
      <c r="H38" s="348"/>
      <c r="I38" s="407" t="s">
        <v>156</v>
      </c>
      <c r="J38" s="327"/>
      <c r="K38" s="408"/>
      <c r="L38" s="409"/>
      <c r="M38" s="409"/>
      <c r="N38" s="41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483"/>
      <c r="C39" s="349"/>
      <c r="D39" s="485">
        <v>11.75</v>
      </c>
      <c r="E39" s="474"/>
      <c r="F39" s="294"/>
      <c r="G39" s="294"/>
      <c r="H39" s="348"/>
      <c r="I39" s="1"/>
      <c r="J39" s="39"/>
      <c r="K39" s="405">
        <f>SUM(K29:K38)</f>
        <v>136</v>
      </c>
      <c r="L39" s="406">
        <f>((L29*K29)+(L30*K30)+(L31*K31)+(L32*K32)+(L33*K33)+(K36*L36)+(L34*K34)+(L35*K35)+(L38*K38))/(K39)</f>
        <v>98.893131219657846</v>
      </c>
      <c r="M39" s="406">
        <f>AVERAGE('[29]Jan 31st'!$L$65,'[30]Feb 28th'!$L$35,'[31]Mar. 31st'!$L$35,'[32]Apr. 30th'!$L$45,L39)</f>
        <v>97.659434501819206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thickBot="1">
      <c r="B40" s="484"/>
      <c r="C40" s="350"/>
      <c r="D40" s="486"/>
      <c r="E40" s="46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" thickBot="1">
      <c r="B41" s="528"/>
      <c r="C41" s="362"/>
      <c r="D41" s="466"/>
      <c r="E41" s="467"/>
      <c r="F41" s="294"/>
      <c r="G41" s="42"/>
      <c r="H41" s="41"/>
      <c r="I41" s="42"/>
      <c r="J41" s="519" t="s">
        <v>129</v>
      </c>
      <c r="K41" s="519"/>
      <c r="L41" s="294"/>
      <c r="M41" s="294"/>
      <c r="N41" s="294"/>
      <c r="O41" s="294"/>
      <c r="P41" s="12"/>
    </row>
    <row r="42" spans="1:56" ht="13.5" customHeight="1" thickBot="1">
      <c r="B42" s="521"/>
      <c r="C42" s="349"/>
      <c r="D42" s="468"/>
      <c r="E42" s="469"/>
      <c r="F42" s="294"/>
      <c r="G42" s="42"/>
      <c r="H42" s="41"/>
      <c r="I42" s="41"/>
      <c r="J42" s="292" t="s">
        <v>17</v>
      </c>
      <c r="K42" s="293" t="s">
        <v>147</v>
      </c>
      <c r="L42" s="471" t="s">
        <v>136</v>
      </c>
      <c r="M42" s="471"/>
      <c r="N42" s="472"/>
      <c r="O42" s="294"/>
      <c r="P42" s="12"/>
    </row>
    <row r="43" spans="1:56" ht="15" customHeight="1" thickBot="1">
      <c r="B43" s="521"/>
      <c r="C43" s="349"/>
      <c r="D43" s="473"/>
      <c r="E43" s="474"/>
      <c r="F43" s="294"/>
      <c r="G43" s="42"/>
      <c r="H43" s="41"/>
      <c r="I43" s="41"/>
      <c r="J43" s="287" t="s">
        <v>6</v>
      </c>
      <c r="K43" s="324"/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21"/>
      <c r="C44" s="349"/>
      <c r="D44" s="468"/>
      <c r="E44" s="469"/>
      <c r="F44" s="294"/>
      <c r="G44" s="42"/>
      <c r="H44" s="41"/>
      <c r="I44" s="41"/>
      <c r="J44" s="345" t="s">
        <v>9</v>
      </c>
      <c r="K44" s="324">
        <v>6</v>
      </c>
      <c r="L44" s="344">
        <f>AVERAGE('May 2nd -4th'!I70,'May 2nd -4th'!K70,'May 5th'!K77,'May 6th'!K60,'May 7th'!K57,'May 8th'!K53,'May 9th-10th'!I60,'May 9th-10th'!K60,'May 12th'!K43,'May 13th'!K45,'May 14th'!K50,'May 15th'!K49,'May 16th'!K52,'May 19th'!K48,'May 20th'!K49,'May 21st'!K53,'May 22nd'!K53,K53)</f>
        <v>7.6111111111111107</v>
      </c>
      <c r="M44" s="325">
        <f>AVERAGE('[29]Jan 29th '!$M$70,'[30]Feb 28th'!$L$40,'[31]Mar. 31st'!$L$40,'[32]Apr. 30th'!$L$50,L44)</f>
        <v>6.7113765461591557</v>
      </c>
      <c r="N44" s="420">
        <v>9.1999999999999993</v>
      </c>
      <c r="O44" s="294"/>
      <c r="P44" s="12"/>
    </row>
    <row r="45" spans="1:56" ht="15" customHeight="1">
      <c r="B45" s="521"/>
      <c r="C45" s="349"/>
      <c r="D45" s="473"/>
      <c r="E45" s="474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1"/>
      <c r="C46" s="349"/>
      <c r="D46" s="468"/>
      <c r="E46" s="469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4.4">
      <c r="B47" s="521"/>
      <c r="C47" s="349"/>
      <c r="D47" s="473"/>
      <c r="E47" s="474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1"/>
      <c r="C48" s="349"/>
      <c r="D48" s="468"/>
      <c r="E48" s="46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1"/>
      <c r="C49" s="349"/>
      <c r="D49" s="475"/>
      <c r="E49" s="476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2"/>
      <c r="C50" s="350"/>
      <c r="D50" s="477"/>
      <c r="E50" s="478"/>
      <c r="F50" s="294"/>
      <c r="G50" s="42"/>
      <c r="H50" s="41"/>
      <c r="I50" s="41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457">
        <f>AVERAGE(D29:E50)</f>
        <v>11.771666666666667</v>
      </c>
      <c r="E51" s="458"/>
      <c r="F51" s="294"/>
      <c r="G51" s="42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6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P54" s="334"/>
    </row>
    <row r="55" spans="2:57" ht="15" customHeight="1" thickBo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8"/>
      <c r="O55" s="48"/>
      <c r="P55" s="49"/>
    </row>
    <row r="56" spans="2:57" ht="15" customHeight="1" thickBot="1">
      <c r="B56" s="447" t="s">
        <v>17</v>
      </c>
      <c r="C56" s="447" t="s">
        <v>44</v>
      </c>
      <c r="D56" s="459" t="s">
        <v>45</v>
      </c>
      <c r="E56" s="461" t="s">
        <v>46</v>
      </c>
      <c r="F56" s="455" t="s">
        <v>47</v>
      </c>
      <c r="G56" s="445" t="s">
        <v>48</v>
      </c>
      <c r="H56" s="447" t="s">
        <v>49</v>
      </c>
      <c r="I56" s="447" t="s">
        <v>50</v>
      </c>
      <c r="J56" s="439" t="s">
        <v>28</v>
      </c>
      <c r="K56" s="451" t="s">
        <v>51</v>
      </c>
      <c r="L56" s="453" t="s">
        <v>52</v>
      </c>
      <c r="M56" s="439" t="s">
        <v>53</v>
      </c>
      <c r="N56" s="13"/>
      <c r="O56" s="13"/>
      <c r="P56" s="50"/>
    </row>
    <row r="57" spans="2:57" ht="28.5" customHeight="1" thickTop="1" thickBot="1">
      <c r="B57" s="448"/>
      <c r="C57" s="448"/>
      <c r="D57" s="460"/>
      <c r="E57" s="462"/>
      <c r="F57" s="456"/>
      <c r="G57" s="446"/>
      <c r="H57" s="448"/>
      <c r="I57" s="448"/>
      <c r="J57" s="440"/>
      <c r="K57" s="452"/>
      <c r="L57" s="454"/>
      <c r="M57" s="440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1" customHeight="1">
      <c r="B58" s="430" t="str">
        <f>I30</f>
        <v>STAG</v>
      </c>
      <c r="C58" s="283">
        <v>45800</v>
      </c>
      <c r="D58" s="377">
        <f>[33]May_2025!$Z$13</f>
        <v>501.5</v>
      </c>
      <c r="E58" s="378"/>
      <c r="F58" s="379"/>
      <c r="G58" s="303">
        <f>[33]May_2025!$Z$17</f>
        <v>479.79999999999995</v>
      </c>
      <c r="H58" s="320"/>
      <c r="I58" s="322"/>
      <c r="J58" s="392" t="s">
        <v>162</v>
      </c>
      <c r="K58" s="286">
        <f>[35]May_2025!$Z$25</f>
        <v>0.84175438596491226</v>
      </c>
      <c r="L58" s="314">
        <f>(((D58+E58)-G58)/(D58+E58))*100</f>
        <v>4.327018943170498</v>
      </c>
      <c r="M58" s="419" t="s">
        <v>210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  <c r="AO58" s="418"/>
      <c r="AP58" s="418"/>
      <c r="AQ58" s="418"/>
      <c r="AR58" s="418"/>
      <c r="AS58" s="418"/>
      <c r="AT58" s="418"/>
      <c r="AU58" s="418"/>
      <c r="AV58" s="418"/>
      <c r="AW58" s="418"/>
    </row>
    <row r="59" spans="2:57" s="54" customFormat="1" ht="23.25" customHeight="1">
      <c r="B59" s="415"/>
      <c r="C59" s="283"/>
      <c r="D59" s="377"/>
      <c r="E59" s="378"/>
      <c r="F59" s="379"/>
      <c r="G59" s="303"/>
      <c r="H59" s="320"/>
      <c r="I59" s="322"/>
      <c r="J59" s="281"/>
      <c r="K59" s="286"/>
      <c r="L59" s="314"/>
      <c r="M59" s="419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</row>
    <row r="60" spans="2:57" s="54" customFormat="1" ht="53.25" hidden="1" customHeight="1">
      <c r="B60" s="415"/>
      <c r="C60" s="283"/>
      <c r="D60" s="377"/>
      <c r="E60" s="378"/>
      <c r="F60" s="379"/>
      <c r="G60" s="303"/>
      <c r="H60" s="320"/>
      <c r="I60" s="322"/>
      <c r="J60" s="281"/>
      <c r="K60" s="286"/>
      <c r="L60" s="314"/>
      <c r="M60" s="419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 t="e">
        <f>[20]January_2019!L7</f>
        <v>#REF!</v>
      </c>
      <c r="AC60" s="57" t="e">
        <f>[20]January_2019!M7</f>
        <v>#REF!</v>
      </c>
      <c r="AD60" s="57" t="e">
        <f>[20]January_2019!N7</f>
        <v>#REF!</v>
      </c>
      <c r="AE60" s="57" t="e">
        <f>[20]January_2019!O7</f>
        <v>#REF!</v>
      </c>
      <c r="AF60" s="57" t="e">
        <f>[20]January_2019!P7</f>
        <v>#REF!</v>
      </c>
      <c r="AG60" s="57" t="e">
        <f>[20]January_2019!Q7</f>
        <v>#REF!</v>
      </c>
      <c r="AH60" s="57" t="e">
        <f>[20]January_2019!R7</f>
        <v>#REF!</v>
      </c>
      <c r="AI60" s="57" t="e">
        <f>[20]January_2019!S7</f>
        <v>#REF!</v>
      </c>
      <c r="AJ60" s="57" t="e">
        <f>[20]January_2019!T7</f>
        <v>#REF!</v>
      </c>
      <c r="AK60" s="57" t="e">
        <f>[20]January_2019!U7</f>
        <v>#REF!</v>
      </c>
      <c r="AL60" s="57" t="e">
        <f>[20]January_2019!V7</f>
        <v>#REF!</v>
      </c>
      <c r="AM60" s="57" t="e">
        <f>[20]January_2019!W7</f>
        <v>#REF!</v>
      </c>
      <c r="AN60" s="57" t="e">
        <f>[20]January_2019!X7</f>
        <v>#REF!</v>
      </c>
      <c r="AO60" s="57" t="e">
        <f>[20]January_2019!Y7</f>
        <v>#REF!</v>
      </c>
      <c r="AP60" s="57" t="e">
        <f>[20]January_2019!Z7</f>
        <v>#REF!</v>
      </c>
      <c r="AQ60" s="57" t="e">
        <f>[20]January_2019!AA7</f>
        <v>#REF!</v>
      </c>
      <c r="AR60" s="57" t="e">
        <f>[20]January_2019!AB7</f>
        <v>#REF!</v>
      </c>
      <c r="AS60" s="57" t="e">
        <f>[20]January_2019!AC7</f>
        <v>#REF!</v>
      </c>
      <c r="AT60" s="57" t="e">
        <f>[20]January_2019!AD7</f>
        <v>#REF!</v>
      </c>
      <c r="AU60" s="57" t="e">
        <f>[20]January_2019!AE7</f>
        <v>#REF!</v>
      </c>
      <c r="AV60" s="57" t="e">
        <f>[20]January_2019!AF7</f>
        <v>#REF!</v>
      </c>
      <c r="AW60" s="57" t="e">
        <f>[20]January_2019!AG7</f>
        <v>#REF!</v>
      </c>
      <c r="AX60" s="277" t="e">
        <f>[20]January_2019!AH7</f>
        <v>#REF!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>
      <c r="B61" s="431"/>
      <c r="C61" s="283"/>
      <c r="D61" s="377"/>
      <c r="E61" s="378"/>
      <c r="F61" s="379"/>
      <c r="G61" s="303"/>
      <c r="H61" s="320"/>
      <c r="I61" s="322"/>
      <c r="J61" s="281"/>
      <c r="K61" s="286"/>
      <c r="L61" s="314"/>
      <c r="M61" s="419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  <c r="AO61" s="418"/>
      <c r="AP61" s="418"/>
      <c r="AQ61" s="418"/>
      <c r="AR61" s="418"/>
      <c r="AS61" s="418"/>
      <c r="AT61" s="418"/>
      <c r="AU61" s="418"/>
      <c r="AV61" s="418"/>
      <c r="AW61" s="418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6"/>
      <c r="P62" s="60"/>
    </row>
    <row r="63" spans="2:57" ht="14.4" thickBot="1">
      <c r="B63" s="441" t="s">
        <v>55</v>
      </c>
      <c r="C63" s="442"/>
      <c r="D63" s="442"/>
      <c r="E63" s="442"/>
      <c r="F63" s="443"/>
      <c r="G63" s="441" t="s">
        <v>56</v>
      </c>
      <c r="H63" s="442"/>
      <c r="I63" s="442"/>
      <c r="J63" s="443"/>
      <c r="K63" s="441" t="s">
        <v>51</v>
      </c>
      <c r="L63" s="442"/>
      <c r="M63" s="442"/>
      <c r="N63" s="444"/>
      <c r="O63" s="56"/>
      <c r="P63" s="50"/>
    </row>
    <row r="64" spans="2:57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/>
      <c r="D65" s="76">
        <v>5.4530188175840388</v>
      </c>
      <c r="E65" s="76">
        <v>6.868505102717501</v>
      </c>
      <c r="F65" s="66">
        <v>4.8</v>
      </c>
      <c r="G65" s="65"/>
      <c r="H65" s="76">
        <v>5.4849755224482779</v>
      </c>
      <c r="I65" s="76">
        <v>6.9252389998460453</v>
      </c>
      <c r="J65" s="66">
        <v>4.8</v>
      </c>
      <c r="K65" s="67"/>
      <c r="L65" s="194">
        <v>0.65789148797920738</v>
      </c>
      <c r="M65" s="194">
        <v>0.74483760677447608</v>
      </c>
      <c r="N65" s="68">
        <v>1</v>
      </c>
      <c r="O65" s="56"/>
      <c r="P65" s="69"/>
    </row>
    <row r="66" spans="2:16">
      <c r="B66" s="33" t="s">
        <v>9</v>
      </c>
      <c r="C66" s="65">
        <f>L58</f>
        <v>4.327018943170498</v>
      </c>
      <c r="D66" s="76">
        <v>6.0486179792827155</v>
      </c>
      <c r="E66" s="76">
        <v>6.1120237725979214</v>
      </c>
      <c r="F66" s="66">
        <v>4.8</v>
      </c>
      <c r="G66" s="65">
        <f>[33]May_2025!$Z$21</f>
        <v>5.1736824923459714</v>
      </c>
      <c r="H66" s="76">
        <v>5.5955041560657879</v>
      </c>
      <c r="I66" s="76">
        <v>6.4105332353122062</v>
      </c>
      <c r="J66" s="66">
        <v>4.8</v>
      </c>
      <c r="K66" s="67">
        <f>K58</f>
        <v>0.84175438596491226</v>
      </c>
      <c r="L66" s="194">
        <v>0.67808966861598441</v>
      </c>
      <c r="M66" s="194">
        <v>0.74568208135167346</v>
      </c>
      <c r="N66" s="68">
        <v>1</v>
      </c>
      <c r="P66" s="69"/>
    </row>
    <row r="67" spans="2:16">
      <c r="B67" s="34" t="s">
        <v>40</v>
      </c>
      <c r="C67" s="65"/>
      <c r="D67" s="76"/>
      <c r="E67" s="76">
        <v>12.554572931825788</v>
      </c>
      <c r="F67" s="66">
        <v>5.5</v>
      </c>
      <c r="G67" s="65"/>
      <c r="H67" s="76"/>
      <c r="I67" s="76">
        <v>13.449891307585697</v>
      </c>
      <c r="J67" s="66">
        <v>5.5</v>
      </c>
      <c r="K67" s="67"/>
      <c r="L67" s="194"/>
      <c r="M67" s="194">
        <v>0.54554653679653675</v>
      </c>
      <c r="N67" s="68">
        <v>1</v>
      </c>
      <c r="P67" s="69"/>
    </row>
    <row r="68" spans="2:16">
      <c r="B68" s="22" t="s">
        <v>33</v>
      </c>
      <c r="C68" s="65"/>
      <c r="D68" s="76">
        <v>3.4057735971456373</v>
      </c>
      <c r="E68" s="76">
        <v>1.6190544721882421</v>
      </c>
      <c r="F68" s="66">
        <v>3.3</v>
      </c>
      <c r="G68" s="65"/>
      <c r="H68" s="76">
        <v>2.1612156300633463</v>
      </c>
      <c r="I68" s="76">
        <v>4.4964752224031521</v>
      </c>
      <c r="J68" s="66">
        <v>3.3</v>
      </c>
      <c r="K68" s="67"/>
      <c r="L68" s="194">
        <v>1.0449122807017543</v>
      </c>
      <c r="M68" s="194">
        <v>0.90649122807017535</v>
      </c>
      <c r="N68" s="68">
        <v>1</v>
      </c>
      <c r="P68" s="69"/>
    </row>
    <row r="69" spans="2:16">
      <c r="B69" s="35" t="s">
        <v>29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L69" s="194"/>
      <c r="M69" s="194"/>
      <c r="N69" s="68">
        <v>1</v>
      </c>
      <c r="P69" s="69"/>
    </row>
    <row r="70" spans="2:16">
      <c r="B70" s="36" t="s">
        <v>15</v>
      </c>
      <c r="C70" s="282"/>
      <c r="D70" s="76"/>
      <c r="E70" s="76">
        <v>7.8262258425171876</v>
      </c>
      <c r="F70" s="70">
        <f>[21]May_2022!$M$43</f>
        <v>3.4878406700073312</v>
      </c>
      <c r="G70" s="282"/>
      <c r="H70" s="76"/>
      <c r="I70" s="76">
        <v>9.4300678869947632</v>
      </c>
      <c r="J70" s="66">
        <v>5.5</v>
      </c>
      <c r="K70" s="67"/>
      <c r="L70" s="194"/>
      <c r="M70" s="194">
        <v>0.674970760233918</v>
      </c>
      <c r="N70" s="68">
        <v>1</v>
      </c>
      <c r="P70" s="69"/>
    </row>
    <row r="71" spans="2:16">
      <c r="B71" s="37" t="s">
        <v>16</v>
      </c>
      <c r="C71" s="65"/>
      <c r="D71" s="76">
        <v>3.8832609744331941</v>
      </c>
      <c r="E71" s="76">
        <v>2.4852159592783925</v>
      </c>
      <c r="F71" s="66">
        <v>3.3</v>
      </c>
      <c r="G71" s="282"/>
      <c r="H71" s="76">
        <v>4.1755914731086534</v>
      </c>
      <c r="I71" s="76">
        <v>4.4843055604984379</v>
      </c>
      <c r="J71" s="66">
        <v>3.3</v>
      </c>
      <c r="K71" s="67"/>
      <c r="L71" s="194">
        <v>0.69912280701754381</v>
      </c>
      <c r="M71" s="194">
        <v>0.79924705882352942</v>
      </c>
      <c r="N71" s="71">
        <v>1</v>
      </c>
      <c r="P71" s="69"/>
    </row>
    <row r="72" spans="2:16" ht="14.4" thickBot="1">
      <c r="B72" s="38" t="s">
        <v>127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4.4" thickBot="1">
      <c r="B73" s="417" t="s">
        <v>161</v>
      </c>
      <c r="C73" s="65"/>
      <c r="D73" s="76"/>
      <c r="E73" s="76">
        <v>4.8792508624938291</v>
      </c>
      <c r="F73" s="66">
        <v>4.8</v>
      </c>
      <c r="G73" s="282"/>
      <c r="H73" s="76"/>
      <c r="I73" s="76">
        <v>6.2003723782925313</v>
      </c>
      <c r="J73" s="66">
        <v>4.8</v>
      </c>
      <c r="K73" s="67"/>
      <c r="L73" s="194">
        <v>0</v>
      </c>
      <c r="M73" s="194">
        <v>0.33859649122807017</v>
      </c>
      <c r="N73" s="71">
        <v>1</v>
      </c>
      <c r="O73" s="74"/>
      <c r="P73" s="75"/>
    </row>
    <row r="74" spans="2:16">
      <c r="D74" s="76">
        <v>5.2019349931858363</v>
      </c>
      <c r="E74" s="76">
        <v>6.5469247025130572</v>
      </c>
      <c r="F74" s="341">
        <v>5.5</v>
      </c>
      <c r="H74" s="76">
        <v>5.1183738571063699</v>
      </c>
      <c r="I74" s="76">
        <v>7.1733073099333984</v>
      </c>
      <c r="J74" s="341">
        <v>5.5</v>
      </c>
      <c r="K74" s="67"/>
      <c r="L74" s="194">
        <v>0.69323001949317742</v>
      </c>
      <c r="M74" s="194">
        <v>0.73340605616605603</v>
      </c>
      <c r="N74" s="386">
        <v>1</v>
      </c>
    </row>
    <row r="78" spans="2:16">
      <c r="F78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B41:B50"/>
    <mergeCell ref="D41:E42"/>
    <mergeCell ref="J41:K41"/>
    <mergeCell ref="L42:N42"/>
    <mergeCell ref="D43:E44"/>
    <mergeCell ref="D45:E46"/>
    <mergeCell ref="D47:E48"/>
    <mergeCell ref="D49:E50"/>
    <mergeCell ref="D51:E51"/>
    <mergeCell ref="B56:B57"/>
    <mergeCell ref="C56:C57"/>
    <mergeCell ref="D56:D57"/>
    <mergeCell ref="E56:E57"/>
    <mergeCell ref="M56:M57"/>
    <mergeCell ref="B63:F63"/>
    <mergeCell ref="G63:J63"/>
    <mergeCell ref="K63:N63"/>
    <mergeCell ref="G56:G57"/>
    <mergeCell ref="H56:H57"/>
    <mergeCell ref="I56:I57"/>
    <mergeCell ref="J56:J57"/>
    <mergeCell ref="K56:K57"/>
    <mergeCell ref="L56:L57"/>
    <mergeCell ref="F56:F57"/>
  </mergeCells>
  <conditionalFormatting sqref="B51:B52">
    <cfRule type="cellIs" dxfId="583" priority="74" operator="notBetween">
      <formula>#REF!</formula>
      <formula>#REF!</formula>
    </cfRule>
  </conditionalFormatting>
  <conditionalFormatting sqref="C55">
    <cfRule type="cellIs" dxfId="582" priority="106" stopIfTrue="1" operator="greaterThan">
      <formula>100</formula>
    </cfRule>
    <cfRule type="cellIs" dxfId="581" priority="105" stopIfTrue="1" operator="lessThan">
      <formula>96</formula>
    </cfRule>
  </conditionalFormatting>
  <conditionalFormatting sqref="C65:C66">
    <cfRule type="cellIs" dxfId="580" priority="50" stopIfTrue="1" operator="lessThanOrEqual">
      <formula>0</formula>
    </cfRule>
  </conditionalFormatting>
  <conditionalFormatting sqref="C65:C69">
    <cfRule type="cellIs" dxfId="579" priority="49" stopIfTrue="1" operator="greaterThan">
      <formula>$F65</formula>
    </cfRule>
  </conditionalFormatting>
  <conditionalFormatting sqref="C66">
    <cfRule type="cellIs" dxfId="578" priority="109" stopIfTrue="1" operator="greaterThan">
      <formula>$F65</formula>
    </cfRule>
  </conditionalFormatting>
  <conditionalFormatting sqref="C67:C70">
    <cfRule type="cellIs" dxfId="577" priority="58" stopIfTrue="1" operator="lessThanOrEqual">
      <formula>0</formula>
    </cfRule>
  </conditionalFormatting>
  <conditionalFormatting sqref="C70">
    <cfRule type="cellIs" dxfId="576" priority="57" stopIfTrue="1" operator="greaterThan">
      <formula>$J70</formula>
    </cfRule>
  </conditionalFormatting>
  <conditionalFormatting sqref="C76:C80">
    <cfRule type="cellIs" dxfId="575" priority="97" stopIfTrue="1" operator="lessThanOrEqual">
      <formula>0</formula>
    </cfRule>
  </conditionalFormatting>
  <conditionalFormatting sqref="C77:C80">
    <cfRule type="cellIs" dxfId="574" priority="96" stopIfTrue="1" operator="greaterThan">
      <formula>$F$76</formula>
    </cfRule>
  </conditionalFormatting>
  <conditionalFormatting sqref="C82">
    <cfRule type="cellIs" dxfId="573" priority="99" stopIfTrue="1" operator="lessThanOrEqual">
      <formula>0</formula>
    </cfRule>
    <cfRule type="cellIs" dxfId="572" priority="98" stopIfTrue="1" operator="greaterThan">
      <formula>$F$76</formula>
    </cfRule>
  </conditionalFormatting>
  <conditionalFormatting sqref="C76:D76 D78:D84">
    <cfRule type="cellIs" dxfId="571" priority="91" stopIfTrue="1" operator="greaterThan">
      <formula>4.5</formula>
    </cfRule>
  </conditionalFormatting>
  <conditionalFormatting sqref="D51:D52">
    <cfRule type="cellIs" dxfId="570" priority="75" operator="notBetween">
      <formula>#REF!</formula>
      <formula>#REF!</formula>
    </cfRule>
  </conditionalFormatting>
  <conditionalFormatting sqref="D65:D72">
    <cfRule type="cellIs" dxfId="569" priority="68" stopIfTrue="1" operator="lessThanOrEqual">
      <formula>0</formula>
    </cfRule>
  </conditionalFormatting>
  <conditionalFormatting sqref="D73">
    <cfRule type="cellIs" dxfId="568" priority="67" stopIfTrue="1" operator="lessThanOrEqual">
      <formula>0</formula>
    </cfRule>
  </conditionalFormatting>
  <conditionalFormatting sqref="D76 D78:D84">
    <cfRule type="cellIs" dxfId="567" priority="92" stopIfTrue="1" operator="lessThanOrEqual">
      <formula>0</formula>
    </cfRule>
  </conditionalFormatting>
  <conditionalFormatting sqref="D77">
    <cfRule type="cellIs" dxfId="566" priority="84" stopIfTrue="1" operator="lessThanOrEqual">
      <formula>0</formula>
    </cfRule>
    <cfRule type="cellIs" dxfId="565" priority="83" stopIfTrue="1" operator="greaterThan">
      <formula>$F$76</formula>
    </cfRule>
  </conditionalFormatting>
  <conditionalFormatting sqref="D65:E74">
    <cfRule type="cellIs" dxfId="564" priority="46" stopIfTrue="1" operator="greaterThan">
      <formula>$F65</formula>
    </cfRule>
  </conditionalFormatting>
  <conditionalFormatting sqref="D74:E74">
    <cfRule type="cellIs" dxfId="563" priority="47" stopIfTrue="1" operator="lessThanOrEqual">
      <formula>0</formula>
    </cfRule>
  </conditionalFormatting>
  <conditionalFormatting sqref="E10:E26">
    <cfRule type="cellIs" dxfId="562" priority="4" operator="lessThan">
      <formula>48</formula>
    </cfRule>
  </conditionalFormatting>
  <conditionalFormatting sqref="E54 E55:F55">
    <cfRule type="cellIs" dxfId="561" priority="88" stopIfTrue="1" operator="greaterThan">
      <formula>100</formula>
    </cfRule>
  </conditionalFormatting>
  <conditionalFormatting sqref="E55">
    <cfRule type="cellIs" dxfId="560" priority="86" stopIfTrue="1" operator="greaterThan">
      <formula>100</formula>
    </cfRule>
    <cfRule type="cellIs" dxfId="559" priority="85" stopIfTrue="1" operator="lessThan">
      <formula>96.8</formula>
    </cfRule>
  </conditionalFormatting>
  <conditionalFormatting sqref="E65:E73">
    <cfRule type="cellIs" dxfId="558" priority="62" stopIfTrue="1" operator="lessThanOrEqual">
      <formula>0</formula>
    </cfRule>
  </conditionalFormatting>
  <conditionalFormatting sqref="E76:E84">
    <cfRule type="cellIs" dxfId="557" priority="77" stopIfTrue="1" operator="greaterThan">
      <formula>4.5</formula>
    </cfRule>
    <cfRule type="cellIs" dxfId="556" priority="78" stopIfTrue="1" operator="lessThanOrEqual">
      <formula>0</formula>
    </cfRule>
  </conditionalFormatting>
  <conditionalFormatting sqref="E55:F55 E54">
    <cfRule type="cellIs" dxfId="555" priority="87" stopIfTrue="1" operator="lessThan">
      <formula>96.5</formula>
    </cfRule>
  </conditionalFormatting>
  <conditionalFormatting sqref="F10:F26">
    <cfRule type="cellIs" dxfId="554" priority="5" operator="greaterThan">
      <formula>60</formula>
    </cfRule>
  </conditionalFormatting>
  <conditionalFormatting sqref="F55">
    <cfRule type="cellIs" dxfId="553" priority="104" stopIfTrue="1" operator="greaterThan">
      <formula>100</formula>
    </cfRule>
    <cfRule type="cellIs" dxfId="552" priority="103" stopIfTrue="1" operator="lessThan">
      <formula>96.8</formula>
    </cfRule>
  </conditionalFormatting>
  <conditionalFormatting sqref="F74">
    <cfRule type="cellIs" dxfId="551" priority="63" stopIfTrue="1" operator="greaterThan">
      <formula>$F74</formula>
    </cfRule>
    <cfRule type="cellIs" dxfId="550" priority="64" stopIfTrue="1" operator="lessThanOrEqual">
      <formula>0</formula>
    </cfRule>
  </conditionalFormatting>
  <conditionalFormatting sqref="G65:G66 C71:C73">
    <cfRule type="cellIs" dxfId="549" priority="69" stopIfTrue="1" operator="greaterThan">
      <formula>$F65</formula>
    </cfRule>
    <cfRule type="cellIs" dxfId="548" priority="70" stopIfTrue="1" operator="lessThanOrEqual">
      <formula>0</formula>
    </cfRule>
  </conditionalFormatting>
  <conditionalFormatting sqref="G65:G66">
    <cfRule type="cellIs" dxfId="547" priority="52" stopIfTrue="1" operator="lessThanOrEqual">
      <formula>0</formula>
    </cfRule>
    <cfRule type="cellIs" dxfId="546" priority="51" stopIfTrue="1" operator="greaterThan">
      <formula>$F65</formula>
    </cfRule>
  </conditionalFormatting>
  <conditionalFormatting sqref="G67">
    <cfRule type="cellIs" dxfId="545" priority="108" stopIfTrue="1" operator="lessThanOrEqual">
      <formula>0</formula>
    </cfRule>
    <cfRule type="cellIs" dxfId="544" priority="107" stopIfTrue="1" operator="greaterThan">
      <formula>$F66</formula>
    </cfRule>
  </conditionalFormatting>
  <conditionalFormatting sqref="G68">
    <cfRule type="cellIs" dxfId="543" priority="65" stopIfTrue="1" operator="greaterThan">
      <formula>$F68</formula>
    </cfRule>
    <cfRule type="cellIs" dxfId="542" priority="66" stopIfTrue="1" operator="lessThanOrEqual">
      <formula>0</formula>
    </cfRule>
  </conditionalFormatting>
  <conditionalFormatting sqref="G69:G73">
    <cfRule type="cellIs" dxfId="541" priority="71" stopIfTrue="1" operator="greaterThan">
      <formula>$J69</formula>
    </cfRule>
    <cfRule type="cellIs" dxfId="540" priority="72" stopIfTrue="1" operator="lessThanOrEqual">
      <formula>0</formula>
    </cfRule>
  </conditionalFormatting>
  <conditionalFormatting sqref="G78:G83 C81 C83">
    <cfRule type="cellIs" dxfId="539" priority="101" stopIfTrue="1" operator="lessThanOrEqual">
      <formula>0</formula>
    </cfRule>
    <cfRule type="cellIs" dxfId="538" priority="100" stopIfTrue="1" operator="greaterThan">
      <formula>4.5</formula>
    </cfRule>
  </conditionalFormatting>
  <conditionalFormatting sqref="G10:H26">
    <cfRule type="expression" dxfId="537" priority="6">
      <formula>IF(+(IF(G10&lt;#REF!,0,IF(G10&gt;#REF!,0,1)))=0,1)</formula>
    </cfRule>
  </conditionalFormatting>
  <conditionalFormatting sqref="G77:H77">
    <cfRule type="cellIs" dxfId="536" priority="82" stopIfTrue="1" operator="lessThanOrEqual">
      <formula>0</formula>
    </cfRule>
    <cfRule type="cellIs" dxfId="535" priority="81" stopIfTrue="1" operator="greaterThan">
      <formula>$F$76</formula>
    </cfRule>
  </conditionalFormatting>
  <conditionalFormatting sqref="H40:H54 I42:I53">
    <cfRule type="cellIs" dxfId="534" priority="79" stopIfTrue="1" operator="greaterThan">
      <formula>0</formula>
    </cfRule>
  </conditionalFormatting>
  <conditionalFormatting sqref="H58:H61">
    <cfRule type="cellIs" dxfId="533" priority="28" stopIfTrue="1" operator="greaterThan">
      <formula>$F$42</formula>
    </cfRule>
    <cfRule type="cellIs" dxfId="532" priority="19" stopIfTrue="1" operator="lessThanOrEqual">
      <formula>0</formula>
    </cfRule>
    <cfRule type="cellIs" dxfId="531" priority="20" stopIfTrue="1" operator="greaterThan">
      <formula>$F$39</formula>
    </cfRule>
    <cfRule type="cellIs" dxfId="530" priority="29" stopIfTrue="1" operator="lessThanOrEqual">
      <formula>0</formula>
    </cfRule>
    <cfRule type="cellIs" dxfId="529" priority="30" stopIfTrue="1" operator="greaterThan">
      <formula>$F$40</formula>
    </cfRule>
    <cfRule type="cellIs" dxfId="528" priority="31" stopIfTrue="1" operator="lessThanOrEqual">
      <formula>0</formula>
    </cfRule>
  </conditionalFormatting>
  <conditionalFormatting sqref="H65:H72">
    <cfRule type="cellIs" dxfId="527" priority="56" stopIfTrue="1" operator="lessThanOrEqual">
      <formula>0</formula>
    </cfRule>
    <cfRule type="cellIs" dxfId="526" priority="55" stopIfTrue="1" operator="greaterThan">
      <formula>$J65</formula>
    </cfRule>
  </conditionalFormatting>
  <conditionalFormatting sqref="H73">
    <cfRule type="cellIs" dxfId="525" priority="59" operator="greaterThan">
      <formula>5.3</formula>
    </cfRule>
  </conditionalFormatting>
  <conditionalFormatting sqref="H76 H78:H84">
    <cfRule type="cellIs" dxfId="524" priority="94" stopIfTrue="1" operator="lessThanOrEqual">
      <formula>0</formula>
    </cfRule>
    <cfRule type="cellIs" dxfId="523" priority="93" stopIfTrue="1" operator="greaterThan">
      <formula>4.5</formula>
    </cfRule>
  </conditionalFormatting>
  <conditionalFormatting sqref="H58:I61">
    <cfRule type="cellIs" dxfId="522" priority="21" stopIfTrue="1" operator="lessThanOrEqual">
      <formula>0</formula>
    </cfRule>
    <cfRule type="cellIs" dxfId="521" priority="18" stopIfTrue="1" operator="greaterThan">
      <formula>$F$41</formula>
    </cfRule>
  </conditionalFormatting>
  <conditionalFormatting sqref="H74:I74">
    <cfRule type="cellIs" dxfId="520" priority="45" stopIfTrue="1" operator="lessThanOrEqual">
      <formula>0</formula>
    </cfRule>
    <cfRule type="cellIs" dxfId="519" priority="44" stopIfTrue="1" operator="greaterThan">
      <formula>$J74</formula>
    </cfRule>
  </conditionalFormatting>
  <conditionalFormatting sqref="I58:I61">
    <cfRule type="cellIs" dxfId="518" priority="23" stopIfTrue="1" operator="lessThanOrEqual">
      <formula>0</formula>
    </cfRule>
    <cfRule type="cellIs" dxfId="517" priority="27" stopIfTrue="1" operator="lessThanOrEqual">
      <formula>0</formula>
    </cfRule>
    <cfRule type="cellIs" dxfId="516" priority="24" stopIfTrue="1" operator="greaterThan">
      <formula>$F$41</formula>
    </cfRule>
    <cfRule type="cellIs" dxfId="515" priority="25" stopIfTrue="1" operator="lessThanOrEqual">
      <formula>0</formula>
    </cfRule>
    <cfRule type="cellIs" dxfId="514" priority="26" stopIfTrue="1" operator="greaterThan">
      <formula>$F$39</formula>
    </cfRule>
    <cfRule type="cellIs" dxfId="513" priority="22" stopIfTrue="1" operator="greaterThan">
      <formula>$F$39</formula>
    </cfRule>
  </conditionalFormatting>
  <conditionalFormatting sqref="I65:I73">
    <cfRule type="cellIs" dxfId="512" priority="60" stopIfTrue="1" operator="greaterThan">
      <formula>$J65</formula>
    </cfRule>
    <cfRule type="cellIs" dxfId="511" priority="61" stopIfTrue="1" operator="lessThanOrEqual">
      <formula>0</formula>
    </cfRule>
  </conditionalFormatting>
  <conditionalFormatting sqref="I76:I84">
    <cfRule type="cellIs" dxfId="510" priority="90" stopIfTrue="1" operator="lessThanOrEqual">
      <formula>0</formula>
    </cfRule>
    <cfRule type="cellIs" dxfId="509" priority="89" stopIfTrue="1" operator="greaterThan">
      <formula>4.5</formula>
    </cfRule>
  </conditionalFormatting>
  <conditionalFormatting sqref="I10:J26">
    <cfRule type="cellIs" dxfId="508" priority="13" operator="lessThan">
      <formula>97.9</formula>
    </cfRule>
  </conditionalFormatting>
  <conditionalFormatting sqref="J29:J31">
    <cfRule type="cellIs" dxfId="507" priority="36" operator="lessThan">
      <formula>98</formula>
    </cfRule>
    <cfRule type="cellIs" dxfId="506" priority="35" stopIfTrue="1" operator="greaterThan">
      <formula>100</formula>
    </cfRule>
    <cfRule type="cellIs" dxfId="505" priority="34" stopIfTrue="1" operator="lessThan">
      <formula>96.8</formula>
    </cfRule>
  </conditionalFormatting>
  <conditionalFormatting sqref="J29:J33">
    <cfRule type="cellIs" dxfId="504" priority="33" operator="lessThan">
      <formula>97.4</formula>
    </cfRule>
  </conditionalFormatting>
  <conditionalFormatting sqref="J34">
    <cfRule type="cellIs" dxfId="503" priority="37" operator="lessThan">
      <formula>98</formula>
    </cfRule>
  </conditionalFormatting>
  <conditionalFormatting sqref="J35:J37">
    <cfRule type="cellIs" dxfId="502" priority="38" stopIfTrue="1" operator="lessThan">
      <formula>96.8</formula>
    </cfRule>
    <cfRule type="cellIs" dxfId="501" priority="39" stopIfTrue="1" operator="greaterThan">
      <formula>100</formula>
    </cfRule>
  </conditionalFormatting>
  <conditionalFormatting sqref="J35:J38">
    <cfRule type="cellIs" dxfId="500" priority="40" operator="lessThan">
      <formula>98</formula>
    </cfRule>
  </conditionalFormatting>
  <conditionalFormatting sqref="J74">
    <cfRule type="cellIs" dxfId="499" priority="41" stopIfTrue="1" operator="greaterThan">
      <formula>$F74</formula>
    </cfRule>
    <cfRule type="cellIs" dxfId="498" priority="42" stopIfTrue="1" operator="lessThanOrEqual">
      <formula>0</formula>
    </cfRule>
  </conditionalFormatting>
  <conditionalFormatting sqref="K10:K26">
    <cfRule type="cellIs" dxfId="497" priority="8" operator="greaterThan">
      <formula>6</formula>
    </cfRule>
    <cfRule type="cellIs" dxfId="496" priority="9" operator="lessThan">
      <formula>4</formula>
    </cfRule>
    <cfRule type="cellIs" dxfId="495" priority="12" operator="greaterThan">
      <formula>6.4</formula>
    </cfRule>
  </conditionalFormatting>
  <conditionalFormatting sqref="K43:K52">
    <cfRule type="cellIs" dxfId="494" priority="32" operator="notEqual">
      <formula>#REF!</formula>
    </cfRule>
  </conditionalFormatting>
  <conditionalFormatting sqref="K58:K61">
    <cfRule type="cellIs" dxfId="493" priority="14" stopIfTrue="1" operator="lessThan">
      <formula>100%</formula>
    </cfRule>
  </conditionalFormatting>
  <conditionalFormatting sqref="K76:K81">
    <cfRule type="cellIs" dxfId="492" priority="95" stopIfTrue="1" operator="lessThan">
      <formula>100%</formula>
    </cfRule>
  </conditionalFormatting>
  <conditionalFormatting sqref="K83:K84">
    <cfRule type="cellIs" dxfId="491" priority="102" stopIfTrue="1" operator="lessThan">
      <formula>100%</formula>
    </cfRule>
  </conditionalFormatting>
  <conditionalFormatting sqref="K65:N68 L69:N69">
    <cfRule type="cellIs" dxfId="490" priority="73" stopIfTrue="1" operator="lessThan">
      <formula>100%</formula>
    </cfRule>
  </conditionalFormatting>
  <conditionalFormatting sqref="K70:N74">
    <cfRule type="cellIs" dxfId="489" priority="43" stopIfTrue="1" operator="lessThan">
      <formula>100%</formula>
    </cfRule>
  </conditionalFormatting>
  <conditionalFormatting sqref="L21:L26">
    <cfRule type="cellIs" dxfId="488" priority="17" operator="greaterThan">
      <formula>65</formula>
    </cfRule>
    <cfRule type="cellIs" dxfId="487" priority="16" operator="between">
      <formula>61</formula>
      <formula>65</formula>
    </cfRule>
  </conditionalFormatting>
  <conditionalFormatting sqref="L10:M18">
    <cfRule type="cellIs" dxfId="486" priority="1" operator="between">
      <formula>61</formula>
      <formula>65</formula>
    </cfRule>
  </conditionalFormatting>
  <conditionalFormatting sqref="L10:M20">
    <cfRule type="cellIs" dxfId="485" priority="2" operator="greaterThan">
      <formula>65</formula>
    </cfRule>
  </conditionalFormatting>
  <conditionalFormatting sqref="L19:M20">
    <cfRule type="cellIs" dxfId="484" priority="10" operator="between">
      <formula>61</formula>
      <formula>65</formula>
    </cfRule>
  </conditionalFormatting>
  <conditionalFormatting sqref="L44:N44">
    <cfRule type="cellIs" dxfId="483" priority="15" operator="notEqual">
      <formula>#REF!</formula>
    </cfRule>
  </conditionalFormatting>
  <conditionalFormatting sqref="L76:N84">
    <cfRule type="cellIs" dxfId="482" priority="80" stopIfTrue="1" operator="lessThan">
      <formula>100%</formula>
    </cfRule>
  </conditionalFormatting>
  <conditionalFormatting sqref="M10:M26">
    <cfRule type="expression" dxfId="481" priority="7">
      <formula>IF(+(IF(M10&lt;U10,0,IF(M10&gt;V10,0,1)))=0,1)</formula>
    </cfRule>
  </conditionalFormatting>
  <conditionalFormatting sqref="M29 L30:M40">
    <cfRule type="cellIs" dxfId="480" priority="48" operator="lessThan">
      <formula>98</formula>
    </cfRule>
  </conditionalFormatting>
  <conditionalFormatting sqref="N10:N26">
    <cfRule type="expression" dxfId="479" priority="3">
      <formula>IF(+(IF(N10&lt;W10,0,IF(N10&gt;X10,0,1)))=0,1)</formula>
    </cfRule>
  </conditionalFormatting>
  <conditionalFormatting sqref="P6">
    <cfRule type="cellIs" dxfId="478" priority="76" operator="greaterThanOrEqual">
      <formula>19</formula>
    </cfRule>
  </conditionalFormatting>
  <dataValidations count="1">
    <dataValidation type="list" allowBlank="1" showInputMessage="1" showErrorMessage="1" sqref="R8" xr:uid="{154EE05C-0322-4C1F-BD2C-B784B00CB2A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D68C4-2B7C-41F6-AC8C-E8E02E4B2E59}">
  <sheetPr codeName="Sheet22">
    <pageSetUpPr fitToPage="1"/>
  </sheetPr>
  <dimension ref="A1:BE78"/>
  <sheetViews>
    <sheetView topLeftCell="A35" zoomScale="60" zoomScaleNormal="60" workbookViewId="0">
      <selection activeCell="L58" sqref="L58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45804</v>
      </c>
      <c r="J4" s="399" t="s">
        <v>215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216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customHeight="1">
      <c r="B10" s="34" t="s">
        <v>12</v>
      </c>
      <c r="C10" s="366" t="str">
        <f>[24]Brewhouse!$A55</f>
        <v>GU048</v>
      </c>
      <c r="D10" s="279">
        <f>[24]Brewhouse!$AF55</f>
        <v>56.6</v>
      </c>
      <c r="E10" s="279">
        <f>[24]Brewhouse!$AI55</f>
        <v>51</v>
      </c>
      <c r="F10" s="278">
        <f>[24]Brewhouse!$V55</f>
        <v>64</v>
      </c>
      <c r="G10" s="279">
        <f>[24]Brewhouse!$AG55</f>
        <v>17</v>
      </c>
      <c r="H10" s="396">
        <v>17</v>
      </c>
      <c r="I10" s="421">
        <f>[24]Brewhouse!$AU55</f>
        <v>93.513475858619572</v>
      </c>
      <c r="J10" s="421">
        <f>[24]Brewhouse!$AV55</f>
        <v>95.354107648725204</v>
      </c>
      <c r="K10" s="398">
        <f>[24]Brewhouse!$R55</f>
        <v>7.4509803921568629</v>
      </c>
      <c r="L10" s="276">
        <f>[24]Brewhouse!$O55</f>
        <v>60</v>
      </c>
      <c r="M10" s="374">
        <f>[24]Brewhouse!$U55-[24]Brewhouse!$T55</f>
        <v>0.1159722222222222</v>
      </c>
      <c r="N10" s="370">
        <f>[24]Brewhouse!$Z55</f>
        <v>0.25972222222222219</v>
      </c>
      <c r="O10" s="429" t="str">
        <f>[24]Brewhouse!$AW55</f>
        <v>K. Benjamin</v>
      </c>
      <c r="P10" s="423"/>
      <c r="R10" s="277" t="str">
        <f t="shared" ref="R10:R28" si="0">B10</f>
        <v>GUINNESS</v>
      </c>
      <c r="S10" s="296">
        <f t="shared" ref="S10:S28" si="1">VLOOKUP($B10,$R$3:$X$9,2,FALSE)</f>
        <v>17</v>
      </c>
      <c r="T10" s="296">
        <f t="shared" ref="T10:T28" si="2">VLOOKUP($B10,$R$3:$X$9,3,FALSE)</f>
        <v>17.5</v>
      </c>
      <c r="U10" s="297">
        <f t="shared" ref="U10:U28" si="3">VLOOKUP($B10,$R$3:$X$9,4,FALSE)</f>
        <v>0</v>
      </c>
      <c r="V10" s="297">
        <f t="shared" ref="V10:V28" si="4">VLOOKUP($B10,$R$3:$X$9,5,FALSE)</f>
        <v>0.1076388888888889</v>
      </c>
      <c r="W10" s="297">
        <f t="shared" ref="W10:W28" si="5">VLOOKUP($B10,$R$3:$X$9,6,FALSE)</f>
        <v>0.24652777777777779</v>
      </c>
      <c r="X10" s="297">
        <f t="shared" ref="X10:X28" si="6">VLOOKUP($B10,$R$3:$X$9,7,FALSE)</f>
        <v>0.28472222222222221</v>
      </c>
      <c r="Y10" s="297">
        <f t="shared" ref="Y10:Y28" si="7">VLOOKUP($B10,$R$3:$Z$9,8,FALSE)</f>
        <v>0</v>
      </c>
      <c r="Z10" s="296">
        <f t="shared" ref="Z10:Z28" si="8">VLOOKUP($B10,$R$3:$Z$9,9,FALSE)</f>
        <v>60</v>
      </c>
    </row>
    <row r="11" spans="2:29" ht="15.75" customHeight="1">
      <c r="B11" s="34" t="s">
        <v>12</v>
      </c>
      <c r="C11" s="366" t="str">
        <f>[24]Brewhouse!$A56</f>
        <v>GU049</v>
      </c>
      <c r="D11" s="279">
        <f>[24]Brewhouse!$AF56</f>
        <v>57.9</v>
      </c>
      <c r="E11" s="279">
        <f>[24]Brewhouse!$AI56</f>
        <v>52.8</v>
      </c>
      <c r="F11" s="278">
        <f>[24]Brewhouse!$V56</f>
        <v>65</v>
      </c>
      <c r="G11" s="279">
        <f>[24]Brewhouse!$AG56</f>
        <v>17.2</v>
      </c>
      <c r="H11" s="396">
        <v>17.2</v>
      </c>
      <c r="I11" s="421">
        <f>[24]Brewhouse!$AU56</f>
        <v>98.277172200509639</v>
      </c>
      <c r="J11" s="421">
        <f>[24]Brewhouse!$AV56</f>
        <v>100.21054805483129</v>
      </c>
      <c r="K11" s="398">
        <f>[24]Brewhouse!$R56</f>
        <v>-1.6819012797074984</v>
      </c>
      <c r="L11" s="276">
        <f>[24]Brewhouse!$O56</f>
        <v>57</v>
      </c>
      <c r="M11" s="374">
        <f>[24]Brewhouse!$U56-[24]Brewhouse!$T56</f>
        <v>0.11319444444444449</v>
      </c>
      <c r="N11" s="370">
        <f>[24]Brewhouse!$Z56</f>
        <v>0.25624999999999998</v>
      </c>
      <c r="O11" s="429" t="str">
        <f>[24]Brewhouse!$AW56</f>
        <v>K. Benjamin</v>
      </c>
      <c r="P11" s="423"/>
      <c r="R11" s="277" t="str">
        <f t="shared" si="0"/>
        <v>GUINNESS</v>
      </c>
      <c r="S11" s="296">
        <f t="shared" si="1"/>
        <v>17</v>
      </c>
      <c r="T11" s="296">
        <f t="shared" si="2"/>
        <v>17.5</v>
      </c>
      <c r="U11" s="297">
        <f t="shared" si="3"/>
        <v>0</v>
      </c>
      <c r="V11" s="297">
        <f t="shared" si="4"/>
        <v>0.1076388888888889</v>
      </c>
      <c r="W11" s="297">
        <f t="shared" si="5"/>
        <v>0.24652777777777779</v>
      </c>
      <c r="X11" s="297">
        <f t="shared" si="6"/>
        <v>0.28472222222222221</v>
      </c>
      <c r="Y11" s="297">
        <f t="shared" si="7"/>
        <v>0</v>
      </c>
      <c r="Z11" s="296">
        <f t="shared" si="8"/>
        <v>60</v>
      </c>
    </row>
    <row r="12" spans="2:29" ht="15.75" customHeight="1">
      <c r="B12" s="34" t="s">
        <v>12</v>
      </c>
      <c r="C12" s="366" t="str">
        <f>[24]Brewhouse!$A57</f>
        <v>GU050</v>
      </c>
      <c r="D12" s="279">
        <f>[24]Brewhouse!$AF57</f>
        <v>57</v>
      </c>
      <c r="E12" s="279">
        <f>[24]Brewhouse!$AI57</f>
        <v>52.1</v>
      </c>
      <c r="F12" s="278">
        <f>[24]Brewhouse!$V57</f>
        <v>66</v>
      </c>
      <c r="G12" s="279">
        <f>[24]Brewhouse!$AG57</f>
        <v>17</v>
      </c>
      <c r="H12" s="367"/>
      <c r="I12" s="421">
        <f>[24]Brewhouse!$AU57</f>
        <v>95.760757936806428</v>
      </c>
      <c r="J12" s="421">
        <f>[24]Brewhouse!$AV57</f>
        <v>97.644629165913727</v>
      </c>
      <c r="K12" s="398">
        <f>[24]Brewhouse!$R57</f>
        <v>3.2695652173912966</v>
      </c>
      <c r="L12" s="276">
        <f>[24]Brewhouse!$O57</f>
        <v>60</v>
      </c>
      <c r="M12" s="374">
        <f>[24]Brewhouse!$U57-[24]Brewhouse!$T57</f>
        <v>0.11597222222222225</v>
      </c>
      <c r="N12" s="370">
        <f>[24]Brewhouse!$Z57</f>
        <v>0.24791666666666667</v>
      </c>
      <c r="O12" s="429" t="str">
        <f>[24]Brewhouse!$AW57</f>
        <v>K. Benjamin</v>
      </c>
      <c r="P12" s="423"/>
      <c r="R12" s="277" t="str">
        <f t="shared" si="0"/>
        <v>GUINNESS</v>
      </c>
      <c r="S12" s="296">
        <f t="shared" si="1"/>
        <v>17</v>
      </c>
      <c r="T12" s="296">
        <f t="shared" si="2"/>
        <v>17.5</v>
      </c>
      <c r="U12" s="297">
        <f t="shared" si="3"/>
        <v>0</v>
      </c>
      <c r="V12" s="297">
        <f t="shared" si="4"/>
        <v>0.1076388888888889</v>
      </c>
      <c r="W12" s="297">
        <f t="shared" si="5"/>
        <v>0.24652777777777779</v>
      </c>
      <c r="X12" s="297">
        <f t="shared" si="6"/>
        <v>0.28472222222222221</v>
      </c>
      <c r="Y12" s="297">
        <f t="shared" si="7"/>
        <v>0</v>
      </c>
      <c r="Z12" s="296">
        <f t="shared" si="8"/>
        <v>60</v>
      </c>
    </row>
    <row r="13" spans="2:29" ht="15.75" customHeight="1">
      <c r="B13" s="34" t="s">
        <v>12</v>
      </c>
      <c r="C13" s="366" t="str">
        <f>[24]Brewhouse!$A58</f>
        <v>GU051</v>
      </c>
      <c r="D13" s="279">
        <f>[24]Brewhouse!$AF58</f>
        <v>57.3</v>
      </c>
      <c r="E13" s="279">
        <f>[24]Brewhouse!$AI58</f>
        <v>52.5</v>
      </c>
      <c r="F13" s="278">
        <f>[24]Brewhouse!$V58</f>
        <v>70</v>
      </c>
      <c r="G13" s="279">
        <f>[24]Brewhouse!$AG58</f>
        <v>17</v>
      </c>
      <c r="H13" s="396">
        <v>17</v>
      </c>
      <c r="I13" s="421">
        <f>[24]Brewhouse!$AU58</f>
        <v>96.573578554362598</v>
      </c>
      <c r="J13" s="421">
        <f>[24]Brewhouse!$AV58</f>
        <v>98.473104944969748</v>
      </c>
      <c r="K13" s="398">
        <f>[24]Brewhouse!$R58</f>
        <v>3.5677530017152632</v>
      </c>
      <c r="L13" s="276">
        <f>[24]Brewhouse!$O58</f>
        <v>56</v>
      </c>
      <c r="M13" s="374">
        <f>[24]Brewhouse!$U58-[24]Brewhouse!$T58</f>
        <v>0.12361111111111112</v>
      </c>
      <c r="N13" s="370">
        <f>[24]Brewhouse!$Z58</f>
        <v>0.26527777777777783</v>
      </c>
      <c r="O13" s="429" t="str">
        <f>[24]Brewhouse!$AW58</f>
        <v>R. Regis</v>
      </c>
      <c r="P13" s="423"/>
      <c r="R13" s="277" t="str">
        <f t="shared" si="0"/>
        <v>GUINNESS</v>
      </c>
      <c r="S13" s="296">
        <f t="shared" si="1"/>
        <v>17</v>
      </c>
      <c r="T13" s="296">
        <f t="shared" si="2"/>
        <v>17.5</v>
      </c>
      <c r="U13" s="297">
        <f t="shared" si="3"/>
        <v>0</v>
      </c>
      <c r="V13" s="297">
        <f t="shared" si="4"/>
        <v>0.1076388888888889</v>
      </c>
      <c r="W13" s="297">
        <f t="shared" si="5"/>
        <v>0.24652777777777779</v>
      </c>
      <c r="X13" s="297">
        <f t="shared" si="6"/>
        <v>0.28472222222222221</v>
      </c>
      <c r="Y13" s="297">
        <f t="shared" si="7"/>
        <v>0</v>
      </c>
      <c r="Z13" s="296">
        <f t="shared" si="8"/>
        <v>60</v>
      </c>
    </row>
    <row r="14" spans="2:29" ht="15.75" customHeight="1">
      <c r="B14" s="34" t="s">
        <v>12</v>
      </c>
      <c r="C14" s="366" t="str">
        <f>[24]Brewhouse!$A59</f>
        <v>GU052</v>
      </c>
      <c r="D14" s="279">
        <f>[24]Brewhouse!$AF59</f>
        <v>58</v>
      </c>
      <c r="E14" s="279">
        <f>[24]Brewhouse!$AI59</f>
        <v>53</v>
      </c>
      <c r="F14" s="278">
        <f>[24]Brewhouse!$V59</f>
        <v>73</v>
      </c>
      <c r="G14" s="279">
        <f>[24]Brewhouse!$AG59</f>
        <v>17.3</v>
      </c>
      <c r="H14" s="396">
        <v>17.3</v>
      </c>
      <c r="I14" s="421">
        <f>[24]Brewhouse!$AU59</f>
        <v>99.533476293047087</v>
      </c>
      <c r="J14" s="421">
        <f>[24]Brewhouse!$AV59</f>
        <v>101.49052893075252</v>
      </c>
      <c r="K14" s="398">
        <f>[24]Brewhouse!$R59</f>
        <v>2.866894197952218</v>
      </c>
      <c r="L14" s="276">
        <f>[24]Brewhouse!$O59</f>
        <v>59</v>
      </c>
      <c r="M14" s="374">
        <f>[24]Brewhouse!$U59-[24]Brewhouse!$T59</f>
        <v>0.13402777777777775</v>
      </c>
      <c r="N14" s="370">
        <f>[24]Brewhouse!$Z59</f>
        <v>0.27708333333333335</v>
      </c>
      <c r="O14" s="429" t="str">
        <f>[24]Brewhouse!$AW59</f>
        <v>R. Regis</v>
      </c>
      <c r="P14" s="423"/>
      <c r="R14" s="277" t="str">
        <f t="shared" si="0"/>
        <v>GUINNESS</v>
      </c>
      <c r="S14" s="296">
        <f t="shared" si="1"/>
        <v>17</v>
      </c>
      <c r="T14" s="296">
        <f t="shared" si="2"/>
        <v>17.5</v>
      </c>
      <c r="U14" s="297">
        <f t="shared" si="3"/>
        <v>0</v>
      </c>
      <c r="V14" s="297">
        <f t="shared" si="4"/>
        <v>0.1076388888888889</v>
      </c>
      <c r="W14" s="297">
        <f t="shared" si="5"/>
        <v>0.24652777777777779</v>
      </c>
      <c r="X14" s="297">
        <f t="shared" si="6"/>
        <v>0.28472222222222221</v>
      </c>
      <c r="Y14" s="297">
        <f t="shared" si="7"/>
        <v>0</v>
      </c>
      <c r="Z14" s="296">
        <f t="shared" si="8"/>
        <v>60</v>
      </c>
    </row>
    <row r="15" spans="2:29" ht="15.75" customHeight="1">
      <c r="B15" s="34" t="s">
        <v>12</v>
      </c>
      <c r="C15" s="366" t="str">
        <f>[24]Brewhouse!$A60</f>
        <v>GU053</v>
      </c>
      <c r="D15" s="279">
        <f>[24]Brewhouse!$AF60</f>
        <v>58.3</v>
      </c>
      <c r="E15" s="279">
        <f>[24]Brewhouse!$AI60</f>
        <v>53.4</v>
      </c>
      <c r="F15" s="278">
        <f>[24]Brewhouse!$V60</f>
        <v>74</v>
      </c>
      <c r="G15" s="279">
        <f>[24]Brewhouse!$AG60</f>
        <v>17.399999999999999</v>
      </c>
      <c r="H15" s="367"/>
      <c r="I15" s="421">
        <f>[24]Brewhouse!$AU60</f>
        <v>100.79975408192627</v>
      </c>
      <c r="J15" s="421">
        <f>[24]Brewhouse!$AV60</f>
        <v>102.78205559146734</v>
      </c>
      <c r="K15" s="398">
        <f>[24]Brewhouse!$R60</f>
        <v>2.3549488054607552</v>
      </c>
      <c r="L15" s="276">
        <f>[24]Brewhouse!$O60</f>
        <v>58</v>
      </c>
      <c r="M15" s="374">
        <f>[24]Brewhouse!$U60-[24]Brewhouse!$T60</f>
        <v>0.12222222222222223</v>
      </c>
      <c r="N15" s="370">
        <f>[24]Brewhouse!$Z60</f>
        <v>0.26319444444444451</v>
      </c>
      <c r="O15" s="429" t="str">
        <f>[24]Brewhouse!$AW60</f>
        <v>R. Regis</v>
      </c>
      <c r="P15" s="423"/>
      <c r="R15" s="277" t="str">
        <f t="shared" si="0"/>
        <v>GUINNESS</v>
      </c>
      <c r="S15" s="296">
        <f t="shared" si="1"/>
        <v>17</v>
      </c>
      <c r="T15" s="296">
        <f t="shared" si="2"/>
        <v>17.5</v>
      </c>
      <c r="U15" s="297">
        <f t="shared" si="3"/>
        <v>0</v>
      </c>
      <c r="V15" s="297">
        <f t="shared" si="4"/>
        <v>0.1076388888888889</v>
      </c>
      <c r="W15" s="297">
        <f t="shared" si="5"/>
        <v>0.24652777777777779</v>
      </c>
      <c r="X15" s="297">
        <f t="shared" si="6"/>
        <v>0.28472222222222221</v>
      </c>
      <c r="Y15" s="297">
        <f t="shared" si="7"/>
        <v>0</v>
      </c>
      <c r="Z15" s="296">
        <f t="shared" si="8"/>
        <v>60</v>
      </c>
    </row>
    <row r="16" spans="2:29" ht="15.75" customHeight="1">
      <c r="B16" s="34" t="s">
        <v>12</v>
      </c>
      <c r="C16" s="366" t="str">
        <f>[24]Brewhouse!$A61</f>
        <v>GU054</v>
      </c>
      <c r="D16" s="279">
        <f>[24]Brewhouse!$AF61</f>
        <v>58.6</v>
      </c>
      <c r="E16" s="279">
        <f>[24]Brewhouse!$AI61</f>
        <v>53.5</v>
      </c>
      <c r="F16" s="278">
        <f>[24]Brewhouse!$V61</f>
        <v>90</v>
      </c>
      <c r="G16" s="279">
        <f>[24]Brewhouse!$AG61</f>
        <v>17.100000000000001</v>
      </c>
      <c r="H16" s="396">
        <v>17.100000000000001</v>
      </c>
      <c r="I16" s="421">
        <f>[24]Brewhouse!$AU61</f>
        <v>99.223354141007036</v>
      </c>
      <c r="J16" s="421">
        <f>[24]Brewhouse!$AV61</f>
        <v>101.17430907773523</v>
      </c>
      <c r="K16" s="398">
        <f>[24]Brewhouse!$R61</f>
        <v>1.8430034129692803</v>
      </c>
      <c r="L16" s="276">
        <f>[24]Brewhouse!$O61</f>
        <v>59</v>
      </c>
      <c r="M16" s="374">
        <f>[24]Brewhouse!$U61-[24]Brewhouse!$T61</f>
        <v>0.12916666666666676</v>
      </c>
      <c r="N16" s="370">
        <f>[24]Brewhouse!$Z61</f>
        <v>0.27916666666666667</v>
      </c>
      <c r="O16" s="429" t="str">
        <f>[24]Brewhouse!$AW61</f>
        <v>R. Regis</v>
      </c>
      <c r="P16" s="423"/>
      <c r="R16" s="277" t="str">
        <f t="shared" si="0"/>
        <v>GUINNESS</v>
      </c>
      <c r="S16" s="296">
        <f t="shared" si="1"/>
        <v>17</v>
      </c>
      <c r="T16" s="296">
        <f t="shared" si="2"/>
        <v>17.5</v>
      </c>
      <c r="U16" s="297">
        <f t="shared" si="3"/>
        <v>0</v>
      </c>
      <c r="V16" s="297">
        <f t="shared" si="4"/>
        <v>0.1076388888888889</v>
      </c>
      <c r="W16" s="297">
        <f t="shared" si="5"/>
        <v>0.24652777777777779</v>
      </c>
      <c r="X16" s="297">
        <f t="shared" si="6"/>
        <v>0.28472222222222221</v>
      </c>
      <c r="Y16" s="297">
        <f t="shared" si="7"/>
        <v>0</v>
      </c>
      <c r="Z16" s="296">
        <f t="shared" si="8"/>
        <v>60</v>
      </c>
    </row>
    <row r="17" spans="1:26" ht="15.75" customHeight="1">
      <c r="B17" s="34" t="s">
        <v>12</v>
      </c>
      <c r="C17" s="366" t="str">
        <f>[24]Brewhouse!$A62</f>
        <v>GU055</v>
      </c>
      <c r="D17" s="279">
        <f>[24]Brewhouse!$AF62</f>
        <v>58.3</v>
      </c>
      <c r="E17" s="279">
        <f>[24]Brewhouse!$AI62</f>
        <v>53.8</v>
      </c>
      <c r="F17" s="278">
        <f>[24]Brewhouse!$V62</f>
        <v>97</v>
      </c>
      <c r="G17" s="279">
        <f>[24]Brewhouse!$AG62</f>
        <v>17.2</v>
      </c>
      <c r="H17" s="396">
        <v>17.2</v>
      </c>
      <c r="I17" s="421">
        <f>[24]Brewhouse!$AU62</f>
        <v>100.46143353752879</v>
      </c>
      <c r="J17" s="421">
        <f>[24]Brewhouse!$AV62</f>
        <v>102.43638152953667</v>
      </c>
      <c r="K17" s="398">
        <f>[24]Brewhouse!$R62</f>
        <v>2.3549488054607552</v>
      </c>
      <c r="L17" s="276">
        <f>[24]Brewhouse!$O62</f>
        <v>59</v>
      </c>
      <c r="M17" s="374">
        <f>[24]Brewhouse!$U62-[24]Brewhouse!$T62</f>
        <v>0.14305555555555549</v>
      </c>
      <c r="N17" s="370">
        <f>[24]Brewhouse!$Z62</f>
        <v>0.28888888888888886</v>
      </c>
      <c r="O17" s="429" t="str">
        <f>[24]Brewhouse!$AW62</f>
        <v>D. Gomaz</v>
      </c>
      <c r="P17" s="423"/>
      <c r="R17" s="277" t="str">
        <f t="shared" si="0"/>
        <v>GUINNESS</v>
      </c>
      <c r="S17" s="296">
        <f t="shared" si="1"/>
        <v>17</v>
      </c>
      <c r="T17" s="296">
        <f t="shared" si="2"/>
        <v>17.5</v>
      </c>
      <c r="U17" s="297">
        <f t="shared" si="3"/>
        <v>0</v>
      </c>
      <c r="V17" s="297">
        <f t="shared" si="4"/>
        <v>0.1076388888888889</v>
      </c>
      <c r="W17" s="297">
        <f t="shared" si="5"/>
        <v>0.24652777777777779</v>
      </c>
      <c r="X17" s="297">
        <f t="shared" si="6"/>
        <v>0.28472222222222221</v>
      </c>
      <c r="Y17" s="297">
        <f t="shared" si="7"/>
        <v>0</v>
      </c>
      <c r="Z17" s="296">
        <f t="shared" si="8"/>
        <v>60</v>
      </c>
    </row>
    <row r="18" spans="1:26" ht="15.75" customHeight="1" thickBot="1">
      <c r="B18" s="34"/>
      <c r="C18" s="366"/>
      <c r="D18" s="279"/>
      <c r="E18" s="279"/>
      <c r="F18" s="278"/>
      <c r="G18" s="279"/>
      <c r="H18" s="396"/>
      <c r="I18" s="421"/>
      <c r="J18" s="421"/>
      <c r="K18" s="398"/>
      <c r="L18" s="276"/>
      <c r="M18" s="374"/>
      <c r="N18" s="370"/>
      <c r="O18" s="429"/>
      <c r="P18" s="423"/>
      <c r="R18" s="277"/>
      <c r="S18" s="296"/>
      <c r="T18" s="296"/>
      <c r="U18" s="297"/>
      <c r="V18" s="297"/>
      <c r="W18" s="297"/>
      <c r="X18" s="297"/>
      <c r="Y18" s="297"/>
      <c r="Z18" s="296"/>
    </row>
    <row r="19" spans="1:26" ht="15.75" hidden="1" customHeight="1">
      <c r="B19" s="34"/>
      <c r="C19" s="366"/>
      <c r="D19" s="279"/>
      <c r="E19" s="279"/>
      <c r="F19" s="278"/>
      <c r="G19" s="279"/>
      <c r="H19" s="396"/>
      <c r="I19" s="421"/>
      <c r="J19" s="421"/>
      <c r="K19" s="398"/>
      <c r="L19" s="276"/>
      <c r="M19" s="374"/>
      <c r="N19" s="370"/>
      <c r="O19" s="429"/>
      <c r="P19" s="42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hidden="1" customHeight="1">
      <c r="B20" s="34"/>
      <c r="C20" s="366"/>
      <c r="D20" s="279"/>
      <c r="E20" s="279"/>
      <c r="F20" s="278"/>
      <c r="G20" s="279"/>
      <c r="H20" s="396"/>
      <c r="I20" s="421"/>
      <c r="J20" s="421"/>
      <c r="K20" s="398"/>
      <c r="L20" s="276"/>
      <c r="M20" s="374"/>
      <c r="N20" s="370"/>
      <c r="O20" s="429"/>
      <c r="P20" s="42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hidden="1" customHeight="1">
      <c r="B21" s="34"/>
      <c r="C21" s="366"/>
      <c r="D21" s="279"/>
      <c r="E21" s="279"/>
      <c r="F21" s="278"/>
      <c r="G21" s="279"/>
      <c r="H21" s="396"/>
      <c r="I21" s="421"/>
      <c r="J21" s="421"/>
      <c r="K21" s="398"/>
      <c r="L21" s="276"/>
      <c r="M21" s="374"/>
      <c r="N21" s="370"/>
      <c r="O21" s="429"/>
      <c r="P21" s="42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34"/>
      <c r="C22" s="366"/>
      <c r="D22" s="279"/>
      <c r="E22" s="279"/>
      <c r="F22" s="278"/>
      <c r="G22" s="279"/>
      <c r="H22" s="396"/>
      <c r="I22" s="421"/>
      <c r="J22" s="421"/>
      <c r="K22" s="398"/>
      <c r="L22" s="276"/>
      <c r="M22" s="374"/>
      <c r="N22" s="370"/>
      <c r="O22" s="429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9"/>
      <c r="P25" s="42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9"/>
      <c r="P26" s="423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hidden="1" customHeight="1" thickBot="1">
      <c r="B27" s="358"/>
      <c r="C27" s="358"/>
      <c r="D27" s="358"/>
      <c r="E27" s="358"/>
      <c r="F27" s="294"/>
      <c r="G27" s="294"/>
      <c r="H27" s="348"/>
      <c r="I27" s="481" t="s">
        <v>34</v>
      </c>
      <c r="J27" s="481"/>
      <c r="K27" s="481"/>
      <c r="L27" s="481"/>
      <c r="M27" s="481"/>
      <c r="N27" s="481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thickBot="1">
      <c r="B28" s="388" t="s">
        <v>145</v>
      </c>
      <c r="C28" s="388"/>
      <c r="D28" s="494" t="s">
        <v>35</v>
      </c>
      <c r="E28" s="495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>BRAND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36" t="str">
        <f>I31</f>
        <v>GUINNESS</v>
      </c>
      <c r="C29" s="362">
        <f>[24]Process!D59</f>
        <v>17.8</v>
      </c>
      <c r="D29" s="485">
        <v>17.64</v>
      </c>
      <c r="E29" s="474"/>
      <c r="F29" s="294"/>
      <c r="G29" s="294"/>
      <c r="H29" s="348"/>
      <c r="I29" s="29" t="s">
        <v>6</v>
      </c>
      <c r="J29" s="280"/>
      <c r="K29" s="284">
        <f>COUNTA([22]Brewhouse!$A$408:$A$479)</f>
        <v>72</v>
      </c>
      <c r="L29" s="302">
        <f>AVERAGE([22]Brewhouse!$AU$408:$AU$479)</f>
        <v>98.694624153781334</v>
      </c>
      <c r="M29" s="302">
        <f>AVERAGE([22]Brewhouse!$AU$102:$AU$171,[22]Brewhouse!$AU$173:$AU$253,[22]Brewhouse!$AU$255:$AU$339,[22]Brewhouse!$AU$341:$AU$346,[22]Brewhouse!$AU$348,[22]Brewhouse!$AU$349:$AU$406,[22]Brewhouse!$AU$408:$AU$479)</f>
        <v>97.646782679210006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6" ht="15" customHeight="1">
      <c r="A30" s="28"/>
      <c r="B30" s="537"/>
      <c r="C30" s="349">
        <f>[24]Process!D60</f>
        <v>17.600000000000001</v>
      </c>
      <c r="D30" s="486"/>
      <c r="E30" s="469"/>
      <c r="F30" s="294"/>
      <c r="G30" s="294"/>
      <c r="H30" s="348"/>
      <c r="I30" s="33" t="s">
        <v>9</v>
      </c>
      <c r="J30" s="280"/>
      <c r="K30" s="284">
        <f>COUNTA([23]Brewhouse!$A$195:$A$236)</f>
        <v>42</v>
      </c>
      <c r="L30" s="302">
        <f>AVERAGE([23]Brewhouse!$AS$195:$AS$236)</f>
        <v>99.597767255828956</v>
      </c>
      <c r="M30" s="302">
        <f>AVERAGE([23]Brewhouse!$AS$15:$AS$64,[23]Brewhouse!$AS$66:$AS$103,[23]Brewhouse!$AS$105:$AS$140,[23]Brewhouse!$AS$142:$AS$193,[23]Brewhouse!$AS$195:$AS$236)</f>
        <v>97.863034111878463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4.7" customHeight="1">
      <c r="A31" s="28"/>
      <c r="B31" s="537"/>
      <c r="C31" s="349">
        <f>[24]Process!D61</f>
        <v>17</v>
      </c>
      <c r="D31" s="485">
        <v>17.84</v>
      </c>
      <c r="E31" s="474"/>
      <c r="F31" s="294"/>
      <c r="G31" s="294"/>
      <c r="H31" s="348"/>
      <c r="I31" s="34" t="s">
        <v>12</v>
      </c>
      <c r="J31" s="280">
        <f>AVERAGE(I10:I17)</f>
        <v>98.017875325475927</v>
      </c>
      <c r="K31" s="284">
        <f>COUNTA([24]Brewhouse!$A$47:$A$62)</f>
        <v>16</v>
      </c>
      <c r="L31" s="302">
        <f>AVERAGE([24]Brewhouse!$AU$47:$AU$62)</f>
        <v>97.405159331492385</v>
      </c>
      <c r="M31" s="302">
        <f>AVERAGE([24]Brewhouse!$AU$4:$AU$7,[24]Brewhouse!$AU$9:$AU$22,[24]Brewhouse!$AU$24:$AU$35,[24]Brewhouse!$AU$37:$AU$45,[24]Brewhouse!$AU$47:$AU$62)</f>
        <v>97.179377138297156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7" customHeight="1">
      <c r="A32" s="28"/>
      <c r="B32" s="537"/>
      <c r="C32" s="349">
        <f>[24]Process!D62</f>
        <v>17.399999999999999</v>
      </c>
      <c r="D32" s="486"/>
      <c r="E32" s="469"/>
      <c r="F32" s="294"/>
      <c r="G32" s="294"/>
      <c r="H32" s="348"/>
      <c r="I32" s="22" t="s">
        <v>33</v>
      </c>
      <c r="J32" s="280"/>
      <c r="K32" s="284">
        <f>COUNTA([25]Brewhouse!$A$35:$A$40)</f>
        <v>6</v>
      </c>
      <c r="L32" s="302">
        <f>AVERAGE([25]Brewhouse!$AV$35:$AV$40)</f>
        <v>99.729773602484485</v>
      </c>
      <c r="M32" s="302">
        <f>AVERAGE([25]Brewhouse!$AV$5:$AV$14,[25]Brewhouse!$AV$16:$AV$19,[25]Brewhouse!$AV$21:$AV$24,[25]Brewhouse!$AV$26:$AV$33,[25]Brewhouse!$AV$35:$AV$40)</f>
        <v>99.073437057623821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7" customHeight="1">
      <c r="A33" s="28"/>
      <c r="B33" s="537"/>
      <c r="C33" s="349"/>
      <c r="D33" s="485"/>
      <c r="E33" s="474"/>
      <c r="F33" s="422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56" ht="14.7" customHeight="1">
      <c r="A34" s="28"/>
      <c r="B34" s="537"/>
      <c r="C34" s="349"/>
      <c r="D34" s="486"/>
      <c r="E34" s="469"/>
      <c r="F34" s="422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AVERAGE([26]Brewhouse!$AT$4:$AT$11,[26]Brewhouse!$AT$13:$AT$16)</f>
        <v>95.165309917257005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7" customHeight="1">
      <c r="A35" s="28"/>
      <c r="B35" s="537"/>
      <c r="C35" s="349"/>
      <c r="D35" s="485"/>
      <c r="E35" s="474"/>
      <c r="F35" s="422"/>
      <c r="G35" s="294"/>
      <c r="H35" s="348"/>
      <c r="I35" s="37" t="s">
        <v>16</v>
      </c>
      <c r="J35" s="323"/>
      <c r="K35" s="284">
        <f>COUNTA([27]Brewhouse!$A$36:$A$43)</f>
        <v>8</v>
      </c>
      <c r="L35" s="302">
        <f>AVERAGE([27]Brewhouse!$AY$36:$AY$43)</f>
        <v>98.453561717677275</v>
      </c>
      <c r="M35" s="302">
        <f>AVERAGE([27]Brewhouse!$AY$6:$AY$13,[27]Brewhouse!$AY$15:$AY$20,[27]Brewhouse!$AY$22:$AY$29,[27]Brewhouse!$AY$31:$AY$34,[27]Brewhouse!$AY$36:$AY$43)</f>
        <v>96.669752433914965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7" customHeight="1">
      <c r="A36" s="28"/>
      <c r="B36" s="537"/>
      <c r="C36" s="349"/>
      <c r="D36" s="486"/>
      <c r="E36" s="469"/>
      <c r="F36" s="294"/>
      <c r="G36" s="294"/>
      <c r="H36" s="348"/>
      <c r="I36" s="412" t="s">
        <v>158</v>
      </c>
      <c r="J36" s="326"/>
      <c r="K36" s="284"/>
      <c r="L36" s="305"/>
      <c r="M36" s="305">
        <f>AVERAGE([28]Brewhouse!$AU$5:$AU$8)</f>
        <v>91.006888337619571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7" customHeight="1">
      <c r="A37" s="28"/>
      <c r="B37" s="537"/>
      <c r="C37" s="349"/>
      <c r="D37" s="485"/>
      <c r="E37" s="474"/>
      <c r="F37" s="294"/>
      <c r="G37" s="294"/>
      <c r="H37" s="348"/>
      <c r="I37" s="411" t="s">
        <v>157</v>
      </c>
      <c r="J37" s="326"/>
      <c r="K37" s="284"/>
      <c r="L37" s="305"/>
      <c r="M37" s="305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537"/>
      <c r="C38" s="349"/>
      <c r="D38" s="486"/>
      <c r="E38" s="469"/>
      <c r="F38" s="294"/>
      <c r="G38" s="294"/>
      <c r="H38" s="348"/>
      <c r="I38" s="407" t="s">
        <v>156</v>
      </c>
      <c r="J38" s="327"/>
      <c r="K38" s="408"/>
      <c r="L38" s="409"/>
      <c r="M38" s="409"/>
      <c r="N38" s="41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537"/>
      <c r="C39" s="349"/>
      <c r="D39" s="485"/>
      <c r="E39" s="474"/>
      <c r="F39" s="294"/>
      <c r="G39" s="294"/>
      <c r="H39" s="348"/>
      <c r="I39" s="1"/>
      <c r="J39" s="39"/>
      <c r="K39" s="405">
        <f>SUM(K29:K38)</f>
        <v>144</v>
      </c>
      <c r="L39" s="406">
        <f>((L29*K29)+(L30*K30)+(L31*K31)+(L32*K32)+(L33*K33)+(K36*L36)+(L34*K34)+(L35*K35)+(L38*K38))/(K39)</f>
        <v>98.844505892203301</v>
      </c>
      <c r="M39" s="406">
        <f>AVERAGE('[29]Jan 31st'!$L$65,'[30]Feb 28th'!$L$35,'[31]Mar. 31st'!$L$35,'[32]Apr. 30th'!$L$45,L39)</f>
        <v>97.649709436328294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thickBot="1">
      <c r="B40" s="538"/>
      <c r="C40" s="350"/>
      <c r="D40" s="486"/>
      <c r="E40" s="46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" thickBot="1">
      <c r="B41" s="528"/>
      <c r="C41" s="362"/>
      <c r="D41" s="466"/>
      <c r="E41" s="467"/>
      <c r="F41" s="294"/>
      <c r="G41" s="42"/>
      <c r="H41" s="41"/>
      <c r="I41" s="42"/>
      <c r="J41" s="519" t="s">
        <v>129</v>
      </c>
      <c r="K41" s="519"/>
      <c r="L41" s="294"/>
      <c r="M41" s="294"/>
      <c r="N41" s="294"/>
      <c r="O41" s="294"/>
      <c r="P41" s="12"/>
    </row>
    <row r="42" spans="1:56" ht="13.5" customHeight="1" thickBot="1">
      <c r="B42" s="521"/>
      <c r="C42" s="349"/>
      <c r="D42" s="468"/>
      <c r="E42" s="469"/>
      <c r="F42" s="294"/>
      <c r="G42" s="42"/>
      <c r="H42" s="41"/>
      <c r="I42" s="41"/>
      <c r="J42" s="292" t="s">
        <v>17</v>
      </c>
      <c r="K42" s="293" t="s">
        <v>147</v>
      </c>
      <c r="L42" s="471" t="s">
        <v>136</v>
      </c>
      <c r="M42" s="471"/>
      <c r="N42" s="472"/>
      <c r="O42" s="294"/>
      <c r="P42" s="12"/>
    </row>
    <row r="43" spans="1:56" ht="15" customHeight="1" thickBot="1">
      <c r="B43" s="521"/>
      <c r="C43" s="349"/>
      <c r="D43" s="473"/>
      <c r="E43" s="474"/>
      <c r="F43" s="294"/>
      <c r="G43" s="42"/>
      <c r="H43" s="41"/>
      <c r="I43" s="41"/>
      <c r="J43" s="287" t="s">
        <v>6</v>
      </c>
      <c r="K43" s="324"/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21"/>
      <c r="C44" s="349"/>
      <c r="D44" s="468"/>
      <c r="E44" s="469"/>
      <c r="F44" s="294"/>
      <c r="G44" s="42"/>
      <c r="H44" s="41"/>
      <c r="I44" s="41"/>
      <c r="J44" s="345" t="s">
        <v>9</v>
      </c>
      <c r="K44" s="324"/>
      <c r="L44" s="344">
        <f>AVERAGE('May 2nd -4th'!I70,'May 2nd -4th'!K70,'May 5th'!K77,'May 6th'!K60,'May 7th'!K57,'May 8th'!K53,'May 9th-10th'!I60,'May 9th-10th'!K60,'May 12th'!K43,'May 13th'!K45,'May 14th'!K50,'May 15th'!K49,'May 16th'!K52,'May 19th'!K48,'May 20th'!K49,'May 21st'!K53,'May 22nd'!K53,'May 23rd'!K53,K53)</f>
        <v>7.6315789473684212</v>
      </c>
      <c r="M44" s="325">
        <f>AVERAGE('[29]Jan 29th '!$M$70,'[30]Feb 28th'!$L$40,'[31]Mar. 31st'!$L$40,'[32]Apr. 30th'!$L$50,L44)</f>
        <v>6.7154701134106176</v>
      </c>
      <c r="N44" s="420">
        <v>9.1999999999999993</v>
      </c>
      <c r="O44" s="294"/>
      <c r="P44" s="12"/>
    </row>
    <row r="45" spans="1:56" ht="15" customHeight="1">
      <c r="B45" s="521"/>
      <c r="C45" s="349"/>
      <c r="D45" s="473"/>
      <c r="E45" s="474"/>
      <c r="F45" s="294"/>
      <c r="G45" s="42"/>
      <c r="H45" s="41"/>
      <c r="I45" s="41"/>
      <c r="J45" s="288" t="s">
        <v>40</v>
      </c>
      <c r="K45" s="324">
        <v>8</v>
      </c>
      <c r="L45" s="294"/>
      <c r="M45" s="294"/>
      <c r="N45" s="294"/>
      <c r="O45" s="294"/>
      <c r="P45" s="12"/>
    </row>
    <row r="46" spans="1:56" ht="15" customHeight="1">
      <c r="B46" s="521"/>
      <c r="C46" s="349"/>
      <c r="D46" s="468"/>
      <c r="E46" s="469"/>
      <c r="F46" s="294"/>
      <c r="G46" s="42"/>
      <c r="H46" s="41"/>
      <c r="I46" s="41"/>
      <c r="J46" s="289" t="s">
        <v>33</v>
      </c>
      <c r="K46" s="324"/>
      <c r="L46" s="294"/>
      <c r="M46" s="294"/>
      <c r="N46" s="294"/>
      <c r="O46" s="294"/>
      <c r="P46" s="12"/>
    </row>
    <row r="47" spans="1:56" ht="14.4">
      <c r="B47" s="521"/>
      <c r="C47" s="349"/>
      <c r="D47" s="473"/>
      <c r="E47" s="474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1"/>
      <c r="C48" s="349"/>
      <c r="D48" s="468"/>
      <c r="E48" s="46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1"/>
      <c r="C49" s="349"/>
      <c r="D49" s="475"/>
      <c r="E49" s="476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2"/>
      <c r="C50" s="350"/>
      <c r="D50" s="477"/>
      <c r="E50" s="478"/>
      <c r="F50" s="294"/>
      <c r="G50" s="42"/>
      <c r="H50" s="41"/>
      <c r="I50" s="41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457">
        <f>AVERAGE(D29:E50)</f>
        <v>17.740000000000002</v>
      </c>
      <c r="E51" s="458"/>
      <c r="F51" s="294"/>
      <c r="G51" s="42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8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P54" s="334"/>
    </row>
    <row r="55" spans="2:57" ht="15" customHeight="1" thickBo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8"/>
      <c r="O55" s="48"/>
      <c r="P55" s="49"/>
    </row>
    <row r="56" spans="2:57" ht="15" customHeight="1" thickBot="1">
      <c r="B56" s="447" t="s">
        <v>17</v>
      </c>
      <c r="C56" s="447" t="s">
        <v>44</v>
      </c>
      <c r="D56" s="459" t="s">
        <v>45</v>
      </c>
      <c r="E56" s="461" t="s">
        <v>46</v>
      </c>
      <c r="F56" s="455" t="s">
        <v>47</v>
      </c>
      <c r="G56" s="445" t="s">
        <v>48</v>
      </c>
      <c r="H56" s="447" t="s">
        <v>49</v>
      </c>
      <c r="I56" s="447" t="s">
        <v>50</v>
      </c>
      <c r="J56" s="439" t="s">
        <v>28</v>
      </c>
      <c r="K56" s="451" t="s">
        <v>51</v>
      </c>
      <c r="L56" s="453" t="s">
        <v>52</v>
      </c>
      <c r="M56" s="439" t="s">
        <v>53</v>
      </c>
      <c r="N56" s="13"/>
      <c r="O56" s="13"/>
      <c r="P56" s="50"/>
    </row>
    <row r="57" spans="2:57" ht="28.5" customHeight="1" thickTop="1" thickBot="1">
      <c r="B57" s="448"/>
      <c r="C57" s="448"/>
      <c r="D57" s="460"/>
      <c r="E57" s="462"/>
      <c r="F57" s="456"/>
      <c r="G57" s="446"/>
      <c r="H57" s="448"/>
      <c r="I57" s="448"/>
      <c r="J57" s="440"/>
      <c r="K57" s="452"/>
      <c r="L57" s="454"/>
      <c r="M57" s="440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1" customHeight="1">
      <c r="B58" s="437" t="str">
        <f>B67</f>
        <v>GUINN</v>
      </c>
      <c r="C58" s="283">
        <v>45803</v>
      </c>
      <c r="D58" s="377">
        <f>[33]May_2025!$AC$23</f>
        <v>213</v>
      </c>
      <c r="E58" s="378"/>
      <c r="F58" s="379">
        <f>[34]GUINNESS!$L$6+[34]GUINNESS!$L$8</f>
        <v>202.3</v>
      </c>
      <c r="G58" s="303">
        <f>[33]May_2025!$AC$28</f>
        <v>192.8</v>
      </c>
      <c r="H58" s="320">
        <f>(D58-F58)/D58*100</f>
        <v>5.0234741784037507</v>
      </c>
      <c r="I58" s="322">
        <f>((F58+E58)-G58)/(F58+E58)*100</f>
        <v>4.6959960454770142</v>
      </c>
      <c r="J58" s="392" t="s">
        <v>218</v>
      </c>
      <c r="K58" s="286">
        <f>[35]May_2025!$AC$32</f>
        <v>0.67649122807017548</v>
      </c>
      <c r="L58" s="314">
        <f>(((D58+E58)-G58)/(D58+E58))*100</f>
        <v>9.4835680751173648</v>
      </c>
      <c r="M58" s="419" t="s">
        <v>184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  <c r="AO58" s="418"/>
      <c r="AP58" s="418"/>
      <c r="AQ58" s="418"/>
      <c r="AR58" s="418"/>
      <c r="AS58" s="418"/>
      <c r="AT58" s="418"/>
      <c r="AU58" s="418"/>
      <c r="AV58" s="418"/>
      <c r="AW58" s="418"/>
    </row>
    <row r="59" spans="2:57" s="54" customFormat="1" ht="23.25" customHeight="1">
      <c r="B59" s="415"/>
      <c r="C59" s="283"/>
      <c r="D59" s="377"/>
      <c r="E59" s="378"/>
      <c r="F59" s="379"/>
      <c r="G59" s="303"/>
      <c r="H59" s="320"/>
      <c r="I59" s="322"/>
      <c r="J59" s="281"/>
      <c r="K59" s="286"/>
      <c r="L59" s="314"/>
      <c r="M59" s="419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</row>
    <row r="60" spans="2:57" s="54" customFormat="1" ht="53.25" hidden="1" customHeight="1">
      <c r="B60" s="415"/>
      <c r="C60" s="283"/>
      <c r="D60" s="377"/>
      <c r="E60" s="378"/>
      <c r="F60" s="379"/>
      <c r="G60" s="303"/>
      <c r="H60" s="320"/>
      <c r="I60" s="322"/>
      <c r="J60" s="281"/>
      <c r="K60" s="286"/>
      <c r="L60" s="314"/>
      <c r="M60" s="419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 t="e">
        <f>[20]January_2019!L7</f>
        <v>#REF!</v>
      </c>
      <c r="AC60" s="57" t="e">
        <f>[20]January_2019!M7</f>
        <v>#REF!</v>
      </c>
      <c r="AD60" s="57" t="e">
        <f>[20]January_2019!N7</f>
        <v>#REF!</v>
      </c>
      <c r="AE60" s="57" t="e">
        <f>[20]January_2019!O7</f>
        <v>#REF!</v>
      </c>
      <c r="AF60" s="57" t="e">
        <f>[20]January_2019!P7</f>
        <v>#REF!</v>
      </c>
      <c r="AG60" s="57" t="e">
        <f>[20]January_2019!Q7</f>
        <v>#REF!</v>
      </c>
      <c r="AH60" s="57" t="e">
        <f>[20]January_2019!R7</f>
        <v>#REF!</v>
      </c>
      <c r="AI60" s="57" t="e">
        <f>[20]January_2019!S7</f>
        <v>#REF!</v>
      </c>
      <c r="AJ60" s="57" t="e">
        <f>[20]January_2019!T7</f>
        <v>#REF!</v>
      </c>
      <c r="AK60" s="57" t="e">
        <f>[20]January_2019!U7</f>
        <v>#REF!</v>
      </c>
      <c r="AL60" s="57" t="e">
        <f>[20]January_2019!V7</f>
        <v>#REF!</v>
      </c>
      <c r="AM60" s="57" t="e">
        <f>[20]January_2019!W7</f>
        <v>#REF!</v>
      </c>
      <c r="AN60" s="57" t="e">
        <f>[20]January_2019!X7</f>
        <v>#REF!</v>
      </c>
      <c r="AO60" s="57" t="e">
        <f>[20]January_2019!Y7</f>
        <v>#REF!</v>
      </c>
      <c r="AP60" s="57" t="e">
        <f>[20]January_2019!Z7</f>
        <v>#REF!</v>
      </c>
      <c r="AQ60" s="57" t="e">
        <f>[20]January_2019!AA7</f>
        <v>#REF!</v>
      </c>
      <c r="AR60" s="57" t="e">
        <f>[20]January_2019!AB7</f>
        <v>#REF!</v>
      </c>
      <c r="AS60" s="57" t="e">
        <f>[20]January_2019!AC7</f>
        <v>#REF!</v>
      </c>
      <c r="AT60" s="57" t="e">
        <f>[20]January_2019!AD7</f>
        <v>#REF!</v>
      </c>
      <c r="AU60" s="57" t="e">
        <f>[20]January_2019!AE7</f>
        <v>#REF!</v>
      </c>
      <c r="AV60" s="57" t="e">
        <f>[20]January_2019!AF7</f>
        <v>#REF!</v>
      </c>
      <c r="AW60" s="57" t="e">
        <f>[20]January_2019!AG7</f>
        <v>#REF!</v>
      </c>
      <c r="AX60" s="277" t="e">
        <f>[20]January_2019!AH7</f>
        <v>#REF!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>
      <c r="B61" s="431"/>
      <c r="C61" s="283"/>
      <c r="D61" s="377"/>
      <c r="E61" s="378"/>
      <c r="F61" s="379"/>
      <c r="G61" s="303"/>
      <c r="H61" s="320"/>
      <c r="I61" s="322"/>
      <c r="J61" s="281"/>
      <c r="K61" s="286"/>
      <c r="L61" s="314"/>
      <c r="M61" s="419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  <c r="AO61" s="418"/>
      <c r="AP61" s="418"/>
      <c r="AQ61" s="418"/>
      <c r="AR61" s="418"/>
      <c r="AS61" s="418"/>
      <c r="AT61" s="418"/>
      <c r="AU61" s="418"/>
      <c r="AV61" s="418"/>
      <c r="AW61" s="418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6"/>
      <c r="P62" s="60"/>
    </row>
    <row r="63" spans="2:57" ht="14.4" thickBot="1">
      <c r="B63" s="441" t="s">
        <v>55</v>
      </c>
      <c r="C63" s="442"/>
      <c r="D63" s="442"/>
      <c r="E63" s="442"/>
      <c r="F63" s="443"/>
      <c r="G63" s="441" t="s">
        <v>56</v>
      </c>
      <c r="H63" s="442"/>
      <c r="I63" s="442"/>
      <c r="J63" s="443"/>
      <c r="K63" s="441" t="s">
        <v>51</v>
      </c>
      <c r="L63" s="442"/>
      <c r="M63" s="442"/>
      <c r="N63" s="444"/>
      <c r="O63" s="56"/>
      <c r="P63" s="50"/>
    </row>
    <row r="64" spans="2:57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/>
      <c r="D65" s="76">
        <v>5.4530188175840388</v>
      </c>
      <c r="E65" s="76">
        <v>6.7400094113029541</v>
      </c>
      <c r="F65" s="66">
        <v>4.8</v>
      </c>
      <c r="G65" s="65"/>
      <c r="H65" s="76">
        <v>5.4849755224482779</v>
      </c>
      <c r="I65" s="76">
        <v>6.9252389998460453</v>
      </c>
      <c r="J65" s="66">
        <v>4.8</v>
      </c>
      <c r="K65" s="67"/>
      <c r="L65" s="194">
        <v>0.65789148797920738</v>
      </c>
      <c r="M65" s="194">
        <v>0.74483760677447608</v>
      </c>
      <c r="N65" s="68">
        <v>1</v>
      </c>
      <c r="O65" s="56"/>
      <c r="P65" s="69"/>
    </row>
    <row r="66" spans="2:16">
      <c r="B66" s="33" t="s">
        <v>9</v>
      </c>
      <c r="C66" s="65"/>
      <c r="D66" s="76">
        <v>5.0439852168028887</v>
      </c>
      <c r="E66" s="76">
        <v>6.343300060697989</v>
      </c>
      <c r="F66" s="66">
        <v>4.8</v>
      </c>
      <c r="G66" s="65"/>
      <c r="H66" s="76">
        <v>4.5460784546516297</v>
      </c>
      <c r="I66" s="76">
        <v>6.2115415897577293</v>
      </c>
      <c r="J66" s="66">
        <v>4.8</v>
      </c>
      <c r="K66" s="67"/>
      <c r="L66" s="194">
        <v>0.68937621832358675</v>
      </c>
      <c r="M66" s="194">
        <v>0.74681676042233403</v>
      </c>
      <c r="N66" s="68">
        <v>1</v>
      </c>
      <c r="P66" s="69"/>
    </row>
    <row r="67" spans="2:16">
      <c r="B67" s="34" t="s">
        <v>40</v>
      </c>
      <c r="C67" s="65">
        <f>L58</f>
        <v>9.4835680751173648</v>
      </c>
      <c r="D67" s="76">
        <v>9.5684803001876197</v>
      </c>
      <c r="E67" s="76">
        <v>11.764705882352906</v>
      </c>
      <c r="F67" s="66">
        <v>5.5</v>
      </c>
      <c r="G67" s="65">
        <f>[33]May_2025!$AC$32</f>
        <v>11.326481625576006</v>
      </c>
      <c r="H67" s="76">
        <v>9.6061580118283363</v>
      </c>
      <c r="I67" s="76">
        <v>13.141041175489004</v>
      </c>
      <c r="J67" s="66">
        <v>5.5</v>
      </c>
      <c r="K67" s="67">
        <f>K58</f>
        <v>0.67649122807017548</v>
      </c>
      <c r="L67" s="194">
        <v>0.67649122807017548</v>
      </c>
      <c r="M67" s="194">
        <v>0.55663694898464589</v>
      </c>
      <c r="N67" s="68">
        <v>1</v>
      </c>
      <c r="P67" s="69"/>
    </row>
    <row r="68" spans="2:16">
      <c r="B68" s="22" t="s">
        <v>33</v>
      </c>
      <c r="C68" s="65"/>
      <c r="D68" s="76">
        <v>3.4057735971456373</v>
      </c>
      <c r="E68" s="76">
        <v>3.6905871388630067</v>
      </c>
      <c r="F68" s="66">
        <v>3.3</v>
      </c>
      <c r="G68" s="65"/>
      <c r="H68" s="76">
        <v>2.1612156300633463</v>
      </c>
      <c r="I68" s="76">
        <v>4.4964752224031521</v>
      </c>
      <c r="J68" s="66">
        <v>3.3</v>
      </c>
      <c r="K68" s="67"/>
      <c r="L68" s="194">
        <v>1.0449122807017543</v>
      </c>
      <c r="M68" s="194">
        <v>0.90649122807017535</v>
      </c>
      <c r="N68" s="68">
        <v>1</v>
      </c>
      <c r="P68" s="69"/>
    </row>
    <row r="69" spans="2:16">
      <c r="B69" s="35" t="s">
        <v>29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L69" s="194"/>
      <c r="M69" s="194"/>
      <c r="N69" s="68">
        <v>1</v>
      </c>
      <c r="P69" s="69"/>
    </row>
    <row r="70" spans="2:16">
      <c r="B70" s="36" t="s">
        <v>15</v>
      </c>
      <c r="C70" s="282"/>
      <c r="D70" s="76"/>
      <c r="E70" s="76">
        <v>7.8262258425171876</v>
      </c>
      <c r="F70" s="70">
        <f>[21]May_2022!$M$43</f>
        <v>3.4878406700073312</v>
      </c>
      <c r="G70" s="282"/>
      <c r="H70" s="76"/>
      <c r="I70" s="76">
        <v>9.4300678869947632</v>
      </c>
      <c r="J70" s="66">
        <v>5.5</v>
      </c>
      <c r="K70" s="67"/>
      <c r="L70" s="194"/>
      <c r="M70" s="194">
        <v>0.674970760233918</v>
      </c>
      <c r="N70" s="68">
        <v>1</v>
      </c>
      <c r="P70" s="69"/>
    </row>
    <row r="71" spans="2:16">
      <c r="B71" s="37" t="s">
        <v>16</v>
      </c>
      <c r="C71" s="65"/>
      <c r="D71" s="76">
        <v>3.8832609744331941</v>
      </c>
      <c r="E71" s="76">
        <v>2.6202625996215709</v>
      </c>
      <c r="F71" s="66">
        <v>3.3</v>
      </c>
      <c r="G71" s="282"/>
      <c r="H71" s="76">
        <v>4.1755914731086534</v>
      </c>
      <c r="I71" s="76">
        <v>4.4843055604984379</v>
      </c>
      <c r="J71" s="66">
        <v>3.3</v>
      </c>
      <c r="K71" s="67"/>
      <c r="L71" s="194">
        <v>0.69912280701754381</v>
      </c>
      <c r="M71" s="194">
        <v>0.79924705882352942</v>
      </c>
      <c r="N71" s="71">
        <v>1</v>
      </c>
      <c r="P71" s="69"/>
    </row>
    <row r="72" spans="2:16" ht="14.4" thickBot="1">
      <c r="B72" s="38" t="s">
        <v>127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4.4" thickBot="1">
      <c r="B73" s="417" t="s">
        <v>161</v>
      </c>
      <c r="C73" s="65"/>
      <c r="D73" s="76"/>
      <c r="E73" s="76">
        <v>4.8792508624938291</v>
      </c>
      <c r="F73" s="66">
        <v>4.8</v>
      </c>
      <c r="G73" s="282"/>
      <c r="H73" s="76"/>
      <c r="I73" s="76">
        <v>6.2003723782925313</v>
      </c>
      <c r="J73" s="66">
        <v>4.8</v>
      </c>
      <c r="K73" s="67"/>
      <c r="L73" s="194">
        <v>0</v>
      </c>
      <c r="M73" s="194">
        <v>0.33859649122807017</v>
      </c>
      <c r="N73" s="71">
        <v>1</v>
      </c>
      <c r="O73" s="74"/>
      <c r="P73" s="75"/>
    </row>
    <row r="74" spans="2:16">
      <c r="D74" s="76">
        <v>5.0167050456283357</v>
      </c>
      <c r="E74" s="76">
        <v>6.6720457827700681</v>
      </c>
      <c r="F74" s="341">
        <v>5.5</v>
      </c>
      <c r="H74" s="76">
        <v>5.0401854655042317</v>
      </c>
      <c r="I74" s="76">
        <v>7.1433551346360824</v>
      </c>
      <c r="J74" s="341">
        <v>5.5</v>
      </c>
      <c r="K74" s="67"/>
      <c r="L74" s="194">
        <v>0.69430007309941533</v>
      </c>
      <c r="M74" s="194">
        <v>0.73321510219897312</v>
      </c>
      <c r="N74" s="386">
        <v>1</v>
      </c>
    </row>
    <row r="78" spans="2:16">
      <c r="F78" s="315"/>
    </row>
  </sheetData>
  <mergeCells count="51">
    <mergeCell ref="M56:M57"/>
    <mergeCell ref="B63:F63"/>
    <mergeCell ref="G63:J63"/>
    <mergeCell ref="K63:N63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477" priority="99" operator="notBetween">
      <formula>#REF!</formula>
      <formula>#REF!</formula>
    </cfRule>
  </conditionalFormatting>
  <conditionalFormatting sqref="C55">
    <cfRule type="cellIs" dxfId="476" priority="131" stopIfTrue="1" operator="greaterThan">
      <formula>100</formula>
    </cfRule>
    <cfRule type="cellIs" dxfId="475" priority="130" stopIfTrue="1" operator="lessThan">
      <formula>96</formula>
    </cfRule>
  </conditionalFormatting>
  <conditionalFormatting sqref="C65:C66">
    <cfRule type="cellIs" dxfId="474" priority="75" stopIfTrue="1" operator="lessThanOrEqual">
      <formula>0</formula>
    </cfRule>
  </conditionalFormatting>
  <conditionalFormatting sqref="C65:C69">
    <cfRule type="cellIs" dxfId="473" priority="74" stopIfTrue="1" operator="greaterThan">
      <formula>$F65</formula>
    </cfRule>
  </conditionalFormatting>
  <conditionalFormatting sqref="C66">
    <cfRule type="cellIs" dxfId="472" priority="134" stopIfTrue="1" operator="greaterThan">
      <formula>$F65</formula>
    </cfRule>
  </conditionalFormatting>
  <conditionalFormatting sqref="C67:C70">
    <cfRule type="cellIs" dxfId="471" priority="83" stopIfTrue="1" operator="lessThanOrEqual">
      <formula>0</formula>
    </cfRule>
  </conditionalFormatting>
  <conditionalFormatting sqref="C70">
    <cfRule type="cellIs" dxfId="470" priority="82" stopIfTrue="1" operator="greaterThan">
      <formula>$J70</formula>
    </cfRule>
  </conditionalFormatting>
  <conditionalFormatting sqref="C76:C80">
    <cfRule type="cellIs" dxfId="469" priority="122" stopIfTrue="1" operator="lessThanOrEqual">
      <formula>0</formula>
    </cfRule>
  </conditionalFormatting>
  <conditionalFormatting sqref="C77:C80">
    <cfRule type="cellIs" dxfId="468" priority="121" stopIfTrue="1" operator="greaterThan">
      <formula>$F$76</formula>
    </cfRule>
  </conditionalFormatting>
  <conditionalFormatting sqref="C82">
    <cfRule type="cellIs" dxfId="467" priority="124" stopIfTrue="1" operator="lessThanOrEqual">
      <formula>0</formula>
    </cfRule>
    <cfRule type="cellIs" dxfId="466" priority="123" stopIfTrue="1" operator="greaterThan">
      <formula>$F$76</formula>
    </cfRule>
  </conditionalFormatting>
  <conditionalFormatting sqref="C76:D76 D78:D84">
    <cfRule type="cellIs" dxfId="465" priority="116" stopIfTrue="1" operator="greaterThan">
      <formula>4.5</formula>
    </cfRule>
  </conditionalFormatting>
  <conditionalFormatting sqref="D51:D52">
    <cfRule type="cellIs" dxfId="464" priority="100" operator="notBetween">
      <formula>#REF!</formula>
      <formula>#REF!</formula>
    </cfRule>
  </conditionalFormatting>
  <conditionalFormatting sqref="D65:D72">
    <cfRule type="cellIs" dxfId="463" priority="93" stopIfTrue="1" operator="lessThanOrEqual">
      <formula>0</formula>
    </cfRule>
  </conditionalFormatting>
  <conditionalFormatting sqref="D73">
    <cfRule type="cellIs" dxfId="462" priority="92" stopIfTrue="1" operator="lessThanOrEqual">
      <formula>0</formula>
    </cfRule>
  </conditionalFormatting>
  <conditionalFormatting sqref="D76 D78:D84">
    <cfRule type="cellIs" dxfId="461" priority="117" stopIfTrue="1" operator="lessThanOrEqual">
      <formula>0</formula>
    </cfRule>
  </conditionalFormatting>
  <conditionalFormatting sqref="D77">
    <cfRule type="cellIs" dxfId="460" priority="109" stopIfTrue="1" operator="lessThanOrEqual">
      <formula>0</formula>
    </cfRule>
    <cfRule type="cellIs" dxfId="459" priority="108" stopIfTrue="1" operator="greaterThan">
      <formula>$F$76</formula>
    </cfRule>
  </conditionalFormatting>
  <conditionalFormatting sqref="D65:E74">
    <cfRule type="cellIs" dxfId="458" priority="71" stopIfTrue="1" operator="greaterThan">
      <formula>$F65</formula>
    </cfRule>
  </conditionalFormatting>
  <conditionalFormatting sqref="D74:E74">
    <cfRule type="cellIs" dxfId="457" priority="72" stopIfTrue="1" operator="lessThanOrEqual">
      <formula>0</formula>
    </cfRule>
  </conditionalFormatting>
  <conditionalFormatting sqref="E10:E26">
    <cfRule type="cellIs" dxfId="456" priority="15" operator="lessThan">
      <formula>48</formula>
    </cfRule>
  </conditionalFormatting>
  <conditionalFormatting sqref="E54 E55:F55">
    <cfRule type="cellIs" dxfId="455" priority="113" stopIfTrue="1" operator="greaterThan">
      <formula>100</formula>
    </cfRule>
  </conditionalFormatting>
  <conditionalFormatting sqref="E55">
    <cfRule type="cellIs" dxfId="454" priority="111" stopIfTrue="1" operator="greaterThan">
      <formula>100</formula>
    </cfRule>
    <cfRule type="cellIs" dxfId="453" priority="110" stopIfTrue="1" operator="lessThan">
      <formula>96.8</formula>
    </cfRule>
  </conditionalFormatting>
  <conditionalFormatting sqref="E65:E73">
    <cfRule type="cellIs" dxfId="452" priority="87" stopIfTrue="1" operator="lessThanOrEqual">
      <formula>0</formula>
    </cfRule>
  </conditionalFormatting>
  <conditionalFormatting sqref="E76:E84">
    <cfRule type="cellIs" dxfId="451" priority="103" stopIfTrue="1" operator="lessThanOrEqual">
      <formula>0</formula>
    </cfRule>
    <cfRule type="cellIs" dxfId="450" priority="102" stopIfTrue="1" operator="greaterThan">
      <formula>4.5</formula>
    </cfRule>
  </conditionalFormatting>
  <conditionalFormatting sqref="E55:F55 E54">
    <cfRule type="cellIs" dxfId="449" priority="112" stopIfTrue="1" operator="lessThan">
      <formula>96.5</formula>
    </cfRule>
  </conditionalFormatting>
  <conditionalFormatting sqref="F10:F26">
    <cfRule type="cellIs" dxfId="448" priority="16" operator="greaterThan">
      <formula>60</formula>
    </cfRule>
  </conditionalFormatting>
  <conditionalFormatting sqref="F55">
    <cfRule type="cellIs" dxfId="447" priority="128" stopIfTrue="1" operator="lessThan">
      <formula>96.8</formula>
    </cfRule>
    <cfRule type="cellIs" dxfId="446" priority="129" stopIfTrue="1" operator="greaterThan">
      <formula>100</formula>
    </cfRule>
  </conditionalFormatting>
  <conditionalFormatting sqref="F74">
    <cfRule type="cellIs" dxfId="445" priority="89" stopIfTrue="1" operator="lessThanOrEqual">
      <formula>0</formula>
    </cfRule>
    <cfRule type="cellIs" dxfId="444" priority="88" stopIfTrue="1" operator="greaterThan">
      <formula>$F74</formula>
    </cfRule>
  </conditionalFormatting>
  <conditionalFormatting sqref="G10:G22">
    <cfRule type="expression" dxfId="443" priority="25">
      <formula>IF(+(IF(G10&lt;S10,0,IF(G10&gt;T10,0,1)))=0,1)</formula>
    </cfRule>
  </conditionalFormatting>
  <conditionalFormatting sqref="G65:G66 C71:C73">
    <cfRule type="cellIs" dxfId="442" priority="95" stopIfTrue="1" operator="lessThanOrEqual">
      <formula>0</formula>
    </cfRule>
    <cfRule type="cellIs" dxfId="441" priority="94" stopIfTrue="1" operator="greaterThan">
      <formula>$F65</formula>
    </cfRule>
  </conditionalFormatting>
  <conditionalFormatting sqref="G65:G66">
    <cfRule type="cellIs" dxfId="440" priority="77" stopIfTrue="1" operator="lessThanOrEqual">
      <formula>0</formula>
    </cfRule>
    <cfRule type="cellIs" dxfId="439" priority="76" stopIfTrue="1" operator="greaterThan">
      <formula>$F65</formula>
    </cfRule>
  </conditionalFormatting>
  <conditionalFormatting sqref="G67">
    <cfRule type="cellIs" dxfId="438" priority="132" stopIfTrue="1" operator="greaterThan">
      <formula>$F66</formula>
    </cfRule>
    <cfRule type="cellIs" dxfId="437" priority="133" stopIfTrue="1" operator="lessThanOrEqual">
      <formula>0</formula>
    </cfRule>
  </conditionalFormatting>
  <conditionalFormatting sqref="G68">
    <cfRule type="cellIs" dxfId="436" priority="91" stopIfTrue="1" operator="lessThanOrEqual">
      <formula>0</formula>
    </cfRule>
    <cfRule type="cellIs" dxfId="435" priority="90" stopIfTrue="1" operator="greaterThan">
      <formula>$F68</formula>
    </cfRule>
  </conditionalFormatting>
  <conditionalFormatting sqref="G69:G73">
    <cfRule type="cellIs" dxfId="434" priority="96" stopIfTrue="1" operator="greaterThan">
      <formula>$J69</formula>
    </cfRule>
    <cfRule type="cellIs" dxfId="433" priority="97" stopIfTrue="1" operator="lessThanOrEqual">
      <formula>0</formula>
    </cfRule>
  </conditionalFormatting>
  <conditionalFormatting sqref="G78:G83 C81 C83">
    <cfRule type="cellIs" dxfId="432" priority="125" stopIfTrue="1" operator="greaterThan">
      <formula>4.5</formula>
    </cfRule>
    <cfRule type="cellIs" dxfId="431" priority="126" stopIfTrue="1" operator="lessThanOrEqual">
      <formula>0</formula>
    </cfRule>
  </conditionalFormatting>
  <conditionalFormatting sqref="G77:H77">
    <cfRule type="cellIs" dxfId="430" priority="106" stopIfTrue="1" operator="greaterThan">
      <formula>$F$76</formula>
    </cfRule>
    <cfRule type="cellIs" dxfId="429" priority="107" stopIfTrue="1" operator="lessThanOrEqual">
      <formula>0</formula>
    </cfRule>
  </conditionalFormatting>
  <conditionalFormatting sqref="H10:H22 G23:H26">
    <cfRule type="expression" dxfId="428" priority="32">
      <formula>IF(+(IF(G10&lt;#REF!,0,IF(G10&gt;#REF!,0,1)))=0,1)</formula>
    </cfRule>
  </conditionalFormatting>
  <conditionalFormatting sqref="H40:H54 I42:I53">
    <cfRule type="cellIs" dxfId="427" priority="104" stopIfTrue="1" operator="greaterThan">
      <formula>0</formula>
    </cfRule>
  </conditionalFormatting>
  <conditionalFormatting sqref="H58">
    <cfRule type="cellIs" dxfId="426" priority="2" stopIfTrue="1" operator="lessThanOrEqual">
      <formula>0</formula>
    </cfRule>
    <cfRule type="cellIs" dxfId="425" priority="3" stopIfTrue="1" operator="greaterThan">
      <formula>$F$32</formula>
    </cfRule>
    <cfRule type="cellIs" dxfId="424" priority="11" stopIfTrue="1" operator="greaterThan">
      <formula>$F$35</formula>
    </cfRule>
    <cfRule type="cellIs" dxfId="423" priority="12" stopIfTrue="1" operator="lessThanOrEqual">
      <formula>0</formula>
    </cfRule>
    <cfRule type="cellIs" dxfId="422" priority="13" stopIfTrue="1" operator="greaterThan">
      <formula>$F$33</formula>
    </cfRule>
    <cfRule type="cellIs" dxfId="421" priority="14" stopIfTrue="1" operator="lessThanOrEqual">
      <formula>0</formula>
    </cfRule>
  </conditionalFormatting>
  <conditionalFormatting sqref="H59:H61">
    <cfRule type="cellIs" dxfId="420" priority="56" stopIfTrue="1" operator="lessThanOrEqual">
      <formula>0</formula>
    </cfRule>
    <cfRule type="cellIs" dxfId="419" priority="53" stopIfTrue="1" operator="greaterThan">
      <formula>$F$42</formula>
    </cfRule>
    <cfRule type="cellIs" dxfId="418" priority="55" stopIfTrue="1" operator="greaterThan">
      <formula>$F$40</formula>
    </cfRule>
    <cfRule type="cellIs" dxfId="417" priority="54" stopIfTrue="1" operator="lessThanOrEqual">
      <formula>0</formula>
    </cfRule>
    <cfRule type="cellIs" dxfId="416" priority="44" stopIfTrue="1" operator="lessThanOrEqual">
      <formula>0</formula>
    </cfRule>
    <cfRule type="cellIs" dxfId="415" priority="45" stopIfTrue="1" operator="greaterThan">
      <formula>$F$39</formula>
    </cfRule>
  </conditionalFormatting>
  <conditionalFormatting sqref="H65:H72">
    <cfRule type="cellIs" dxfId="414" priority="80" stopIfTrue="1" operator="greaterThan">
      <formula>$J65</formula>
    </cfRule>
    <cfRule type="cellIs" dxfId="413" priority="81" stopIfTrue="1" operator="lessThanOrEqual">
      <formula>0</formula>
    </cfRule>
  </conditionalFormatting>
  <conditionalFormatting sqref="H73">
    <cfRule type="cellIs" dxfId="412" priority="84" operator="greaterThan">
      <formula>5.3</formula>
    </cfRule>
  </conditionalFormatting>
  <conditionalFormatting sqref="H76 H78:H84">
    <cfRule type="cellIs" dxfId="411" priority="119" stopIfTrue="1" operator="lessThanOrEqual">
      <formula>0</formula>
    </cfRule>
    <cfRule type="cellIs" dxfId="410" priority="118" stopIfTrue="1" operator="greaterThan">
      <formula>4.5</formula>
    </cfRule>
  </conditionalFormatting>
  <conditionalFormatting sqref="H58:I58">
    <cfRule type="cellIs" dxfId="409" priority="4" stopIfTrue="1" operator="lessThanOrEqual">
      <formula>0</formula>
    </cfRule>
    <cfRule type="cellIs" dxfId="408" priority="1" stopIfTrue="1" operator="greaterThan">
      <formula>$F$34</formula>
    </cfRule>
  </conditionalFormatting>
  <conditionalFormatting sqref="H59:I61">
    <cfRule type="cellIs" dxfId="407" priority="43" stopIfTrue="1" operator="greaterThan">
      <formula>$F$41</formula>
    </cfRule>
    <cfRule type="cellIs" dxfId="406" priority="46" stopIfTrue="1" operator="lessThanOrEqual">
      <formula>0</formula>
    </cfRule>
  </conditionalFormatting>
  <conditionalFormatting sqref="H74:I74">
    <cfRule type="cellIs" dxfId="405" priority="70" stopIfTrue="1" operator="lessThanOrEqual">
      <formula>0</formula>
    </cfRule>
    <cfRule type="cellIs" dxfId="404" priority="69" stopIfTrue="1" operator="greaterThan">
      <formula>$J74</formula>
    </cfRule>
  </conditionalFormatting>
  <conditionalFormatting sqref="I58">
    <cfRule type="cellIs" dxfId="403" priority="5" stopIfTrue="1" operator="greaterThan">
      <formula>$F$32</formula>
    </cfRule>
    <cfRule type="cellIs" dxfId="402" priority="6" stopIfTrue="1" operator="lessThanOrEqual">
      <formula>0</formula>
    </cfRule>
    <cfRule type="cellIs" dxfId="401" priority="7" stopIfTrue="1" operator="greaterThan">
      <formula>$F$34</formula>
    </cfRule>
    <cfRule type="cellIs" dxfId="400" priority="8" stopIfTrue="1" operator="lessThanOrEqual">
      <formula>0</formula>
    </cfRule>
    <cfRule type="cellIs" dxfId="399" priority="9" stopIfTrue="1" operator="greaterThan">
      <formula>$F$32</formula>
    </cfRule>
    <cfRule type="cellIs" dxfId="398" priority="10" stopIfTrue="1" operator="lessThanOrEqual">
      <formula>0</formula>
    </cfRule>
  </conditionalFormatting>
  <conditionalFormatting sqref="I59:I61">
    <cfRule type="cellIs" dxfId="397" priority="49" stopIfTrue="1" operator="greaterThan">
      <formula>$F$41</formula>
    </cfRule>
    <cfRule type="cellIs" dxfId="396" priority="48" stopIfTrue="1" operator="lessThanOrEqual">
      <formula>0</formula>
    </cfRule>
    <cfRule type="cellIs" dxfId="395" priority="47" stopIfTrue="1" operator="greaterThan">
      <formula>$F$39</formula>
    </cfRule>
    <cfRule type="cellIs" dxfId="394" priority="50" stopIfTrue="1" operator="lessThanOrEqual">
      <formula>0</formula>
    </cfRule>
    <cfRule type="cellIs" dxfId="393" priority="52" stopIfTrue="1" operator="lessThanOrEqual">
      <formula>0</formula>
    </cfRule>
    <cfRule type="cellIs" dxfId="392" priority="51" stopIfTrue="1" operator="greaterThan">
      <formula>$F$39</formula>
    </cfRule>
  </conditionalFormatting>
  <conditionalFormatting sqref="I65:I73">
    <cfRule type="cellIs" dxfId="391" priority="85" stopIfTrue="1" operator="greaterThan">
      <formula>$J65</formula>
    </cfRule>
    <cfRule type="cellIs" dxfId="390" priority="86" stopIfTrue="1" operator="lessThanOrEqual">
      <formula>0</formula>
    </cfRule>
  </conditionalFormatting>
  <conditionalFormatting sqref="I76:I84">
    <cfRule type="cellIs" dxfId="389" priority="114" stopIfTrue="1" operator="greaterThan">
      <formula>4.5</formula>
    </cfRule>
    <cfRule type="cellIs" dxfId="388" priority="115" stopIfTrue="1" operator="lessThanOrEqual">
      <formula>0</formula>
    </cfRule>
  </conditionalFormatting>
  <conditionalFormatting sqref="I10:J26">
    <cfRule type="cellIs" dxfId="387" priority="24" operator="lessThan">
      <formula>97.9</formula>
    </cfRule>
  </conditionalFormatting>
  <conditionalFormatting sqref="J29:J31">
    <cfRule type="cellIs" dxfId="386" priority="59" stopIfTrue="1" operator="lessThan">
      <formula>96.8</formula>
    </cfRule>
    <cfRule type="cellIs" dxfId="385" priority="61" operator="lessThan">
      <formula>98</formula>
    </cfRule>
    <cfRule type="cellIs" dxfId="384" priority="60" stopIfTrue="1" operator="greaterThan">
      <formula>100</formula>
    </cfRule>
  </conditionalFormatting>
  <conditionalFormatting sqref="J29:J33">
    <cfRule type="cellIs" dxfId="383" priority="58" operator="lessThan">
      <formula>97.4</formula>
    </cfRule>
  </conditionalFormatting>
  <conditionalFormatting sqref="J34">
    <cfRule type="cellIs" dxfId="382" priority="62" operator="lessThan">
      <formula>98</formula>
    </cfRule>
  </conditionalFormatting>
  <conditionalFormatting sqref="J35:J37">
    <cfRule type="cellIs" dxfId="381" priority="63" stopIfTrue="1" operator="lessThan">
      <formula>96.8</formula>
    </cfRule>
    <cfRule type="cellIs" dxfId="380" priority="64" stopIfTrue="1" operator="greaterThan">
      <formula>100</formula>
    </cfRule>
  </conditionalFormatting>
  <conditionalFormatting sqref="J35:J38">
    <cfRule type="cellIs" dxfId="379" priority="65" operator="lessThan">
      <formula>98</formula>
    </cfRule>
  </conditionalFormatting>
  <conditionalFormatting sqref="J74">
    <cfRule type="cellIs" dxfId="378" priority="67" stopIfTrue="1" operator="lessThanOrEqual">
      <formula>0</formula>
    </cfRule>
    <cfRule type="cellIs" dxfId="377" priority="66" stopIfTrue="1" operator="greaterThan">
      <formula>$F74</formula>
    </cfRule>
  </conditionalFormatting>
  <conditionalFormatting sqref="K10:K26">
    <cfRule type="cellIs" dxfId="376" priority="23" operator="greaterThan">
      <formula>6.4</formula>
    </cfRule>
    <cfRule type="cellIs" dxfId="375" priority="20" operator="lessThan">
      <formula>4</formula>
    </cfRule>
    <cfRule type="cellIs" dxfId="374" priority="19" operator="greaterThan">
      <formula>6</formula>
    </cfRule>
  </conditionalFormatting>
  <conditionalFormatting sqref="K43:K52">
    <cfRule type="cellIs" dxfId="373" priority="57" operator="notEqual">
      <formula>#REF!</formula>
    </cfRule>
  </conditionalFormatting>
  <conditionalFormatting sqref="K58:K61">
    <cfRule type="cellIs" dxfId="372" priority="39" stopIfTrue="1" operator="lessThan">
      <formula>100%</formula>
    </cfRule>
  </conditionalFormatting>
  <conditionalFormatting sqref="K76:K81">
    <cfRule type="cellIs" dxfId="371" priority="120" stopIfTrue="1" operator="lessThan">
      <formula>100%</formula>
    </cfRule>
  </conditionalFormatting>
  <conditionalFormatting sqref="K83:K84">
    <cfRule type="cellIs" dxfId="370" priority="127" stopIfTrue="1" operator="lessThan">
      <formula>100%</formula>
    </cfRule>
  </conditionalFormatting>
  <conditionalFormatting sqref="K65:N68 L69:N69">
    <cfRule type="cellIs" dxfId="369" priority="98" stopIfTrue="1" operator="lessThan">
      <formula>100%</formula>
    </cfRule>
  </conditionalFormatting>
  <conditionalFormatting sqref="K70:N74">
    <cfRule type="cellIs" dxfId="368" priority="68" stopIfTrue="1" operator="lessThan">
      <formula>100%</formula>
    </cfRule>
  </conditionalFormatting>
  <conditionalFormatting sqref="L10:L26">
    <cfRule type="cellIs" dxfId="367" priority="21" operator="between">
      <formula>61</formula>
      <formula>65</formula>
    </cfRule>
    <cfRule type="cellIs" dxfId="366" priority="22" operator="greaterThan">
      <formula>65</formula>
    </cfRule>
  </conditionalFormatting>
  <conditionalFormatting sqref="L44:N44">
    <cfRule type="cellIs" dxfId="365" priority="40" operator="notEqual">
      <formula>#REF!</formula>
    </cfRule>
  </conditionalFormatting>
  <conditionalFormatting sqref="L76:N84">
    <cfRule type="cellIs" dxfId="364" priority="105" stopIfTrue="1" operator="lessThan">
      <formula>100%</formula>
    </cfRule>
  </conditionalFormatting>
  <conditionalFormatting sqref="M10:M26">
    <cfRule type="expression" dxfId="363" priority="18">
      <formula>IF(+(IF(M10&lt;U10,0,IF(M10&gt;V10,0,1)))=0,1)</formula>
    </cfRule>
  </conditionalFormatting>
  <conditionalFormatting sqref="M29 L30:M40">
    <cfRule type="cellIs" dxfId="362" priority="73" operator="lessThan">
      <formula>98</formula>
    </cfRule>
  </conditionalFormatting>
  <conditionalFormatting sqref="N10:N26">
    <cfRule type="expression" dxfId="361" priority="17">
      <formula>IF(+(IF(N10&lt;W10,0,IF(N10&gt;X10,0,1)))=0,1)</formula>
    </cfRule>
  </conditionalFormatting>
  <conditionalFormatting sqref="P6">
    <cfRule type="cellIs" dxfId="360" priority="101" operator="greaterThanOrEqual">
      <formula>19</formula>
    </cfRule>
  </conditionalFormatting>
  <dataValidations disablePrompts="1" count="1">
    <dataValidation type="list" allowBlank="1" showInputMessage="1" showErrorMessage="1" sqref="R8" xr:uid="{583B31F1-E45A-403D-91CB-503ED6E94ECB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FB89A-8BBD-4761-A281-12449DFC1383}">
  <sheetPr codeName="Sheet23">
    <pageSetUpPr fitToPage="1"/>
  </sheetPr>
  <dimension ref="A1:BE78"/>
  <sheetViews>
    <sheetView topLeftCell="A30" zoomScale="60" zoomScaleNormal="60" workbookViewId="0">
      <selection activeCell="J58" sqref="J58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45805</v>
      </c>
      <c r="J4" s="399" t="s">
        <v>215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216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6" customHeight="1">
      <c r="B10" s="22" t="s">
        <v>33</v>
      </c>
      <c r="C10" s="366" t="str">
        <f>[25]Brewhouse!A41</f>
        <v>VM033</v>
      </c>
      <c r="D10" s="279">
        <f>[25]Brewhouse!AE41</f>
        <v>49.8</v>
      </c>
      <c r="E10" s="279">
        <f>[25]Brewhouse!AJ41</f>
        <v>47.4</v>
      </c>
      <c r="F10" s="278">
        <f>[25]Brewhouse!X41</f>
        <v>90</v>
      </c>
      <c r="G10" s="279">
        <f>[25]Brewhouse!AH41</f>
        <v>14.3</v>
      </c>
      <c r="H10" s="396">
        <v>14.3</v>
      </c>
      <c r="I10" s="368">
        <f>[25]Brewhouse!AV41</f>
        <v>96.432595150579488</v>
      </c>
      <c r="J10" s="368">
        <f>[25]Brewhouse!AW41</f>
        <v>96.884310279141332</v>
      </c>
      <c r="K10" s="281">
        <f>[25]Brewhouse!S41</f>
        <v>5.5421686746987771</v>
      </c>
      <c r="L10" s="276">
        <f>[25]Brewhouse!R41</f>
        <v>61</v>
      </c>
      <c r="M10" s="374">
        <f>[25]Brewhouse!$W41-[25]Brewhouse!$V41</f>
        <v>0.14027777777777778</v>
      </c>
      <c r="N10" s="370">
        <f>[25]Brewhouse!AB41</f>
        <v>0.27916666666666667</v>
      </c>
      <c r="O10" s="371" t="str">
        <f>[25]Brewhouse!$AZ41</f>
        <v>D. Gomez</v>
      </c>
      <c r="P10" s="423"/>
      <c r="R10" s="277" t="str">
        <f t="shared" ref="R10:R28" si="0">B10</f>
        <v>VITAMALT</v>
      </c>
      <c r="S10" s="296">
        <f t="shared" ref="S10:S28" si="1">VLOOKUP($B10,$R$3:$X$9,2,FALSE)</f>
        <v>14.4</v>
      </c>
      <c r="T10" s="296">
        <f t="shared" ref="T10:T28" si="2">VLOOKUP($B10,$R$3:$X$9,3,FALSE)</f>
        <v>14.6</v>
      </c>
      <c r="U10" s="297">
        <f t="shared" ref="U10:U28" si="3">VLOOKUP($B10,$R$3:$X$9,4,FALSE)</f>
        <v>0</v>
      </c>
      <c r="V10" s="297">
        <f t="shared" ref="V10:V28" si="4">VLOOKUP($B10,$R$3:$X$9,5,FALSE)</f>
        <v>0.13905092592592591</v>
      </c>
      <c r="W10" s="297">
        <f t="shared" ref="W10:W28" si="5">VLOOKUP($B10,$R$3:$X$9,6,FALSE)</f>
        <v>0.26041666666666669</v>
      </c>
      <c r="X10" s="297">
        <f t="shared" ref="X10:X28" si="6">VLOOKUP($B10,$R$3:$X$9,7,FALSE)</f>
        <v>0.2951388888888889</v>
      </c>
      <c r="Y10" s="297">
        <f t="shared" ref="Y10:Y28" si="7">VLOOKUP($B10,$R$3:$Z$9,8,FALSE)</f>
        <v>0</v>
      </c>
      <c r="Z10" s="296">
        <f t="shared" ref="Z10:Z28" si="8">VLOOKUP($B10,$R$3:$Z$9,9,FALSE)</f>
        <v>75</v>
      </c>
    </row>
    <row r="11" spans="2:29" ht="15.75" customHeight="1">
      <c r="B11" s="22" t="s">
        <v>33</v>
      </c>
      <c r="C11" s="366" t="str">
        <f>[25]Brewhouse!A42</f>
        <v>VM034</v>
      </c>
      <c r="D11" s="279">
        <f>[25]Brewhouse!AE42</f>
        <v>53</v>
      </c>
      <c r="E11" s="279">
        <f>[25]Brewhouse!AJ42</f>
        <v>48</v>
      </c>
      <c r="F11" s="278">
        <f>[25]Brewhouse!X42</f>
        <v>82</v>
      </c>
      <c r="G11" s="279">
        <f>[25]Brewhouse!AH42</f>
        <v>14.4</v>
      </c>
      <c r="H11" s="396">
        <v>14.1</v>
      </c>
      <c r="I11" s="368">
        <f>[25]Brewhouse!AV42</f>
        <v>98.429313316577733</v>
      </c>
      <c r="J11" s="368">
        <f>[25]Brewhouse!AW42</f>
        <v>98.89038158762888</v>
      </c>
      <c r="K11" s="281">
        <f>[25]Brewhouse!S42</f>
        <v>7.660377358490571</v>
      </c>
      <c r="L11" s="276">
        <f>[25]Brewhouse!R42</f>
        <v>61</v>
      </c>
      <c r="M11" s="374">
        <f>[25]Brewhouse!$W42-[25]Brewhouse!$V42</f>
        <v>0.13125000000000003</v>
      </c>
      <c r="N11" s="370">
        <f>[25]Brewhouse!AB42</f>
        <v>0.2638888888888889</v>
      </c>
      <c r="O11" s="371" t="str">
        <f>[25]Brewhouse!$AZ42</f>
        <v>K. Benjamin</v>
      </c>
      <c r="P11" s="423"/>
      <c r="R11" s="277" t="str">
        <f t="shared" si="0"/>
        <v>VITAMALT</v>
      </c>
      <c r="S11" s="296">
        <f t="shared" si="1"/>
        <v>14.4</v>
      </c>
      <c r="T11" s="296">
        <f t="shared" si="2"/>
        <v>14.6</v>
      </c>
      <c r="U11" s="297">
        <f t="shared" si="3"/>
        <v>0</v>
      </c>
      <c r="V11" s="297">
        <f t="shared" si="4"/>
        <v>0.13905092592592591</v>
      </c>
      <c r="W11" s="297">
        <f t="shared" si="5"/>
        <v>0.26041666666666669</v>
      </c>
      <c r="X11" s="297">
        <f t="shared" si="6"/>
        <v>0.2951388888888889</v>
      </c>
      <c r="Y11" s="297">
        <f t="shared" si="7"/>
        <v>0</v>
      </c>
      <c r="Z11" s="296">
        <f t="shared" si="8"/>
        <v>75</v>
      </c>
    </row>
    <row r="12" spans="2:29" ht="15.75" customHeight="1">
      <c r="B12" s="22" t="s">
        <v>33</v>
      </c>
      <c r="C12" s="366" t="str">
        <f>[25]Brewhouse!A43</f>
        <v>VM035</v>
      </c>
      <c r="D12" s="279">
        <f>[25]Brewhouse!AE43</f>
        <v>52.7</v>
      </c>
      <c r="E12" s="279">
        <f>[25]Brewhouse!AJ43</f>
        <v>48.4</v>
      </c>
      <c r="F12" s="278">
        <f>[25]Brewhouse!X43</f>
        <v>80</v>
      </c>
      <c r="G12" s="279">
        <f>[25]Brewhouse!AH43</f>
        <v>14.2</v>
      </c>
      <c r="H12" s="396">
        <v>14.3</v>
      </c>
      <c r="I12" s="368">
        <f>[25]Brewhouse!AV43</f>
        <v>98.064289700809979</v>
      </c>
      <c r="J12" s="368">
        <f>[25]Brewhouse!AW43</f>
        <v>98.517665955778142</v>
      </c>
      <c r="K12" s="281">
        <f>[25]Brewhouse!S43</f>
        <v>5.0474383301707713</v>
      </c>
      <c r="L12" s="276">
        <f>[25]Brewhouse!R43</f>
        <v>62</v>
      </c>
      <c r="M12" s="374">
        <f>[25]Brewhouse!$W43-[25]Brewhouse!$V43</f>
        <v>0.13541666666666669</v>
      </c>
      <c r="N12" s="370">
        <f>[25]Brewhouse!AB43</f>
        <v>0.26319444444444445</v>
      </c>
      <c r="O12" s="371" t="str">
        <f>[25]Brewhouse!$AZ43</f>
        <v>K. Benjamin</v>
      </c>
      <c r="P12" s="423"/>
      <c r="R12" s="277" t="str">
        <f t="shared" si="0"/>
        <v>VITAMALT</v>
      </c>
      <c r="S12" s="296">
        <f t="shared" si="1"/>
        <v>14.4</v>
      </c>
      <c r="T12" s="296">
        <f t="shared" si="2"/>
        <v>14.6</v>
      </c>
      <c r="U12" s="297">
        <f t="shared" si="3"/>
        <v>0</v>
      </c>
      <c r="V12" s="297">
        <f t="shared" si="4"/>
        <v>0.13905092592592591</v>
      </c>
      <c r="W12" s="297">
        <f t="shared" si="5"/>
        <v>0.26041666666666669</v>
      </c>
      <c r="X12" s="297">
        <f t="shared" si="6"/>
        <v>0.2951388888888889</v>
      </c>
      <c r="Y12" s="297">
        <f t="shared" si="7"/>
        <v>0</v>
      </c>
      <c r="Z12" s="296">
        <f t="shared" si="8"/>
        <v>75</v>
      </c>
    </row>
    <row r="13" spans="2:29" ht="15.75" customHeight="1">
      <c r="B13" s="22" t="s">
        <v>33</v>
      </c>
      <c r="C13" s="366" t="str">
        <f>[25]Brewhouse!A44</f>
        <v>VM036</v>
      </c>
      <c r="D13" s="279">
        <f>[25]Brewhouse!AE44</f>
        <v>52.7</v>
      </c>
      <c r="E13" s="279">
        <f>[25]Brewhouse!AJ44</f>
        <v>49.6</v>
      </c>
      <c r="F13" s="278">
        <f>[25]Brewhouse!X44</f>
        <v>64</v>
      </c>
      <c r="G13" s="279">
        <f>[25]Brewhouse!AH44</f>
        <v>14.6</v>
      </c>
      <c r="H13" s="396">
        <v>14.9</v>
      </c>
      <c r="I13" s="368">
        <f>[25]Brewhouse!AV44</f>
        <v>103.18047859361971</v>
      </c>
      <c r="J13" s="368">
        <f>[25]Brewhouse!AW44</f>
        <v>103.66380254731205</v>
      </c>
      <c r="K13" s="281">
        <f>[25]Brewhouse!S44</f>
        <v>6.3757115749525601</v>
      </c>
      <c r="L13" s="276">
        <f>[25]Brewhouse!R44</f>
        <v>63</v>
      </c>
      <c r="M13" s="374">
        <f>[25]Brewhouse!$W44-[25]Brewhouse!$V44</f>
        <v>0.13819444444444445</v>
      </c>
      <c r="N13" s="370">
        <f>[25]Brewhouse!AB44</f>
        <v>0.26944444444444449</v>
      </c>
      <c r="O13" s="371" t="str">
        <f>[25]Brewhouse!$AZ44</f>
        <v>K. Benjamin</v>
      </c>
      <c r="P13" s="423"/>
      <c r="R13" s="277" t="str">
        <f t="shared" si="0"/>
        <v>VITAMALT</v>
      </c>
      <c r="S13" s="296">
        <f t="shared" si="1"/>
        <v>14.4</v>
      </c>
      <c r="T13" s="296">
        <f t="shared" si="2"/>
        <v>14.6</v>
      </c>
      <c r="U13" s="297">
        <f t="shared" si="3"/>
        <v>0</v>
      </c>
      <c r="V13" s="297">
        <f t="shared" si="4"/>
        <v>0.13905092592592591</v>
      </c>
      <c r="W13" s="297">
        <f t="shared" si="5"/>
        <v>0.26041666666666669</v>
      </c>
      <c r="X13" s="297">
        <f t="shared" si="6"/>
        <v>0.2951388888888889</v>
      </c>
      <c r="Y13" s="297">
        <f t="shared" si="7"/>
        <v>0</v>
      </c>
      <c r="Z13" s="296">
        <f t="shared" si="8"/>
        <v>75</v>
      </c>
    </row>
    <row r="14" spans="2:29" ht="15.75" customHeight="1">
      <c r="B14" s="22" t="s">
        <v>33</v>
      </c>
      <c r="C14" s="366" t="str">
        <f>[25]Brewhouse!A45</f>
        <v>VM037</v>
      </c>
      <c r="D14" s="279">
        <f>[25]Brewhouse!AE45</f>
        <v>52.8</v>
      </c>
      <c r="E14" s="279">
        <f>[25]Brewhouse!AJ45</f>
        <v>48.5</v>
      </c>
      <c r="F14" s="278">
        <f>[25]Brewhouse!X45</f>
        <v>86</v>
      </c>
      <c r="G14" s="279">
        <f>[25]Brewhouse!AH45</f>
        <v>15.1</v>
      </c>
      <c r="H14" s="396">
        <v>15</v>
      </c>
      <c r="I14" s="368">
        <f>[25]Brewhouse!AV45</f>
        <v>104.32840145732365</v>
      </c>
      <c r="J14" s="368">
        <f>[25]Brewhouse!AW45</f>
        <v>104.8213232204026</v>
      </c>
      <c r="K14" s="281">
        <f>[25]Brewhouse!S45</f>
        <v>5.2272727272727106</v>
      </c>
      <c r="L14" s="276">
        <f>[25]Brewhouse!R45</f>
        <v>61</v>
      </c>
      <c r="M14" s="374">
        <f>[25]Brewhouse!$W45-[25]Brewhouse!$V45</f>
        <v>0.19097222222222221</v>
      </c>
      <c r="N14" s="370">
        <f>[25]Brewhouse!AB45</f>
        <v>0.32847222222222217</v>
      </c>
      <c r="O14" s="371" t="str">
        <f>[25]Brewhouse!$AZ45</f>
        <v>R.Regis</v>
      </c>
      <c r="P14" s="423"/>
      <c r="R14" s="277" t="str">
        <f t="shared" si="0"/>
        <v>VITAMALT</v>
      </c>
      <c r="S14" s="296">
        <f t="shared" si="1"/>
        <v>14.4</v>
      </c>
      <c r="T14" s="296">
        <f t="shared" si="2"/>
        <v>14.6</v>
      </c>
      <c r="U14" s="297">
        <f t="shared" si="3"/>
        <v>0</v>
      </c>
      <c r="V14" s="297">
        <f t="shared" si="4"/>
        <v>0.13905092592592591</v>
      </c>
      <c r="W14" s="297">
        <f t="shared" si="5"/>
        <v>0.26041666666666669</v>
      </c>
      <c r="X14" s="297">
        <f t="shared" si="6"/>
        <v>0.2951388888888889</v>
      </c>
      <c r="Y14" s="297">
        <f t="shared" si="7"/>
        <v>0</v>
      </c>
      <c r="Z14" s="296">
        <f t="shared" si="8"/>
        <v>75</v>
      </c>
    </row>
    <row r="15" spans="2:29" ht="15.75" customHeight="1">
      <c r="B15" s="22" t="s">
        <v>33</v>
      </c>
      <c r="C15" s="366" t="str">
        <f>[25]Brewhouse!A46</f>
        <v>VM038</v>
      </c>
      <c r="D15" s="279">
        <f>[25]Brewhouse!AE46</f>
        <v>53.3</v>
      </c>
      <c r="E15" s="279">
        <f>[25]Brewhouse!AJ46</f>
        <v>47.8</v>
      </c>
      <c r="F15" s="278">
        <f>[25]Brewhouse!X46</f>
        <v>84</v>
      </c>
      <c r="G15" s="279">
        <f>[25]Brewhouse!AH46</f>
        <v>13.5</v>
      </c>
      <c r="H15" s="367"/>
      <c r="I15" s="368">
        <f>[25]Brewhouse!AV46</f>
        <v>91.41688641079125</v>
      </c>
      <c r="J15" s="368">
        <f>[25]Brewhouse!AW46</f>
        <v>91.84695775623014</v>
      </c>
      <c r="K15" s="281">
        <f>[25]Brewhouse!S46</f>
        <v>7.2420262664165094</v>
      </c>
      <c r="L15" s="276">
        <f>[25]Brewhouse!R46</f>
        <v>61</v>
      </c>
      <c r="M15" s="374">
        <f>[25]Brewhouse!$W46-[25]Brewhouse!$V46</f>
        <v>0.13749999999999996</v>
      </c>
      <c r="N15" s="370">
        <f>[25]Brewhouse!AB46</f>
        <v>0.33819444444444446</v>
      </c>
      <c r="O15" s="371" t="str">
        <f>[25]Brewhouse!$AZ46</f>
        <v>R.Regis</v>
      </c>
      <c r="P15" s="423"/>
      <c r="R15" s="277" t="str">
        <f t="shared" si="0"/>
        <v>VITAMALT</v>
      </c>
      <c r="S15" s="296">
        <f t="shared" si="1"/>
        <v>14.4</v>
      </c>
      <c r="T15" s="296">
        <f t="shared" si="2"/>
        <v>14.6</v>
      </c>
      <c r="U15" s="297">
        <f t="shared" si="3"/>
        <v>0</v>
      </c>
      <c r="V15" s="297">
        <f t="shared" si="4"/>
        <v>0.13905092592592591</v>
      </c>
      <c r="W15" s="297">
        <f t="shared" si="5"/>
        <v>0.26041666666666669</v>
      </c>
      <c r="X15" s="297">
        <f t="shared" si="6"/>
        <v>0.2951388888888889</v>
      </c>
      <c r="Y15" s="297">
        <f t="shared" si="7"/>
        <v>0</v>
      </c>
      <c r="Z15" s="296">
        <f t="shared" si="8"/>
        <v>75</v>
      </c>
    </row>
    <row r="16" spans="2:29" ht="15.75" customHeight="1">
      <c r="B16" s="22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74"/>
      <c r="N16" s="370"/>
      <c r="O16" s="371"/>
      <c r="P16" s="423"/>
      <c r="R16" s="277">
        <f t="shared" si="0"/>
        <v>0</v>
      </c>
      <c r="S16" s="296" t="e">
        <f t="shared" si="1"/>
        <v>#N/A</v>
      </c>
      <c r="T16" s="296" t="e">
        <f t="shared" si="2"/>
        <v>#N/A</v>
      </c>
      <c r="U16" s="297" t="e">
        <f t="shared" si="3"/>
        <v>#N/A</v>
      </c>
      <c r="V16" s="297" t="e">
        <f t="shared" si="4"/>
        <v>#N/A</v>
      </c>
      <c r="W16" s="297" t="e">
        <f t="shared" si="5"/>
        <v>#N/A</v>
      </c>
      <c r="X16" s="297" t="e">
        <f t="shared" si="6"/>
        <v>#N/A</v>
      </c>
      <c r="Y16" s="297" t="e">
        <f t="shared" si="7"/>
        <v>#N/A</v>
      </c>
      <c r="Z16" s="296" t="e">
        <f t="shared" si="8"/>
        <v>#N/A</v>
      </c>
    </row>
    <row r="17" spans="1:26" ht="15.75" customHeight="1">
      <c r="B17" s="33" t="s">
        <v>9</v>
      </c>
      <c r="C17" s="366" t="str">
        <f>[23]Brewhouse!$A237</f>
        <v>ST219</v>
      </c>
      <c r="D17" s="279">
        <f>[23]Brewhouse!$AD237</f>
        <v>53.1</v>
      </c>
      <c r="E17" s="279">
        <f>[23]Brewhouse!$AG237</f>
        <v>49.5</v>
      </c>
      <c r="F17" s="278">
        <f>[23]Brewhouse!$V237</f>
        <v>56</v>
      </c>
      <c r="G17" s="279">
        <f>[23]Brewhouse!$AE237</f>
        <v>11.8</v>
      </c>
      <c r="H17" s="396"/>
      <c r="I17" s="421">
        <f>[23]Brewhouse!$AS237</f>
        <v>97.406620295015315</v>
      </c>
      <c r="J17" s="421">
        <f>[23]Brewhouse!$AT237</f>
        <v>99.255948434679922</v>
      </c>
      <c r="K17" s="398">
        <f>[23]Brewhouse!$Q237</f>
        <v>8.6629001883239205</v>
      </c>
      <c r="L17" s="276">
        <f>[23]Brewhouse!$P237</f>
        <v>60</v>
      </c>
      <c r="M17" s="374">
        <f>[23]Brewhouse!$U237-[23]Brewhouse!$T237</f>
        <v>0.10833333333333339</v>
      </c>
      <c r="N17" s="370">
        <f>[23]Brewhouse!$AW237</f>
        <v>0.24652777777777779</v>
      </c>
      <c r="O17" s="429" t="str">
        <f>[23]Brewhouse!$AV237</f>
        <v>D. Gomaz</v>
      </c>
      <c r="P17" s="423"/>
      <c r="R17" s="277" t="str">
        <f t="shared" si="0"/>
        <v>STAG</v>
      </c>
      <c r="S17" s="296">
        <f t="shared" si="1"/>
        <v>11.6</v>
      </c>
      <c r="T17" s="296">
        <f t="shared" si="2"/>
        <v>12</v>
      </c>
      <c r="U17" s="297">
        <f t="shared" si="3"/>
        <v>0</v>
      </c>
      <c r="V17" s="297">
        <f t="shared" si="4"/>
        <v>0.118055555555556</v>
      </c>
      <c r="W17" s="297">
        <f t="shared" si="5"/>
        <v>0.22569444444444445</v>
      </c>
      <c r="X17" s="297">
        <f t="shared" si="6"/>
        <v>0.2638888888888889</v>
      </c>
      <c r="Y17" s="297">
        <f t="shared" si="7"/>
        <v>0</v>
      </c>
      <c r="Z17" s="296">
        <f t="shared" si="8"/>
        <v>60</v>
      </c>
    </row>
    <row r="18" spans="1:26" ht="15.75" customHeight="1">
      <c r="B18" s="33" t="s">
        <v>9</v>
      </c>
      <c r="C18" s="366" t="str">
        <f>[23]Brewhouse!$A238</f>
        <v>ST220</v>
      </c>
      <c r="D18" s="279">
        <f>[23]Brewhouse!$AD238</f>
        <v>51.8</v>
      </c>
      <c r="E18" s="279">
        <f>[23]Brewhouse!$AG238</f>
        <v>48.4</v>
      </c>
      <c r="F18" s="278">
        <f>[23]Brewhouse!$V238</f>
        <v>57</v>
      </c>
      <c r="G18" s="279">
        <f>[23]Brewhouse!$AE238</f>
        <v>11.8</v>
      </c>
      <c r="H18" s="396"/>
      <c r="I18" s="421">
        <f>[23]Brewhouse!$AS238</f>
        <v>96.710712657442159</v>
      </c>
      <c r="J18" s="421">
        <f>[23]Brewhouse!$AT238</f>
        <v>98.539378134254903</v>
      </c>
      <c r="K18" s="398">
        <f>[23]Brewhouse!$Q238</f>
        <v>7.4545454545454568</v>
      </c>
      <c r="L18" s="276">
        <f>[23]Brewhouse!$P238</f>
        <v>58</v>
      </c>
      <c r="M18" s="374">
        <f>[23]Brewhouse!$U238-[23]Brewhouse!$T238</f>
        <v>0.10416666666666674</v>
      </c>
      <c r="N18" s="370">
        <f>[23]Brewhouse!$AW238</f>
        <v>0.24444444444444446</v>
      </c>
      <c r="O18" s="429" t="str">
        <f>[23]Brewhouse!$AV238</f>
        <v>D. Gomaz</v>
      </c>
      <c r="P18" s="423"/>
      <c r="R18" s="277"/>
      <c r="S18" s="296"/>
      <c r="T18" s="296"/>
      <c r="U18" s="297"/>
      <c r="V18" s="297"/>
      <c r="W18" s="297"/>
      <c r="X18" s="297"/>
      <c r="Y18" s="297"/>
      <c r="Z18" s="296"/>
    </row>
    <row r="19" spans="1:26" ht="15.75" customHeight="1">
      <c r="B19" s="33"/>
      <c r="C19" s="366"/>
      <c r="D19" s="279"/>
      <c r="E19" s="279"/>
      <c r="F19" s="278"/>
      <c r="G19" s="279"/>
      <c r="H19" s="396"/>
      <c r="I19" s="421"/>
      <c r="J19" s="421"/>
      <c r="K19" s="398"/>
      <c r="L19" s="276"/>
      <c r="M19" s="374"/>
      <c r="N19" s="370"/>
      <c r="O19" s="429"/>
      <c r="P19" s="423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6" ht="15.75" customHeight="1">
      <c r="B20" s="33"/>
      <c r="C20" s="366"/>
      <c r="D20" s="279"/>
      <c r="E20" s="279"/>
      <c r="F20" s="278"/>
      <c r="G20" s="279"/>
      <c r="H20" s="396"/>
      <c r="I20" s="421"/>
      <c r="J20" s="421"/>
      <c r="K20" s="398"/>
      <c r="L20" s="276"/>
      <c r="M20" s="374"/>
      <c r="N20" s="370"/>
      <c r="O20" s="429"/>
      <c r="P20" s="42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6" ht="15.75" hidden="1" customHeight="1">
      <c r="B21" s="33"/>
      <c r="C21" s="366"/>
      <c r="D21" s="279"/>
      <c r="E21" s="279"/>
      <c r="F21" s="278"/>
      <c r="G21" s="279"/>
      <c r="H21" s="396"/>
      <c r="I21" s="421"/>
      <c r="J21" s="421"/>
      <c r="K21" s="398"/>
      <c r="L21" s="276"/>
      <c r="M21" s="374"/>
      <c r="N21" s="370"/>
      <c r="O21" s="429"/>
      <c r="P21" s="42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6" ht="15.75" hidden="1" customHeight="1">
      <c r="B22" s="34"/>
      <c r="C22" s="366"/>
      <c r="D22" s="279"/>
      <c r="E22" s="279"/>
      <c r="F22" s="278"/>
      <c r="G22" s="279"/>
      <c r="H22" s="396"/>
      <c r="I22" s="421"/>
      <c r="J22" s="421"/>
      <c r="K22" s="398"/>
      <c r="L22" s="276"/>
      <c r="M22" s="374"/>
      <c r="N22" s="370"/>
      <c r="O22" s="429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6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371"/>
      <c r="P23" s="423"/>
      <c r="R23" s="277">
        <f t="shared" si="0"/>
        <v>0</v>
      </c>
      <c r="S23" s="296" t="e">
        <f t="shared" si="1"/>
        <v>#N/A</v>
      </c>
      <c r="T23" s="296" t="e">
        <f t="shared" si="2"/>
        <v>#N/A</v>
      </c>
      <c r="U23" s="297" t="e">
        <f t="shared" si="3"/>
        <v>#N/A</v>
      </c>
      <c r="V23" s="297" t="e">
        <f t="shared" si="4"/>
        <v>#N/A</v>
      </c>
      <c r="W23" s="297" t="e">
        <f t="shared" si="5"/>
        <v>#N/A</v>
      </c>
      <c r="X23" s="297" t="e">
        <f t="shared" si="6"/>
        <v>#N/A</v>
      </c>
      <c r="Y23" s="297" t="e">
        <f t="shared" si="7"/>
        <v>#N/A</v>
      </c>
      <c r="Z23" s="296" t="e">
        <f t="shared" si="8"/>
        <v>#N/A</v>
      </c>
    </row>
    <row r="24" spans="1:26" ht="15.75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371"/>
      <c r="P24" s="423"/>
      <c r="R24" s="277">
        <f t="shared" si="0"/>
        <v>0</v>
      </c>
      <c r="S24" s="296" t="e">
        <f t="shared" si="1"/>
        <v>#N/A</v>
      </c>
      <c r="T24" s="296" t="e">
        <f t="shared" si="2"/>
        <v>#N/A</v>
      </c>
      <c r="U24" s="297" t="e">
        <f t="shared" si="3"/>
        <v>#N/A</v>
      </c>
      <c r="V24" s="297" t="e">
        <f t="shared" si="4"/>
        <v>#N/A</v>
      </c>
      <c r="W24" s="297" t="e">
        <f t="shared" si="5"/>
        <v>#N/A</v>
      </c>
      <c r="X24" s="297" t="e">
        <f t="shared" si="6"/>
        <v>#N/A</v>
      </c>
      <c r="Y24" s="297" t="e">
        <f t="shared" si="7"/>
        <v>#N/A</v>
      </c>
      <c r="Z24" s="296" t="e">
        <f t="shared" si="8"/>
        <v>#N/A</v>
      </c>
    </row>
    <row r="25" spans="1:26" ht="15.75" hidden="1" customHeight="1">
      <c r="B25" s="29"/>
      <c r="C25" s="366"/>
      <c r="D25" s="279"/>
      <c r="E25" s="279"/>
      <c r="F25" s="278"/>
      <c r="G25" s="279"/>
      <c r="H25" s="396"/>
      <c r="I25" s="368"/>
      <c r="J25" s="368"/>
      <c r="K25" s="281"/>
      <c r="L25" s="276"/>
      <c r="M25" s="397"/>
      <c r="N25" s="370"/>
      <c r="O25" s="429"/>
      <c r="P25" s="423"/>
      <c r="R25" s="277">
        <f t="shared" si="0"/>
        <v>0</v>
      </c>
      <c r="S25" s="296" t="e">
        <f t="shared" si="1"/>
        <v>#N/A</v>
      </c>
      <c r="T25" s="296" t="e">
        <f t="shared" si="2"/>
        <v>#N/A</v>
      </c>
      <c r="U25" s="297" t="e">
        <f t="shared" si="3"/>
        <v>#N/A</v>
      </c>
      <c r="V25" s="297" t="e">
        <f t="shared" si="4"/>
        <v>#N/A</v>
      </c>
      <c r="W25" s="297" t="e">
        <f t="shared" si="5"/>
        <v>#N/A</v>
      </c>
      <c r="X25" s="297" t="e">
        <f t="shared" si="6"/>
        <v>#N/A</v>
      </c>
      <c r="Y25" s="297" t="e">
        <f t="shared" si="7"/>
        <v>#N/A</v>
      </c>
      <c r="Z25" s="296" t="e">
        <f t="shared" si="8"/>
        <v>#N/A</v>
      </c>
    </row>
    <row r="26" spans="1:26" ht="15.75" hidden="1" customHeight="1">
      <c r="B26" s="29"/>
      <c r="C26" s="366"/>
      <c r="D26" s="279"/>
      <c r="E26" s="279"/>
      <c r="F26" s="278"/>
      <c r="G26" s="279"/>
      <c r="H26" s="396"/>
      <c r="I26" s="368"/>
      <c r="J26" s="368"/>
      <c r="K26" s="281"/>
      <c r="L26" s="276"/>
      <c r="M26" s="397"/>
      <c r="N26" s="370"/>
      <c r="O26" s="429"/>
      <c r="P26" s="423"/>
      <c r="R26" s="277">
        <f t="shared" si="0"/>
        <v>0</v>
      </c>
      <c r="S26" s="296" t="e">
        <f t="shared" si="1"/>
        <v>#N/A</v>
      </c>
      <c r="T26" s="296" t="e">
        <f t="shared" si="2"/>
        <v>#N/A</v>
      </c>
      <c r="U26" s="297" t="e">
        <f t="shared" si="3"/>
        <v>#N/A</v>
      </c>
      <c r="V26" s="297" t="e">
        <f t="shared" si="4"/>
        <v>#N/A</v>
      </c>
      <c r="W26" s="297" t="e">
        <f t="shared" si="5"/>
        <v>#N/A</v>
      </c>
      <c r="X26" s="297" t="e">
        <f t="shared" si="6"/>
        <v>#N/A</v>
      </c>
      <c r="Y26" s="297" t="e">
        <f t="shared" si="7"/>
        <v>#N/A</v>
      </c>
      <c r="Z26" s="296" t="e">
        <f t="shared" si="8"/>
        <v>#N/A</v>
      </c>
    </row>
    <row r="27" spans="1:26" ht="15.75" customHeight="1" thickBot="1">
      <c r="B27" s="358"/>
      <c r="C27" s="358"/>
      <c r="D27" s="358"/>
      <c r="E27" s="358"/>
      <c r="F27" s="294"/>
      <c r="G27" s="294"/>
      <c r="H27" s="348"/>
      <c r="I27" s="481" t="s">
        <v>34</v>
      </c>
      <c r="J27" s="481"/>
      <c r="K27" s="481"/>
      <c r="L27" s="481"/>
      <c r="M27" s="481"/>
      <c r="N27" s="481"/>
      <c r="O27" s="1"/>
      <c r="P27" s="12"/>
      <c r="R27" s="277">
        <f t="shared" si="0"/>
        <v>0</v>
      </c>
      <c r="S27" s="296" t="e">
        <f t="shared" si="1"/>
        <v>#N/A</v>
      </c>
      <c r="T27" s="296" t="e">
        <f t="shared" si="2"/>
        <v>#N/A</v>
      </c>
      <c r="U27" s="297" t="e">
        <f t="shared" si="3"/>
        <v>#N/A</v>
      </c>
      <c r="V27" s="297" t="e">
        <f t="shared" si="4"/>
        <v>#N/A</v>
      </c>
      <c r="W27" s="297" t="e">
        <f t="shared" si="5"/>
        <v>#N/A</v>
      </c>
      <c r="X27" s="297" t="e">
        <f t="shared" si="6"/>
        <v>#N/A</v>
      </c>
      <c r="Y27" s="297" t="e">
        <f t="shared" si="7"/>
        <v>#N/A</v>
      </c>
      <c r="Z27" s="296" t="e">
        <f t="shared" si="8"/>
        <v>#N/A</v>
      </c>
    </row>
    <row r="28" spans="1:26" ht="15" thickBot="1">
      <c r="B28" s="388" t="s">
        <v>145</v>
      </c>
      <c r="C28" s="388"/>
      <c r="D28" s="494" t="s">
        <v>35</v>
      </c>
      <c r="E28" s="495"/>
      <c r="F28" s="294"/>
      <c r="G28" s="294"/>
      <c r="H28" s="348"/>
      <c r="I28" s="24" t="s">
        <v>17</v>
      </c>
      <c r="J28" s="25" t="s">
        <v>36</v>
      </c>
      <c r="K28" s="26" t="s">
        <v>138</v>
      </c>
      <c r="L28" s="25" t="s">
        <v>37</v>
      </c>
      <c r="M28" s="25" t="s">
        <v>38</v>
      </c>
      <c r="N28" s="27" t="s">
        <v>39</v>
      </c>
      <c r="O28" s="294"/>
      <c r="P28" s="12"/>
      <c r="R28" s="277" t="str">
        <f t="shared" si="0"/>
        <v>BRAND</v>
      </c>
      <c r="S28" s="296" t="e">
        <f t="shared" si="1"/>
        <v>#N/A</v>
      </c>
      <c r="T28" s="296" t="e">
        <f t="shared" si="2"/>
        <v>#N/A</v>
      </c>
      <c r="U28" s="297" t="e">
        <f t="shared" si="3"/>
        <v>#N/A</v>
      </c>
      <c r="V28" s="297" t="e">
        <f t="shared" si="4"/>
        <v>#N/A</v>
      </c>
      <c r="W28" s="297" t="e">
        <f t="shared" si="5"/>
        <v>#N/A</v>
      </c>
      <c r="X28" s="297" t="e">
        <f t="shared" si="6"/>
        <v>#N/A</v>
      </c>
      <c r="Y28" s="297" t="e">
        <f t="shared" si="7"/>
        <v>#N/A</v>
      </c>
      <c r="Z28" s="296" t="e">
        <f t="shared" si="8"/>
        <v>#N/A</v>
      </c>
    </row>
    <row r="29" spans="1:26" ht="15" customHeight="1">
      <c r="A29" s="28"/>
      <c r="B29" s="539" t="str">
        <f>I29</f>
        <v>CARIB</v>
      </c>
      <c r="C29" s="362">
        <f>[22]Process!D420</f>
        <v>11.7</v>
      </c>
      <c r="D29" s="485">
        <v>11.98</v>
      </c>
      <c r="E29" s="474"/>
      <c r="F29" s="294"/>
      <c r="G29" s="294"/>
      <c r="H29" s="348"/>
      <c r="I29" s="29" t="s">
        <v>6</v>
      </c>
      <c r="J29" s="280"/>
      <c r="K29" s="284">
        <f>COUNTA([22]Brewhouse!$A$408:$A$479)</f>
        <v>72</v>
      </c>
      <c r="L29" s="302">
        <f>AVERAGE([22]Brewhouse!$AU$408:$AU$479)</f>
        <v>98.694624153781334</v>
      </c>
      <c r="M29" s="302">
        <f>AVERAGE([22]Brewhouse!$AU$102:$AU$171,[22]Brewhouse!$AU$173:$AU$253,[22]Brewhouse!$AU$255:$AU$339,[22]Brewhouse!$AU$341:$AU$346,[22]Brewhouse!$AU$348,[22]Brewhouse!$AU$349:$AU$406,[22]Brewhouse!$AU$408:$AU$479)</f>
        <v>97.646782679210006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6" ht="15" customHeight="1">
      <c r="A30" s="28"/>
      <c r="B30" s="464"/>
      <c r="C30" s="349">
        <f>[22]Process!D421</f>
        <v>11.8</v>
      </c>
      <c r="D30" s="486"/>
      <c r="E30" s="469"/>
      <c r="F30" s="294"/>
      <c r="G30" s="294"/>
      <c r="H30" s="348"/>
      <c r="I30" s="33" t="s">
        <v>9</v>
      </c>
      <c r="J30" s="280">
        <f>AVERAGE(I17:I18)</f>
        <v>97.058666476228737</v>
      </c>
      <c r="K30" s="284">
        <f>COUNTA([23]Brewhouse!$A$195:$A$238)</f>
        <v>44</v>
      </c>
      <c r="L30" s="302">
        <f>AVERAGE([23]Brewhouse!$AS$195:$AS$238)</f>
        <v>99.482353584028942</v>
      </c>
      <c r="M30" s="302">
        <f>AVERAGE([23]Brewhouse!$AS$15:$AS$64,[23]Brewhouse!$AS$66:$AS$103,[23]Brewhouse!$AS$105:$AS$140,[23]Brewhouse!$AS$142:$AS$193,[23]Brewhouse!$AS$195:$AS$238)</f>
        <v>97.855721678827109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6" ht="14.7" customHeight="1">
      <c r="A31" s="28"/>
      <c r="B31" s="464"/>
      <c r="C31" s="349">
        <f>[22]Process!D422</f>
        <v>11.8</v>
      </c>
      <c r="D31" s="485">
        <v>12</v>
      </c>
      <c r="E31" s="474"/>
      <c r="F31" s="294"/>
      <c r="G31" s="294"/>
      <c r="H31" s="348"/>
      <c r="I31" s="34" t="s">
        <v>12</v>
      </c>
      <c r="J31" s="280"/>
      <c r="K31" s="284">
        <f>COUNTA([24]Brewhouse!$A$47:$A$62)</f>
        <v>16</v>
      </c>
      <c r="L31" s="302">
        <f>AVERAGE([24]Brewhouse!$AU$47:$AU$62)</f>
        <v>97.405159331492385</v>
      </c>
      <c r="M31" s="302">
        <f>AVERAGE([24]Brewhouse!$AU$4:$AU$7,[24]Brewhouse!$AU$9:$AU$22,[24]Brewhouse!$AU$24:$AU$35,[24]Brewhouse!$AU$37:$AU$45,[24]Brewhouse!$AU$47:$AU$62)</f>
        <v>97.179377138297156</v>
      </c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6" ht="14.7" customHeight="1">
      <c r="A32" s="28"/>
      <c r="B32" s="464"/>
      <c r="C32" s="349">
        <f>[22]Process!D423</f>
        <v>11.9</v>
      </c>
      <c r="D32" s="486"/>
      <c r="E32" s="469"/>
      <c r="F32" s="294"/>
      <c r="G32" s="294"/>
      <c r="H32" s="348"/>
      <c r="I32" s="22" t="s">
        <v>33</v>
      </c>
      <c r="J32" s="280">
        <f>AVERAGE(I10:I15)</f>
        <v>98.6419941049503</v>
      </c>
      <c r="K32" s="284">
        <f>COUNTA([25]Brewhouse!$A$35:$A$46)</f>
        <v>12</v>
      </c>
      <c r="L32" s="302">
        <f>AVERAGE([25]Brewhouse!$AV$35:$AV$46)</f>
        <v>99.185883853717385</v>
      </c>
      <c r="M32" s="302">
        <f>AVERAGE([25]Brewhouse!$AV$5:$AV$14,[25]Brewhouse!$AV$16:$AV$19,[25]Brewhouse!$AV$21:$AV$24,[25]Brewhouse!$AV$26:$AV$33,[25]Brewhouse!$AV$35:$AV$46)</f>
        <v>99.005314486149061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</row>
    <row r="33" spans="1:56" ht="14.7" customHeight="1">
      <c r="A33" s="28"/>
      <c r="B33" s="464"/>
      <c r="C33" s="349">
        <f>[22]Process!D424</f>
        <v>12</v>
      </c>
      <c r="D33" s="485">
        <v>12.1</v>
      </c>
      <c r="E33" s="474"/>
      <c r="F33" s="422"/>
      <c r="G33" s="294"/>
      <c r="H33" s="348"/>
      <c r="I33" s="35" t="s">
        <v>29</v>
      </c>
      <c r="J33" s="280"/>
      <c r="K33" s="284"/>
      <c r="L33" s="302"/>
      <c r="M33" s="302"/>
      <c r="N33" s="30">
        <v>98</v>
      </c>
      <c r="O33" s="11"/>
      <c r="P33" s="31"/>
      <c r="R33" s="277"/>
      <c r="S33" s="296"/>
      <c r="T33" s="296"/>
      <c r="U33" s="297"/>
      <c r="V33" s="297"/>
      <c r="W33" s="297"/>
      <c r="X33" s="297"/>
      <c r="Y33" s="297"/>
      <c r="Z33" s="296"/>
    </row>
    <row r="34" spans="1:56" ht="14.7" customHeight="1">
      <c r="A34" s="28"/>
      <c r="B34" s="464"/>
      <c r="C34" s="349">
        <f>[22]Process!D425</f>
        <v>11.98</v>
      </c>
      <c r="D34" s="486"/>
      <c r="E34" s="469"/>
      <c r="F34" s="422"/>
      <c r="G34" s="294"/>
      <c r="H34" s="348"/>
      <c r="I34" s="36" t="s">
        <v>15</v>
      </c>
      <c r="J34" s="323"/>
      <c r="K34" s="284"/>
      <c r="L34" s="302"/>
      <c r="M34" s="302">
        <f>AVERAGE([26]Brewhouse!$AT$4:$AT$11,[26]Brewhouse!$AT$13:$AT$16)</f>
        <v>95.165309917257005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7" customHeight="1">
      <c r="A35" s="28"/>
      <c r="B35" s="464"/>
      <c r="C35" s="349">
        <f>[22]Process!D426</f>
        <v>12</v>
      </c>
      <c r="D35" s="485">
        <v>12.09</v>
      </c>
      <c r="E35" s="474"/>
      <c r="F35" s="422"/>
      <c r="G35" s="294"/>
      <c r="H35" s="348"/>
      <c r="I35" s="37" t="s">
        <v>16</v>
      </c>
      <c r="J35" s="323"/>
      <c r="K35" s="284">
        <f>COUNTA([27]Brewhouse!$A$36:$A$43)</f>
        <v>8</v>
      </c>
      <c r="L35" s="302">
        <f>AVERAGE([27]Brewhouse!$AY$36:$AY$43)</f>
        <v>98.453561717677275</v>
      </c>
      <c r="M35" s="302">
        <f>AVERAGE([27]Brewhouse!$AY$6:$AY$13,[27]Brewhouse!$AY$15:$AY$20,[27]Brewhouse!$AY$22:$AY$29,[27]Brewhouse!$AY$31:$AY$34,[27]Brewhouse!$AY$36:$AY$43)</f>
        <v>96.669752433914965</v>
      </c>
      <c r="N35" s="30">
        <v>98</v>
      </c>
      <c r="O35" s="11"/>
      <c r="P35" s="31" t="s">
        <v>41</v>
      </c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4.7" customHeight="1">
      <c r="A36" s="28"/>
      <c r="B36" s="464"/>
      <c r="C36" s="349">
        <f>[22]Process!D427</f>
        <v>11.7</v>
      </c>
      <c r="D36" s="486"/>
      <c r="E36" s="469"/>
      <c r="F36" s="294"/>
      <c r="G36" s="294"/>
      <c r="H36" s="348"/>
      <c r="I36" s="412" t="s">
        <v>158</v>
      </c>
      <c r="J36" s="326"/>
      <c r="K36" s="284"/>
      <c r="L36" s="305"/>
      <c r="M36" s="305">
        <f>AVERAGE([28]Brewhouse!$AU$5:$AU$8)</f>
        <v>91.006888337619571</v>
      </c>
      <c r="N36" s="3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4.7" customHeight="1">
      <c r="A37" s="28"/>
      <c r="B37" s="464"/>
      <c r="C37" s="349">
        <f>[22]Process!D428</f>
        <v>11.9</v>
      </c>
      <c r="D37" s="485">
        <v>11.95</v>
      </c>
      <c r="E37" s="474"/>
      <c r="F37" s="294"/>
      <c r="G37" s="294"/>
      <c r="H37" s="348"/>
      <c r="I37" s="411" t="s">
        <v>157</v>
      </c>
      <c r="J37" s="326"/>
      <c r="K37" s="284"/>
      <c r="L37" s="305"/>
      <c r="M37" s="305"/>
      <c r="N37" s="3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customHeight="1" thickBot="1">
      <c r="A38" s="28"/>
      <c r="B38" s="464"/>
      <c r="C38" s="349">
        <f>[22]Process!D429</f>
        <v>12.05</v>
      </c>
      <c r="D38" s="486"/>
      <c r="E38" s="469"/>
      <c r="F38" s="294"/>
      <c r="G38" s="294"/>
      <c r="H38" s="348"/>
      <c r="I38" s="407" t="s">
        <v>156</v>
      </c>
      <c r="J38" s="327"/>
      <c r="K38" s="408"/>
      <c r="L38" s="409"/>
      <c r="M38" s="409"/>
      <c r="N38" s="410">
        <v>98</v>
      </c>
      <c r="O38" s="11"/>
      <c r="P38" s="31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customHeight="1" thickBot="1">
      <c r="A39" s="28"/>
      <c r="B39" s="464"/>
      <c r="C39" s="349">
        <f>[22]Process!D430</f>
        <v>12.12</v>
      </c>
      <c r="D39" s="485">
        <v>11.92</v>
      </c>
      <c r="E39" s="474"/>
      <c r="F39" s="294"/>
      <c r="G39" s="294"/>
      <c r="H39" s="348"/>
      <c r="I39" s="1"/>
      <c r="J39" s="39"/>
      <c r="K39" s="405">
        <f>SUM(K29:K38)</f>
        <v>152</v>
      </c>
      <c r="L39" s="406">
        <f>((L29*K29)+(L30*K30)+(L31*K31)+(L32*K32)+(L33*K33)+(K36*L36)+(L34*K34)+(L35*K35)+(L38*K38))/(K39)</f>
        <v>98.813014118812077</v>
      </c>
      <c r="M39" s="406">
        <f>AVERAGE('[29]Jan 31st'!$L$65,'[30]Feb 28th'!$L$35,'[31]Mar. 31st'!$L$35,'[32]Apr. 30th'!$L$45,L39)</f>
        <v>97.643411081650044</v>
      </c>
      <c r="N39" s="40">
        <v>98</v>
      </c>
      <c r="O39" s="11"/>
      <c r="P39" s="31"/>
      <c r="R39" s="277"/>
      <c r="S39" s="296"/>
      <c r="T39" s="296"/>
      <c r="U39" s="297"/>
      <c r="V39" s="297"/>
      <c r="W39" s="297"/>
      <c r="X39" s="297"/>
      <c r="Y39" s="297"/>
      <c r="Z39" s="296"/>
      <c r="AA39" s="296"/>
    </row>
    <row r="40" spans="1:56" ht="15" thickBot="1">
      <c r="B40" s="465"/>
      <c r="C40" s="350">
        <f>[22]Process!D431</f>
        <v>11.86</v>
      </c>
      <c r="D40" s="486"/>
      <c r="E40" s="469"/>
      <c r="F40" s="294"/>
      <c r="G40" s="42"/>
      <c r="H40" s="41"/>
      <c r="I40" s="42"/>
      <c r="J40" s="42"/>
      <c r="K40" s="351"/>
      <c r="L40" s="348"/>
      <c r="M40" s="348"/>
      <c r="N40" s="11"/>
      <c r="O40" s="294"/>
      <c r="P40" s="12"/>
      <c r="R40" s="277"/>
      <c r="S40" s="296"/>
      <c r="T40" s="296"/>
      <c r="U40" s="297"/>
      <c r="V40" s="297"/>
      <c r="W40" s="297"/>
      <c r="X40" s="297"/>
      <c r="Y40" s="297"/>
      <c r="Z40" s="296"/>
      <c r="AA40" s="296"/>
    </row>
    <row r="41" spans="1:56" ht="15" thickBot="1">
      <c r="B41" s="528"/>
      <c r="C41" s="362"/>
      <c r="D41" s="466"/>
      <c r="E41" s="467"/>
      <c r="F41" s="294"/>
      <c r="G41" s="42"/>
      <c r="H41" s="41"/>
      <c r="I41" s="42"/>
      <c r="J41" s="519" t="s">
        <v>129</v>
      </c>
      <c r="K41" s="519"/>
      <c r="L41" s="294"/>
      <c r="M41" s="294"/>
      <c r="N41" s="294"/>
      <c r="O41" s="294"/>
      <c r="P41" s="12"/>
    </row>
    <row r="42" spans="1:56" ht="13.5" customHeight="1" thickBot="1">
      <c r="B42" s="521"/>
      <c r="C42" s="349"/>
      <c r="D42" s="468"/>
      <c r="E42" s="469"/>
      <c r="F42" s="294"/>
      <c r="G42" s="42"/>
      <c r="H42" s="41"/>
      <c r="I42" s="41"/>
      <c r="J42" s="292" t="s">
        <v>17</v>
      </c>
      <c r="K42" s="293" t="s">
        <v>147</v>
      </c>
      <c r="L42" s="471" t="s">
        <v>136</v>
      </c>
      <c r="M42" s="471"/>
      <c r="N42" s="472"/>
      <c r="O42" s="294"/>
      <c r="P42" s="12"/>
    </row>
    <row r="43" spans="1:56" ht="15" customHeight="1" thickBot="1">
      <c r="B43" s="521"/>
      <c r="C43" s="349"/>
      <c r="D43" s="473"/>
      <c r="E43" s="474"/>
      <c r="F43" s="294"/>
      <c r="G43" s="42"/>
      <c r="H43" s="41"/>
      <c r="I43" s="41"/>
      <c r="J43" s="287" t="s">
        <v>6</v>
      </c>
      <c r="K43" s="324"/>
      <c r="L43" s="343" t="s">
        <v>37</v>
      </c>
      <c r="M43" s="307" t="s">
        <v>38</v>
      </c>
      <c r="N43" s="307" t="s">
        <v>84</v>
      </c>
      <c r="O43" s="294"/>
      <c r="P43" s="12"/>
    </row>
    <row r="44" spans="1:56" ht="15.75" customHeight="1" thickBot="1">
      <c r="B44" s="521"/>
      <c r="C44" s="349"/>
      <c r="D44" s="468"/>
      <c r="E44" s="469"/>
      <c r="F44" s="294"/>
      <c r="G44" s="42"/>
      <c r="H44" s="41"/>
      <c r="I44" s="41"/>
      <c r="J44" s="345" t="s">
        <v>9</v>
      </c>
      <c r="K44" s="324">
        <v>2</v>
      </c>
      <c r="L44" s="344">
        <f>AVERAGE('May 2nd -4th'!I70,'May 2nd -4th'!K70,'May 5th'!K77,'May 6th'!K60,'May 7th'!K57,'May 8th'!K53,'May 9th-10th'!I60,'May 9th-10th'!K60,'May 12th'!K43,'May 13th'!K45,'May 14th'!K50,'May 15th'!K49,'May 16th'!K52,'May 19th'!K48,'May 20th'!K49,'May 21st'!K53,'May 22nd'!K53,'May 23rd'!K53,'May 26th'!K53,K53)</f>
        <v>7.65</v>
      </c>
      <c r="M44" s="325">
        <f>AVERAGE('[29]Jan 29th '!$M$70,'[30]Feb 28th'!$L$40,'[31]Mar. 31st'!$L$40,'[32]Apr. 30th'!$L$50,L44)</f>
        <v>6.719154323936932</v>
      </c>
      <c r="N44" s="420">
        <v>9.1999999999999993</v>
      </c>
      <c r="O44" s="294"/>
      <c r="P44" s="12"/>
    </row>
    <row r="45" spans="1:56" ht="15" customHeight="1">
      <c r="B45" s="521"/>
      <c r="C45" s="349"/>
      <c r="D45" s="473"/>
      <c r="E45" s="474"/>
      <c r="F45" s="294"/>
      <c r="G45" s="42"/>
      <c r="H45" s="41"/>
      <c r="I45" s="41"/>
      <c r="J45" s="288" t="s">
        <v>40</v>
      </c>
      <c r="K45" s="324"/>
      <c r="L45" s="294"/>
      <c r="M45" s="294"/>
      <c r="N45" s="294"/>
      <c r="O45" s="294"/>
      <c r="P45" s="12"/>
    </row>
    <row r="46" spans="1:56" ht="15" customHeight="1">
      <c r="B46" s="521"/>
      <c r="C46" s="349"/>
      <c r="D46" s="468"/>
      <c r="E46" s="469"/>
      <c r="F46" s="294"/>
      <c r="G46" s="42"/>
      <c r="H46" s="41"/>
      <c r="I46" s="41"/>
      <c r="J46" s="289" t="s">
        <v>33</v>
      </c>
      <c r="K46" s="324">
        <v>6</v>
      </c>
      <c r="L46" s="294"/>
      <c r="M46" s="294"/>
      <c r="N46" s="294"/>
      <c r="O46" s="294"/>
      <c r="P46" s="12"/>
    </row>
    <row r="47" spans="1:56" ht="14.4">
      <c r="B47" s="521"/>
      <c r="C47" s="349"/>
      <c r="D47" s="473"/>
      <c r="E47" s="474"/>
      <c r="F47" s="294"/>
      <c r="G47" s="42"/>
      <c r="H47" s="41"/>
      <c r="I47" s="41"/>
      <c r="J47" s="290" t="s">
        <v>16</v>
      </c>
      <c r="K47" s="324"/>
      <c r="L47" s="294"/>
      <c r="M47" s="294"/>
      <c r="N47" s="294"/>
      <c r="O47" s="294"/>
      <c r="P47" s="12"/>
      <c r="BC47" s="44"/>
      <c r="BD47" s="44"/>
    </row>
    <row r="48" spans="1:56" ht="14.4">
      <c r="B48" s="521"/>
      <c r="C48" s="349"/>
      <c r="D48" s="468"/>
      <c r="E48" s="469"/>
      <c r="F48" s="294"/>
      <c r="G48" s="42"/>
      <c r="H48" s="41"/>
      <c r="I48" s="41"/>
      <c r="J48" s="291" t="s">
        <v>15</v>
      </c>
      <c r="K48" s="324"/>
      <c r="L48" s="294"/>
      <c r="M48" s="294"/>
      <c r="N48" s="294"/>
      <c r="O48" s="294"/>
      <c r="P48" s="12"/>
      <c r="BC48" s="44"/>
      <c r="BD48" s="44"/>
    </row>
    <row r="49" spans="2:57" ht="14.4">
      <c r="B49" s="521"/>
      <c r="C49" s="349"/>
      <c r="D49" s="475"/>
      <c r="E49" s="476"/>
      <c r="F49" s="294"/>
      <c r="G49" s="42"/>
      <c r="H49" s="41"/>
      <c r="I49" s="41"/>
      <c r="J49" s="291" t="s">
        <v>149</v>
      </c>
      <c r="K49" s="324"/>
      <c r="L49" s="294"/>
      <c r="M49" s="294"/>
      <c r="N49" s="294"/>
      <c r="O49" s="294"/>
      <c r="P49" s="12"/>
      <c r="BC49" s="44"/>
      <c r="BD49" s="44"/>
    </row>
    <row r="50" spans="2:57" ht="15" thickBot="1">
      <c r="B50" s="522"/>
      <c r="C50" s="350"/>
      <c r="D50" s="477"/>
      <c r="E50" s="478"/>
      <c r="F50" s="294"/>
      <c r="G50" s="42"/>
      <c r="H50" s="41"/>
      <c r="I50" s="41"/>
      <c r="J50" s="291" t="s">
        <v>148</v>
      </c>
      <c r="K50" s="324"/>
      <c r="L50" s="294"/>
      <c r="M50" s="294"/>
      <c r="N50" s="294"/>
      <c r="O50" s="294"/>
      <c r="P50" s="12"/>
      <c r="BC50" s="44"/>
      <c r="BD50" s="44"/>
    </row>
    <row r="51" spans="2:57" ht="17.7" customHeight="1" thickBot="1">
      <c r="B51" s="312" t="s">
        <v>139</v>
      </c>
      <c r="C51" s="313"/>
      <c r="D51" s="457">
        <f>AVERAGE(D29:E50)</f>
        <v>12.006666666666668</v>
      </c>
      <c r="E51" s="458"/>
      <c r="F51" s="294"/>
      <c r="G51" s="42"/>
      <c r="H51" s="41"/>
      <c r="I51" s="41"/>
      <c r="J51" s="295" t="s">
        <v>134</v>
      </c>
      <c r="K51" s="324"/>
      <c r="L51" s="294"/>
      <c r="M51" s="294"/>
      <c r="N51" s="294"/>
      <c r="O51" s="294"/>
      <c r="P51" s="12"/>
      <c r="BC51" s="44"/>
      <c r="BD51" s="44"/>
    </row>
    <row r="52" spans="2:57" ht="17.7" customHeight="1">
      <c r="B52" s="363"/>
      <c r="C52" s="364"/>
      <c r="D52" s="365"/>
      <c r="E52" s="365"/>
      <c r="F52" s="294"/>
      <c r="G52" s="42"/>
      <c r="H52" s="41"/>
      <c r="I52" s="41"/>
      <c r="J52" s="295" t="s">
        <v>131</v>
      </c>
      <c r="K52" s="324"/>
      <c r="L52" s="294"/>
      <c r="M52" s="294"/>
      <c r="N52" s="294"/>
      <c r="O52" s="294"/>
      <c r="P52" s="12"/>
      <c r="BC52" s="44"/>
      <c r="BD52" s="44"/>
    </row>
    <row r="53" spans="2:57" ht="15.75" customHeight="1">
      <c r="B53" s="45"/>
      <c r="C53" s="11"/>
      <c r="D53" s="11"/>
      <c r="E53" s="46"/>
      <c r="F53" s="294"/>
      <c r="G53" s="42"/>
      <c r="H53" s="41"/>
      <c r="I53" s="41"/>
      <c r="J53" s="346" t="s">
        <v>130</v>
      </c>
      <c r="K53" s="324">
        <f>SUM(K43:K52)</f>
        <v>8</v>
      </c>
      <c r="L53" s="294"/>
      <c r="M53" s="294"/>
      <c r="N53" s="294"/>
      <c r="O53" s="294"/>
      <c r="P53" s="12"/>
    </row>
    <row r="54" spans="2:57" ht="20.25" customHeight="1">
      <c r="B54" s="15" t="s">
        <v>42</v>
      </c>
      <c r="C54" s="1" t="s">
        <v>43</v>
      </c>
      <c r="D54" s="1"/>
      <c r="E54" s="1"/>
      <c r="F54" s="294"/>
      <c r="G54" s="42"/>
      <c r="H54" s="41"/>
      <c r="I54" s="42"/>
      <c r="L54" s="294"/>
      <c r="P54" s="334"/>
    </row>
    <row r="55" spans="2:57" ht="15" customHeight="1" thickBot="1"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8"/>
      <c r="O55" s="48"/>
      <c r="P55" s="49"/>
    </row>
    <row r="56" spans="2:57" ht="15" customHeight="1" thickBot="1">
      <c r="B56" s="447" t="s">
        <v>17</v>
      </c>
      <c r="C56" s="447" t="s">
        <v>44</v>
      </c>
      <c r="D56" s="459" t="s">
        <v>45</v>
      </c>
      <c r="E56" s="461" t="s">
        <v>46</v>
      </c>
      <c r="F56" s="455" t="s">
        <v>47</v>
      </c>
      <c r="G56" s="445" t="s">
        <v>48</v>
      </c>
      <c r="H56" s="447" t="s">
        <v>49</v>
      </c>
      <c r="I56" s="447" t="s">
        <v>50</v>
      </c>
      <c r="J56" s="439" t="s">
        <v>28</v>
      </c>
      <c r="K56" s="451" t="s">
        <v>51</v>
      </c>
      <c r="L56" s="453" t="s">
        <v>52</v>
      </c>
      <c r="M56" s="439" t="s">
        <v>53</v>
      </c>
      <c r="N56" s="13"/>
      <c r="O56" s="13"/>
      <c r="P56" s="50"/>
    </row>
    <row r="57" spans="2:57" ht="28.5" customHeight="1" thickTop="1" thickBot="1">
      <c r="B57" s="448"/>
      <c r="C57" s="448"/>
      <c r="D57" s="460"/>
      <c r="E57" s="462"/>
      <c r="F57" s="456"/>
      <c r="G57" s="446"/>
      <c r="H57" s="448"/>
      <c r="I57" s="448"/>
      <c r="J57" s="440"/>
      <c r="K57" s="452"/>
      <c r="L57" s="454"/>
      <c r="M57" s="440"/>
      <c r="N57" s="13"/>
      <c r="O57" s="13"/>
      <c r="P57" s="50"/>
      <c r="Q57" s="355"/>
      <c r="AB57" s="51">
        <v>43474</v>
      </c>
      <c r="AC57" s="51">
        <v>43475</v>
      </c>
      <c r="AD57" s="51">
        <v>43476</v>
      </c>
      <c r="AE57" s="51">
        <v>43477</v>
      </c>
      <c r="AF57" s="51">
        <v>43478</v>
      </c>
      <c r="AG57" s="51">
        <v>43479</v>
      </c>
      <c r="AH57" s="51">
        <v>43480</v>
      </c>
      <c r="AI57" s="51">
        <v>43481</v>
      </c>
      <c r="AJ57" s="51">
        <v>43482</v>
      </c>
      <c r="AK57" s="51">
        <v>43483</v>
      </c>
      <c r="AL57" s="51">
        <v>43484</v>
      </c>
      <c r="AM57" s="51">
        <v>43485</v>
      </c>
      <c r="AN57" s="51">
        <v>43486</v>
      </c>
      <c r="AO57" s="51">
        <v>43487</v>
      </c>
      <c r="AP57" s="51">
        <v>43488</v>
      </c>
      <c r="AQ57" s="51">
        <v>43489</v>
      </c>
      <c r="AR57" s="51">
        <v>43490</v>
      </c>
      <c r="AS57" s="51">
        <v>43491</v>
      </c>
      <c r="AT57" s="51">
        <v>43492</v>
      </c>
      <c r="AU57" s="51">
        <v>43493</v>
      </c>
      <c r="AV57" s="51">
        <v>43494</v>
      </c>
      <c r="AW57" s="51">
        <v>43495</v>
      </c>
      <c r="AX57" s="51">
        <v>43496</v>
      </c>
    </row>
    <row r="58" spans="2:57" s="54" customFormat="1" ht="51" customHeight="1">
      <c r="B58" s="361" t="str">
        <f>B65</f>
        <v>CARIB</v>
      </c>
      <c r="C58" s="283">
        <v>45804</v>
      </c>
      <c r="D58" s="377">
        <f>[33]May_2025!$AD$3</f>
        <v>613.9</v>
      </c>
      <c r="E58" s="378"/>
      <c r="F58" s="379">
        <f>[34]CARIB!$L$69+[34]CARIB!$L$71+[34]CARIB!$L$73</f>
        <v>593.5</v>
      </c>
      <c r="G58" s="303">
        <f>[33]May_2025!$AD$7</f>
        <v>579.20000000000005</v>
      </c>
      <c r="H58" s="320">
        <f>(D58-F58)/D58*100</f>
        <v>3.3230167779768656</v>
      </c>
      <c r="I58" s="322">
        <f>((F58+E58)-G58)/(F58+E58)*100</f>
        <v>2.4094355518112813</v>
      </c>
      <c r="J58" s="392" t="s">
        <v>219</v>
      </c>
      <c r="K58" s="286">
        <f>[35]May_2025!$AD$18</f>
        <v>1.0161403508771931</v>
      </c>
      <c r="L58" s="314">
        <f>(((D58+E58)-G58)/(D58+E58))*100</f>
        <v>5.6523863821469185</v>
      </c>
      <c r="M58" s="419" t="s">
        <v>184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418"/>
      <c r="AC58" s="418"/>
      <c r="AD58" s="418"/>
      <c r="AE58" s="418"/>
      <c r="AF58" s="418"/>
      <c r="AG58" s="418"/>
      <c r="AH58" s="418"/>
      <c r="AI58" s="418"/>
      <c r="AJ58" s="418"/>
      <c r="AK58" s="418"/>
      <c r="AL58" s="418"/>
      <c r="AM58" s="418"/>
      <c r="AN58" s="418"/>
      <c r="AO58" s="418"/>
      <c r="AP58" s="418"/>
      <c r="AQ58" s="418"/>
      <c r="AR58" s="418"/>
      <c r="AS58" s="418"/>
      <c r="AT58" s="418"/>
      <c r="AU58" s="418"/>
      <c r="AV58" s="418"/>
      <c r="AW58" s="418"/>
    </row>
    <row r="59" spans="2:57" s="54" customFormat="1" ht="23.25" customHeight="1">
      <c r="B59" s="415"/>
      <c r="C59" s="283"/>
      <c r="D59" s="377"/>
      <c r="E59" s="378"/>
      <c r="F59" s="379"/>
      <c r="G59" s="303"/>
      <c r="H59" s="320"/>
      <c r="I59" s="322"/>
      <c r="J59" s="281"/>
      <c r="K59" s="286"/>
      <c r="L59" s="314"/>
      <c r="M59" s="419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</row>
    <row r="60" spans="2:57" s="54" customFormat="1" ht="53.25" hidden="1" customHeight="1">
      <c r="B60" s="415"/>
      <c r="C60" s="283"/>
      <c r="D60" s="377"/>
      <c r="E60" s="378"/>
      <c r="F60" s="379"/>
      <c r="G60" s="303"/>
      <c r="H60" s="320"/>
      <c r="I60" s="322"/>
      <c r="J60" s="281"/>
      <c r="K60" s="286"/>
      <c r="L60" s="314"/>
      <c r="M60" s="419"/>
      <c r="N60" s="13"/>
      <c r="O60" s="13"/>
      <c r="P60" s="50"/>
      <c r="R60" s="275"/>
      <c r="S60" s="275"/>
      <c r="T60" s="275"/>
      <c r="U60" s="275"/>
      <c r="V60" s="275"/>
      <c r="W60" s="275"/>
      <c r="X60" s="275"/>
      <c r="Y60" s="275"/>
      <c r="Z60" s="275"/>
      <c r="AA60" s="275"/>
      <c r="AB60" s="57" t="e">
        <f>[20]January_2019!L7</f>
        <v>#REF!</v>
      </c>
      <c r="AC60" s="57" t="e">
        <f>[20]January_2019!M7</f>
        <v>#REF!</v>
      </c>
      <c r="AD60" s="57" t="e">
        <f>[20]January_2019!N7</f>
        <v>#REF!</v>
      </c>
      <c r="AE60" s="57" t="e">
        <f>[20]January_2019!O7</f>
        <v>#REF!</v>
      </c>
      <c r="AF60" s="57" t="e">
        <f>[20]January_2019!P7</f>
        <v>#REF!</v>
      </c>
      <c r="AG60" s="57" t="e">
        <f>[20]January_2019!Q7</f>
        <v>#REF!</v>
      </c>
      <c r="AH60" s="57" t="e">
        <f>[20]January_2019!R7</f>
        <v>#REF!</v>
      </c>
      <c r="AI60" s="57" t="e">
        <f>[20]January_2019!S7</f>
        <v>#REF!</v>
      </c>
      <c r="AJ60" s="57" t="e">
        <f>[20]January_2019!T7</f>
        <v>#REF!</v>
      </c>
      <c r="AK60" s="57" t="e">
        <f>[20]January_2019!U7</f>
        <v>#REF!</v>
      </c>
      <c r="AL60" s="57" t="e">
        <f>[20]January_2019!V7</f>
        <v>#REF!</v>
      </c>
      <c r="AM60" s="57" t="e">
        <f>[20]January_2019!W7</f>
        <v>#REF!</v>
      </c>
      <c r="AN60" s="57" t="e">
        <f>[20]January_2019!X7</f>
        <v>#REF!</v>
      </c>
      <c r="AO60" s="57" t="e">
        <f>[20]January_2019!Y7</f>
        <v>#REF!</v>
      </c>
      <c r="AP60" s="57" t="e">
        <f>[20]January_2019!Z7</f>
        <v>#REF!</v>
      </c>
      <c r="AQ60" s="57" t="e">
        <f>[20]January_2019!AA7</f>
        <v>#REF!</v>
      </c>
      <c r="AR60" s="57" t="e">
        <f>[20]January_2019!AB7</f>
        <v>#REF!</v>
      </c>
      <c r="AS60" s="57" t="e">
        <f>[20]January_2019!AC7</f>
        <v>#REF!</v>
      </c>
      <c r="AT60" s="57" t="e">
        <f>[20]January_2019!AD7</f>
        <v>#REF!</v>
      </c>
      <c r="AU60" s="57" t="e">
        <f>[20]January_2019!AE7</f>
        <v>#REF!</v>
      </c>
      <c r="AV60" s="57" t="e">
        <f>[20]January_2019!AF7</f>
        <v>#REF!</v>
      </c>
      <c r="AW60" s="57" t="e">
        <f>[20]January_2019!AG7</f>
        <v>#REF!</v>
      </c>
      <c r="AX60" s="277" t="e">
        <f>[20]January_2019!AH7</f>
        <v>#REF!</v>
      </c>
      <c r="AY60" s="277"/>
      <c r="AZ60" s="277"/>
      <c r="BA60" s="277"/>
      <c r="BB60" s="277"/>
      <c r="BC60" s="277"/>
      <c r="BD60" s="277"/>
      <c r="BE60" s="277"/>
    </row>
    <row r="61" spans="2:57" s="54" customFormat="1" ht="16.5" hidden="1" customHeight="1">
      <c r="B61" s="431"/>
      <c r="C61" s="283"/>
      <c r="D61" s="377"/>
      <c r="E61" s="378"/>
      <c r="F61" s="379"/>
      <c r="G61" s="303"/>
      <c r="H61" s="320"/>
      <c r="I61" s="322"/>
      <c r="J61" s="281"/>
      <c r="K61" s="286"/>
      <c r="L61" s="314"/>
      <c r="M61" s="419"/>
      <c r="N61" s="13"/>
      <c r="O61" s="13"/>
      <c r="P61" s="50"/>
      <c r="R61" s="275"/>
      <c r="S61" s="275"/>
      <c r="T61" s="275"/>
      <c r="U61" s="275"/>
      <c r="V61" s="275"/>
      <c r="W61" s="275"/>
      <c r="X61" s="275"/>
      <c r="Y61" s="275"/>
      <c r="Z61" s="275"/>
      <c r="AA61" s="275"/>
      <c r="AB61" s="418"/>
      <c r="AC61" s="418"/>
      <c r="AD61" s="418"/>
      <c r="AE61" s="418"/>
      <c r="AF61" s="418"/>
      <c r="AG61" s="418"/>
      <c r="AH61" s="418"/>
      <c r="AI61" s="418"/>
      <c r="AJ61" s="418"/>
      <c r="AK61" s="418"/>
      <c r="AL61" s="418"/>
      <c r="AM61" s="418"/>
      <c r="AN61" s="418"/>
      <c r="AO61" s="418"/>
      <c r="AP61" s="418"/>
      <c r="AQ61" s="418"/>
      <c r="AR61" s="418"/>
      <c r="AS61" s="418"/>
      <c r="AT61" s="418"/>
      <c r="AU61" s="418"/>
      <c r="AV61" s="418"/>
      <c r="AW61" s="418"/>
    </row>
    <row r="62" spans="2:57" ht="18" customHeight="1" thickBot="1">
      <c r="B62" s="59"/>
      <c r="C62" s="309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6"/>
      <c r="P62" s="60"/>
    </row>
    <row r="63" spans="2:57" ht="14.4" thickBot="1">
      <c r="B63" s="441" t="s">
        <v>55</v>
      </c>
      <c r="C63" s="442"/>
      <c r="D63" s="442"/>
      <c r="E63" s="442"/>
      <c r="F63" s="443"/>
      <c r="G63" s="441" t="s">
        <v>56</v>
      </c>
      <c r="H63" s="442"/>
      <c r="I63" s="442"/>
      <c r="J63" s="443"/>
      <c r="K63" s="441" t="s">
        <v>51</v>
      </c>
      <c r="L63" s="442"/>
      <c r="M63" s="442"/>
      <c r="N63" s="444"/>
      <c r="O63" s="56"/>
      <c r="P63" s="50"/>
    </row>
    <row r="64" spans="2:57">
      <c r="B64" s="61" t="s">
        <v>17</v>
      </c>
      <c r="C64" s="62" t="s">
        <v>36</v>
      </c>
      <c r="D64" s="62" t="s">
        <v>37</v>
      </c>
      <c r="E64" s="62" t="s">
        <v>38</v>
      </c>
      <c r="F64" s="63" t="s">
        <v>39</v>
      </c>
      <c r="G64" s="62" t="s">
        <v>36</v>
      </c>
      <c r="H64" s="62" t="s">
        <v>37</v>
      </c>
      <c r="I64" s="62" t="s">
        <v>38</v>
      </c>
      <c r="J64" s="63" t="s">
        <v>39</v>
      </c>
      <c r="K64" s="62" t="s">
        <v>36</v>
      </c>
      <c r="L64" s="62" t="s">
        <v>37</v>
      </c>
      <c r="M64" s="62" t="s">
        <v>38</v>
      </c>
      <c r="N64" s="63" t="s">
        <v>39</v>
      </c>
      <c r="O64" s="56"/>
      <c r="P64" s="64"/>
    </row>
    <row r="65" spans="2:16">
      <c r="B65" s="29" t="s">
        <v>6</v>
      </c>
      <c r="C65" s="65">
        <f>L58</f>
        <v>5.6523863821469185</v>
      </c>
      <c r="D65" s="76">
        <v>5.4917187865603632</v>
      </c>
      <c r="E65" s="76">
        <v>6.7040148185045947</v>
      </c>
      <c r="F65" s="66">
        <v>4.8</v>
      </c>
      <c r="G65" s="65">
        <f>[33]May_2025!$AD$11</f>
        <v>4.6672305773018667</v>
      </c>
      <c r="H65" s="76">
        <v>5.32996660693754</v>
      </c>
      <c r="I65" s="76">
        <v>6.8504060270553824</v>
      </c>
      <c r="J65" s="66">
        <v>4.8</v>
      </c>
      <c r="K65" s="67">
        <f>K58</f>
        <v>1.0161403508771931</v>
      </c>
      <c r="L65" s="194">
        <v>0.6937163742690059</v>
      </c>
      <c r="M65" s="194">
        <v>0.74916923598409024</v>
      </c>
      <c r="N65" s="68">
        <v>1</v>
      </c>
      <c r="O65" s="56"/>
      <c r="P65" s="69"/>
    </row>
    <row r="66" spans="2:16">
      <c r="B66" s="33" t="s">
        <v>9</v>
      </c>
      <c r="C66" s="65"/>
      <c r="D66" s="76">
        <v>5.0439852168028887</v>
      </c>
      <c r="E66" s="76">
        <v>6.343300060697989</v>
      </c>
      <c r="F66" s="66">
        <v>4.8</v>
      </c>
      <c r="G66" s="65"/>
      <c r="H66" s="76">
        <v>4.5460784546516297</v>
      </c>
      <c r="I66" s="76">
        <v>6.2115415897577293</v>
      </c>
      <c r="J66" s="66">
        <v>4.8</v>
      </c>
      <c r="K66" s="67"/>
      <c r="L66" s="194">
        <v>0.68937621832358675</v>
      </c>
      <c r="M66" s="194">
        <v>0.74681676042233403</v>
      </c>
      <c r="N66" s="68">
        <v>1</v>
      </c>
      <c r="P66" s="69"/>
    </row>
    <row r="67" spans="2:16">
      <c r="B67" s="34" t="s">
        <v>40</v>
      </c>
      <c r="C67" s="65"/>
      <c r="D67" s="76">
        <v>11.315547378104874</v>
      </c>
      <c r="E67" s="76">
        <v>11.904402895054256</v>
      </c>
      <c r="F67" s="66">
        <v>5.5</v>
      </c>
      <c r="G67" s="65"/>
      <c r="H67" s="76">
        <v>11.326481625576006</v>
      </c>
      <c r="I67" s="76">
        <v>13.27623252148428</v>
      </c>
      <c r="J67" s="66">
        <v>5.5</v>
      </c>
      <c r="K67" s="67"/>
      <c r="L67" s="194">
        <v>0.67649122807017548</v>
      </c>
      <c r="M67" s="194">
        <v>0.55663694898464589</v>
      </c>
      <c r="N67" s="68">
        <v>1</v>
      </c>
      <c r="P67" s="69"/>
    </row>
    <row r="68" spans="2:16">
      <c r="B68" s="22" t="s">
        <v>33</v>
      </c>
      <c r="C68" s="65"/>
      <c r="D68" s="76">
        <v>3.4057735971456373</v>
      </c>
      <c r="E68" s="76">
        <v>3.6905871388630067</v>
      </c>
      <c r="F68" s="66">
        <v>3.3</v>
      </c>
      <c r="G68" s="65"/>
      <c r="H68" s="76">
        <v>2.1612156300633463</v>
      </c>
      <c r="I68" s="76">
        <v>4.4964752224031521</v>
      </c>
      <c r="J68" s="66">
        <v>3.3</v>
      </c>
      <c r="K68" s="67"/>
      <c r="L68" s="194">
        <v>1.0449122807017543</v>
      </c>
      <c r="M68" s="194">
        <v>0.90649122807017535</v>
      </c>
      <c r="N68" s="68">
        <v>1</v>
      </c>
      <c r="P68" s="69"/>
    </row>
    <row r="69" spans="2:16">
      <c r="B69" s="35" t="s">
        <v>29</v>
      </c>
      <c r="C69" s="65"/>
      <c r="D69" s="76"/>
      <c r="E69" s="76"/>
      <c r="F69" s="66">
        <v>3.3</v>
      </c>
      <c r="G69" s="282"/>
      <c r="H69" s="76"/>
      <c r="I69" s="76"/>
      <c r="J69" s="66">
        <v>3</v>
      </c>
      <c r="L69" s="194"/>
      <c r="M69" s="194"/>
      <c r="N69" s="68">
        <v>1</v>
      </c>
      <c r="P69" s="69"/>
    </row>
    <row r="70" spans="2:16">
      <c r="B70" s="36" t="s">
        <v>15</v>
      </c>
      <c r="C70" s="282"/>
      <c r="D70" s="76"/>
      <c r="E70" s="76">
        <v>7.8262258425171876</v>
      </c>
      <c r="F70" s="70">
        <f>[21]May_2022!$M$43</f>
        <v>3.4878406700073312</v>
      </c>
      <c r="G70" s="282"/>
      <c r="H70" s="76"/>
      <c r="I70" s="76">
        <v>9.4300678869947632</v>
      </c>
      <c r="J70" s="66">
        <v>5.5</v>
      </c>
      <c r="K70" s="67"/>
      <c r="L70" s="194"/>
      <c r="M70" s="194">
        <v>0.674970760233918</v>
      </c>
      <c r="N70" s="68">
        <v>1</v>
      </c>
      <c r="P70" s="69"/>
    </row>
    <row r="71" spans="2:16">
      <c r="B71" s="37" t="s">
        <v>16</v>
      </c>
      <c r="C71" s="65"/>
      <c r="D71" s="76">
        <v>3.8832609744331941</v>
      </c>
      <c r="E71" s="76">
        <v>2.6202625996215709</v>
      </c>
      <c r="F71" s="66">
        <v>3.3</v>
      </c>
      <c r="G71" s="282"/>
      <c r="H71" s="76">
        <v>4.1755914731086534</v>
      </c>
      <c r="I71" s="76">
        <v>4.4843055604984379</v>
      </c>
      <c r="J71" s="66">
        <v>3.3</v>
      </c>
      <c r="K71" s="67"/>
      <c r="L71" s="194">
        <v>0.69912280701754381</v>
      </c>
      <c r="M71" s="194">
        <v>0.79924705882352942</v>
      </c>
      <c r="N71" s="71">
        <v>1</v>
      </c>
      <c r="P71" s="69"/>
    </row>
    <row r="72" spans="2:16" ht="14.4" thickBot="1">
      <c r="B72" s="38" t="s">
        <v>127</v>
      </c>
      <c r="C72" s="65"/>
      <c r="D72" s="76"/>
      <c r="E72" s="76"/>
      <c r="F72" s="66">
        <v>7.5</v>
      </c>
      <c r="G72" s="282"/>
      <c r="H72" s="76"/>
      <c r="I72" s="76"/>
      <c r="J72" s="66">
        <v>7.5</v>
      </c>
      <c r="K72" s="67"/>
      <c r="L72" s="194"/>
      <c r="M72" s="194"/>
      <c r="N72" s="71">
        <v>1</v>
      </c>
      <c r="P72" s="69"/>
    </row>
    <row r="73" spans="2:16" ht="14.4" thickBot="1">
      <c r="B73" s="417" t="s">
        <v>161</v>
      </c>
      <c r="C73" s="65"/>
      <c r="D73" s="76"/>
      <c r="E73" s="76">
        <v>4.8792508624938291</v>
      </c>
      <c r="F73" s="66">
        <v>4.8</v>
      </c>
      <c r="G73" s="282"/>
      <c r="H73" s="76"/>
      <c r="I73" s="76">
        <v>6.2003723782925313</v>
      </c>
      <c r="J73" s="66">
        <v>4.8</v>
      </c>
      <c r="K73" s="67"/>
      <c r="L73" s="194">
        <v>0</v>
      </c>
      <c r="M73" s="194">
        <v>0.33859649122807017</v>
      </c>
      <c r="N73" s="71">
        <v>1</v>
      </c>
      <c r="O73" s="74"/>
      <c r="P73" s="75"/>
    </row>
    <row r="74" spans="2:16">
      <c r="D74" s="76">
        <v>5.1479786016554518</v>
      </c>
      <c r="E74" s="76">
        <v>6.6653835170126046</v>
      </c>
      <c r="F74" s="341">
        <v>5.5</v>
      </c>
      <c r="H74" s="76">
        <v>5.0977469948443961</v>
      </c>
      <c r="I74" s="76">
        <v>7.1187525056164143</v>
      </c>
      <c r="J74" s="341">
        <v>5.5</v>
      </c>
      <c r="K74" s="67"/>
      <c r="L74" s="194">
        <v>0.71323185414516688</v>
      </c>
      <c r="M74" s="194">
        <v>0.73553917471297492</v>
      </c>
      <c r="N74" s="386">
        <v>1</v>
      </c>
    </row>
    <row r="78" spans="2:16">
      <c r="F78" s="315"/>
    </row>
  </sheetData>
  <mergeCells count="51">
    <mergeCell ref="M56:M57"/>
    <mergeCell ref="B63:F63"/>
    <mergeCell ref="G63:J63"/>
    <mergeCell ref="K63:N63"/>
    <mergeCell ref="G56:G57"/>
    <mergeCell ref="H56:H57"/>
    <mergeCell ref="I56:I57"/>
    <mergeCell ref="J56:J57"/>
    <mergeCell ref="K56:K57"/>
    <mergeCell ref="L56:L57"/>
    <mergeCell ref="F56:F57"/>
    <mergeCell ref="D51:E51"/>
    <mergeCell ref="B56:B57"/>
    <mergeCell ref="C56:C57"/>
    <mergeCell ref="D56:D57"/>
    <mergeCell ref="E56:E57"/>
    <mergeCell ref="B41:B50"/>
    <mergeCell ref="D41:E42"/>
    <mergeCell ref="J41:K41"/>
    <mergeCell ref="L42:N42"/>
    <mergeCell ref="D43:E44"/>
    <mergeCell ref="D45:E46"/>
    <mergeCell ref="D47:E48"/>
    <mergeCell ref="D49:E50"/>
    <mergeCell ref="I27:N27"/>
    <mergeCell ref="D28:E28"/>
    <mergeCell ref="B29:B40"/>
    <mergeCell ref="D29:E30"/>
    <mergeCell ref="D31:E32"/>
    <mergeCell ref="D33:E34"/>
    <mergeCell ref="D35:E36"/>
    <mergeCell ref="D37:E38"/>
    <mergeCell ref="D39:E40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51:B52">
    <cfRule type="cellIs" dxfId="359" priority="108" operator="notBetween">
      <formula>#REF!</formula>
      <formula>#REF!</formula>
    </cfRule>
  </conditionalFormatting>
  <conditionalFormatting sqref="C55">
    <cfRule type="cellIs" dxfId="358" priority="139" stopIfTrue="1" operator="lessThan">
      <formula>96</formula>
    </cfRule>
    <cfRule type="cellIs" dxfId="357" priority="140" stopIfTrue="1" operator="greaterThan">
      <formula>100</formula>
    </cfRule>
  </conditionalFormatting>
  <conditionalFormatting sqref="C65:C66">
    <cfRule type="cellIs" dxfId="356" priority="84" stopIfTrue="1" operator="lessThanOrEqual">
      <formula>0</formula>
    </cfRule>
  </conditionalFormatting>
  <conditionalFormatting sqref="C65:C69">
    <cfRule type="cellIs" dxfId="355" priority="83" stopIfTrue="1" operator="greaterThan">
      <formula>$F65</formula>
    </cfRule>
  </conditionalFormatting>
  <conditionalFormatting sqref="C66">
    <cfRule type="cellIs" dxfId="354" priority="143" stopIfTrue="1" operator="greaterThan">
      <formula>$F65</formula>
    </cfRule>
  </conditionalFormatting>
  <conditionalFormatting sqref="C67:C70">
    <cfRule type="cellIs" dxfId="353" priority="92" stopIfTrue="1" operator="lessThanOrEqual">
      <formula>0</formula>
    </cfRule>
  </conditionalFormatting>
  <conditionalFormatting sqref="C70">
    <cfRule type="cellIs" dxfId="352" priority="91" stopIfTrue="1" operator="greaterThan">
      <formula>$J70</formula>
    </cfRule>
  </conditionalFormatting>
  <conditionalFormatting sqref="C76:C80">
    <cfRule type="cellIs" dxfId="351" priority="131" stopIfTrue="1" operator="lessThanOrEqual">
      <formula>0</formula>
    </cfRule>
  </conditionalFormatting>
  <conditionalFormatting sqref="C77:C80">
    <cfRule type="cellIs" dxfId="350" priority="130" stopIfTrue="1" operator="greaterThan">
      <formula>$F$76</formula>
    </cfRule>
  </conditionalFormatting>
  <conditionalFormatting sqref="C82">
    <cfRule type="cellIs" dxfId="349" priority="133" stopIfTrue="1" operator="lessThanOrEqual">
      <formula>0</formula>
    </cfRule>
    <cfRule type="cellIs" dxfId="348" priority="132" stopIfTrue="1" operator="greaterThan">
      <formula>$F$76</formula>
    </cfRule>
  </conditionalFormatting>
  <conditionalFormatting sqref="C76:D76 D78:D84">
    <cfRule type="cellIs" dxfId="347" priority="125" stopIfTrue="1" operator="greaterThan">
      <formula>4.5</formula>
    </cfRule>
  </conditionalFormatting>
  <conditionalFormatting sqref="D51:D52">
    <cfRule type="cellIs" dxfId="346" priority="109" operator="notBetween">
      <formula>#REF!</formula>
      <formula>#REF!</formula>
    </cfRule>
  </conditionalFormatting>
  <conditionalFormatting sqref="D65:D72">
    <cfRule type="cellIs" dxfId="345" priority="102" stopIfTrue="1" operator="lessThanOrEqual">
      <formula>0</formula>
    </cfRule>
  </conditionalFormatting>
  <conditionalFormatting sqref="D73">
    <cfRule type="cellIs" dxfId="344" priority="101" stopIfTrue="1" operator="lessThanOrEqual">
      <formula>0</formula>
    </cfRule>
  </conditionalFormatting>
  <conditionalFormatting sqref="D76 D78:D84">
    <cfRule type="cellIs" dxfId="343" priority="126" stopIfTrue="1" operator="lessThanOrEqual">
      <formula>0</formula>
    </cfRule>
  </conditionalFormatting>
  <conditionalFormatting sqref="D77">
    <cfRule type="cellIs" dxfId="342" priority="118" stopIfTrue="1" operator="lessThanOrEqual">
      <formula>0</formula>
    </cfRule>
    <cfRule type="cellIs" dxfId="341" priority="117" stopIfTrue="1" operator="greaterThan">
      <formula>$F$76</formula>
    </cfRule>
  </conditionalFormatting>
  <conditionalFormatting sqref="D65:E74">
    <cfRule type="cellIs" dxfId="340" priority="80" stopIfTrue="1" operator="greaterThan">
      <formula>$F65</formula>
    </cfRule>
  </conditionalFormatting>
  <conditionalFormatting sqref="D74:E74">
    <cfRule type="cellIs" dxfId="339" priority="81" stopIfTrue="1" operator="lessThanOrEqual">
      <formula>0</formula>
    </cfRule>
  </conditionalFormatting>
  <conditionalFormatting sqref="E10:E26">
    <cfRule type="cellIs" dxfId="338" priority="4" operator="lessThan">
      <formula>48</formula>
    </cfRule>
  </conditionalFormatting>
  <conditionalFormatting sqref="E54 E55:F55">
    <cfRule type="cellIs" dxfId="337" priority="122" stopIfTrue="1" operator="greaterThan">
      <formula>100</formula>
    </cfRule>
  </conditionalFormatting>
  <conditionalFormatting sqref="E55">
    <cfRule type="cellIs" dxfId="336" priority="120" stopIfTrue="1" operator="greaterThan">
      <formula>100</formula>
    </cfRule>
    <cfRule type="cellIs" dxfId="335" priority="119" stopIfTrue="1" operator="lessThan">
      <formula>96.8</formula>
    </cfRule>
  </conditionalFormatting>
  <conditionalFormatting sqref="E65:E73">
    <cfRule type="cellIs" dxfId="334" priority="96" stopIfTrue="1" operator="lessThanOrEqual">
      <formula>0</formula>
    </cfRule>
  </conditionalFormatting>
  <conditionalFormatting sqref="E76:E84">
    <cfRule type="cellIs" dxfId="333" priority="111" stopIfTrue="1" operator="greaterThan">
      <formula>4.5</formula>
    </cfRule>
    <cfRule type="cellIs" dxfId="332" priority="112" stopIfTrue="1" operator="lessThanOrEqual">
      <formula>0</formula>
    </cfRule>
  </conditionalFormatting>
  <conditionalFormatting sqref="E55:F55 E54">
    <cfRule type="cellIs" dxfId="331" priority="121" stopIfTrue="1" operator="lessThan">
      <formula>96.5</formula>
    </cfRule>
  </conditionalFormatting>
  <conditionalFormatting sqref="F10:F26">
    <cfRule type="cellIs" dxfId="330" priority="5" operator="greaterThan">
      <formula>60</formula>
    </cfRule>
  </conditionalFormatting>
  <conditionalFormatting sqref="F55">
    <cfRule type="cellIs" dxfId="329" priority="138" stopIfTrue="1" operator="greaterThan">
      <formula>100</formula>
    </cfRule>
    <cfRule type="cellIs" dxfId="328" priority="137" stopIfTrue="1" operator="lessThan">
      <formula>96.8</formula>
    </cfRule>
  </conditionalFormatting>
  <conditionalFormatting sqref="F74">
    <cfRule type="cellIs" dxfId="327" priority="98" stopIfTrue="1" operator="lessThanOrEqual">
      <formula>0</formula>
    </cfRule>
    <cfRule type="cellIs" dxfId="326" priority="97" stopIfTrue="1" operator="greaterThan">
      <formula>$F74</formula>
    </cfRule>
  </conditionalFormatting>
  <conditionalFormatting sqref="G10:G16">
    <cfRule type="expression" dxfId="325" priority="21">
      <formula>IF(+(IF(G10&lt;$S$10,0,IF(G10&gt;$T$10,0,1)))=0,1)</formula>
    </cfRule>
  </conditionalFormatting>
  <conditionalFormatting sqref="G22">
    <cfRule type="expression" dxfId="324" priority="48">
      <formula>IF(+(IF(G22&lt;S22,0,IF(G22&gt;T22,0,1)))=0,1)</formula>
    </cfRule>
  </conditionalFormatting>
  <conditionalFormatting sqref="G65:G66 C71:C73">
    <cfRule type="cellIs" dxfId="323" priority="104" stopIfTrue="1" operator="lessThanOrEqual">
      <formula>0</formula>
    </cfRule>
    <cfRule type="cellIs" dxfId="322" priority="103" stopIfTrue="1" operator="greaterThan">
      <formula>$F65</formula>
    </cfRule>
  </conditionalFormatting>
  <conditionalFormatting sqref="G65:G66">
    <cfRule type="cellIs" dxfId="321" priority="85" stopIfTrue="1" operator="greaterThan">
      <formula>$F65</formula>
    </cfRule>
    <cfRule type="cellIs" dxfId="320" priority="86" stopIfTrue="1" operator="lessThanOrEqual">
      <formula>0</formula>
    </cfRule>
  </conditionalFormatting>
  <conditionalFormatting sqref="G67">
    <cfRule type="cellIs" dxfId="319" priority="141" stopIfTrue="1" operator="greaterThan">
      <formula>$F66</formula>
    </cfRule>
    <cfRule type="cellIs" dxfId="318" priority="142" stopIfTrue="1" operator="lessThanOrEqual">
      <formula>0</formula>
    </cfRule>
  </conditionalFormatting>
  <conditionalFormatting sqref="G68">
    <cfRule type="cellIs" dxfId="317" priority="100" stopIfTrue="1" operator="lessThanOrEqual">
      <formula>0</formula>
    </cfRule>
    <cfRule type="cellIs" dxfId="316" priority="99" stopIfTrue="1" operator="greaterThan">
      <formula>$F68</formula>
    </cfRule>
  </conditionalFormatting>
  <conditionalFormatting sqref="G69:G73">
    <cfRule type="cellIs" dxfId="315" priority="106" stopIfTrue="1" operator="lessThanOrEqual">
      <formula>0</formula>
    </cfRule>
    <cfRule type="cellIs" dxfId="314" priority="105" stopIfTrue="1" operator="greaterThan">
      <formula>$J69</formula>
    </cfRule>
  </conditionalFormatting>
  <conditionalFormatting sqref="G78:G83 C81 C83">
    <cfRule type="cellIs" dxfId="313" priority="135" stopIfTrue="1" operator="lessThanOrEqual">
      <formula>0</formula>
    </cfRule>
    <cfRule type="cellIs" dxfId="312" priority="134" stopIfTrue="1" operator="greaterThan">
      <formula>4.5</formula>
    </cfRule>
  </conditionalFormatting>
  <conditionalFormatting sqref="G17:H21">
    <cfRule type="expression" dxfId="311" priority="6">
      <formula>IF(+(IF(G17&lt;#REF!,0,IF(G17&gt;#REF!,0,1)))=0,1)</formula>
    </cfRule>
  </conditionalFormatting>
  <conditionalFormatting sqref="G77:H77">
    <cfRule type="cellIs" dxfId="310" priority="115" stopIfTrue="1" operator="greaterThan">
      <formula>$F$76</formula>
    </cfRule>
    <cfRule type="cellIs" dxfId="309" priority="116" stopIfTrue="1" operator="lessThanOrEqual">
      <formula>0</formula>
    </cfRule>
  </conditionalFormatting>
  <conditionalFormatting sqref="H10:H16">
    <cfRule type="expression" dxfId="308" priority="23">
      <formula>IF(+(IF(H10&lt;#REF!,0,IF(H10&gt;#REF!,0,1)))=0,1)</formula>
    </cfRule>
  </conditionalFormatting>
  <conditionalFormatting sqref="H22 G23:H26">
    <cfRule type="expression" dxfId="307" priority="49">
      <formula>IF(+(IF(G22&lt;#REF!,0,IF(G22&gt;#REF!,0,1)))=0,1)</formula>
    </cfRule>
  </conditionalFormatting>
  <conditionalFormatting sqref="H40:H54 I42:I53">
    <cfRule type="cellIs" dxfId="306" priority="113" stopIfTrue="1" operator="greaterThan">
      <formula>0</formula>
    </cfRule>
  </conditionalFormatting>
  <conditionalFormatting sqref="H58">
    <cfRule type="cellIs" dxfId="305" priority="37" stopIfTrue="1" operator="lessThanOrEqual">
      <formula>0</formula>
    </cfRule>
    <cfRule type="cellIs" dxfId="304" priority="36" stopIfTrue="1" operator="greaterThan">
      <formula>$F$33</formula>
    </cfRule>
    <cfRule type="cellIs" dxfId="303" priority="35" stopIfTrue="1" operator="lessThanOrEqual">
      <formula>0</formula>
    </cfRule>
    <cfRule type="cellIs" dxfId="302" priority="34" stopIfTrue="1" operator="greaterThan">
      <formula>$F$35</formula>
    </cfRule>
    <cfRule type="cellIs" dxfId="301" priority="26" stopIfTrue="1" operator="greaterThan">
      <formula>$F$32</formula>
    </cfRule>
    <cfRule type="cellIs" dxfId="300" priority="25" stopIfTrue="1" operator="lessThanOrEqual">
      <formula>0</formula>
    </cfRule>
  </conditionalFormatting>
  <conditionalFormatting sqref="H59:H61">
    <cfRule type="cellIs" dxfId="299" priority="63" stopIfTrue="1" operator="lessThanOrEqual">
      <formula>0</formula>
    </cfRule>
    <cfRule type="cellIs" dxfId="298" priority="65" stopIfTrue="1" operator="lessThanOrEqual">
      <formula>0</formula>
    </cfRule>
    <cfRule type="cellIs" dxfId="297" priority="64" stopIfTrue="1" operator="greaterThan">
      <formula>$F$40</formula>
    </cfRule>
    <cfRule type="cellIs" dxfId="296" priority="53" stopIfTrue="1" operator="lessThanOrEqual">
      <formula>0</formula>
    </cfRule>
    <cfRule type="cellIs" dxfId="295" priority="54" stopIfTrue="1" operator="greaterThan">
      <formula>$F$39</formula>
    </cfRule>
    <cfRule type="cellIs" dxfId="294" priority="62" stopIfTrue="1" operator="greaterThan">
      <formula>$F$42</formula>
    </cfRule>
  </conditionalFormatting>
  <conditionalFormatting sqref="H65:H72">
    <cfRule type="cellIs" dxfId="293" priority="90" stopIfTrue="1" operator="lessThanOrEqual">
      <formula>0</formula>
    </cfRule>
    <cfRule type="cellIs" dxfId="292" priority="89" stopIfTrue="1" operator="greaterThan">
      <formula>$J65</formula>
    </cfRule>
  </conditionalFormatting>
  <conditionalFormatting sqref="H73">
    <cfRule type="cellIs" dxfId="291" priority="93" operator="greaterThan">
      <formula>5.3</formula>
    </cfRule>
  </conditionalFormatting>
  <conditionalFormatting sqref="H76 H78:H84">
    <cfRule type="cellIs" dxfId="290" priority="127" stopIfTrue="1" operator="greaterThan">
      <formula>4.5</formula>
    </cfRule>
    <cfRule type="cellIs" dxfId="289" priority="128" stopIfTrue="1" operator="lessThanOrEqual">
      <formula>0</formula>
    </cfRule>
  </conditionalFormatting>
  <conditionalFormatting sqref="H58:I58">
    <cfRule type="cellIs" dxfId="288" priority="27" stopIfTrue="1" operator="lessThanOrEqual">
      <formula>0</formula>
    </cfRule>
    <cfRule type="cellIs" dxfId="287" priority="24" stopIfTrue="1" operator="greaterThan">
      <formula>$F$34</formula>
    </cfRule>
  </conditionalFormatting>
  <conditionalFormatting sqref="H59:I61">
    <cfRule type="cellIs" dxfId="286" priority="55" stopIfTrue="1" operator="lessThanOrEqual">
      <formula>0</formula>
    </cfRule>
    <cfRule type="cellIs" dxfId="285" priority="52" stopIfTrue="1" operator="greaterThan">
      <formula>$F$41</formula>
    </cfRule>
  </conditionalFormatting>
  <conditionalFormatting sqref="H74:I74">
    <cfRule type="cellIs" dxfId="284" priority="78" stopIfTrue="1" operator="greaterThan">
      <formula>$J74</formula>
    </cfRule>
    <cfRule type="cellIs" dxfId="283" priority="79" stopIfTrue="1" operator="lessThanOrEqual">
      <formula>0</formula>
    </cfRule>
  </conditionalFormatting>
  <conditionalFormatting sqref="I58">
    <cfRule type="cellIs" dxfId="282" priority="28" stopIfTrue="1" operator="greaterThan">
      <formula>$F$32</formula>
    </cfRule>
    <cfRule type="cellIs" dxfId="281" priority="30" stopIfTrue="1" operator="greaterThan">
      <formula>$F$34</formula>
    </cfRule>
    <cfRule type="cellIs" dxfId="280" priority="31" stopIfTrue="1" operator="lessThanOrEqual">
      <formula>0</formula>
    </cfRule>
    <cfRule type="cellIs" dxfId="279" priority="33" stopIfTrue="1" operator="lessThanOrEqual">
      <formula>0</formula>
    </cfRule>
    <cfRule type="cellIs" dxfId="278" priority="32" stopIfTrue="1" operator="greaterThan">
      <formula>$F$32</formula>
    </cfRule>
    <cfRule type="cellIs" dxfId="277" priority="29" stopIfTrue="1" operator="lessThanOrEqual">
      <formula>0</formula>
    </cfRule>
  </conditionalFormatting>
  <conditionalFormatting sqref="I59:I61">
    <cfRule type="cellIs" dxfId="276" priority="57" stopIfTrue="1" operator="lessThanOrEqual">
      <formula>0</formula>
    </cfRule>
    <cfRule type="cellIs" dxfId="275" priority="58" stopIfTrue="1" operator="greaterThan">
      <formula>$F$41</formula>
    </cfRule>
    <cfRule type="cellIs" dxfId="274" priority="56" stopIfTrue="1" operator="greaterThan">
      <formula>$F$39</formula>
    </cfRule>
    <cfRule type="cellIs" dxfId="273" priority="61" stopIfTrue="1" operator="lessThanOrEqual">
      <formula>0</formula>
    </cfRule>
    <cfRule type="cellIs" dxfId="272" priority="60" stopIfTrue="1" operator="greaterThan">
      <formula>$F$39</formula>
    </cfRule>
    <cfRule type="cellIs" dxfId="271" priority="59" stopIfTrue="1" operator="lessThanOrEqual">
      <formula>0</formula>
    </cfRule>
  </conditionalFormatting>
  <conditionalFormatting sqref="I65:I73">
    <cfRule type="cellIs" dxfId="270" priority="95" stopIfTrue="1" operator="lessThanOrEqual">
      <formula>0</formula>
    </cfRule>
    <cfRule type="cellIs" dxfId="269" priority="94" stopIfTrue="1" operator="greaterThan">
      <formula>$J65</formula>
    </cfRule>
  </conditionalFormatting>
  <conditionalFormatting sqref="I76:I84">
    <cfRule type="cellIs" dxfId="268" priority="124" stopIfTrue="1" operator="lessThanOrEqual">
      <formula>0</formula>
    </cfRule>
    <cfRule type="cellIs" dxfId="267" priority="123" stopIfTrue="1" operator="greaterThan">
      <formula>4.5</formula>
    </cfRule>
  </conditionalFormatting>
  <conditionalFormatting sqref="I10:J26">
    <cfRule type="cellIs" dxfId="266" priority="11" operator="lessThan">
      <formula>97.9</formula>
    </cfRule>
  </conditionalFormatting>
  <conditionalFormatting sqref="J29:J31">
    <cfRule type="cellIs" dxfId="265" priority="70" operator="lessThan">
      <formula>98</formula>
    </cfRule>
    <cfRule type="cellIs" dxfId="264" priority="68" stopIfTrue="1" operator="lessThan">
      <formula>96.8</formula>
    </cfRule>
    <cfRule type="cellIs" dxfId="263" priority="69" stopIfTrue="1" operator="greaterThan">
      <formula>100</formula>
    </cfRule>
  </conditionalFormatting>
  <conditionalFormatting sqref="J29:J33">
    <cfRule type="cellIs" dxfId="262" priority="67" operator="lessThan">
      <formula>97.4</formula>
    </cfRule>
  </conditionalFormatting>
  <conditionalFormatting sqref="J34">
    <cfRule type="cellIs" dxfId="261" priority="71" operator="lessThan">
      <formula>98</formula>
    </cfRule>
  </conditionalFormatting>
  <conditionalFormatting sqref="J35:J37">
    <cfRule type="cellIs" dxfId="260" priority="72" stopIfTrue="1" operator="lessThan">
      <formula>96.8</formula>
    </cfRule>
    <cfRule type="cellIs" dxfId="259" priority="73" stopIfTrue="1" operator="greaterThan">
      <formula>100</formula>
    </cfRule>
  </conditionalFormatting>
  <conditionalFormatting sqref="J35:J38">
    <cfRule type="cellIs" dxfId="258" priority="74" operator="lessThan">
      <formula>98</formula>
    </cfRule>
  </conditionalFormatting>
  <conditionalFormatting sqref="J74">
    <cfRule type="cellIs" dxfId="257" priority="75" stopIfTrue="1" operator="greaterThan">
      <formula>$F74</formula>
    </cfRule>
    <cfRule type="cellIs" dxfId="256" priority="76" stopIfTrue="1" operator="lessThanOrEqual">
      <formula>0</formula>
    </cfRule>
  </conditionalFormatting>
  <conditionalFormatting sqref="K10:K26">
    <cfRule type="cellIs" dxfId="255" priority="10" operator="greaterThan">
      <formula>6.4</formula>
    </cfRule>
    <cfRule type="cellIs" dxfId="254" priority="9" operator="lessThan">
      <formula>4</formula>
    </cfRule>
    <cfRule type="cellIs" dxfId="253" priority="8" operator="greaterThan">
      <formula>6</formula>
    </cfRule>
  </conditionalFormatting>
  <conditionalFormatting sqref="K43:K52">
    <cfRule type="cellIs" dxfId="252" priority="66" operator="notEqual">
      <formula>#REF!</formula>
    </cfRule>
  </conditionalFormatting>
  <conditionalFormatting sqref="K58:K61">
    <cfRule type="cellIs" dxfId="251" priority="50" stopIfTrue="1" operator="lessThan">
      <formula>100%</formula>
    </cfRule>
  </conditionalFormatting>
  <conditionalFormatting sqref="K76:K81">
    <cfRule type="cellIs" dxfId="250" priority="129" stopIfTrue="1" operator="lessThan">
      <formula>100%</formula>
    </cfRule>
  </conditionalFormatting>
  <conditionalFormatting sqref="K83:K84">
    <cfRule type="cellIs" dxfId="249" priority="136" stopIfTrue="1" operator="lessThan">
      <formula>100%</formula>
    </cfRule>
  </conditionalFormatting>
  <conditionalFormatting sqref="K65:N68 L69:N69">
    <cfRule type="cellIs" dxfId="248" priority="107" stopIfTrue="1" operator="lessThan">
      <formula>100%</formula>
    </cfRule>
  </conditionalFormatting>
  <conditionalFormatting sqref="K70:N74">
    <cfRule type="cellIs" dxfId="247" priority="77" stopIfTrue="1" operator="lessThan">
      <formula>100%</formula>
    </cfRule>
  </conditionalFormatting>
  <conditionalFormatting sqref="L10:L16">
    <cfRule type="cellIs" dxfId="246" priority="19" operator="between">
      <formula>61</formula>
      <formula>65</formula>
    </cfRule>
    <cfRule type="cellIs" dxfId="245" priority="20" operator="greaterThan">
      <formula>65</formula>
    </cfRule>
  </conditionalFormatting>
  <conditionalFormatting sqref="L22:L26">
    <cfRule type="cellIs" dxfId="244" priority="44" operator="between">
      <formula>61</formula>
      <formula>65</formula>
    </cfRule>
    <cfRule type="cellIs" dxfId="243" priority="45" operator="greaterThan">
      <formula>65</formula>
    </cfRule>
  </conditionalFormatting>
  <conditionalFormatting sqref="L17:M21">
    <cfRule type="cellIs" dxfId="242" priority="1" operator="between">
      <formula>61</formula>
      <formula>65</formula>
    </cfRule>
    <cfRule type="cellIs" dxfId="241" priority="2" operator="greaterThan">
      <formula>65</formula>
    </cfRule>
  </conditionalFormatting>
  <conditionalFormatting sqref="L44:N44">
    <cfRule type="cellIs" dxfId="240" priority="51" operator="notEqual">
      <formula>#REF!</formula>
    </cfRule>
  </conditionalFormatting>
  <conditionalFormatting sqref="L76:N84">
    <cfRule type="cellIs" dxfId="239" priority="114" stopIfTrue="1" operator="lessThan">
      <formula>100%</formula>
    </cfRule>
  </conditionalFormatting>
  <conditionalFormatting sqref="M10:M26">
    <cfRule type="expression" dxfId="238" priority="7">
      <formula>IF(+(IF(M10&lt;U10,0,IF(M10&gt;V10,0,1)))=0,1)</formula>
    </cfRule>
  </conditionalFormatting>
  <conditionalFormatting sqref="M29 L30:M40">
    <cfRule type="cellIs" dxfId="237" priority="82" operator="lessThan">
      <formula>98</formula>
    </cfRule>
  </conditionalFormatting>
  <conditionalFormatting sqref="N10:N26">
    <cfRule type="expression" dxfId="236" priority="3">
      <formula>IF(+(IF(N10&lt;W10,0,IF(N10&gt;X10,0,1)))=0,1)</formula>
    </cfRule>
  </conditionalFormatting>
  <conditionalFormatting sqref="P6">
    <cfRule type="cellIs" dxfId="235" priority="110" operator="greaterThanOrEqual">
      <formula>19</formula>
    </cfRule>
  </conditionalFormatting>
  <dataValidations count="1">
    <dataValidation type="list" allowBlank="1" showInputMessage="1" showErrorMessage="1" sqref="R8" xr:uid="{F1E1C7DE-B8D3-4C20-BAE9-E71CBAA0DD9F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8" max="16383" man="1"/>
  </rowBreaks>
  <colBreaks count="1" manualBreakCount="1">
    <brk id="15" max="89" man="1"/>
  </col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A173-D4BE-40EA-BC45-C2A74A12D523}">
  <sheetPr codeName="Sheet24">
    <pageSetUpPr fitToPage="1"/>
  </sheetPr>
  <dimension ref="A1:BE70"/>
  <sheetViews>
    <sheetView topLeftCell="A34" zoomScale="70" zoomScaleNormal="70" workbookViewId="0">
      <selection activeCell="H21" sqref="H21"/>
    </sheetView>
  </sheetViews>
  <sheetFormatPr defaultColWidth="9.44140625" defaultRowHeight="13.8"/>
  <cols>
    <col min="1" max="1" width="3.33203125" style="275" customWidth="1"/>
    <col min="2" max="2" width="12.8867187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45806</v>
      </c>
      <c r="J4" s="399" t="s">
        <v>215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216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33" t="s">
        <v>9</v>
      </c>
      <c r="C10" s="366" t="str">
        <f>[23]Brewhouse!$A239</f>
        <v>ST221</v>
      </c>
      <c r="D10" s="279">
        <f>[23]Brewhouse!$AD239</f>
        <v>53.8</v>
      </c>
      <c r="E10" s="279">
        <f>[23]Brewhouse!$AG239</f>
        <v>50.7</v>
      </c>
      <c r="F10" s="278">
        <f>[23]Brewhouse!$V239</f>
        <v>70</v>
      </c>
      <c r="G10" s="279">
        <f>[23]Brewhouse!$AE239</f>
        <v>11.8</v>
      </c>
      <c r="H10" s="396">
        <v>11.8</v>
      </c>
      <c r="I10" s="421">
        <f>[23]Brewhouse!$AS239</f>
        <v>99.641893083846412</v>
      </c>
      <c r="J10" s="421">
        <f>[23]Brewhouse!$AT239</f>
        <v>101.53428855889075</v>
      </c>
      <c r="K10" s="398">
        <f>[23]Brewhouse!$Q239</f>
        <v>5.7971014492753676</v>
      </c>
      <c r="L10" s="276">
        <f>[23]Brewhouse!$P239</f>
        <v>58</v>
      </c>
      <c r="M10" s="374">
        <f>[23]Brewhouse!$U239-[23]Brewhouse!$T239</f>
        <v>0.11875000000000002</v>
      </c>
      <c r="N10" s="370">
        <f>[23]Brewhouse!$AW239</f>
        <v>0.25277777777777777</v>
      </c>
      <c r="O10" s="429" t="str">
        <f>[23]Brewhouse!$AV239</f>
        <v>D. Gomaz</v>
      </c>
      <c r="P10" s="423"/>
      <c r="R10" s="277" t="str">
        <f t="shared" ref="R10:R20" si="0">B10</f>
        <v>STAG</v>
      </c>
      <c r="S10" s="296">
        <f t="shared" ref="S10:S20" si="1">VLOOKUP($B10,$R$3:$X$9,2,FALSE)</f>
        <v>11.6</v>
      </c>
      <c r="T10" s="296">
        <f t="shared" ref="T10:T20" si="2">VLOOKUP($B10,$R$3:$X$9,3,FALSE)</f>
        <v>12</v>
      </c>
      <c r="U10" s="297">
        <f t="shared" ref="U10:U20" si="3">VLOOKUP($B10,$R$3:$X$9,4,FALSE)</f>
        <v>0</v>
      </c>
      <c r="V10" s="297">
        <f t="shared" ref="V10:V20" si="4">VLOOKUP($B10,$R$3:$X$9,5,FALSE)</f>
        <v>0.118055555555556</v>
      </c>
      <c r="W10" s="297">
        <f t="shared" ref="W10:W20" si="5">VLOOKUP($B10,$R$3:$X$9,6,FALSE)</f>
        <v>0.22569444444444445</v>
      </c>
      <c r="X10" s="297">
        <f t="shared" ref="X10:X20" si="6">VLOOKUP($B10,$R$3:$X$9,7,FALSE)</f>
        <v>0.2638888888888889</v>
      </c>
      <c r="Y10" s="297">
        <f t="shared" ref="Y10:Y20" si="7">VLOOKUP($B10,$R$3:$Z$9,8,FALSE)</f>
        <v>0</v>
      </c>
      <c r="Z10" s="296">
        <f t="shared" ref="Z10:Z20" si="8">VLOOKUP($B10,$R$3:$Z$9,9,FALSE)</f>
        <v>60</v>
      </c>
    </row>
    <row r="11" spans="2:29" ht="15.75" customHeight="1">
      <c r="B11" s="33" t="s">
        <v>9</v>
      </c>
      <c r="C11" s="366" t="str">
        <f>[23]Brewhouse!$A240</f>
        <v>ST222</v>
      </c>
      <c r="D11" s="279">
        <f>[23]Brewhouse!$AD240</f>
        <v>53.4</v>
      </c>
      <c r="E11" s="279">
        <f>[23]Brewhouse!$AG240</f>
        <v>50.1</v>
      </c>
      <c r="F11" s="278">
        <f>[23]Brewhouse!$V240</f>
        <v>57</v>
      </c>
      <c r="G11" s="279">
        <f>[23]Brewhouse!$AE240</f>
        <v>12</v>
      </c>
      <c r="H11" s="367"/>
      <c r="I11" s="421">
        <f>[23]Brewhouse!$AS240</f>
        <v>100.47209138244359</v>
      </c>
      <c r="J11" s="421">
        <f>[23]Brewhouse!$AT240</f>
        <v>102.37898341966007</v>
      </c>
      <c r="K11" s="398">
        <f>[23]Brewhouse!$Q240</f>
        <v>4.8327137546468304</v>
      </c>
      <c r="L11" s="276">
        <f>[23]Brewhouse!$P240</f>
        <v>60</v>
      </c>
      <c r="M11" s="374">
        <f>[23]Brewhouse!$U240-[23]Brewhouse!$T240</f>
        <v>0.12430555555555556</v>
      </c>
      <c r="N11" s="370">
        <f>[23]Brewhouse!$AW240</f>
        <v>0.29791666666666666</v>
      </c>
      <c r="O11" s="429" t="str">
        <f>[23]Brewhouse!$AV240</f>
        <v>K. Benjamin</v>
      </c>
      <c r="P11" s="423" t="s">
        <v>220</v>
      </c>
      <c r="R11" s="277" t="str">
        <f t="shared" si="0"/>
        <v>STAG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33"/>
      <c r="C12" s="366"/>
      <c r="D12" s="279"/>
      <c r="E12" s="279"/>
      <c r="F12" s="278"/>
      <c r="G12" s="279"/>
      <c r="H12" s="396"/>
      <c r="I12" s="421"/>
      <c r="J12" s="421"/>
      <c r="K12" s="398"/>
      <c r="L12" s="276"/>
      <c r="M12" s="374"/>
      <c r="N12" s="370"/>
      <c r="O12" s="429"/>
      <c r="P12" s="423"/>
      <c r="R12" s="277"/>
      <c r="S12" s="296"/>
      <c r="T12" s="296"/>
      <c r="U12" s="297"/>
      <c r="V12" s="297"/>
      <c r="W12" s="297"/>
      <c r="X12" s="297"/>
      <c r="Y12" s="297"/>
      <c r="Z12" s="296"/>
    </row>
    <row r="13" spans="2:29" ht="15.75" customHeight="1">
      <c r="B13" s="29" t="s">
        <v>6</v>
      </c>
      <c r="C13" s="366" t="str">
        <f>[22]Brewhouse!$A480</f>
        <v>CA375</v>
      </c>
      <c r="D13" s="279">
        <f>[22]Brewhouse!$AF480</f>
        <v>56.2</v>
      </c>
      <c r="E13" s="279">
        <f>[22]Brewhouse!$AI480</f>
        <v>51.9</v>
      </c>
      <c r="F13" s="278">
        <f>[22]Brewhouse!$V480</f>
        <v>59</v>
      </c>
      <c r="G13" s="279">
        <f>[22]Brewhouse!$AG480</f>
        <v>12</v>
      </c>
      <c r="H13" s="396">
        <v>12.04</v>
      </c>
      <c r="I13" s="368">
        <f>[22]Brewhouse!$AU480</f>
        <v>105.11814064156511</v>
      </c>
      <c r="J13" s="368">
        <f>[22]Brewhouse!$AV480</f>
        <v>107.53130476951476</v>
      </c>
      <c r="K13" s="281">
        <f>[22]Brewhouse!$Q480</f>
        <v>4.4839857651245607</v>
      </c>
      <c r="L13" s="276">
        <f>[22]Brewhouse!$P480</f>
        <v>61</v>
      </c>
      <c r="M13" s="397">
        <f>[22]Brewhouse!$U480-[22]Brewhouse!$T480</f>
        <v>0.10902777777777778</v>
      </c>
      <c r="N13" s="370">
        <f>[22]Brewhouse!$Z480</f>
        <v>0.28819444444444442</v>
      </c>
      <c r="O13" s="371" t="str">
        <f>[22]Brewhouse!$AX480</f>
        <v>K.Benjamin</v>
      </c>
      <c r="P13" s="423" t="s">
        <v>221</v>
      </c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[22]Brewhouse!$A481</f>
        <v>CA376</v>
      </c>
      <c r="D14" s="279">
        <f>[22]Brewhouse!$AF481</f>
        <v>56.4</v>
      </c>
      <c r="E14" s="279">
        <f>[22]Brewhouse!$AI481</f>
        <v>50.6</v>
      </c>
      <c r="F14" s="278">
        <f>[22]Brewhouse!$V481</f>
        <v>59</v>
      </c>
      <c r="G14" s="279">
        <f>[22]Brewhouse!$AG481</f>
        <v>11.9</v>
      </c>
      <c r="H14" s="367"/>
      <c r="I14" s="368">
        <f>[22]Brewhouse!$AU481</f>
        <v>99.052319134021872</v>
      </c>
      <c r="J14" s="368">
        <f>[22]Brewhouse!$AV481</f>
        <v>101.32882450276735</v>
      </c>
      <c r="K14" s="281">
        <f>[22]Brewhouse!$Q481</f>
        <v>6.9503546099290689</v>
      </c>
      <c r="L14" s="276">
        <f>[22]Brewhouse!$P481</f>
        <v>60</v>
      </c>
      <c r="M14" s="397">
        <f>[22]Brewhouse!$U481-[22]Brewhouse!$T481</f>
        <v>0.10624999999999996</v>
      </c>
      <c r="N14" s="370">
        <f>[22]Brewhouse!$Z481</f>
        <v>0.24722222222222223</v>
      </c>
      <c r="O14" s="371" t="str">
        <f>[22]Brewhouse!$AX481</f>
        <v>K.Benjamin</v>
      </c>
      <c r="P14" s="423" t="s">
        <v>222</v>
      </c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[22]Brewhouse!$A482</f>
        <v>CA377</v>
      </c>
      <c r="D15" s="279">
        <f>[22]Brewhouse!$AF482</f>
        <v>57</v>
      </c>
      <c r="E15" s="279">
        <f>[22]Brewhouse!$AI482</f>
        <v>52.1</v>
      </c>
      <c r="F15" s="278">
        <f>[22]Brewhouse!$V482</f>
        <v>63</v>
      </c>
      <c r="G15" s="279">
        <f>[22]Brewhouse!$AG482</f>
        <v>11.64</v>
      </c>
      <c r="H15" s="396">
        <v>11.8</v>
      </c>
      <c r="I15" s="368">
        <f>[22]Brewhouse!$AU482</f>
        <v>99.40938324534325</v>
      </c>
      <c r="J15" s="368">
        <f>[22]Brewhouse!$AV482</f>
        <v>101.69396796550143</v>
      </c>
      <c r="K15" s="281">
        <f>[22]Brewhouse!$Q482</f>
        <v>4.2456140350877218</v>
      </c>
      <c r="L15" s="276">
        <f>[22]Brewhouse!$P482</f>
        <v>59</v>
      </c>
      <c r="M15" s="397">
        <f>[22]Brewhouse!$U482-[22]Brewhouse!$T482</f>
        <v>0.10972222222222228</v>
      </c>
      <c r="N15" s="370">
        <f>[22]Brewhouse!$Z482</f>
        <v>0.24930555555555561</v>
      </c>
      <c r="O15" s="371" t="str">
        <f>[22]Brewhouse!$AX482</f>
        <v>K.Benjamin</v>
      </c>
      <c r="P15" s="423" t="s">
        <v>223</v>
      </c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 t="s">
        <v>6</v>
      </c>
      <c r="C16" s="366" t="str">
        <f>[22]Brewhouse!$A483</f>
        <v>CA378</v>
      </c>
      <c r="D16" s="279">
        <f>[22]Brewhouse!$AF483</f>
        <v>57.1</v>
      </c>
      <c r="E16" s="279">
        <f>[22]Brewhouse!$AI483</f>
        <v>51</v>
      </c>
      <c r="F16" s="278">
        <f>[22]Brewhouse!$V483</f>
        <v>62</v>
      </c>
      <c r="G16" s="279">
        <f>[22]Brewhouse!$AG483</f>
        <v>11.73</v>
      </c>
      <c r="H16" s="396">
        <v>11.7</v>
      </c>
      <c r="I16" s="368">
        <f>[22]Brewhouse!$AU483</f>
        <v>98.439685453285023</v>
      </c>
      <c r="J16" s="368">
        <f>[22]Brewhouse!$AV483</f>
        <v>100.70173251475777</v>
      </c>
      <c r="K16" s="281">
        <f>[22]Brewhouse!$Q483</f>
        <v>7.5656742556917695</v>
      </c>
      <c r="L16" s="276">
        <f>[22]Brewhouse!$P483</f>
        <v>61</v>
      </c>
      <c r="M16" s="397">
        <f>[22]Brewhouse!$U483-[22]Brewhouse!$T483</f>
        <v>0.11597222222222225</v>
      </c>
      <c r="N16" s="370">
        <f>[22]Brewhouse!$Z483</f>
        <v>0.2680555555555556</v>
      </c>
      <c r="O16" s="371" t="str">
        <f>[22]Brewhouse!$AX483</f>
        <v>R. Regis</v>
      </c>
      <c r="P16" s="423"/>
      <c r="R16" s="277" t="str">
        <f t="shared" si="0"/>
        <v>CARIB</v>
      </c>
      <c r="S16" s="296">
        <f t="shared" si="1"/>
        <v>11.6</v>
      </c>
      <c r="T16" s="296">
        <f t="shared" si="2"/>
        <v>12</v>
      </c>
      <c r="U16" s="297">
        <f t="shared" si="3"/>
        <v>0</v>
      </c>
      <c r="V16" s="297">
        <f t="shared" si="4"/>
        <v>0.118055555555556</v>
      </c>
      <c r="W16" s="297">
        <f t="shared" si="5"/>
        <v>0.22569444444444445</v>
      </c>
      <c r="X16" s="297">
        <f t="shared" si="6"/>
        <v>0.2638888888888889</v>
      </c>
      <c r="Y16" s="297">
        <f t="shared" si="7"/>
        <v>0</v>
      </c>
      <c r="Z16" s="296">
        <f t="shared" si="8"/>
        <v>60</v>
      </c>
    </row>
    <row r="17" spans="1:27" ht="15.75" customHeight="1">
      <c r="B17" s="29"/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429"/>
      <c r="P17" s="423"/>
      <c r="R17" s="277">
        <f t="shared" si="0"/>
        <v>0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29"/>
      <c r="C18" s="366"/>
      <c r="D18" s="279"/>
      <c r="E18" s="279"/>
      <c r="F18" s="278"/>
      <c r="G18" s="279"/>
      <c r="H18" s="396"/>
      <c r="I18" s="368"/>
      <c r="J18" s="368"/>
      <c r="K18" s="281"/>
      <c r="L18" s="276"/>
      <c r="M18" s="397"/>
      <c r="N18" s="370"/>
      <c r="O18" s="429"/>
      <c r="P18" s="423"/>
      <c r="R18" s="277">
        <f t="shared" si="0"/>
        <v>0</v>
      </c>
      <c r="S18" s="296" t="e">
        <f t="shared" si="1"/>
        <v>#N/A</v>
      </c>
      <c r="T18" s="296" t="e">
        <f t="shared" si="2"/>
        <v>#N/A</v>
      </c>
      <c r="U18" s="297" t="e">
        <f t="shared" si="3"/>
        <v>#N/A</v>
      </c>
      <c r="V18" s="297" t="e">
        <f t="shared" si="4"/>
        <v>#N/A</v>
      </c>
      <c r="W18" s="297" t="e">
        <f t="shared" si="5"/>
        <v>#N/A</v>
      </c>
      <c r="X18" s="297" t="e">
        <f t="shared" si="6"/>
        <v>#N/A</v>
      </c>
      <c r="Y18" s="297" t="e">
        <f t="shared" si="7"/>
        <v>#N/A</v>
      </c>
      <c r="Z18" s="296" t="e">
        <f t="shared" si="8"/>
        <v>#N/A</v>
      </c>
    </row>
    <row r="19" spans="1:27" ht="15.75" customHeight="1" thickBot="1">
      <c r="B19" s="358"/>
      <c r="C19" s="358"/>
      <c r="D19" s="358"/>
      <c r="E19" s="358"/>
      <c r="F19" s="294"/>
      <c r="G19" s="294"/>
      <c r="H19" s="348"/>
      <c r="I19" s="481" t="s">
        <v>34</v>
      </c>
      <c r="J19" s="481"/>
      <c r="K19" s="481"/>
      <c r="L19" s="481"/>
      <c r="M19" s="481"/>
      <c r="N19" s="481"/>
      <c r="O19" s="1"/>
      <c r="P19" s="12"/>
      <c r="R19" s="277">
        <f t="shared" si="0"/>
        <v>0</v>
      </c>
      <c r="S19" s="296" t="e">
        <f t="shared" si="1"/>
        <v>#N/A</v>
      </c>
      <c r="T19" s="296" t="e">
        <f t="shared" si="2"/>
        <v>#N/A</v>
      </c>
      <c r="U19" s="297" t="e">
        <f t="shared" si="3"/>
        <v>#N/A</v>
      </c>
      <c r="V19" s="297" t="e">
        <f t="shared" si="4"/>
        <v>#N/A</v>
      </c>
      <c r="W19" s="297" t="e">
        <f t="shared" si="5"/>
        <v>#N/A</v>
      </c>
      <c r="X19" s="297" t="e">
        <f t="shared" si="6"/>
        <v>#N/A</v>
      </c>
      <c r="Y19" s="297" t="e">
        <f t="shared" si="7"/>
        <v>#N/A</v>
      </c>
      <c r="Z19" s="296" t="e">
        <f t="shared" si="8"/>
        <v>#N/A</v>
      </c>
    </row>
    <row r="20" spans="1:27" ht="15" thickBot="1">
      <c r="B20" s="388" t="s">
        <v>145</v>
      </c>
      <c r="C20" s="388"/>
      <c r="D20" s="494" t="s">
        <v>35</v>
      </c>
      <c r="E20" s="495"/>
      <c r="F20" s="294"/>
      <c r="G20" s="294"/>
      <c r="H20" s="348"/>
      <c r="I20" s="24" t="s">
        <v>17</v>
      </c>
      <c r="J20" s="25" t="s">
        <v>36</v>
      </c>
      <c r="K20" s="26" t="s">
        <v>138</v>
      </c>
      <c r="L20" s="25" t="s">
        <v>37</v>
      </c>
      <c r="M20" s="25" t="s">
        <v>38</v>
      </c>
      <c r="N20" s="27" t="s">
        <v>39</v>
      </c>
      <c r="O20" s="294"/>
      <c r="P20" s="12"/>
      <c r="R20" s="277" t="str">
        <f t="shared" si="0"/>
        <v>BRAND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" customHeight="1">
      <c r="A21" s="28"/>
      <c r="B21" s="539"/>
      <c r="C21" s="362"/>
      <c r="D21" s="485"/>
      <c r="E21" s="474"/>
      <c r="F21" s="294"/>
      <c r="G21" s="294"/>
      <c r="H21" s="348"/>
      <c r="I21" s="29" t="s">
        <v>6</v>
      </c>
      <c r="J21" s="280">
        <f>AVERAGE(I13:I16)</f>
        <v>100.50488211855381</v>
      </c>
      <c r="K21" s="284">
        <f>COUNTA([22]Brewhouse!$A$408:$A$483)</f>
        <v>76</v>
      </c>
      <c r="L21" s="302">
        <f>AVERAGE([22]Brewhouse!$AU$408:$AU$483)</f>
        <v>98.789900888769367</v>
      </c>
      <c r="M21" s="302">
        <f>AVERAGE([22]Brewhouse!$AU$102:$AU$171,[22]Brewhouse!$AU$173:$AU$253,[22]Brewhouse!$AU$255:$AU$339,[22]Brewhouse!$AU$341:$AU$346,[22]Brewhouse!$AU$348,[22]Brewhouse!$AU$349:$AU$406,[22]Brewhouse!$AU$408:$AU$483)</f>
        <v>97.677107341696413</v>
      </c>
      <c r="N21" s="30">
        <v>98</v>
      </c>
      <c r="O21" s="11"/>
      <c r="P21" s="31"/>
      <c r="R21" s="277"/>
      <c r="S21" s="296"/>
      <c r="T21" s="296"/>
      <c r="U21" s="297"/>
      <c r="V21" s="297"/>
      <c r="W21" s="297"/>
      <c r="X21" s="297"/>
      <c r="Y21" s="297"/>
      <c r="Z21" s="296"/>
    </row>
    <row r="22" spans="1:27" ht="15" customHeight="1">
      <c r="A22" s="28"/>
      <c r="B22" s="464"/>
      <c r="C22" s="349"/>
      <c r="D22" s="486"/>
      <c r="E22" s="469"/>
      <c r="F22" s="294"/>
      <c r="G22" s="294"/>
      <c r="H22" s="348"/>
      <c r="I22" s="33" t="s">
        <v>9</v>
      </c>
      <c r="J22" s="280">
        <f>AVERAGE(I10:I11)</f>
        <v>100.056992233145</v>
      </c>
      <c r="K22" s="284">
        <f>COUNTA([23]Brewhouse!$A$195:$A$240)</f>
        <v>46</v>
      </c>
      <c r="L22" s="302">
        <f>AVERAGE([23]Brewhouse!$AS$195:$AS$240)</f>
        <v>99.507337873120946</v>
      </c>
      <c r="M22" s="302">
        <f>AVERAGE([23]Brewhouse!$AS$15:$AS$64,[23]Brewhouse!$AS$66:$AS$103,[23]Brewhouse!$AS$105:$AS$140,[23]Brewhouse!$AS$142:$AS$193,[23]Brewhouse!$AS$195:$AS$240)</f>
        <v>97.875552945082219</v>
      </c>
      <c r="N22" s="30">
        <v>98</v>
      </c>
      <c r="O22" s="11"/>
      <c r="P22" s="31"/>
      <c r="R22" s="277"/>
      <c r="S22" s="296"/>
      <c r="T22" s="296"/>
      <c r="U22" s="297"/>
      <c r="V22" s="297"/>
      <c r="W22" s="297"/>
      <c r="X22" s="297"/>
      <c r="Y22" s="297"/>
      <c r="Z22" s="296"/>
    </row>
    <row r="23" spans="1:27" ht="14.7" customHeight="1">
      <c r="A23" s="28"/>
      <c r="B23" s="464"/>
      <c r="C23" s="349"/>
      <c r="D23" s="485"/>
      <c r="E23" s="474"/>
      <c r="F23" s="294"/>
      <c r="G23" s="294"/>
      <c r="H23" s="348"/>
      <c r="I23" s="34" t="s">
        <v>12</v>
      </c>
      <c r="J23" s="280"/>
      <c r="K23" s="284">
        <f>COUNTA([24]Brewhouse!$A$47:$A$62)</f>
        <v>16</v>
      </c>
      <c r="L23" s="302">
        <f>AVERAGE([24]Brewhouse!$AU$47:$AU$62)</f>
        <v>97.405159331492385</v>
      </c>
      <c r="M23" s="302">
        <f>AVERAGE([24]Brewhouse!$AU$4:$AU$7,[24]Brewhouse!$AU$9:$AU$22,[24]Brewhouse!$AU$24:$AU$35,[24]Brewhouse!$AU$37:$AU$45,[24]Brewhouse!$AU$47:$AU$62)</f>
        <v>97.179377138297156</v>
      </c>
      <c r="N23" s="30">
        <v>98</v>
      </c>
      <c r="O23" s="11"/>
      <c r="P23" s="31"/>
      <c r="R23" s="277"/>
      <c r="S23" s="296"/>
      <c r="T23" s="296"/>
      <c r="U23" s="297"/>
      <c r="V23" s="297"/>
      <c r="W23" s="297"/>
      <c r="X23" s="297"/>
      <c r="Y23" s="297"/>
      <c r="Z23" s="296"/>
    </row>
    <row r="24" spans="1:27" ht="14.7" customHeight="1">
      <c r="A24" s="28"/>
      <c r="B24" s="464"/>
      <c r="C24" s="349"/>
      <c r="D24" s="486"/>
      <c r="E24" s="469"/>
      <c r="F24" s="294"/>
      <c r="G24" s="294"/>
      <c r="H24" s="348"/>
      <c r="I24" s="22" t="s">
        <v>33</v>
      </c>
      <c r="J24" s="280"/>
      <c r="K24" s="284">
        <f>COUNTA([25]Brewhouse!$A$35:$A$46)</f>
        <v>12</v>
      </c>
      <c r="L24" s="302">
        <f>AVERAGE([25]Brewhouse!$AV$35:$AV$46)</f>
        <v>99.185883853717385</v>
      </c>
      <c r="M24" s="302">
        <f>AVERAGE([25]Brewhouse!$AV$5:$AV$14,[25]Brewhouse!$AV$16:$AV$19,[25]Brewhouse!$AV$21:$AV$24,[25]Brewhouse!$AV$26:$AV$33,[25]Brewhouse!$AV$35:$AV$46)</f>
        <v>99.005314486149061</v>
      </c>
      <c r="N24" s="30">
        <v>98</v>
      </c>
      <c r="O24" s="11"/>
      <c r="P24" s="31"/>
      <c r="R24" s="277"/>
      <c r="S24" s="296"/>
      <c r="T24" s="296"/>
      <c r="U24" s="297"/>
      <c r="V24" s="297"/>
      <c r="W24" s="297"/>
      <c r="X24" s="297"/>
      <c r="Y24" s="297"/>
      <c r="Z24" s="296"/>
    </row>
    <row r="25" spans="1:27" ht="14.7" customHeight="1">
      <c r="A25" s="28"/>
      <c r="B25" s="464"/>
      <c r="C25" s="349"/>
      <c r="D25" s="485"/>
      <c r="E25" s="474"/>
      <c r="F25" s="422"/>
      <c r="G25" s="294"/>
      <c r="H25" s="348"/>
      <c r="I25" s="35" t="s">
        <v>29</v>
      </c>
      <c r="J25" s="280"/>
      <c r="K25" s="284"/>
      <c r="L25" s="302"/>
      <c r="M25" s="302"/>
      <c r="N25" s="30">
        <v>98</v>
      </c>
      <c r="O25" s="11"/>
      <c r="P25" s="31"/>
      <c r="R25" s="277"/>
      <c r="S25" s="296"/>
      <c r="T25" s="296"/>
      <c r="U25" s="297"/>
      <c r="V25" s="297"/>
      <c r="W25" s="297"/>
      <c r="X25" s="297"/>
      <c r="Y25" s="297"/>
      <c r="Z25" s="296"/>
    </row>
    <row r="26" spans="1:27" ht="14.7" customHeight="1">
      <c r="A26" s="28"/>
      <c r="B26" s="464"/>
      <c r="C26" s="349"/>
      <c r="D26" s="486"/>
      <c r="E26" s="469"/>
      <c r="F26" s="422"/>
      <c r="G26" s="294"/>
      <c r="H26" s="348"/>
      <c r="I26" s="36" t="s">
        <v>15</v>
      </c>
      <c r="J26" s="323"/>
      <c r="K26" s="284"/>
      <c r="L26" s="302"/>
      <c r="M26" s="302">
        <f>AVERAGE([26]Brewhouse!$AT$4:$AT$11,[26]Brewhouse!$AT$13:$AT$16)</f>
        <v>95.165309917257005</v>
      </c>
      <c r="N26" s="30">
        <v>98</v>
      </c>
      <c r="O26" s="11"/>
      <c r="P26" s="31"/>
      <c r="R26" s="277"/>
      <c r="S26" s="296"/>
      <c r="T26" s="296"/>
      <c r="U26" s="297"/>
      <c r="V26" s="297"/>
      <c r="W26" s="297"/>
      <c r="X26" s="297"/>
      <c r="Y26" s="297"/>
      <c r="Z26" s="296"/>
      <c r="AA26" s="296"/>
    </row>
    <row r="27" spans="1:27" ht="14.7" customHeight="1">
      <c r="A27" s="28"/>
      <c r="B27" s="464"/>
      <c r="C27" s="349"/>
      <c r="D27" s="485"/>
      <c r="E27" s="474"/>
      <c r="F27" s="422"/>
      <c r="G27" s="294"/>
      <c r="H27" s="348"/>
      <c r="I27" s="37" t="s">
        <v>16</v>
      </c>
      <c r="J27" s="323"/>
      <c r="K27" s="284">
        <f>COUNTA([27]Brewhouse!$A$36:$A$43)</f>
        <v>8</v>
      </c>
      <c r="L27" s="302">
        <f>AVERAGE([27]Brewhouse!$AY$36:$AY$43)</f>
        <v>98.453561717677275</v>
      </c>
      <c r="M27" s="302">
        <f>AVERAGE([27]Brewhouse!$AY$6:$AY$13,[27]Brewhouse!$AY$15:$AY$20,[27]Brewhouse!$AY$22:$AY$29,[27]Brewhouse!$AY$31:$AY$34,[27]Brewhouse!$AY$36:$AY$43)</f>
        <v>96.669752433914965</v>
      </c>
      <c r="N27" s="30">
        <v>98</v>
      </c>
      <c r="O27" s="11"/>
      <c r="P27" s="31" t="s">
        <v>41</v>
      </c>
      <c r="R27" s="277"/>
      <c r="S27" s="296"/>
      <c r="T27" s="296"/>
      <c r="U27" s="297"/>
      <c r="V27" s="297"/>
      <c r="W27" s="297"/>
      <c r="X27" s="297"/>
      <c r="Y27" s="297"/>
      <c r="Z27" s="296"/>
      <c r="AA27" s="296"/>
    </row>
    <row r="28" spans="1:27" ht="14.7" customHeight="1">
      <c r="A28" s="28"/>
      <c r="B28" s="464"/>
      <c r="C28" s="349"/>
      <c r="D28" s="486"/>
      <c r="E28" s="469"/>
      <c r="F28" s="294"/>
      <c r="G28" s="294"/>
      <c r="H28" s="348"/>
      <c r="I28" s="412" t="s">
        <v>158</v>
      </c>
      <c r="J28" s="326"/>
      <c r="K28" s="284"/>
      <c r="L28" s="305"/>
      <c r="M28" s="305">
        <f>AVERAGE([28]Brewhouse!$AU$5:$AU$8)</f>
        <v>91.006888337619571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  <c r="AA28" s="296"/>
    </row>
    <row r="29" spans="1:27" ht="14.7" customHeight="1">
      <c r="A29" s="28"/>
      <c r="B29" s="464"/>
      <c r="C29" s="349"/>
      <c r="D29" s="485"/>
      <c r="E29" s="474"/>
      <c r="F29" s="294"/>
      <c r="G29" s="294"/>
      <c r="H29" s="348"/>
      <c r="I29" s="411" t="s">
        <v>157</v>
      </c>
      <c r="J29" s="326"/>
      <c r="K29" s="284"/>
      <c r="L29" s="305"/>
      <c r="M29" s="305"/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  <c r="AA29" s="296"/>
    </row>
    <row r="30" spans="1:27" ht="15" customHeight="1" thickBot="1">
      <c r="A30" s="28"/>
      <c r="B30" s="464"/>
      <c r="C30" s="349"/>
      <c r="D30" s="486"/>
      <c r="E30" s="469"/>
      <c r="F30" s="294"/>
      <c r="G30" s="294"/>
      <c r="H30" s="348"/>
      <c r="I30" s="407" t="s">
        <v>156</v>
      </c>
      <c r="J30" s="327"/>
      <c r="K30" s="408"/>
      <c r="L30" s="409"/>
      <c r="M30" s="409"/>
      <c r="N30" s="41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  <c r="AA30" s="296"/>
    </row>
    <row r="31" spans="1:27" ht="15" customHeight="1" thickBot="1">
      <c r="A31" s="28"/>
      <c r="B31" s="464"/>
      <c r="C31" s="349"/>
      <c r="D31" s="485"/>
      <c r="E31" s="474"/>
      <c r="F31" s="294"/>
      <c r="G31" s="294"/>
      <c r="H31" s="348"/>
      <c r="I31" s="1"/>
      <c r="J31" s="39"/>
      <c r="K31" s="405">
        <f>SUM(K21:K30)</f>
        <v>158</v>
      </c>
      <c r="L31" s="406">
        <f>((L21*K21)+(L22*K22)+(L23*K23)+(L24*K24)+(L25*K25)+(K28*L28)+(L26*K26)+(L27*K27)+(L30*K30))/(K31)</f>
        <v>98.871592778480633</v>
      </c>
      <c r="M31" s="406">
        <f>AVERAGE('[29]Jan 31st'!$L$65,'[30]Feb 28th'!$L$35,'[31]Mar. 31st'!$L$35,'[32]Apr. 30th'!$L$45,L31)</f>
        <v>97.655126813583763</v>
      </c>
      <c r="N31" s="4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  <c r="AA31" s="296"/>
    </row>
    <row r="32" spans="1:27" ht="15" thickBot="1">
      <c r="B32" s="465"/>
      <c r="C32" s="350"/>
      <c r="D32" s="486"/>
      <c r="E32" s="469"/>
      <c r="F32" s="294"/>
      <c r="G32" s="42"/>
      <c r="H32" s="41"/>
      <c r="I32" s="42"/>
      <c r="J32" s="42"/>
      <c r="K32" s="351"/>
      <c r="L32" s="348"/>
      <c r="M32" s="348"/>
      <c r="N32" s="11"/>
      <c r="O32" s="294"/>
      <c r="P32" s="12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2:56" ht="15" thickBot="1">
      <c r="B33" s="528"/>
      <c r="C33" s="362"/>
      <c r="D33" s="466"/>
      <c r="E33" s="467"/>
      <c r="F33" s="294"/>
      <c r="G33" s="42"/>
      <c r="H33" s="41"/>
      <c r="I33" s="42"/>
      <c r="J33" s="519" t="s">
        <v>129</v>
      </c>
      <c r="K33" s="519"/>
      <c r="L33" s="294"/>
      <c r="M33" s="294"/>
      <c r="N33" s="294"/>
      <c r="O33" s="294"/>
      <c r="P33" s="12"/>
    </row>
    <row r="34" spans="2:56" ht="13.5" customHeight="1" thickBot="1">
      <c r="B34" s="521"/>
      <c r="C34" s="349"/>
      <c r="D34" s="468"/>
      <c r="E34" s="469"/>
      <c r="F34" s="294"/>
      <c r="G34" s="42"/>
      <c r="H34" s="41"/>
      <c r="I34" s="41"/>
      <c r="J34" s="292" t="s">
        <v>17</v>
      </c>
      <c r="K34" s="293" t="s">
        <v>147</v>
      </c>
      <c r="L34" s="471" t="s">
        <v>136</v>
      </c>
      <c r="M34" s="471"/>
      <c r="N34" s="472"/>
      <c r="O34" s="294"/>
      <c r="P34" s="12"/>
    </row>
    <row r="35" spans="2:56" ht="15" customHeight="1" thickBot="1">
      <c r="B35" s="521"/>
      <c r="C35" s="349"/>
      <c r="D35" s="473"/>
      <c r="E35" s="474"/>
      <c r="F35" s="294"/>
      <c r="G35" s="42"/>
      <c r="H35" s="41"/>
      <c r="I35" s="41"/>
      <c r="J35" s="287" t="s">
        <v>6</v>
      </c>
      <c r="K35" s="324">
        <f>COUNTA(B13:B16)</f>
        <v>4</v>
      </c>
      <c r="L35" s="343" t="s">
        <v>37</v>
      </c>
      <c r="M35" s="307" t="s">
        <v>38</v>
      </c>
      <c r="N35" s="307" t="s">
        <v>84</v>
      </c>
      <c r="O35" s="294"/>
      <c r="P35" s="12"/>
    </row>
    <row r="36" spans="2:56" ht="15.75" customHeight="1" thickBot="1">
      <c r="B36" s="521"/>
      <c r="C36" s="349"/>
      <c r="D36" s="468"/>
      <c r="E36" s="469"/>
      <c r="F36" s="294"/>
      <c r="G36" s="42"/>
      <c r="H36" s="41"/>
      <c r="I36" s="41"/>
      <c r="J36" s="345" t="s">
        <v>9</v>
      </c>
      <c r="K36" s="324">
        <f>COUNTA(B10:B11)</f>
        <v>2</v>
      </c>
      <c r="L36" s="344">
        <f>AVERAGE('May 2nd -4th'!I70,'May 2nd -4th'!K70,'May 5th'!K77,'May 6th'!K60,'May 7th'!K57,'May 8th'!K53,'May 9th-10th'!I60,'May 9th-10th'!K60,'May 12th'!K43,'May 13th'!K45,'May 14th'!K50,'May 15th'!K49,'May 16th'!K52,'May 19th'!K48,'May 20th'!K49,'May 21st'!K53,'May 22nd'!K53,'May 23rd'!K53,'May 26th'!K53,'May 27th'!K53,K45)</f>
        <v>7.5714285714285712</v>
      </c>
      <c r="M36" s="325">
        <f>AVERAGE('[29]Jan 29th '!$M$70,'[30]Feb 28th'!$L$40,'[31]Mar. 31st'!$L$40,'[32]Apr. 30th'!$L$50,L36)</f>
        <v>6.7034400382226469</v>
      </c>
      <c r="N36" s="420">
        <v>9.1999999999999993</v>
      </c>
      <c r="O36" s="294"/>
      <c r="P36" s="12"/>
    </row>
    <row r="37" spans="2:56" ht="15" customHeight="1">
      <c r="B37" s="521"/>
      <c r="C37" s="349"/>
      <c r="D37" s="473"/>
      <c r="E37" s="474"/>
      <c r="F37" s="294"/>
      <c r="G37" s="42"/>
      <c r="H37" s="41"/>
      <c r="I37" s="41"/>
      <c r="J37" s="288" t="s">
        <v>40</v>
      </c>
      <c r="K37" s="324"/>
      <c r="L37" s="294"/>
      <c r="M37" s="294"/>
      <c r="N37" s="294"/>
      <c r="O37" s="294"/>
      <c r="P37" s="12"/>
    </row>
    <row r="38" spans="2:56" ht="15" customHeight="1">
      <c r="B38" s="521"/>
      <c r="C38" s="349"/>
      <c r="D38" s="468"/>
      <c r="E38" s="469"/>
      <c r="F38" s="294"/>
      <c r="G38" s="42"/>
      <c r="H38" s="41"/>
      <c r="I38" s="41"/>
      <c r="J38" s="289" t="s">
        <v>33</v>
      </c>
      <c r="K38" s="324"/>
      <c r="L38" s="294"/>
      <c r="M38" s="294"/>
      <c r="N38" s="294"/>
      <c r="O38" s="294"/>
      <c r="P38" s="12"/>
    </row>
    <row r="39" spans="2:56" ht="14.4">
      <c r="B39" s="521"/>
      <c r="C39" s="349"/>
      <c r="D39" s="473"/>
      <c r="E39" s="474"/>
      <c r="F39" s="294"/>
      <c r="G39" s="42"/>
      <c r="H39" s="41"/>
      <c r="I39" s="41"/>
      <c r="J39" s="290" t="s">
        <v>16</v>
      </c>
      <c r="K39" s="324"/>
      <c r="L39" s="294"/>
      <c r="M39" s="294"/>
      <c r="N39" s="294"/>
      <c r="O39" s="294"/>
      <c r="P39" s="12"/>
      <c r="BC39" s="44"/>
      <c r="BD39" s="44"/>
    </row>
    <row r="40" spans="2:56" ht="14.4">
      <c r="B40" s="521"/>
      <c r="C40" s="349"/>
      <c r="D40" s="468"/>
      <c r="E40" s="469"/>
      <c r="F40" s="294"/>
      <c r="G40" s="42"/>
      <c r="H40" s="41"/>
      <c r="I40" s="41"/>
      <c r="J40" s="291" t="s">
        <v>15</v>
      </c>
      <c r="K40" s="324"/>
      <c r="L40" s="294"/>
      <c r="M40" s="294"/>
      <c r="N40" s="294"/>
      <c r="O40" s="294"/>
      <c r="P40" s="12"/>
      <c r="BC40" s="44"/>
      <c r="BD40" s="44"/>
    </row>
    <row r="41" spans="2:56" ht="14.4">
      <c r="B41" s="521"/>
      <c r="C41" s="349"/>
      <c r="D41" s="475"/>
      <c r="E41" s="476"/>
      <c r="F41" s="294"/>
      <c r="G41" s="42"/>
      <c r="H41" s="41"/>
      <c r="I41" s="41"/>
      <c r="J41" s="291" t="s">
        <v>149</v>
      </c>
      <c r="K41" s="324"/>
      <c r="L41" s="294"/>
      <c r="M41" s="294"/>
      <c r="N41" s="294"/>
      <c r="O41" s="294"/>
      <c r="P41" s="12"/>
      <c r="BC41" s="44"/>
      <c r="BD41" s="44"/>
    </row>
    <row r="42" spans="2:56" ht="15" thickBot="1">
      <c r="B42" s="522"/>
      <c r="C42" s="350"/>
      <c r="D42" s="477"/>
      <c r="E42" s="478"/>
      <c r="F42" s="294"/>
      <c r="G42" s="42"/>
      <c r="H42" s="41"/>
      <c r="I42" s="41"/>
      <c r="J42" s="291" t="s">
        <v>148</v>
      </c>
      <c r="K42" s="324"/>
      <c r="L42" s="294"/>
      <c r="M42" s="294"/>
      <c r="N42" s="294"/>
      <c r="O42" s="294"/>
      <c r="P42" s="12"/>
      <c r="BC42" s="44"/>
      <c r="BD42" s="44"/>
    </row>
    <row r="43" spans="2:56" ht="17.7" customHeight="1" thickBot="1">
      <c r="B43" s="312" t="s">
        <v>139</v>
      </c>
      <c r="C43" s="313"/>
      <c r="D43" s="457" t="e">
        <f>AVERAGE(D21:E42)</f>
        <v>#DIV/0!</v>
      </c>
      <c r="E43" s="458"/>
      <c r="F43" s="294"/>
      <c r="G43" s="42"/>
      <c r="H43" s="41"/>
      <c r="I43" s="41"/>
      <c r="J43" s="295" t="s">
        <v>134</v>
      </c>
      <c r="K43" s="324"/>
      <c r="L43" s="294"/>
      <c r="M43" s="294"/>
      <c r="N43" s="294"/>
      <c r="O43" s="294"/>
      <c r="P43" s="12"/>
      <c r="BC43" s="44"/>
      <c r="BD43" s="44"/>
    </row>
    <row r="44" spans="2:56" ht="17.7" customHeight="1">
      <c r="B44" s="363"/>
      <c r="C44" s="364"/>
      <c r="D44" s="365"/>
      <c r="E44" s="365"/>
      <c r="F44" s="294"/>
      <c r="G44" s="42"/>
      <c r="H44" s="41"/>
      <c r="I44" s="41"/>
      <c r="J44" s="295" t="s">
        <v>131</v>
      </c>
      <c r="K44" s="324"/>
      <c r="L44" s="294"/>
      <c r="M44" s="294"/>
      <c r="N44" s="294"/>
      <c r="O44" s="294"/>
      <c r="P44" s="12"/>
      <c r="BC44" s="44"/>
      <c r="BD44" s="44"/>
    </row>
    <row r="45" spans="2:56" ht="15.75" customHeight="1">
      <c r="B45" s="45"/>
      <c r="C45" s="11"/>
      <c r="D45" s="11"/>
      <c r="E45" s="46"/>
      <c r="F45" s="294"/>
      <c r="G45" s="42"/>
      <c r="H45" s="41"/>
      <c r="I45" s="41"/>
      <c r="J45" s="346" t="s">
        <v>130</v>
      </c>
      <c r="K45" s="324">
        <f>SUM(K35:K44)</f>
        <v>6</v>
      </c>
      <c r="L45" s="294"/>
      <c r="M45" s="294"/>
      <c r="N45" s="294"/>
      <c r="O45" s="294"/>
      <c r="P45" s="12"/>
    </row>
    <row r="46" spans="2:56" ht="20.25" customHeight="1">
      <c r="B46" s="15" t="s">
        <v>42</v>
      </c>
      <c r="C46" s="1" t="s">
        <v>43</v>
      </c>
      <c r="D46" s="1"/>
      <c r="E46" s="1"/>
      <c r="F46" s="294"/>
      <c r="G46" s="42"/>
      <c r="H46" s="41"/>
      <c r="I46" s="42"/>
      <c r="L46" s="294"/>
      <c r="P46" s="334"/>
    </row>
    <row r="47" spans="2:56" ht="15" customHeight="1" thickBot="1"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8"/>
      <c r="O47" s="48"/>
      <c r="P47" s="49"/>
    </row>
    <row r="48" spans="2:56" ht="15" customHeight="1" thickBot="1">
      <c r="B48" s="447" t="s">
        <v>17</v>
      </c>
      <c r="C48" s="447" t="s">
        <v>44</v>
      </c>
      <c r="D48" s="459" t="s">
        <v>45</v>
      </c>
      <c r="E48" s="461" t="s">
        <v>46</v>
      </c>
      <c r="F48" s="455" t="s">
        <v>47</v>
      </c>
      <c r="G48" s="445" t="s">
        <v>48</v>
      </c>
      <c r="H48" s="447" t="s">
        <v>49</v>
      </c>
      <c r="I48" s="447" t="s">
        <v>50</v>
      </c>
      <c r="J48" s="439" t="s">
        <v>28</v>
      </c>
      <c r="K48" s="451" t="s">
        <v>51</v>
      </c>
      <c r="L48" s="453" t="s">
        <v>52</v>
      </c>
      <c r="M48" s="439" t="s">
        <v>53</v>
      </c>
      <c r="N48" s="13"/>
      <c r="O48" s="13"/>
      <c r="P48" s="50"/>
    </row>
    <row r="49" spans="2:57" ht="28.5" customHeight="1" thickTop="1" thickBot="1">
      <c r="B49" s="448"/>
      <c r="C49" s="448"/>
      <c r="D49" s="460"/>
      <c r="E49" s="462"/>
      <c r="F49" s="456"/>
      <c r="G49" s="446"/>
      <c r="H49" s="448"/>
      <c r="I49" s="448"/>
      <c r="J49" s="440"/>
      <c r="K49" s="452"/>
      <c r="L49" s="454"/>
      <c r="M49" s="440"/>
      <c r="N49" s="13"/>
      <c r="O49" s="13"/>
      <c r="P49" s="50"/>
      <c r="Q49" s="355"/>
      <c r="AB49" s="51">
        <v>43474</v>
      </c>
      <c r="AC49" s="51">
        <v>43475</v>
      </c>
      <c r="AD49" s="51">
        <v>43476</v>
      </c>
      <c r="AE49" s="51">
        <v>43477</v>
      </c>
      <c r="AF49" s="51">
        <v>43478</v>
      </c>
      <c r="AG49" s="51">
        <v>43479</v>
      </c>
      <c r="AH49" s="51">
        <v>43480</v>
      </c>
      <c r="AI49" s="51">
        <v>43481</v>
      </c>
      <c r="AJ49" s="51">
        <v>43482</v>
      </c>
      <c r="AK49" s="51">
        <v>43483</v>
      </c>
      <c r="AL49" s="51">
        <v>43484</v>
      </c>
      <c r="AM49" s="51">
        <v>43485</v>
      </c>
      <c r="AN49" s="51">
        <v>43486</v>
      </c>
      <c r="AO49" s="51">
        <v>43487</v>
      </c>
      <c r="AP49" s="51">
        <v>43488</v>
      </c>
      <c r="AQ49" s="51">
        <v>43489</v>
      </c>
      <c r="AR49" s="51">
        <v>43490</v>
      </c>
      <c r="AS49" s="51">
        <v>43491</v>
      </c>
      <c r="AT49" s="51">
        <v>43492</v>
      </c>
      <c r="AU49" s="51">
        <v>43493</v>
      </c>
      <c r="AV49" s="51">
        <v>43494</v>
      </c>
      <c r="AW49" s="51">
        <v>43495</v>
      </c>
      <c r="AX49" s="51">
        <v>43496</v>
      </c>
    </row>
    <row r="50" spans="2:57" s="54" customFormat="1" ht="51" customHeight="1">
      <c r="B50" s="361"/>
      <c r="C50" s="283"/>
      <c r="D50" s="377"/>
      <c r="E50" s="378"/>
      <c r="F50" s="379"/>
      <c r="G50" s="303"/>
      <c r="H50" s="320"/>
      <c r="I50" s="322"/>
      <c r="J50" s="281"/>
      <c r="K50" s="286"/>
      <c r="L50" s="314"/>
      <c r="M50" s="419"/>
      <c r="N50" s="13"/>
      <c r="O50" s="13"/>
      <c r="P50" s="50"/>
      <c r="R50" s="275"/>
      <c r="S50" s="275"/>
      <c r="T50" s="275"/>
      <c r="U50" s="275"/>
      <c r="V50" s="275"/>
      <c r="W50" s="275"/>
      <c r="X50" s="275"/>
      <c r="Y50" s="275"/>
      <c r="Z50" s="275"/>
      <c r="AA50" s="275"/>
      <c r="AB50" s="418"/>
      <c r="AC50" s="418"/>
      <c r="AD50" s="418"/>
      <c r="AE50" s="418"/>
      <c r="AF50" s="418"/>
      <c r="AG50" s="418"/>
      <c r="AH50" s="418"/>
      <c r="AI50" s="418"/>
      <c r="AJ50" s="418"/>
      <c r="AK50" s="418"/>
      <c r="AL50" s="418"/>
      <c r="AM50" s="418"/>
      <c r="AN50" s="418"/>
      <c r="AO50" s="418"/>
      <c r="AP50" s="418"/>
      <c r="AQ50" s="418"/>
      <c r="AR50" s="418"/>
      <c r="AS50" s="418"/>
      <c r="AT50" s="418"/>
      <c r="AU50" s="418"/>
      <c r="AV50" s="418"/>
      <c r="AW50" s="418"/>
    </row>
    <row r="51" spans="2:57" s="54" customFormat="1" ht="23.25" customHeight="1">
      <c r="B51" s="415"/>
      <c r="C51" s="283"/>
      <c r="D51" s="377"/>
      <c r="E51" s="378"/>
      <c r="F51" s="379"/>
      <c r="G51" s="303"/>
      <c r="H51" s="320"/>
      <c r="I51" s="322"/>
      <c r="J51" s="281"/>
      <c r="K51" s="286"/>
      <c r="L51" s="314"/>
      <c r="M51" s="419"/>
      <c r="N51" s="13"/>
      <c r="O51" s="13"/>
      <c r="P51" s="50"/>
      <c r="R51" s="275"/>
      <c r="S51" s="275"/>
      <c r="T51" s="275"/>
      <c r="U51" s="275"/>
      <c r="V51" s="275"/>
      <c r="W51" s="275"/>
      <c r="X51" s="275"/>
      <c r="Y51" s="275"/>
      <c r="Z51" s="275"/>
      <c r="AA51" s="275"/>
      <c r="AB51" s="418"/>
      <c r="AC51" s="418"/>
      <c r="AD51" s="418"/>
      <c r="AE51" s="418"/>
      <c r="AF51" s="418"/>
      <c r="AG51" s="418"/>
      <c r="AH51" s="418"/>
      <c r="AI51" s="418"/>
      <c r="AJ51" s="418"/>
      <c r="AK51" s="418"/>
      <c r="AL51" s="418"/>
      <c r="AM51" s="418"/>
      <c r="AN51" s="418"/>
      <c r="AO51" s="418"/>
      <c r="AP51" s="418"/>
      <c r="AQ51" s="418"/>
      <c r="AR51" s="418"/>
      <c r="AS51" s="418"/>
      <c r="AT51" s="418"/>
      <c r="AU51" s="418"/>
      <c r="AV51" s="418"/>
      <c r="AW51" s="418"/>
    </row>
    <row r="52" spans="2:57" s="54" customFormat="1" ht="53.25" hidden="1" customHeight="1">
      <c r="B52" s="415"/>
      <c r="C52" s="283"/>
      <c r="D52" s="377"/>
      <c r="E52" s="378"/>
      <c r="F52" s="379"/>
      <c r="G52" s="303"/>
      <c r="H52" s="320"/>
      <c r="I52" s="322"/>
      <c r="J52" s="281"/>
      <c r="K52" s="286"/>
      <c r="L52" s="314"/>
      <c r="M52" s="419"/>
      <c r="N52" s="13"/>
      <c r="O52" s="13"/>
      <c r="P52" s="50"/>
      <c r="R52" s="275"/>
      <c r="S52" s="275"/>
      <c r="T52" s="275"/>
      <c r="U52" s="275"/>
      <c r="V52" s="275"/>
      <c r="W52" s="275"/>
      <c r="X52" s="275"/>
      <c r="Y52" s="275"/>
      <c r="Z52" s="275"/>
      <c r="AA52" s="275"/>
      <c r="AB52" s="57" t="e">
        <f>[20]January_2019!L7</f>
        <v>#REF!</v>
      </c>
      <c r="AC52" s="57" t="e">
        <f>[20]January_2019!M7</f>
        <v>#REF!</v>
      </c>
      <c r="AD52" s="57" t="e">
        <f>[20]January_2019!N7</f>
        <v>#REF!</v>
      </c>
      <c r="AE52" s="57" t="e">
        <f>[20]January_2019!O7</f>
        <v>#REF!</v>
      </c>
      <c r="AF52" s="57" t="e">
        <f>[20]January_2019!P7</f>
        <v>#REF!</v>
      </c>
      <c r="AG52" s="57" t="e">
        <f>[20]January_2019!Q7</f>
        <v>#REF!</v>
      </c>
      <c r="AH52" s="57" t="e">
        <f>[20]January_2019!R7</f>
        <v>#REF!</v>
      </c>
      <c r="AI52" s="57" t="e">
        <f>[20]January_2019!S7</f>
        <v>#REF!</v>
      </c>
      <c r="AJ52" s="57" t="e">
        <f>[20]January_2019!T7</f>
        <v>#REF!</v>
      </c>
      <c r="AK52" s="57" t="e">
        <f>[20]January_2019!U7</f>
        <v>#REF!</v>
      </c>
      <c r="AL52" s="57" t="e">
        <f>[20]January_2019!V7</f>
        <v>#REF!</v>
      </c>
      <c r="AM52" s="57" t="e">
        <f>[20]January_2019!W7</f>
        <v>#REF!</v>
      </c>
      <c r="AN52" s="57" t="e">
        <f>[20]January_2019!X7</f>
        <v>#REF!</v>
      </c>
      <c r="AO52" s="57" t="e">
        <f>[20]January_2019!Y7</f>
        <v>#REF!</v>
      </c>
      <c r="AP52" s="57" t="e">
        <f>[20]January_2019!Z7</f>
        <v>#REF!</v>
      </c>
      <c r="AQ52" s="57" t="e">
        <f>[20]January_2019!AA7</f>
        <v>#REF!</v>
      </c>
      <c r="AR52" s="57" t="e">
        <f>[20]January_2019!AB7</f>
        <v>#REF!</v>
      </c>
      <c r="AS52" s="57" t="e">
        <f>[20]January_2019!AC7</f>
        <v>#REF!</v>
      </c>
      <c r="AT52" s="57" t="e">
        <f>[20]January_2019!AD7</f>
        <v>#REF!</v>
      </c>
      <c r="AU52" s="57" t="e">
        <f>[20]January_2019!AE7</f>
        <v>#REF!</v>
      </c>
      <c r="AV52" s="57" t="e">
        <f>[20]January_2019!AF7</f>
        <v>#REF!</v>
      </c>
      <c r="AW52" s="57" t="e">
        <f>[20]January_2019!AG7</f>
        <v>#REF!</v>
      </c>
      <c r="AX52" s="277" t="e">
        <f>[20]January_2019!AH7</f>
        <v>#REF!</v>
      </c>
      <c r="AY52" s="277"/>
      <c r="AZ52" s="277"/>
      <c r="BA52" s="277"/>
      <c r="BB52" s="277"/>
      <c r="BC52" s="277"/>
      <c r="BD52" s="277"/>
      <c r="BE52" s="277"/>
    </row>
    <row r="53" spans="2:57" s="54" customFormat="1" ht="16.5" hidden="1" customHeight="1">
      <c r="B53" s="431"/>
      <c r="C53" s="283"/>
      <c r="D53" s="377"/>
      <c r="E53" s="378"/>
      <c r="F53" s="379"/>
      <c r="G53" s="303"/>
      <c r="H53" s="320"/>
      <c r="I53" s="322"/>
      <c r="J53" s="281"/>
      <c r="K53" s="286"/>
      <c r="L53" s="314"/>
      <c r="M53" s="419"/>
      <c r="N53" s="13"/>
      <c r="O53" s="13"/>
      <c r="P53" s="50"/>
      <c r="R53" s="275"/>
      <c r="S53" s="275"/>
      <c r="T53" s="275"/>
      <c r="U53" s="275"/>
      <c r="V53" s="275"/>
      <c r="W53" s="275"/>
      <c r="X53" s="275"/>
      <c r="Y53" s="275"/>
      <c r="Z53" s="275"/>
      <c r="AA53" s="275"/>
      <c r="AB53" s="418"/>
      <c r="AC53" s="418"/>
      <c r="AD53" s="418"/>
      <c r="AE53" s="418"/>
      <c r="AF53" s="418"/>
      <c r="AG53" s="418"/>
      <c r="AH53" s="418"/>
      <c r="AI53" s="418"/>
      <c r="AJ53" s="418"/>
      <c r="AK53" s="418"/>
      <c r="AL53" s="418"/>
      <c r="AM53" s="418"/>
      <c r="AN53" s="418"/>
      <c r="AO53" s="418"/>
      <c r="AP53" s="418"/>
      <c r="AQ53" s="418"/>
      <c r="AR53" s="418"/>
      <c r="AS53" s="418"/>
      <c r="AT53" s="418"/>
      <c r="AU53" s="418"/>
      <c r="AV53" s="418"/>
      <c r="AW53" s="418"/>
    </row>
    <row r="54" spans="2:57" ht="18" customHeight="1" thickBot="1">
      <c r="B54" s="59"/>
      <c r="C54" s="309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6"/>
      <c r="P54" s="60"/>
    </row>
    <row r="55" spans="2:57" ht="14.4" thickBot="1">
      <c r="B55" s="441" t="s">
        <v>55</v>
      </c>
      <c r="C55" s="442"/>
      <c r="D55" s="442"/>
      <c r="E55" s="442"/>
      <c r="F55" s="443"/>
      <c r="G55" s="441" t="s">
        <v>56</v>
      </c>
      <c r="H55" s="442"/>
      <c r="I55" s="442"/>
      <c r="J55" s="443"/>
      <c r="K55" s="441" t="s">
        <v>51</v>
      </c>
      <c r="L55" s="442"/>
      <c r="M55" s="442"/>
      <c r="N55" s="444"/>
      <c r="O55" s="56"/>
      <c r="P55" s="50"/>
    </row>
    <row r="56" spans="2:57">
      <c r="B56" s="61" t="s">
        <v>17</v>
      </c>
      <c r="C56" s="62" t="s">
        <v>36</v>
      </c>
      <c r="D56" s="62" t="s">
        <v>37</v>
      </c>
      <c r="E56" s="62" t="s">
        <v>38</v>
      </c>
      <c r="F56" s="63" t="s">
        <v>39</v>
      </c>
      <c r="G56" s="62" t="s">
        <v>36</v>
      </c>
      <c r="H56" s="62" t="s">
        <v>37</v>
      </c>
      <c r="I56" s="62" t="s">
        <v>38</v>
      </c>
      <c r="J56" s="63" t="s">
        <v>39</v>
      </c>
      <c r="K56" s="62" t="s">
        <v>36</v>
      </c>
      <c r="L56" s="62" t="s">
        <v>37</v>
      </c>
      <c r="M56" s="62" t="s">
        <v>38</v>
      </c>
      <c r="N56" s="63" t="s">
        <v>39</v>
      </c>
      <c r="O56" s="56"/>
      <c r="P56" s="64"/>
    </row>
    <row r="57" spans="2:57">
      <c r="B57" s="29" t="s">
        <v>6</v>
      </c>
      <c r="C57" s="65"/>
      <c r="D57" s="76">
        <v>5.4917187865603632</v>
      </c>
      <c r="E57" s="76">
        <v>6.7040148185045947</v>
      </c>
      <c r="F57" s="66">
        <v>4.8</v>
      </c>
      <c r="G57" s="65"/>
      <c r="H57" s="76">
        <v>5.32996660693754</v>
      </c>
      <c r="I57" s="76">
        <v>6.8504060270553824</v>
      </c>
      <c r="J57" s="66">
        <v>4.8</v>
      </c>
      <c r="K57" s="67"/>
      <c r="L57" s="194">
        <v>0.6937163742690059</v>
      </c>
      <c r="M57" s="194">
        <v>0.74916923598409024</v>
      </c>
      <c r="N57" s="68">
        <v>1</v>
      </c>
      <c r="O57" s="56"/>
      <c r="P57" s="69"/>
    </row>
    <row r="58" spans="2:57">
      <c r="B58" s="33" t="s">
        <v>9</v>
      </c>
      <c r="C58" s="65"/>
      <c r="D58" s="76">
        <v>5.0439852168028887</v>
      </c>
      <c r="E58" s="76">
        <v>6.343300060697989</v>
      </c>
      <c r="F58" s="66">
        <v>4.8</v>
      </c>
      <c r="G58" s="65"/>
      <c r="H58" s="76">
        <v>4.5460784546516297</v>
      </c>
      <c r="I58" s="76">
        <v>6.2115415897577293</v>
      </c>
      <c r="J58" s="66">
        <v>4.8</v>
      </c>
      <c r="K58" s="67"/>
      <c r="L58" s="194">
        <v>0.68937621832358675</v>
      </c>
      <c r="M58" s="194">
        <v>0.74681676042233403</v>
      </c>
      <c r="N58" s="68">
        <v>1</v>
      </c>
      <c r="P58" s="69"/>
    </row>
    <row r="59" spans="2:57">
      <c r="B59" s="34" t="s">
        <v>40</v>
      </c>
      <c r="C59" s="65"/>
      <c r="D59" s="76">
        <v>11.315547378104874</v>
      </c>
      <c r="E59" s="76">
        <v>11.904402895054256</v>
      </c>
      <c r="F59" s="66">
        <v>5.5</v>
      </c>
      <c r="G59" s="65"/>
      <c r="H59" s="76">
        <v>11.326481625576006</v>
      </c>
      <c r="I59" s="76">
        <v>13.27623252148428</v>
      </c>
      <c r="J59" s="66">
        <v>5.5</v>
      </c>
      <c r="K59" s="67"/>
      <c r="L59" s="194">
        <v>0.67649122807017548</v>
      </c>
      <c r="M59" s="194">
        <v>0.55663694898464589</v>
      </c>
      <c r="N59" s="68">
        <v>1</v>
      </c>
      <c r="P59" s="69"/>
    </row>
    <row r="60" spans="2:57">
      <c r="B60" s="22" t="s">
        <v>33</v>
      </c>
      <c r="C60" s="65"/>
      <c r="D60" s="76">
        <v>3.4057735971456373</v>
      </c>
      <c r="E60" s="76">
        <v>3.6905871388630067</v>
      </c>
      <c r="F60" s="66">
        <v>3.3</v>
      </c>
      <c r="G60" s="65"/>
      <c r="H60" s="76">
        <v>2.1612156300633463</v>
      </c>
      <c r="I60" s="76">
        <v>4.4964752224031521</v>
      </c>
      <c r="J60" s="66">
        <v>3.3</v>
      </c>
      <c r="K60" s="67"/>
      <c r="L60" s="194">
        <v>1.0449122807017543</v>
      </c>
      <c r="M60" s="194">
        <v>0.90649122807017535</v>
      </c>
      <c r="N60" s="68">
        <v>1</v>
      </c>
      <c r="P60" s="69"/>
    </row>
    <row r="61" spans="2:57">
      <c r="B61" s="35" t="s">
        <v>29</v>
      </c>
      <c r="C61" s="65"/>
      <c r="D61" s="76"/>
      <c r="E61" s="76"/>
      <c r="F61" s="66">
        <v>3.3</v>
      </c>
      <c r="G61" s="282"/>
      <c r="H61" s="76"/>
      <c r="I61" s="76"/>
      <c r="J61" s="66">
        <v>3</v>
      </c>
      <c r="L61" s="194"/>
      <c r="M61" s="194"/>
      <c r="N61" s="68">
        <v>1</v>
      </c>
      <c r="P61" s="69"/>
    </row>
    <row r="62" spans="2:57">
      <c r="B62" s="36" t="s">
        <v>15</v>
      </c>
      <c r="C62" s="282"/>
      <c r="D62" s="76"/>
      <c r="E62" s="76">
        <v>7.8262258425171876</v>
      </c>
      <c r="F62" s="70">
        <f>[21]May_2022!$M$43</f>
        <v>3.4878406700073312</v>
      </c>
      <c r="G62" s="282"/>
      <c r="H62" s="76"/>
      <c r="I62" s="76">
        <v>9.4300678869947632</v>
      </c>
      <c r="J62" s="66">
        <v>5.5</v>
      </c>
      <c r="K62" s="67"/>
      <c r="L62" s="194"/>
      <c r="M62" s="194">
        <v>0.674970760233918</v>
      </c>
      <c r="N62" s="68">
        <v>1</v>
      </c>
      <c r="P62" s="69"/>
    </row>
    <row r="63" spans="2:57">
      <c r="B63" s="37" t="s">
        <v>16</v>
      </c>
      <c r="C63" s="65"/>
      <c r="D63" s="76">
        <v>3.8832609744331941</v>
      </c>
      <c r="E63" s="76">
        <v>2.6202625996215709</v>
      </c>
      <c r="F63" s="66">
        <v>3.3</v>
      </c>
      <c r="G63" s="282"/>
      <c r="H63" s="76">
        <v>4.1755914731086534</v>
      </c>
      <c r="I63" s="76">
        <v>4.4843055604984379</v>
      </c>
      <c r="J63" s="66">
        <v>3.3</v>
      </c>
      <c r="K63" s="67"/>
      <c r="L63" s="194">
        <v>0.69912280701754381</v>
      </c>
      <c r="M63" s="194">
        <v>0.79924705882352942</v>
      </c>
      <c r="N63" s="71">
        <v>1</v>
      </c>
      <c r="P63" s="69"/>
    </row>
    <row r="64" spans="2:57" ht="14.4" thickBot="1">
      <c r="B64" s="38" t="s">
        <v>127</v>
      </c>
      <c r="C64" s="65"/>
      <c r="D64" s="76"/>
      <c r="E64" s="76"/>
      <c r="F64" s="66">
        <v>7.5</v>
      </c>
      <c r="G64" s="282"/>
      <c r="H64" s="76"/>
      <c r="I64" s="76"/>
      <c r="J64" s="66">
        <v>7.5</v>
      </c>
      <c r="K64" s="67"/>
      <c r="L64" s="194"/>
      <c r="M64" s="194"/>
      <c r="N64" s="71">
        <v>1</v>
      </c>
      <c r="P64" s="69"/>
    </row>
    <row r="65" spans="2:16" ht="14.4" thickBot="1">
      <c r="B65" s="417" t="s">
        <v>161</v>
      </c>
      <c r="C65" s="65"/>
      <c r="D65" s="76"/>
      <c r="E65" s="76">
        <v>4.8792508624938291</v>
      </c>
      <c r="F65" s="66">
        <v>4.8</v>
      </c>
      <c r="G65" s="282"/>
      <c r="H65" s="76"/>
      <c r="I65" s="76">
        <v>6.2003723782925313</v>
      </c>
      <c r="J65" s="66">
        <v>4.8</v>
      </c>
      <c r="K65" s="67"/>
      <c r="L65" s="194">
        <v>0</v>
      </c>
      <c r="M65" s="194">
        <v>0.33859649122807017</v>
      </c>
      <c r="N65" s="71">
        <v>1</v>
      </c>
      <c r="O65" s="74"/>
      <c r="P65" s="75"/>
    </row>
    <row r="66" spans="2:16">
      <c r="D66" s="76">
        <v>5.1479786016554518</v>
      </c>
      <c r="E66" s="76">
        <v>6.6653835170126046</v>
      </c>
      <c r="F66" s="341">
        <v>5.5</v>
      </c>
      <c r="H66" s="76">
        <v>5.0977469948443961</v>
      </c>
      <c r="I66" s="76">
        <v>7.1187525056164143</v>
      </c>
      <c r="J66" s="341">
        <v>5.5</v>
      </c>
      <c r="K66" s="67"/>
      <c r="L66" s="194">
        <v>0.71323185414516688</v>
      </c>
      <c r="M66" s="194">
        <v>0.73553917471297492</v>
      </c>
      <c r="N66" s="386">
        <v>1</v>
      </c>
    </row>
    <row r="70" spans="2:16">
      <c r="F70" s="315"/>
    </row>
  </sheetData>
  <mergeCells count="51">
    <mergeCell ref="M4:N4"/>
    <mergeCell ref="S1:T1"/>
    <mergeCell ref="U1:V1"/>
    <mergeCell ref="W1:X1"/>
    <mergeCell ref="Y1:Z1"/>
    <mergeCell ref="B2:O2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I19:N19"/>
    <mergeCell ref="D20:E20"/>
    <mergeCell ref="B21:B32"/>
    <mergeCell ref="D21:E22"/>
    <mergeCell ref="D23:E24"/>
    <mergeCell ref="D25:E26"/>
    <mergeCell ref="D27:E28"/>
    <mergeCell ref="D29:E30"/>
    <mergeCell ref="D31:E32"/>
    <mergeCell ref="B33:B42"/>
    <mergeCell ref="D33:E34"/>
    <mergeCell ref="J33:K33"/>
    <mergeCell ref="L34:N34"/>
    <mergeCell ref="D35:E36"/>
    <mergeCell ref="D37:E38"/>
    <mergeCell ref="D39:E40"/>
    <mergeCell ref="D41:E42"/>
    <mergeCell ref="D43:E43"/>
    <mergeCell ref="B48:B49"/>
    <mergeCell ref="C48:C49"/>
    <mergeCell ref="D48:D49"/>
    <mergeCell ref="E48:E49"/>
    <mergeCell ref="M48:M49"/>
    <mergeCell ref="B55:F55"/>
    <mergeCell ref="G55:J55"/>
    <mergeCell ref="K55:N55"/>
    <mergeCell ref="G48:G49"/>
    <mergeCell ref="H48:H49"/>
    <mergeCell ref="I48:I49"/>
    <mergeCell ref="J48:J49"/>
    <mergeCell ref="K48:K49"/>
    <mergeCell ref="L48:L49"/>
    <mergeCell ref="F48:F49"/>
  </mergeCells>
  <conditionalFormatting sqref="B43:B44">
    <cfRule type="cellIs" dxfId="234" priority="101" operator="notBetween">
      <formula>#REF!</formula>
      <formula>#REF!</formula>
    </cfRule>
  </conditionalFormatting>
  <conditionalFormatting sqref="C47">
    <cfRule type="cellIs" dxfId="233" priority="133" stopIfTrue="1" operator="greaterThan">
      <formula>100</formula>
    </cfRule>
    <cfRule type="cellIs" dxfId="232" priority="132" stopIfTrue="1" operator="lessThan">
      <formula>96</formula>
    </cfRule>
  </conditionalFormatting>
  <conditionalFormatting sqref="C57:C58">
    <cfRule type="cellIs" dxfId="231" priority="79" stopIfTrue="1" operator="lessThanOrEqual">
      <formula>0</formula>
    </cfRule>
  </conditionalFormatting>
  <conditionalFormatting sqref="C57:C61">
    <cfRule type="cellIs" dxfId="230" priority="78" stopIfTrue="1" operator="greaterThan">
      <formula>$F57</formula>
    </cfRule>
  </conditionalFormatting>
  <conditionalFormatting sqref="C58">
    <cfRule type="cellIs" dxfId="229" priority="136" stopIfTrue="1" operator="greaterThan">
      <formula>$F57</formula>
    </cfRule>
  </conditionalFormatting>
  <conditionalFormatting sqref="C59:C62">
    <cfRule type="cellIs" dxfId="228" priority="85" stopIfTrue="1" operator="lessThanOrEqual">
      <formula>0</formula>
    </cfRule>
  </conditionalFormatting>
  <conditionalFormatting sqref="C62">
    <cfRule type="cellIs" dxfId="227" priority="84" stopIfTrue="1" operator="greaterThan">
      <formula>$J62</formula>
    </cfRule>
  </conditionalFormatting>
  <conditionalFormatting sqref="C68:C72">
    <cfRule type="cellIs" dxfId="226" priority="124" stopIfTrue="1" operator="lessThanOrEqual">
      <formula>0</formula>
    </cfRule>
  </conditionalFormatting>
  <conditionalFormatting sqref="C69:C72">
    <cfRule type="cellIs" dxfId="225" priority="123" stopIfTrue="1" operator="greaterThan">
      <formula>$F$68</formula>
    </cfRule>
  </conditionalFormatting>
  <conditionalFormatting sqref="C74">
    <cfRule type="cellIs" dxfId="224" priority="126" stopIfTrue="1" operator="lessThanOrEqual">
      <formula>0</formula>
    </cfRule>
    <cfRule type="cellIs" dxfId="223" priority="125" stopIfTrue="1" operator="greaterThan">
      <formula>$F$68</formula>
    </cfRule>
  </conditionalFormatting>
  <conditionalFormatting sqref="C68:D68 D70:D76">
    <cfRule type="cellIs" dxfId="222" priority="118" stopIfTrue="1" operator="greaterThan">
      <formula>4.5</formula>
    </cfRule>
  </conditionalFormatting>
  <conditionalFormatting sqref="D43:D44">
    <cfRule type="cellIs" dxfId="221" priority="102" operator="notBetween">
      <formula>#REF!</formula>
      <formula>#REF!</formula>
    </cfRule>
  </conditionalFormatting>
  <conditionalFormatting sqref="D57:D64">
    <cfRule type="cellIs" dxfId="220" priority="95" stopIfTrue="1" operator="lessThanOrEqual">
      <formula>0</formula>
    </cfRule>
  </conditionalFormatting>
  <conditionalFormatting sqref="D65">
    <cfRule type="cellIs" dxfId="219" priority="94" stopIfTrue="1" operator="lessThanOrEqual">
      <formula>0</formula>
    </cfRule>
  </conditionalFormatting>
  <conditionalFormatting sqref="D68 D70:D76">
    <cfRule type="cellIs" dxfId="218" priority="119" stopIfTrue="1" operator="lessThanOrEqual">
      <formula>0</formula>
    </cfRule>
  </conditionalFormatting>
  <conditionalFormatting sqref="D69">
    <cfRule type="cellIs" dxfId="217" priority="110" stopIfTrue="1" operator="greaterThan">
      <formula>$F$68</formula>
    </cfRule>
    <cfRule type="cellIs" dxfId="216" priority="111" stopIfTrue="1" operator="lessThanOrEqual">
      <formula>0</formula>
    </cfRule>
  </conditionalFormatting>
  <conditionalFormatting sqref="D57:E66">
    <cfRule type="cellIs" dxfId="215" priority="75" stopIfTrue="1" operator="greaterThan">
      <formula>$F57</formula>
    </cfRule>
  </conditionalFormatting>
  <conditionalFormatting sqref="D66:E66">
    <cfRule type="cellIs" dxfId="214" priority="76" stopIfTrue="1" operator="lessThanOrEqual">
      <formula>0</formula>
    </cfRule>
  </conditionalFormatting>
  <conditionalFormatting sqref="E10:E18">
    <cfRule type="cellIs" dxfId="213" priority="15" operator="lessThan">
      <formula>48</formula>
    </cfRule>
  </conditionalFormatting>
  <conditionalFormatting sqref="E46 E47:F47">
    <cfRule type="cellIs" dxfId="212" priority="115" stopIfTrue="1" operator="greaterThan">
      <formula>100</formula>
    </cfRule>
  </conditionalFormatting>
  <conditionalFormatting sqref="E47">
    <cfRule type="cellIs" dxfId="211" priority="112" stopIfTrue="1" operator="lessThan">
      <formula>96.8</formula>
    </cfRule>
    <cfRule type="cellIs" dxfId="210" priority="113" stopIfTrue="1" operator="greaterThan">
      <formula>100</formula>
    </cfRule>
  </conditionalFormatting>
  <conditionalFormatting sqref="E57:E65">
    <cfRule type="cellIs" dxfId="209" priority="89" stopIfTrue="1" operator="lessThanOrEqual">
      <formula>0</formula>
    </cfRule>
  </conditionalFormatting>
  <conditionalFormatting sqref="E68:E76">
    <cfRule type="cellIs" dxfId="208" priority="104" stopIfTrue="1" operator="greaterThan">
      <formula>4.5</formula>
    </cfRule>
    <cfRule type="cellIs" dxfId="207" priority="105" stopIfTrue="1" operator="lessThanOrEqual">
      <formula>0</formula>
    </cfRule>
  </conditionalFormatting>
  <conditionalFormatting sqref="E47:F47 E46">
    <cfRule type="cellIs" dxfId="206" priority="114" stopIfTrue="1" operator="lessThan">
      <formula>96.5</formula>
    </cfRule>
  </conditionalFormatting>
  <conditionalFormatting sqref="F10:F18">
    <cfRule type="cellIs" dxfId="205" priority="16" operator="greaterThan">
      <formula>60</formula>
    </cfRule>
  </conditionalFormatting>
  <conditionalFormatting sqref="F47">
    <cfRule type="cellIs" dxfId="204" priority="130" stopIfTrue="1" operator="lessThan">
      <formula>96.8</formula>
    </cfRule>
    <cfRule type="cellIs" dxfId="203" priority="131" stopIfTrue="1" operator="greaterThan">
      <formula>100</formula>
    </cfRule>
  </conditionalFormatting>
  <conditionalFormatting sqref="F66">
    <cfRule type="cellIs" dxfId="202" priority="91" stopIfTrue="1" operator="lessThanOrEqual">
      <formula>0</formula>
    </cfRule>
    <cfRule type="cellIs" dxfId="201" priority="90" stopIfTrue="1" operator="greaterThan">
      <formula>$F66</formula>
    </cfRule>
  </conditionalFormatting>
  <conditionalFormatting sqref="G57:G58 C63:C65">
    <cfRule type="cellIs" dxfId="200" priority="97" stopIfTrue="1" operator="lessThanOrEqual">
      <formula>0</formula>
    </cfRule>
    <cfRule type="cellIs" dxfId="199" priority="96" stopIfTrue="1" operator="greaterThan">
      <formula>$F57</formula>
    </cfRule>
  </conditionalFormatting>
  <conditionalFormatting sqref="G57:G58">
    <cfRule type="cellIs" dxfId="198" priority="81" stopIfTrue="1" operator="lessThanOrEqual">
      <formula>0</formula>
    </cfRule>
    <cfRule type="cellIs" dxfId="197" priority="80" stopIfTrue="1" operator="greaterThan">
      <formula>$F57</formula>
    </cfRule>
  </conditionalFormatting>
  <conditionalFormatting sqref="G59">
    <cfRule type="cellIs" dxfId="196" priority="134" stopIfTrue="1" operator="greaterThan">
      <formula>$F58</formula>
    </cfRule>
    <cfRule type="cellIs" dxfId="195" priority="135" stopIfTrue="1" operator="lessThanOrEqual">
      <formula>0</formula>
    </cfRule>
  </conditionalFormatting>
  <conditionalFormatting sqref="G60">
    <cfRule type="cellIs" dxfId="194" priority="92" stopIfTrue="1" operator="greaterThan">
      <formula>$F60</formula>
    </cfRule>
    <cfRule type="cellIs" dxfId="193" priority="93" stopIfTrue="1" operator="lessThanOrEqual">
      <formula>0</formula>
    </cfRule>
  </conditionalFormatting>
  <conditionalFormatting sqref="G61:G65">
    <cfRule type="cellIs" dxfId="192" priority="99" stopIfTrue="1" operator="lessThanOrEqual">
      <formula>0</formula>
    </cfRule>
    <cfRule type="cellIs" dxfId="191" priority="98" stopIfTrue="1" operator="greaterThan">
      <formula>$J61</formula>
    </cfRule>
  </conditionalFormatting>
  <conditionalFormatting sqref="G70:G75 C73 C75">
    <cfRule type="cellIs" dxfId="190" priority="127" stopIfTrue="1" operator="greaterThan">
      <formula>4.5</formula>
    </cfRule>
    <cfRule type="cellIs" dxfId="189" priority="128" stopIfTrue="1" operator="lessThanOrEqual">
      <formula>0</formula>
    </cfRule>
  </conditionalFormatting>
  <conditionalFormatting sqref="G10:H18">
    <cfRule type="expression" dxfId="188" priority="17">
      <formula>IF(+(IF(G10&lt;#REF!,0,IF(G10&gt;#REF!,0,1)))=0,1)</formula>
    </cfRule>
  </conditionalFormatting>
  <conditionalFormatting sqref="G69:H69">
    <cfRule type="cellIs" dxfId="187" priority="109" stopIfTrue="1" operator="lessThanOrEqual">
      <formula>0</formula>
    </cfRule>
    <cfRule type="cellIs" dxfId="186" priority="108" stopIfTrue="1" operator="greaterThan">
      <formula>$F$68</formula>
    </cfRule>
  </conditionalFormatting>
  <conditionalFormatting sqref="H32:H46 I34:I45">
    <cfRule type="cellIs" dxfId="185" priority="106" stopIfTrue="1" operator="greaterThan">
      <formula>0</formula>
    </cfRule>
  </conditionalFormatting>
  <conditionalFormatting sqref="H50">
    <cfRule type="cellIs" dxfId="184" priority="29" stopIfTrue="1" operator="greaterThan">
      <formula>$F$24</formula>
    </cfRule>
    <cfRule type="cellIs" dxfId="183" priority="39" stopIfTrue="1" operator="greaterThan">
      <formula>$F$25</formula>
    </cfRule>
    <cfRule type="cellIs" dxfId="182" priority="28" stopIfTrue="1" operator="lessThanOrEqual">
      <formula>0</formula>
    </cfRule>
    <cfRule type="cellIs" dxfId="181" priority="37" stopIfTrue="1" operator="greaterThan">
      <formula>$F$27</formula>
    </cfRule>
    <cfRule type="cellIs" dxfId="180" priority="38" stopIfTrue="1" operator="lessThanOrEqual">
      <formula>0</formula>
    </cfRule>
    <cfRule type="cellIs" dxfId="179" priority="40" stopIfTrue="1" operator="lessThanOrEqual">
      <formula>0</formula>
    </cfRule>
  </conditionalFormatting>
  <conditionalFormatting sqref="H51:H53">
    <cfRule type="cellIs" dxfId="178" priority="49" stopIfTrue="1" operator="greaterThan">
      <formula>$F$31</formula>
    </cfRule>
    <cfRule type="cellIs" dxfId="177" priority="60" stopIfTrue="1" operator="lessThanOrEqual">
      <formula>0</formula>
    </cfRule>
    <cfRule type="cellIs" dxfId="176" priority="57" stopIfTrue="1" operator="greaterThan">
      <formula>$F$34</formula>
    </cfRule>
    <cfRule type="cellIs" dxfId="175" priority="48" stopIfTrue="1" operator="lessThanOrEqual">
      <formula>0</formula>
    </cfRule>
    <cfRule type="cellIs" dxfId="174" priority="59" stopIfTrue="1" operator="greaterThan">
      <formula>$F$32</formula>
    </cfRule>
    <cfRule type="cellIs" dxfId="173" priority="58" stopIfTrue="1" operator="lessThanOrEqual">
      <formula>0</formula>
    </cfRule>
  </conditionalFormatting>
  <conditionalFormatting sqref="H57:H64">
    <cfRule type="cellIs" dxfId="172" priority="82" stopIfTrue="1" operator="greaterThan">
      <formula>$J57</formula>
    </cfRule>
    <cfRule type="cellIs" dxfId="171" priority="83" stopIfTrue="1" operator="lessThanOrEqual">
      <formula>0</formula>
    </cfRule>
  </conditionalFormatting>
  <conditionalFormatting sqref="H65">
    <cfRule type="cellIs" dxfId="170" priority="86" operator="greaterThan">
      <formula>5.3</formula>
    </cfRule>
  </conditionalFormatting>
  <conditionalFormatting sqref="H68 H70:H76">
    <cfRule type="cellIs" dxfId="169" priority="120" stopIfTrue="1" operator="greaterThan">
      <formula>4.5</formula>
    </cfRule>
    <cfRule type="cellIs" dxfId="168" priority="121" stopIfTrue="1" operator="lessThanOrEqual">
      <formula>0</formula>
    </cfRule>
  </conditionalFormatting>
  <conditionalFormatting sqref="H50:I50">
    <cfRule type="cellIs" dxfId="167" priority="30" stopIfTrue="1" operator="lessThanOrEqual">
      <formula>0</formula>
    </cfRule>
    <cfRule type="cellIs" dxfId="166" priority="27" stopIfTrue="1" operator="greaterThan">
      <formula>$F$26</formula>
    </cfRule>
  </conditionalFormatting>
  <conditionalFormatting sqref="H51:I53">
    <cfRule type="cellIs" dxfId="165" priority="47" stopIfTrue="1" operator="greaterThan">
      <formula>$F$33</formula>
    </cfRule>
    <cfRule type="cellIs" dxfId="164" priority="50" stopIfTrue="1" operator="lessThanOrEqual">
      <formula>0</formula>
    </cfRule>
  </conditionalFormatting>
  <conditionalFormatting sqref="H66:I66">
    <cfRule type="cellIs" dxfId="163" priority="74" stopIfTrue="1" operator="lessThanOrEqual">
      <formula>0</formula>
    </cfRule>
    <cfRule type="cellIs" dxfId="162" priority="73" stopIfTrue="1" operator="greaterThan">
      <formula>$J66</formula>
    </cfRule>
  </conditionalFormatting>
  <conditionalFormatting sqref="I50">
    <cfRule type="cellIs" dxfId="161" priority="34" stopIfTrue="1" operator="lessThanOrEqual">
      <formula>0</formula>
    </cfRule>
    <cfRule type="cellIs" dxfId="160" priority="33" stopIfTrue="1" operator="greaterThan">
      <formula>$F$26</formula>
    </cfRule>
    <cfRule type="cellIs" dxfId="159" priority="32" stopIfTrue="1" operator="lessThanOrEqual">
      <formula>0</formula>
    </cfRule>
    <cfRule type="cellIs" dxfId="158" priority="36" stopIfTrue="1" operator="lessThanOrEqual">
      <formula>0</formula>
    </cfRule>
    <cfRule type="cellIs" dxfId="157" priority="35" stopIfTrue="1" operator="greaterThan">
      <formula>$F$24</formula>
    </cfRule>
    <cfRule type="cellIs" dxfId="156" priority="31" stopIfTrue="1" operator="greaterThan">
      <formula>$F$24</formula>
    </cfRule>
  </conditionalFormatting>
  <conditionalFormatting sqref="I51:I53">
    <cfRule type="cellIs" dxfId="155" priority="54" stopIfTrue="1" operator="lessThanOrEqual">
      <formula>0</formula>
    </cfRule>
    <cfRule type="cellIs" dxfId="154" priority="51" stopIfTrue="1" operator="greaterThan">
      <formula>$F$31</formula>
    </cfRule>
    <cfRule type="cellIs" dxfId="153" priority="52" stopIfTrue="1" operator="lessThanOrEqual">
      <formula>0</formula>
    </cfRule>
    <cfRule type="cellIs" dxfId="152" priority="53" stopIfTrue="1" operator="greaterThan">
      <formula>$F$33</formula>
    </cfRule>
    <cfRule type="cellIs" dxfId="151" priority="55" stopIfTrue="1" operator="greaterThan">
      <formula>$F$31</formula>
    </cfRule>
    <cfRule type="cellIs" dxfId="150" priority="56" stopIfTrue="1" operator="lessThanOrEqual">
      <formula>0</formula>
    </cfRule>
  </conditionalFormatting>
  <conditionalFormatting sqref="I57:I65">
    <cfRule type="cellIs" dxfId="149" priority="87" stopIfTrue="1" operator="greaterThan">
      <formula>$J57</formula>
    </cfRule>
    <cfRule type="cellIs" dxfId="148" priority="88" stopIfTrue="1" operator="lessThanOrEqual">
      <formula>0</formula>
    </cfRule>
  </conditionalFormatting>
  <conditionalFormatting sqref="I68:I76">
    <cfRule type="cellIs" dxfId="147" priority="117" stopIfTrue="1" operator="lessThanOrEqual">
      <formula>0</formula>
    </cfRule>
    <cfRule type="cellIs" dxfId="146" priority="116" stopIfTrue="1" operator="greaterThan">
      <formula>4.5</formula>
    </cfRule>
  </conditionalFormatting>
  <conditionalFormatting sqref="I10:J18">
    <cfRule type="cellIs" dxfId="145" priority="22" operator="lessThan">
      <formula>97.9</formula>
    </cfRule>
  </conditionalFormatting>
  <conditionalFormatting sqref="J21:J23">
    <cfRule type="cellIs" dxfId="144" priority="63" stopIfTrue="1" operator="lessThan">
      <formula>96.8</formula>
    </cfRule>
    <cfRule type="cellIs" dxfId="143" priority="65" operator="lessThan">
      <formula>98</formula>
    </cfRule>
    <cfRule type="cellIs" dxfId="142" priority="64" stopIfTrue="1" operator="greaterThan">
      <formula>100</formula>
    </cfRule>
  </conditionalFormatting>
  <conditionalFormatting sqref="J21:J25">
    <cfRule type="cellIs" dxfId="141" priority="62" operator="lessThan">
      <formula>97.4</formula>
    </cfRule>
  </conditionalFormatting>
  <conditionalFormatting sqref="J26">
    <cfRule type="cellIs" dxfId="140" priority="66" operator="lessThan">
      <formula>98</formula>
    </cfRule>
  </conditionalFormatting>
  <conditionalFormatting sqref="J27:J29">
    <cfRule type="cellIs" dxfId="139" priority="68" stopIfTrue="1" operator="greaterThan">
      <formula>100</formula>
    </cfRule>
    <cfRule type="cellIs" dxfId="138" priority="67" stopIfTrue="1" operator="lessThan">
      <formula>96.8</formula>
    </cfRule>
  </conditionalFormatting>
  <conditionalFormatting sqref="J27:J30">
    <cfRule type="cellIs" dxfId="137" priority="69" operator="lessThan">
      <formula>98</formula>
    </cfRule>
  </conditionalFormatting>
  <conditionalFormatting sqref="J66">
    <cfRule type="cellIs" dxfId="136" priority="71" stopIfTrue="1" operator="lessThanOrEqual">
      <formula>0</formula>
    </cfRule>
    <cfRule type="cellIs" dxfId="135" priority="70" stopIfTrue="1" operator="greaterThan">
      <formula>$F66</formula>
    </cfRule>
  </conditionalFormatting>
  <conditionalFormatting sqref="K10:K18">
    <cfRule type="cellIs" dxfId="134" priority="19" operator="greaterThan">
      <formula>6</formula>
    </cfRule>
    <cfRule type="cellIs" dxfId="133" priority="20" operator="lessThan">
      <formula>4</formula>
    </cfRule>
    <cfRule type="cellIs" dxfId="132" priority="21" operator="greaterThan">
      <formula>6.4</formula>
    </cfRule>
  </conditionalFormatting>
  <conditionalFormatting sqref="K35:K44">
    <cfRule type="cellIs" dxfId="131" priority="61" operator="notEqual">
      <formula>#REF!</formula>
    </cfRule>
  </conditionalFormatting>
  <conditionalFormatting sqref="K50:K53">
    <cfRule type="cellIs" dxfId="130" priority="45" stopIfTrue="1" operator="lessThan">
      <formula>100%</formula>
    </cfRule>
  </conditionalFormatting>
  <conditionalFormatting sqref="K68:K73">
    <cfRule type="cellIs" dxfId="129" priority="122" stopIfTrue="1" operator="lessThan">
      <formula>100%</formula>
    </cfRule>
  </conditionalFormatting>
  <conditionalFormatting sqref="K75:K76">
    <cfRule type="cellIs" dxfId="128" priority="129" stopIfTrue="1" operator="lessThan">
      <formula>100%</formula>
    </cfRule>
  </conditionalFormatting>
  <conditionalFormatting sqref="K57:N60 L61:N61">
    <cfRule type="cellIs" dxfId="127" priority="100" stopIfTrue="1" operator="lessThan">
      <formula>100%</formula>
    </cfRule>
  </conditionalFormatting>
  <conditionalFormatting sqref="K62:N66">
    <cfRule type="cellIs" dxfId="126" priority="72" stopIfTrue="1" operator="lessThan">
      <formula>100%</formula>
    </cfRule>
  </conditionalFormatting>
  <conditionalFormatting sqref="L10:M12 L13:L18">
    <cfRule type="cellIs" dxfId="125" priority="42" operator="greaterThan">
      <formula>65</formula>
    </cfRule>
    <cfRule type="cellIs" dxfId="124" priority="41" operator="between">
      <formula>61</formula>
      <formula>65</formula>
    </cfRule>
  </conditionalFormatting>
  <conditionalFormatting sqref="L36:N36">
    <cfRule type="cellIs" dxfId="123" priority="46" operator="notEqual">
      <formula>#REF!</formula>
    </cfRule>
  </conditionalFormatting>
  <conditionalFormatting sqref="L68:N76">
    <cfRule type="cellIs" dxfId="122" priority="107" stopIfTrue="1" operator="lessThan">
      <formula>100%</formula>
    </cfRule>
  </conditionalFormatting>
  <conditionalFormatting sqref="M10:M18">
    <cfRule type="expression" dxfId="121" priority="18">
      <formula>IF(+(IF(M10&lt;U10,0,IF(M10&gt;V10,0,1)))=0,1)</formula>
    </cfRule>
  </conditionalFormatting>
  <conditionalFormatting sqref="M21 L22:M32">
    <cfRule type="cellIs" dxfId="120" priority="77" operator="lessThan">
      <formula>98</formula>
    </cfRule>
  </conditionalFormatting>
  <conditionalFormatting sqref="N10:N18">
    <cfRule type="expression" dxfId="119" priority="14">
      <formula>IF(+(IF(N10&lt;W10,0,IF(N10&gt;X10,0,1)))=0,1)</formula>
    </cfRule>
  </conditionalFormatting>
  <conditionalFormatting sqref="P6">
    <cfRule type="cellIs" dxfId="118" priority="103" operator="greaterThanOrEqual">
      <formula>19</formula>
    </cfRule>
  </conditionalFormatting>
  <dataValidations count="1">
    <dataValidation type="list" allowBlank="1" showInputMessage="1" showErrorMessage="1" sqref="R8" xr:uid="{45C7C581-2111-458A-9054-B981FA0D3813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0" max="16383" man="1"/>
  </rowBreaks>
  <colBreaks count="1" manualBreakCount="1">
    <brk id="15" max="89" man="1"/>
  </col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E562-2803-4B28-B945-C654130E939F}">
  <sheetPr>
    <pageSetUpPr fitToPage="1"/>
  </sheetPr>
  <dimension ref="A1:BE76"/>
  <sheetViews>
    <sheetView topLeftCell="A4" zoomScale="60" zoomScaleNormal="60" workbookViewId="0">
      <selection activeCell="O44" sqref="O44"/>
    </sheetView>
  </sheetViews>
  <sheetFormatPr defaultColWidth="9.44140625" defaultRowHeight="13.8"/>
  <cols>
    <col min="1" max="1" width="3.33203125" style="275" customWidth="1"/>
    <col min="2" max="2" width="31.33203125" style="275" customWidth="1"/>
    <col min="3" max="3" width="19" style="275" customWidth="1"/>
    <col min="4" max="5" width="15.33203125" style="275" customWidth="1"/>
    <col min="6" max="6" width="16.6640625" style="275" customWidth="1"/>
    <col min="7" max="8" width="13.6640625" style="275" customWidth="1"/>
    <col min="9" max="9" width="18" style="275" customWidth="1"/>
    <col min="10" max="10" width="31.5546875" style="275" customWidth="1"/>
    <col min="11" max="11" width="25.6640625" style="275" customWidth="1"/>
    <col min="12" max="12" width="15.6640625" style="275" customWidth="1"/>
    <col min="13" max="13" width="20.6640625" style="275" customWidth="1"/>
    <col min="14" max="14" width="13.33203125" style="275" customWidth="1"/>
    <col min="15" max="15" width="21.33203125" style="275" customWidth="1"/>
    <col min="16" max="16" width="82.5546875" style="6" customWidth="1"/>
    <col min="17" max="17" width="16.5546875" style="275" customWidth="1"/>
    <col min="18" max="18" width="15.6640625" style="275" bestFit="1" customWidth="1"/>
    <col min="19" max="19" width="12.44140625" style="275" customWidth="1"/>
    <col min="20" max="20" width="15" style="275" customWidth="1"/>
    <col min="21" max="21" width="12" style="275" customWidth="1"/>
    <col min="22" max="22" width="10.44140625" style="275" customWidth="1"/>
    <col min="23" max="23" width="11.44140625" style="275" customWidth="1"/>
    <col min="24" max="24" width="10.44140625" style="275" customWidth="1"/>
    <col min="25" max="25" width="8.44140625" style="275" customWidth="1"/>
    <col min="26" max="26" width="9.5546875" style="275" customWidth="1"/>
    <col min="27" max="27" width="8.44140625" style="275" customWidth="1"/>
    <col min="28" max="29" width="7.5546875" style="275" customWidth="1"/>
    <col min="30" max="51" width="9.44140625" style="275"/>
    <col min="52" max="52" width="1.5546875" style="275" customWidth="1"/>
    <col min="53" max="54" width="9.44140625" style="275"/>
    <col min="55" max="56" width="15.44140625" style="275" customWidth="1"/>
    <col min="57" max="16384" width="9.44140625" style="275"/>
  </cols>
  <sheetData>
    <row r="1" spans="2:29" ht="14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R1" s="3"/>
      <c r="S1" s="492" t="s">
        <v>0</v>
      </c>
      <c r="T1" s="492"/>
      <c r="U1" s="492" t="s">
        <v>1</v>
      </c>
      <c r="V1" s="492"/>
      <c r="W1" s="492" t="s">
        <v>2</v>
      </c>
      <c r="X1" s="492"/>
      <c r="Y1" s="492" t="s">
        <v>124</v>
      </c>
      <c r="Z1" s="492"/>
    </row>
    <row r="2" spans="2:29" ht="14.4">
      <c r="B2" s="493" t="s">
        <v>3</v>
      </c>
      <c r="C2" s="493"/>
      <c r="D2" s="493"/>
      <c r="E2" s="493"/>
      <c r="F2" s="493"/>
      <c r="G2" s="493"/>
      <c r="H2" s="493"/>
      <c r="I2" s="493"/>
      <c r="J2" s="493"/>
      <c r="K2" s="493"/>
      <c r="L2" s="493"/>
      <c r="M2" s="493"/>
      <c r="N2" s="493"/>
      <c r="O2" s="493"/>
      <c r="P2" s="4"/>
      <c r="R2" s="3"/>
      <c r="S2" s="3" t="s">
        <v>4</v>
      </c>
      <c r="T2" s="3" t="s">
        <v>5</v>
      </c>
      <c r="U2" s="3" t="s">
        <v>4</v>
      </c>
      <c r="V2" s="3" t="s">
        <v>5</v>
      </c>
      <c r="W2" s="3" t="s">
        <v>4</v>
      </c>
      <c r="X2" s="3" t="s">
        <v>5</v>
      </c>
      <c r="Y2" s="3" t="s">
        <v>4</v>
      </c>
      <c r="Z2" s="3" t="s">
        <v>5</v>
      </c>
    </row>
    <row r="3" spans="2:29" ht="14.25" customHeight="1">
      <c r="B3" s="5"/>
      <c r="R3" s="3" t="s">
        <v>6</v>
      </c>
      <c r="S3" s="7">
        <v>11.6</v>
      </c>
      <c r="T3" s="8">
        <v>12</v>
      </c>
      <c r="U3" s="9">
        <v>0</v>
      </c>
      <c r="V3" s="10">
        <v>0.118055555555556</v>
      </c>
      <c r="W3" s="10">
        <v>0.22569444444444445</v>
      </c>
      <c r="X3" s="10">
        <v>0.2638888888888889</v>
      </c>
      <c r="Y3" s="273">
        <v>0</v>
      </c>
      <c r="Z3" s="7">
        <v>60</v>
      </c>
      <c r="AB3" s="275" t="s">
        <v>135</v>
      </c>
    </row>
    <row r="4" spans="2:29" ht="30.75" customHeight="1">
      <c r="B4" s="301" t="s">
        <v>133</v>
      </c>
      <c r="C4" s="424">
        <v>45810</v>
      </c>
      <c r="J4" s="399" t="s">
        <v>215</v>
      </c>
      <c r="K4" s="399"/>
      <c r="L4" s="11"/>
      <c r="M4" s="514" t="s">
        <v>8</v>
      </c>
      <c r="N4" s="515"/>
      <c r="P4" s="12"/>
      <c r="R4" s="3" t="s">
        <v>9</v>
      </c>
      <c r="S4" s="7">
        <v>11.6</v>
      </c>
      <c r="T4" s="8">
        <v>12</v>
      </c>
      <c r="U4" s="9">
        <v>0</v>
      </c>
      <c r="V4" s="10">
        <v>0.118055555555556</v>
      </c>
      <c r="W4" s="10">
        <v>0.22569444444444445</v>
      </c>
      <c r="X4" s="10">
        <v>0.2638888888888889</v>
      </c>
      <c r="Y4" s="273">
        <v>0</v>
      </c>
      <c r="Z4" s="7">
        <v>60</v>
      </c>
      <c r="AA4" s="13"/>
      <c r="AB4" s="13"/>
      <c r="AC4" s="13"/>
    </row>
    <row r="5" spans="2:29" ht="12.75" customHeight="1" thickBot="1">
      <c r="B5" s="1"/>
      <c r="C5" s="511"/>
      <c r="D5" s="511"/>
      <c r="J5" s="404"/>
      <c r="K5" s="404"/>
      <c r="L5" s="11"/>
      <c r="M5" s="14" t="s">
        <v>10</v>
      </c>
      <c r="N5" s="14" t="s">
        <v>11</v>
      </c>
      <c r="P5" s="12"/>
      <c r="R5" s="3" t="s">
        <v>12</v>
      </c>
      <c r="S5" s="7">
        <v>17</v>
      </c>
      <c r="T5" s="8">
        <v>17.5</v>
      </c>
      <c r="U5" s="9">
        <v>0</v>
      </c>
      <c r="V5" s="10">
        <v>0.1076388888888889</v>
      </c>
      <c r="W5" s="10">
        <v>0.24652777777777779</v>
      </c>
      <c r="X5" s="10">
        <v>0.28472222222222221</v>
      </c>
      <c r="Y5" s="273">
        <v>0</v>
      </c>
      <c r="Z5" s="274">
        <v>60</v>
      </c>
      <c r="AA5" s="13"/>
      <c r="AB5" s="13"/>
      <c r="AC5" s="13"/>
    </row>
    <row r="6" spans="2:29" ht="14.25" customHeight="1">
      <c r="B6" s="15"/>
      <c r="C6" s="1"/>
      <c r="D6" s="1"/>
      <c r="J6" s="400" t="s">
        <v>216</v>
      </c>
      <c r="K6" s="401"/>
      <c r="L6" s="311" t="s">
        <v>14</v>
      </c>
      <c r="M6" s="340"/>
      <c r="N6" s="340"/>
      <c r="P6" s="16"/>
      <c r="R6" s="3" t="s">
        <v>15</v>
      </c>
      <c r="S6" s="7">
        <v>13.3</v>
      </c>
      <c r="T6" s="8">
        <v>13.5</v>
      </c>
      <c r="U6" s="9">
        <v>0</v>
      </c>
      <c r="V6" s="9">
        <v>0.12905092592592593</v>
      </c>
      <c r="W6" s="10">
        <v>0.27430555555555552</v>
      </c>
      <c r="X6" s="10">
        <v>0.30208333333333331</v>
      </c>
      <c r="Y6" s="273">
        <v>0</v>
      </c>
      <c r="Z6" s="274"/>
      <c r="AA6" s="13"/>
      <c r="AB6" s="13"/>
      <c r="AC6" s="13"/>
    </row>
    <row r="7" spans="2:29" ht="13.35" customHeight="1" thickBot="1">
      <c r="J7" s="402"/>
      <c r="K7" s="403"/>
      <c r="R7" s="3" t="s">
        <v>16</v>
      </c>
      <c r="S7" s="7">
        <v>17.100000000000001</v>
      </c>
      <c r="T7" s="8">
        <v>17.5</v>
      </c>
      <c r="U7" s="9">
        <v>0</v>
      </c>
      <c r="V7" s="9">
        <v>0.13605324074074074</v>
      </c>
      <c r="W7" s="10">
        <v>0.27430555555555552</v>
      </c>
      <c r="X7" s="10">
        <v>0.30902777777777779</v>
      </c>
      <c r="Y7" s="273">
        <v>0</v>
      </c>
      <c r="Z7" s="274">
        <v>60</v>
      </c>
      <c r="AA7" s="13"/>
      <c r="AB7" s="13"/>
      <c r="AC7" s="13"/>
    </row>
    <row r="8" spans="2:29" ht="25.5" customHeight="1">
      <c r="B8" s="451" t="s">
        <v>17</v>
      </c>
      <c r="C8" s="461" t="s">
        <v>18</v>
      </c>
      <c r="D8" s="461" t="s">
        <v>19</v>
      </c>
      <c r="E8" s="356" t="s">
        <v>20</v>
      </c>
      <c r="F8" s="356" t="s">
        <v>21</v>
      </c>
      <c r="G8" s="461" t="s">
        <v>22</v>
      </c>
      <c r="H8" s="502" t="s">
        <v>144</v>
      </c>
      <c r="I8" s="461" t="s">
        <v>169</v>
      </c>
      <c r="J8" s="504" t="s">
        <v>23</v>
      </c>
      <c r="K8" s="506" t="s">
        <v>142</v>
      </c>
      <c r="L8" s="508" t="s">
        <v>24</v>
      </c>
      <c r="M8" s="359" t="s">
        <v>25</v>
      </c>
      <c r="N8" s="17" t="s">
        <v>26</v>
      </c>
      <c r="O8" s="455" t="s">
        <v>155</v>
      </c>
      <c r="P8" s="523"/>
      <c r="R8" s="3" t="s">
        <v>125</v>
      </c>
      <c r="S8" s="7">
        <v>16.600000000000001</v>
      </c>
      <c r="T8" s="8">
        <v>17</v>
      </c>
      <c r="U8" s="9">
        <v>0</v>
      </c>
      <c r="V8" s="9">
        <v>0.12905092592592593</v>
      </c>
      <c r="W8" s="10">
        <v>0.27430555555555552</v>
      </c>
      <c r="X8" s="10">
        <v>0.30208333333333331</v>
      </c>
      <c r="Y8" s="273">
        <v>0</v>
      </c>
      <c r="Z8" s="274"/>
    </row>
    <row r="9" spans="2:29" ht="27.6">
      <c r="B9" s="500"/>
      <c r="C9" s="501"/>
      <c r="D9" s="501"/>
      <c r="E9" s="357" t="s">
        <v>30</v>
      </c>
      <c r="F9" s="357" t="s">
        <v>31</v>
      </c>
      <c r="G9" s="501"/>
      <c r="H9" s="503"/>
      <c r="I9" s="501"/>
      <c r="J9" s="505"/>
      <c r="K9" s="507"/>
      <c r="L9" s="509"/>
      <c r="M9" s="20" t="s">
        <v>32</v>
      </c>
      <c r="N9" s="21" t="s">
        <v>41</v>
      </c>
      <c r="O9" s="524"/>
      <c r="P9" s="523"/>
      <c r="R9" s="3" t="s">
        <v>33</v>
      </c>
      <c r="S9" s="7">
        <v>14.4</v>
      </c>
      <c r="T9" s="8">
        <v>14.6</v>
      </c>
      <c r="U9" s="9">
        <v>0</v>
      </c>
      <c r="V9" s="9">
        <v>0.13905092592592591</v>
      </c>
      <c r="W9" s="10">
        <v>0.26041666666666669</v>
      </c>
      <c r="X9" s="10">
        <v>0.2951388888888889</v>
      </c>
      <c r="Y9" s="273">
        <v>0</v>
      </c>
      <c r="Z9" s="274">
        <v>75</v>
      </c>
    </row>
    <row r="10" spans="2:29" ht="15.75" customHeight="1">
      <c r="B10" s="29" t="s">
        <v>6</v>
      </c>
      <c r="C10" s="366" t="str">
        <f>[22]Brewhouse!$A484</f>
        <v>CA379</v>
      </c>
      <c r="D10" s="279">
        <f>[22]Brewhouse!$AF484</f>
        <v>48.8</v>
      </c>
      <c r="E10" s="279">
        <f>[22]Brewhouse!$AI484</f>
        <v>46.1</v>
      </c>
      <c r="F10" s="278">
        <f>[22]Brewhouse!$V484</f>
        <v>55</v>
      </c>
      <c r="G10" s="279">
        <f>[22]Brewhouse!$AG484</f>
        <v>12</v>
      </c>
      <c r="H10" s="396">
        <v>12</v>
      </c>
      <c r="I10" s="368">
        <f>[22]Brewhouse!$AU484</f>
        <v>93.25149539820049</v>
      </c>
      <c r="J10" s="368">
        <f>[22]Brewhouse!$AV484</f>
        <v>95.392365668986528</v>
      </c>
      <c r="K10" s="281">
        <f>[22]Brewhouse!$Q484</f>
        <v>11.127541589648803</v>
      </c>
      <c r="L10" s="276">
        <f>[22]Brewhouse!$P484</f>
        <v>60</v>
      </c>
      <c r="M10" s="397">
        <f>[22]Brewhouse!$U484-[22]Brewhouse!$T484</f>
        <v>0.10694444444444451</v>
      </c>
      <c r="N10" s="370">
        <f>[22]Brewhouse!$Z484</f>
        <v>0.24652777777777779</v>
      </c>
      <c r="O10" s="371" t="str">
        <f>[22]Brewhouse!$AX484</f>
        <v>R. Regis</v>
      </c>
      <c r="P10" s="423"/>
      <c r="R10" s="277" t="str">
        <f t="shared" ref="R10:R22" si="0">B10</f>
        <v>CARIB</v>
      </c>
      <c r="S10" s="296">
        <f t="shared" ref="S10:S22" si="1">VLOOKUP($B10,$R$3:$X$9,2,FALSE)</f>
        <v>11.6</v>
      </c>
      <c r="T10" s="296">
        <f t="shared" ref="T10:T22" si="2">VLOOKUP($B10,$R$3:$X$9,3,FALSE)</f>
        <v>12</v>
      </c>
      <c r="U10" s="297">
        <f t="shared" ref="U10:U22" si="3">VLOOKUP($B10,$R$3:$X$9,4,FALSE)</f>
        <v>0</v>
      </c>
      <c r="V10" s="297">
        <f t="shared" ref="V10:V22" si="4">VLOOKUP($B10,$R$3:$X$9,5,FALSE)</f>
        <v>0.118055555555556</v>
      </c>
      <c r="W10" s="297">
        <f t="shared" ref="W10:W22" si="5">VLOOKUP($B10,$R$3:$X$9,6,FALSE)</f>
        <v>0.22569444444444445</v>
      </c>
      <c r="X10" s="297">
        <f t="shared" ref="X10:X22" si="6">VLOOKUP($B10,$R$3:$X$9,7,FALSE)</f>
        <v>0.2638888888888889</v>
      </c>
      <c r="Y10" s="297">
        <f t="shared" ref="Y10:Y22" si="7">VLOOKUP($B10,$R$3:$Z$9,8,FALSE)</f>
        <v>0</v>
      </c>
      <c r="Z10" s="296">
        <f t="shared" ref="Z10:Z22" si="8">VLOOKUP($B10,$R$3:$Z$9,9,FALSE)</f>
        <v>60</v>
      </c>
    </row>
    <row r="11" spans="2:29" ht="15.75" customHeight="1">
      <c r="B11" s="29" t="s">
        <v>6</v>
      </c>
      <c r="C11" s="366" t="str">
        <f>[22]Brewhouse!$A485</f>
        <v>CA380</v>
      </c>
      <c r="D11" s="279">
        <f>[22]Brewhouse!$AF485</f>
        <v>51.9</v>
      </c>
      <c r="E11" s="279">
        <f>[22]Brewhouse!$AI485</f>
        <v>48.9</v>
      </c>
      <c r="F11" s="278">
        <f>[22]Brewhouse!$V485</f>
        <v>54</v>
      </c>
      <c r="G11" s="279">
        <f>[22]Brewhouse!$AG485</f>
        <v>12</v>
      </c>
      <c r="H11" s="396">
        <v>11.8</v>
      </c>
      <c r="I11" s="368">
        <f>[22]Brewhouse!$AU485</f>
        <v>99.168858867652744</v>
      </c>
      <c r="J11" s="368">
        <f>[22]Brewhouse!$AV485</f>
        <v>101.44531394214826</v>
      </c>
      <c r="K11" s="281">
        <f>[22]Brewhouse!$Q485</f>
        <v>8.770053475935832</v>
      </c>
      <c r="L11" s="276">
        <f>[22]Brewhouse!$P485</f>
        <v>60</v>
      </c>
      <c r="M11" s="397">
        <f>[22]Brewhouse!$U485-[22]Brewhouse!$T485</f>
        <v>0.10624999999999996</v>
      </c>
      <c r="N11" s="370">
        <f>[22]Brewhouse!$Z485</f>
        <v>0.24097222222222214</v>
      </c>
      <c r="O11" s="371" t="str">
        <f>[22]Brewhouse!$AX485</f>
        <v>R. Regis</v>
      </c>
      <c r="P11" s="423"/>
      <c r="R11" s="277" t="str">
        <f t="shared" si="0"/>
        <v>CARIB</v>
      </c>
      <c r="S11" s="296">
        <f t="shared" si="1"/>
        <v>11.6</v>
      </c>
      <c r="T11" s="296">
        <f t="shared" si="2"/>
        <v>12</v>
      </c>
      <c r="U11" s="297">
        <f t="shared" si="3"/>
        <v>0</v>
      </c>
      <c r="V11" s="297">
        <f t="shared" si="4"/>
        <v>0.118055555555556</v>
      </c>
      <c r="W11" s="297">
        <f t="shared" si="5"/>
        <v>0.22569444444444445</v>
      </c>
      <c r="X11" s="297">
        <f t="shared" si="6"/>
        <v>0.2638888888888889</v>
      </c>
      <c r="Y11" s="297">
        <f t="shared" si="7"/>
        <v>0</v>
      </c>
      <c r="Z11" s="296">
        <f t="shared" si="8"/>
        <v>60</v>
      </c>
    </row>
    <row r="12" spans="2:29" ht="15.75" customHeight="1">
      <c r="B12" s="29" t="s">
        <v>6</v>
      </c>
      <c r="C12" s="366" t="str">
        <f>[22]Brewhouse!$A486</f>
        <v>CA381</v>
      </c>
      <c r="D12" s="279">
        <f>[22]Brewhouse!$AF486</f>
        <v>53</v>
      </c>
      <c r="E12" s="279">
        <f>[22]Brewhouse!$AI486</f>
        <v>50.2</v>
      </c>
      <c r="F12" s="278">
        <f>[22]Brewhouse!$V486</f>
        <v>55</v>
      </c>
      <c r="G12" s="279">
        <f>[22]Brewhouse!$AG486</f>
        <v>11.5</v>
      </c>
      <c r="H12" s="396">
        <v>11.6</v>
      </c>
      <c r="I12" s="368">
        <f>[22]Brewhouse!$AU486</f>
        <v>97.222637281827019</v>
      </c>
      <c r="J12" s="368">
        <f>[22]Brewhouse!$AV486</f>
        <v>99.454546819812094</v>
      </c>
      <c r="K12" s="281">
        <f>[22]Brewhouse!$Q486</f>
        <v>6.4758497316636809</v>
      </c>
      <c r="L12" s="276">
        <f>[22]Brewhouse!$P486</f>
        <v>61</v>
      </c>
      <c r="M12" s="397">
        <f>[22]Brewhouse!$U486-[22]Brewhouse!$T486</f>
        <v>0.10069444444444442</v>
      </c>
      <c r="N12" s="370">
        <f>[22]Brewhouse!$Z486</f>
        <v>0.24097222222222214</v>
      </c>
      <c r="O12" s="371" t="str">
        <f>[22]Brewhouse!$AX486</f>
        <v>R. Regis</v>
      </c>
      <c r="P12" s="423"/>
      <c r="R12" s="277" t="str">
        <f t="shared" si="0"/>
        <v>CARIB</v>
      </c>
      <c r="S12" s="296">
        <f t="shared" si="1"/>
        <v>11.6</v>
      </c>
      <c r="T12" s="296">
        <f t="shared" si="2"/>
        <v>12</v>
      </c>
      <c r="U12" s="297">
        <f t="shared" si="3"/>
        <v>0</v>
      </c>
      <c r="V12" s="297">
        <f t="shared" si="4"/>
        <v>0.118055555555556</v>
      </c>
      <c r="W12" s="297">
        <f t="shared" si="5"/>
        <v>0.22569444444444445</v>
      </c>
      <c r="X12" s="297">
        <f t="shared" si="6"/>
        <v>0.2638888888888889</v>
      </c>
      <c r="Y12" s="297">
        <f t="shared" si="7"/>
        <v>0</v>
      </c>
      <c r="Z12" s="296">
        <f t="shared" si="8"/>
        <v>60</v>
      </c>
    </row>
    <row r="13" spans="2:29" ht="15.75" customHeight="1">
      <c r="B13" s="29" t="s">
        <v>6</v>
      </c>
      <c r="C13" s="366" t="str">
        <f>[22]Brewhouse!$A487</f>
        <v>CA382</v>
      </c>
      <c r="D13" s="279">
        <f>[22]Brewhouse!$AF487</f>
        <v>51.2</v>
      </c>
      <c r="E13" s="279">
        <f>[22]Brewhouse!$AI487</f>
        <v>49.8</v>
      </c>
      <c r="F13" s="278">
        <f>[22]Brewhouse!$V487</f>
        <v>57</v>
      </c>
      <c r="G13" s="279">
        <f>[22]Brewhouse!$AG487</f>
        <v>11.6</v>
      </c>
      <c r="H13" s="396">
        <v>11.7</v>
      </c>
      <c r="I13" s="368">
        <f>[22]Brewhouse!$AU487</f>
        <v>97.331325024657417</v>
      </c>
      <c r="J13" s="368">
        <f>[22]Brewhouse!$AV487</f>
        <v>99.565729673006388</v>
      </c>
      <c r="K13" s="281">
        <f>[22]Brewhouse!$Q487</f>
        <v>8.8808664259927692</v>
      </c>
      <c r="L13" s="276">
        <f>[22]Brewhouse!$P487</f>
        <v>60</v>
      </c>
      <c r="M13" s="397">
        <f>[22]Brewhouse!$U487-[22]Brewhouse!$T487</f>
        <v>0.10972222222222228</v>
      </c>
      <c r="N13" s="370">
        <f>[22]Brewhouse!$Z487</f>
        <v>0.25069444444444444</v>
      </c>
      <c r="O13" s="371" t="str">
        <f>[22]Brewhouse!$AX487</f>
        <v>K.Benjamin</v>
      </c>
      <c r="P13" s="423"/>
      <c r="R13" s="277" t="str">
        <f t="shared" si="0"/>
        <v>CARIB</v>
      </c>
      <c r="S13" s="296">
        <f t="shared" si="1"/>
        <v>11.6</v>
      </c>
      <c r="T13" s="296">
        <f t="shared" si="2"/>
        <v>12</v>
      </c>
      <c r="U13" s="297">
        <f t="shared" si="3"/>
        <v>0</v>
      </c>
      <c r="V13" s="297">
        <f t="shared" si="4"/>
        <v>0.118055555555556</v>
      </c>
      <c r="W13" s="297">
        <f t="shared" si="5"/>
        <v>0.22569444444444445</v>
      </c>
      <c r="X13" s="297">
        <f t="shared" si="6"/>
        <v>0.2638888888888889</v>
      </c>
      <c r="Y13" s="297">
        <f t="shared" si="7"/>
        <v>0</v>
      </c>
      <c r="Z13" s="296">
        <f t="shared" si="8"/>
        <v>60</v>
      </c>
    </row>
    <row r="14" spans="2:29" ht="15.75" customHeight="1">
      <c r="B14" s="29" t="s">
        <v>6</v>
      </c>
      <c r="C14" s="366" t="str">
        <f>[22]Brewhouse!$A488</f>
        <v>CA383</v>
      </c>
      <c r="D14" s="279">
        <f>[22]Brewhouse!$AF488</f>
        <v>53.4</v>
      </c>
      <c r="E14" s="279">
        <f>[22]Brewhouse!$AI488</f>
        <v>50.5</v>
      </c>
      <c r="F14" s="278">
        <f>[22]Brewhouse!$V488</f>
        <v>59</v>
      </c>
      <c r="G14" s="279">
        <f>[22]Brewhouse!$AG488</f>
        <v>11.9</v>
      </c>
      <c r="H14" s="396">
        <v>12.1</v>
      </c>
      <c r="I14" s="368">
        <f>[22]Brewhouse!$AU488</f>
        <v>98.000559608173816</v>
      </c>
      <c r="J14" s="368">
        <f>[22]Brewhouse!$AV488</f>
        <v>100.25376028976945</v>
      </c>
      <c r="K14" s="281">
        <f>[22]Brewhouse!$Q488</f>
        <v>5.6727272727272684</v>
      </c>
      <c r="L14" s="276">
        <f>[22]Brewhouse!$P488</f>
        <v>57</v>
      </c>
      <c r="M14" s="397">
        <f>[22]Brewhouse!$U488-[22]Brewhouse!$T488</f>
        <v>0.13263888888888875</v>
      </c>
      <c r="N14" s="370">
        <f>[22]Brewhouse!$Z488</f>
        <v>0.25902777777777775</v>
      </c>
      <c r="O14" s="371" t="str">
        <f>[22]Brewhouse!$AX488</f>
        <v>K.Benjamin</v>
      </c>
      <c r="P14" s="423"/>
      <c r="R14" s="277" t="str">
        <f t="shared" si="0"/>
        <v>CARIB</v>
      </c>
      <c r="S14" s="296">
        <f t="shared" si="1"/>
        <v>11.6</v>
      </c>
      <c r="T14" s="296">
        <f t="shared" si="2"/>
        <v>12</v>
      </c>
      <c r="U14" s="297">
        <f t="shared" si="3"/>
        <v>0</v>
      </c>
      <c r="V14" s="297">
        <f t="shared" si="4"/>
        <v>0.118055555555556</v>
      </c>
      <c r="W14" s="297">
        <f t="shared" si="5"/>
        <v>0.22569444444444445</v>
      </c>
      <c r="X14" s="297">
        <f t="shared" si="6"/>
        <v>0.2638888888888889</v>
      </c>
      <c r="Y14" s="297">
        <f t="shared" si="7"/>
        <v>0</v>
      </c>
      <c r="Z14" s="296">
        <f t="shared" si="8"/>
        <v>60</v>
      </c>
    </row>
    <row r="15" spans="2:29" ht="15.75" customHeight="1">
      <c r="B15" s="29" t="s">
        <v>6</v>
      </c>
      <c r="C15" s="366" t="str">
        <f>[22]Brewhouse!$A489</f>
        <v>CA384</v>
      </c>
      <c r="D15" s="279">
        <f>[22]Brewhouse!$AF489</f>
        <v>54.3</v>
      </c>
      <c r="E15" s="279">
        <f>[22]Brewhouse!$AI489</f>
        <v>51.5</v>
      </c>
      <c r="F15" s="278">
        <f>[22]Brewhouse!$V489</f>
        <v>58</v>
      </c>
      <c r="G15" s="279">
        <f>[22]Brewhouse!$AG489</f>
        <v>11.6</v>
      </c>
      <c r="H15" s="396">
        <v>11.7</v>
      </c>
      <c r="I15" s="368">
        <f>[22]Brewhouse!$AU489</f>
        <v>97.533420912359546</v>
      </c>
      <c r="J15" s="368">
        <f>[22]Brewhouse!$AV489</f>
        <v>99.775636056332289</v>
      </c>
      <c r="K15" s="281">
        <f>[22]Brewhouse!$Q489</f>
        <v>5.8347978910369074</v>
      </c>
      <c r="L15" s="276">
        <f>[22]Brewhouse!$P489</f>
        <v>59</v>
      </c>
      <c r="M15" s="397">
        <f>[22]Brewhouse!$U489-[22]Brewhouse!$T489</f>
        <v>0.13194444444444442</v>
      </c>
      <c r="N15" s="370">
        <f>[22]Brewhouse!$Z489</f>
        <v>0.28749999999999998</v>
      </c>
      <c r="O15" s="371" t="str">
        <f>[22]Brewhouse!$AX489</f>
        <v>K.Benjamin</v>
      </c>
      <c r="P15" s="423"/>
      <c r="R15" s="277" t="str">
        <f t="shared" si="0"/>
        <v>CARIB</v>
      </c>
      <c r="S15" s="296">
        <f t="shared" si="1"/>
        <v>11.6</v>
      </c>
      <c r="T15" s="296">
        <f t="shared" si="2"/>
        <v>12</v>
      </c>
      <c r="U15" s="297">
        <f t="shared" si="3"/>
        <v>0</v>
      </c>
      <c r="V15" s="297">
        <f t="shared" si="4"/>
        <v>0.118055555555556</v>
      </c>
      <c r="W15" s="297">
        <f t="shared" si="5"/>
        <v>0.22569444444444445</v>
      </c>
      <c r="X15" s="297">
        <f t="shared" si="6"/>
        <v>0.2638888888888889</v>
      </c>
      <c r="Y15" s="297">
        <f t="shared" si="7"/>
        <v>0</v>
      </c>
      <c r="Z15" s="296">
        <f t="shared" si="8"/>
        <v>60</v>
      </c>
    </row>
    <row r="16" spans="2:29" ht="15.75" customHeight="1">
      <c r="B16" s="29"/>
      <c r="C16" s="366"/>
      <c r="D16" s="279"/>
      <c r="E16" s="279"/>
      <c r="F16" s="278"/>
      <c r="G16" s="279"/>
      <c r="H16" s="396"/>
      <c r="I16" s="368"/>
      <c r="J16" s="368"/>
      <c r="K16" s="281"/>
      <c r="L16" s="276"/>
      <c r="M16" s="397"/>
      <c r="N16" s="370"/>
      <c r="O16" s="371"/>
      <c r="P16" s="423"/>
      <c r="R16" s="277"/>
      <c r="S16" s="296"/>
      <c r="T16" s="296"/>
      <c r="U16" s="297"/>
      <c r="V16" s="297"/>
      <c r="W16" s="297"/>
      <c r="X16" s="297"/>
      <c r="Y16" s="297"/>
      <c r="Z16" s="296"/>
    </row>
    <row r="17" spans="1:27" ht="14.4">
      <c r="B17" s="432" t="s">
        <v>226</v>
      </c>
      <c r="C17" s="366"/>
      <c r="D17" s="279"/>
      <c r="E17" s="279"/>
      <c r="F17" s="278"/>
      <c r="G17" s="279"/>
      <c r="H17" s="396"/>
      <c r="I17" s="368"/>
      <c r="J17" s="368"/>
      <c r="K17" s="281"/>
      <c r="L17" s="276"/>
      <c r="M17" s="397"/>
      <c r="N17" s="370"/>
      <c r="O17" s="371"/>
      <c r="P17" s="423"/>
      <c r="R17" s="277" t="str">
        <f t="shared" si="0"/>
        <v>May 31st, 2025</v>
      </c>
      <c r="S17" s="296" t="e">
        <f t="shared" si="1"/>
        <v>#N/A</v>
      </c>
      <c r="T17" s="296" t="e">
        <f t="shared" si="2"/>
        <v>#N/A</v>
      </c>
      <c r="U17" s="297" t="e">
        <f t="shared" si="3"/>
        <v>#N/A</v>
      </c>
      <c r="V17" s="297" t="e">
        <f t="shared" si="4"/>
        <v>#N/A</v>
      </c>
      <c r="W17" s="297" t="e">
        <f t="shared" si="5"/>
        <v>#N/A</v>
      </c>
      <c r="X17" s="297" t="e">
        <f t="shared" si="6"/>
        <v>#N/A</v>
      </c>
      <c r="Y17" s="297" t="e">
        <f t="shared" si="7"/>
        <v>#N/A</v>
      </c>
      <c r="Z17" s="296" t="e">
        <f t="shared" si="8"/>
        <v>#N/A</v>
      </c>
    </row>
    <row r="18" spans="1:27" ht="15.75" customHeight="1">
      <c r="B18" s="29" t="s">
        <v>6</v>
      </c>
      <c r="C18" s="366" t="str">
        <f>[22]Brewhouse!$A490</f>
        <v>CA385</v>
      </c>
      <c r="D18" s="279">
        <f>[22]Brewhouse!$AF490</f>
        <v>53.8</v>
      </c>
      <c r="E18" s="279">
        <f>[22]Brewhouse!$AI490</f>
        <v>51</v>
      </c>
      <c r="F18" s="278">
        <f>[22]Brewhouse!$V490</f>
        <v>74</v>
      </c>
      <c r="G18" s="279">
        <f>[22]Brewhouse!$AG490</f>
        <v>11.7</v>
      </c>
      <c r="H18" s="396">
        <v>11.8</v>
      </c>
      <c r="I18" s="368">
        <f>[22]Brewhouse!$AU490</f>
        <v>97.584116231539213</v>
      </c>
      <c r="J18" s="368">
        <f>[22]Brewhouse!$AV490</f>
        <v>99.827373690499726</v>
      </c>
      <c r="K18" s="281">
        <f>[22]Brewhouse!$Q490</f>
        <v>5.7193605683836575</v>
      </c>
      <c r="L18" s="276">
        <f>[22]Brewhouse!$P490</f>
        <v>60</v>
      </c>
      <c r="M18" s="397">
        <f>[22]Brewhouse!$U490-[22]Brewhouse!$T490</f>
        <v>0.12083333333333332</v>
      </c>
      <c r="N18" s="370">
        <f>[22]Brewhouse!$Z490</f>
        <v>0.27430555555555552</v>
      </c>
      <c r="O18" s="371" t="str">
        <f>[22]Brewhouse!$AX490</f>
        <v>K.Benjamin</v>
      </c>
      <c r="P18" s="423"/>
      <c r="R18" s="277" t="str">
        <f t="shared" si="0"/>
        <v>CARIB</v>
      </c>
      <c r="S18" s="296">
        <f t="shared" si="1"/>
        <v>11.6</v>
      </c>
      <c r="T18" s="296">
        <f t="shared" si="2"/>
        <v>12</v>
      </c>
      <c r="U18" s="297">
        <f t="shared" si="3"/>
        <v>0</v>
      </c>
      <c r="V18" s="297">
        <f t="shared" si="4"/>
        <v>0.118055555555556</v>
      </c>
      <c r="W18" s="297">
        <f t="shared" si="5"/>
        <v>0.22569444444444445</v>
      </c>
      <c r="X18" s="297">
        <f t="shared" si="6"/>
        <v>0.2638888888888889</v>
      </c>
      <c r="Y18" s="297">
        <f t="shared" si="7"/>
        <v>0</v>
      </c>
      <c r="Z18" s="296">
        <f t="shared" si="8"/>
        <v>60</v>
      </c>
    </row>
    <row r="19" spans="1:27" ht="15.75" customHeight="1">
      <c r="B19" s="29" t="s">
        <v>6</v>
      </c>
      <c r="C19" s="366" t="str">
        <f>[22]Brewhouse!$A491</f>
        <v>CA386</v>
      </c>
      <c r="D19" s="279">
        <f>[22]Brewhouse!$AF491</f>
        <v>53.1</v>
      </c>
      <c r="E19" s="279">
        <f>[22]Brewhouse!$AI491</f>
        <v>50.6</v>
      </c>
      <c r="F19" s="278">
        <f>[22]Brewhouse!$V491</f>
        <v>79</v>
      </c>
      <c r="G19" s="279">
        <f>[22]Brewhouse!$AG491</f>
        <v>11.5</v>
      </c>
      <c r="H19" s="396">
        <v>11.7</v>
      </c>
      <c r="I19" s="368">
        <f>[22]Brewhouse!$AU491</f>
        <v>94.959218637198205</v>
      </c>
      <c r="J19" s="368">
        <f>[22]Brewhouse!$AV491</f>
        <v>97.142254934873733</v>
      </c>
      <c r="K19" s="281">
        <f>[22]Brewhouse!$Q491</f>
        <v>6.2969588550983833</v>
      </c>
      <c r="L19" s="276">
        <f>[22]Brewhouse!$P491</f>
        <v>59</v>
      </c>
      <c r="M19" s="397">
        <f>[22]Brewhouse!$U491-[22]Brewhouse!$T491</f>
        <v>0.12847222222222221</v>
      </c>
      <c r="N19" s="370">
        <f>[22]Brewhouse!$Z491</f>
        <v>0.28333333333333333</v>
      </c>
      <c r="O19" s="371" t="str">
        <f>[22]Brewhouse!$AX491</f>
        <v>D. Gomez</v>
      </c>
      <c r="P19" s="423"/>
      <c r="R19" s="277" t="str">
        <f t="shared" si="0"/>
        <v>CARIB</v>
      </c>
      <c r="S19" s="296">
        <f t="shared" si="1"/>
        <v>11.6</v>
      </c>
      <c r="T19" s="296">
        <f t="shared" si="2"/>
        <v>12</v>
      </c>
      <c r="U19" s="297">
        <f t="shared" si="3"/>
        <v>0</v>
      </c>
      <c r="V19" s="297">
        <f t="shared" si="4"/>
        <v>0.118055555555556</v>
      </c>
      <c r="W19" s="297">
        <f t="shared" si="5"/>
        <v>0.22569444444444445</v>
      </c>
      <c r="X19" s="297">
        <f t="shared" si="6"/>
        <v>0.2638888888888889</v>
      </c>
      <c r="Y19" s="297">
        <f t="shared" si="7"/>
        <v>0</v>
      </c>
      <c r="Z19" s="296">
        <f t="shared" si="8"/>
        <v>60</v>
      </c>
    </row>
    <row r="20" spans="1:27" ht="15.75" customHeight="1">
      <c r="B20" s="29"/>
      <c r="C20" s="366"/>
      <c r="D20" s="279"/>
      <c r="E20" s="279"/>
      <c r="F20" s="278"/>
      <c r="G20" s="279"/>
      <c r="H20" s="396"/>
      <c r="I20" s="368"/>
      <c r="J20" s="368"/>
      <c r="K20" s="281"/>
      <c r="L20" s="276"/>
      <c r="M20" s="397"/>
      <c r="N20" s="370"/>
      <c r="O20" s="371"/>
      <c r="P20" s="423"/>
      <c r="R20" s="277">
        <f t="shared" si="0"/>
        <v>0</v>
      </c>
      <c r="S20" s="296" t="e">
        <f t="shared" si="1"/>
        <v>#N/A</v>
      </c>
      <c r="T20" s="296" t="e">
        <f t="shared" si="2"/>
        <v>#N/A</v>
      </c>
      <c r="U20" s="297" t="e">
        <f t="shared" si="3"/>
        <v>#N/A</v>
      </c>
      <c r="V20" s="297" t="e">
        <f t="shared" si="4"/>
        <v>#N/A</v>
      </c>
      <c r="W20" s="297" t="e">
        <f t="shared" si="5"/>
        <v>#N/A</v>
      </c>
      <c r="X20" s="297" t="e">
        <f t="shared" si="6"/>
        <v>#N/A</v>
      </c>
      <c r="Y20" s="297" t="e">
        <f t="shared" si="7"/>
        <v>#N/A</v>
      </c>
      <c r="Z20" s="296" t="e">
        <f t="shared" si="8"/>
        <v>#N/A</v>
      </c>
    </row>
    <row r="21" spans="1:27" ht="15.75" customHeight="1">
      <c r="B21" s="29"/>
      <c r="C21" s="366"/>
      <c r="D21" s="279"/>
      <c r="E21" s="279"/>
      <c r="F21" s="278"/>
      <c r="G21" s="279"/>
      <c r="H21" s="396"/>
      <c r="I21" s="368"/>
      <c r="J21" s="368"/>
      <c r="K21" s="281"/>
      <c r="L21" s="276"/>
      <c r="M21" s="397"/>
      <c r="N21" s="370"/>
      <c r="O21" s="371"/>
      <c r="P21" s="423"/>
      <c r="R21" s="277">
        <f t="shared" si="0"/>
        <v>0</v>
      </c>
      <c r="S21" s="296" t="e">
        <f t="shared" si="1"/>
        <v>#N/A</v>
      </c>
      <c r="T21" s="296" t="e">
        <f t="shared" si="2"/>
        <v>#N/A</v>
      </c>
      <c r="U21" s="297" t="e">
        <f t="shared" si="3"/>
        <v>#N/A</v>
      </c>
      <c r="V21" s="297" t="e">
        <f t="shared" si="4"/>
        <v>#N/A</v>
      </c>
      <c r="W21" s="297" t="e">
        <f t="shared" si="5"/>
        <v>#N/A</v>
      </c>
      <c r="X21" s="297" t="e">
        <f t="shared" si="6"/>
        <v>#N/A</v>
      </c>
      <c r="Y21" s="297" t="e">
        <f t="shared" si="7"/>
        <v>#N/A</v>
      </c>
      <c r="Z21" s="296" t="e">
        <f t="shared" si="8"/>
        <v>#N/A</v>
      </c>
    </row>
    <row r="22" spans="1:27" ht="15.75" hidden="1" customHeight="1">
      <c r="B22" s="29"/>
      <c r="C22" s="366"/>
      <c r="D22" s="279"/>
      <c r="E22" s="279"/>
      <c r="F22" s="278"/>
      <c r="G22" s="279"/>
      <c r="H22" s="396"/>
      <c r="I22" s="368"/>
      <c r="J22" s="368"/>
      <c r="K22" s="281"/>
      <c r="L22" s="276"/>
      <c r="M22" s="397"/>
      <c r="N22" s="370"/>
      <c r="O22" s="371"/>
      <c r="P22" s="423"/>
      <c r="R22" s="277">
        <f t="shared" si="0"/>
        <v>0</v>
      </c>
      <c r="S22" s="296" t="e">
        <f t="shared" si="1"/>
        <v>#N/A</v>
      </c>
      <c r="T22" s="296" t="e">
        <f t="shared" si="2"/>
        <v>#N/A</v>
      </c>
      <c r="U22" s="297" t="e">
        <f t="shared" si="3"/>
        <v>#N/A</v>
      </c>
      <c r="V22" s="297" t="e">
        <f t="shared" si="4"/>
        <v>#N/A</v>
      </c>
      <c r="W22" s="297" t="e">
        <f t="shared" si="5"/>
        <v>#N/A</v>
      </c>
      <c r="X22" s="297" t="e">
        <f t="shared" si="6"/>
        <v>#N/A</v>
      </c>
      <c r="Y22" s="297" t="e">
        <f t="shared" si="7"/>
        <v>#N/A</v>
      </c>
      <c r="Z22" s="296" t="e">
        <f t="shared" si="8"/>
        <v>#N/A</v>
      </c>
    </row>
    <row r="23" spans="1:27" ht="15.75" hidden="1" customHeight="1">
      <c r="B23" s="29"/>
      <c r="C23" s="366"/>
      <c r="D23" s="279"/>
      <c r="E23" s="279"/>
      <c r="F23" s="278"/>
      <c r="G23" s="279"/>
      <c r="H23" s="396"/>
      <c r="I23" s="368"/>
      <c r="J23" s="368"/>
      <c r="K23" s="281"/>
      <c r="L23" s="276"/>
      <c r="M23" s="397"/>
      <c r="N23" s="370"/>
      <c r="O23" s="429"/>
      <c r="P23" s="423"/>
      <c r="R23" s="277">
        <f t="shared" ref="R23:R26" si="9">B23</f>
        <v>0</v>
      </c>
      <c r="S23" s="296" t="e">
        <f t="shared" ref="S23:S26" si="10">VLOOKUP($B23,$R$3:$X$9,2,FALSE)</f>
        <v>#N/A</v>
      </c>
      <c r="T23" s="296" t="e">
        <f t="shared" ref="T23:T26" si="11">VLOOKUP($B23,$R$3:$X$9,3,FALSE)</f>
        <v>#N/A</v>
      </c>
      <c r="U23" s="297" t="e">
        <f t="shared" ref="U23:U26" si="12">VLOOKUP($B23,$R$3:$X$9,4,FALSE)</f>
        <v>#N/A</v>
      </c>
      <c r="V23" s="297" t="e">
        <f t="shared" ref="V23:V26" si="13">VLOOKUP($B23,$R$3:$X$9,5,FALSE)</f>
        <v>#N/A</v>
      </c>
      <c r="W23" s="297" t="e">
        <f t="shared" ref="W23:W26" si="14">VLOOKUP($B23,$R$3:$X$9,6,FALSE)</f>
        <v>#N/A</v>
      </c>
      <c r="X23" s="297" t="e">
        <f t="shared" ref="X23:X26" si="15">VLOOKUP($B23,$R$3:$X$9,7,FALSE)</f>
        <v>#N/A</v>
      </c>
      <c r="Y23" s="297" t="e">
        <f t="shared" ref="Y23:Y26" si="16">VLOOKUP($B23,$R$3:$Z$9,8,FALSE)</f>
        <v>#N/A</v>
      </c>
      <c r="Z23" s="296" t="e">
        <f t="shared" ref="Z23:Z26" si="17">VLOOKUP($B23,$R$3:$Z$9,9,FALSE)</f>
        <v>#N/A</v>
      </c>
    </row>
    <row r="24" spans="1:27" ht="15.75" hidden="1" customHeight="1">
      <c r="B24" s="29"/>
      <c r="C24" s="366"/>
      <c r="D24" s="279"/>
      <c r="E24" s="279"/>
      <c r="F24" s="278"/>
      <c r="G24" s="279"/>
      <c r="H24" s="396"/>
      <c r="I24" s="368"/>
      <c r="J24" s="368"/>
      <c r="K24" s="281"/>
      <c r="L24" s="276"/>
      <c r="M24" s="397"/>
      <c r="N24" s="370"/>
      <c r="O24" s="429"/>
      <c r="P24" s="423"/>
      <c r="R24" s="277">
        <f t="shared" si="9"/>
        <v>0</v>
      </c>
      <c r="S24" s="296" t="e">
        <f t="shared" si="10"/>
        <v>#N/A</v>
      </c>
      <c r="T24" s="296" t="e">
        <f t="shared" si="11"/>
        <v>#N/A</v>
      </c>
      <c r="U24" s="297" t="e">
        <f t="shared" si="12"/>
        <v>#N/A</v>
      </c>
      <c r="V24" s="297" t="e">
        <f t="shared" si="13"/>
        <v>#N/A</v>
      </c>
      <c r="W24" s="297" t="e">
        <f t="shared" si="14"/>
        <v>#N/A</v>
      </c>
      <c r="X24" s="297" t="e">
        <f t="shared" si="15"/>
        <v>#N/A</v>
      </c>
      <c r="Y24" s="297" t="e">
        <f t="shared" si="16"/>
        <v>#N/A</v>
      </c>
      <c r="Z24" s="296" t="e">
        <f t="shared" si="17"/>
        <v>#N/A</v>
      </c>
    </row>
    <row r="25" spans="1:27" ht="15.75" customHeight="1" thickBot="1">
      <c r="B25" s="358"/>
      <c r="C25" s="358"/>
      <c r="D25" s="358"/>
      <c r="E25" s="358"/>
      <c r="F25" s="294"/>
      <c r="G25" s="294"/>
      <c r="H25" s="348"/>
      <c r="I25" s="481" t="s">
        <v>34</v>
      </c>
      <c r="J25" s="481"/>
      <c r="K25" s="481"/>
      <c r="L25" s="481"/>
      <c r="M25" s="481"/>
      <c r="N25" s="481"/>
      <c r="O25" s="1"/>
      <c r="P25" s="12"/>
      <c r="R25" s="277">
        <f t="shared" si="9"/>
        <v>0</v>
      </c>
      <c r="S25" s="296" t="e">
        <f t="shared" si="10"/>
        <v>#N/A</v>
      </c>
      <c r="T25" s="296" t="e">
        <f t="shared" si="11"/>
        <v>#N/A</v>
      </c>
      <c r="U25" s="297" t="e">
        <f t="shared" si="12"/>
        <v>#N/A</v>
      </c>
      <c r="V25" s="297" t="e">
        <f t="shared" si="13"/>
        <v>#N/A</v>
      </c>
      <c r="W25" s="297" t="e">
        <f t="shared" si="14"/>
        <v>#N/A</v>
      </c>
      <c r="X25" s="297" t="e">
        <f t="shared" si="15"/>
        <v>#N/A</v>
      </c>
      <c r="Y25" s="297" t="e">
        <f t="shared" si="16"/>
        <v>#N/A</v>
      </c>
      <c r="Z25" s="296" t="e">
        <f t="shared" si="17"/>
        <v>#N/A</v>
      </c>
    </row>
    <row r="26" spans="1:27" ht="15" thickBot="1">
      <c r="B26" s="388" t="s">
        <v>145</v>
      </c>
      <c r="C26" s="388"/>
      <c r="D26" s="494" t="s">
        <v>35</v>
      </c>
      <c r="E26" s="495"/>
      <c r="F26" s="294"/>
      <c r="G26" s="294"/>
      <c r="H26" s="348"/>
      <c r="I26" s="24" t="s">
        <v>17</v>
      </c>
      <c r="J26" s="25" t="s">
        <v>36</v>
      </c>
      <c r="K26" s="26" t="s">
        <v>138</v>
      </c>
      <c r="L26" s="25" t="s">
        <v>37</v>
      </c>
      <c r="M26" s="25" t="s">
        <v>38</v>
      </c>
      <c r="N26" s="27" t="s">
        <v>39</v>
      </c>
      <c r="O26" s="294"/>
      <c r="P26" s="12"/>
      <c r="R26" s="277" t="str">
        <f t="shared" si="9"/>
        <v>BRAND</v>
      </c>
      <c r="S26" s="296" t="e">
        <f t="shared" si="10"/>
        <v>#N/A</v>
      </c>
      <c r="T26" s="296" t="e">
        <f t="shared" si="11"/>
        <v>#N/A</v>
      </c>
      <c r="U26" s="297" t="e">
        <f t="shared" si="12"/>
        <v>#N/A</v>
      </c>
      <c r="V26" s="297" t="e">
        <f t="shared" si="13"/>
        <v>#N/A</v>
      </c>
      <c r="W26" s="297" t="e">
        <f t="shared" si="14"/>
        <v>#N/A</v>
      </c>
      <c r="X26" s="297" t="e">
        <f t="shared" si="15"/>
        <v>#N/A</v>
      </c>
      <c r="Y26" s="297" t="e">
        <f t="shared" si="16"/>
        <v>#N/A</v>
      </c>
      <c r="Z26" s="296" t="e">
        <f t="shared" si="17"/>
        <v>#N/A</v>
      </c>
    </row>
    <row r="27" spans="1:27" ht="15" customHeight="1">
      <c r="A27" s="28"/>
      <c r="B27" s="539" t="str">
        <f>I27</f>
        <v>CARIB</v>
      </c>
      <c r="C27" s="362">
        <f>[22]Process!D434</f>
        <v>11.97</v>
      </c>
      <c r="D27" s="485">
        <v>11.65</v>
      </c>
      <c r="E27" s="474"/>
      <c r="F27" s="294"/>
      <c r="G27" s="294"/>
      <c r="H27" s="348"/>
      <c r="I27" s="29" t="s">
        <v>6</v>
      </c>
      <c r="J27" s="280">
        <f>AVERAGE(I10:I19)</f>
        <v>96.881453995201056</v>
      </c>
      <c r="K27" s="284">
        <f>COUNTA([22]Brewhouse!$A$408:$A$491)</f>
        <v>84</v>
      </c>
      <c r="L27" s="302">
        <f>AVERAGE([22]Brewhouse!$AU$408:$AU$491)</f>
        <v>98.608144041762856</v>
      </c>
      <c r="M27" s="302">
        <f>AVERAGE([22]Brewhouse!$AU$102:$AU$171,[22]Brewhouse!$AU$173:$AU$253,[22]Brewhouse!$AU$255:$AU$339,[22]Brewhouse!$AU$341:$AU$346,[22]Brewhouse!$AU$348,[22]Brewhouse!$AU$349:$AU$406,[22]Brewhouse!$AU$408:$AU$491)</f>
        <v>97.66057428514587</v>
      </c>
      <c r="N27" s="30">
        <v>98</v>
      </c>
      <c r="O27" s="11"/>
      <c r="P27" s="31"/>
      <c r="R27" s="277"/>
      <c r="S27" s="296"/>
      <c r="T27" s="296"/>
      <c r="U27" s="297"/>
      <c r="V27" s="297"/>
      <c r="W27" s="297"/>
      <c r="X27" s="297"/>
      <c r="Y27" s="297"/>
      <c r="Z27" s="296"/>
    </row>
    <row r="28" spans="1:27" ht="15" customHeight="1">
      <c r="A28" s="28"/>
      <c r="B28" s="464"/>
      <c r="C28" s="349">
        <f>[22]Process!D435</f>
        <v>11.32</v>
      </c>
      <c r="D28" s="486"/>
      <c r="E28" s="469"/>
      <c r="F28" s="294"/>
      <c r="G28" s="294"/>
      <c r="H28" s="348"/>
      <c r="I28" s="33" t="s">
        <v>9</v>
      </c>
      <c r="J28" s="280"/>
      <c r="K28" s="284">
        <f>COUNTA([23]Brewhouse!$A$195:$A$240)</f>
        <v>46</v>
      </c>
      <c r="L28" s="302">
        <f>AVERAGE([23]Brewhouse!$AS$195:$AS$240)</f>
        <v>99.507337873120946</v>
      </c>
      <c r="M28" s="302">
        <f>AVERAGE([23]Brewhouse!$AS$15:$AS$64,[23]Brewhouse!$AS$66:$AS$103,[23]Brewhouse!$AS$105:$AS$140,[23]Brewhouse!$AS$142:$AS$193,[23]Brewhouse!$AS$195:$AS$240)</f>
        <v>97.875552945082219</v>
      </c>
      <c r="N28" s="30">
        <v>98</v>
      </c>
      <c r="O28" s="11"/>
      <c r="P28" s="31"/>
      <c r="R28" s="277"/>
      <c r="S28" s="296"/>
      <c r="T28" s="296"/>
      <c r="U28" s="297"/>
      <c r="V28" s="297"/>
      <c r="W28" s="297"/>
      <c r="X28" s="297"/>
      <c r="Y28" s="297"/>
      <c r="Z28" s="296"/>
    </row>
    <row r="29" spans="1:27" ht="14.7" customHeight="1">
      <c r="A29" s="28"/>
      <c r="B29" s="464"/>
      <c r="C29" s="349">
        <f>[22]Process!D436</f>
        <v>11.9</v>
      </c>
      <c r="D29" s="485">
        <v>11.74</v>
      </c>
      <c r="E29" s="474"/>
      <c r="F29" s="294"/>
      <c r="G29" s="294"/>
      <c r="H29" s="348"/>
      <c r="I29" s="34" t="s">
        <v>12</v>
      </c>
      <c r="J29" s="280"/>
      <c r="K29" s="284">
        <f>COUNTA([24]Brewhouse!$A$47:$A$62)</f>
        <v>16</v>
      </c>
      <c r="L29" s="302">
        <f>AVERAGE([24]Brewhouse!$AU$47:$AU$62)</f>
        <v>97.405159331492385</v>
      </c>
      <c r="M29" s="302">
        <f>AVERAGE([24]Brewhouse!$AU$4:$AU$7,[24]Brewhouse!$AU$9:$AU$22,[24]Brewhouse!$AU$24:$AU$35,[24]Brewhouse!$AU$37:$AU$45,[24]Brewhouse!$AU$47:$AU$62)</f>
        <v>97.179377138297156</v>
      </c>
      <c r="N29" s="30">
        <v>98</v>
      </c>
      <c r="O29" s="11"/>
      <c r="P29" s="31"/>
      <c r="R29" s="277"/>
      <c r="S29" s="296"/>
      <c r="T29" s="296"/>
      <c r="U29" s="297"/>
      <c r="V29" s="297"/>
      <c r="W29" s="297"/>
      <c r="X29" s="297"/>
      <c r="Y29" s="297"/>
      <c r="Z29" s="296"/>
    </row>
    <row r="30" spans="1:27" ht="14.7" customHeight="1">
      <c r="A30" s="28"/>
      <c r="B30" s="464"/>
      <c r="C30" s="349">
        <f>[22]Process!D437</f>
        <v>11.61</v>
      </c>
      <c r="D30" s="486"/>
      <c r="E30" s="469"/>
      <c r="F30" s="294"/>
      <c r="G30" s="294"/>
      <c r="H30" s="348"/>
      <c r="I30" s="22" t="s">
        <v>33</v>
      </c>
      <c r="J30" s="280"/>
      <c r="K30" s="284">
        <f>COUNTA([25]Brewhouse!$A$35:$A$46)</f>
        <v>12</v>
      </c>
      <c r="L30" s="302">
        <f>AVERAGE([25]Brewhouse!$AV$35:$AV$46)</f>
        <v>99.185883853717385</v>
      </c>
      <c r="M30" s="302">
        <f>AVERAGE([25]Brewhouse!$AV$5:$AV$14,[25]Brewhouse!$AV$16:$AV$19,[25]Brewhouse!$AV$21:$AV$24,[25]Brewhouse!$AV$26:$AV$33,[25]Brewhouse!$AV$35:$AV$46)</f>
        <v>99.005314486149061</v>
      </c>
      <c r="N30" s="30">
        <v>98</v>
      </c>
      <c r="O30" s="11"/>
      <c r="P30" s="31"/>
      <c r="R30" s="277"/>
      <c r="S30" s="296"/>
      <c r="T30" s="296"/>
      <c r="U30" s="297"/>
      <c r="V30" s="297"/>
      <c r="W30" s="297"/>
      <c r="X30" s="297"/>
      <c r="Y30" s="297"/>
      <c r="Z30" s="296"/>
    </row>
    <row r="31" spans="1:27" ht="14.7" customHeight="1">
      <c r="A31" s="28"/>
      <c r="B31" s="464"/>
      <c r="C31" s="349">
        <f>[22]Process!D438</f>
        <v>11.02</v>
      </c>
      <c r="D31" s="485">
        <v>11.7</v>
      </c>
      <c r="E31" s="474"/>
      <c r="F31" s="422"/>
      <c r="G31" s="294"/>
      <c r="H31" s="348"/>
      <c r="I31" s="35" t="s">
        <v>29</v>
      </c>
      <c r="J31" s="280"/>
      <c r="K31" s="284"/>
      <c r="L31" s="302"/>
      <c r="M31" s="302"/>
      <c r="N31" s="30">
        <v>98</v>
      </c>
      <c r="O31" s="11"/>
      <c r="P31" s="31"/>
      <c r="R31" s="277"/>
      <c r="S31" s="296"/>
      <c r="T31" s="296"/>
      <c r="U31" s="297"/>
      <c r="V31" s="297"/>
      <c r="W31" s="297"/>
      <c r="X31" s="297"/>
      <c r="Y31" s="297"/>
      <c r="Z31" s="296"/>
    </row>
    <row r="32" spans="1:27" ht="14.7" customHeight="1">
      <c r="A32" s="28"/>
      <c r="B32" s="464"/>
      <c r="C32" s="349">
        <f>[22]Process!D439</f>
        <v>11.6</v>
      </c>
      <c r="D32" s="486"/>
      <c r="E32" s="469"/>
      <c r="F32" s="422"/>
      <c r="G32" s="294"/>
      <c r="H32" s="348"/>
      <c r="I32" s="36" t="s">
        <v>15</v>
      </c>
      <c r="J32" s="323"/>
      <c r="K32" s="284"/>
      <c r="L32" s="302"/>
      <c r="M32" s="302">
        <f>AVERAGE([26]Brewhouse!$AT$4:$AT$11,[26]Brewhouse!$AT$13:$AT$16)</f>
        <v>95.165309917257005</v>
      </c>
      <c r="N32" s="30">
        <v>98</v>
      </c>
      <c r="O32" s="11"/>
      <c r="P32" s="31"/>
      <c r="R32" s="277"/>
      <c r="S32" s="296"/>
      <c r="T32" s="296"/>
      <c r="U32" s="297"/>
      <c r="V32" s="297"/>
      <c r="W32" s="297"/>
      <c r="X32" s="297"/>
      <c r="Y32" s="297"/>
      <c r="Z32" s="296"/>
      <c r="AA32" s="296"/>
    </row>
    <row r="33" spans="1:56" ht="14.7" customHeight="1">
      <c r="A33" s="28"/>
      <c r="B33" s="464"/>
      <c r="C33" s="349">
        <f>[22]Process!D440</f>
        <v>11.7</v>
      </c>
      <c r="D33" s="485">
        <v>11.28</v>
      </c>
      <c r="E33" s="474"/>
      <c r="F33" s="422"/>
      <c r="G33" s="294"/>
      <c r="H33" s="348"/>
      <c r="I33" s="37" t="s">
        <v>16</v>
      </c>
      <c r="J33" s="323"/>
      <c r="K33" s="284">
        <f>COUNTA([27]Brewhouse!$A$36:$A$43)</f>
        <v>8</v>
      </c>
      <c r="L33" s="302">
        <f>AVERAGE([27]Brewhouse!$AY$36:$AY$43)</f>
        <v>98.453561717677275</v>
      </c>
      <c r="M33" s="302">
        <f>AVERAGE([27]Brewhouse!$AY$6:$AY$13,[27]Brewhouse!$AY$15:$AY$20,[27]Brewhouse!$AY$22:$AY$29,[27]Brewhouse!$AY$31:$AY$34,[27]Brewhouse!$AY$36:$AY$43)</f>
        <v>96.669752433914965</v>
      </c>
      <c r="N33" s="30">
        <v>98</v>
      </c>
      <c r="O33" s="11"/>
      <c r="P33" s="31" t="s">
        <v>41</v>
      </c>
      <c r="R33" s="277"/>
      <c r="S33" s="296"/>
      <c r="T33" s="296"/>
      <c r="U33" s="297"/>
      <c r="V33" s="297"/>
      <c r="W33" s="297"/>
      <c r="X33" s="297"/>
      <c r="Y33" s="297"/>
      <c r="Z33" s="296"/>
      <c r="AA33" s="296"/>
    </row>
    <row r="34" spans="1:56" ht="14.7" customHeight="1">
      <c r="A34" s="28"/>
      <c r="B34" s="464"/>
      <c r="C34" s="349">
        <f>[22]Process!D441</f>
        <v>11.9</v>
      </c>
      <c r="D34" s="486"/>
      <c r="E34" s="469"/>
      <c r="F34" s="294"/>
      <c r="G34" s="294"/>
      <c r="H34" s="348"/>
      <c r="I34" s="412" t="s">
        <v>158</v>
      </c>
      <c r="J34" s="326"/>
      <c r="K34" s="284"/>
      <c r="L34" s="305"/>
      <c r="M34" s="305">
        <f>AVERAGE([28]Brewhouse!$AU$5:$AU$8)</f>
        <v>91.006888337619571</v>
      </c>
      <c r="N34" s="30">
        <v>98</v>
      </c>
      <c r="O34" s="11"/>
      <c r="P34" s="31"/>
      <c r="R34" s="277"/>
      <c r="S34" s="296"/>
      <c r="T34" s="296"/>
      <c r="U34" s="297"/>
      <c r="V34" s="297"/>
      <c r="W34" s="297"/>
      <c r="X34" s="297"/>
      <c r="Y34" s="297"/>
      <c r="Z34" s="296"/>
      <c r="AA34" s="296"/>
    </row>
    <row r="35" spans="1:56" ht="14.7" customHeight="1">
      <c r="A35" s="28"/>
      <c r="B35" s="464"/>
      <c r="C35" s="349"/>
      <c r="D35" s="485"/>
      <c r="E35" s="474"/>
      <c r="F35" s="294"/>
      <c r="G35" s="294"/>
      <c r="H35" s="348"/>
      <c r="I35" s="411" t="s">
        <v>157</v>
      </c>
      <c r="J35" s="326"/>
      <c r="K35" s="284"/>
      <c r="L35" s="305"/>
      <c r="M35" s="305"/>
      <c r="N35" s="30">
        <v>98</v>
      </c>
      <c r="O35" s="11"/>
      <c r="P35" s="31"/>
      <c r="R35" s="277"/>
      <c r="S35" s="296"/>
      <c r="T35" s="296"/>
      <c r="U35" s="297"/>
      <c r="V35" s="297"/>
      <c r="W35" s="297"/>
      <c r="X35" s="297"/>
      <c r="Y35" s="297"/>
      <c r="Z35" s="296"/>
      <c r="AA35" s="296"/>
    </row>
    <row r="36" spans="1:56" ht="15" customHeight="1" thickBot="1">
      <c r="A36" s="28"/>
      <c r="B36" s="464"/>
      <c r="C36" s="349"/>
      <c r="D36" s="486"/>
      <c r="E36" s="469"/>
      <c r="F36" s="294"/>
      <c r="G36" s="294"/>
      <c r="H36" s="348"/>
      <c r="I36" s="407" t="s">
        <v>156</v>
      </c>
      <c r="J36" s="327"/>
      <c r="K36" s="408"/>
      <c r="L36" s="409"/>
      <c r="M36" s="409"/>
      <c r="N36" s="410">
        <v>98</v>
      </c>
      <c r="O36" s="11"/>
      <c r="P36" s="31"/>
      <c r="R36" s="277"/>
      <c r="S36" s="296"/>
      <c r="T36" s="296"/>
      <c r="U36" s="297"/>
      <c r="V36" s="297"/>
      <c r="W36" s="297"/>
      <c r="X36" s="297"/>
      <c r="Y36" s="297"/>
      <c r="Z36" s="296"/>
      <c r="AA36" s="296"/>
    </row>
    <row r="37" spans="1:56" ht="15" customHeight="1" thickBot="1">
      <c r="A37" s="28"/>
      <c r="B37" s="464"/>
      <c r="C37" s="349"/>
      <c r="D37" s="485"/>
      <c r="E37" s="474"/>
      <c r="F37" s="294"/>
      <c r="G37" s="294"/>
      <c r="H37" s="348"/>
      <c r="I37" s="1"/>
      <c r="J37" s="39"/>
      <c r="K37" s="405">
        <f>SUM(K27:K36)</f>
        <v>166</v>
      </c>
      <c r="L37" s="406">
        <f>((L27*K27)+(L28*K28)+(L29*K29)+(L30*K30)+(L31*K31)+(K34*L34)+(L32*K32)+(L33*K33)+(L36*K36))/(K37)</f>
        <v>98.775682475671985</v>
      </c>
      <c r="M37" s="406">
        <f>AVERAGE('[29]Jan 31st'!$L$65,'[30]Feb 28th'!$L$35,'[31]Mar. 31st'!$L$35,'[32]Apr. 30th'!$L$45,L37)</f>
        <v>97.63585068747382</v>
      </c>
      <c r="N37" s="40">
        <v>98</v>
      </c>
      <c r="O37" s="11"/>
      <c r="P37" s="31"/>
      <c r="R37" s="277"/>
      <c r="S37" s="296"/>
      <c r="T37" s="296"/>
      <c r="U37" s="297"/>
      <c r="V37" s="297"/>
      <c r="W37" s="297"/>
      <c r="X37" s="297"/>
      <c r="Y37" s="297"/>
      <c r="Z37" s="296"/>
      <c r="AA37" s="296"/>
    </row>
    <row r="38" spans="1:56" ht="15" thickBot="1">
      <c r="B38" s="465"/>
      <c r="C38" s="350"/>
      <c r="D38" s="486"/>
      <c r="E38" s="469"/>
      <c r="F38" s="294"/>
      <c r="G38" s="42"/>
      <c r="H38" s="41"/>
      <c r="I38" s="42"/>
      <c r="J38" s="42"/>
      <c r="K38" s="351"/>
      <c r="L38" s="348"/>
      <c r="M38" s="348"/>
      <c r="N38" s="11"/>
      <c r="O38" s="294"/>
      <c r="P38" s="12"/>
      <c r="R38" s="277"/>
      <c r="S38" s="296"/>
      <c r="T38" s="296"/>
      <c r="U38" s="297"/>
      <c r="V38" s="297"/>
      <c r="W38" s="297"/>
      <c r="X38" s="297"/>
      <c r="Y38" s="297"/>
      <c r="Z38" s="296"/>
      <c r="AA38" s="296"/>
    </row>
    <row r="39" spans="1:56" ht="15" thickBot="1">
      <c r="B39" s="540" t="str">
        <f>I30</f>
        <v>VITAMALT</v>
      </c>
      <c r="C39" s="362"/>
      <c r="D39" s="466"/>
      <c r="E39" s="467"/>
      <c r="F39" s="294"/>
      <c r="G39" s="42"/>
      <c r="H39" s="41"/>
      <c r="I39" s="42"/>
      <c r="J39" s="519" t="s">
        <v>129</v>
      </c>
      <c r="K39" s="519"/>
      <c r="L39" s="294"/>
      <c r="M39" s="294"/>
      <c r="N39" s="294"/>
      <c r="O39" s="294"/>
      <c r="P39" s="12"/>
    </row>
    <row r="40" spans="1:56" ht="13.5" customHeight="1" thickBot="1">
      <c r="B40" s="541"/>
      <c r="C40" s="349"/>
      <c r="D40" s="468"/>
      <c r="E40" s="469"/>
      <c r="F40" s="294"/>
      <c r="G40" s="42"/>
      <c r="H40" s="41"/>
      <c r="I40" s="293" t="s">
        <v>227</v>
      </c>
      <c r="J40" s="292" t="s">
        <v>17</v>
      </c>
      <c r="K40" s="293" t="s">
        <v>147</v>
      </c>
      <c r="L40" s="471" t="s">
        <v>136</v>
      </c>
      <c r="M40" s="471"/>
      <c r="N40" s="472"/>
      <c r="O40" s="294"/>
      <c r="P40" s="12"/>
    </row>
    <row r="41" spans="1:56" ht="15" customHeight="1" thickBot="1">
      <c r="B41" s="541"/>
      <c r="C41" s="349">
        <f>[25]Process!D43</f>
        <v>14.2</v>
      </c>
      <c r="D41" s="473">
        <v>16.77</v>
      </c>
      <c r="E41" s="474"/>
      <c r="F41" s="294"/>
      <c r="G41" s="42"/>
      <c r="H41" s="41"/>
      <c r="I41" s="324">
        <v>2</v>
      </c>
      <c r="J41" s="287" t="s">
        <v>6</v>
      </c>
      <c r="K41" s="324">
        <v>6</v>
      </c>
      <c r="L41" s="343" t="s">
        <v>37</v>
      </c>
      <c r="M41" s="307" t="s">
        <v>38</v>
      </c>
      <c r="N41" s="307" t="s">
        <v>84</v>
      </c>
      <c r="O41" s="294"/>
      <c r="P41" s="12"/>
    </row>
    <row r="42" spans="1:56" ht="15.75" customHeight="1" thickBot="1">
      <c r="B42" s="541"/>
      <c r="C42" s="349">
        <f>[25]Process!D44</f>
        <v>14.6</v>
      </c>
      <c r="D42" s="468"/>
      <c r="E42" s="469"/>
      <c r="F42" s="294"/>
      <c r="G42" s="42"/>
      <c r="H42" s="41"/>
      <c r="I42" s="324"/>
      <c r="J42" s="345" t="s">
        <v>9</v>
      </c>
      <c r="K42" s="324"/>
      <c r="L42" s="344">
        <f>AVERAGE('May 2nd -4th'!I70,'May 2nd -4th'!K70,'May 5th'!K77,'May 6th'!K60,'May 7th'!K57,'May 8th'!K53,'May 9th-10th'!I60,'May 9th-10th'!K60,'May 12th'!K43,'May 13th'!K45,'May 14th'!K50,'May 15th'!K49,'May 16th'!K52,'May 19th'!K48,'May 20th'!K49,'May 21st'!K53,'May 22nd'!K53,'May 23rd'!K53,'May 26th'!K53,'May 27th'!K53,'May 28th'!K45,I51,K51)</f>
        <v>7.2608695652173916</v>
      </c>
      <c r="M42" s="325">
        <f>AVERAGE('[29]Jan 29th '!$M$70,'[30]Feb 28th'!$L$40,'[31]Mar. 31st'!$L$40,'[32]Apr. 30th'!$L$50,L42)</f>
        <v>6.641328236980411</v>
      </c>
      <c r="N42" s="420">
        <v>9.1999999999999993</v>
      </c>
      <c r="O42" s="294"/>
      <c r="P42" s="12"/>
    </row>
    <row r="43" spans="1:56" ht="15" customHeight="1">
      <c r="B43" s="541"/>
      <c r="C43" s="349">
        <f>[25]Process!D45</f>
        <v>15.1</v>
      </c>
      <c r="D43" s="473">
        <v>16.649999999999999</v>
      </c>
      <c r="E43" s="474"/>
      <c r="F43" s="294"/>
      <c r="G43" s="42"/>
      <c r="H43" s="41"/>
      <c r="I43" s="324"/>
      <c r="J43" s="288" t="s">
        <v>40</v>
      </c>
      <c r="K43" s="324"/>
      <c r="L43" s="294"/>
      <c r="M43" s="294"/>
      <c r="N43" s="294"/>
      <c r="O43" s="294"/>
      <c r="P43" s="12"/>
    </row>
    <row r="44" spans="1:56" ht="15" customHeight="1">
      <c r="B44" s="541"/>
      <c r="C44" s="349">
        <f>[25]Process!D46</f>
        <v>13.5</v>
      </c>
      <c r="D44" s="468"/>
      <c r="E44" s="469"/>
      <c r="F44" s="294"/>
      <c r="G44" s="42"/>
      <c r="H44" s="41"/>
      <c r="I44" s="324"/>
      <c r="J44" s="289" t="s">
        <v>33</v>
      </c>
      <c r="K44" s="324"/>
      <c r="L44" s="294"/>
      <c r="M44" s="294"/>
      <c r="N44" s="294"/>
      <c r="O44" s="294"/>
      <c r="P44" s="12"/>
    </row>
    <row r="45" spans="1:56" ht="14.4">
      <c r="B45" s="541"/>
      <c r="C45" s="349"/>
      <c r="D45" s="473"/>
      <c r="E45" s="474"/>
      <c r="F45" s="294"/>
      <c r="G45" s="42"/>
      <c r="H45" s="41"/>
      <c r="I45" s="324"/>
      <c r="J45" s="290" t="s">
        <v>16</v>
      </c>
      <c r="K45" s="324"/>
      <c r="L45" s="294"/>
      <c r="M45" s="294"/>
      <c r="N45" s="294"/>
      <c r="O45" s="294"/>
      <c r="P45" s="12"/>
      <c r="BC45" s="44"/>
      <c r="BD45" s="44"/>
    </row>
    <row r="46" spans="1:56" ht="14.4">
      <c r="B46" s="541"/>
      <c r="C46" s="349"/>
      <c r="D46" s="468"/>
      <c r="E46" s="469"/>
      <c r="F46" s="294"/>
      <c r="G46" s="42"/>
      <c r="H46" s="41"/>
      <c r="I46" s="324"/>
      <c r="J46" s="291" t="s">
        <v>15</v>
      </c>
      <c r="K46" s="324"/>
      <c r="L46" s="294"/>
      <c r="M46" s="294"/>
      <c r="N46" s="294"/>
      <c r="O46" s="294"/>
      <c r="P46" s="12"/>
      <c r="BC46" s="44"/>
      <c r="BD46" s="44"/>
    </row>
    <row r="47" spans="1:56" ht="14.4">
      <c r="B47" s="541"/>
      <c r="C47" s="349"/>
      <c r="D47" s="475"/>
      <c r="E47" s="476"/>
      <c r="F47" s="294"/>
      <c r="G47" s="42"/>
      <c r="H47" s="41"/>
      <c r="I47" s="324"/>
      <c r="J47" s="291" t="s">
        <v>149</v>
      </c>
      <c r="K47" s="324"/>
      <c r="L47" s="294"/>
      <c r="M47" s="294"/>
      <c r="N47" s="294"/>
      <c r="O47" s="294"/>
      <c r="P47" s="12"/>
      <c r="BC47" s="44"/>
      <c r="BD47" s="44"/>
    </row>
    <row r="48" spans="1:56" ht="15" thickBot="1">
      <c r="B48" s="542"/>
      <c r="C48" s="350"/>
      <c r="D48" s="477"/>
      <c r="E48" s="478"/>
      <c r="F48" s="294"/>
      <c r="G48" s="42"/>
      <c r="H48" s="41"/>
      <c r="I48" s="324"/>
      <c r="J48" s="291" t="s">
        <v>148</v>
      </c>
      <c r="K48" s="324"/>
      <c r="L48" s="294"/>
      <c r="M48" s="294"/>
      <c r="N48" s="294"/>
      <c r="O48" s="294"/>
      <c r="P48" s="12"/>
      <c r="BC48" s="44"/>
      <c r="BD48" s="44"/>
    </row>
    <row r="49" spans="2:57" ht="17.7" customHeight="1" thickBot="1">
      <c r="B49" s="312" t="s">
        <v>139</v>
      </c>
      <c r="C49" s="313"/>
      <c r="D49" s="457">
        <f>AVERAGE(D27:E48)</f>
        <v>13.298333333333332</v>
      </c>
      <c r="E49" s="458"/>
      <c r="F49" s="294"/>
      <c r="G49" s="42"/>
      <c r="H49" s="41"/>
      <c r="I49" s="324"/>
      <c r="J49" s="295" t="s">
        <v>134</v>
      </c>
      <c r="K49" s="324"/>
      <c r="L49" s="294"/>
      <c r="M49" s="294"/>
      <c r="N49" s="294"/>
      <c r="O49" s="294"/>
      <c r="P49" s="12"/>
      <c r="BC49" s="44"/>
      <c r="BD49" s="44"/>
    </row>
    <row r="50" spans="2:57" ht="17.7" customHeight="1">
      <c r="B50" s="363"/>
      <c r="C50" s="364"/>
      <c r="D50" s="365"/>
      <c r="E50" s="365"/>
      <c r="F50" s="294"/>
      <c r="G50" s="42"/>
      <c r="H50" s="41"/>
      <c r="I50" s="324"/>
      <c r="J50" s="295" t="s">
        <v>131</v>
      </c>
      <c r="K50" s="324"/>
      <c r="L50" s="294"/>
      <c r="M50" s="294"/>
      <c r="N50" s="294"/>
      <c r="O50" s="294"/>
      <c r="P50" s="12"/>
      <c r="BC50" s="44"/>
      <c r="BD50" s="44"/>
    </row>
    <row r="51" spans="2:57" ht="15.75" customHeight="1">
      <c r="B51" s="45"/>
      <c r="C51" s="11"/>
      <c r="D51" s="11"/>
      <c r="E51" s="46"/>
      <c r="F51" s="294"/>
      <c r="G51" s="42"/>
      <c r="H51" s="41"/>
      <c r="I51" s="324">
        <f>SUM(I41:I50)</f>
        <v>2</v>
      </c>
      <c r="J51" s="346" t="s">
        <v>130</v>
      </c>
      <c r="K51" s="324">
        <f>SUM(K41:K50)</f>
        <v>6</v>
      </c>
      <c r="L51" s="294"/>
      <c r="M51" s="294"/>
      <c r="N51" s="294"/>
      <c r="O51" s="294"/>
      <c r="P51" s="12"/>
    </row>
    <row r="52" spans="2:57" ht="20.25" customHeight="1">
      <c r="B52" s="15" t="s">
        <v>42</v>
      </c>
      <c r="C52" s="1" t="s">
        <v>43</v>
      </c>
      <c r="D52" s="1"/>
      <c r="E52" s="1"/>
      <c r="F52" s="294"/>
      <c r="G52" s="42"/>
      <c r="H52" s="41"/>
      <c r="I52" s="42"/>
      <c r="L52" s="294"/>
      <c r="P52" s="334"/>
    </row>
    <row r="53" spans="2:57" ht="15" customHeight="1" thickBot="1"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8"/>
      <c r="O53" s="48"/>
      <c r="P53" s="49"/>
    </row>
    <row r="54" spans="2:57" ht="15" customHeight="1" thickBot="1">
      <c r="B54" s="447" t="s">
        <v>17</v>
      </c>
      <c r="C54" s="447" t="s">
        <v>44</v>
      </c>
      <c r="D54" s="459" t="s">
        <v>45</v>
      </c>
      <c r="E54" s="461" t="s">
        <v>46</v>
      </c>
      <c r="F54" s="455" t="s">
        <v>47</v>
      </c>
      <c r="G54" s="445" t="s">
        <v>48</v>
      </c>
      <c r="H54" s="447" t="s">
        <v>49</v>
      </c>
      <c r="I54" s="447" t="s">
        <v>50</v>
      </c>
      <c r="J54" s="439" t="s">
        <v>28</v>
      </c>
      <c r="K54" s="451" t="s">
        <v>51</v>
      </c>
      <c r="L54" s="453" t="s">
        <v>52</v>
      </c>
      <c r="M54" s="439" t="s">
        <v>53</v>
      </c>
      <c r="N54" s="13"/>
      <c r="O54" s="13"/>
      <c r="P54" s="50"/>
    </row>
    <row r="55" spans="2:57" ht="28.5" customHeight="1" thickTop="1" thickBot="1">
      <c r="B55" s="448"/>
      <c r="C55" s="448"/>
      <c r="D55" s="460"/>
      <c r="E55" s="462"/>
      <c r="F55" s="456"/>
      <c r="G55" s="446"/>
      <c r="H55" s="448"/>
      <c r="I55" s="448"/>
      <c r="J55" s="440"/>
      <c r="K55" s="452"/>
      <c r="L55" s="454"/>
      <c r="M55" s="440"/>
      <c r="N55" s="13"/>
      <c r="O55" s="13"/>
      <c r="P55" s="50"/>
      <c r="Q55" s="355"/>
      <c r="AB55" s="51">
        <v>43474</v>
      </c>
      <c r="AC55" s="51">
        <v>43475</v>
      </c>
      <c r="AD55" s="51">
        <v>43476</v>
      </c>
      <c r="AE55" s="51">
        <v>43477</v>
      </c>
      <c r="AF55" s="51">
        <v>43478</v>
      </c>
      <c r="AG55" s="51">
        <v>43479</v>
      </c>
      <c r="AH55" s="51">
        <v>43480</v>
      </c>
      <c r="AI55" s="51">
        <v>43481</v>
      </c>
      <c r="AJ55" s="51">
        <v>43482</v>
      </c>
      <c r="AK55" s="51">
        <v>43483</v>
      </c>
      <c r="AL55" s="51">
        <v>43484</v>
      </c>
      <c r="AM55" s="51">
        <v>43485</v>
      </c>
      <c r="AN55" s="51">
        <v>43486</v>
      </c>
      <c r="AO55" s="51">
        <v>43487</v>
      </c>
      <c r="AP55" s="51">
        <v>43488</v>
      </c>
      <c r="AQ55" s="51">
        <v>43489</v>
      </c>
      <c r="AR55" s="51">
        <v>43490</v>
      </c>
      <c r="AS55" s="51">
        <v>43491</v>
      </c>
      <c r="AT55" s="51">
        <v>43492</v>
      </c>
      <c r="AU55" s="51">
        <v>43493</v>
      </c>
      <c r="AV55" s="51">
        <v>43494</v>
      </c>
      <c r="AW55" s="51">
        <v>43495</v>
      </c>
      <c r="AX55" s="51">
        <v>43496</v>
      </c>
    </row>
    <row r="56" spans="2:57" s="54" customFormat="1" ht="51" customHeight="1">
      <c r="B56" s="387" t="str">
        <f>B63</f>
        <v>CARIB</v>
      </c>
      <c r="C56" s="283">
        <v>45807</v>
      </c>
      <c r="D56" s="377">
        <f>[33]May_2025!$AG$3</f>
        <v>407.49999999999994</v>
      </c>
      <c r="E56" s="378"/>
      <c r="F56" s="379">
        <f>[34]CARIB!$L$83</f>
        <v>397.5</v>
      </c>
      <c r="G56" s="303">
        <f>[33]May_2025!$AG$7</f>
        <v>386.5</v>
      </c>
      <c r="H56" s="320">
        <f>(D56-F56)/D56*100</f>
        <v>2.4539877300613364</v>
      </c>
      <c r="I56" s="322">
        <f>((F56+E56)-G56)/(F56+E56)*100</f>
        <v>2.767295597484277</v>
      </c>
      <c r="J56" s="392" t="s">
        <v>224</v>
      </c>
      <c r="K56" s="286">
        <f>[35]May_2025!$AG$18</f>
        <v>0.67807017543859649</v>
      </c>
      <c r="L56" s="314">
        <f>(((D56+E56)-G56)/(D56+E56))*100</f>
        <v>5.1533742331288215</v>
      </c>
      <c r="M56" s="419" t="s">
        <v>225</v>
      </c>
      <c r="N56" s="13"/>
      <c r="O56" s="13"/>
      <c r="P56" s="50"/>
      <c r="R56" s="275"/>
      <c r="S56" s="275"/>
      <c r="T56" s="275"/>
      <c r="U56" s="275"/>
      <c r="V56" s="275"/>
      <c r="W56" s="275"/>
      <c r="X56" s="275"/>
      <c r="Y56" s="275"/>
      <c r="Z56" s="275"/>
      <c r="AA56" s="275"/>
      <c r="AB56" s="418"/>
      <c r="AC56" s="418"/>
      <c r="AD56" s="418"/>
      <c r="AE56" s="418"/>
      <c r="AF56" s="418"/>
      <c r="AG56" s="418"/>
      <c r="AH56" s="418"/>
      <c r="AI56" s="418"/>
      <c r="AJ56" s="418"/>
      <c r="AK56" s="418"/>
      <c r="AL56" s="418"/>
      <c r="AM56" s="418"/>
      <c r="AN56" s="418"/>
      <c r="AO56" s="418"/>
      <c r="AP56" s="418"/>
      <c r="AQ56" s="418"/>
      <c r="AR56" s="418"/>
      <c r="AS56" s="418"/>
      <c r="AT56" s="418"/>
      <c r="AU56" s="418"/>
      <c r="AV56" s="418"/>
      <c r="AW56" s="418"/>
    </row>
    <row r="57" spans="2:57" s="54" customFormat="1" ht="23.25" customHeight="1">
      <c r="B57" s="415"/>
      <c r="C57" s="283"/>
      <c r="D57" s="377"/>
      <c r="E57" s="378"/>
      <c r="F57" s="379"/>
      <c r="G57" s="303"/>
      <c r="H57" s="320"/>
      <c r="I57" s="322"/>
      <c r="J57" s="281"/>
      <c r="K57" s="286"/>
      <c r="L57" s="314"/>
      <c r="M57" s="419"/>
      <c r="N57" s="13"/>
      <c r="O57" s="13"/>
      <c r="P57" s="50"/>
      <c r="R57" s="275"/>
      <c r="S57" s="275"/>
      <c r="T57" s="275"/>
      <c r="U57" s="275"/>
      <c r="V57" s="275"/>
      <c r="W57" s="275"/>
      <c r="X57" s="275"/>
      <c r="Y57" s="275"/>
      <c r="Z57" s="275"/>
      <c r="AA57" s="275"/>
      <c r="AB57" s="418"/>
      <c r="AC57" s="418"/>
      <c r="AD57" s="418"/>
      <c r="AE57" s="418"/>
      <c r="AF57" s="418"/>
      <c r="AG57" s="418"/>
      <c r="AH57" s="418"/>
      <c r="AI57" s="418"/>
      <c r="AJ57" s="418"/>
      <c r="AK57" s="418"/>
      <c r="AL57" s="418"/>
      <c r="AM57" s="418"/>
      <c r="AN57" s="418"/>
      <c r="AO57" s="418"/>
      <c r="AP57" s="418"/>
      <c r="AQ57" s="418"/>
      <c r="AR57" s="418"/>
      <c r="AS57" s="418"/>
      <c r="AT57" s="418"/>
      <c r="AU57" s="418"/>
      <c r="AV57" s="418"/>
      <c r="AW57" s="418"/>
    </row>
    <row r="58" spans="2:57" s="54" customFormat="1" ht="53.25" customHeight="1">
      <c r="B58" s="438" t="str">
        <f>B66</f>
        <v>VITAMALT</v>
      </c>
      <c r="C58" s="283">
        <v>45807</v>
      </c>
      <c r="D58" s="377">
        <f>[33]May_2025!$AG$65</f>
        <v>194.3</v>
      </c>
      <c r="E58" s="378">
        <f>[34]VITAMALT!$J$14+[34]VITAMALT!$J$16</f>
        <v>8.1999999999999993</v>
      </c>
      <c r="F58" s="379"/>
      <c r="G58" s="303">
        <f>[33]May_2025!$AG$70</f>
        <v>195.8</v>
      </c>
      <c r="H58" s="320"/>
      <c r="I58" s="322"/>
      <c r="J58" s="392" t="s">
        <v>224</v>
      </c>
      <c r="K58" s="286">
        <f>[35]May_2025!$AG$60</f>
        <v>0.68701754385964919</v>
      </c>
      <c r="L58" s="314">
        <f>(((D58+E58)-G58)/(D58+E58))*100</f>
        <v>3.3086419753086362</v>
      </c>
      <c r="M58" s="419" t="s">
        <v>184</v>
      </c>
      <c r="N58" s="13"/>
      <c r="O58" s="13"/>
      <c r="P58" s="50"/>
      <c r="R58" s="275"/>
      <c r="S58" s="275"/>
      <c r="T58" s="275"/>
      <c r="U58" s="275"/>
      <c r="V58" s="275"/>
      <c r="W58" s="275"/>
      <c r="X58" s="275"/>
      <c r="Y58" s="275"/>
      <c r="Z58" s="275"/>
      <c r="AA58" s="275"/>
      <c r="AB58" s="57" t="e">
        <f>[20]January_2019!L7</f>
        <v>#REF!</v>
      </c>
      <c r="AC58" s="57" t="e">
        <f>[20]January_2019!M7</f>
        <v>#REF!</v>
      </c>
      <c r="AD58" s="57" t="e">
        <f>[20]January_2019!N7</f>
        <v>#REF!</v>
      </c>
      <c r="AE58" s="57" t="e">
        <f>[20]January_2019!O7</f>
        <v>#REF!</v>
      </c>
      <c r="AF58" s="57" t="e">
        <f>[20]January_2019!P7</f>
        <v>#REF!</v>
      </c>
      <c r="AG58" s="57" t="e">
        <f>[20]January_2019!Q7</f>
        <v>#REF!</v>
      </c>
      <c r="AH58" s="57" t="e">
        <f>[20]January_2019!R7</f>
        <v>#REF!</v>
      </c>
      <c r="AI58" s="57" t="e">
        <f>[20]January_2019!S7</f>
        <v>#REF!</v>
      </c>
      <c r="AJ58" s="57" t="e">
        <f>[20]January_2019!T7</f>
        <v>#REF!</v>
      </c>
      <c r="AK58" s="57" t="e">
        <f>[20]January_2019!U7</f>
        <v>#REF!</v>
      </c>
      <c r="AL58" s="57" t="e">
        <f>[20]January_2019!V7</f>
        <v>#REF!</v>
      </c>
      <c r="AM58" s="57" t="e">
        <f>[20]January_2019!W7</f>
        <v>#REF!</v>
      </c>
      <c r="AN58" s="57" t="e">
        <f>[20]January_2019!X7</f>
        <v>#REF!</v>
      </c>
      <c r="AO58" s="57" t="e">
        <f>[20]January_2019!Y7</f>
        <v>#REF!</v>
      </c>
      <c r="AP58" s="57" t="e">
        <f>[20]January_2019!Z7</f>
        <v>#REF!</v>
      </c>
      <c r="AQ58" s="57" t="e">
        <f>[20]January_2019!AA7</f>
        <v>#REF!</v>
      </c>
      <c r="AR58" s="57" t="e">
        <f>[20]January_2019!AB7</f>
        <v>#REF!</v>
      </c>
      <c r="AS58" s="57" t="e">
        <f>[20]January_2019!AC7</f>
        <v>#REF!</v>
      </c>
      <c r="AT58" s="57" t="e">
        <f>[20]January_2019!AD7</f>
        <v>#REF!</v>
      </c>
      <c r="AU58" s="57" t="e">
        <f>[20]January_2019!AE7</f>
        <v>#REF!</v>
      </c>
      <c r="AV58" s="57" t="e">
        <f>[20]January_2019!AF7</f>
        <v>#REF!</v>
      </c>
      <c r="AW58" s="57" t="e">
        <f>[20]January_2019!AG7</f>
        <v>#REF!</v>
      </c>
      <c r="AX58" s="277" t="e">
        <f>[20]January_2019!AH7</f>
        <v>#REF!</v>
      </c>
      <c r="AY58" s="277"/>
      <c r="AZ58" s="277"/>
      <c r="BA58" s="277"/>
      <c r="BB58" s="277"/>
      <c r="BC58" s="277"/>
      <c r="BD58" s="277"/>
      <c r="BE58" s="277"/>
    </row>
    <row r="59" spans="2:57" s="54" customFormat="1" ht="16.5" customHeight="1">
      <c r="B59" s="431"/>
      <c r="C59" s="283"/>
      <c r="D59" s="377"/>
      <c r="E59" s="378"/>
      <c r="F59" s="379"/>
      <c r="G59" s="303"/>
      <c r="H59" s="320"/>
      <c r="I59" s="322"/>
      <c r="J59" s="281"/>
      <c r="K59" s="286"/>
      <c r="L59" s="314"/>
      <c r="M59" s="419"/>
      <c r="N59" s="13"/>
      <c r="O59" s="13"/>
      <c r="P59" s="50"/>
      <c r="R59" s="275"/>
      <c r="S59" s="275"/>
      <c r="T59" s="275"/>
      <c r="U59" s="275"/>
      <c r="V59" s="275"/>
      <c r="W59" s="275"/>
      <c r="X59" s="275"/>
      <c r="Y59" s="275"/>
      <c r="Z59" s="275"/>
      <c r="AA59" s="275"/>
      <c r="AB59" s="418"/>
      <c r="AC59" s="418"/>
      <c r="AD59" s="418"/>
      <c r="AE59" s="418"/>
      <c r="AF59" s="418"/>
      <c r="AG59" s="418"/>
      <c r="AH59" s="418"/>
      <c r="AI59" s="418"/>
      <c r="AJ59" s="418"/>
      <c r="AK59" s="418"/>
      <c r="AL59" s="418"/>
      <c r="AM59" s="418"/>
      <c r="AN59" s="418"/>
      <c r="AO59" s="418"/>
      <c r="AP59" s="418"/>
      <c r="AQ59" s="418"/>
      <c r="AR59" s="418"/>
      <c r="AS59" s="418"/>
      <c r="AT59" s="418"/>
      <c r="AU59" s="418"/>
      <c r="AV59" s="418"/>
      <c r="AW59" s="418"/>
    </row>
    <row r="60" spans="2:57" ht="18" customHeight="1" thickBot="1">
      <c r="B60" s="59"/>
      <c r="C60" s="30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6"/>
      <c r="P60" s="60"/>
    </row>
    <row r="61" spans="2:57" ht="14.4" thickBot="1">
      <c r="B61" s="441" t="s">
        <v>55</v>
      </c>
      <c r="C61" s="442"/>
      <c r="D61" s="442"/>
      <c r="E61" s="442"/>
      <c r="F61" s="443"/>
      <c r="G61" s="441" t="s">
        <v>56</v>
      </c>
      <c r="H61" s="442"/>
      <c r="I61" s="442"/>
      <c r="J61" s="443"/>
      <c r="K61" s="441" t="s">
        <v>51</v>
      </c>
      <c r="L61" s="442"/>
      <c r="M61" s="442"/>
      <c r="N61" s="444"/>
      <c r="O61" s="56"/>
      <c r="P61" s="50"/>
    </row>
    <row r="62" spans="2:57">
      <c r="B62" s="61" t="s">
        <v>17</v>
      </c>
      <c r="C62" s="62" t="s">
        <v>36</v>
      </c>
      <c r="D62" s="62" t="s">
        <v>37</v>
      </c>
      <c r="E62" s="62" t="s">
        <v>38</v>
      </c>
      <c r="F62" s="63" t="s">
        <v>39</v>
      </c>
      <c r="G62" s="62" t="s">
        <v>36</v>
      </c>
      <c r="H62" s="62" t="s">
        <v>37</v>
      </c>
      <c r="I62" s="62" t="s">
        <v>38</v>
      </c>
      <c r="J62" s="63" t="s">
        <v>39</v>
      </c>
      <c r="K62" s="62" t="s">
        <v>36</v>
      </c>
      <c r="L62" s="62" t="s">
        <v>37</v>
      </c>
      <c r="M62" s="62" t="s">
        <v>38</v>
      </c>
      <c r="N62" s="63" t="s">
        <v>39</v>
      </c>
      <c r="O62" s="56"/>
      <c r="P62" s="64"/>
    </row>
    <row r="63" spans="2:57">
      <c r="B63" s="29" t="s">
        <v>6</v>
      </c>
      <c r="C63" s="65">
        <f>L56</f>
        <v>5.1533742331288215</v>
      </c>
      <c r="D63" s="76">
        <v>5.4530990902164858</v>
      </c>
      <c r="E63" s="76">
        <v>6.6706827139758538</v>
      </c>
      <c r="F63" s="66">
        <v>4.8</v>
      </c>
      <c r="G63" s="65">
        <f>[33]May_2025!$AG$11</f>
        <v>5.387563432553188</v>
      </c>
      <c r="H63" s="76">
        <v>5.3362656465215776</v>
      </c>
      <c r="I63" s="76">
        <v>6.819660856236009</v>
      </c>
      <c r="J63" s="66">
        <v>4.8</v>
      </c>
      <c r="K63" s="67">
        <f>K56</f>
        <v>0.67807017543859649</v>
      </c>
      <c r="L63" s="194">
        <v>0.69229399255715052</v>
      </c>
      <c r="M63" s="194">
        <v>0.74805190521095766</v>
      </c>
      <c r="N63" s="68">
        <v>1</v>
      </c>
      <c r="O63" s="56"/>
      <c r="P63" s="69"/>
    </row>
    <row r="64" spans="2:57">
      <c r="B64" s="33" t="s">
        <v>9</v>
      </c>
      <c r="C64" s="65"/>
      <c r="D64" s="76">
        <v>5.0439852168028887</v>
      </c>
      <c r="E64" s="76">
        <v>6.343300060697989</v>
      </c>
      <c r="F64" s="66">
        <v>4.8</v>
      </c>
      <c r="G64" s="65"/>
      <c r="H64" s="76">
        <v>4.5460784546516297</v>
      </c>
      <c r="I64" s="76">
        <v>6.2115415897577293</v>
      </c>
      <c r="J64" s="66">
        <v>4.8</v>
      </c>
      <c r="K64" s="67"/>
      <c r="L64" s="194">
        <v>0.68937621832358675</v>
      </c>
      <c r="M64" s="194">
        <v>0.74681676042233403</v>
      </c>
      <c r="N64" s="68">
        <v>1</v>
      </c>
      <c r="P64" s="69"/>
    </row>
    <row r="65" spans="2:16">
      <c r="B65" s="34" t="s">
        <v>40</v>
      </c>
      <c r="C65" s="65"/>
      <c r="D65" s="76">
        <v>11.315547378104874</v>
      </c>
      <c r="E65" s="76">
        <v>11.904402895054256</v>
      </c>
      <c r="F65" s="66">
        <v>5.5</v>
      </c>
      <c r="G65" s="65"/>
      <c r="H65" s="76">
        <v>11.326481625576006</v>
      </c>
      <c r="I65" s="76">
        <v>13.27623252148428</v>
      </c>
      <c r="J65" s="66">
        <v>5.5</v>
      </c>
      <c r="K65" s="67"/>
      <c r="L65" s="194">
        <v>0.67649122807017548</v>
      </c>
      <c r="M65" s="194">
        <v>0.55663694898464589</v>
      </c>
      <c r="N65" s="68">
        <v>1</v>
      </c>
      <c r="P65" s="69"/>
    </row>
    <row r="66" spans="2:16">
      <c r="B66" s="22" t="s">
        <v>33</v>
      </c>
      <c r="C66" s="65">
        <f>L58</f>
        <v>3.3086419753086362</v>
      </c>
      <c r="D66" s="76">
        <v>3.3672670321064975</v>
      </c>
      <c r="E66" s="76">
        <v>3.2098902317330009</v>
      </c>
      <c r="F66" s="66">
        <v>3.3</v>
      </c>
      <c r="G66" s="65">
        <f>[33]May_2025!$AG$74</f>
        <v>1.2993482666329512</v>
      </c>
      <c r="H66" s="76">
        <v>1.8177652867396785</v>
      </c>
      <c r="I66" s="76">
        <v>4.1429617930013904</v>
      </c>
      <c r="J66" s="66">
        <v>3.3</v>
      </c>
      <c r="K66" s="67">
        <f>K58</f>
        <v>0.68701754385964919</v>
      </c>
      <c r="L66" s="194">
        <v>0.86596491228070183</v>
      </c>
      <c r="M66" s="194">
        <v>0.87513784461152888</v>
      </c>
      <c r="N66" s="68">
        <v>1</v>
      </c>
      <c r="P66" s="69"/>
    </row>
    <row r="67" spans="2:16">
      <c r="B67" s="35" t="s">
        <v>29</v>
      </c>
      <c r="C67" s="65"/>
      <c r="D67" s="76"/>
      <c r="E67" s="76"/>
      <c r="F67" s="66">
        <v>3.3</v>
      </c>
      <c r="G67" s="282"/>
      <c r="H67" s="76"/>
      <c r="I67" s="76"/>
      <c r="J67" s="66">
        <v>3</v>
      </c>
      <c r="L67" s="194"/>
      <c r="M67" s="194"/>
      <c r="N67" s="68">
        <v>1</v>
      </c>
      <c r="P67" s="69"/>
    </row>
    <row r="68" spans="2:16">
      <c r="B68" s="36" t="s">
        <v>15</v>
      </c>
      <c r="C68" s="282"/>
      <c r="D68" s="76"/>
      <c r="E68" s="76">
        <v>7.8262258425171876</v>
      </c>
      <c r="F68" s="70">
        <f>[21]May_2022!$M$43</f>
        <v>3.4878406700073312</v>
      </c>
      <c r="G68" s="282"/>
      <c r="H68" s="76"/>
      <c r="I68" s="76">
        <v>9.4300678869947632</v>
      </c>
      <c r="J68" s="66">
        <v>5.5</v>
      </c>
      <c r="K68" s="67"/>
      <c r="L68" s="194"/>
      <c r="M68" s="194">
        <v>0.674970760233918</v>
      </c>
      <c r="N68" s="68">
        <v>1</v>
      </c>
      <c r="P68" s="69"/>
    </row>
    <row r="69" spans="2:16">
      <c r="B69" s="37" t="s">
        <v>16</v>
      </c>
      <c r="C69" s="65"/>
      <c r="D69" s="76">
        <v>3.8832609744331941</v>
      </c>
      <c r="E69" s="76">
        <v>2.6202625996215709</v>
      </c>
      <c r="F69" s="66">
        <v>3.3</v>
      </c>
      <c r="G69" s="282"/>
      <c r="H69" s="76">
        <v>4.0899381959277559</v>
      </c>
      <c r="I69" s="76">
        <v>4.462228479698962</v>
      </c>
      <c r="J69" s="66">
        <v>3.3</v>
      </c>
      <c r="K69" s="67"/>
      <c r="L69" s="194">
        <v>0.69912280701754381</v>
      </c>
      <c r="M69" s="194">
        <v>0.79924705882352942</v>
      </c>
      <c r="N69" s="71">
        <v>1</v>
      </c>
      <c r="P69" s="69"/>
    </row>
    <row r="70" spans="2:16" ht="14.4" thickBot="1">
      <c r="B70" s="38" t="s">
        <v>127</v>
      </c>
      <c r="C70" s="65"/>
      <c r="D70" s="76"/>
      <c r="E70" s="76"/>
      <c r="F70" s="66">
        <v>7.5</v>
      </c>
      <c r="G70" s="282"/>
      <c r="H70" s="76"/>
      <c r="I70" s="76"/>
      <c r="J70" s="66">
        <v>7.5</v>
      </c>
      <c r="K70" s="67"/>
      <c r="L70" s="194"/>
      <c r="M70" s="194"/>
      <c r="N70" s="71">
        <v>1</v>
      </c>
      <c r="P70" s="69"/>
    </row>
    <row r="71" spans="2:16" ht="14.4" thickBot="1">
      <c r="B71" s="417" t="s">
        <v>161</v>
      </c>
      <c r="C71" s="65"/>
      <c r="D71" s="76"/>
      <c r="E71" s="76">
        <v>4.8792508624938291</v>
      </c>
      <c r="F71" s="66">
        <v>4.8</v>
      </c>
      <c r="G71" s="282"/>
      <c r="H71" s="76"/>
      <c r="I71" s="76">
        <v>6.2003723782925313</v>
      </c>
      <c r="J71" s="66">
        <v>4.8</v>
      </c>
      <c r="K71" s="67"/>
      <c r="L71" s="194"/>
      <c r="M71" s="194">
        <v>0.33859649122807017</v>
      </c>
      <c r="N71" s="71">
        <v>1</v>
      </c>
      <c r="O71" s="74"/>
      <c r="P71" s="75"/>
    </row>
    <row r="72" spans="2:16">
      <c r="D72" s="76">
        <v>4.9743856487053781</v>
      </c>
      <c r="E72" s="76">
        <v>6.6076843642499679</v>
      </c>
      <c r="F72" s="341">
        <v>5.5</v>
      </c>
      <c r="H72" s="76">
        <v>4.9523790304388573</v>
      </c>
      <c r="I72" s="76">
        <v>7.0555583959295936</v>
      </c>
      <c r="J72" s="341">
        <v>5.5</v>
      </c>
      <c r="K72" s="67"/>
      <c r="L72" s="194">
        <v>0.71000153893505691</v>
      </c>
      <c r="M72" s="194">
        <v>0.73468259369535427</v>
      </c>
      <c r="N72" s="386">
        <v>1</v>
      </c>
    </row>
    <row r="76" spans="2:16">
      <c r="F76" s="315"/>
    </row>
  </sheetData>
  <mergeCells count="51">
    <mergeCell ref="M54:M55"/>
    <mergeCell ref="B61:F61"/>
    <mergeCell ref="G61:J61"/>
    <mergeCell ref="K61:N61"/>
    <mergeCell ref="G54:G55"/>
    <mergeCell ref="H54:H55"/>
    <mergeCell ref="I54:I55"/>
    <mergeCell ref="J54:J55"/>
    <mergeCell ref="K54:K55"/>
    <mergeCell ref="L54:L55"/>
    <mergeCell ref="F54:F55"/>
    <mergeCell ref="D49:E49"/>
    <mergeCell ref="B54:B55"/>
    <mergeCell ref="C54:C55"/>
    <mergeCell ref="D54:D55"/>
    <mergeCell ref="E54:E55"/>
    <mergeCell ref="B39:B48"/>
    <mergeCell ref="D39:E40"/>
    <mergeCell ref="J39:K39"/>
    <mergeCell ref="L40:N40"/>
    <mergeCell ref="D41:E42"/>
    <mergeCell ref="D43:E44"/>
    <mergeCell ref="D45:E46"/>
    <mergeCell ref="D47:E48"/>
    <mergeCell ref="I25:N25"/>
    <mergeCell ref="D26:E26"/>
    <mergeCell ref="B27:B38"/>
    <mergeCell ref="D27:E28"/>
    <mergeCell ref="D29:E30"/>
    <mergeCell ref="D31:E32"/>
    <mergeCell ref="D33:E34"/>
    <mergeCell ref="D35:E36"/>
    <mergeCell ref="D37:E38"/>
    <mergeCell ref="P8:P9"/>
    <mergeCell ref="C5:D5"/>
    <mergeCell ref="B8:B9"/>
    <mergeCell ref="C8:C9"/>
    <mergeCell ref="D8:D9"/>
    <mergeCell ref="G8:G9"/>
    <mergeCell ref="H8:H9"/>
    <mergeCell ref="I8:I9"/>
    <mergeCell ref="J8:J9"/>
    <mergeCell ref="K8:K9"/>
    <mergeCell ref="L8:L9"/>
    <mergeCell ref="O8:O9"/>
    <mergeCell ref="M4:N4"/>
    <mergeCell ref="S1:T1"/>
    <mergeCell ref="U1:V1"/>
    <mergeCell ref="W1:X1"/>
    <mergeCell ref="Y1:Z1"/>
    <mergeCell ref="B2:O2"/>
  </mergeCells>
  <conditionalFormatting sqref="B49:B50">
    <cfRule type="cellIs" dxfId="117" priority="97" operator="notBetween">
      <formula>#REF!</formula>
      <formula>#REF!</formula>
    </cfRule>
  </conditionalFormatting>
  <conditionalFormatting sqref="C53">
    <cfRule type="cellIs" dxfId="116" priority="129" stopIfTrue="1" operator="greaterThan">
      <formula>100</formula>
    </cfRule>
    <cfRule type="cellIs" dxfId="115" priority="128" stopIfTrue="1" operator="lessThan">
      <formula>96</formula>
    </cfRule>
  </conditionalFormatting>
  <conditionalFormatting sqref="C63:C64">
    <cfRule type="cellIs" dxfId="114" priority="75" stopIfTrue="1" operator="lessThanOrEqual">
      <formula>0</formula>
    </cfRule>
  </conditionalFormatting>
  <conditionalFormatting sqref="C63:C67">
    <cfRule type="cellIs" dxfId="113" priority="74" stopIfTrue="1" operator="greaterThan">
      <formula>$F63</formula>
    </cfRule>
  </conditionalFormatting>
  <conditionalFormatting sqref="C64">
    <cfRule type="cellIs" dxfId="112" priority="132" stopIfTrue="1" operator="greaterThan">
      <formula>$F63</formula>
    </cfRule>
  </conditionalFormatting>
  <conditionalFormatting sqref="C65:C68">
    <cfRule type="cellIs" dxfId="111" priority="81" stopIfTrue="1" operator="lessThanOrEqual">
      <formula>0</formula>
    </cfRule>
  </conditionalFormatting>
  <conditionalFormatting sqref="C68">
    <cfRule type="cellIs" dxfId="110" priority="80" stopIfTrue="1" operator="greaterThan">
      <formula>$J68</formula>
    </cfRule>
  </conditionalFormatting>
  <conditionalFormatting sqref="C74:C78">
    <cfRule type="cellIs" dxfId="109" priority="120" stopIfTrue="1" operator="lessThanOrEqual">
      <formula>0</formula>
    </cfRule>
  </conditionalFormatting>
  <conditionalFormatting sqref="C75:C78">
    <cfRule type="cellIs" dxfId="108" priority="119" stopIfTrue="1" operator="greaterThan">
      <formula>$F$74</formula>
    </cfRule>
  </conditionalFormatting>
  <conditionalFormatting sqref="C80">
    <cfRule type="cellIs" dxfId="107" priority="121" stopIfTrue="1" operator="greaterThan">
      <formula>$F$74</formula>
    </cfRule>
    <cfRule type="cellIs" dxfId="106" priority="122" stopIfTrue="1" operator="lessThanOrEqual">
      <formula>0</formula>
    </cfRule>
  </conditionalFormatting>
  <conditionalFormatting sqref="C74:D74 D76:D82">
    <cfRule type="cellIs" dxfId="105" priority="114" stopIfTrue="1" operator="greaterThan">
      <formula>4.5</formula>
    </cfRule>
  </conditionalFormatting>
  <conditionalFormatting sqref="D49:D50">
    <cfRule type="cellIs" dxfId="104" priority="98" operator="notBetween">
      <formula>#REF!</formula>
      <formula>#REF!</formula>
    </cfRule>
  </conditionalFormatting>
  <conditionalFormatting sqref="D63:D70">
    <cfRule type="cellIs" dxfId="103" priority="91" stopIfTrue="1" operator="lessThanOrEqual">
      <formula>0</formula>
    </cfRule>
  </conditionalFormatting>
  <conditionalFormatting sqref="D71">
    <cfRule type="cellIs" dxfId="102" priority="90" stopIfTrue="1" operator="lessThanOrEqual">
      <formula>0</formula>
    </cfRule>
  </conditionalFormatting>
  <conditionalFormatting sqref="D74 D76:D82">
    <cfRule type="cellIs" dxfId="101" priority="115" stopIfTrue="1" operator="lessThanOrEqual">
      <formula>0</formula>
    </cfRule>
  </conditionalFormatting>
  <conditionalFormatting sqref="D75">
    <cfRule type="cellIs" dxfId="100" priority="107" stopIfTrue="1" operator="lessThanOrEqual">
      <formula>0</formula>
    </cfRule>
    <cfRule type="cellIs" dxfId="99" priority="106" stopIfTrue="1" operator="greaterThan">
      <formula>$F$74</formula>
    </cfRule>
  </conditionalFormatting>
  <conditionalFormatting sqref="D63:E72">
    <cfRule type="cellIs" dxfId="98" priority="71" stopIfTrue="1" operator="greaterThan">
      <formula>$F63</formula>
    </cfRule>
  </conditionalFormatting>
  <conditionalFormatting sqref="D72:E72">
    <cfRule type="cellIs" dxfId="97" priority="72" stopIfTrue="1" operator="lessThanOrEqual">
      <formula>0</formula>
    </cfRule>
  </conditionalFormatting>
  <conditionalFormatting sqref="E10:E24">
    <cfRule type="cellIs" dxfId="96" priority="17" operator="lessThan">
      <formula>48</formula>
    </cfRule>
  </conditionalFormatting>
  <conditionalFormatting sqref="E52 E53:F53">
    <cfRule type="cellIs" dxfId="95" priority="111" stopIfTrue="1" operator="greaterThan">
      <formula>100</formula>
    </cfRule>
  </conditionalFormatting>
  <conditionalFormatting sqref="E53">
    <cfRule type="cellIs" dxfId="94" priority="109" stopIfTrue="1" operator="greaterThan">
      <formula>100</formula>
    </cfRule>
    <cfRule type="cellIs" dxfId="93" priority="108" stopIfTrue="1" operator="lessThan">
      <formula>96.8</formula>
    </cfRule>
  </conditionalFormatting>
  <conditionalFormatting sqref="E63:E71">
    <cfRule type="cellIs" dxfId="92" priority="85" stopIfTrue="1" operator="lessThanOrEqual">
      <formula>0</formula>
    </cfRule>
  </conditionalFormatting>
  <conditionalFormatting sqref="E74:E82">
    <cfRule type="cellIs" dxfId="91" priority="101" stopIfTrue="1" operator="lessThanOrEqual">
      <formula>0</formula>
    </cfRule>
    <cfRule type="cellIs" dxfId="90" priority="100" stopIfTrue="1" operator="greaterThan">
      <formula>4.5</formula>
    </cfRule>
  </conditionalFormatting>
  <conditionalFormatting sqref="E53:F53 E52">
    <cfRule type="cellIs" dxfId="89" priority="110" stopIfTrue="1" operator="lessThan">
      <formula>96.5</formula>
    </cfRule>
  </conditionalFormatting>
  <conditionalFormatting sqref="F10:F24">
    <cfRule type="cellIs" dxfId="88" priority="18" operator="greaterThan">
      <formula>60</formula>
    </cfRule>
  </conditionalFormatting>
  <conditionalFormatting sqref="F53">
    <cfRule type="cellIs" dxfId="87" priority="126" stopIfTrue="1" operator="lessThan">
      <formula>96.8</formula>
    </cfRule>
    <cfRule type="cellIs" dxfId="86" priority="127" stopIfTrue="1" operator="greaterThan">
      <formula>100</formula>
    </cfRule>
  </conditionalFormatting>
  <conditionalFormatting sqref="F72">
    <cfRule type="cellIs" dxfId="85" priority="87" stopIfTrue="1" operator="lessThanOrEqual">
      <formula>0</formula>
    </cfRule>
    <cfRule type="cellIs" dxfId="84" priority="86" stopIfTrue="1" operator="greaterThan">
      <formula>$F72</formula>
    </cfRule>
  </conditionalFormatting>
  <conditionalFormatting sqref="G63:G64 C69:C71">
    <cfRule type="cellIs" dxfId="83" priority="93" stopIfTrue="1" operator="lessThanOrEqual">
      <formula>0</formula>
    </cfRule>
    <cfRule type="cellIs" dxfId="82" priority="92" stopIfTrue="1" operator="greaterThan">
      <formula>$F63</formula>
    </cfRule>
  </conditionalFormatting>
  <conditionalFormatting sqref="G63:G64">
    <cfRule type="cellIs" dxfId="81" priority="77" stopIfTrue="1" operator="lessThanOrEqual">
      <formula>0</formula>
    </cfRule>
    <cfRule type="cellIs" dxfId="80" priority="76" stopIfTrue="1" operator="greaterThan">
      <formula>$F63</formula>
    </cfRule>
  </conditionalFormatting>
  <conditionalFormatting sqref="G65">
    <cfRule type="cellIs" dxfId="79" priority="130" stopIfTrue="1" operator="greaterThan">
      <formula>$F64</formula>
    </cfRule>
    <cfRule type="cellIs" dxfId="78" priority="131" stopIfTrue="1" operator="lessThanOrEqual">
      <formula>0</formula>
    </cfRule>
  </conditionalFormatting>
  <conditionalFormatting sqref="G66">
    <cfRule type="cellIs" dxfId="77" priority="89" stopIfTrue="1" operator="lessThanOrEqual">
      <formula>0</formula>
    </cfRule>
    <cfRule type="cellIs" dxfId="76" priority="88" stopIfTrue="1" operator="greaterThan">
      <formula>$F66</formula>
    </cfRule>
  </conditionalFormatting>
  <conditionalFormatting sqref="G67:G71">
    <cfRule type="cellIs" dxfId="75" priority="94" stopIfTrue="1" operator="greaterThan">
      <formula>$J67</formula>
    </cfRule>
    <cfRule type="cellIs" dxfId="74" priority="95" stopIfTrue="1" operator="lessThanOrEqual">
      <formula>0</formula>
    </cfRule>
  </conditionalFormatting>
  <conditionalFormatting sqref="G76:G81 C79 C81">
    <cfRule type="cellIs" dxfId="73" priority="124" stopIfTrue="1" operator="lessThanOrEqual">
      <formula>0</formula>
    </cfRule>
    <cfRule type="cellIs" dxfId="72" priority="123" stopIfTrue="1" operator="greaterThan">
      <formula>4.5</formula>
    </cfRule>
  </conditionalFormatting>
  <conditionalFormatting sqref="G10:H24">
    <cfRule type="expression" dxfId="71" priority="19">
      <formula>IF(+(IF(G10&lt;#REF!,0,IF(G10&gt;#REF!,0,1)))=0,1)</formula>
    </cfRule>
  </conditionalFormatting>
  <conditionalFormatting sqref="G75:H75">
    <cfRule type="cellIs" dxfId="70" priority="104" stopIfTrue="1" operator="greaterThan">
      <formula>$F$74</formula>
    </cfRule>
    <cfRule type="cellIs" dxfId="69" priority="105" stopIfTrue="1" operator="lessThanOrEqual">
      <formula>0</formula>
    </cfRule>
  </conditionalFormatting>
  <conditionalFormatting sqref="H38:H52">
    <cfRule type="cellIs" dxfId="68" priority="102" stopIfTrue="1" operator="greaterThan">
      <formula>0</formula>
    </cfRule>
  </conditionalFormatting>
  <conditionalFormatting sqref="H56">
    <cfRule type="cellIs" dxfId="67" priority="2" stopIfTrue="1" operator="lessThanOrEqual">
      <formula>0</formula>
    </cfRule>
    <cfRule type="cellIs" dxfId="66" priority="3" stopIfTrue="1" operator="greaterThan">
      <formula>$F$32</formula>
    </cfRule>
    <cfRule type="cellIs" dxfId="65" priority="11" stopIfTrue="1" operator="greaterThan">
      <formula>$F$35</formula>
    </cfRule>
    <cfRule type="cellIs" dxfId="64" priority="12" stopIfTrue="1" operator="lessThanOrEqual">
      <formula>0</formula>
    </cfRule>
    <cfRule type="cellIs" dxfId="63" priority="13" stopIfTrue="1" operator="greaterThan">
      <formula>$F$33</formula>
    </cfRule>
    <cfRule type="cellIs" dxfId="62" priority="14" stopIfTrue="1" operator="lessThanOrEqual">
      <formula>0</formula>
    </cfRule>
  </conditionalFormatting>
  <conditionalFormatting sqref="H57:H59">
    <cfRule type="cellIs" dxfId="61" priority="56" stopIfTrue="1" operator="lessThanOrEqual">
      <formula>0</formula>
    </cfRule>
    <cfRule type="cellIs" dxfId="60" priority="53" stopIfTrue="1" operator="greaterThan">
      <formula>$F$40</formula>
    </cfRule>
    <cfRule type="cellIs" dxfId="59" priority="55" stopIfTrue="1" operator="greaterThan">
      <formula>$F$38</formula>
    </cfRule>
    <cfRule type="cellIs" dxfId="58" priority="54" stopIfTrue="1" operator="lessThanOrEqual">
      <formula>0</formula>
    </cfRule>
    <cfRule type="cellIs" dxfId="57" priority="44" stopIfTrue="1" operator="lessThanOrEqual">
      <formula>0</formula>
    </cfRule>
    <cfRule type="cellIs" dxfId="56" priority="45" stopIfTrue="1" operator="greaterThan">
      <formula>$F$37</formula>
    </cfRule>
  </conditionalFormatting>
  <conditionalFormatting sqref="H63:H70">
    <cfRule type="cellIs" dxfId="55" priority="78" stopIfTrue="1" operator="greaterThan">
      <formula>$J63</formula>
    </cfRule>
    <cfRule type="cellIs" dxfId="54" priority="79" stopIfTrue="1" operator="lessThanOrEqual">
      <formula>0</formula>
    </cfRule>
  </conditionalFormatting>
  <conditionalFormatting sqref="H71">
    <cfRule type="cellIs" dxfId="53" priority="82" operator="greaterThan">
      <formula>5.3</formula>
    </cfRule>
  </conditionalFormatting>
  <conditionalFormatting sqref="H74 H76:H82">
    <cfRule type="cellIs" dxfId="52" priority="117" stopIfTrue="1" operator="lessThanOrEqual">
      <formula>0</formula>
    </cfRule>
    <cfRule type="cellIs" dxfId="51" priority="116" stopIfTrue="1" operator="greaterThan">
      <formula>4.5</formula>
    </cfRule>
  </conditionalFormatting>
  <conditionalFormatting sqref="H56:I56">
    <cfRule type="cellIs" dxfId="50" priority="1" stopIfTrue="1" operator="greaterThan">
      <formula>$F$34</formula>
    </cfRule>
    <cfRule type="cellIs" dxfId="49" priority="4" stopIfTrue="1" operator="lessThanOrEqual">
      <formula>0</formula>
    </cfRule>
  </conditionalFormatting>
  <conditionalFormatting sqref="H57:I59">
    <cfRule type="cellIs" dxfId="48" priority="43" stopIfTrue="1" operator="greaterThan">
      <formula>$F$39</formula>
    </cfRule>
    <cfRule type="cellIs" dxfId="47" priority="46" stopIfTrue="1" operator="lessThanOrEqual">
      <formula>0</formula>
    </cfRule>
  </conditionalFormatting>
  <conditionalFormatting sqref="H72:I72">
    <cfRule type="cellIs" dxfId="46" priority="70" stopIfTrue="1" operator="lessThanOrEqual">
      <formula>0</formula>
    </cfRule>
    <cfRule type="cellIs" dxfId="45" priority="69" stopIfTrue="1" operator="greaterThan">
      <formula>$J72</formula>
    </cfRule>
  </conditionalFormatting>
  <conditionalFormatting sqref="I41:I50">
    <cfRule type="cellIs" dxfId="44" priority="15" operator="notEqual">
      <formula>#REF!</formula>
    </cfRule>
  </conditionalFormatting>
  <conditionalFormatting sqref="I56">
    <cfRule type="cellIs" dxfId="43" priority="5" stopIfTrue="1" operator="greaterThan">
      <formula>$F$32</formula>
    </cfRule>
    <cfRule type="cellIs" dxfId="42" priority="6" stopIfTrue="1" operator="lessThanOrEqual">
      <formula>0</formula>
    </cfRule>
    <cfRule type="cellIs" dxfId="41" priority="7" stopIfTrue="1" operator="greaterThan">
      <formula>$F$34</formula>
    </cfRule>
    <cfRule type="cellIs" dxfId="40" priority="8" stopIfTrue="1" operator="lessThanOrEqual">
      <formula>0</formula>
    </cfRule>
    <cfRule type="cellIs" dxfId="39" priority="9" stopIfTrue="1" operator="greaterThan">
      <formula>$F$32</formula>
    </cfRule>
    <cfRule type="cellIs" dxfId="38" priority="10" stopIfTrue="1" operator="lessThanOrEqual">
      <formula>0</formula>
    </cfRule>
  </conditionalFormatting>
  <conditionalFormatting sqref="I57:I59">
    <cfRule type="cellIs" dxfId="37" priority="49" stopIfTrue="1" operator="greaterThan">
      <formula>$F$39</formula>
    </cfRule>
    <cfRule type="cellIs" dxfId="36" priority="48" stopIfTrue="1" operator="lessThanOrEqual">
      <formula>0</formula>
    </cfRule>
    <cfRule type="cellIs" dxfId="35" priority="47" stopIfTrue="1" operator="greaterThan">
      <formula>$F$37</formula>
    </cfRule>
    <cfRule type="cellIs" dxfId="34" priority="50" stopIfTrue="1" operator="lessThanOrEqual">
      <formula>0</formula>
    </cfRule>
    <cfRule type="cellIs" dxfId="33" priority="52" stopIfTrue="1" operator="lessThanOrEqual">
      <formula>0</formula>
    </cfRule>
    <cfRule type="cellIs" dxfId="32" priority="51" stopIfTrue="1" operator="greaterThan">
      <formula>$F$37</formula>
    </cfRule>
  </conditionalFormatting>
  <conditionalFormatting sqref="I63:I71">
    <cfRule type="cellIs" dxfId="31" priority="83" stopIfTrue="1" operator="greaterThan">
      <formula>$J63</formula>
    </cfRule>
    <cfRule type="cellIs" dxfId="30" priority="84" stopIfTrue="1" operator="lessThanOrEqual">
      <formula>0</formula>
    </cfRule>
  </conditionalFormatting>
  <conditionalFormatting sqref="I74:I82">
    <cfRule type="cellIs" dxfId="29" priority="112" stopIfTrue="1" operator="greaterThan">
      <formula>4.5</formula>
    </cfRule>
    <cfRule type="cellIs" dxfId="28" priority="113" stopIfTrue="1" operator="lessThanOrEqual">
      <formula>0</formula>
    </cfRule>
  </conditionalFormatting>
  <conditionalFormatting sqref="I10:J24">
    <cfRule type="cellIs" dxfId="27" priority="24" operator="lessThan">
      <formula>97.9</formula>
    </cfRule>
  </conditionalFormatting>
  <conditionalFormatting sqref="J27:J29">
    <cfRule type="cellIs" dxfId="26" priority="59" stopIfTrue="1" operator="lessThan">
      <formula>96.8</formula>
    </cfRule>
    <cfRule type="cellIs" dxfId="25" priority="61" operator="lessThan">
      <formula>98</formula>
    </cfRule>
    <cfRule type="cellIs" dxfId="24" priority="60" stopIfTrue="1" operator="greaterThan">
      <formula>100</formula>
    </cfRule>
  </conditionalFormatting>
  <conditionalFormatting sqref="J27:J31">
    <cfRule type="cellIs" dxfId="23" priority="58" operator="lessThan">
      <formula>97.4</formula>
    </cfRule>
  </conditionalFormatting>
  <conditionalFormatting sqref="J32">
    <cfRule type="cellIs" dxfId="22" priority="62" operator="lessThan">
      <formula>98</formula>
    </cfRule>
  </conditionalFormatting>
  <conditionalFormatting sqref="J33:J35">
    <cfRule type="cellIs" dxfId="21" priority="63" stopIfTrue="1" operator="lessThan">
      <formula>96.8</formula>
    </cfRule>
    <cfRule type="cellIs" dxfId="20" priority="64" stopIfTrue="1" operator="greaterThan">
      <formula>100</formula>
    </cfRule>
  </conditionalFormatting>
  <conditionalFormatting sqref="J33:J36">
    <cfRule type="cellIs" dxfId="19" priority="65" operator="lessThan">
      <formula>98</formula>
    </cfRule>
  </conditionalFormatting>
  <conditionalFormatting sqref="J72">
    <cfRule type="cellIs" dxfId="18" priority="67" stopIfTrue="1" operator="lessThanOrEqual">
      <formula>0</formula>
    </cfRule>
    <cfRule type="cellIs" dxfId="17" priority="66" stopIfTrue="1" operator="greaterThan">
      <formula>$F72</formula>
    </cfRule>
  </conditionalFormatting>
  <conditionalFormatting sqref="K10:K24">
    <cfRule type="cellIs" dxfId="16" priority="23" operator="greaterThan">
      <formula>6.4</formula>
    </cfRule>
    <cfRule type="cellIs" dxfId="15" priority="22" operator="lessThan">
      <formula>4</formula>
    </cfRule>
    <cfRule type="cellIs" dxfId="14" priority="21" operator="greaterThan">
      <formula>6</formula>
    </cfRule>
  </conditionalFormatting>
  <conditionalFormatting sqref="K41:K50">
    <cfRule type="cellIs" dxfId="13" priority="57" operator="notEqual">
      <formula>#REF!</formula>
    </cfRule>
  </conditionalFormatting>
  <conditionalFormatting sqref="K56:K59">
    <cfRule type="cellIs" dxfId="12" priority="41" stopIfTrue="1" operator="lessThan">
      <formula>100%</formula>
    </cfRule>
  </conditionalFormatting>
  <conditionalFormatting sqref="K74:K79">
    <cfRule type="cellIs" dxfId="11" priority="118" stopIfTrue="1" operator="lessThan">
      <formula>100%</formula>
    </cfRule>
  </conditionalFormatting>
  <conditionalFormatting sqref="K81:K82">
    <cfRule type="cellIs" dxfId="10" priority="125" stopIfTrue="1" operator="lessThan">
      <formula>100%</formula>
    </cfRule>
  </conditionalFormatting>
  <conditionalFormatting sqref="K63:N66 L67:N67">
    <cfRule type="cellIs" dxfId="9" priority="96" stopIfTrue="1" operator="lessThan">
      <formula>100%</formula>
    </cfRule>
  </conditionalFormatting>
  <conditionalFormatting sqref="K68:N72">
    <cfRule type="cellIs" dxfId="8" priority="68" stopIfTrue="1" operator="lessThan">
      <formula>100%</formula>
    </cfRule>
  </conditionalFormatting>
  <conditionalFormatting sqref="L10:L24">
    <cfRule type="cellIs" dxfId="7" priority="40" operator="greaterThan">
      <formula>65</formula>
    </cfRule>
    <cfRule type="cellIs" dxfId="6" priority="39" operator="between">
      <formula>61</formula>
      <formula>65</formula>
    </cfRule>
  </conditionalFormatting>
  <conditionalFormatting sqref="L42:N42">
    <cfRule type="cellIs" dxfId="5" priority="42" operator="notEqual">
      <formula>#REF!</formula>
    </cfRule>
  </conditionalFormatting>
  <conditionalFormatting sqref="L74:N82">
    <cfRule type="cellIs" dxfId="4" priority="103" stopIfTrue="1" operator="lessThan">
      <formula>100%</formula>
    </cfRule>
  </conditionalFormatting>
  <conditionalFormatting sqref="M10:M24">
    <cfRule type="expression" dxfId="3" priority="20">
      <formula>IF(+(IF(M10&lt;U10,0,IF(M10&gt;V10,0,1)))=0,1)</formula>
    </cfRule>
  </conditionalFormatting>
  <conditionalFormatting sqref="M27 L28:M38">
    <cfRule type="cellIs" dxfId="2" priority="73" operator="lessThan">
      <formula>98</formula>
    </cfRule>
  </conditionalFormatting>
  <conditionalFormatting sqref="N10:N24">
    <cfRule type="expression" dxfId="1" priority="16">
      <formula>IF(+(IF(N10&lt;W10,0,IF(N10&gt;X10,0,1)))=0,1)</formula>
    </cfRule>
  </conditionalFormatting>
  <conditionalFormatting sqref="P6">
    <cfRule type="cellIs" dxfId="0" priority="99" operator="greaterThanOrEqual">
      <formula>19</formula>
    </cfRule>
  </conditionalFormatting>
  <dataValidations disablePrompts="1" count="1">
    <dataValidation type="list" allowBlank="1" showInputMessage="1" showErrorMessage="1" sqref="R8" xr:uid="{E19DFCAA-68A7-4F1D-B7EB-CC594F25B7A0}">
      <formula1>ProductList</formula1>
    </dataValidation>
  </dataValidations>
  <pageMargins left="0.7" right="0.7" top="0.75" bottom="0.75" header="0.3" footer="0.3"/>
  <pageSetup scale="37" fitToWidth="0" orientation="landscape" r:id="rId1"/>
  <rowBreaks count="1" manualBreakCount="1">
    <brk id="76" max="16383" man="1"/>
  </rowBreaks>
  <colBreaks count="1" manualBreakCount="1">
    <brk id="15" max="89" man="1"/>
  </col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6D082-4AFA-460E-ADC3-B4C1126FF311}">
  <sheetPr codeName="Sheet18">
    <tabColor rgb="FFC00000"/>
    <pageSetUpPr fitToPage="1"/>
  </sheetPr>
  <dimension ref="B1:O73"/>
  <sheetViews>
    <sheetView showZeros="0" topLeftCell="A53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hidden="1" customWidth="1"/>
    <col min="4" max="4" width="9.5546875" style="78" customWidth="1"/>
    <col min="5" max="5" width="8.5546875" style="78" customWidth="1"/>
    <col min="6" max="6" width="14.44140625" style="78" hidden="1" customWidth="1"/>
    <col min="7" max="8" width="9.44140625" style="78" bestFit="1" customWidth="1"/>
    <col min="9" max="9" width="11.5546875" style="78" hidden="1" customWidth="1"/>
    <col min="10" max="10" width="10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70" t="s">
        <v>58</v>
      </c>
      <c r="C2" s="570"/>
      <c r="D2" s="570"/>
      <c r="E2" s="570"/>
      <c r="F2" s="570"/>
      <c r="G2" s="570"/>
      <c r="H2" s="570"/>
      <c r="I2" s="570"/>
      <c r="J2" s="570"/>
      <c r="K2" s="570"/>
    </row>
    <row r="3" spans="2:14" ht="15.6" hidden="1" thickBot="1">
      <c r="B3" s="79"/>
    </row>
    <row r="4" spans="2:14" ht="13.8" hidden="1" thickBot="1">
      <c r="B4" s="78" t="s">
        <v>7</v>
      </c>
      <c r="C4" s="571">
        <v>41431</v>
      </c>
      <c r="D4" s="571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68" t="s">
        <v>17</v>
      </c>
      <c r="C8" s="554" t="s">
        <v>18</v>
      </c>
      <c r="D8" s="554" t="s">
        <v>59</v>
      </c>
      <c r="E8" s="80" t="s">
        <v>20</v>
      </c>
      <c r="F8" s="81" t="s">
        <v>21</v>
      </c>
      <c r="G8" s="554" t="s">
        <v>60</v>
      </c>
      <c r="H8" s="554" t="s">
        <v>61</v>
      </c>
      <c r="I8" s="574" t="s">
        <v>62</v>
      </c>
      <c r="J8" s="82" t="s">
        <v>25</v>
      </c>
      <c r="K8" s="564" t="s">
        <v>28</v>
      </c>
    </row>
    <row r="9" spans="2:14" ht="27" hidden="1" thickBot="1">
      <c r="B9" s="572"/>
      <c r="C9" s="573"/>
      <c r="D9" s="573"/>
      <c r="E9" s="83" t="s">
        <v>30</v>
      </c>
      <c r="F9" s="84" t="s">
        <v>63</v>
      </c>
      <c r="G9" s="573"/>
      <c r="H9" s="573"/>
      <c r="I9" s="575"/>
      <c r="J9" s="85" t="s">
        <v>32</v>
      </c>
      <c r="K9" s="576"/>
      <c r="L9" s="86"/>
      <c r="M9" s="86"/>
      <c r="N9" s="86"/>
    </row>
    <row r="10" spans="2:14" ht="13.8" hidden="1" thickBot="1">
      <c r="B10" s="87" t="s">
        <v>64</v>
      </c>
      <c r="C10" s="88" t="str">
        <f>[36]Brewhouse!A5359</f>
        <v>CA236</v>
      </c>
      <c r="D10" s="88">
        <f>[36]Brewhouse!B5359</f>
        <v>41437</v>
      </c>
      <c r="E10" s="89">
        <f>[36]Brewhouse!AG5359</f>
        <v>49.011000000000003</v>
      </c>
      <c r="F10" s="90">
        <f>[36]Brewhouse!T5359</f>
        <v>60</v>
      </c>
      <c r="G10" s="91">
        <f>[36]Brewhouse!I5359</f>
        <v>19.79</v>
      </c>
      <c r="H10" s="92">
        <f>[36]Brewhouse!AS5359</f>
        <v>94.981545664755075</v>
      </c>
      <c r="I10" s="92">
        <f>[36]Brewhouse!AT5359</f>
        <v>97.074072469002047</v>
      </c>
      <c r="J10" s="93">
        <f>[36]Brewhouse!S5359-[36]Brewhouse!R5359</f>
        <v>0.10694444444444451</v>
      </c>
      <c r="K10" s="94"/>
      <c r="N10" s="95"/>
    </row>
    <row r="11" spans="2:14" ht="13.8" hidden="1" thickBot="1">
      <c r="B11" s="96"/>
      <c r="C11" s="88" t="str">
        <f>[36]Brewhouse!A5360</f>
        <v>CA237</v>
      </c>
      <c r="D11" s="88">
        <f>[36]Brewhouse!B5360</f>
        <v>41437</v>
      </c>
      <c r="E11" s="89">
        <f>[36]Brewhouse!AG5360</f>
        <v>48.531999999999996</v>
      </c>
      <c r="F11" s="90">
        <f>[36]Brewhouse!T5360</f>
        <v>68</v>
      </c>
      <c r="G11" s="91">
        <f>[36]Brewhouse!I5360</f>
        <v>17.7</v>
      </c>
      <c r="H11" s="92">
        <f>[36]Brewhouse!AS5360</f>
        <v>94.053260986347809</v>
      </c>
      <c r="I11" s="92">
        <f>[36]Brewhouse!AT5360</f>
        <v>96.1253368644918</v>
      </c>
      <c r="J11" s="93">
        <f>[36]Brewhouse!S5360-[36]Brewhouse!R5360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[36]Brewhouse!A5361</f>
        <v>CA238</v>
      </c>
      <c r="D12" s="88">
        <f>[36]Brewhouse!B5361</f>
        <v>41437</v>
      </c>
      <c r="E12" s="89">
        <f>[36]Brewhouse!AG5361</f>
        <v>50.466999999999999</v>
      </c>
      <c r="F12" s="90">
        <f>[36]Brewhouse!T5361</f>
        <v>61</v>
      </c>
      <c r="G12" s="91">
        <f>[36]Brewhouse!I5361</f>
        <v>19.7</v>
      </c>
      <c r="H12" s="92">
        <f>[36]Brewhouse!AS5361</f>
        <v>96.931393272913695</v>
      </c>
      <c r="I12" s="92">
        <f>[36]Brewhouse!AT5361</f>
        <v>99.066876931102286</v>
      </c>
      <c r="J12" s="93">
        <f>[36]Brewhouse!S5361-[36]Brewhouse!R5361</f>
        <v>0.10208333333333341</v>
      </c>
      <c r="K12" s="98"/>
    </row>
    <row r="13" spans="2:14" ht="13.8" hidden="1" thickBot="1">
      <c r="B13" s="99"/>
      <c r="C13" s="88" t="str">
        <f>[36]Brewhouse!A5362</f>
        <v>CA239</v>
      </c>
      <c r="D13" s="88">
        <f>[36]Brewhouse!B5362</f>
        <v>41437</v>
      </c>
      <c r="E13" s="89">
        <f>[36]Brewhouse!AG5362</f>
        <v>49.374000000000002</v>
      </c>
      <c r="F13" s="90">
        <f>[36]Brewhouse!T5362</f>
        <v>62</v>
      </c>
      <c r="G13" s="91">
        <f>[36]Brewhouse!I5362</f>
        <v>19</v>
      </c>
      <c r="H13" s="92">
        <f>[36]Brewhouse!AS5362</f>
        <v>95.68502653795305</v>
      </c>
      <c r="I13" s="92">
        <f>[36]Brewhouse!AT5362</f>
        <v>97.793051643192499</v>
      </c>
      <c r="J13" s="93">
        <f>[36]Brewhouse!S5362-[36]Brewhouse!R5362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562" t="s">
        <v>69</v>
      </c>
      <c r="G21" s="563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[36]Brewhouse!N5359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[36]Brewhouse!N5360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[36]Brewhouse!N5361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[36]Brewhouse!N5362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AVERAGE([36]Brewhouse!$AS$5347:$AS$5362)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AVERAGE([37]Brewhouse!$AQ$641:$AQ$644)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AVERAGE([38]Brewhouse!$AU$708:$AU$711)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AVERAGE([39]Brewhouse!$AY$943:$AY$946)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68" t="s">
        <v>17</v>
      </c>
      <c r="C43" s="554" t="s">
        <v>18</v>
      </c>
      <c r="D43" s="554" t="s">
        <v>44</v>
      </c>
      <c r="E43" s="554" t="s">
        <v>79</v>
      </c>
      <c r="F43" s="554" t="s">
        <v>51</v>
      </c>
      <c r="G43" s="554" t="s">
        <v>48</v>
      </c>
      <c r="H43" s="556" t="s">
        <v>28</v>
      </c>
      <c r="I43" s="557"/>
      <c r="J43" s="557"/>
      <c r="K43" s="564" t="s">
        <v>27</v>
      </c>
    </row>
    <row r="44" spans="2:15" ht="15.75" hidden="1" customHeight="1" thickBot="1">
      <c r="B44" s="569"/>
      <c r="C44" s="555"/>
      <c r="D44" s="555"/>
      <c r="E44" s="555"/>
      <c r="F44" s="555"/>
      <c r="G44" s="555"/>
      <c r="H44" s="558"/>
      <c r="I44" s="559"/>
      <c r="J44" s="559"/>
      <c r="K44" s="56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566"/>
      <c r="I45" s="567"/>
      <c r="J45" s="567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560"/>
      <c r="I46" s="561"/>
      <c r="J46" s="561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560"/>
      <c r="I47" s="561"/>
      <c r="J47" s="561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560"/>
      <c r="I48" s="561"/>
      <c r="J48" s="561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52"/>
      <c r="I49" s="553"/>
      <c r="J49" s="553"/>
      <c r="K49" s="172"/>
    </row>
    <row r="50" spans="2:11" ht="13.8" hidden="1" thickBot="1">
      <c r="B50" s="173"/>
      <c r="C50" s="160"/>
      <c r="E50" s="168"/>
      <c r="F50" s="168"/>
      <c r="G50" s="145"/>
      <c r="H50" s="552"/>
      <c r="I50" s="553"/>
      <c r="J50" s="553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52"/>
      <c r="I51" s="553"/>
      <c r="J51" s="553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543"/>
      <c r="I52" s="544"/>
      <c r="J52" s="544"/>
      <c r="K52" s="183"/>
    </row>
    <row r="53" spans="2:11" ht="13.8" thickBot="1">
      <c r="B53" s="184"/>
      <c r="C53" s="117"/>
      <c r="D53" s="545" t="s">
        <v>80</v>
      </c>
      <c r="E53" s="545"/>
      <c r="F53" s="545"/>
      <c r="G53" s="545"/>
      <c r="H53" s="545"/>
      <c r="I53" s="545"/>
      <c r="J53" s="545"/>
      <c r="K53" s="185"/>
    </row>
    <row r="54" spans="2:11" ht="13.8" thickBot="1">
      <c r="B54" s="546" t="s">
        <v>55</v>
      </c>
      <c r="C54" s="547"/>
      <c r="D54" s="547"/>
      <c r="E54" s="548"/>
      <c r="F54" s="546" t="s">
        <v>56</v>
      </c>
      <c r="G54" s="547"/>
      <c r="H54" s="548"/>
      <c r="I54" s="549" t="s">
        <v>81</v>
      </c>
      <c r="J54" s="550"/>
      <c r="K54" s="551"/>
    </row>
    <row r="55" spans="2:11">
      <c r="B55" s="186" t="s">
        <v>17</v>
      </c>
      <c r="C55" s="187" t="s">
        <v>36</v>
      </c>
      <c r="D55" s="187" t="s">
        <v>37</v>
      </c>
      <c r="E55" s="188" t="s">
        <v>39</v>
      </c>
      <c r="F55" s="187" t="s">
        <v>36</v>
      </c>
      <c r="G55" s="187" t="s">
        <v>37</v>
      </c>
      <c r="H55" s="188" t="s">
        <v>39</v>
      </c>
      <c r="I55" s="189" t="s">
        <v>36</v>
      </c>
      <c r="J55" s="189" t="s">
        <v>37</v>
      </c>
      <c r="K55" s="190" t="s">
        <v>39</v>
      </c>
    </row>
    <row r="56" spans="2:11" ht="13.8">
      <c r="B56" s="29" t="s">
        <v>64</v>
      </c>
      <c r="C56" s="191"/>
      <c r="D56" s="76">
        <f>[34]MTD!E5</f>
        <v>5.4530990902164858</v>
      </c>
      <c r="E56" s="192">
        <v>5</v>
      </c>
      <c r="F56" s="191"/>
      <c r="G56" s="76">
        <f>[33]May_2025!AN3</f>
        <v>5.3285217975059069</v>
      </c>
      <c r="H56" s="192">
        <v>5</v>
      </c>
      <c r="I56" s="193"/>
      <c r="J56" s="194">
        <f>[35]May_2025!AN13</f>
        <v>0.69229399255715052</v>
      </c>
      <c r="K56" s="195">
        <v>1</v>
      </c>
    </row>
    <row r="57" spans="2:11" ht="13.8">
      <c r="B57" s="33" t="s">
        <v>72</v>
      </c>
      <c r="C57" s="191"/>
      <c r="D57" s="76">
        <f>[34]MTD!E6</f>
        <v>5.0439852168028887</v>
      </c>
      <c r="E57" s="192">
        <v>5</v>
      </c>
      <c r="F57" s="191"/>
      <c r="G57" s="76">
        <f>[33]May_2025!AN4</f>
        <v>4.6005065425110212</v>
      </c>
      <c r="H57" s="192">
        <v>5</v>
      </c>
      <c r="I57" s="196"/>
      <c r="J57" s="194">
        <f>[35]May_2025!AN14</f>
        <v>0.5901900584795321</v>
      </c>
      <c r="K57" s="195">
        <v>1</v>
      </c>
    </row>
    <row r="58" spans="2:11" ht="13.8">
      <c r="B58" s="34" t="s">
        <v>73</v>
      </c>
      <c r="C58" s="191"/>
      <c r="D58" s="76">
        <f>[34]MTD!E7</f>
        <v>11.315547378104874</v>
      </c>
      <c r="E58" s="192">
        <v>5</v>
      </c>
      <c r="F58" s="191"/>
      <c r="G58" s="76">
        <f>[33]May_2025!AN5</f>
        <v>11.326481625576006</v>
      </c>
      <c r="H58" s="192">
        <v>5</v>
      </c>
      <c r="I58" s="196"/>
      <c r="J58" s="194">
        <f>[35]May_2025!AN15</f>
        <v>0.67649122807017548</v>
      </c>
      <c r="K58" s="195">
        <v>1</v>
      </c>
    </row>
    <row r="59" spans="2:11" ht="13.8">
      <c r="B59" s="197" t="s">
        <v>74</v>
      </c>
      <c r="C59" s="191"/>
      <c r="D59" s="76">
        <f>[34]MTD!E8</f>
        <v>3.3672670321064975</v>
      </c>
      <c r="E59" s="192">
        <v>3.5</v>
      </c>
      <c r="F59" s="191"/>
      <c r="G59" s="76">
        <f>[33]May_2025!AN6</f>
        <v>1.8177652867396785</v>
      </c>
      <c r="H59" s="192">
        <v>3.5</v>
      </c>
      <c r="I59" s="196"/>
      <c r="J59" s="194">
        <f>[35]May_2025!AN16</f>
        <v>0.86596491228070183</v>
      </c>
      <c r="K59" s="195">
        <v>1</v>
      </c>
    </row>
    <row r="60" spans="2:11" ht="14.4" thickBot="1">
      <c r="B60" s="38" t="s">
        <v>160</v>
      </c>
      <c r="C60" s="191"/>
      <c r="D60" s="76" t="e">
        <f>[34]MTD!E9</f>
        <v>#DIV/0!</v>
      </c>
      <c r="E60" s="192">
        <v>3.5</v>
      </c>
      <c r="F60" s="198"/>
      <c r="G60" s="76" t="e">
        <f>[33]May_2025!AN7</f>
        <v>#DIV/0!</v>
      </c>
      <c r="H60" s="192">
        <v>3.5</v>
      </c>
      <c r="I60" s="196"/>
      <c r="J60" s="194" t="e">
        <f>[35]May_2025!AN17</f>
        <v>#DIV/0!</v>
      </c>
      <c r="K60" s="195">
        <v>1</v>
      </c>
    </row>
    <row r="61" spans="2:11" ht="13.8">
      <c r="B61" s="199" t="s">
        <v>76</v>
      </c>
      <c r="C61" s="191"/>
      <c r="D61" s="76" t="e">
        <f>[34]MTD!E10</f>
        <v>#DIV/0!</v>
      </c>
      <c r="E61" s="200">
        <v>5</v>
      </c>
      <c r="F61" s="191"/>
      <c r="G61" s="76" t="e">
        <f>[33]May_2025!AN8</f>
        <v>#DIV/0!</v>
      </c>
      <c r="H61" s="200">
        <v>5</v>
      </c>
      <c r="I61" s="196"/>
      <c r="J61" s="194" t="e">
        <f>[35]May_2025!AN18</f>
        <v>#DIV/0!</v>
      </c>
      <c r="K61" s="195">
        <v>1</v>
      </c>
    </row>
    <row r="62" spans="2:11" ht="13.8">
      <c r="B62" s="201" t="s">
        <v>82</v>
      </c>
      <c r="C62" s="202"/>
      <c r="D62" s="76">
        <f>[34]MTD!E11</f>
        <v>3.8832609744331941</v>
      </c>
      <c r="E62" s="200">
        <v>3.3</v>
      </c>
      <c r="F62" s="202"/>
      <c r="G62" s="76">
        <f>[33]May_2025!AN9</f>
        <v>4.0899381959277559</v>
      </c>
      <c r="H62" s="200">
        <v>3.3</v>
      </c>
      <c r="I62" s="203"/>
      <c r="J62" s="194">
        <f>[35]May_2025!AN19</f>
        <v>0.69912280701754381</v>
      </c>
      <c r="K62" s="204">
        <v>1</v>
      </c>
    </row>
    <row r="63" spans="2:11" ht="14.4" thickBot="1">
      <c r="B63" s="38" t="s">
        <v>128</v>
      </c>
      <c r="C63" s="205"/>
      <c r="D63" s="76" t="e">
        <f>[34]MTD!E12</f>
        <v>#DIV/0!</v>
      </c>
      <c r="E63" s="206">
        <v>3.5</v>
      </c>
      <c r="F63" s="205"/>
      <c r="G63" s="76" t="e">
        <f>[33]May_2025!AN10</f>
        <v>#DIV/0!</v>
      </c>
      <c r="H63" s="206">
        <v>3.5</v>
      </c>
      <c r="I63" s="207"/>
      <c r="J63" s="194" t="e">
        <f>[35]May_2025!AN20</f>
        <v>#DIV/0!</v>
      </c>
      <c r="K63" s="208">
        <v>1</v>
      </c>
    </row>
    <row r="64" spans="2:11" ht="14.4" thickBot="1">
      <c r="B64" s="414" t="s">
        <v>159</v>
      </c>
      <c r="C64" s="198"/>
      <c r="D64" s="76" t="e">
        <f>[34]MTD!E13</f>
        <v>#DIV/0!</v>
      </c>
      <c r="E64" s="192">
        <v>5</v>
      </c>
      <c r="F64" s="198"/>
      <c r="G64" s="76" t="e">
        <f>[33]May_2025!AN11</f>
        <v>#DIV/0!</v>
      </c>
      <c r="H64" s="192">
        <v>5</v>
      </c>
      <c r="I64" s="413"/>
      <c r="J64" s="194">
        <f>[35]May_2025!AN21</f>
        <v>0</v>
      </c>
      <c r="K64" s="208">
        <v>1</v>
      </c>
    </row>
    <row r="65" spans="2:11">
      <c r="B65" s="209"/>
      <c r="C65" s="210"/>
      <c r="D65" s="76">
        <f>[34]MTD!E14</f>
        <v>5.2680291469072928</v>
      </c>
      <c r="E65" s="210"/>
      <c r="F65" s="210"/>
      <c r="G65" s="76">
        <f>[33]May_2025!AN12</f>
        <v>4.9533209627577328</v>
      </c>
      <c r="H65" s="211"/>
      <c r="I65" s="212"/>
      <c r="J65" s="194">
        <f>[35]May_2025!AN22</f>
        <v>0.68913304093567251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889C0-C575-4A8E-A1E3-979A579814DF}">
  <sheetPr codeName="Sheet19">
    <tabColor rgb="FF7030A0"/>
    <pageSetUpPr fitToPage="1"/>
  </sheetPr>
  <dimension ref="B1:O73"/>
  <sheetViews>
    <sheetView showZeros="0" topLeftCell="A54" zoomScale="115" zoomScaleNormal="115" workbookViewId="0">
      <selection activeCell="J56" sqref="J56:J65"/>
    </sheetView>
  </sheetViews>
  <sheetFormatPr defaultColWidth="9.44140625" defaultRowHeight="13.2"/>
  <cols>
    <col min="1" max="1" width="9.44140625" style="78"/>
    <col min="2" max="2" width="12.5546875" style="78" customWidth="1"/>
    <col min="3" max="3" width="9.44140625" style="78" customWidth="1"/>
    <col min="4" max="4" width="9.5546875" style="78" customWidth="1"/>
    <col min="5" max="5" width="8.5546875" style="78" customWidth="1"/>
    <col min="6" max="6" width="14.44140625" style="78" customWidth="1"/>
    <col min="7" max="7" width="11.44140625" style="78" customWidth="1"/>
    <col min="8" max="8" width="9.44140625" style="78" bestFit="1" customWidth="1"/>
    <col min="9" max="9" width="11.5546875" style="78" customWidth="1"/>
    <col min="10" max="10" width="11.5546875" style="78" bestFit="1" customWidth="1"/>
    <col min="11" max="11" width="16.44140625" style="78" customWidth="1"/>
    <col min="12" max="12" width="13.44140625" style="78" customWidth="1"/>
    <col min="13" max="16384" width="9.44140625" style="78"/>
  </cols>
  <sheetData>
    <row r="1" spans="2:14" ht="13.8" hidden="1" thickBot="1"/>
    <row r="2" spans="2:14" ht="15.6" hidden="1" thickBot="1">
      <c r="B2" s="570" t="s">
        <v>58</v>
      </c>
      <c r="C2" s="570"/>
      <c r="D2" s="570"/>
      <c r="E2" s="570"/>
      <c r="F2" s="570"/>
      <c r="G2" s="570"/>
      <c r="H2" s="570"/>
      <c r="I2" s="570"/>
      <c r="J2" s="570"/>
      <c r="K2" s="570"/>
    </row>
    <row r="3" spans="2:14" ht="15.6" hidden="1" thickBot="1">
      <c r="B3" s="79"/>
    </row>
    <row r="4" spans="2:14" ht="13.8" hidden="1" thickBot="1">
      <c r="B4" s="78" t="s">
        <v>7</v>
      </c>
      <c r="C4" s="571">
        <v>41431</v>
      </c>
      <c r="D4" s="571"/>
    </row>
    <row r="5" spans="2:14" ht="13.8" hidden="1" thickBot="1">
      <c r="C5" s="78" t="s">
        <v>41</v>
      </c>
    </row>
    <row r="6" spans="2:14" ht="14.4" hidden="1" thickBot="1">
      <c r="B6" s="5" t="s">
        <v>13</v>
      </c>
    </row>
    <row r="7" spans="2:14" ht="13.8" hidden="1" thickBot="1"/>
    <row r="8" spans="2:14" ht="25.5" hidden="1" customHeight="1" thickBot="1">
      <c r="B8" s="568" t="s">
        <v>17</v>
      </c>
      <c r="C8" s="554" t="s">
        <v>18</v>
      </c>
      <c r="D8" s="554" t="s">
        <v>59</v>
      </c>
      <c r="E8" s="80" t="s">
        <v>20</v>
      </c>
      <c r="F8" s="81" t="s">
        <v>21</v>
      </c>
      <c r="G8" s="554" t="s">
        <v>60</v>
      </c>
      <c r="H8" s="554" t="s">
        <v>61</v>
      </c>
      <c r="I8" s="574" t="s">
        <v>62</v>
      </c>
      <c r="J8" s="82" t="s">
        <v>25</v>
      </c>
      <c r="K8" s="564" t="s">
        <v>28</v>
      </c>
    </row>
    <row r="9" spans="2:14" ht="27" hidden="1" thickBot="1">
      <c r="B9" s="572"/>
      <c r="C9" s="573"/>
      <c r="D9" s="573"/>
      <c r="E9" s="83" t="s">
        <v>30</v>
      </c>
      <c r="F9" s="84" t="s">
        <v>63</v>
      </c>
      <c r="G9" s="573"/>
      <c r="H9" s="573"/>
      <c r="I9" s="575"/>
      <c r="J9" s="85" t="s">
        <v>32</v>
      </c>
      <c r="K9" s="576"/>
      <c r="L9" s="86"/>
      <c r="M9" s="86"/>
      <c r="N9" s="86"/>
    </row>
    <row r="10" spans="2:14" ht="13.8" hidden="1" thickBot="1">
      <c r="B10" s="87" t="s">
        <v>64</v>
      </c>
      <c r="C10" s="88" t="str">
        <f>[36]Brewhouse!A5359</f>
        <v>CA236</v>
      </c>
      <c r="D10" s="88">
        <f>[36]Brewhouse!B5359</f>
        <v>41437</v>
      </c>
      <c r="E10" s="89">
        <f>[36]Brewhouse!AG5359</f>
        <v>49.011000000000003</v>
      </c>
      <c r="F10" s="90">
        <f>[36]Brewhouse!T5359</f>
        <v>60</v>
      </c>
      <c r="G10" s="91">
        <f>[36]Brewhouse!I5359</f>
        <v>19.79</v>
      </c>
      <c r="H10" s="92">
        <f>[36]Brewhouse!AS5359</f>
        <v>94.981545664755075</v>
      </c>
      <c r="I10" s="92">
        <f>[36]Brewhouse!AT5359</f>
        <v>97.074072469002047</v>
      </c>
      <c r="J10" s="93">
        <f>[36]Brewhouse!S5359-[36]Brewhouse!R5359</f>
        <v>0.10694444444444451</v>
      </c>
      <c r="K10" s="94"/>
      <c r="N10" s="95"/>
    </row>
    <row r="11" spans="2:14" ht="13.8" hidden="1" thickBot="1">
      <c r="B11" s="96"/>
      <c r="C11" s="88" t="str">
        <f>[36]Brewhouse!A5360</f>
        <v>CA237</v>
      </c>
      <c r="D11" s="88">
        <f>[36]Brewhouse!B5360</f>
        <v>41437</v>
      </c>
      <c r="E11" s="89">
        <f>[36]Brewhouse!AG5360</f>
        <v>48.531999999999996</v>
      </c>
      <c r="F11" s="90">
        <f>[36]Brewhouse!T5360</f>
        <v>68</v>
      </c>
      <c r="G11" s="91">
        <f>[36]Brewhouse!I5360</f>
        <v>17.7</v>
      </c>
      <c r="H11" s="92">
        <f>[36]Brewhouse!AS5360</f>
        <v>94.053260986347809</v>
      </c>
      <c r="I11" s="92">
        <f>[36]Brewhouse!AT5360</f>
        <v>96.1253368644918</v>
      </c>
      <c r="J11" s="93">
        <f>[36]Brewhouse!S5360-[36]Brewhouse!R5360</f>
        <v>0.10972222222222217</v>
      </c>
      <c r="K11" s="94"/>
      <c r="M11" s="97"/>
      <c r="N11" s="95"/>
    </row>
    <row r="12" spans="2:14" ht="12.75" hidden="1" customHeight="1" thickBot="1">
      <c r="B12" s="87"/>
      <c r="C12" s="88" t="str">
        <f>[36]Brewhouse!A5361</f>
        <v>CA238</v>
      </c>
      <c r="D12" s="88">
        <f>[36]Brewhouse!B5361</f>
        <v>41437</v>
      </c>
      <c r="E12" s="89">
        <f>[36]Brewhouse!AG5361</f>
        <v>50.466999999999999</v>
      </c>
      <c r="F12" s="90">
        <f>[36]Brewhouse!T5361</f>
        <v>61</v>
      </c>
      <c r="G12" s="91">
        <f>[36]Brewhouse!I5361</f>
        <v>19.7</v>
      </c>
      <c r="H12" s="92">
        <f>[36]Brewhouse!AS5361</f>
        <v>96.931393272913695</v>
      </c>
      <c r="I12" s="92">
        <f>[36]Brewhouse!AT5361</f>
        <v>99.066876931102286</v>
      </c>
      <c r="J12" s="93">
        <f>[36]Brewhouse!S5361-[36]Brewhouse!R5361</f>
        <v>0.10208333333333341</v>
      </c>
      <c r="K12" s="98"/>
    </row>
    <row r="13" spans="2:14" ht="13.8" hidden="1" thickBot="1">
      <c r="B13" s="99"/>
      <c r="C13" s="88" t="str">
        <f>[36]Brewhouse!A5362</f>
        <v>CA239</v>
      </c>
      <c r="D13" s="88">
        <f>[36]Brewhouse!B5362</f>
        <v>41437</v>
      </c>
      <c r="E13" s="89">
        <f>[36]Brewhouse!AG5362</f>
        <v>49.374000000000002</v>
      </c>
      <c r="F13" s="90">
        <f>[36]Brewhouse!T5362</f>
        <v>62</v>
      </c>
      <c r="G13" s="91">
        <f>[36]Brewhouse!I5362</f>
        <v>19</v>
      </c>
      <c r="H13" s="92">
        <f>[36]Brewhouse!AS5362</f>
        <v>95.68502653795305</v>
      </c>
      <c r="I13" s="92">
        <f>[36]Brewhouse!AT5362</f>
        <v>97.793051643192499</v>
      </c>
      <c r="J13" s="93">
        <f>[36]Brewhouse!S5362-[36]Brewhouse!R5362</f>
        <v>0.10416666666666663</v>
      </c>
      <c r="K13" s="98"/>
      <c r="M13" s="100"/>
    </row>
    <row r="14" spans="2:14" ht="13.8" hidden="1" thickBot="1">
      <c r="B14" s="101"/>
      <c r="C14" s="88"/>
      <c r="D14" s="88"/>
      <c r="E14" s="89"/>
      <c r="F14" s="90"/>
      <c r="G14" s="91"/>
      <c r="H14" s="92"/>
      <c r="I14" s="92"/>
      <c r="J14" s="93"/>
      <c r="K14" s="98"/>
    </row>
    <row r="15" spans="2:14" ht="12.75" hidden="1" customHeight="1" thickBot="1">
      <c r="B15" s="99"/>
      <c r="C15" s="88"/>
      <c r="D15" s="88"/>
      <c r="E15" s="89"/>
      <c r="F15" s="90"/>
      <c r="G15" s="91"/>
      <c r="H15" s="92"/>
      <c r="I15" s="92"/>
      <c r="J15" s="93"/>
      <c r="K15" s="98"/>
    </row>
    <row r="16" spans="2:14" ht="13.8" hidden="1" thickBot="1">
      <c r="B16" s="102"/>
      <c r="C16" s="88"/>
      <c r="D16" s="88"/>
      <c r="E16" s="89"/>
      <c r="F16" s="90"/>
      <c r="G16" s="91"/>
      <c r="H16" s="92"/>
      <c r="I16" s="92"/>
      <c r="J16" s="93"/>
      <c r="K16" s="98"/>
      <c r="L16" s="78" t="s">
        <v>65</v>
      </c>
    </row>
    <row r="17" spans="2:11" ht="13.8" hidden="1" thickBot="1">
      <c r="B17" s="99"/>
      <c r="C17" s="88"/>
      <c r="D17" s="103"/>
      <c r="E17" s="92"/>
      <c r="F17" s="90"/>
      <c r="G17" s="91"/>
      <c r="H17" s="104"/>
      <c r="I17" s="105"/>
      <c r="J17" s="93"/>
      <c r="K17" s="106"/>
    </row>
    <row r="18" spans="2:11" ht="13.8" hidden="1" thickBot="1">
      <c r="B18" s="99"/>
      <c r="C18" s="88"/>
      <c r="D18" s="103"/>
      <c r="E18" s="92"/>
      <c r="F18" s="90"/>
      <c r="G18" s="91"/>
      <c r="H18" s="104"/>
      <c r="I18" s="105"/>
      <c r="J18" s="93"/>
      <c r="K18" s="106"/>
    </row>
    <row r="19" spans="2:11" ht="13.8" hidden="1" thickBot="1">
      <c r="B19" s="107"/>
      <c r="C19" s="108"/>
      <c r="D19" s="109"/>
      <c r="E19" s="110"/>
      <c r="F19" s="111"/>
      <c r="G19" s="112"/>
      <c r="H19" s="113"/>
      <c r="I19" s="114"/>
      <c r="J19" s="115"/>
      <c r="K19" s="116"/>
    </row>
    <row r="20" spans="2:11" ht="14.4" hidden="1" thickTop="1" thickBot="1">
      <c r="C20" s="117"/>
      <c r="D20" s="118"/>
      <c r="E20" s="119"/>
      <c r="F20" s="97"/>
      <c r="G20" s="120"/>
      <c r="H20" s="97"/>
      <c r="I20" s="121">
        <f>AVERAGE(I10:I13)</f>
        <v>97.514834476947158</v>
      </c>
      <c r="J20" s="97"/>
      <c r="K20" s="122"/>
    </row>
    <row r="21" spans="2:11" ht="13.8" hidden="1" thickBot="1">
      <c r="B21" s="86" t="s">
        <v>66</v>
      </c>
      <c r="C21" s="118"/>
      <c r="D21" s="123" t="s">
        <v>67</v>
      </c>
      <c r="E21" s="124" t="s">
        <v>68</v>
      </c>
      <c r="F21" s="562" t="s">
        <v>69</v>
      </c>
      <c r="G21" s="563"/>
      <c r="H21" s="337"/>
      <c r="I21" s="125"/>
      <c r="J21" s="97"/>
      <c r="K21" s="126" t="s">
        <v>24</v>
      </c>
    </row>
    <row r="22" spans="2:11" ht="13.8" hidden="1" thickBot="1">
      <c r="B22" s="117"/>
      <c r="C22" s="118"/>
      <c r="D22" s="127"/>
      <c r="E22" s="92"/>
      <c r="F22" s="128" t="s">
        <v>70</v>
      </c>
      <c r="G22" s="129" t="s">
        <v>71</v>
      </c>
      <c r="H22" s="338"/>
      <c r="I22" s="117"/>
      <c r="J22" s="97"/>
      <c r="K22" s="130"/>
    </row>
    <row r="23" spans="2:11" ht="15.6" hidden="1" thickBot="1">
      <c r="B23" s="117"/>
      <c r="C23" s="118"/>
      <c r="D23" s="131"/>
      <c r="E23" s="88" t="str">
        <f>C10</f>
        <v>CA236</v>
      </c>
      <c r="F23" s="132"/>
      <c r="G23" s="133"/>
      <c r="H23" s="136"/>
      <c r="I23" s="134"/>
      <c r="J23" s="97"/>
      <c r="K23" s="135">
        <f>[36]Brewhouse!N5359</f>
        <v>60</v>
      </c>
    </row>
    <row r="24" spans="2:11" ht="15.6" hidden="1" thickBot="1">
      <c r="B24" s="117"/>
      <c r="C24" s="118"/>
      <c r="D24" s="131"/>
      <c r="E24" s="88" t="str">
        <f>C11</f>
        <v>CA237</v>
      </c>
      <c r="F24" s="132"/>
      <c r="G24" s="133"/>
      <c r="H24" s="136"/>
      <c r="I24" s="134"/>
      <c r="J24" s="97"/>
      <c r="K24" s="135">
        <f>[36]Brewhouse!N5360</f>
        <v>60</v>
      </c>
    </row>
    <row r="25" spans="2:11" ht="15.6" hidden="1" thickBot="1">
      <c r="B25" s="117"/>
      <c r="C25" s="118"/>
      <c r="D25" s="131"/>
      <c r="E25" s="88" t="str">
        <f>C12</f>
        <v>CA238</v>
      </c>
      <c r="F25" s="132"/>
      <c r="G25" s="133"/>
      <c r="H25" s="136"/>
      <c r="I25" s="134"/>
      <c r="J25" s="97"/>
      <c r="K25" s="135">
        <f>[36]Brewhouse!N5361</f>
        <v>60</v>
      </c>
    </row>
    <row r="26" spans="2:11" ht="15.6" hidden="1" thickBot="1">
      <c r="B26" s="117"/>
      <c r="C26" s="118"/>
      <c r="D26" s="131"/>
      <c r="E26" s="88" t="str">
        <f>C13</f>
        <v>CA239</v>
      </c>
      <c r="F26" s="132"/>
      <c r="G26" s="133"/>
      <c r="H26" s="136"/>
      <c r="I26" s="134"/>
      <c r="J26" s="97"/>
      <c r="K26" s="135">
        <f>[36]Brewhouse!N5362</f>
        <v>60</v>
      </c>
    </row>
    <row r="27" spans="2:11" ht="15.6" hidden="1" thickBot="1">
      <c r="B27" s="117"/>
      <c r="C27" s="118"/>
      <c r="D27" s="131"/>
      <c r="E27" s="88">
        <f>C14</f>
        <v>0</v>
      </c>
      <c r="F27" s="132"/>
      <c r="G27" s="133"/>
      <c r="H27" s="136"/>
      <c r="I27" s="134"/>
      <c r="J27" s="97"/>
      <c r="K27" s="135"/>
    </row>
    <row r="28" spans="2:11" ht="15.6" hidden="1" thickBot="1">
      <c r="B28" s="117"/>
      <c r="C28" s="118"/>
      <c r="D28" s="131"/>
      <c r="E28" s="88"/>
      <c r="F28" s="132"/>
      <c r="G28" s="133"/>
      <c r="H28" s="136"/>
      <c r="I28" s="134"/>
      <c r="J28" s="97"/>
      <c r="K28" s="135"/>
    </row>
    <row r="29" spans="2:11" ht="15.6" hidden="1" thickBot="1">
      <c r="B29" s="117"/>
      <c r="C29" s="118"/>
      <c r="D29" s="131"/>
      <c r="E29" s="88">
        <f>C15</f>
        <v>0</v>
      </c>
      <c r="F29" s="132"/>
      <c r="G29" s="133"/>
      <c r="H29" s="136"/>
      <c r="I29" s="134"/>
      <c r="J29" s="97"/>
      <c r="K29" s="135"/>
    </row>
    <row r="30" spans="2:11" ht="13.8" hidden="1" thickBot="1">
      <c r="C30" s="117"/>
      <c r="D30" s="137"/>
      <c r="E30" s="108"/>
      <c r="F30" s="138"/>
      <c r="G30" s="139"/>
      <c r="H30" s="336"/>
      <c r="I30" s="120"/>
      <c r="J30" s="97"/>
      <c r="K30" s="140"/>
    </row>
    <row r="31" spans="2:11" ht="13.8" hidden="1" thickBot="1">
      <c r="F31" s="97"/>
    </row>
    <row r="32" spans="2:11" ht="13.8" hidden="1" thickBot="1">
      <c r="B32" s="141" t="s">
        <v>17</v>
      </c>
      <c r="C32" s="142" t="s">
        <v>36</v>
      </c>
      <c r="D32" s="142" t="s">
        <v>37</v>
      </c>
      <c r="E32" s="143" t="s">
        <v>39</v>
      </c>
      <c r="F32" s="144"/>
      <c r="G32" s="144"/>
    </row>
    <row r="33" spans="2:15" ht="13.8" hidden="1" thickBot="1">
      <c r="B33" s="87" t="s">
        <v>64</v>
      </c>
      <c r="C33" s="145">
        <f>AVERAGE(H10:H13)</f>
        <v>95.4128066154924</v>
      </c>
      <c r="D33" s="146">
        <f>AVERAGE([36]Brewhouse!$AS$5347:$AS$5362)</f>
        <v>96.296241624200576</v>
      </c>
      <c r="E33" s="147">
        <v>96</v>
      </c>
    </row>
    <row r="34" spans="2:15" ht="13.8" hidden="1" thickBot="1">
      <c r="B34" s="99" t="s">
        <v>72</v>
      </c>
      <c r="C34" s="100"/>
      <c r="D34" s="146">
        <f>AVERAGE([37]Brewhouse!$AQ$641:$AQ$644)</f>
        <v>94.359266355846486</v>
      </c>
      <c r="E34" s="147">
        <v>96</v>
      </c>
    </row>
    <row r="35" spans="2:15" ht="13.8" hidden="1" thickBot="1">
      <c r="B35" s="101" t="s">
        <v>73</v>
      </c>
      <c r="C35" s="145"/>
      <c r="D35" s="146"/>
      <c r="E35" s="147">
        <v>96</v>
      </c>
      <c r="F35" s="100"/>
      <c r="G35" s="100"/>
    </row>
    <row r="36" spans="2:15" ht="13.8" hidden="1" thickBot="1">
      <c r="B36" s="148" t="s">
        <v>74</v>
      </c>
      <c r="C36" s="145"/>
      <c r="D36" s="149">
        <f>AVERAGE([38]Brewhouse!$AU$708:$AU$711)</f>
        <v>95.049759132870761</v>
      </c>
      <c r="E36" s="147">
        <v>96</v>
      </c>
    </row>
    <row r="37" spans="2:15" ht="13.8" hidden="1" thickBot="1">
      <c r="B37" s="150" t="s">
        <v>75</v>
      </c>
      <c r="C37" s="145"/>
      <c r="D37" s="151">
        <f>AVERAGE([39]Brewhouse!$AY$943:$AY$946)</f>
        <v>95.307332180967137</v>
      </c>
      <c r="E37" s="147">
        <v>96</v>
      </c>
    </row>
    <row r="38" spans="2:15" ht="13.8" hidden="1" thickBot="1">
      <c r="B38" s="102" t="s">
        <v>76</v>
      </c>
      <c r="C38" s="152"/>
      <c r="D38" s="153"/>
      <c r="E38" s="147">
        <v>96</v>
      </c>
    </row>
    <row r="39" spans="2:15" ht="13.8" hidden="1" thickBot="1">
      <c r="B39" s="154" t="s">
        <v>77</v>
      </c>
      <c r="C39" s="155"/>
      <c r="D39" s="156"/>
      <c r="E39" s="157">
        <v>96</v>
      </c>
      <c r="F39" s="100"/>
      <c r="G39" s="100"/>
    </row>
    <row r="40" spans="2:15" ht="14.4" hidden="1" thickTop="1" thickBot="1">
      <c r="B40" s="158"/>
      <c r="C40" s="159"/>
      <c r="D40" s="121">
        <f>AVERAGE(D33:D39)</f>
        <v>95.253149823471233</v>
      </c>
      <c r="E40" s="100"/>
      <c r="F40" s="100"/>
      <c r="G40" s="100"/>
    </row>
    <row r="41" spans="2:15" ht="14.4" hidden="1" thickBot="1">
      <c r="B41" s="5" t="s">
        <v>42</v>
      </c>
      <c r="C41" s="78" t="s">
        <v>78</v>
      </c>
      <c r="D41" s="335"/>
    </row>
    <row r="42" spans="2:15" ht="13.8" hidden="1" thickBot="1"/>
    <row r="43" spans="2:15" ht="12.75" hidden="1" customHeight="1" thickBot="1">
      <c r="B43" s="568" t="s">
        <v>17</v>
      </c>
      <c r="C43" s="554" t="s">
        <v>18</v>
      </c>
      <c r="D43" s="554" t="s">
        <v>44</v>
      </c>
      <c r="E43" s="554" t="s">
        <v>79</v>
      </c>
      <c r="F43" s="554" t="s">
        <v>51</v>
      </c>
      <c r="G43" s="554" t="s">
        <v>48</v>
      </c>
      <c r="H43" s="556" t="s">
        <v>28</v>
      </c>
      <c r="I43" s="557"/>
      <c r="J43" s="557"/>
      <c r="K43" s="564" t="s">
        <v>27</v>
      </c>
    </row>
    <row r="44" spans="2:15" ht="15.75" hidden="1" customHeight="1" thickBot="1">
      <c r="B44" s="569"/>
      <c r="C44" s="555"/>
      <c r="D44" s="555"/>
      <c r="E44" s="555"/>
      <c r="F44" s="555"/>
      <c r="G44" s="555"/>
      <c r="H44" s="558"/>
      <c r="I44" s="559"/>
      <c r="J44" s="559"/>
      <c r="K44" s="565"/>
      <c r="L44" s="86"/>
      <c r="M44" s="86"/>
      <c r="N44" s="86"/>
      <c r="O44" s="86"/>
    </row>
    <row r="45" spans="2:15" ht="15" hidden="1" customHeight="1" thickBot="1">
      <c r="B45" s="87"/>
      <c r="C45" s="160"/>
      <c r="D45" s="161"/>
      <c r="E45" s="163"/>
      <c r="F45" s="164"/>
      <c r="G45" s="162"/>
      <c r="H45" s="566"/>
      <c r="I45" s="567"/>
      <c r="J45" s="567"/>
      <c r="K45" s="165"/>
      <c r="L45" s="166"/>
      <c r="N45" s="95"/>
    </row>
    <row r="46" spans="2:15" ht="13.8" hidden="1" thickBot="1">
      <c r="B46" s="99"/>
      <c r="C46" s="160"/>
      <c r="D46" s="167"/>
      <c r="E46" s="163"/>
      <c r="F46" s="168"/>
      <c r="G46" s="162"/>
      <c r="H46" s="560"/>
      <c r="I46" s="561"/>
      <c r="J46" s="561"/>
      <c r="K46" s="169"/>
      <c r="L46" s="166"/>
      <c r="M46" s="97"/>
      <c r="N46" s="95"/>
      <c r="O46" s="100"/>
    </row>
    <row r="47" spans="2:15" ht="13.8" hidden="1" thickBot="1">
      <c r="B47" s="99"/>
      <c r="C47" s="160"/>
      <c r="D47" s="103"/>
      <c r="E47" s="170"/>
      <c r="F47" s="168"/>
      <c r="G47" s="162"/>
      <c r="H47" s="560"/>
      <c r="I47" s="561"/>
      <c r="J47" s="561"/>
      <c r="K47" s="169"/>
    </row>
    <row r="48" spans="2:15" ht="13.8" hidden="1" thickBot="1">
      <c r="B48" s="102"/>
      <c r="C48" s="160"/>
      <c r="D48" s="167"/>
      <c r="E48" s="128"/>
      <c r="F48" s="168"/>
      <c r="G48" s="171"/>
      <c r="H48" s="560"/>
      <c r="I48" s="561"/>
      <c r="J48" s="561"/>
      <c r="K48" s="172"/>
    </row>
    <row r="49" spans="2:11" ht="13.8" hidden="1" thickBot="1">
      <c r="B49" s="101"/>
      <c r="C49" s="160"/>
      <c r="D49" s="167"/>
      <c r="E49" s="170"/>
      <c r="F49" s="163"/>
      <c r="G49" s="162"/>
      <c r="H49" s="552"/>
      <c r="I49" s="553"/>
      <c r="J49" s="553"/>
      <c r="K49" s="172"/>
    </row>
    <row r="50" spans="2:11" ht="13.8" hidden="1" thickBot="1">
      <c r="B50" s="173"/>
      <c r="C50" s="160"/>
      <c r="E50" s="168"/>
      <c r="F50" s="168"/>
      <c r="G50" s="145"/>
      <c r="H50" s="552"/>
      <c r="I50" s="553"/>
      <c r="J50" s="553"/>
      <c r="K50" s="172"/>
    </row>
    <row r="51" spans="2:11" ht="13.8" hidden="1" thickBot="1">
      <c r="B51" s="174"/>
      <c r="C51" s="160"/>
      <c r="D51" s="167"/>
      <c r="E51" s="175"/>
      <c r="F51" s="175"/>
      <c r="G51" s="176"/>
      <c r="H51" s="552"/>
      <c r="I51" s="553"/>
      <c r="J51" s="553"/>
      <c r="K51" s="177"/>
    </row>
    <row r="52" spans="2:11" ht="13.8" hidden="1" thickBot="1">
      <c r="B52" s="178"/>
      <c r="C52" s="179"/>
      <c r="D52" s="180"/>
      <c r="E52" s="181"/>
      <c r="F52" s="181"/>
      <c r="G52" s="182"/>
      <c r="H52" s="543"/>
      <c r="I52" s="544"/>
      <c r="J52" s="544"/>
      <c r="K52" s="183"/>
    </row>
    <row r="53" spans="2:11" ht="13.8" thickBot="1">
      <c r="B53" s="184"/>
      <c r="C53" s="117"/>
      <c r="D53" s="545" t="s">
        <v>80</v>
      </c>
      <c r="E53" s="545"/>
      <c r="F53" s="545"/>
      <c r="G53" s="545"/>
      <c r="H53" s="545"/>
      <c r="I53" s="545"/>
      <c r="J53" s="545"/>
      <c r="K53" s="185"/>
    </row>
    <row r="54" spans="2:11" ht="13.8" thickBot="1">
      <c r="B54" s="546" t="s">
        <v>55</v>
      </c>
      <c r="C54" s="547"/>
      <c r="D54" s="547"/>
      <c r="E54" s="548"/>
      <c r="F54" s="546" t="s">
        <v>56</v>
      </c>
      <c r="G54" s="547"/>
      <c r="H54" s="548"/>
      <c r="I54" s="549" t="s">
        <v>81</v>
      </c>
      <c r="J54" s="550"/>
      <c r="K54" s="551"/>
    </row>
    <row r="55" spans="2:11">
      <c r="B55" s="186" t="s">
        <v>17</v>
      </c>
      <c r="C55" s="187" t="s">
        <v>36</v>
      </c>
      <c r="D55" s="187" t="s">
        <v>38</v>
      </c>
      <c r="E55" s="188" t="s">
        <v>39</v>
      </c>
      <c r="F55" s="187" t="s">
        <v>36</v>
      </c>
      <c r="G55" s="187" t="s">
        <v>38</v>
      </c>
      <c r="H55" s="188" t="s">
        <v>39</v>
      </c>
      <c r="I55" s="189" t="s">
        <v>36</v>
      </c>
      <c r="J55" s="189" t="s">
        <v>38</v>
      </c>
      <c r="K55" s="190" t="s">
        <v>39</v>
      </c>
    </row>
    <row r="56" spans="2:11" ht="13.8">
      <c r="B56" s="29" t="s">
        <v>64</v>
      </c>
      <c r="C56" s="191"/>
      <c r="D56" s="76">
        <f>'[34]YTD 2025'!E5</f>
        <v>6.6706827139758538</v>
      </c>
      <c r="E56" s="192">
        <v>5</v>
      </c>
      <c r="F56" s="191"/>
      <c r="G56" s="76">
        <f>[33]May_2025!AQ3</f>
        <v>6.8251473421150894</v>
      </c>
      <c r="H56" s="192">
        <v>5</v>
      </c>
      <c r="I56" s="193"/>
      <c r="J56" s="194">
        <f>[35]May_2025!AQ13</f>
        <v>0.74805190521095766</v>
      </c>
      <c r="K56" s="195">
        <v>1</v>
      </c>
    </row>
    <row r="57" spans="2:11" ht="13.8">
      <c r="B57" s="33" t="s">
        <v>72</v>
      </c>
      <c r="C57" s="191"/>
      <c r="D57" s="76">
        <f>'[34]YTD 2025'!E6</f>
        <v>6.343300060697989</v>
      </c>
      <c r="E57" s="192">
        <v>5</v>
      </c>
      <c r="F57" s="191"/>
      <c r="G57" s="76">
        <f>[33]May_2025!AQ4</f>
        <v>6.2071014472654031</v>
      </c>
      <c r="H57" s="192">
        <v>5</v>
      </c>
      <c r="I57" s="196"/>
      <c r="J57" s="194">
        <f>[35]May_2025!AQ14</f>
        <v>0.73208996193160025</v>
      </c>
      <c r="K57" s="195">
        <v>1</v>
      </c>
    </row>
    <row r="58" spans="2:11" ht="13.8">
      <c r="B58" s="34" t="s">
        <v>73</v>
      </c>
      <c r="C58" s="191"/>
      <c r="D58" s="76">
        <f>'[34]YTD 2025'!E7</f>
        <v>11.904402895054256</v>
      </c>
      <c r="E58" s="192">
        <v>5</v>
      </c>
      <c r="F58" s="191"/>
      <c r="G58" s="76">
        <f>[33]May_2025!AQ5</f>
        <v>13.27623252148428</v>
      </c>
      <c r="H58" s="192">
        <v>5</v>
      </c>
      <c r="I58" s="196"/>
      <c r="J58" s="194">
        <f>[35]May_2025!AQ15</f>
        <v>0.55663694898464589</v>
      </c>
      <c r="K58" s="195">
        <v>1</v>
      </c>
    </row>
    <row r="59" spans="2:11" ht="13.8">
      <c r="B59" s="197" t="s">
        <v>74</v>
      </c>
      <c r="C59" s="191"/>
      <c r="D59" s="76">
        <f>'[34]YTD 2025'!E8</f>
        <v>4.2975387819985675</v>
      </c>
      <c r="E59" s="192">
        <v>3.5</v>
      </c>
      <c r="F59" s="191"/>
      <c r="G59" s="76">
        <f>[33]May_2025!AQ6</f>
        <v>4.1429617930013904</v>
      </c>
      <c r="H59" s="192">
        <v>3.5</v>
      </c>
      <c r="I59" s="196"/>
      <c r="J59" s="194">
        <f>[35]May_2025!AQ16</f>
        <v>0.87513784461152888</v>
      </c>
      <c r="K59" s="195">
        <v>1</v>
      </c>
    </row>
    <row r="60" spans="2:11" ht="14.4" thickBot="1">
      <c r="B60" s="38" t="s">
        <v>160</v>
      </c>
      <c r="C60" s="191"/>
      <c r="D60" s="76" t="e">
        <f>'[34]YTD 2025'!E9</f>
        <v>#DIV/0!</v>
      </c>
      <c r="E60" s="192">
        <v>3.5</v>
      </c>
      <c r="F60" s="198"/>
      <c r="G60" s="76" t="e">
        <f>[33]May_2025!AQ7</f>
        <v>#DIV/0!</v>
      </c>
      <c r="H60" s="192">
        <v>3.5</v>
      </c>
      <c r="I60" s="196"/>
      <c r="J60" s="194" t="e">
        <f>[35]May_2025!AQ17</f>
        <v>#DIV/0!</v>
      </c>
      <c r="K60" s="195">
        <v>1</v>
      </c>
    </row>
    <row r="61" spans="2:11" ht="13.8">
      <c r="B61" s="199" t="s">
        <v>76</v>
      </c>
      <c r="C61" s="191"/>
      <c r="D61" s="76">
        <f>'[34]YTD 2025'!E10</f>
        <v>7.8262258425171876</v>
      </c>
      <c r="E61" s="200">
        <v>5</v>
      </c>
      <c r="F61" s="191"/>
      <c r="G61" s="76">
        <f>[33]May_2025!AQ8</f>
        <v>9.4300678869947632</v>
      </c>
      <c r="H61" s="200">
        <v>5</v>
      </c>
      <c r="I61" s="196"/>
      <c r="J61" s="194">
        <f>[35]May_2025!AQ18</f>
        <v>0.674970760233918</v>
      </c>
      <c r="K61" s="195">
        <v>1</v>
      </c>
    </row>
    <row r="62" spans="2:11" ht="13.8">
      <c r="B62" s="201" t="s">
        <v>82</v>
      </c>
      <c r="C62" s="202"/>
      <c r="D62" s="76">
        <f>'[34]YTD 2025'!E11</f>
        <v>2.6202625996215709</v>
      </c>
      <c r="E62" s="200">
        <v>3.3</v>
      </c>
      <c r="F62" s="202"/>
      <c r="G62" s="76">
        <f>[33]May_2025!AQ9</f>
        <v>4.462228479698962</v>
      </c>
      <c r="H62" s="200">
        <v>3.3</v>
      </c>
      <c r="I62" s="203"/>
      <c r="J62" s="194">
        <f>[35]May_2025!AQ19</f>
        <v>0.79924705882352942</v>
      </c>
      <c r="K62" s="204">
        <v>1</v>
      </c>
    </row>
    <row r="63" spans="2:11" ht="14.4" thickBot="1">
      <c r="B63" s="38" t="s">
        <v>128</v>
      </c>
      <c r="C63" s="205"/>
      <c r="D63" s="76" t="e">
        <f>'[34]YTD 2025'!E12</f>
        <v>#DIV/0!</v>
      </c>
      <c r="E63" s="206">
        <v>3.5</v>
      </c>
      <c r="F63" s="205"/>
      <c r="G63" s="76" t="e">
        <f>[33]May_2025!AQ10</f>
        <v>#DIV/0!</v>
      </c>
      <c r="H63" s="206">
        <v>3.5</v>
      </c>
      <c r="I63" s="207"/>
      <c r="J63" s="194" t="e">
        <f>[35]May_2025!AQ20</f>
        <v>#DIV/0!</v>
      </c>
      <c r="K63" s="208">
        <v>1</v>
      </c>
    </row>
    <row r="64" spans="2:11" ht="14.4" thickBot="1">
      <c r="B64" s="414" t="s">
        <v>159</v>
      </c>
      <c r="C64" s="205"/>
      <c r="D64" s="76">
        <f>'[34]YTD 2025'!E13</f>
        <v>4.8792508624938291</v>
      </c>
      <c r="E64" s="206">
        <v>5</v>
      </c>
      <c r="F64" s="205"/>
      <c r="G64" s="76">
        <f>[33]May_2025!AQ11</f>
        <v>6.2003723782925313</v>
      </c>
      <c r="H64" s="206">
        <v>5</v>
      </c>
      <c r="I64" s="207"/>
      <c r="J64" s="194">
        <f>[35]May_2025!AQ21</f>
        <v>0.33859649122807017</v>
      </c>
      <c r="K64" s="208">
        <v>1</v>
      </c>
    </row>
    <row r="65" spans="2:11">
      <c r="B65" s="209"/>
      <c r="C65" s="210"/>
      <c r="D65" s="76">
        <f>'[34]YTD 2025'!E14</f>
        <v>6.6612466746362617</v>
      </c>
      <c r="E65" s="210"/>
      <c r="F65" s="210"/>
      <c r="G65" s="76">
        <f>[33]May_2025!AQ12</f>
        <v>7.0557314318939177</v>
      </c>
      <c r="H65" s="211"/>
      <c r="I65" s="212"/>
      <c r="J65" s="194">
        <f>[35]May_2025!AQ22</f>
        <v>0.73113872480075015</v>
      </c>
      <c r="K65" s="213"/>
    </row>
    <row r="66" spans="2:11">
      <c r="C66" s="214"/>
      <c r="F66" s="95"/>
    </row>
    <row r="67" spans="2:11">
      <c r="C67" s="214"/>
    </row>
    <row r="73" spans="2:11" ht="18" customHeight="1"/>
  </sheetData>
  <mergeCells count="30">
    <mergeCell ref="B2:K2"/>
    <mergeCell ref="C4:D4"/>
    <mergeCell ref="B8:B9"/>
    <mergeCell ref="C8:C9"/>
    <mergeCell ref="D8:D9"/>
    <mergeCell ref="G8:G9"/>
    <mergeCell ref="H8:H9"/>
    <mergeCell ref="I8:I9"/>
    <mergeCell ref="K8:K9"/>
    <mergeCell ref="F21:G21"/>
    <mergeCell ref="K43:K44"/>
    <mergeCell ref="H45:J45"/>
    <mergeCell ref="B43:B44"/>
    <mergeCell ref="C43:C44"/>
    <mergeCell ref="D43:D44"/>
    <mergeCell ref="E43:E44"/>
    <mergeCell ref="H51:J51"/>
    <mergeCell ref="F43:F44"/>
    <mergeCell ref="G43:G44"/>
    <mergeCell ref="H43:J44"/>
    <mergeCell ref="H46:J46"/>
    <mergeCell ref="H47:J47"/>
    <mergeCell ref="H48:J48"/>
    <mergeCell ref="H49:J49"/>
    <mergeCell ref="H50:J50"/>
    <mergeCell ref="H52:J52"/>
    <mergeCell ref="D53:J53"/>
    <mergeCell ref="B54:E54"/>
    <mergeCell ref="F54:H54"/>
    <mergeCell ref="I54:K54"/>
  </mergeCells>
  <printOptions horizontalCentered="1"/>
  <pageMargins left="0.25" right="0.24" top="0.5" bottom="0.5" header="0.5" footer="0.5"/>
  <pageSetup scale="90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FDA13-74B1-4009-90C9-5A553EBA7938}">
  <sheetPr codeName="Sheet20">
    <tabColor rgb="FFFFFF00"/>
  </sheetPr>
  <dimension ref="A1:M38"/>
  <sheetViews>
    <sheetView topLeftCell="B16" workbookViewId="0">
      <selection activeCell="E70" sqref="E70"/>
    </sheetView>
  </sheetViews>
  <sheetFormatPr defaultRowHeight="13.2"/>
  <cols>
    <col min="2" max="2" width="9.5546875" customWidth="1"/>
    <col min="3" max="3" width="11" customWidth="1"/>
    <col min="4" max="4" width="13.5546875" customWidth="1"/>
    <col min="5" max="5" width="15.5546875" customWidth="1"/>
    <col min="11" max="11" width="10.44140625" bestFit="1" customWidth="1"/>
    <col min="12" max="12" width="15.44140625" bestFit="1" customWidth="1"/>
    <col min="13" max="13" width="12.33203125" bestFit="1" customWidth="1"/>
  </cols>
  <sheetData>
    <row r="1" spans="1:13" ht="15">
      <c r="A1" s="215"/>
      <c r="B1" s="215"/>
      <c r="C1" s="215"/>
      <c r="D1" s="215"/>
      <c r="E1" s="215"/>
      <c r="F1" s="215"/>
      <c r="G1" s="215"/>
      <c r="H1" s="215"/>
      <c r="I1" s="215"/>
      <c r="J1" s="215"/>
      <c r="K1" s="215"/>
    </row>
    <row r="2" spans="1:13" ht="15.6">
      <c r="A2" s="215"/>
      <c r="B2" s="577" t="s">
        <v>34</v>
      </c>
      <c r="C2" s="577"/>
      <c r="D2" s="577"/>
      <c r="E2" s="215"/>
      <c r="F2" s="215"/>
      <c r="G2" s="215"/>
      <c r="H2" s="215"/>
      <c r="I2" s="215"/>
      <c r="J2" s="215"/>
      <c r="K2" s="215"/>
    </row>
    <row r="3" spans="1:13" s="219" customFormat="1" ht="15.6">
      <c r="A3" s="216"/>
      <c r="B3" s="217" t="s">
        <v>84</v>
      </c>
      <c r="C3" s="218" t="s">
        <v>85</v>
      </c>
      <c r="D3" s="218" t="s">
        <v>86</v>
      </c>
      <c r="E3" s="218" t="s">
        <v>87</v>
      </c>
      <c r="F3" s="218" t="s">
        <v>88</v>
      </c>
      <c r="G3" s="218" t="s">
        <v>89</v>
      </c>
      <c r="H3" s="218" t="s">
        <v>90</v>
      </c>
      <c r="I3" s="218" t="s">
        <v>91</v>
      </c>
      <c r="J3" s="218" t="s">
        <v>92</v>
      </c>
      <c r="K3" s="218" t="s">
        <v>93</v>
      </c>
      <c r="L3" s="218" t="s">
        <v>94</v>
      </c>
      <c r="M3" s="218" t="s">
        <v>95</v>
      </c>
    </row>
    <row r="4" spans="1:13" ht="15">
      <c r="A4" s="215"/>
      <c r="B4" s="220">
        <v>98</v>
      </c>
      <c r="C4" s="221" t="s">
        <v>64</v>
      </c>
      <c r="D4" s="222"/>
      <c r="E4" s="223"/>
      <c r="F4" s="223"/>
      <c r="G4" s="223"/>
      <c r="H4" s="223"/>
      <c r="I4" s="223"/>
      <c r="J4" s="223"/>
      <c r="K4" s="223"/>
      <c r="L4" s="223"/>
    </row>
    <row r="5" spans="1:13" ht="15">
      <c r="A5" s="215"/>
      <c r="B5" s="220">
        <v>98</v>
      </c>
      <c r="C5" s="224" t="s">
        <v>72</v>
      </c>
      <c r="D5" s="223"/>
      <c r="E5" s="223"/>
      <c r="F5" s="223"/>
      <c r="G5" s="223"/>
      <c r="H5" s="223"/>
      <c r="I5" s="223"/>
      <c r="J5" s="223"/>
      <c r="K5" s="223"/>
      <c r="L5" s="223"/>
    </row>
    <row r="6" spans="1:13" ht="15">
      <c r="A6" s="215"/>
      <c r="B6" s="220">
        <v>98</v>
      </c>
      <c r="C6" s="225" t="s">
        <v>96</v>
      </c>
      <c r="D6" s="222"/>
      <c r="E6" s="223"/>
      <c r="F6" s="223"/>
      <c r="G6" s="223"/>
      <c r="H6" s="223"/>
      <c r="I6" s="223"/>
      <c r="J6" s="223"/>
      <c r="K6" s="223"/>
      <c r="L6" s="223"/>
    </row>
    <row r="7" spans="1:13" ht="15">
      <c r="A7" s="215"/>
      <c r="B7" s="220">
        <v>98</v>
      </c>
      <c r="C7" s="226" t="s">
        <v>76</v>
      </c>
      <c r="D7" s="223"/>
      <c r="E7" s="223"/>
      <c r="F7" s="223"/>
      <c r="G7" s="223"/>
      <c r="H7" s="223"/>
      <c r="I7" s="223"/>
      <c r="J7" s="223"/>
      <c r="K7" s="223"/>
      <c r="L7" s="223"/>
    </row>
    <row r="8" spans="1:13" ht="15">
      <c r="A8" s="215"/>
      <c r="B8" s="220">
        <v>98</v>
      </c>
      <c r="C8" s="227" t="s">
        <v>83</v>
      </c>
      <c r="D8" s="222"/>
      <c r="E8" s="223"/>
      <c r="F8" s="223"/>
      <c r="G8" s="223"/>
      <c r="H8" s="223"/>
      <c r="I8" s="223"/>
      <c r="J8" s="223"/>
      <c r="K8" s="223"/>
      <c r="L8" s="223"/>
    </row>
    <row r="9" spans="1:13" ht="15">
      <c r="A9" s="215"/>
      <c r="B9" s="220">
        <v>98</v>
      </c>
      <c r="C9" s="228" t="s">
        <v>97</v>
      </c>
      <c r="D9" s="223"/>
      <c r="E9" s="223"/>
      <c r="F9" s="223"/>
      <c r="G9" s="223"/>
      <c r="H9" s="223"/>
      <c r="I9" s="223"/>
      <c r="J9" s="223"/>
      <c r="K9" s="223"/>
      <c r="L9" s="223"/>
    </row>
    <row r="10" spans="1:13" ht="15">
      <c r="A10" s="215"/>
      <c r="B10" s="220">
        <v>98</v>
      </c>
      <c r="C10" s="229" t="s">
        <v>98</v>
      </c>
      <c r="D10" s="222"/>
      <c r="E10" s="223"/>
      <c r="F10" s="223"/>
      <c r="G10" s="223"/>
      <c r="H10" s="223"/>
      <c r="I10" s="223"/>
      <c r="J10" s="223"/>
      <c r="K10" s="223"/>
      <c r="L10" s="223"/>
    </row>
    <row r="11" spans="1:13" ht="15">
      <c r="A11" s="215"/>
      <c r="B11" s="220">
        <v>98</v>
      </c>
      <c r="C11" s="230" t="s">
        <v>74</v>
      </c>
      <c r="D11" s="223"/>
      <c r="E11" s="223"/>
      <c r="F11" s="223"/>
      <c r="G11" s="223"/>
      <c r="H11" s="223"/>
      <c r="I11" s="223"/>
      <c r="J11" s="223"/>
      <c r="K11" s="223"/>
      <c r="L11" s="223"/>
    </row>
    <row r="12" spans="1:13" s="219" customFormat="1" ht="15.6">
      <c r="A12" s="216"/>
      <c r="B12" s="231">
        <v>98</v>
      </c>
      <c r="C12" s="232" t="s">
        <v>99</v>
      </c>
      <c r="D12" s="233"/>
      <c r="E12" s="234"/>
      <c r="F12" s="234"/>
      <c r="G12" s="234"/>
      <c r="H12" s="234"/>
      <c r="I12" s="234"/>
      <c r="J12" s="234"/>
      <c r="K12" s="234"/>
      <c r="L12" s="234"/>
    </row>
    <row r="13" spans="1:13" ht="15">
      <c r="A13" s="215"/>
      <c r="B13" s="215"/>
      <c r="C13" s="215"/>
      <c r="D13" s="215"/>
      <c r="E13" s="215"/>
      <c r="F13" s="215"/>
      <c r="G13" s="215"/>
      <c r="H13" s="215"/>
      <c r="I13" s="215"/>
      <c r="J13" s="215"/>
      <c r="K13" s="215"/>
    </row>
    <row r="14" spans="1:13" ht="15.6">
      <c r="A14" s="215"/>
      <c r="B14" s="577" t="s">
        <v>100</v>
      </c>
      <c r="C14" s="577"/>
      <c r="D14" s="577"/>
      <c r="E14" s="215"/>
      <c r="F14" s="215"/>
      <c r="G14" s="215"/>
      <c r="H14" s="215"/>
      <c r="I14" s="215"/>
      <c r="J14" s="215"/>
      <c r="K14" s="215"/>
    </row>
    <row r="15" spans="1:13" ht="15.6">
      <c r="A15" s="215"/>
      <c r="B15" s="217" t="s">
        <v>84</v>
      </c>
      <c r="C15" s="218" t="s">
        <v>85</v>
      </c>
      <c r="D15" s="218" t="s">
        <v>86</v>
      </c>
      <c r="E15" s="218" t="s">
        <v>87</v>
      </c>
      <c r="F15" s="218" t="s">
        <v>88</v>
      </c>
      <c r="G15" s="218" t="s">
        <v>89</v>
      </c>
      <c r="H15" s="218" t="s">
        <v>90</v>
      </c>
      <c r="I15" s="218" t="s">
        <v>91</v>
      </c>
      <c r="J15" s="218" t="s">
        <v>92</v>
      </c>
      <c r="K15" s="218" t="s">
        <v>93</v>
      </c>
      <c r="L15" s="218" t="s">
        <v>94</v>
      </c>
      <c r="M15" s="218" t="s">
        <v>95</v>
      </c>
    </row>
    <row r="16" spans="1:13" ht="15">
      <c r="A16" s="215"/>
      <c r="B16" s="220">
        <v>4.8</v>
      </c>
      <c r="C16" s="221" t="s">
        <v>64</v>
      </c>
      <c r="D16" s="222"/>
      <c r="E16" s="222"/>
      <c r="F16" s="222"/>
      <c r="G16" s="222"/>
      <c r="H16" s="222"/>
      <c r="I16" s="222"/>
      <c r="J16" s="222"/>
      <c r="K16" s="222"/>
      <c r="L16" s="222"/>
      <c r="M16" s="222"/>
    </row>
    <row r="17" spans="1:13" ht="15">
      <c r="A17" s="215"/>
      <c r="B17" s="220">
        <v>4.8</v>
      </c>
      <c r="C17" s="224" t="s">
        <v>72</v>
      </c>
      <c r="D17" s="223"/>
      <c r="E17" s="223"/>
      <c r="F17" s="223"/>
      <c r="G17" s="223"/>
      <c r="H17" s="223"/>
      <c r="I17" s="223"/>
      <c r="J17" s="223"/>
      <c r="K17" s="223"/>
      <c r="L17" s="223"/>
      <c r="M17" s="223"/>
    </row>
    <row r="18" spans="1:13" ht="15">
      <c r="A18" s="215"/>
      <c r="B18" s="220">
        <v>5.5</v>
      </c>
      <c r="C18" s="225" t="s">
        <v>96</v>
      </c>
      <c r="D18" s="222"/>
      <c r="E18" s="222"/>
      <c r="F18" s="222"/>
      <c r="G18" s="222"/>
      <c r="H18" s="222"/>
      <c r="I18" s="222"/>
      <c r="J18" s="222"/>
      <c r="K18" s="222"/>
      <c r="L18" s="222"/>
      <c r="M18" s="222"/>
    </row>
    <row r="19" spans="1:13" ht="15">
      <c r="A19" s="215"/>
      <c r="B19" s="220">
        <v>3.3</v>
      </c>
      <c r="C19" s="230" t="s">
        <v>74</v>
      </c>
      <c r="D19" s="223"/>
      <c r="E19" s="223"/>
      <c r="F19" s="223"/>
      <c r="G19" s="223"/>
      <c r="H19" s="223"/>
      <c r="I19" s="223"/>
      <c r="J19" s="223"/>
      <c r="K19" s="223"/>
      <c r="L19" s="223"/>
      <c r="M19" s="223"/>
    </row>
    <row r="20" spans="1:13" ht="15">
      <c r="A20" s="215"/>
      <c r="B20" s="220">
        <v>3.3</v>
      </c>
      <c r="C20" s="228" t="s">
        <v>97</v>
      </c>
      <c r="D20" s="222"/>
      <c r="E20" s="222"/>
      <c r="F20" s="222"/>
      <c r="G20" s="222"/>
      <c r="H20" s="222"/>
      <c r="I20" s="222"/>
      <c r="J20" s="222"/>
      <c r="K20" s="222"/>
      <c r="L20" s="222"/>
      <c r="M20" s="222"/>
    </row>
    <row r="21" spans="1:13" ht="15">
      <c r="A21" s="215"/>
      <c r="B21" s="220">
        <v>5.5</v>
      </c>
      <c r="C21" s="226" t="s">
        <v>76</v>
      </c>
      <c r="D21" s="223"/>
      <c r="E21" s="223"/>
      <c r="F21" s="223"/>
      <c r="G21" s="223"/>
      <c r="H21" s="223"/>
      <c r="I21" s="223"/>
      <c r="J21" s="223"/>
      <c r="K21" s="223"/>
      <c r="L21" s="223"/>
      <c r="M21" s="223"/>
    </row>
    <row r="22" spans="1:13" ht="15">
      <c r="A22" s="215"/>
      <c r="B22" s="220">
        <v>3.3</v>
      </c>
      <c r="C22" s="229" t="s">
        <v>98</v>
      </c>
      <c r="D22" s="222"/>
      <c r="E22" s="222"/>
      <c r="F22" s="222"/>
      <c r="G22" s="222"/>
      <c r="H22" s="222"/>
      <c r="I22" s="222"/>
      <c r="J22" s="222"/>
      <c r="K22" s="222"/>
      <c r="L22" s="222"/>
      <c r="M22" s="222"/>
    </row>
    <row r="23" spans="1:13" ht="15">
      <c r="A23" s="215"/>
      <c r="B23" s="220">
        <v>7.5</v>
      </c>
      <c r="C23" s="227" t="s">
        <v>83</v>
      </c>
      <c r="D23" s="223"/>
      <c r="E23" s="223"/>
      <c r="F23" s="223"/>
      <c r="G23" s="223"/>
      <c r="H23" s="223"/>
      <c r="I23" s="223"/>
      <c r="J23" s="223"/>
      <c r="K23" s="223"/>
      <c r="L23" s="223"/>
      <c r="M23" s="223"/>
    </row>
    <row r="24" spans="1:13" s="219" customFormat="1" ht="15.6">
      <c r="A24" s="216"/>
      <c r="B24" s="216"/>
      <c r="C24" s="232" t="s">
        <v>99</v>
      </c>
      <c r="D24" s="233"/>
      <c r="E24" s="233"/>
      <c r="F24" s="233"/>
      <c r="G24" s="233"/>
      <c r="H24" s="233"/>
      <c r="I24" s="233"/>
      <c r="J24" s="233"/>
      <c r="K24" s="233"/>
      <c r="L24" s="233"/>
      <c r="M24" s="233"/>
    </row>
    <row r="25" spans="1:13" ht="1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</row>
    <row r="26" spans="1:13" ht="1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</row>
    <row r="27" spans="1:13" ht="15.6">
      <c r="A27" s="215"/>
      <c r="B27" s="577" t="s">
        <v>101</v>
      </c>
      <c r="C27" s="577"/>
      <c r="D27" s="577"/>
      <c r="E27" s="215"/>
      <c r="F27" s="215"/>
      <c r="G27" s="215"/>
      <c r="H27" s="215"/>
      <c r="I27" s="215"/>
      <c r="J27" s="215"/>
      <c r="K27" s="215"/>
    </row>
    <row r="28" spans="1:13" ht="15.6">
      <c r="A28" s="215"/>
      <c r="B28" s="217" t="s">
        <v>84</v>
      </c>
      <c r="C28" s="235" t="s">
        <v>85</v>
      </c>
      <c r="D28" s="218" t="s">
        <v>86</v>
      </c>
      <c r="E28" s="218" t="s">
        <v>87</v>
      </c>
      <c r="F28" s="218" t="s">
        <v>88</v>
      </c>
      <c r="G28" s="218" t="s">
        <v>89</v>
      </c>
      <c r="H28" s="218" t="s">
        <v>90</v>
      </c>
      <c r="I28" s="218" t="s">
        <v>91</v>
      </c>
      <c r="J28" s="218" t="s">
        <v>92</v>
      </c>
      <c r="K28" s="218" t="s">
        <v>93</v>
      </c>
      <c r="L28" s="218" t="s">
        <v>94</v>
      </c>
      <c r="M28" s="218" t="s">
        <v>95</v>
      </c>
    </row>
    <row r="29" spans="1:13" ht="15">
      <c r="A29" s="215"/>
      <c r="B29" s="220">
        <v>4.5999999999999996</v>
      </c>
      <c r="C29" s="236" t="s">
        <v>64</v>
      </c>
      <c r="D29" s="222"/>
      <c r="E29" s="222"/>
      <c r="F29" s="222"/>
      <c r="G29" s="222"/>
      <c r="H29" s="222"/>
      <c r="I29" s="222"/>
      <c r="J29" s="237"/>
      <c r="K29" s="237"/>
      <c r="L29" s="237"/>
      <c r="M29" s="237"/>
    </row>
    <row r="30" spans="1:13" ht="15">
      <c r="A30" s="215"/>
      <c r="B30" s="220">
        <v>4.5999999999999996</v>
      </c>
      <c r="C30" s="238" t="s">
        <v>72</v>
      </c>
      <c r="D30" s="223"/>
      <c r="E30" s="223"/>
      <c r="F30" s="223"/>
      <c r="G30" s="223"/>
      <c r="H30" s="223"/>
      <c r="I30" s="223"/>
      <c r="J30" s="239"/>
      <c r="K30" s="239"/>
      <c r="L30" s="239"/>
      <c r="M30" s="239"/>
    </row>
    <row r="31" spans="1:13" ht="15">
      <c r="A31" s="215"/>
      <c r="B31" s="220">
        <v>5</v>
      </c>
      <c r="C31" s="240" t="s">
        <v>96</v>
      </c>
      <c r="D31" s="222"/>
      <c r="E31" s="222"/>
      <c r="F31" s="222"/>
      <c r="G31" s="222"/>
      <c r="H31" s="222"/>
      <c r="I31" s="222"/>
      <c r="J31" s="237"/>
      <c r="K31" s="237"/>
      <c r="L31" s="237"/>
      <c r="M31" s="237"/>
    </row>
    <row r="32" spans="1:13" ht="15">
      <c r="A32" s="215"/>
      <c r="B32" s="220">
        <v>5</v>
      </c>
      <c r="C32" s="241" t="s">
        <v>76</v>
      </c>
      <c r="D32" s="223"/>
      <c r="E32" s="223"/>
      <c r="F32" s="223"/>
      <c r="G32" s="223"/>
      <c r="H32" s="223"/>
      <c r="I32" s="223"/>
      <c r="J32" s="239"/>
      <c r="K32" s="239"/>
      <c r="L32" s="239"/>
      <c r="M32" s="239"/>
    </row>
    <row r="33" spans="1:13" ht="15">
      <c r="A33" s="215"/>
      <c r="B33" s="220">
        <v>7.5</v>
      </c>
      <c r="C33" s="242" t="s">
        <v>83</v>
      </c>
      <c r="D33" s="222"/>
      <c r="E33" s="222"/>
      <c r="F33" s="222"/>
      <c r="G33" s="222"/>
      <c r="H33" s="222"/>
      <c r="I33" s="222"/>
      <c r="J33" s="222"/>
      <c r="K33" s="222"/>
      <c r="L33" s="222"/>
      <c r="M33" s="243"/>
    </row>
    <row r="34" spans="1:13" ht="15">
      <c r="A34" s="215"/>
      <c r="B34" s="220">
        <v>3.3</v>
      </c>
      <c r="C34" s="244" t="s">
        <v>97</v>
      </c>
      <c r="D34" s="223"/>
      <c r="E34" s="223"/>
      <c r="F34" s="223"/>
      <c r="G34" s="223"/>
      <c r="H34" s="223"/>
      <c r="I34" s="223"/>
      <c r="J34" s="223"/>
      <c r="K34" s="223"/>
      <c r="L34" s="223"/>
      <c r="M34" s="245"/>
    </row>
    <row r="35" spans="1:13" ht="15">
      <c r="A35" s="215"/>
      <c r="B35" s="220">
        <v>3.3</v>
      </c>
      <c r="C35" s="246" t="s">
        <v>98</v>
      </c>
      <c r="D35" s="222"/>
      <c r="E35" s="222"/>
      <c r="F35" s="222"/>
      <c r="G35" s="222"/>
      <c r="H35" s="222"/>
      <c r="I35" s="222"/>
      <c r="J35" s="237"/>
      <c r="K35" s="237"/>
      <c r="L35" s="237"/>
      <c r="M35" s="237"/>
    </row>
    <row r="36" spans="1:13" ht="15">
      <c r="A36" s="215"/>
      <c r="B36" s="220">
        <v>3.3</v>
      </c>
      <c r="C36" s="247" t="s">
        <v>74</v>
      </c>
      <c r="D36" s="223"/>
      <c r="E36" s="223"/>
      <c r="F36" s="223"/>
      <c r="G36" s="223"/>
      <c r="H36" s="223"/>
      <c r="I36" s="223"/>
      <c r="J36" s="239"/>
      <c r="K36" s="239"/>
      <c r="L36" s="239"/>
      <c r="M36" s="239"/>
    </row>
    <row r="37" spans="1:13" ht="15.6">
      <c r="A37" s="215"/>
      <c r="B37" s="231">
        <v>4.5</v>
      </c>
      <c r="C37" s="248" t="s">
        <v>99</v>
      </c>
      <c r="D37" s="233"/>
      <c r="E37" s="233"/>
      <c r="F37" s="233"/>
      <c r="G37" s="233"/>
      <c r="H37" s="233"/>
      <c r="I37" s="233"/>
      <c r="J37" s="249"/>
      <c r="K37" s="249"/>
      <c r="L37" s="249"/>
      <c r="M37" s="249"/>
    </row>
    <row r="38" spans="1:13" ht="1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</row>
  </sheetData>
  <mergeCells count="3">
    <mergeCell ref="B2:D2"/>
    <mergeCell ref="B14:D14"/>
    <mergeCell ref="B27:D27"/>
  </mergeCells>
  <pageMargins left="0.7" right="0.7" top="0.75" bottom="0.75" header="0.3" footer="0.3"/>
  <pageSetup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F381E-10D5-4CC1-8443-AB3C4DD2F491}">
  <sheetPr codeName="Sheet21">
    <tabColor rgb="FF92D050"/>
    <pageSetUpPr fitToPage="1"/>
  </sheetPr>
  <dimension ref="B2:W76"/>
  <sheetViews>
    <sheetView showGridLines="0" topLeftCell="A22" zoomScaleNormal="100" workbookViewId="0">
      <selection activeCell="M40" sqref="M40:M46"/>
    </sheetView>
  </sheetViews>
  <sheetFormatPr defaultRowHeight="13.2"/>
  <cols>
    <col min="1" max="1" width="2.44140625" customWidth="1"/>
    <col min="2" max="2" width="6.44140625" customWidth="1"/>
    <col min="3" max="3" width="25.44140625" customWidth="1"/>
    <col min="4" max="4" width="19.44140625" customWidth="1"/>
    <col min="5" max="5" width="15" customWidth="1"/>
    <col min="6" max="6" width="17.5546875" customWidth="1"/>
    <col min="7" max="7" width="13.44140625" customWidth="1"/>
    <col min="8" max="11" width="13.5546875" customWidth="1"/>
    <col min="12" max="12" width="17.44140625" bestFit="1" customWidth="1"/>
    <col min="13" max="15" width="17.44140625" customWidth="1"/>
    <col min="16" max="16" width="13.44140625" customWidth="1"/>
    <col min="17" max="17" width="8.5546875" customWidth="1"/>
    <col min="18" max="20" width="11.5546875" customWidth="1"/>
  </cols>
  <sheetData>
    <row r="2" spans="3:23" ht="15" thickBot="1">
      <c r="I2" s="250"/>
      <c r="J2" s="250"/>
      <c r="K2" s="250"/>
      <c r="L2" s="250"/>
      <c r="M2" s="250"/>
      <c r="N2" s="250"/>
      <c r="O2" s="250"/>
      <c r="P2" s="250"/>
      <c r="Q2" s="250"/>
      <c r="R2" s="250"/>
      <c r="S2" s="250"/>
      <c r="T2" s="250"/>
      <c r="U2" s="250"/>
      <c r="V2" s="250"/>
    </row>
    <row r="3" spans="3:23" ht="25.35" customHeight="1" thickTop="1" thickBot="1">
      <c r="C3" s="579" t="s">
        <v>102</v>
      </c>
      <c r="D3" s="580"/>
      <c r="E3" s="581">
        <f ca="1">TODAY()</f>
        <v>45831</v>
      </c>
      <c r="F3" s="581"/>
      <c r="G3" s="581"/>
      <c r="I3" s="251"/>
      <c r="J3" s="251"/>
      <c r="K3" s="251"/>
      <c r="L3" s="251"/>
      <c r="M3" s="251"/>
      <c r="N3" s="251"/>
      <c r="O3" s="251"/>
      <c r="P3" s="251"/>
      <c r="Q3" s="251"/>
      <c r="R3" s="251"/>
      <c r="S3" s="251"/>
      <c r="T3" s="251"/>
      <c r="U3" s="251"/>
      <c r="V3" s="251"/>
      <c r="W3" s="252"/>
    </row>
    <row r="4" spans="3:23" ht="20.100000000000001" customHeight="1" thickBot="1">
      <c r="C4" s="253" t="s">
        <v>103</v>
      </c>
      <c r="D4" s="254" t="s">
        <v>104</v>
      </c>
      <c r="E4" s="254" t="s">
        <v>37</v>
      </c>
      <c r="F4" s="255" t="s">
        <v>38</v>
      </c>
      <c r="G4" s="256" t="s">
        <v>84</v>
      </c>
      <c r="I4" s="251"/>
      <c r="J4" s="251"/>
      <c r="K4" s="251"/>
      <c r="L4" s="251"/>
      <c r="M4" s="251"/>
      <c r="N4" s="251"/>
      <c r="O4" s="251"/>
      <c r="P4" s="251"/>
      <c r="Q4" s="251"/>
      <c r="R4" s="251"/>
      <c r="S4" s="251"/>
      <c r="T4" s="251"/>
      <c r="U4" s="251"/>
      <c r="V4" s="251"/>
      <c r="W4" s="252"/>
    </row>
    <row r="5" spans="3:23" ht="20.100000000000001" customHeight="1">
      <c r="C5" s="257" t="s">
        <v>105</v>
      </c>
      <c r="D5" s="258"/>
      <c r="E5" s="259">
        <f>VLOOKUP($C5,$C$40:$P$45,7,FALSE)</f>
        <v>98.214734207097663</v>
      </c>
      <c r="F5" s="260">
        <f>VLOOKUP($C5,$C$40:$P$45,14,FALSE)</f>
        <v>97.953297795741619</v>
      </c>
      <c r="G5" s="261">
        <v>98</v>
      </c>
      <c r="I5" s="251"/>
      <c r="J5" s="262"/>
      <c r="K5" s="262"/>
      <c r="L5" s="262"/>
      <c r="M5" s="262"/>
      <c r="N5" s="262"/>
      <c r="O5" s="262"/>
      <c r="P5" s="262"/>
      <c r="Q5" s="262"/>
      <c r="R5" s="262"/>
      <c r="S5" s="262"/>
      <c r="T5" s="262"/>
      <c r="U5" s="251"/>
      <c r="V5" s="251"/>
      <c r="W5" s="252"/>
    </row>
    <row r="6" spans="3:23" ht="20.100000000000001" customHeight="1">
      <c r="C6" s="263" t="s">
        <v>106</v>
      </c>
      <c r="D6" s="258"/>
      <c r="E6" s="259">
        <f>VLOOKUP($C6,$C$40:$P$45,7,FALSE)</f>
        <v>97.831216272750581</v>
      </c>
      <c r="F6" s="260">
        <f>VLOOKUP($C6,$C$40:$P$45,14,FALSE)</f>
        <v>98.11994120800415</v>
      </c>
      <c r="G6" s="261">
        <v>98</v>
      </c>
      <c r="I6" s="251"/>
      <c r="J6" s="300"/>
      <c r="K6" s="299"/>
      <c r="L6" s="262"/>
      <c r="M6" s="262"/>
      <c r="N6" s="262"/>
      <c r="O6" s="262"/>
      <c r="P6" s="262"/>
      <c r="Q6" s="262"/>
      <c r="R6" s="262"/>
      <c r="S6" s="262"/>
      <c r="T6" s="262"/>
      <c r="U6" s="251"/>
      <c r="V6" s="251"/>
      <c r="W6" s="252"/>
    </row>
    <row r="7" spans="3:23" ht="20.100000000000001" customHeight="1">
      <c r="C7" s="263" t="s">
        <v>107</v>
      </c>
      <c r="D7" s="258"/>
      <c r="E7" s="259">
        <f>VLOOKUP($C7,$C$40:$P$45,7,FALSE)</f>
        <v>100.82497251003979</v>
      </c>
      <c r="F7" s="260">
        <f>VLOOKUP($C7,$C$40:$P$45,14,FALSE)</f>
        <v>99.564987122246436</v>
      </c>
      <c r="G7" s="261">
        <v>98</v>
      </c>
      <c r="I7" s="251"/>
      <c r="J7" s="262"/>
      <c r="K7" s="262"/>
      <c r="L7" s="262"/>
      <c r="M7" s="262"/>
      <c r="N7" s="262"/>
      <c r="O7" s="262"/>
      <c r="P7" s="262"/>
      <c r="Q7" s="262"/>
      <c r="R7" s="262"/>
      <c r="S7" s="262"/>
      <c r="T7" s="262"/>
      <c r="U7" s="251"/>
      <c r="V7" s="251"/>
      <c r="W7" s="252"/>
    </row>
    <row r="8" spans="3:23" ht="20.100000000000001" customHeight="1">
      <c r="C8" s="263" t="s">
        <v>108</v>
      </c>
      <c r="D8" s="258"/>
      <c r="E8" s="259">
        <f>VLOOKUP($C8,$C$40:$P$45,7,FALSE)</f>
        <v>97.759800403711807</v>
      </c>
      <c r="F8" s="260">
        <f>VLOOKUP($C8,$C$40:$P$45,14,FALSE)</f>
        <v>98.122212110291372</v>
      </c>
      <c r="G8" s="261">
        <v>98</v>
      </c>
      <c r="I8" s="251"/>
      <c r="J8" s="262"/>
      <c r="K8" s="262"/>
      <c r="L8" s="262"/>
      <c r="M8" s="262"/>
      <c r="N8" s="262"/>
      <c r="O8" s="262"/>
      <c r="P8" s="262"/>
      <c r="Q8" s="262"/>
      <c r="R8" s="262"/>
      <c r="S8" s="262"/>
      <c r="T8" s="262"/>
      <c r="U8" s="251"/>
      <c r="V8" s="251"/>
      <c r="W8" s="252"/>
    </row>
    <row r="9" spans="3:23" ht="20.100000000000001" customHeight="1">
      <c r="C9" s="263" t="s">
        <v>132</v>
      </c>
      <c r="D9" s="258"/>
      <c r="E9" s="259">
        <f>VLOOKUP($C9,$C$40:$P$45,7,FALSE)</f>
        <v>98.186950219332687</v>
      </c>
      <c r="F9" s="260">
        <f>VLOOKUP($C9,$C$40:$P$45,14,FALSE)</f>
        <v>98.089602299246422</v>
      </c>
      <c r="G9" s="261">
        <v>98</v>
      </c>
      <c r="I9" s="251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51"/>
      <c r="V9" s="251"/>
      <c r="W9" s="252"/>
    </row>
    <row r="10" spans="3:23" ht="18.600000000000001" thickBot="1">
      <c r="C10" s="264" t="s">
        <v>99</v>
      </c>
      <c r="D10" s="265"/>
      <c r="E10" s="265">
        <f>AVERAGE(E5:E9)</f>
        <v>98.56353472258651</v>
      </c>
      <c r="F10" s="298" t="e">
        <f>P47</f>
        <v>#DIV/0!</v>
      </c>
      <c r="G10" s="261">
        <v>98</v>
      </c>
      <c r="I10" s="251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51"/>
      <c r="V10" s="251"/>
      <c r="W10" s="252"/>
    </row>
    <row r="14" spans="3:23" ht="20.25" customHeight="1">
      <c r="C14" s="582" t="s">
        <v>143</v>
      </c>
      <c r="D14" s="582"/>
      <c r="E14" s="582"/>
      <c r="F14" s="582"/>
      <c r="G14" s="582"/>
      <c r="H14" s="582"/>
    </row>
    <row r="15" spans="3:23" ht="15" customHeight="1">
      <c r="C15" s="582"/>
      <c r="D15" s="582"/>
      <c r="E15" s="582"/>
      <c r="F15" s="582"/>
      <c r="G15" s="582"/>
      <c r="H15" s="582"/>
    </row>
    <row r="16" spans="3:23" ht="15" customHeight="1">
      <c r="C16" s="582"/>
      <c r="D16" s="582"/>
      <c r="E16" s="582"/>
      <c r="F16" s="582"/>
      <c r="G16" s="582"/>
      <c r="H16" s="582"/>
    </row>
    <row r="17" spans="3:8" ht="15" customHeight="1">
      <c r="C17" s="582"/>
      <c r="D17" s="582"/>
      <c r="E17" s="582"/>
      <c r="F17" s="582"/>
      <c r="G17" s="582"/>
      <c r="H17" s="582"/>
    </row>
    <row r="18" spans="3:8" ht="15" customHeight="1">
      <c r="C18" s="582"/>
      <c r="D18" s="582"/>
      <c r="E18" s="582"/>
      <c r="F18" s="582"/>
      <c r="G18" s="582"/>
      <c r="H18" s="582"/>
    </row>
    <row r="19" spans="3:8" ht="15" customHeight="1">
      <c r="C19" s="582"/>
      <c r="D19" s="582"/>
      <c r="E19" s="582"/>
      <c r="F19" s="582"/>
      <c r="G19" s="582"/>
      <c r="H19" s="582"/>
    </row>
    <row r="20" spans="3:8" ht="15" customHeight="1">
      <c r="C20" s="582"/>
      <c r="D20" s="582"/>
      <c r="E20" s="582"/>
      <c r="F20" s="582"/>
      <c r="G20" s="582"/>
      <c r="H20" s="582"/>
    </row>
    <row r="21" spans="3:8" ht="15" customHeight="1">
      <c r="C21" s="582"/>
      <c r="D21" s="582"/>
      <c r="E21" s="582"/>
      <c r="F21" s="582"/>
      <c r="G21" s="582"/>
      <c r="H21" s="582"/>
    </row>
    <row r="22" spans="3:8" ht="15" customHeight="1">
      <c r="C22" s="582"/>
      <c r="D22" s="582"/>
      <c r="E22" s="582"/>
      <c r="F22" s="582"/>
      <c r="G22" s="582"/>
      <c r="H22" s="582"/>
    </row>
    <row r="23" spans="3:8" ht="15" customHeight="1">
      <c r="C23" s="582"/>
      <c r="D23" s="582"/>
      <c r="E23" s="582"/>
      <c r="F23" s="582"/>
      <c r="G23" s="582"/>
      <c r="H23" s="582"/>
    </row>
    <row r="24" spans="3:8" ht="15" customHeight="1">
      <c r="C24" s="582"/>
      <c r="D24" s="582"/>
      <c r="E24" s="582"/>
      <c r="F24" s="582"/>
      <c r="G24" s="582"/>
      <c r="H24" s="582"/>
    </row>
    <row r="25" spans="3:8" ht="15" customHeight="1">
      <c r="C25" s="582"/>
      <c r="D25" s="582"/>
      <c r="E25" s="582"/>
      <c r="F25" s="582"/>
      <c r="G25" s="582"/>
      <c r="H25" s="582"/>
    </row>
    <row r="26" spans="3:8" ht="15" customHeight="1">
      <c r="C26" s="582"/>
      <c r="D26" s="582"/>
      <c r="E26" s="582"/>
      <c r="F26" s="582"/>
      <c r="G26" s="582"/>
      <c r="H26" s="582"/>
    </row>
    <row r="27" spans="3:8" ht="15" customHeight="1">
      <c r="C27" s="582"/>
      <c r="D27" s="582"/>
      <c r="E27" s="582"/>
      <c r="F27" s="582"/>
      <c r="G27" s="582"/>
      <c r="H27" s="582"/>
    </row>
    <row r="28" spans="3:8" ht="15" customHeight="1">
      <c r="C28" s="582"/>
      <c r="D28" s="582"/>
      <c r="E28" s="582"/>
      <c r="F28" s="582"/>
      <c r="G28" s="582"/>
      <c r="H28" s="582"/>
    </row>
    <row r="29" spans="3:8" ht="15" customHeight="1">
      <c r="C29" s="582"/>
      <c r="D29" s="582"/>
      <c r="E29" s="582"/>
      <c r="F29" s="582"/>
      <c r="G29" s="582"/>
      <c r="H29" s="582"/>
    </row>
    <row r="30" spans="3:8" ht="15" customHeight="1">
      <c r="C30" s="582"/>
      <c r="D30" s="582"/>
      <c r="E30" s="582"/>
      <c r="F30" s="582"/>
      <c r="G30" s="582"/>
      <c r="H30" s="582"/>
    </row>
    <row r="31" spans="3:8" ht="15" customHeight="1">
      <c r="C31" s="582"/>
      <c r="D31" s="582"/>
      <c r="E31" s="582"/>
      <c r="F31" s="582"/>
      <c r="G31" s="582"/>
      <c r="H31" s="582"/>
    </row>
    <row r="36" spans="2:17" ht="15" customHeight="1"/>
    <row r="37" spans="2:17" ht="15" customHeight="1"/>
    <row r="38" spans="2:17" ht="30.75" customHeight="1" thickBot="1">
      <c r="C38" s="583" t="s">
        <v>109</v>
      </c>
      <c r="D38" s="583"/>
      <c r="E38" s="583"/>
      <c r="F38" s="584">
        <f ca="1">TODAY()</f>
        <v>45831</v>
      </c>
      <c r="G38" s="584"/>
      <c r="H38" s="584"/>
      <c r="I38" s="584"/>
      <c r="J38" s="585" t="s">
        <v>110</v>
      </c>
      <c r="K38" s="585"/>
      <c r="L38" s="585"/>
      <c r="M38" s="585"/>
      <c r="N38" s="585"/>
      <c r="O38" s="585"/>
      <c r="P38" s="585"/>
    </row>
    <row r="39" spans="2:17" ht="20.25" customHeight="1" thickBot="1">
      <c r="C39" s="253" t="s">
        <v>103</v>
      </c>
      <c r="D39" s="254" t="s">
        <v>111</v>
      </c>
      <c r="E39" s="254" t="s">
        <v>112</v>
      </c>
      <c r="F39" s="254" t="s">
        <v>113</v>
      </c>
      <c r="G39" s="254" t="s">
        <v>114</v>
      </c>
      <c r="H39" s="254" t="s">
        <v>115</v>
      </c>
      <c r="I39" s="254" t="s">
        <v>116</v>
      </c>
      <c r="J39" s="255" t="s">
        <v>117</v>
      </c>
      <c r="K39" s="255" t="s">
        <v>118</v>
      </c>
      <c r="L39" s="255" t="s">
        <v>119</v>
      </c>
      <c r="M39" s="255" t="s">
        <v>120</v>
      </c>
      <c r="N39" s="255" t="s">
        <v>121</v>
      </c>
      <c r="O39" s="255" t="s">
        <v>122</v>
      </c>
      <c r="P39" s="266" t="s">
        <v>38</v>
      </c>
    </row>
    <row r="40" spans="2:17" ht="17.25" customHeight="1">
      <c r="C40" s="257" t="s">
        <v>105</v>
      </c>
      <c r="D40" s="259">
        <f>'[40]Brewer Performance'!D40</f>
        <v>96.507822129582451</v>
      </c>
      <c r="E40" s="259">
        <f>AVERAGE('[41]Feb. 1'!I12:I13,'[41]Feb. 2'!I11:I14,[41]Feb.4!I13,[41]Feb.8!I14:I16,[41]Feb.9!I14,[41]Feb.9!I17:I18,[41]Feb10!I13:I16,[41]Feb14!I17,[41]Feb14!I15:I17,[41]Feb17!I10,[41]Feb17!I19:I21,'[41]Feb 21'!I10:I12,'[41]Feb 22'!I11:I13,'[41]Feb 23'!I14:I16,'[41]Feb 24'!I10:I12,'[41]Feb 25'!I13:I15,'[41]Feb 28'!I15:I18)</f>
        <v>98.284801217583563</v>
      </c>
      <c r="F40" s="259">
        <v>98.226686244092193</v>
      </c>
      <c r="G40" s="259">
        <v>98.210530202427222</v>
      </c>
      <c r="H40" s="259">
        <f>'[42]Brewer Performance'!H40</f>
        <v>98.517352497406634</v>
      </c>
      <c r="I40" s="259">
        <v>98.214734207097663</v>
      </c>
      <c r="J40" s="258">
        <v>98.198803831827249</v>
      </c>
      <c r="K40" s="267">
        <v>97.486490472733735</v>
      </c>
      <c r="L40" s="258">
        <v>97.932459358923822</v>
      </c>
      <c r="M40" s="331"/>
      <c r="N40" s="331"/>
      <c r="O40" s="258"/>
      <c r="P40" s="268">
        <f t="shared" ref="P40:P45" si="0">AVERAGE(D40:O40)</f>
        <v>97.953297795741619</v>
      </c>
    </row>
    <row r="41" spans="2:17" ht="17.25" customHeight="1">
      <c r="C41" s="263" t="s">
        <v>106</v>
      </c>
      <c r="D41" s="259">
        <f>'[40]Brewer Performance'!D41</f>
        <v>97.99738587335284</v>
      </c>
      <c r="E41" s="259">
        <f>AVERAGE('[41]Feb. 1'!I10:I11,'[41]Feb. 2'!I10,[41]Feb.3!I11:I13,[41]Feb.4!I10:I12,[41]Feb.8!I10,[41]Feb.8!I13,[41]Feb.9!I10:I13,[41]Feb10!I10:I12,[41]Feb11!I11:I13,[41]Feb14!I13:I14,[41]Feb17!I16:I18,[41]Feb18!I13:I15,'[41]Feb 21'!I17:I19,'[41]Feb 22'!I10,'[41]Feb 22'!I20:I22,'[41]Feb 23'!I10:I11,'[41]Feb 23'!I21,'[41]Feb 25'!I10:I12,'[41]Feb 28'!I11:I14)</f>
        <v>97.918121549662388</v>
      </c>
      <c r="F41" s="259">
        <v>98.070081368185257</v>
      </c>
      <c r="G41" s="259">
        <v>97.79453968977019</v>
      </c>
      <c r="H41" s="259">
        <f>'[42]Brewer Performance'!H41</f>
        <v>98.442574874312371</v>
      </c>
      <c r="I41" s="259">
        <v>97.831216272750581</v>
      </c>
      <c r="J41" s="258">
        <v>98.459260197488078</v>
      </c>
      <c r="K41" s="267">
        <v>98.711428992063503</v>
      </c>
      <c r="L41" s="258">
        <v>97.854862054451985</v>
      </c>
      <c r="M41" s="332"/>
      <c r="N41" s="331"/>
      <c r="O41" s="258"/>
      <c r="P41" s="268">
        <f t="shared" si="0"/>
        <v>98.11994120800415</v>
      </c>
    </row>
    <row r="42" spans="2:17" ht="17.25" customHeight="1">
      <c r="C42" s="263" t="s">
        <v>107</v>
      </c>
      <c r="D42" s="259"/>
      <c r="E42" s="259"/>
      <c r="F42" s="259"/>
      <c r="G42" s="259">
        <v>98.305001734453086</v>
      </c>
      <c r="H42" s="259"/>
      <c r="I42" s="259">
        <v>100.82497251003979</v>
      </c>
      <c r="J42" s="258"/>
      <c r="K42" s="267"/>
      <c r="L42" s="258"/>
      <c r="M42" s="331"/>
      <c r="N42" s="331"/>
      <c r="O42" s="258"/>
      <c r="P42" s="268">
        <f t="shared" si="0"/>
        <v>99.564987122246436</v>
      </c>
    </row>
    <row r="43" spans="2:17" ht="17.25" customHeight="1">
      <c r="C43" s="263" t="s">
        <v>141</v>
      </c>
      <c r="D43" s="259"/>
      <c r="E43" s="259"/>
      <c r="F43" s="259"/>
      <c r="G43" s="259"/>
      <c r="H43" s="259"/>
      <c r="I43" s="259"/>
      <c r="J43" s="258"/>
      <c r="K43" s="267">
        <v>100.09286182555712</v>
      </c>
      <c r="L43" s="258"/>
      <c r="M43" s="331"/>
      <c r="N43" s="331"/>
      <c r="O43" s="258"/>
      <c r="P43" s="268"/>
    </row>
    <row r="44" spans="2:17" ht="17.25" customHeight="1">
      <c r="C44" s="263" t="s">
        <v>108</v>
      </c>
      <c r="D44" s="259">
        <f>'[40]Brewer Performance'!D43</f>
        <v>98.304611060419475</v>
      </c>
      <c r="E44" s="259">
        <f>AVERAGE('[41]Feb. 2'!I15,[41]Feb.3!I10,[41]Feb.4!I16:I17,[41]Feb.8!I19:I21,[41]Feb.9!I19:I20,[41]Feb10!I17:I18,[41]Feb11!I10,[41]Feb14!I10:I12,[41]Feb17!I11:I13,[41]Feb18!I10:I12,'[41]Feb 21'!I13,'[41]Feb 21'!I16,'[41]Feb 22'!I16:I19,'[41]Feb 23'!I17:I20,'[41]Feb 24'!I15:I18,'[41]Feb 25'!I16:I17,'[41]Feb 28'!I10,'[41]Feb 28'!I19:I20)</f>
        <v>97.289162940824014</v>
      </c>
      <c r="F44" s="259">
        <v>98.163642226187022</v>
      </c>
      <c r="G44" s="259">
        <v>97.964054285784258</v>
      </c>
      <c r="H44" s="259">
        <f>'[42]Brewer Performance'!H43</f>
        <v>98.685415156420575</v>
      </c>
      <c r="I44" s="259">
        <v>97.759800403711807</v>
      </c>
      <c r="J44" s="258">
        <v>98.532266745142223</v>
      </c>
      <c r="K44" s="258">
        <v>98.484140672420295</v>
      </c>
      <c r="L44" s="258">
        <v>97.916815501712691</v>
      </c>
      <c r="M44" s="331"/>
      <c r="N44" s="331"/>
      <c r="O44" s="258"/>
      <c r="P44" s="268">
        <f t="shared" si="0"/>
        <v>98.122212110291372</v>
      </c>
    </row>
    <row r="45" spans="2:17" ht="17.25" customHeight="1">
      <c r="C45" s="263" t="s">
        <v>132</v>
      </c>
      <c r="D45" s="259">
        <f>'[40]Brewer Performance'!D44</f>
        <v>98.673584433402866</v>
      </c>
      <c r="E45" s="259"/>
      <c r="F45" s="259"/>
      <c r="G45" s="259"/>
      <c r="H45" s="259"/>
      <c r="I45" s="259">
        <v>98.186950219332687</v>
      </c>
      <c r="J45" s="258">
        <v>97.888270164748889</v>
      </c>
      <c r="K45" s="258">
        <v>97.609604379501235</v>
      </c>
      <c r="L45" s="258"/>
      <c r="M45" s="331"/>
      <c r="N45" s="331"/>
      <c r="O45" s="258"/>
      <c r="P45" s="268">
        <f t="shared" si="0"/>
        <v>98.089602299246422</v>
      </c>
    </row>
    <row r="46" spans="2:17" ht="17.25" customHeight="1">
      <c r="C46" s="316" t="s">
        <v>140</v>
      </c>
      <c r="D46" s="317"/>
      <c r="E46" s="317"/>
      <c r="F46" s="317"/>
      <c r="G46" s="317"/>
      <c r="H46" s="317"/>
      <c r="I46" s="317"/>
      <c r="J46" s="318"/>
      <c r="K46" s="318"/>
      <c r="L46" s="318">
        <v>97.511448216434601</v>
      </c>
      <c r="M46" s="333"/>
      <c r="N46" s="333"/>
      <c r="O46" s="318"/>
      <c r="P46" s="319"/>
    </row>
    <row r="47" spans="2:17" ht="14.25" customHeight="1" thickBot="1">
      <c r="C47" s="269" t="s">
        <v>99</v>
      </c>
      <c r="D47" s="270">
        <f>'[40]Brewer Performance'!D45</f>
        <v>97.870850874189415</v>
      </c>
      <c r="E47" s="270">
        <f>AVERAGE(E40:E45)</f>
        <v>97.830695236023317</v>
      </c>
      <c r="F47" s="270">
        <f>AVERAGE(F40:F45)</f>
        <v>98.153469946154814</v>
      </c>
      <c r="G47" s="270">
        <f>AVERAGE(G40:G45)</f>
        <v>98.068531478108682</v>
      </c>
      <c r="H47" s="270">
        <f>AVERAGE(H40:H45)</f>
        <v>98.548447509379855</v>
      </c>
      <c r="I47" s="270">
        <f>AVERAGE(I40:I45)</f>
        <v>98.56353472258651</v>
      </c>
      <c r="J47" s="270">
        <f t="shared" ref="J47:O47" si="1">AVERAGE(J40:J45)</f>
        <v>98.269650234801617</v>
      </c>
      <c r="K47" s="270">
        <f t="shared" si="1"/>
        <v>98.47690526845517</v>
      </c>
      <c r="L47" s="270">
        <f t="shared" si="1"/>
        <v>97.901378971696161</v>
      </c>
      <c r="M47" s="270" t="e">
        <f t="shared" si="1"/>
        <v>#DIV/0!</v>
      </c>
      <c r="N47" s="270" t="e">
        <f t="shared" si="1"/>
        <v>#DIV/0!</v>
      </c>
      <c r="O47" s="270" t="e">
        <f t="shared" si="1"/>
        <v>#DIV/0!</v>
      </c>
      <c r="P47" s="271" t="e">
        <f>AVERAGE(D47:N47)</f>
        <v>#DIV/0!</v>
      </c>
    </row>
    <row r="48" spans="2:17" ht="15" customHeight="1">
      <c r="B48" s="578" t="s">
        <v>123</v>
      </c>
      <c r="C48" s="578"/>
      <c r="D48" s="578"/>
      <c r="E48" s="578"/>
      <c r="F48" s="578"/>
      <c r="G48" s="578"/>
      <c r="H48" s="578"/>
      <c r="I48" s="578"/>
      <c r="J48" s="578"/>
      <c r="K48" s="578"/>
      <c r="L48" s="578"/>
      <c r="M48" s="578"/>
      <c r="N48" s="578"/>
      <c r="O48" s="578"/>
      <c r="P48" s="578"/>
      <c r="Q48" s="578"/>
    </row>
    <row r="49" spans="2:17" ht="15" customHeight="1">
      <c r="B49" s="578"/>
      <c r="C49" s="578"/>
      <c r="D49" s="578"/>
      <c r="E49" s="578"/>
      <c r="F49" s="578"/>
      <c r="G49" s="578"/>
      <c r="H49" s="578"/>
      <c r="I49" s="578"/>
      <c r="J49" s="578"/>
      <c r="K49" s="578"/>
      <c r="L49" s="578"/>
      <c r="M49" s="578"/>
      <c r="N49" s="578"/>
      <c r="O49" s="578"/>
      <c r="P49" s="578"/>
      <c r="Q49" s="578"/>
    </row>
    <row r="50" spans="2:17" ht="15" customHeight="1">
      <c r="B50" s="578"/>
      <c r="C50" s="578"/>
      <c r="D50" s="578"/>
      <c r="E50" s="578"/>
      <c r="F50" s="578"/>
      <c r="G50" s="578"/>
      <c r="H50" s="578"/>
      <c r="I50" s="578"/>
      <c r="J50" s="578"/>
      <c r="K50" s="578"/>
      <c r="L50" s="578"/>
      <c r="M50" s="578"/>
      <c r="N50" s="578"/>
      <c r="O50" s="578"/>
      <c r="P50" s="578"/>
      <c r="Q50" s="578"/>
    </row>
    <row r="51" spans="2:17" ht="15" customHeight="1">
      <c r="B51" s="578"/>
      <c r="C51" s="578"/>
      <c r="D51" s="578"/>
      <c r="E51" s="578"/>
      <c r="F51" s="578"/>
      <c r="G51" s="578"/>
      <c r="H51" s="578"/>
      <c r="I51" s="578"/>
      <c r="J51" s="578"/>
      <c r="K51" s="578"/>
      <c r="L51" s="578"/>
      <c r="M51" s="578"/>
      <c r="N51" s="578"/>
      <c r="O51" s="578"/>
      <c r="P51" s="578"/>
      <c r="Q51" s="578"/>
    </row>
    <row r="52" spans="2:17" ht="15" customHeight="1">
      <c r="B52" s="578"/>
      <c r="C52" s="578"/>
      <c r="D52" s="578"/>
      <c r="E52" s="578"/>
      <c r="F52" s="578"/>
      <c r="G52" s="578"/>
      <c r="H52" s="578"/>
      <c r="I52" s="578"/>
      <c r="J52" s="578"/>
      <c r="K52" s="578"/>
      <c r="L52" s="578"/>
      <c r="M52" s="578"/>
      <c r="N52" s="578"/>
      <c r="O52" s="578"/>
      <c r="P52" s="578"/>
      <c r="Q52" s="578"/>
    </row>
    <row r="53" spans="2:17" ht="15" customHeight="1">
      <c r="B53" s="578"/>
      <c r="C53" s="578"/>
      <c r="D53" s="578"/>
      <c r="E53" s="578"/>
      <c r="F53" s="578"/>
      <c r="G53" s="578"/>
      <c r="H53" s="578"/>
      <c r="I53" s="578"/>
      <c r="J53" s="578"/>
      <c r="K53" s="578"/>
      <c r="L53" s="578"/>
      <c r="M53" s="578"/>
      <c r="N53" s="578"/>
      <c r="O53" s="578"/>
      <c r="P53" s="578"/>
      <c r="Q53" s="578"/>
    </row>
    <row r="54" spans="2:17" ht="15" customHeight="1">
      <c r="B54" s="578"/>
      <c r="C54" s="578"/>
      <c r="D54" s="578"/>
      <c r="E54" s="578"/>
      <c r="F54" s="578"/>
      <c r="G54" s="578"/>
      <c r="H54" s="578"/>
      <c r="I54" s="578"/>
      <c r="J54" s="578"/>
      <c r="K54" s="578"/>
      <c r="L54" s="578"/>
      <c r="M54" s="578"/>
      <c r="N54" s="578"/>
      <c r="O54" s="578"/>
      <c r="P54" s="578"/>
      <c r="Q54" s="578"/>
    </row>
    <row r="55" spans="2:17" ht="15" customHeight="1">
      <c r="B55" s="578"/>
      <c r="C55" s="578"/>
      <c r="D55" s="578"/>
      <c r="E55" s="578"/>
      <c r="F55" s="578"/>
      <c r="G55" s="578"/>
      <c r="H55" s="578"/>
      <c r="I55" s="578"/>
      <c r="J55" s="578"/>
      <c r="K55" s="578"/>
      <c r="L55" s="578"/>
      <c r="M55" s="578"/>
      <c r="N55" s="578"/>
      <c r="O55" s="578"/>
      <c r="P55" s="578"/>
      <c r="Q55" s="578"/>
    </row>
    <row r="56" spans="2:17" ht="15" customHeight="1">
      <c r="B56" s="578"/>
      <c r="C56" s="578"/>
      <c r="D56" s="578"/>
      <c r="E56" s="578"/>
      <c r="F56" s="578"/>
      <c r="G56" s="578"/>
      <c r="H56" s="578"/>
      <c r="I56" s="578"/>
      <c r="J56" s="578"/>
      <c r="K56" s="578"/>
      <c r="L56" s="578"/>
      <c r="M56" s="578"/>
      <c r="N56" s="578"/>
      <c r="O56" s="578"/>
      <c r="P56" s="578"/>
      <c r="Q56" s="578"/>
    </row>
    <row r="57" spans="2:17" ht="15" customHeight="1">
      <c r="B57" s="578"/>
      <c r="C57" s="578"/>
      <c r="D57" s="578"/>
      <c r="E57" s="578"/>
      <c r="F57" s="578"/>
      <c r="G57" s="578"/>
      <c r="H57" s="578"/>
      <c r="I57" s="578"/>
      <c r="J57" s="578"/>
      <c r="K57" s="578"/>
      <c r="L57" s="578"/>
      <c r="M57" s="578"/>
      <c r="N57" s="578"/>
      <c r="O57" s="578"/>
      <c r="P57" s="578"/>
      <c r="Q57" s="578"/>
    </row>
    <row r="58" spans="2:17" ht="15" customHeight="1">
      <c r="B58" s="578"/>
      <c r="C58" s="578"/>
      <c r="D58" s="578"/>
      <c r="E58" s="578"/>
      <c r="F58" s="578"/>
      <c r="G58" s="578"/>
      <c r="H58" s="578"/>
      <c r="I58" s="578"/>
      <c r="J58" s="578"/>
      <c r="K58" s="578"/>
      <c r="L58" s="578"/>
      <c r="M58" s="578"/>
      <c r="N58" s="578"/>
      <c r="O58" s="578"/>
      <c r="P58" s="578"/>
      <c r="Q58" s="578"/>
    </row>
    <row r="59" spans="2:17" ht="15" customHeight="1">
      <c r="B59" s="578"/>
      <c r="C59" s="578"/>
      <c r="D59" s="578"/>
      <c r="E59" s="578"/>
      <c r="F59" s="578"/>
      <c r="G59" s="578"/>
      <c r="H59" s="578"/>
      <c r="I59" s="578"/>
      <c r="J59" s="578"/>
      <c r="K59" s="578"/>
      <c r="L59" s="578"/>
      <c r="M59" s="578"/>
      <c r="N59" s="578"/>
      <c r="O59" s="578"/>
      <c r="P59" s="578"/>
      <c r="Q59" s="578"/>
    </row>
    <row r="60" spans="2:17" ht="15" customHeight="1">
      <c r="B60" s="578"/>
      <c r="C60" s="578"/>
      <c r="D60" s="578"/>
      <c r="E60" s="578"/>
      <c r="F60" s="578"/>
      <c r="G60" s="578"/>
      <c r="H60" s="578"/>
      <c r="I60" s="578"/>
      <c r="J60" s="578"/>
      <c r="K60" s="578"/>
      <c r="L60" s="578"/>
      <c r="M60" s="578"/>
      <c r="N60" s="578"/>
      <c r="O60" s="578"/>
      <c r="P60" s="578"/>
      <c r="Q60" s="578"/>
    </row>
    <row r="61" spans="2:17" ht="15" customHeight="1">
      <c r="B61" s="578"/>
      <c r="C61" s="578"/>
      <c r="D61" s="578"/>
      <c r="E61" s="578"/>
      <c r="F61" s="578"/>
      <c r="G61" s="578"/>
      <c r="H61" s="578"/>
      <c r="I61" s="578"/>
      <c r="J61" s="578"/>
      <c r="K61" s="578"/>
      <c r="L61" s="578"/>
      <c r="M61" s="578"/>
      <c r="N61" s="578"/>
      <c r="O61" s="578"/>
      <c r="P61" s="578"/>
      <c r="Q61" s="578"/>
    </row>
    <row r="62" spans="2:17" ht="15" customHeight="1">
      <c r="B62" s="578"/>
      <c r="C62" s="578"/>
      <c r="D62" s="578"/>
      <c r="E62" s="578"/>
      <c r="F62" s="578"/>
      <c r="G62" s="578"/>
      <c r="H62" s="578"/>
      <c r="I62" s="578"/>
      <c r="J62" s="578"/>
      <c r="K62" s="578"/>
      <c r="L62" s="578"/>
      <c r="M62" s="578"/>
      <c r="N62" s="578"/>
      <c r="O62" s="578"/>
      <c r="P62" s="578"/>
      <c r="Q62" s="578"/>
    </row>
    <row r="63" spans="2:17" ht="15" customHeight="1">
      <c r="B63" s="578"/>
      <c r="C63" s="578"/>
      <c r="D63" s="578"/>
      <c r="E63" s="578"/>
      <c r="F63" s="578"/>
      <c r="G63" s="578"/>
      <c r="H63" s="578"/>
      <c r="I63" s="578"/>
      <c r="J63" s="578"/>
      <c r="K63" s="578"/>
      <c r="L63" s="578"/>
      <c r="M63" s="578"/>
      <c r="N63" s="578"/>
      <c r="O63" s="578"/>
      <c r="P63" s="578"/>
      <c r="Q63" s="578"/>
    </row>
    <row r="64" spans="2:17" ht="15" customHeight="1">
      <c r="B64" s="578"/>
      <c r="C64" s="578"/>
      <c r="D64" s="578"/>
      <c r="E64" s="578"/>
      <c r="F64" s="578"/>
      <c r="G64" s="578"/>
      <c r="H64" s="578"/>
      <c r="I64" s="578"/>
      <c r="J64" s="578"/>
      <c r="K64" s="578"/>
      <c r="L64" s="578"/>
      <c r="M64" s="578"/>
      <c r="N64" s="578"/>
      <c r="O64" s="578"/>
      <c r="P64" s="578"/>
      <c r="Q64" s="578"/>
    </row>
    <row r="65" spans="2:17" ht="15" customHeight="1">
      <c r="B65" s="578"/>
      <c r="C65" s="578"/>
      <c r="D65" s="578"/>
      <c r="E65" s="578"/>
      <c r="F65" s="578"/>
      <c r="G65" s="578"/>
      <c r="H65" s="578"/>
      <c r="I65" s="578"/>
      <c r="J65" s="578"/>
      <c r="K65" s="578"/>
      <c r="L65" s="578"/>
      <c r="M65" s="578"/>
      <c r="N65" s="578"/>
      <c r="O65" s="578"/>
      <c r="P65" s="578"/>
      <c r="Q65" s="578"/>
    </row>
    <row r="66" spans="2:17" ht="15" customHeight="1">
      <c r="B66" s="578"/>
      <c r="C66" s="578"/>
      <c r="D66" s="578"/>
      <c r="E66" s="578"/>
      <c r="F66" s="578"/>
      <c r="G66" s="578"/>
      <c r="H66" s="578"/>
      <c r="I66" s="578"/>
      <c r="J66" s="578"/>
      <c r="K66" s="578"/>
      <c r="L66" s="578"/>
      <c r="M66" s="578"/>
      <c r="N66" s="578"/>
      <c r="O66" s="578"/>
      <c r="P66" s="578"/>
      <c r="Q66" s="578"/>
    </row>
    <row r="67" spans="2:17" ht="15" customHeight="1">
      <c r="B67" s="578"/>
      <c r="C67" s="578"/>
      <c r="D67" s="578"/>
      <c r="E67" s="578"/>
      <c r="F67" s="578"/>
      <c r="G67" s="578"/>
      <c r="H67" s="578"/>
      <c r="I67" s="578"/>
      <c r="J67" s="578"/>
      <c r="K67" s="578"/>
      <c r="L67" s="578"/>
      <c r="M67" s="578"/>
      <c r="N67" s="578"/>
      <c r="O67" s="578"/>
      <c r="P67" s="578"/>
      <c r="Q67" s="578"/>
    </row>
    <row r="68" spans="2:17" ht="15" customHeight="1">
      <c r="B68" s="578"/>
      <c r="C68" s="578"/>
      <c r="D68" s="578"/>
      <c r="E68" s="578"/>
      <c r="F68" s="578"/>
      <c r="G68" s="578"/>
      <c r="H68" s="578"/>
      <c r="I68" s="578"/>
      <c r="J68" s="578"/>
      <c r="K68" s="578"/>
      <c r="L68" s="578"/>
      <c r="M68" s="578"/>
      <c r="N68" s="578"/>
      <c r="O68" s="578"/>
      <c r="P68" s="578"/>
      <c r="Q68" s="578"/>
    </row>
    <row r="69" spans="2:17" ht="15" customHeight="1">
      <c r="B69" s="578"/>
      <c r="C69" s="578"/>
      <c r="D69" s="578"/>
      <c r="E69" s="578"/>
      <c r="F69" s="578"/>
      <c r="G69" s="578"/>
      <c r="H69" s="578"/>
      <c r="I69" s="578"/>
      <c r="J69" s="578"/>
      <c r="K69" s="578"/>
      <c r="L69" s="578"/>
      <c r="M69" s="578"/>
      <c r="N69" s="578"/>
      <c r="O69" s="578"/>
      <c r="P69" s="578"/>
      <c r="Q69" s="578"/>
    </row>
    <row r="70" spans="2:17" ht="15" customHeight="1">
      <c r="B70" s="578"/>
      <c r="C70" s="578"/>
      <c r="D70" s="578"/>
      <c r="E70" s="578"/>
      <c r="F70" s="578"/>
      <c r="G70" s="578"/>
      <c r="H70" s="578"/>
      <c r="I70" s="578"/>
      <c r="J70" s="578"/>
      <c r="K70" s="578"/>
      <c r="L70" s="578"/>
      <c r="M70" s="578"/>
      <c r="N70" s="578"/>
      <c r="O70" s="578"/>
      <c r="P70" s="578"/>
      <c r="Q70" s="578"/>
    </row>
    <row r="71" spans="2:17" ht="15" customHeight="1">
      <c r="B71" s="578"/>
      <c r="C71" s="578"/>
      <c r="D71" s="578"/>
      <c r="E71" s="578"/>
      <c r="F71" s="578"/>
      <c r="G71" s="578"/>
      <c r="H71" s="578"/>
      <c r="I71" s="578"/>
      <c r="J71" s="578"/>
      <c r="K71" s="578"/>
      <c r="L71" s="578"/>
      <c r="M71" s="578"/>
      <c r="N71" s="578"/>
      <c r="O71" s="578"/>
      <c r="P71" s="578"/>
      <c r="Q71" s="578"/>
    </row>
    <row r="72" spans="2:17" ht="15" customHeight="1">
      <c r="B72" s="578"/>
      <c r="C72" s="578"/>
      <c r="D72" s="578"/>
      <c r="E72" s="578"/>
      <c r="F72" s="578"/>
      <c r="G72" s="578"/>
      <c r="H72" s="578"/>
      <c r="I72" s="578"/>
      <c r="J72" s="578"/>
      <c r="K72" s="578"/>
      <c r="L72" s="578"/>
      <c r="M72" s="578"/>
      <c r="N72" s="578"/>
      <c r="O72" s="578"/>
      <c r="P72" s="578"/>
      <c r="Q72" s="578"/>
    </row>
    <row r="73" spans="2:17" ht="15" customHeight="1">
      <c r="B73" s="578"/>
      <c r="C73" s="578"/>
      <c r="D73" s="578"/>
      <c r="E73" s="578"/>
      <c r="F73" s="578"/>
      <c r="G73" s="578"/>
      <c r="H73" s="578"/>
      <c r="I73" s="578"/>
      <c r="J73" s="578"/>
      <c r="K73" s="578"/>
      <c r="L73" s="578"/>
      <c r="M73" s="578"/>
      <c r="N73" s="578"/>
      <c r="O73" s="578"/>
      <c r="P73" s="578"/>
      <c r="Q73" s="578"/>
    </row>
    <row r="74" spans="2:17" ht="15" customHeight="1">
      <c r="B74" s="578"/>
      <c r="C74" s="578"/>
      <c r="D74" s="578"/>
      <c r="E74" s="578"/>
      <c r="F74" s="578"/>
      <c r="G74" s="578"/>
      <c r="H74" s="578"/>
      <c r="I74" s="578"/>
      <c r="J74" s="578"/>
      <c r="K74" s="578"/>
      <c r="L74" s="578"/>
      <c r="M74" s="578"/>
      <c r="N74" s="578"/>
      <c r="O74" s="578"/>
      <c r="P74" s="578"/>
      <c r="Q74" s="578"/>
    </row>
    <row r="75" spans="2:17" ht="15" customHeight="1">
      <c r="B75" s="578"/>
      <c r="C75" s="578"/>
      <c r="D75" s="578"/>
      <c r="E75" s="578"/>
      <c r="F75" s="578"/>
      <c r="G75" s="578"/>
      <c r="H75" s="578"/>
      <c r="I75" s="578"/>
      <c r="J75" s="578"/>
      <c r="K75" s="578"/>
      <c r="L75" s="578"/>
      <c r="M75" s="578"/>
      <c r="N75" s="578"/>
      <c r="O75" s="578"/>
      <c r="P75" s="578"/>
      <c r="Q75" s="578"/>
    </row>
    <row r="76" spans="2:17">
      <c r="B76" s="578"/>
      <c r="C76" s="578"/>
      <c r="D76" s="578"/>
      <c r="E76" s="578"/>
      <c r="F76" s="578"/>
      <c r="G76" s="578"/>
      <c r="H76" s="578"/>
      <c r="I76" s="578"/>
      <c r="J76" s="578"/>
      <c r="K76" s="578"/>
      <c r="L76" s="578"/>
      <c r="M76" s="578"/>
      <c r="N76" s="578"/>
      <c r="O76" s="578"/>
      <c r="P76" s="578"/>
      <c r="Q76" s="578"/>
    </row>
  </sheetData>
  <mergeCells count="7">
    <mergeCell ref="B48:Q76"/>
    <mergeCell ref="C3:D3"/>
    <mergeCell ref="E3:G3"/>
    <mergeCell ref="C14:H31"/>
    <mergeCell ref="C38:E38"/>
    <mergeCell ref="F38:I38"/>
    <mergeCell ref="J38:P38"/>
  </mergeCells>
  <pageMargins left="0.25" right="0.25" top="0.75" bottom="0.75" header="0.3" footer="0.3"/>
  <pageSetup scale="9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3</vt:i4>
      </vt:variant>
    </vt:vector>
  </HeadingPairs>
  <TitlesOfParts>
    <vt:vector size="28" baseType="lpstr">
      <vt:lpstr>Dec 18th</vt:lpstr>
      <vt:lpstr>May 2nd -4th</vt:lpstr>
      <vt:lpstr>May 5th</vt:lpstr>
      <vt:lpstr>May 6th</vt:lpstr>
      <vt:lpstr>May 7th</vt:lpstr>
      <vt:lpstr>May 8th</vt:lpstr>
      <vt:lpstr>May 9th-10th</vt:lpstr>
      <vt:lpstr>May 12th</vt:lpstr>
      <vt:lpstr>May 13th</vt:lpstr>
      <vt:lpstr>May 14th</vt:lpstr>
      <vt:lpstr>May 15th</vt:lpstr>
      <vt:lpstr>May 16th</vt:lpstr>
      <vt:lpstr>May 19th</vt:lpstr>
      <vt:lpstr>May 20th</vt:lpstr>
      <vt:lpstr>May 21st</vt:lpstr>
      <vt:lpstr>May 22nd</vt:lpstr>
      <vt:lpstr>May 23rd</vt:lpstr>
      <vt:lpstr>May 26th</vt:lpstr>
      <vt:lpstr>May 27th</vt:lpstr>
      <vt:lpstr>May 28th</vt:lpstr>
      <vt:lpstr>May 30th</vt:lpstr>
      <vt:lpstr>MTD_Links</vt:lpstr>
      <vt:lpstr>YTD_Links</vt:lpstr>
      <vt:lpstr>KPIs</vt:lpstr>
      <vt:lpstr>Brewer Performance</vt:lpstr>
      <vt:lpstr>'Brewer Performance'!Print_Area</vt:lpstr>
      <vt:lpstr>MTD_Links!Print_Area</vt:lpstr>
      <vt:lpstr>YTD_Links!Print_Area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Reshelle Fleming</dc:creator>
  <cp:lastModifiedBy>Reshelle Fleming</cp:lastModifiedBy>
  <cp:lastPrinted>2024-01-26T11:36:30Z</cp:lastPrinted>
  <dcterms:created xsi:type="dcterms:W3CDTF">2020-01-28T18:21:11Z</dcterms:created>
  <dcterms:modified xsi:type="dcterms:W3CDTF">2025-06-23T15:29:02Z</dcterms:modified>
</cp:coreProperties>
</file>