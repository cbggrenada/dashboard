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0E72EFCC-2BF6-4111-A026-8318065CB3ED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2" i="118" l="1"/>
  <c r="S32" i="118"/>
  <c r="S31" i="118"/>
  <c r="S29" i="118"/>
  <c r="S27" i="118"/>
  <c r="S25" i="118"/>
  <c r="J33" i="118"/>
  <c r="K33" i="118"/>
  <c r="Q27" i="118"/>
  <c r="Q29" i="118"/>
  <c r="Q25" i="118"/>
  <c r="K30" i="118"/>
  <c r="K29" i="118"/>
  <c r="K28" i="118"/>
  <c r="J31" i="118"/>
  <c r="J32" i="118"/>
  <c r="J30" i="118"/>
  <c r="J29" i="118"/>
  <c r="J28" i="118"/>
  <c r="J27" i="118"/>
  <c r="J26" i="118"/>
  <c r="K24" i="118"/>
  <c r="J24" i="118"/>
  <c r="Q23" i="118"/>
  <c r="Q15" i="118"/>
  <c r="S22" i="118"/>
  <c r="S23" i="118"/>
  <c r="J23" i="118" l="1"/>
  <c r="J22" i="118" l="1"/>
  <c r="J20" i="118"/>
  <c r="N22" i="118" l="1"/>
  <c r="F22" i="118" l="1"/>
  <c r="S21" i="118"/>
  <c r="S20" i="118"/>
  <c r="S18" i="118"/>
  <c r="Q21" i="118" l="1"/>
  <c r="Q20" i="118"/>
  <c r="K20" i="118"/>
  <c r="N20" i="118"/>
  <c r="J19" i="118"/>
  <c r="Q19" i="118"/>
  <c r="N18" i="118"/>
  <c r="K19" i="118"/>
  <c r="J18" i="118"/>
  <c r="Q17" i="118" l="1"/>
  <c r="S17" i="118"/>
  <c r="N17" i="118" l="1"/>
  <c r="J17" i="118"/>
  <c r="K16" i="118" l="1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8" i="118"/>
  <c r="Q22" i="118"/>
  <c r="Q31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K46" i="118"/>
  <c r="P46" i="118" s="1"/>
  <c r="K47" i="118"/>
  <c r="P47" i="118" s="1"/>
  <c r="K48" i="118"/>
  <c r="P48" i="118" s="1"/>
  <c r="L48" i="118"/>
  <c r="K49" i="118"/>
  <c r="K50" i="118"/>
  <c r="P50" i="118" s="1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 s="1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K11" i="120"/>
  <c r="K12" i="120"/>
  <c r="K13" i="120"/>
  <c r="K14" i="120"/>
  <c r="K15" i="120"/>
  <c r="P15" i="120" s="1"/>
  <c r="K16" i="120"/>
  <c r="K17" i="120"/>
  <c r="P17" i="120" s="1"/>
  <c r="K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10" i="120" l="1"/>
  <c r="L10" i="120"/>
  <c r="P18" i="120"/>
  <c r="L18" i="120"/>
  <c r="L45" i="118"/>
  <c r="L50" i="118"/>
  <c r="P40" i="118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l="1"/>
  <c r="P28" i="118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4" i="118"/>
  <c r="K26" i="118"/>
  <c r="P26" i="118" s="1"/>
  <c r="K27" i="118"/>
  <c r="P27" i="118" s="1"/>
  <c r="P29" i="118"/>
  <c r="P30" i="118"/>
  <c r="K31" i="118"/>
  <c r="P31" i="118" s="1"/>
  <c r="L32" i="118"/>
  <c r="K18" i="118"/>
  <c r="P18" i="118" s="1"/>
  <c r="P15" i="118"/>
  <c r="P16" i="118"/>
  <c r="P17" i="118"/>
  <c r="K9" i="117"/>
  <c r="P33" i="118" l="1"/>
  <c r="P23" i="118"/>
  <c r="P9" i="117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20" i="118"/>
  <c r="L30" i="118"/>
  <c r="L31" i="118"/>
  <c r="L33" i="118"/>
  <c r="L18" i="118"/>
  <c r="L23" i="118"/>
  <c r="L15" i="118"/>
  <c r="L9" i="117"/>
  <c r="L17" i="118" l="1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44" i="117" l="1"/>
  <c r="F17" i="109"/>
  <c r="F19" i="109"/>
  <c r="H17" i="109" l="1"/>
  <c r="R17" i="109"/>
  <c r="R19" i="109"/>
  <c r="H19" i="109"/>
  <c r="H44" i="117"/>
  <c r="F16" i="109"/>
  <c r="R16" i="109" l="1"/>
  <c r="H16" i="109"/>
  <c r="F9" i="118"/>
  <c r="F8" i="118"/>
  <c r="H9" i="118" l="1"/>
  <c r="H8" i="118"/>
  <c r="F10" i="118" l="1"/>
  <c r="F11" i="118"/>
  <c r="F18" i="109"/>
  <c r="R18" i="109" l="1"/>
  <c r="H18" i="109"/>
  <c r="H11" i="118"/>
  <c r="H10" i="118"/>
  <c r="F14" i="109" l="1"/>
  <c r="F15" i="109"/>
  <c r="R14" i="109" l="1"/>
  <c r="H14" i="109"/>
  <c r="R15" i="109"/>
  <c r="H15" i="109"/>
  <c r="F13" i="109" l="1"/>
  <c r="F12" i="109"/>
  <c r="F8" i="110"/>
  <c r="H13" i="109" l="1"/>
  <c r="R13" i="109"/>
  <c r="H12" i="109"/>
  <c r="R12" i="109"/>
  <c r="H8" i="110"/>
  <c r="F14" i="118" l="1"/>
  <c r="H14" i="118" l="1"/>
  <c r="F9" i="109"/>
  <c r="H9" i="109" l="1"/>
  <c r="R9" i="109"/>
  <c r="F9" i="110" l="1"/>
  <c r="F11" i="110"/>
  <c r="H11" i="110" s="1"/>
  <c r="F12" i="110"/>
  <c r="H12" i="110" s="1"/>
  <c r="F13" i="110"/>
  <c r="H13" i="110" s="1"/>
  <c r="F14" i="110"/>
  <c r="H14" i="110" s="1"/>
  <c r="F15" i="110"/>
  <c r="H15" i="110" s="1"/>
  <c r="F16" i="110"/>
  <c r="H16" i="110" s="1"/>
  <c r="F31" i="110"/>
  <c r="F32" i="110"/>
  <c r="H32" i="110" s="1"/>
  <c r="F33" i="110"/>
  <c r="H33" i="110" s="1"/>
  <c r="F34" i="110"/>
  <c r="H34" i="110" s="1"/>
  <c r="F35" i="110"/>
  <c r="H35" i="110" s="1"/>
  <c r="F36" i="110"/>
  <c r="H36" i="110" s="1"/>
  <c r="F37" i="110"/>
  <c r="H37" i="110" s="1"/>
  <c r="F38" i="110"/>
  <c r="H38" i="110" s="1"/>
  <c r="F39" i="110"/>
  <c r="H39" i="110" s="1"/>
  <c r="F40" i="110"/>
  <c r="H40" i="110" s="1"/>
  <c r="F41" i="110"/>
  <c r="H41" i="110" s="1"/>
  <c r="F42" i="110"/>
  <c r="H42" i="110" s="1"/>
  <c r="F43" i="110"/>
  <c r="H43" i="110" s="1"/>
  <c r="F44" i="110"/>
  <c r="H44" i="110" s="1"/>
  <c r="F45" i="110"/>
  <c r="H45" i="110" s="1"/>
  <c r="F46" i="110"/>
  <c r="H46" i="110" s="1"/>
  <c r="F47" i="110"/>
  <c r="H47" i="110" s="1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F63" i="110" l="1"/>
  <c r="H63" i="110" s="1"/>
  <c r="Q9" i="110"/>
  <c r="H9" i="110"/>
  <c r="Q31" i="110"/>
  <c r="H31" i="110"/>
  <c r="R10" i="109"/>
  <c r="H10" i="109"/>
  <c r="H11" i="109"/>
  <c r="R11" i="109"/>
  <c r="H20" i="109"/>
  <c r="R20" i="109"/>
  <c r="R21" i="109"/>
  <c r="H21" i="109"/>
  <c r="H22" i="109"/>
  <c r="R22" i="109"/>
  <c r="R23" i="109"/>
  <c r="H23" i="109"/>
  <c r="H24" i="109"/>
  <c r="R24" i="109"/>
  <c r="R25" i="109"/>
  <c r="H25" i="109"/>
  <c r="R26" i="109"/>
  <c r="H26" i="109"/>
  <c r="H27" i="109"/>
  <c r="R27" i="109"/>
  <c r="R28" i="109"/>
  <c r="H28" i="109"/>
  <c r="R29" i="109"/>
  <c r="H29" i="109"/>
  <c r="R30" i="109"/>
  <c r="H30" i="109"/>
  <c r="R31" i="109"/>
  <c r="H31" i="109"/>
  <c r="R32" i="109"/>
  <c r="H32" i="109"/>
  <c r="R33" i="109"/>
  <c r="H33" i="109"/>
  <c r="H34" i="109"/>
  <c r="R34" i="109"/>
  <c r="R37" i="109"/>
  <c r="H37" i="109"/>
  <c r="H38" i="109"/>
  <c r="R38" i="109"/>
  <c r="R39" i="109"/>
  <c r="H39" i="109"/>
  <c r="R40" i="109"/>
  <c r="H40" i="109"/>
  <c r="R41" i="109"/>
  <c r="H41" i="109"/>
  <c r="H42" i="109"/>
  <c r="R42" i="109"/>
  <c r="R44" i="109"/>
  <c r="H44" i="109"/>
  <c r="R45" i="109"/>
  <c r="H45" i="109"/>
  <c r="H47" i="109"/>
  <c r="R47" i="109"/>
  <c r="R48" i="109"/>
  <c r="H48" i="109"/>
  <c r="R49" i="109"/>
  <c r="H49" i="109"/>
  <c r="R51" i="109"/>
  <c r="H51" i="109"/>
  <c r="R52" i="109"/>
  <c r="H52" i="109"/>
  <c r="R53" i="109"/>
  <c r="H53" i="109"/>
  <c r="R54" i="109"/>
  <c r="H54" i="109"/>
  <c r="R8" i="109"/>
  <c r="H8" i="109"/>
  <c r="F65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5" i="118" l="1"/>
  <c r="F16" i="118"/>
  <c r="F44" i="120"/>
  <c r="H44" i="120" s="1"/>
  <c r="H16" i="118" l="1"/>
  <c r="H15" i="118"/>
  <c r="F43" i="120"/>
  <c r="H43" i="120" s="1"/>
  <c r="F18" i="118" l="1"/>
  <c r="F19" i="118"/>
  <c r="F42" i="120"/>
  <c r="H42" i="120" s="1"/>
  <c r="H19" i="118" l="1"/>
  <c r="H18" i="118"/>
  <c r="F41" i="120"/>
  <c r="H41" i="120" s="1"/>
  <c r="F20" i="118" l="1"/>
  <c r="F21" i="118"/>
  <c r="H21" i="118" l="1"/>
  <c r="H20" i="118"/>
  <c r="F64" i="118"/>
  <c r="H64" i="118" l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H23" i="117" s="1"/>
  <c r="F22" i="117"/>
  <c r="H22" i="117" s="1"/>
  <c r="F17" i="117"/>
  <c r="H17" i="117" s="1"/>
  <c r="F16" i="117"/>
  <c r="H16" i="117" s="1"/>
  <c r="F18" i="117"/>
  <c r="H18" i="117" s="1"/>
  <c r="F13" i="117"/>
  <c r="H13" i="117" s="1"/>
  <c r="F12" i="117"/>
  <c r="H12" i="117" s="1"/>
  <c r="F11" i="117"/>
  <c r="H11" i="117" s="1"/>
  <c r="F43" i="116"/>
  <c r="H43" i="116" s="1"/>
  <c r="F40" i="116"/>
  <c r="H40" i="116" s="1"/>
  <c r="F37" i="116"/>
  <c r="H37" i="116" s="1"/>
  <c r="F25" i="116"/>
  <c r="H25" i="116" s="1"/>
  <c r="F11" i="116"/>
  <c r="H11" i="116" s="1"/>
  <c r="F42" i="116"/>
  <c r="H42" i="116" s="1"/>
  <c r="F36" i="116"/>
  <c r="H36" i="116" s="1"/>
  <c r="F31" i="116"/>
  <c r="H31" i="116" s="1"/>
  <c r="F30" i="116"/>
  <c r="H30" i="116" s="1"/>
  <c r="F29" i="116"/>
  <c r="H29" i="116" s="1"/>
  <c r="F24" i="116"/>
  <c r="H24" i="116" s="1"/>
  <c r="F43" i="122"/>
  <c r="H43" i="122" s="1"/>
  <c r="F41" i="122"/>
  <c r="H41" i="122" s="1"/>
  <c r="F24" i="122"/>
  <c r="H24" i="122" s="1"/>
  <c r="F18" i="122"/>
  <c r="H18" i="122" s="1"/>
  <c r="F17" i="122"/>
  <c r="H17" i="122" s="1"/>
  <c r="F15" i="122"/>
  <c r="H15" i="122" s="1"/>
  <c r="F13" i="122"/>
  <c r="H13" i="122" s="1"/>
  <c r="F11" i="122"/>
  <c r="F37" i="122"/>
  <c r="H37" i="122" s="1"/>
  <c r="F34" i="122"/>
  <c r="H34" i="122" s="1"/>
  <c r="F32" i="122"/>
  <c r="H32" i="122" s="1"/>
  <c r="F28" i="122"/>
  <c r="H28" i="122" s="1"/>
  <c r="F14" i="122"/>
  <c r="H14" i="122" s="1"/>
  <c r="F41" i="121"/>
  <c r="H41" i="121" s="1"/>
  <c r="F40" i="121"/>
  <c r="H40" i="121" s="1"/>
  <c r="F38" i="121"/>
  <c r="H38" i="121" s="1"/>
  <c r="F37" i="121"/>
  <c r="H37" i="121" s="1"/>
  <c r="F36" i="121"/>
  <c r="H36" i="121" s="1"/>
  <c r="F32" i="121"/>
  <c r="F29" i="121"/>
  <c r="H29" i="121" s="1"/>
  <c r="F27" i="121"/>
  <c r="H27" i="121" s="1"/>
  <c r="F23" i="121"/>
  <c r="H23" i="121" s="1"/>
  <c r="F21" i="121"/>
  <c r="H21" i="121" s="1"/>
  <c r="F9" i="121"/>
  <c r="F47" i="121"/>
  <c r="H47" i="121" s="1"/>
  <c r="F46" i="121"/>
  <c r="H46" i="121" s="1"/>
  <c r="F42" i="121"/>
  <c r="H42" i="121" s="1"/>
  <c r="F39" i="121"/>
  <c r="H39" i="121" s="1"/>
  <c r="F34" i="121"/>
  <c r="H34" i="121" s="1"/>
  <c r="F30" i="121"/>
  <c r="H30" i="121" s="1"/>
  <c r="F26" i="121"/>
  <c r="H26" i="121" s="1"/>
  <c r="F24" i="121"/>
  <c r="H24" i="121" s="1"/>
  <c r="F20" i="121"/>
  <c r="H20" i="121" s="1"/>
  <c r="F16" i="121"/>
  <c r="H16" i="121" s="1"/>
  <c r="F12" i="121"/>
  <c r="H12" i="121" s="1"/>
  <c r="F58" i="111"/>
  <c r="H58" i="111" s="1"/>
  <c r="F57" i="111"/>
  <c r="H57" i="111" s="1"/>
  <c r="F56" i="111"/>
  <c r="H56" i="111" s="1"/>
  <c r="F55" i="111"/>
  <c r="H55" i="111" s="1"/>
  <c r="F53" i="111"/>
  <c r="H53" i="111" s="1"/>
  <c r="F52" i="111"/>
  <c r="H52" i="111" s="1"/>
  <c r="F51" i="111"/>
  <c r="H51" i="111" s="1"/>
  <c r="F50" i="111"/>
  <c r="H50" i="111" s="1"/>
  <c r="F41" i="111"/>
  <c r="H41" i="111" s="1"/>
  <c r="F34" i="111"/>
  <c r="H34" i="111" s="1"/>
  <c r="F33" i="111"/>
  <c r="H33" i="111" s="1"/>
  <c r="F27" i="111"/>
  <c r="H27" i="111" s="1"/>
  <c r="F26" i="111"/>
  <c r="H26" i="111" s="1"/>
  <c r="F25" i="111"/>
  <c r="H25" i="111" s="1"/>
  <c r="F24" i="111"/>
  <c r="H24" i="111" s="1"/>
  <c r="F20" i="111"/>
  <c r="H20" i="111" s="1"/>
  <c r="F11" i="111"/>
  <c r="H11" i="111" s="1"/>
  <c r="F8" i="111"/>
  <c r="F46" i="111"/>
  <c r="H46" i="111" s="1"/>
  <c r="F39" i="111"/>
  <c r="H39" i="111" s="1"/>
  <c r="F36" i="111"/>
  <c r="H36" i="111" s="1"/>
  <c r="F32" i="111"/>
  <c r="H32" i="111" s="1"/>
  <c r="F31" i="111"/>
  <c r="H31" i="111" s="1"/>
  <c r="F28" i="111"/>
  <c r="H28" i="111" s="1"/>
  <c r="M59" i="110"/>
  <c r="F60" i="120" l="1"/>
  <c r="H9" i="120"/>
  <c r="H8" i="119"/>
  <c r="F62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H12" i="111" s="1"/>
  <c r="F31" i="122"/>
  <c r="H31" i="122" s="1"/>
  <c r="F12" i="122"/>
  <c r="F21" i="122"/>
  <c r="H21" i="122" s="1"/>
  <c r="M22" i="121"/>
  <c r="F23" i="111"/>
  <c r="H23" i="111" s="1"/>
  <c r="F11" i="121"/>
  <c r="H11" i="121" s="1"/>
  <c r="F42" i="122"/>
  <c r="H42" i="122" s="1"/>
  <c r="F35" i="121"/>
  <c r="H35" i="121" s="1"/>
  <c r="F19" i="117"/>
  <c r="H19" i="117" s="1"/>
  <c r="F22" i="122"/>
  <c r="H22" i="122" s="1"/>
  <c r="F35" i="122"/>
  <c r="H35" i="122" s="1"/>
  <c r="M15" i="118"/>
  <c r="F25" i="122"/>
  <c r="H25" i="122" s="1"/>
  <c r="F39" i="122"/>
  <c r="H39" i="122" s="1"/>
  <c r="F49" i="111"/>
  <c r="H49" i="111" s="1"/>
  <c r="M41" i="121"/>
  <c r="M27" i="121"/>
  <c r="M13" i="119"/>
  <c r="M10" i="120"/>
  <c r="F22" i="111"/>
  <c r="H22" i="111" s="1"/>
  <c r="N26" i="113"/>
  <c r="F9" i="116"/>
  <c r="H9" i="116" s="1"/>
  <c r="M17" i="122"/>
  <c r="F48" i="121"/>
  <c r="H48" i="121" s="1"/>
  <c r="F40" i="122"/>
  <c r="H40" i="122" s="1"/>
  <c r="F44" i="111"/>
  <c r="H44" i="111" s="1"/>
  <c r="F12" i="116"/>
  <c r="H12" i="116" s="1"/>
  <c r="F24" i="117"/>
  <c r="H24" i="117" s="1"/>
  <c r="F29" i="111"/>
  <c r="H29" i="111" s="1"/>
  <c r="F48" i="111"/>
  <c r="H48" i="111" s="1"/>
  <c r="F33" i="121"/>
  <c r="H32" i="121" s="1"/>
  <c r="F19" i="122"/>
  <c r="H19" i="122" s="1"/>
  <c r="F43" i="111"/>
  <c r="H43" i="111" s="1"/>
  <c r="F38" i="111"/>
  <c r="H38" i="111" s="1"/>
  <c r="F40" i="111"/>
  <c r="H40" i="111" s="1"/>
  <c r="F18" i="121"/>
  <c r="H18" i="121" s="1"/>
  <c r="F26" i="122"/>
  <c r="H26" i="122" s="1"/>
  <c r="F26" i="116"/>
  <c r="H26" i="116" s="1"/>
  <c r="F21" i="111"/>
  <c r="H21" i="111" s="1"/>
  <c r="F25" i="121"/>
  <c r="H25" i="121" s="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H43" i="121" s="1"/>
  <c r="F30" i="111"/>
  <c r="H30" i="111" s="1"/>
  <c r="F28" i="121"/>
  <c r="H28" i="121" s="1"/>
  <c r="F19" i="121"/>
  <c r="H19" i="121" s="1"/>
  <c r="F47" i="111"/>
  <c r="H47" i="111" s="1"/>
  <c r="F35" i="111"/>
  <c r="H35" i="111" s="1"/>
  <c r="F17" i="121"/>
  <c r="H17" i="121" s="1"/>
  <c r="F22" i="121"/>
  <c r="H22" i="121" s="1"/>
  <c r="F10" i="111"/>
  <c r="N27" i="113"/>
  <c r="F45" i="111"/>
  <c r="H45" i="111" s="1"/>
  <c r="F31" i="121"/>
  <c r="H31" i="121" s="1"/>
  <c r="F14" i="121"/>
  <c r="H14" i="121" s="1"/>
  <c r="F15" i="121"/>
  <c r="H15" i="121" s="1"/>
  <c r="F45" i="121"/>
  <c r="H45" i="121" s="1"/>
  <c r="F10" i="121"/>
  <c r="F16" i="122"/>
  <c r="H16" i="122" s="1"/>
  <c r="N30" i="113"/>
  <c r="F36" i="122"/>
  <c r="H36" i="122" s="1"/>
  <c r="F33" i="122"/>
  <c r="H33" i="122" s="1"/>
  <c r="F38" i="122"/>
  <c r="H38" i="122" s="1"/>
  <c r="F44" i="121"/>
  <c r="H44" i="121" s="1"/>
  <c r="F20" i="122"/>
  <c r="H20" i="122" s="1"/>
  <c r="F30" i="122"/>
  <c r="H30" i="122" s="1"/>
  <c r="F10" i="116"/>
  <c r="H10" i="116" s="1"/>
  <c r="F8" i="116"/>
  <c r="F41" i="116"/>
  <c r="H41" i="116" s="1"/>
  <c r="F14" i="117"/>
  <c r="H14" i="117" s="1"/>
  <c r="F13" i="116"/>
  <c r="H13" i="116" s="1"/>
  <c r="F9" i="117"/>
  <c r="H60" i="120" l="1"/>
  <c r="Q60" i="120"/>
  <c r="H62" i="119"/>
  <c r="Q62" i="119"/>
  <c r="F57" i="122"/>
  <c r="H12" i="122"/>
  <c r="F62" i="111"/>
  <c r="H10" i="111"/>
  <c r="F54" i="121"/>
  <c r="H54" i="121" s="1"/>
  <c r="H10" i="121"/>
  <c r="H8" i="116"/>
  <c r="F57" i="116"/>
  <c r="H57" i="116" s="1"/>
  <c r="F54" i="117"/>
  <c r="H54" i="117" s="1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S60" i="120"/>
  <c r="R62" i="119"/>
  <c r="M62" i="119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65" i="109" s="1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4" i="118"/>
  <c r="M57" i="116"/>
  <c r="M63" i="110"/>
  <c r="M60" i="115"/>
  <c r="M54" i="117"/>
  <c r="M57" i="122"/>
  <c r="M54" i="121"/>
  <c r="N37" i="113" l="1"/>
  <c r="N45" i="113" l="1"/>
  <c r="N63" i="1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  <comment ref="O30" authorId="1" shapeId="0" xr:uid="{72736D78-D40F-4A87-97C3-3BD3E0BB0B1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25FAB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<sst xmlns="http://schemas.openxmlformats.org/spreadsheetml/2006/main" count="903" uniqueCount="169">
  <si>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</si>
  <si>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</si>
  <si>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</si>
  <si>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</si>
  <si>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</si>
  <si>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</si>
  <si>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</si>
  <si>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</si>
  <si>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</si>
  <si>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</si>
  <si>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</si>
  <si>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</si>
  <si>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</si>
  <si>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</si>
  <si>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</si>
  <si>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</si>
  <si>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</si>
  <si>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</si>
  <si>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</si>
  <si>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</si>
  <si>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</si>
  <si>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</si>
  <si>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</si>
  <si>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</si>
  <si>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</si>
  <si>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</si>
  <si>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</si>
  <si>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</si>
  <si>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</si>
  <si>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</si>
  <si>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</si>
  <si>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</si>
  <si>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</si>
  <si>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</si>
  <si>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</si>
  <si>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</si>
  <si>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</si>
  <si>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</si>
  <si>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</si>
  <si>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</si>
  <si>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</si>
  <si>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</si>
  <si>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</si>
  <si>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</si>
  <si>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</si>
  <si>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</si>
  <si>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</si>
  <si>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</si>
  <si>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</si>
  <si>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</si>
  <si>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</si>
  <si>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</si>
  <si>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</si>
  <si>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</si>
  <si>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</si>
  <si>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</si>
  <si>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</si>
  <si>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</si>
  <si>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</si>
  <si>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</si>
  <si>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</si>
  <si>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</si>
  <si>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</si>
  <si>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</si>
  <si>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</si>
  <si>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</si>
  <si>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</si>
  <si>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</si>
  <si>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</si>
  <si>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</si>
  <si>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</si>
  <si>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</si>
  <si>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</si>
  <si>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</si>
  <si>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</si>
  <si>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</si>
  <si>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</si>
  <si>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</si>
  <si>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</si>
  <si>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</si>
  <si>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</si>
  <si>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</si>
  <si>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</si>
  <si>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</si>
  <si>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</si>
  <si>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</si>
  <si>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</si>
  <si>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</si>
  <si>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</si>
  <si>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</si>
  <si>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</si>
  <si>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</si>
  <si>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</si>
  <si>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</si>
  <si>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</si>
  <si>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</si>
  <si>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</si>
  <si>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</si>
  <si>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</si>
  <si>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</si>
  <si>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</si>
  <si>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</si>
  <si>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</si>
  <si>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</si>
  <si>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</si>
  <si>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</si>
  <si>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</si>
  <si>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</si>
  <si>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</si>
  <si>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</si>
  <si>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</si>
  <si>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</si>
  <si>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</si>
  <si>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</si>
  <si>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</si>
  <si>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</si>
  <si>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</si>
  <si>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</si>
  <si>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</si>
  <si>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</si>
  <si>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</si>
  <si>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</si>
  <si>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</si>
  <si>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</si>
  <si>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</si>
  <si>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</si>
  <si>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</si>
  <si>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</si>
  <si>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</si>
  <si>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</si>
  <si>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</si>
  <si>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</si>
  <si>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</si>
  <si>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</si>
  <si>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</si>
  <si>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</si>
  <si>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</si>
  <si>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</si>
  <si>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</si>
  <si>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</si>
  <si>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</si>
  <si>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</si>
  <si>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</si>
  <si>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</si>
  <si>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</si>
  <si>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</si>
  <si>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</si>
  <si>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</si>
  <si>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</si>
  <si>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</si>
  <si>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</si>
  <si>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</si>
  <si>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</si>
  <si>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</si>
  <si>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</si>
  <si>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</si>
  <si>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</si>
  <si>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</si>
  <si>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</si>
  <si>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</si>
  <si>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</si>
  <si>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</si>
  <si>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</si>
  <si>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</si>
  <si>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</si>
  <si>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</si>
  <si>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</si>
  <si>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</si>
  <si>
    <t>VITA MALT ( GINGER 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</si>
</sst>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334</v>
          </cell>
        </row>
        <row r="22">
          <cell r="AD22">
            <v>626</v>
          </cell>
        </row>
        <row r="23">
          <cell r="AD23">
            <v>406</v>
          </cell>
        </row>
        <row r="24">
          <cell r="AD24">
            <v>265</v>
          </cell>
        </row>
        <row r="25">
          <cell r="AD25">
            <v>158</v>
          </cell>
        </row>
        <row r="26">
          <cell r="AD26">
            <v>514</v>
          </cell>
        </row>
        <row r="27">
          <cell r="AD27">
            <v>359</v>
          </cell>
        </row>
        <row r="28">
          <cell r="AD28">
            <v>271</v>
          </cell>
        </row>
        <row r="29">
          <cell r="AD29">
            <v>86</v>
          </cell>
        </row>
        <row r="30">
          <cell r="AD30">
            <v>206</v>
          </cell>
        </row>
        <row r="31">
          <cell r="AD31">
            <v>945</v>
          </cell>
        </row>
        <row r="32">
          <cell r="AD32">
            <v>68</v>
          </cell>
        </row>
        <row r="33">
          <cell r="AD33">
            <v>188</v>
          </cell>
        </row>
        <row r="34">
          <cell r="AD34">
            <v>63</v>
          </cell>
        </row>
        <row r="35">
          <cell r="AD35">
            <v>477</v>
          </cell>
        </row>
        <row r="36">
          <cell r="AD36">
            <v>76</v>
          </cell>
        </row>
        <row r="37">
          <cell r="AD37">
            <v>175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1174</v>
          </cell>
        </row>
        <row r="93">
          <cell r="N93">
            <v>945</v>
          </cell>
        </row>
        <row r="94">
          <cell r="N94">
            <v>733</v>
          </cell>
        </row>
        <row r="95">
          <cell r="N95">
            <v>303</v>
          </cell>
        </row>
        <row r="96">
          <cell r="N96">
            <v>401</v>
          </cell>
        </row>
        <row r="97">
          <cell r="N97">
            <v>522</v>
          </cell>
        </row>
        <row r="98">
          <cell r="N98">
            <v>798</v>
          </cell>
        </row>
        <row r="99">
          <cell r="N99">
            <v>336</v>
          </cell>
        </row>
        <row r="100">
          <cell r="N100">
            <v>361</v>
          </cell>
        </row>
        <row r="101">
          <cell r="N101">
            <v>964</v>
          </cell>
        </row>
        <row r="102">
          <cell r="N102">
            <v>1372</v>
          </cell>
        </row>
        <row r="103">
          <cell r="N103">
            <v>258</v>
          </cell>
        </row>
        <row r="104">
          <cell r="N104">
            <v>283</v>
          </cell>
        </row>
        <row r="105">
          <cell r="N105">
            <v>271</v>
          </cell>
        </row>
        <row r="106">
          <cell r="N106">
            <v>-347</v>
          </cell>
        </row>
        <row r="107">
          <cell r="N107">
            <v>0</v>
          </cell>
        </row>
        <row r="108">
          <cell r="N108">
            <v>-32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Daily glue NOV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  <row r="22">
          <cell r="H22">
            <v>4.36016751977664E-3</v>
          </cell>
        </row>
        <row r="23">
          <cell r="H23">
            <v>2.5434310532030401E-3</v>
          </cell>
        </row>
        <row r="24">
          <cell r="H24">
            <v>8.4950135992747054E-3</v>
          </cell>
        </row>
        <row r="25">
          <cell r="H25">
            <v>4.0318416523235801E-3</v>
          </cell>
        </row>
        <row r="26">
          <cell r="H26">
            <v>3.0681074001309757E-3</v>
          </cell>
        </row>
        <row r="27">
          <cell r="H27">
            <v>8.5130224106602058E-3</v>
          </cell>
        </row>
        <row r="28">
          <cell r="H28">
            <v>6.7865765330758091E-3</v>
          </cell>
        </row>
        <row r="29">
          <cell r="H29" t="e">
            <v>#DIV/0!</v>
          </cell>
        </row>
        <row r="30">
          <cell r="H30">
            <v>2.790351399642644E-3</v>
          </cell>
        </row>
        <row r="31">
          <cell r="H31">
            <v>9.1862745098039208E-3</v>
          </cell>
        </row>
        <row r="32">
          <cell r="H32">
            <v>6.348238482384823E-3</v>
          </cell>
        </row>
        <row r="33">
          <cell r="H33">
            <v>3.6860739575137686E-3</v>
          </cell>
        </row>
        <row r="34">
          <cell r="H34">
            <v>6.2751138494508427E-3</v>
          </cell>
        </row>
        <row r="35">
          <cell r="H35">
            <v>6.0883690708252109E-3</v>
          </cell>
        </row>
        <row r="36">
          <cell r="H36">
            <v>4.0226101888952486E-3</v>
          </cell>
        </row>
        <row r="37">
          <cell r="H37">
            <v>7.4959999999999992E-3</v>
          </cell>
        </row>
        <row r="38">
          <cell r="H38" t="e">
            <v>#DIV/0!</v>
          </cell>
        </row>
        <row r="39">
          <cell r="H39">
            <v>4.3839675608234561E-3</v>
          </cell>
        </row>
        <row r="40">
          <cell r="H40">
            <v>5.0758396533044422E-3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9" t="s">
        <v>0</v>
      </c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409"/>
      <c r="Q1" s="409"/>
      <c r="R1" s="409"/>
    </row>
    <row r="3" spans="2:21" ht="21">
      <c r="B3" s="410" t="s">
        <v>1</v>
      </c>
      <c r="C3" s="410"/>
      <c r="D3" s="410"/>
      <c r="E3" s="410"/>
      <c r="F3" s="410"/>
      <c r="G3" s="410"/>
      <c r="H3" s="410"/>
      <c r="I3" s="410"/>
      <c r="J3" s="410"/>
      <c r="K3" s="410"/>
      <c r="L3" s="410"/>
      <c r="M3" s="410"/>
      <c r="N3" s="410"/>
      <c r="O3" s="410"/>
      <c r="P3" s="410"/>
      <c r="Q3" s="410"/>
      <c r="R3" s="410"/>
    </row>
    <row r="4" spans="2:21" thickBot="1">
      <c r="B4" s="411">
        <v>46023</v>
      </c>
      <c r="C4" s="411"/>
      <c r="D4" s="411"/>
      <c r="E4" s="411"/>
      <c r="F4" s="411"/>
      <c r="G4" s="411"/>
      <c r="H4" s="411"/>
      <c r="I4" s="411"/>
      <c r="J4" s="411"/>
      <c r="K4" s="411"/>
      <c r="L4" s="411"/>
      <c r="M4" s="411"/>
      <c r="N4" s="411"/>
      <c r="O4" s="411"/>
      <c r="P4" s="411"/>
      <c r="Q4" s="411"/>
      <c r="R4" s="411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2" t="s">
        <v>26</v>
      </c>
      <c r="J5" s="94" t="s">
        <v>18</v>
      </c>
      <c r="K5" s="94" t="s">
        <v>6</v>
      </c>
      <c r="L5" s="415" t="s">
        <v>22</v>
      </c>
      <c r="M5" s="418" t="s">
        <v>24</v>
      </c>
      <c r="N5" s="418" t="s">
        <v>25</v>
      </c>
      <c r="O5" s="418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3"/>
      <c r="J6" s="98" t="s">
        <v>17</v>
      </c>
      <c r="K6" s="98" t="s">
        <v>17</v>
      </c>
      <c r="L6" s="416"/>
      <c r="M6" s="419"/>
      <c r="N6" s="419"/>
      <c r="O6" s="419"/>
      <c r="P6" s="100" t="s">
        <v>19</v>
      </c>
      <c r="Q6" s="101" t="s">
        <v>10</v>
      </c>
      <c r="R6" s="101" t="s">
        <v>10</v>
      </c>
      <c r="S6" s="403" t="s">
        <v>21</v>
      </c>
      <c r="T6" s="403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4"/>
      <c r="J7" s="102"/>
      <c r="K7" s="102"/>
      <c r="L7" s="417"/>
      <c r="M7" s="420"/>
      <c r="N7" s="420"/>
      <c r="O7" s="420"/>
      <c r="P7" s="104"/>
      <c r="Q7" s="104" t="s">
        <v>80</v>
      </c>
      <c r="R7" s="105" t="s">
        <v>81</v>
      </c>
      <c r="S7" s="404"/>
      <c r="T7" s="404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5">
        <f>((J9+J8)-(K9+K8))/(J9+J8)*100</f>
        <v>2.4146981627296631</v>
      </c>
      <c r="T8" s="405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5"/>
      <c r="T9" s="405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6">
        <f>((J13+J12)-(K13+K12))/(J13+J12)*100</f>
        <v>2.8714467543487445</v>
      </c>
      <c r="T12" s="406"/>
      <c r="U12" s="113"/>
    </row>
    <row r="13" spans="2:21">
      <c r="B13" s="60">
        <v>46031</v>
      </c>
      <c r="C13" s="49">
        <v>4</v>
      </c>
      <c r="D13" s="30" t="s">
        <v>45</v>
      </c>
      <c r="E13" s="383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6"/>
      <c r="T13" s="406"/>
      <c r="U13" s="113"/>
    </row>
    <row r="14" spans="2:21">
      <c r="B14" s="60">
        <v>46031</v>
      </c>
      <c r="C14" s="49">
        <v>4</v>
      </c>
      <c r="D14" s="30" t="s">
        <v>48</v>
      </c>
      <c r="E14" s="384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7">
        <f>((J15+J14)-(K15+K14))/(J15+J14)*100</f>
        <v>3.4806378132118421</v>
      </c>
      <c r="T14" s="407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7"/>
      <c r="T15" s="407"/>
      <c r="U15" s="113"/>
    </row>
    <row r="16" spans="2:21">
      <c r="B16" s="60">
        <v>46034</v>
      </c>
      <c r="C16" s="49">
        <v>6</v>
      </c>
      <c r="D16" s="30" t="s">
        <v>64</v>
      </c>
      <c r="E16" s="383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5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4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8">
        <f>((J19+J18)-(K19+K18))/(J19+J18)*100</f>
        <v>2.1446625436945261</v>
      </c>
      <c r="T18" s="408"/>
      <c r="U18" s="113"/>
    </row>
    <row r="19" spans="2:80">
      <c r="B19" s="60">
        <v>46035</v>
      </c>
      <c r="C19" s="49">
        <v>7</v>
      </c>
      <c r="D19" s="30" t="s">
        <v>27</v>
      </c>
      <c r="E19" s="383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8"/>
      <c r="T19" s="408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4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00">
        <f>((J21+J20)-(K21+K20))/(J21+J20)*100</f>
        <v>2.5274056029232503</v>
      </c>
      <c r="T20" s="400"/>
      <c r="U20" s="113"/>
    </row>
    <row r="21" spans="2:80">
      <c r="B21" s="143">
        <v>46036</v>
      </c>
      <c r="C21" s="115">
        <v>8</v>
      </c>
      <c r="D21" s="30" t="s">
        <v>45</v>
      </c>
      <c r="E21" s="383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00"/>
      <c r="T21" s="400"/>
      <c r="U21" s="113"/>
    </row>
    <row r="22" spans="2:80">
      <c r="B22" s="143">
        <v>46036</v>
      </c>
      <c r="C22" s="115">
        <v>8</v>
      </c>
      <c r="D22" s="30" t="s">
        <v>27</v>
      </c>
      <c r="E22" s="384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3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4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3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4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1">
        <f>((J27+J26)-(K27+K26))/(J27+J26)*100</f>
        <v>1.7898115840893327</v>
      </c>
      <c r="T26" s="401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3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1"/>
      <c r="T27" s="401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4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2">
        <f>((J29+J28)-(K29+K28))/(J29+J28)*100</f>
        <v>1.2920353982300843</v>
      </c>
      <c r="T28" s="402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3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2"/>
      <c r="T29" s="402"/>
      <c r="U29" s="113"/>
    </row>
    <row r="30" spans="2:80">
      <c r="B30" s="143">
        <v>46042</v>
      </c>
      <c r="C30" s="115">
        <v>13</v>
      </c>
      <c r="D30" s="30" t="s">
        <v>73</v>
      </c>
      <c r="E30" s="384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3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5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5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4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3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5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5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4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3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4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3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4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1">
        <f>((J44+J43)-(K44+K43))/(J44+J43)*100</f>
        <v>4.6861702127659592</v>
      </c>
      <c r="T43" s="382"/>
    </row>
    <row r="44" spans="2:21">
      <c r="B44" s="143">
        <v>46050</v>
      </c>
      <c r="C44" s="115">
        <v>19</v>
      </c>
      <c r="D44" s="116" t="s">
        <v>85</v>
      </c>
      <c r="E44" s="383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1"/>
      <c r="T44" s="382"/>
    </row>
    <row r="45" spans="2:21">
      <c r="B45" s="143">
        <v>46050</v>
      </c>
      <c r="C45" s="115">
        <v>19</v>
      </c>
      <c r="D45" s="116" t="s">
        <v>87</v>
      </c>
      <c r="E45" s="385"/>
      <c r="F45" s="422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381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5"/>
      <c r="F46" s="422"/>
      <c r="G46" s="108">
        <v>600</v>
      </c>
      <c r="H46" s="423"/>
      <c r="I46" s="110"/>
      <c r="J46" s="423"/>
      <c r="K46" s="423"/>
      <c r="L46" s="423"/>
      <c r="M46" s="381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4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1">
        <f>((J52+J51)-(K52+K51))/(J52+J51)*100</f>
        <v>2.3639291465378403</v>
      </c>
      <c r="T51" s="382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1"/>
      <c r="T52" s="382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98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99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00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00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00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5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5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8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8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2">
        <f>SUM(81,70.5,79,93.5,95.7,98.4,95.8,94,91.6)-61.3</f>
        <v>738.2</v>
      </c>
      <c r="K33" s="382">
        <f>(G33+G34+G35)*0.066</f>
        <v>726.52800000000002</v>
      </c>
      <c r="L33" s="382">
        <f t="shared" si="2"/>
        <v>11.672000000000025</v>
      </c>
      <c r="M33" s="164">
        <f>[3]Mar!$AD33</f>
        <v>129</v>
      </c>
      <c r="N33" s="381">
        <f>8+2+2</f>
        <v>12</v>
      </c>
      <c r="O33" s="55"/>
      <c r="P33" s="382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2"/>
      <c r="K34" s="382"/>
      <c r="L34" s="382"/>
      <c r="M34" s="164">
        <f>[3]Mar!$AD34</f>
        <v>58</v>
      </c>
      <c r="N34" s="381"/>
      <c r="O34" s="55"/>
      <c r="P34" s="382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2"/>
      <c r="K35" s="382"/>
      <c r="L35" s="382"/>
      <c r="M35" s="164">
        <f>[3]Mar!$AD35</f>
        <v>53</v>
      </c>
      <c r="N35" s="381"/>
      <c r="O35" s="55"/>
      <c r="P35" s="382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2">
        <f>SUM(94,89.6,96,96)-14</f>
        <v>361.6</v>
      </c>
      <c r="K39" s="382">
        <f>(G39+G40)*0.066+(79*0.19)</f>
        <v>352.73200000000003</v>
      </c>
      <c r="L39" s="382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2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2"/>
      <c r="K40" s="382"/>
      <c r="L40" s="382"/>
      <c r="M40" s="164">
        <f>[3]Mar!$AD40</f>
        <v>74</v>
      </c>
      <c r="N40" s="55">
        <v>5</v>
      </c>
      <c r="O40" s="55"/>
      <c r="P40" s="382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382">
        <f>(G41+G42)*24/(F41/60)/17000*100</f>
        <v>49.010893246187365</v>
      </c>
      <c r="I41" s="55"/>
      <c r="J41" s="382">
        <f>SUM(96.5)</f>
        <v>96.5</v>
      </c>
      <c r="K41" s="382">
        <f>(G41+G42)*0.066</f>
        <v>92.796000000000006</v>
      </c>
      <c r="L41" s="382">
        <f t="shared" si="2"/>
        <v>3.7039999999999935</v>
      </c>
      <c r="M41" s="440">
        <f>[3]Mar!$AD41</f>
        <v>356</v>
      </c>
      <c r="N41" s="381">
        <v>10</v>
      </c>
      <c r="O41" s="55"/>
      <c r="P41" s="382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382"/>
      <c r="I42" s="55"/>
      <c r="J42" s="382"/>
      <c r="K42" s="382"/>
      <c r="L42" s="382"/>
      <c r="M42" s="440"/>
      <c r="N42" s="381"/>
      <c r="O42" s="55"/>
      <c r="P42" s="382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3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4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2">
        <f>SUM(43.7,62.5,97,90.4)</f>
        <v>293.60000000000002</v>
      </c>
      <c r="K55" s="382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2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2"/>
      <c r="K56" s="382"/>
      <c r="L56" s="54">
        <f t="shared" si="14"/>
        <v>0</v>
      </c>
      <c r="M56" s="164">
        <f>[3]Mar!$AD55</f>
        <v>48</v>
      </c>
      <c r="N56" s="55">
        <v>1</v>
      </c>
      <c r="O56" s="55"/>
      <c r="P56" s="382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2"/>
      <c r="K57" s="382"/>
      <c r="L57" s="54">
        <f t="shared" si="14"/>
        <v>0</v>
      </c>
      <c r="M57" s="164">
        <f>[3]Mar!$AD56</f>
        <v>185</v>
      </c>
      <c r="N57" s="55">
        <v>10</v>
      </c>
      <c r="O57" s="55"/>
      <c r="P57" s="382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99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2">
        <f>SUM(96,102)</f>
        <v>198</v>
      </c>
      <c r="K22" s="382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2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2"/>
      <c r="K23" s="382"/>
      <c r="L23" s="54">
        <f t="shared" si="5"/>
        <v>0</v>
      </c>
      <c r="M23" s="55">
        <f>[3]Apr!AD23</f>
        <v>312</v>
      </c>
      <c r="N23" s="187"/>
      <c r="O23" s="55"/>
      <c r="P23" s="382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2">
        <f>SUM(81,85.5)</f>
        <v>166.5</v>
      </c>
      <c r="K25" s="382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2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2"/>
      <c r="K26" s="382"/>
      <c r="L26" s="54">
        <f t="shared" si="6"/>
        <v>0</v>
      </c>
      <c r="M26" s="55">
        <f>[3]Apr!AD26</f>
        <v>104</v>
      </c>
      <c r="N26" s="187"/>
      <c r="O26" s="55"/>
      <c r="P26" s="382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382">
        <f>(G32+F33)*24/(F32/60)/17000*100</f>
        <v>50.207486631016053</v>
      </c>
      <c r="I32" s="55">
        <v>239</v>
      </c>
      <c r="J32" s="382">
        <f>SUM(30.6,50.5,99)</f>
        <v>180.1</v>
      </c>
      <c r="K32" s="382">
        <f>(G32)*0.066</f>
        <v>177.738</v>
      </c>
      <c r="L32" s="54">
        <f t="shared" si="6"/>
        <v>2.3619999999999948</v>
      </c>
      <c r="M32" s="55">
        <f>[3]Apr!AD32</f>
        <v>522</v>
      </c>
      <c r="N32" s="381">
        <v>5</v>
      </c>
      <c r="O32" s="55"/>
      <c r="P32" s="382">
        <f>(J32-K32)/J32*100</f>
        <v>1.3114936146585201</v>
      </c>
      <c r="Q32" s="381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382"/>
      <c r="I33" s="55"/>
      <c r="J33" s="382"/>
      <c r="K33" s="382"/>
      <c r="L33" s="54">
        <f t="shared" si="6"/>
        <v>0</v>
      </c>
      <c r="M33" s="55">
        <f>[3]Apr!AD33</f>
        <v>58</v>
      </c>
      <c r="N33" s="381"/>
      <c r="O33" s="55"/>
      <c r="P33" s="382"/>
      <c r="Q33" s="381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2">
        <f>SUM(78,99,92)-23.8</f>
        <v>245.2</v>
      </c>
      <c r="K39" s="382">
        <f>(G39+G40)*0.066</f>
        <v>241.69200000000001</v>
      </c>
      <c r="L39" s="382">
        <f t="shared" si="5"/>
        <v>3.5079999999999814</v>
      </c>
      <c r="M39" s="55">
        <f>[3]Apr!AD39</f>
        <v>524</v>
      </c>
      <c r="N39" s="381">
        <f>10+2+3</f>
        <v>15</v>
      </c>
      <c r="O39" s="55"/>
      <c r="P39" s="382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2"/>
      <c r="K40" s="382"/>
      <c r="L40" s="382"/>
      <c r="M40" s="55">
        <f>[3]Apr!AD40</f>
        <v>363</v>
      </c>
      <c r="N40" s="381"/>
      <c r="O40" s="55"/>
      <c r="P40" s="382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2">
        <f>SUM(99,23.8,103)</f>
        <v>225.8</v>
      </c>
      <c r="K41" s="382">
        <f>(G41+G42)*0.066</f>
        <v>224.334</v>
      </c>
      <c r="L41" s="382">
        <f>J41-K41</f>
        <v>1.4660000000000082</v>
      </c>
      <c r="M41" s="55">
        <f>[3]Apr!AD41</f>
        <v>84</v>
      </c>
      <c r="N41" s="381">
        <f>13+2</f>
        <v>15</v>
      </c>
      <c r="O41" s="55"/>
      <c r="P41" s="382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2"/>
      <c r="K42" s="382"/>
      <c r="L42" s="382"/>
      <c r="M42" s="55">
        <f>[3]Apr!AD42</f>
        <v>807</v>
      </c>
      <c r="N42" s="381"/>
      <c r="O42" s="55"/>
      <c r="P42" s="382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98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99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3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4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3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2">
        <f>SUM(95,98)-10</f>
        <v>183</v>
      </c>
      <c r="L10" s="382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1">
        <f>33+15</f>
        <v>48</v>
      </c>
      <c r="P10" s="55"/>
      <c r="Q10" s="382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4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2"/>
      <c r="L11" s="382"/>
      <c r="M11" s="54">
        <f t="shared" si="2"/>
        <v>0</v>
      </c>
      <c r="N11" s="55">
        <f>[3]May!$AD11</f>
        <v>41</v>
      </c>
      <c r="O11" s="381"/>
      <c r="P11" s="55"/>
      <c r="Q11" s="382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3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5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4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3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4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3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4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3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4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3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5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5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4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3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4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3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4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3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2">
        <f>SUM(92.9,86,97,98.3)</f>
        <v>374.2</v>
      </c>
      <c r="L33" s="382">
        <f>(G33+G34)*0.066</f>
        <v>366.63</v>
      </c>
      <c r="M33" s="382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2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5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2"/>
      <c r="L34" s="382"/>
      <c r="M34" s="382"/>
      <c r="N34" s="55">
        <f>[3]May!$AD34</f>
        <v>141</v>
      </c>
      <c r="O34" s="55">
        <v>4</v>
      </c>
      <c r="P34" s="55"/>
      <c r="Q34" s="382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4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3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4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3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5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4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3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5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4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3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4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7" sqref="J2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99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3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4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3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5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4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3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4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3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5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5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2">
        <f>SUM(97,91,94.6)-57.3-24-10</f>
        <v>191.3</v>
      </c>
      <c r="K20" s="382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2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4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2"/>
      <c r="K21" s="382"/>
      <c r="L21" s="54">
        <f t="shared" si="0"/>
        <v>0</v>
      </c>
      <c r="M21" s="55">
        <f>[3]Jun!$AD21</f>
        <v>121</v>
      </c>
      <c r="N21" s="50"/>
      <c r="O21" s="55"/>
      <c r="P21" s="382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3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4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3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4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3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5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4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3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4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2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2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2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2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2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21" activePane="bottomRight" state="frozen"/>
      <selection activeCell="A4" sqref="A4"/>
      <selection pane="topRight" activeCell="B4" sqref="B4"/>
      <selection pane="bottomLeft" activeCell="A8" sqref="A8"/>
      <selection pane="bottomRight" activeCell="J40" sqref="J4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99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3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4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3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5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4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3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4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3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4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3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5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2">
        <v>97.6</v>
      </c>
      <c r="K19" s="382">
        <f>(G19+G20)*0.066</f>
        <v>94.710000000000008</v>
      </c>
      <c r="L19" s="382">
        <f t="shared" si="4"/>
        <v>2.8899999999999864</v>
      </c>
      <c r="M19" s="55">
        <f>[3]Jul!$AD19</f>
        <v>85</v>
      </c>
      <c r="N19" s="55"/>
      <c r="O19" s="55"/>
      <c r="P19" s="382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5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2"/>
      <c r="K20" s="382"/>
      <c r="L20" s="382"/>
      <c r="M20" s="55">
        <f>[3]Jul!$AD20</f>
        <v>48</v>
      </c>
      <c r="N20" s="55"/>
      <c r="O20" s="55"/>
      <c r="P20" s="382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5"/>
      <c r="F21" s="422">
        <f>[3]Jul!$N82</f>
        <v>280</v>
      </c>
      <c r="G21" s="18">
        <v>702</v>
      </c>
      <c r="H21" s="382">
        <f>(G21+G22)*24/(F21/60)/17000*100</f>
        <v>24.322689075630251</v>
      </c>
      <c r="I21" s="69"/>
      <c r="J21" s="382">
        <f>SUM(101.1)-43.5</f>
        <v>57.599999999999994</v>
      </c>
      <c r="K21" s="382">
        <f>(G21+G22)*0.066</f>
        <v>53.064</v>
      </c>
      <c r="L21" s="382">
        <f t="shared" si="4"/>
        <v>4.5359999999999943</v>
      </c>
      <c r="M21" s="55">
        <f>[3]Jul!$AD21</f>
        <v>68</v>
      </c>
      <c r="N21" s="55"/>
      <c r="O21" s="55"/>
      <c r="P21" s="382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4"/>
      <c r="F22" s="422"/>
      <c r="G22" s="18">
        <v>102</v>
      </c>
      <c r="H22" s="382"/>
      <c r="I22" s="69"/>
      <c r="J22" s="382"/>
      <c r="K22" s="382"/>
      <c r="L22" s="382"/>
      <c r="M22" s="55">
        <f>[3]Jul!$AD22</f>
        <v>157</v>
      </c>
      <c r="N22" s="55"/>
      <c r="O22" s="55"/>
      <c r="P22" s="382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3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5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2">
        <f>SUM(93,88)</f>
        <v>181</v>
      </c>
      <c r="K24" s="382">
        <f>(G24+G25)*0.066</f>
        <v>178.13400000000001</v>
      </c>
      <c r="L24" s="382">
        <f t="shared" si="4"/>
        <v>2.8659999999999854</v>
      </c>
      <c r="M24" s="55">
        <f>[3]Jul!$AD24</f>
        <v>147</v>
      </c>
      <c r="N24" s="381">
        <f>2+7</f>
        <v>9</v>
      </c>
      <c r="O24" s="55"/>
      <c r="P24" s="382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4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2"/>
      <c r="K25" s="382"/>
      <c r="L25" s="382"/>
      <c r="M25" s="55">
        <f>[3]Jul!$AD25</f>
        <v>90</v>
      </c>
      <c r="N25" s="381"/>
      <c r="O25" s="55"/>
      <c r="P25" s="382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3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4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3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4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3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4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3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5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2">
        <f>SUM(99,88.8,90,98,47.1)-7.2-72.9</f>
        <v>342.80000000000007</v>
      </c>
      <c r="K34" s="382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2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5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2"/>
      <c r="K35" s="382"/>
      <c r="L35" s="54">
        <f t="shared" si="4"/>
        <v>0</v>
      </c>
      <c r="M35" s="55">
        <f>[3]Jul!$AD35</f>
        <v>107</v>
      </c>
      <c r="N35" s="55">
        <v>1</v>
      </c>
      <c r="O35" s="55"/>
      <c r="P35" s="382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4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2"/>
      <c r="K36" s="382"/>
      <c r="L36" s="54">
        <f t="shared" si="4"/>
        <v>0</v>
      </c>
      <c r="M36" s="55">
        <f>[3]Jul!$AD36</f>
        <v>92</v>
      </c>
      <c r="N36" s="55">
        <v>1</v>
      </c>
      <c r="O36" s="55"/>
      <c r="P36" s="382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3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4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3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4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3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5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4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3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4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3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4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3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4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3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2">
        <f>SUM(96.2,1,102,98,95.5,97.8,90,90)-20.7</f>
        <v>649.79999999999995</v>
      </c>
      <c r="K51" s="382">
        <f>(G51+G52)*0.066</f>
        <v>642.048</v>
      </c>
      <c r="L51" s="54">
        <f t="shared" si="4"/>
        <v>7.7519999999999527</v>
      </c>
      <c r="M51" s="55">
        <f>[3]Jul!$AD51</f>
        <v>137</v>
      </c>
      <c r="N51" s="381">
        <f>7+2+18</f>
        <v>27</v>
      </c>
      <c r="O51" s="55"/>
      <c r="P51" s="382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4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2"/>
      <c r="K52" s="382"/>
      <c r="L52" s="54">
        <f t="shared" si="4"/>
        <v>0</v>
      </c>
      <c r="M52" s="55">
        <f>[3]Jul!$AD52</f>
        <v>165</v>
      </c>
      <c r="N52" s="381"/>
      <c r="O52" s="55"/>
      <c r="P52" s="382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3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2">
        <f>SUM(20.7,80)</f>
        <v>100.7</v>
      </c>
      <c r="K53" s="382">
        <f>(G53+G54)*0.066</f>
        <v>99.198000000000008</v>
      </c>
      <c r="L53" s="382">
        <f t="shared" si="4"/>
        <v>1.5019999999999953</v>
      </c>
      <c r="M53" s="55">
        <f>[3]Jul!$AD53</f>
        <v>32</v>
      </c>
      <c r="N53" s="381">
        <v>10</v>
      </c>
      <c r="O53" s="55"/>
      <c r="P53" s="382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5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2"/>
      <c r="K54" s="382"/>
      <c r="L54" s="382"/>
      <c r="M54" s="55">
        <f>[3]Jul!$AD54</f>
        <v>115</v>
      </c>
      <c r="N54" s="381"/>
      <c r="O54" s="54"/>
      <c r="P54" s="382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4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3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5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4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7" sqref="J27:J2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98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99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1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1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1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1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1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2">
        <f>54.9+93+78+105</f>
        <v>330.9</v>
      </c>
      <c r="K17" s="382">
        <f>(G17+G18)*0.066</f>
        <v>329.142</v>
      </c>
      <c r="L17" s="382">
        <f t="shared" si="1"/>
        <v>1.7579999999999814</v>
      </c>
      <c r="M17" s="55">
        <f>[3]Aug!$AD17</f>
        <v>53</v>
      </c>
      <c r="N17" s="55"/>
      <c r="O17" s="55"/>
      <c r="P17" s="382">
        <f>(J17-K17)/J17*100</f>
        <v>0.53127833182229722</v>
      </c>
      <c r="Q17" s="381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2"/>
      <c r="K18" s="382"/>
      <c r="L18" s="382"/>
      <c r="M18" s="55">
        <f>[3]Aug!$AD18</f>
        <v>195</v>
      </c>
      <c r="N18" s="55">
        <v>2</v>
      </c>
      <c r="O18" s="55"/>
      <c r="P18" s="382"/>
      <c r="Q18" s="381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1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1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1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2">
        <f>71+78.5+82+88+96-13-32</f>
        <v>370.5</v>
      </c>
      <c r="K22" s="382">
        <f>(G22+G23)*0.066</f>
        <v>369.46800000000002</v>
      </c>
      <c r="L22" s="382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2">
        <f>(J22-K22)/J22*100</f>
        <v>0.2785425101214527</v>
      </c>
      <c r="Q22" s="381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382"/>
      <c r="K23" s="382"/>
      <c r="L23" s="382"/>
      <c r="M23" s="55">
        <f>[3]Aug!$AD23</f>
        <v>96</v>
      </c>
      <c r="N23" s="55">
        <v>0</v>
      </c>
      <c r="O23" s="55"/>
      <c r="P23" s="382"/>
      <c r="Q23" s="381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2">
        <f>13+32+99+99.7+93.5+98+83.7+98.6+97-70</f>
        <v>644.5</v>
      </c>
      <c r="K24" s="382">
        <f>(G24+G25)*0.066</f>
        <v>628.18799999999999</v>
      </c>
      <c r="L24" s="382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2">
        <f>(J24-K24)/J24*100</f>
        <v>2.5309542280837878</v>
      </c>
      <c r="Q24" s="381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2"/>
      <c r="K25" s="382"/>
      <c r="L25" s="382"/>
      <c r="M25" s="55">
        <f>[3]Aug!$AD25</f>
        <v>170</v>
      </c>
      <c r="N25" s="55">
        <v>3</v>
      </c>
      <c r="O25" s="55"/>
      <c r="P25" s="382"/>
      <c r="Q25" s="381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1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2">
        <f>((1800*2)*0.066)</f>
        <v>237.60000000000002</v>
      </c>
      <c r="K27" s="382">
        <f>(G27+G28)*0.066</f>
        <v>232.65</v>
      </c>
      <c r="L27" s="382">
        <f t="shared" si="1"/>
        <v>4.9500000000000171</v>
      </c>
      <c r="M27" s="55">
        <f>[3]Aug!$AD27</f>
        <v>288</v>
      </c>
      <c r="N27" s="55">
        <v>32</v>
      </c>
      <c r="O27" s="55"/>
      <c r="P27" s="382">
        <f t="shared" si="5"/>
        <v>2.0833333333333401</v>
      </c>
      <c r="Q27" s="381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2"/>
      <c r="K28" s="382"/>
      <c r="L28" s="382"/>
      <c r="M28" s="55">
        <f>[3]Aug!$AD28</f>
        <v>48</v>
      </c>
      <c r="N28" s="55">
        <v>3</v>
      </c>
      <c r="O28" s="55"/>
      <c r="P28" s="382"/>
      <c r="Q28" s="381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1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17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98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9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3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4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3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2">
        <f>SUM(56.3,91,90,100.8,91.3,93.1,94.4)-89.5</f>
        <v>527.4</v>
      </c>
      <c r="K10" s="382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382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5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382"/>
      <c r="K11" s="382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2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4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2"/>
      <c r="K12" s="382"/>
      <c r="L12" s="54">
        <f t="shared" si="7"/>
        <v>0</v>
      </c>
      <c r="M12" s="55">
        <f>[3]Sept!$AD12</f>
        <v>100</v>
      </c>
      <c r="N12" s="55">
        <v>3</v>
      </c>
      <c r="O12" s="55"/>
      <c r="P12" s="382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3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5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4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3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4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3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4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3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4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3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4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3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5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4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3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5"/>
      <c r="F32" s="422">
        <f>[3]Sept!$N87</f>
        <v>106</v>
      </c>
      <c r="G32" s="18">
        <v>368</v>
      </c>
      <c r="H32" s="54">
        <f t="shared" si="0"/>
        <v>29.407325194228633</v>
      </c>
      <c r="I32" s="55"/>
      <c r="J32" s="382">
        <f>SUM(52.6)</f>
        <v>52.6</v>
      </c>
      <c r="K32" s="382">
        <f>(G32+G33)*0.066</f>
        <v>49.566000000000003</v>
      </c>
      <c r="L32" s="382">
        <f t="shared" si="11"/>
        <v>3.0339999999999989</v>
      </c>
      <c r="M32" s="381">
        <f>[3]Sept!$AD32</f>
        <v>32</v>
      </c>
      <c r="N32" s="381">
        <v>8</v>
      </c>
      <c r="O32" s="55"/>
      <c r="P32" s="382">
        <f t="shared" si="6"/>
        <v>5.768060836501899</v>
      </c>
      <c r="Q32" s="55">
        <f>(G32)/(E31/60)</f>
        <v>17.523809523809526</v>
      </c>
      <c r="R32" s="33"/>
      <c r="S32" s="382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5"/>
      <c r="F33" s="422"/>
      <c r="G33" s="185">
        <v>383</v>
      </c>
      <c r="H33" s="54" t="e">
        <f t="shared" si="0"/>
        <v>#DIV/0!</v>
      </c>
      <c r="I33" s="55"/>
      <c r="J33" s="382"/>
      <c r="K33" s="382"/>
      <c r="L33" s="382"/>
      <c r="M33" s="381"/>
      <c r="N33" s="381"/>
      <c r="O33" s="55"/>
      <c r="P33" s="382"/>
      <c r="Q33" s="55">
        <f>(G33)/(E31/60)</f>
        <v>18.238095238095237</v>
      </c>
      <c r="R33" s="33"/>
      <c r="S33" s="382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5"/>
      <c r="F34" s="422">
        <f>[3]Sept!$N88</f>
        <v>101</v>
      </c>
      <c r="G34" s="18">
        <v>369</v>
      </c>
      <c r="H34" s="54">
        <f t="shared" si="0"/>
        <v>30.947000582411182</v>
      </c>
      <c r="I34" s="55"/>
      <c r="J34" s="382">
        <f>50</f>
        <v>50</v>
      </c>
      <c r="K34" s="382">
        <f>(G34+G35)*0.066</f>
        <v>48.18</v>
      </c>
      <c r="L34" s="382">
        <f t="shared" si="11"/>
        <v>1.8200000000000003</v>
      </c>
      <c r="M34" s="381">
        <f>[3]Sept!$AD33</f>
        <v>26</v>
      </c>
      <c r="N34" s="381">
        <v>10</v>
      </c>
      <c r="O34" s="55"/>
      <c r="P34" s="382">
        <f t="shared" si="6"/>
        <v>3.640000000000001</v>
      </c>
      <c r="Q34" s="55">
        <f>(G34)/(E31/60)</f>
        <v>17.571428571428573</v>
      </c>
      <c r="R34" s="33"/>
      <c r="S34" s="382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4"/>
      <c r="F35" s="422"/>
      <c r="G35" s="18">
        <v>361</v>
      </c>
      <c r="H35" s="54" t="e">
        <f t="shared" si="0"/>
        <v>#DIV/0!</v>
      </c>
      <c r="I35" s="55"/>
      <c r="J35" s="382"/>
      <c r="K35" s="382"/>
      <c r="L35" s="382"/>
      <c r="M35" s="381"/>
      <c r="N35" s="381"/>
      <c r="O35" s="55"/>
      <c r="P35" s="382"/>
      <c r="Q35" s="55">
        <f>(G35)/(E31/60)</f>
        <v>17.19047619047619</v>
      </c>
      <c r="R35" s="33"/>
      <c r="S35" s="382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3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382">
        <f>SUM(94,92)</f>
        <v>186</v>
      </c>
      <c r="K36" s="382">
        <f>(G36+G37)*0.066</f>
        <v>179.916</v>
      </c>
      <c r="L36" s="54">
        <f t="shared" si="11"/>
        <v>6.0840000000000032</v>
      </c>
      <c r="M36" s="55">
        <f>[3]Sept!$AD34</f>
        <v>196</v>
      </c>
      <c r="N36" s="381">
        <f>2+27</f>
        <v>29</v>
      </c>
      <c r="O36" s="55"/>
      <c r="P36" s="382">
        <f>(J36-K36)/J36*100</f>
        <v>3.2709677419354857</v>
      </c>
      <c r="Q36" s="55">
        <f>(G36)/(E36/60)</f>
        <v>25.12087912087912</v>
      </c>
      <c r="R36" s="33"/>
      <c r="S36" s="382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4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382"/>
      <c r="K37" s="382"/>
      <c r="L37" s="54">
        <f t="shared" si="11"/>
        <v>0</v>
      </c>
      <c r="M37" s="55">
        <f>[3]Sept!$AD35</f>
        <v>71</v>
      </c>
      <c r="N37" s="381"/>
      <c r="O37" s="55"/>
      <c r="P37" s="382"/>
      <c r="Q37" s="55">
        <f>(G37)/(E36/60)</f>
        <v>154.61538461538461</v>
      </c>
      <c r="R37" s="33"/>
      <c r="S37" s="382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3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4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3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4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3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4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3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4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U127"/>
  <sheetViews>
    <sheetView tabSelected="1" topLeftCell="A4" zoomScale="90" zoomScaleNormal="90" zoomScaleSheetLayoutView="80" workbookViewId="0">
      <pane xSplit="2" ySplit="4" topLeftCell="C10" activePane="bottomRight" state="frozen"/>
      <selection activeCell="A4" sqref="A4"/>
      <selection pane="topRight" activeCell="B4" sqref="B4"/>
      <selection pane="bottomLeft" activeCell="A8" sqref="A8"/>
      <selection pane="bottomRight" activeCell="D37" sqref="D37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85546875" bestFit="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1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1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1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1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1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9" t="s">
        <v>68</v>
      </c>
    </row>
    <row r="7" spans="1:21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99"/>
      <c r="S7" s="11"/>
    </row>
    <row r="8" spans="1:21" ht="15.75">
      <c r="B8" s="60">
        <v>46296</v>
      </c>
      <c r="C8" s="49">
        <v>1</v>
      </c>
      <c r="D8" s="30" t="s">
        <v>48</v>
      </c>
      <c r="E8" s="385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1" ht="15.75">
      <c r="B9" s="60">
        <v>46296</v>
      </c>
      <c r="C9" s="49">
        <v>1</v>
      </c>
      <c r="D9" s="30" t="s">
        <v>165</v>
      </c>
      <c r="E9" s="384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1" ht="15.75">
      <c r="B10" s="92">
        <v>46297</v>
      </c>
      <c r="C10" s="88">
        <v>2</v>
      </c>
      <c r="D10" s="30" t="s">
        <v>165</v>
      </c>
      <c r="E10" s="383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</row>
    <row r="11" spans="1:21" s="253" customFormat="1" ht="15.75">
      <c r="A11"/>
      <c r="B11" s="92">
        <v>46297</v>
      </c>
      <c r="C11" s="88">
        <v>2</v>
      </c>
      <c r="D11" s="30" t="s">
        <v>54</v>
      </c>
      <c r="E11" s="384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/>
      <c r="U11"/>
    </row>
    <row r="12" spans="1:21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</row>
    <row r="13" spans="1:21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</row>
    <row r="14" spans="1:21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</row>
    <row r="15" spans="1:21" ht="15.75">
      <c r="B15" s="60">
        <v>46303</v>
      </c>
      <c r="C15" s="49">
        <v>6</v>
      </c>
      <c r="D15" s="30" t="s">
        <v>146</v>
      </c>
      <c r="E15" s="383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381">
        <f>(G15+G16)/(E15/60)</f>
        <v>386.32941176470592</v>
      </c>
      <c r="R15" s="33"/>
      <c r="S15" s="54">
        <f>SUM('[4]Daily glue OCT'!$H$12)</f>
        <v>3.8527960526315787E-3</v>
      </c>
    </row>
    <row r="16" spans="1:21" ht="15.75">
      <c r="B16" s="60">
        <v>46303</v>
      </c>
      <c r="C16" s="49">
        <v>6</v>
      </c>
      <c r="D16" s="30" t="s">
        <v>27</v>
      </c>
      <c r="E16" s="384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381"/>
      <c r="R16" s="33"/>
      <c r="S16" s="54">
        <f>'[4]Daily glue OCT'!$H$13</f>
        <v>6.1624465636303839E-3</v>
      </c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</row>
    <row r="18" spans="2:20" ht="15.75">
      <c r="B18" s="60">
        <v>46307</v>
      </c>
      <c r="C18" s="49"/>
      <c r="D18" s="30" t="s">
        <v>51</v>
      </c>
      <c r="E18" s="383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</row>
    <row r="19" spans="2:20" ht="15.75">
      <c r="B19" s="60">
        <v>46307</v>
      </c>
      <c r="C19" s="49">
        <v>8</v>
      </c>
      <c r="D19" s="30" t="s">
        <v>167</v>
      </c>
      <c r="E19" s="384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</row>
    <row r="20" spans="2:20" ht="15.75">
      <c r="B20" s="60">
        <v>46308</v>
      </c>
      <c r="C20" s="49">
        <v>9</v>
      </c>
      <c r="D20" s="30" t="s">
        <v>167</v>
      </c>
      <c r="E20" s="383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382">
        <f>SUM(57.1,97.1,97.8,95,94,98.9,94,97.4)-45.5-94</f>
        <v>591.79999999999995</v>
      </c>
      <c r="K20" s="382">
        <f>(G20+G21)*0.066</f>
        <v>568.85400000000004</v>
      </c>
      <c r="L20" s="382">
        <f t="shared" si="7"/>
        <v>22.945999999999913</v>
      </c>
      <c r="M20" s="55">
        <f>[3]Oct!$AD20</f>
        <v>132</v>
      </c>
      <c r="N20" s="55">
        <f>7+3</f>
        <v>10</v>
      </c>
      <c r="O20" s="55"/>
      <c r="P20" s="382">
        <f t="shared" si="3"/>
        <v>3.8773234200743349</v>
      </c>
      <c r="Q20" s="55">
        <f>(G20)/(E20/60)</f>
        <v>36.423936553713048</v>
      </c>
      <c r="R20" s="33"/>
      <c r="S20" s="54">
        <f>'[4]Daily glue OCT'!$H$19</f>
        <v>7.63029315960912E-3</v>
      </c>
    </row>
    <row r="21" spans="2:20" ht="15.75">
      <c r="B21" s="60">
        <v>46308</v>
      </c>
      <c r="C21" s="49">
        <v>9</v>
      </c>
      <c r="D21" s="30" t="s">
        <v>146</v>
      </c>
      <c r="E21" s="384"/>
      <c r="F21" s="39">
        <f>[3]Oct!$N92</f>
        <v>1174</v>
      </c>
      <c r="G21" s="18">
        <v>7777</v>
      </c>
      <c r="H21" s="54">
        <f t="shared" si="0"/>
        <v>56.112235694959423</v>
      </c>
      <c r="I21" s="50"/>
      <c r="J21" s="382"/>
      <c r="K21" s="382"/>
      <c r="L21" s="382"/>
      <c r="M21" s="55">
        <f>[3]Oct!$AD21</f>
        <v>334</v>
      </c>
      <c r="N21" s="55"/>
      <c r="O21" s="55"/>
      <c r="P21" s="382"/>
      <c r="Q21" s="55">
        <f>(G21)/(E20/60)</f>
        <v>336.42393655371302</v>
      </c>
      <c r="R21" s="33"/>
      <c r="S21" s="54">
        <f>SUM('[4]Daily glue OCT'!$H$20:$H$21)</f>
        <v>9.5098104803197619E-3</v>
      </c>
    </row>
    <row r="22" spans="2:20" ht="15.75">
      <c r="B22" s="60">
        <v>46309</v>
      </c>
      <c r="C22" s="49">
        <v>10</v>
      </c>
      <c r="D22" s="30" t="s">
        <v>146</v>
      </c>
      <c r="E22" s="147">
        <v>1440</v>
      </c>
      <c r="F22" s="39">
        <f>[3]Oct!$N93</f>
        <v>945</v>
      </c>
      <c r="G22" s="18">
        <v>7718</v>
      </c>
      <c r="H22" s="54">
        <f t="shared" si="0"/>
        <v>69.180952380952377</v>
      </c>
      <c r="I22" s="55"/>
      <c r="J22" s="54">
        <f>45.5+94+97.4+98.3+100+89</f>
        <v>524.20000000000005</v>
      </c>
      <c r="K22" s="54">
        <f>(G22)*0.066</f>
        <v>509.38800000000003</v>
      </c>
      <c r="L22" s="54">
        <f t="shared" si="7"/>
        <v>14.812000000000012</v>
      </c>
      <c r="M22" s="55">
        <f>[3]Oct!$AD22</f>
        <v>626</v>
      </c>
      <c r="N22" s="55">
        <f>2+6</f>
        <v>8</v>
      </c>
      <c r="O22" s="55"/>
      <c r="P22" s="54">
        <f t="shared" si="3"/>
        <v>2.8256390690576136</v>
      </c>
      <c r="Q22" s="55">
        <f t="shared" si="5"/>
        <v>321.58333333333331</v>
      </c>
      <c r="R22" s="33"/>
      <c r="S22" s="54">
        <f>SUM('[4]Daily glue OCT'!$H$22:$H$24)</f>
        <v>1.5398612172254385E-2</v>
      </c>
      <c r="T22" s="6"/>
    </row>
    <row r="23" spans="2:20" ht="15.75">
      <c r="B23" s="60">
        <v>46310</v>
      </c>
      <c r="C23" s="49">
        <v>11</v>
      </c>
      <c r="D23" s="30" t="s">
        <v>146</v>
      </c>
      <c r="E23" s="383">
        <v>1440</v>
      </c>
      <c r="F23" s="39">
        <f>[3]Oct!$N94</f>
        <v>733</v>
      </c>
      <c r="G23" s="18">
        <v>5620</v>
      </c>
      <c r="H23" s="54">
        <f t="shared" si="0"/>
        <v>64.945028488885313</v>
      </c>
      <c r="I23" s="55"/>
      <c r="J23" s="54">
        <f>94.4+99.2+67.2+60+54</f>
        <v>374.8</v>
      </c>
      <c r="K23" s="54">
        <f t="shared" ref="K23:K31" si="9">(G23)*0.066</f>
        <v>370.92</v>
      </c>
      <c r="L23" s="54">
        <f t="shared" si="7"/>
        <v>3.8799999999999955</v>
      </c>
      <c r="M23" s="55">
        <f>[3]Oct!$AD23</f>
        <v>406</v>
      </c>
      <c r="N23" s="55">
        <v>21</v>
      </c>
      <c r="O23" s="55"/>
      <c r="P23" s="54">
        <f t="shared" si="3"/>
        <v>1.0352187833511193</v>
      </c>
      <c r="Q23" s="381">
        <f>(G23+G24)/(E23/60)</f>
        <v>301.875</v>
      </c>
      <c r="R23" s="33"/>
      <c r="S23" s="382">
        <f>SUM('[4]Daily glue OCT'!$H$25:$H$27)</f>
        <v>1.5612971463114762E-2</v>
      </c>
      <c r="T23" s="6"/>
    </row>
    <row r="24" spans="2:20" ht="15.75">
      <c r="B24" s="60">
        <v>46310</v>
      </c>
      <c r="C24" s="49">
        <v>11</v>
      </c>
      <c r="D24" s="30" t="s">
        <v>136</v>
      </c>
      <c r="E24" s="384"/>
      <c r="F24" s="39">
        <f>[3]Oct!$N95</f>
        <v>303</v>
      </c>
      <c r="G24" s="18">
        <v>1625</v>
      </c>
      <c r="H24" s="54">
        <f t="shared" ref="H24:H46" si="10">(G24)*24/(F24/60)/17000*100</f>
        <v>45.428072218986607</v>
      </c>
      <c r="I24" s="55"/>
      <c r="J24" s="382">
        <f>((3600)*0.066)</f>
        <v>237.60000000000002</v>
      </c>
      <c r="K24" s="382">
        <f>(G24+G25)*0.066</f>
        <v>232.65</v>
      </c>
      <c r="L24" s="382">
        <f t="shared" si="7"/>
        <v>4.9500000000000171</v>
      </c>
      <c r="M24" s="55">
        <f>[3]Oct!$AD24</f>
        <v>265</v>
      </c>
      <c r="N24" s="55">
        <v>6</v>
      </c>
      <c r="O24" s="55"/>
      <c r="P24" s="382">
        <f t="shared" si="3"/>
        <v>2.0833333333333401</v>
      </c>
      <c r="Q24" s="381"/>
      <c r="R24" s="16"/>
      <c r="S24" s="382"/>
      <c r="T24" s="6"/>
    </row>
    <row r="25" spans="2:20" ht="15.75">
      <c r="B25" s="60">
        <v>46311</v>
      </c>
      <c r="C25" s="49">
        <v>12</v>
      </c>
      <c r="D25" s="30" t="s">
        <v>136</v>
      </c>
      <c r="E25" s="383">
        <v>1440</v>
      </c>
      <c r="F25" s="39">
        <f>[3]Oct!$N96</f>
        <v>401</v>
      </c>
      <c r="G25" s="18">
        <v>1900</v>
      </c>
      <c r="H25" s="54">
        <f t="shared" si="10"/>
        <v>40.134956725832474</v>
      </c>
      <c r="I25" s="55"/>
      <c r="J25" s="382"/>
      <c r="K25" s="382"/>
      <c r="L25" s="382"/>
      <c r="M25" s="55">
        <f>[3]Oct!$AD25</f>
        <v>158</v>
      </c>
      <c r="N25" s="55">
        <v>2</v>
      </c>
      <c r="O25" s="55"/>
      <c r="P25" s="382"/>
      <c r="Q25" s="381">
        <f>(G25+G26)/(E25/60)</f>
        <v>150.70833333333334</v>
      </c>
      <c r="R25" s="16"/>
      <c r="S25" s="382" t="e">
        <f>SUM('[4]Daily glue OCT'!$H$28:$H$30)</f>
        <v>#DIV/0!</v>
      </c>
      <c r="T25" s="6"/>
    </row>
    <row r="26" spans="2:20" ht="15.75">
      <c r="B26" s="60">
        <v>46311</v>
      </c>
      <c r="C26" s="49">
        <v>12</v>
      </c>
      <c r="D26" s="30" t="s">
        <v>50</v>
      </c>
      <c r="E26" s="384"/>
      <c r="F26" s="39">
        <f>[3]Oct!$N97</f>
        <v>522</v>
      </c>
      <c r="G26" s="18">
        <v>1717</v>
      </c>
      <c r="H26" s="54">
        <f t="shared" si="10"/>
        <v>27.862068965517246</v>
      </c>
      <c r="I26" s="55"/>
      <c r="J26" s="54">
        <f>101+102-85.4</f>
        <v>117.6</v>
      </c>
      <c r="K26" s="54">
        <f t="shared" si="9"/>
        <v>113.322</v>
      </c>
      <c r="L26" s="54">
        <f t="shared" si="7"/>
        <v>4.2779999999999916</v>
      </c>
      <c r="M26" s="55">
        <f>[3]Oct!$AD26</f>
        <v>514</v>
      </c>
      <c r="N26" s="55">
        <v>2</v>
      </c>
      <c r="O26" s="55"/>
      <c r="P26" s="54">
        <f t="shared" si="3"/>
        <v>3.6377551020408094</v>
      </c>
      <c r="Q26" s="381"/>
      <c r="R26" s="16"/>
      <c r="S26" s="382"/>
      <c r="T26" s="6"/>
    </row>
    <row r="27" spans="2:20" ht="15.75">
      <c r="B27" s="60">
        <v>46315</v>
      </c>
      <c r="C27" s="49">
        <v>13</v>
      </c>
      <c r="D27" s="30" t="s">
        <v>48</v>
      </c>
      <c r="E27" s="383">
        <v>1380</v>
      </c>
      <c r="F27" s="39">
        <f>[3]Oct!$N98</f>
        <v>798</v>
      </c>
      <c r="G27" s="18">
        <v>4295</v>
      </c>
      <c r="H27" s="54">
        <f t="shared" si="10"/>
        <v>45.590446704997788</v>
      </c>
      <c r="I27" s="50"/>
      <c r="J27" s="54">
        <f>85.4+104.1+103</f>
        <v>292.5</v>
      </c>
      <c r="K27" s="54">
        <f t="shared" si="9"/>
        <v>283.47000000000003</v>
      </c>
      <c r="L27" s="54">
        <f t="shared" si="7"/>
        <v>9.0299999999999727</v>
      </c>
      <c r="M27" s="55">
        <f>[3]Oct!$AD27</f>
        <v>359</v>
      </c>
      <c r="N27" s="55">
        <v>16</v>
      </c>
      <c r="O27" s="55"/>
      <c r="P27" s="54">
        <f t="shared" si="3"/>
        <v>3.087179487179478</v>
      </c>
      <c r="Q27" s="381">
        <f t="shared" ref="Q27" si="11">(G27+G28)/(E27/60)</f>
        <v>306.86956521739131</v>
      </c>
      <c r="R27" s="16"/>
      <c r="S27" s="382">
        <f>SUM('[4]Daily glue OCT'!$H$31:$H$33)</f>
        <v>1.9220586949702512E-2</v>
      </c>
      <c r="T27" s="6"/>
    </row>
    <row r="28" spans="2:20" ht="15.75">
      <c r="B28" s="60">
        <v>46315</v>
      </c>
      <c r="C28" s="49">
        <v>13</v>
      </c>
      <c r="D28" s="30" t="s">
        <v>146</v>
      </c>
      <c r="E28" s="384"/>
      <c r="F28" s="39">
        <f>[3]Oct!$N99</f>
        <v>336</v>
      </c>
      <c r="G28" s="18">
        <v>2763</v>
      </c>
      <c r="H28" s="54">
        <f t="shared" si="10"/>
        <v>69.655462184873954</v>
      </c>
      <c r="I28" s="50"/>
      <c r="J28" s="54">
        <f>93.4+95.8</f>
        <v>189.2</v>
      </c>
      <c r="K28" s="54">
        <f>(G28)*0.066+(35*0.19)</f>
        <v>189.00800000000001</v>
      </c>
      <c r="L28" s="54">
        <f t="shared" si="7"/>
        <v>0.19199999999997885</v>
      </c>
      <c r="M28" s="55">
        <f>[3]Oct!$AD28</f>
        <v>271</v>
      </c>
      <c r="N28" s="55">
        <v>5</v>
      </c>
      <c r="O28" s="55"/>
      <c r="P28" s="54">
        <f t="shared" si="3"/>
        <v>0.10147991543339263</v>
      </c>
      <c r="Q28" s="381"/>
      <c r="R28" s="16"/>
      <c r="S28" s="382"/>
      <c r="T28" s="6"/>
    </row>
    <row r="29" spans="2:20" ht="15.75">
      <c r="B29" s="60">
        <v>46316</v>
      </c>
      <c r="C29" s="49">
        <v>14</v>
      </c>
      <c r="D29" s="30" t="s">
        <v>146</v>
      </c>
      <c r="E29" s="383">
        <v>1408</v>
      </c>
      <c r="F29" s="39">
        <f>[3]Oct!$N100</f>
        <v>361</v>
      </c>
      <c r="G29" s="18">
        <v>2842</v>
      </c>
      <c r="H29" s="54">
        <f t="shared" si="10"/>
        <v>66.685351148769755</v>
      </c>
      <c r="I29" s="54"/>
      <c r="J29" s="54">
        <f>99.9+93.8</f>
        <v>193.7</v>
      </c>
      <c r="K29" s="54">
        <f>(G29)*0.066+(30*0.19)</f>
        <v>193.27199999999999</v>
      </c>
      <c r="L29" s="54">
        <f t="shared" si="7"/>
        <v>0.42799999999999727</v>
      </c>
      <c r="M29" s="55">
        <f>[3]Oct!$AD29</f>
        <v>86</v>
      </c>
      <c r="N29" s="55">
        <v>3</v>
      </c>
      <c r="O29" s="55"/>
      <c r="P29" s="54">
        <f t="shared" si="3"/>
        <v>0.220960247805884</v>
      </c>
      <c r="Q29" s="381">
        <f t="shared" ref="Q29" si="12">(G29+G30)/(E29/60)</f>
        <v>420.46875000000006</v>
      </c>
      <c r="R29" s="16"/>
      <c r="S29" s="382">
        <f>SUM('[4]Daily glue OCT'!$H$34:$H$36)</f>
        <v>1.6386093109171301E-2</v>
      </c>
      <c r="T29" s="6"/>
    </row>
    <row r="30" spans="2:20" ht="15.75">
      <c r="B30" s="60">
        <v>46316</v>
      </c>
      <c r="C30" s="49">
        <v>14</v>
      </c>
      <c r="D30" s="30" t="s">
        <v>27</v>
      </c>
      <c r="E30" s="384"/>
      <c r="F30" s="39">
        <f>[3]Oct!$N101</f>
        <v>964</v>
      </c>
      <c r="G30" s="18">
        <v>7025</v>
      </c>
      <c r="H30" s="54">
        <f t="shared" si="10"/>
        <v>61.728093727117404</v>
      </c>
      <c r="I30" s="55"/>
      <c r="J30" s="54">
        <f>94.9+90.3+100+95.5+88.5</f>
        <v>469.2</v>
      </c>
      <c r="K30" s="54">
        <f>(G30)*0.066+(25*0.19)</f>
        <v>468.40000000000003</v>
      </c>
      <c r="L30" s="54">
        <f t="shared" si="7"/>
        <v>0.79999999999995453</v>
      </c>
      <c r="M30" s="55">
        <f>[3]Oct!$AD30</f>
        <v>206</v>
      </c>
      <c r="N30" s="55">
        <v>13</v>
      </c>
      <c r="O30" s="55">
        <v>25</v>
      </c>
      <c r="P30" s="54">
        <f t="shared" si="3"/>
        <v>0.17050298380220685</v>
      </c>
      <c r="Q30" s="381"/>
      <c r="R30" s="33"/>
      <c r="S30" s="382"/>
      <c r="T30" s="6"/>
    </row>
    <row r="31" spans="2:20" ht="15.75">
      <c r="B31" s="60">
        <v>46317</v>
      </c>
      <c r="C31" s="49">
        <v>15</v>
      </c>
      <c r="D31" s="30" t="s">
        <v>44</v>
      </c>
      <c r="E31" s="147">
        <v>1440</v>
      </c>
      <c r="F31" s="39">
        <f>[3]Oct!$N102</f>
        <v>1372</v>
      </c>
      <c r="G31" s="18">
        <v>3955</v>
      </c>
      <c r="H31" s="54">
        <f t="shared" si="10"/>
        <v>24.417767106842739</v>
      </c>
      <c r="I31" s="55"/>
      <c r="J31" s="54">
        <f>98.8+98.5+97.5-33.5</f>
        <v>261.3</v>
      </c>
      <c r="K31" s="54">
        <f t="shared" si="9"/>
        <v>261.03000000000003</v>
      </c>
      <c r="L31" s="54">
        <f t="shared" si="7"/>
        <v>0.26999999999998181</v>
      </c>
      <c r="M31" s="55">
        <f>[3]Oct!$AD31</f>
        <v>945</v>
      </c>
      <c r="N31" s="55">
        <v>2</v>
      </c>
      <c r="O31" s="55"/>
      <c r="P31" s="54">
        <f t="shared" si="3"/>
        <v>0.10332950631457398</v>
      </c>
      <c r="Q31" s="55">
        <f t="shared" si="5"/>
        <v>164.79166666666666</v>
      </c>
      <c r="R31" s="33"/>
      <c r="S31" s="54" t="e">
        <f>SUM('[4]Daily glue OCT'!$H$37:$H$39)</f>
        <v>#DIV/0!</v>
      </c>
      <c r="T31" s="6"/>
    </row>
    <row r="32" spans="2:20" ht="15.75">
      <c r="B32" s="60">
        <v>46318</v>
      </c>
      <c r="C32" s="49">
        <v>16</v>
      </c>
      <c r="D32" s="30" t="s">
        <v>44</v>
      </c>
      <c r="E32" s="383">
        <v>1007</v>
      </c>
      <c r="F32" s="39">
        <f>[3]Oct!$N103</f>
        <v>258</v>
      </c>
      <c r="G32" s="18">
        <v>2020</v>
      </c>
      <c r="H32" s="54">
        <f t="shared" si="10"/>
        <v>66.320109439124494</v>
      </c>
      <c r="I32" s="50"/>
      <c r="J32" s="54">
        <f>33.5+100</f>
        <v>133.5</v>
      </c>
      <c r="K32" s="54">
        <f>(G32)*0.066</f>
        <v>133.32</v>
      </c>
      <c r="L32" s="54">
        <f t="shared" ref="L32:L33" si="13">J32-K32</f>
        <v>0.18000000000000682</v>
      </c>
      <c r="M32" s="55">
        <f>[3]Oct!$AD32</f>
        <v>68</v>
      </c>
      <c r="N32" s="55">
        <v>4</v>
      </c>
      <c r="O32" s="55"/>
      <c r="P32" s="54">
        <f t="shared" ref="P32:P43" si="14">(J32-K32)/J32*100</f>
        <v>0.13483146067416241</v>
      </c>
      <c r="Q32" s="381">
        <f>(G32+G33+G34)/(E32/60)</f>
        <v>358.98709036742798</v>
      </c>
      <c r="R32" s="33"/>
      <c r="S32" s="382">
        <f>SUM('[4]Daily glue OCT'!$H$40:$H$40)</f>
        <v>5.0758396533044422E-3</v>
      </c>
      <c r="T32" s="6"/>
    </row>
    <row r="33" spans="2:20" ht="15.75">
      <c r="B33" s="60">
        <v>46318</v>
      </c>
      <c r="C33" s="49">
        <v>16</v>
      </c>
      <c r="D33" s="30" t="s">
        <v>53</v>
      </c>
      <c r="E33" s="385"/>
      <c r="F33" s="39">
        <f>[3]Oct!$N104</f>
        <v>283</v>
      </c>
      <c r="G33" s="18">
        <v>2064</v>
      </c>
      <c r="H33" s="54">
        <f t="shared" si="10"/>
        <v>61.778424443982537</v>
      </c>
      <c r="I33" s="55"/>
      <c r="J33" s="382">
        <f>100+87+101.1</f>
        <v>288.10000000000002</v>
      </c>
      <c r="K33" s="382">
        <f>(G33+G34)*0.0708</f>
        <v>283.55400000000003</v>
      </c>
      <c r="L33" s="382">
        <f t="shared" si="13"/>
        <v>4.5459999999999923</v>
      </c>
      <c r="M33" s="55">
        <f>[3]Oct!$AD33</f>
        <v>188</v>
      </c>
      <c r="N33" s="55">
        <v>50</v>
      </c>
      <c r="O33" s="55"/>
      <c r="P33" s="382">
        <f t="shared" si="14"/>
        <v>1.5779243318292231</v>
      </c>
      <c r="Q33" s="381"/>
      <c r="R33" s="33"/>
      <c r="S33" s="382"/>
      <c r="T33" s="6"/>
    </row>
    <row r="34" spans="2:20" ht="15.75">
      <c r="B34" s="60">
        <v>46318</v>
      </c>
      <c r="C34" s="49">
        <v>16</v>
      </c>
      <c r="D34" s="30" t="s">
        <v>168</v>
      </c>
      <c r="E34" s="384"/>
      <c r="F34" s="39">
        <f>[3]Oct!$N105</f>
        <v>271</v>
      </c>
      <c r="G34" s="18">
        <v>1941</v>
      </c>
      <c r="H34" s="54">
        <f t="shared" si="10"/>
        <v>60.66941610592577</v>
      </c>
      <c r="I34" s="55"/>
      <c r="J34" s="382"/>
      <c r="K34" s="382"/>
      <c r="L34" s="382"/>
      <c r="M34" s="55">
        <f>[3]Oct!$AD34</f>
        <v>63</v>
      </c>
      <c r="N34" s="55">
        <v>25</v>
      </c>
      <c r="O34" s="55"/>
      <c r="P34" s="382"/>
      <c r="Q34" s="381"/>
      <c r="R34" s="33"/>
      <c r="S34" s="382"/>
      <c r="T34" s="6"/>
    </row>
    <row r="35" spans="2:20" ht="15.75">
      <c r="B35" s="60">
        <v>46322</v>
      </c>
      <c r="C35" s="49">
        <v>17</v>
      </c>
      <c r="D35" s="30" t="s">
        <v>146</v>
      </c>
      <c r="E35" s="147"/>
      <c r="F35" s="39">
        <f>[3]Oct!$N106</f>
        <v>-347</v>
      </c>
      <c r="G35" s="18"/>
      <c r="H35" s="54">
        <f t="shared" si="10"/>
        <v>0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477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>
        <v>46322</v>
      </c>
      <c r="C36" s="49">
        <v>17</v>
      </c>
      <c r="D36" s="30" t="s">
        <v>27</v>
      </c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76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>
        <v>46323</v>
      </c>
      <c r="C37" s="49">
        <v>18</v>
      </c>
      <c r="D37" s="30" t="s">
        <v>27</v>
      </c>
      <c r="E37" s="147"/>
      <c r="F37" s="39">
        <f>[3]Oct!$N108</f>
        <v>-32</v>
      </c>
      <c r="G37" s="18"/>
      <c r="H37" s="54">
        <f t="shared" si="10"/>
        <v>0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175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6.5" thickBot="1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 hidden="1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 hidden="1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 hidden="1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 hidden="1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hidden="1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 hidden="1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 hidden="1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 hidden="1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hidden="1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 hidden="1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hidden="1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hidden="1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hidden="1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hidden="1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hidden="1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hidden="1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hidden="1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hidden="1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hidden="1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hidden="1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hidden="1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hidden="1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hidden="1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hidden="1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hidden="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17897</v>
      </c>
      <c r="F64" s="23">
        <f>SUM(F8:F63)</f>
        <v>13690</v>
      </c>
      <c r="G64" s="15">
        <f>SUM(G8:G63)</f>
        <v>94141</v>
      </c>
      <c r="H64" s="13">
        <f>(G64)*24/(F64/60)/17000*100</f>
        <v>58.249061143814728</v>
      </c>
      <c r="I64" s="14">
        <f>SUM(I8:I63)</f>
        <v>0</v>
      </c>
      <c r="J64" s="52">
        <f>SUM(J8:J63)</f>
        <v>6402.8000000000011</v>
      </c>
      <c r="K64" s="13">
        <f>SUM(K8:K63)</f>
        <v>6278.7215999999989</v>
      </c>
      <c r="L64" s="52">
        <f>J64-K64</f>
        <v>124.07840000000215</v>
      </c>
      <c r="M64" s="53">
        <f>SUM(M8:M63)</f>
        <v>7546</v>
      </c>
      <c r="N64" s="36">
        <f>SUM(N8:N63)</f>
        <v>279</v>
      </c>
      <c r="O64" s="14">
        <f>SUM(O8:O63)</f>
        <v>40</v>
      </c>
      <c r="P64" s="25">
        <f>(J64-K64)/J64</f>
        <v>1.9378771787343371E-2</v>
      </c>
      <c r="Q64" s="14">
        <f>(G64)/(E64/60)</f>
        <v>315.60931999776494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272.62029708471732</v>
      </c>
      <c r="S64" s="17" t="e">
        <f>SUM(S8:S63)</f>
        <v>#DIV/0!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94251</v>
      </c>
      <c r="M66" s="19"/>
      <c r="N66" s="41" t="s">
        <v>31</v>
      </c>
      <c r="O66" s="19">
        <f>O64*2.75</f>
        <v>110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25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25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42">
    <mergeCell ref="S23:S24"/>
    <mergeCell ref="Q23:Q24"/>
    <mergeCell ref="Q15:Q16"/>
    <mergeCell ref="B1:Q1"/>
    <mergeCell ref="B3:Q3"/>
    <mergeCell ref="B4:Q4"/>
    <mergeCell ref="I5:I7"/>
    <mergeCell ref="L5:L7"/>
    <mergeCell ref="M5:M7"/>
    <mergeCell ref="N5:N7"/>
    <mergeCell ref="O5:O7"/>
    <mergeCell ref="E18:E19"/>
    <mergeCell ref="E15:E16"/>
    <mergeCell ref="E10:E11"/>
    <mergeCell ref="E8:E9"/>
    <mergeCell ref="R6:R7"/>
    <mergeCell ref="E20:E21"/>
    <mergeCell ref="J20:J21"/>
    <mergeCell ref="K20:K21"/>
    <mergeCell ref="L20:L21"/>
    <mergeCell ref="P20:P21"/>
    <mergeCell ref="E32:E34"/>
    <mergeCell ref="J33:J34"/>
    <mergeCell ref="K33:K34"/>
    <mergeCell ref="L33:L34"/>
    <mergeCell ref="P33:P34"/>
    <mergeCell ref="E25:E26"/>
    <mergeCell ref="E27:E28"/>
    <mergeCell ref="E29:E30"/>
    <mergeCell ref="P24:P25"/>
    <mergeCell ref="J24:J25"/>
    <mergeCell ref="K24:K25"/>
    <mergeCell ref="L24:L25"/>
    <mergeCell ref="E23:E24"/>
    <mergeCell ref="Q32:Q34"/>
    <mergeCell ref="S25:S26"/>
    <mergeCell ref="S27:S28"/>
    <mergeCell ref="S29:S30"/>
    <mergeCell ref="S32:S34"/>
    <mergeCell ref="Q25:Q26"/>
    <mergeCell ref="Q27:Q28"/>
    <mergeCell ref="Q29:Q30"/>
  </mergeCells>
  <conditionalFormatting sqref="I52:I63">
    <cfRule type="cellIs" dxfId="27" priority="38" stopIfTrue="1" operator="lessThan">
      <formula>50</formula>
    </cfRule>
  </conditionalFormatting>
  <conditionalFormatting sqref="P8:P20 P22:P24 P26:P33 P35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">
    <cfRule type="cellIs" dxfId="23" priority="8" operator="greaterThan">
      <formula>1.8</formula>
    </cfRule>
  </conditionalFormatting>
  <conditionalFormatting sqref="R30 R32 R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99"/>
    </row>
    <row r="8" spans="2:19" ht="15.75">
      <c r="B8" s="60"/>
      <c r="C8" s="49"/>
      <c r="D8" s="30"/>
      <c r="E8" s="385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5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4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3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4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3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5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4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3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4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3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5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4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3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1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4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1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3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4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3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4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3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4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3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4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3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4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3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4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3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5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4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3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4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3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4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3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4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366.7639371857627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98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99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1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1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366.7639371857627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Michael Julien</cp:lastModifiedBy>
  <cp:lastPrinted>2025-02-25T20:00:42Z</cp:lastPrinted>
  <dcterms:created xsi:type="dcterms:W3CDTF">2006-02-15T13:46:59Z</dcterms:created>
  <dcterms:modified xsi:type="dcterms:W3CDTF">2026-10-28T11:12:38Z</dcterms:modified>
</cp:coreProperties>
</file>