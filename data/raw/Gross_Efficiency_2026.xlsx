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801674ED-153F-4EE7-BD26-ABB15447DFEB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6" i="118" l="1"/>
  <c r="K16" i="118"/>
  <c r="K15" i="118"/>
  <c r="S16" i="118"/>
  <c r="S15" i="118"/>
  <c r="K17" i="118" l="1"/>
  <c r="J15" i="118"/>
  <c r="J16" i="118"/>
  <c r="N15" i="118"/>
  <c r="Q11" i="118"/>
  <c r="Q14" i="118" l="1"/>
  <c r="N14" i="118"/>
  <c r="S14" i="118"/>
  <c r="J14" i="118" l="1"/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5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s="1"/>
  <c r="Q17" i="117" l="1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F42" i="117" l="1"/>
  <c r="F43" i="117"/>
  <c r="F45" i="117"/>
  <c r="F46" i="117"/>
  <c r="F47" i="117"/>
  <c r="H47" i="117" s="1"/>
  <c r="F48" i="117"/>
  <c r="F50" i="117"/>
  <c r="F51" i="117"/>
  <c r="F52" i="117"/>
  <c r="N24" i="122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L14" i="118" s="1"/>
  <c r="K35" i="118"/>
  <c r="K36" i="118"/>
  <c r="K37" i="118"/>
  <c r="K38" i="118"/>
  <c r="P38" i="118" s="1"/>
  <c r="L38" i="118"/>
  <c r="K39" i="118"/>
  <c r="K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 s="1"/>
  <c r="K42" i="119"/>
  <c r="L42" i="119" s="1"/>
  <c r="H49" i="119"/>
  <c r="H50" i="119"/>
  <c r="K27" i="120"/>
  <c r="L27" i="120" s="1"/>
  <c r="K28" i="120"/>
  <c r="L28" i="120" s="1"/>
  <c r="K29" i="120"/>
  <c r="L29" i="120" s="1"/>
  <c r="K30" i="120"/>
  <c r="L30" i="120" s="1"/>
  <c r="K31" i="120"/>
  <c r="L31" i="120" s="1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40" i="118" l="1"/>
  <c r="L40" i="118"/>
  <c r="P49" i="118"/>
  <c r="L49" i="118"/>
  <c r="P58" i="118"/>
  <c r="L58" i="118"/>
  <c r="P14" i="118"/>
  <c r="P13" i="118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P15" i="118"/>
  <c r="P16" i="118"/>
  <c r="P17" i="118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6" i="118" l="1"/>
  <c r="Q64" i="118"/>
  <c r="R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32" i="118"/>
  <c r="H36" i="118"/>
  <c r="H13" i="118"/>
  <c r="H50" i="118"/>
  <c r="H58" i="118"/>
  <c r="H12" i="119"/>
  <c r="H25" i="120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31" i="117" l="1"/>
  <c r="F32" i="117"/>
  <c r="H33" i="117"/>
  <c r="H32" i="117" l="1"/>
  <c r="H31" i="117"/>
  <c r="F17" i="109" l="1"/>
  <c r="F19" i="109"/>
  <c r="R17" i="109" l="1"/>
  <c r="H17" i="109"/>
  <c r="H19" i="109"/>
  <c r="R19" i="109"/>
  <c r="F16" i="109"/>
  <c r="R16" i="109" l="1"/>
  <c r="H16" i="109"/>
  <c r="F18" i="109" l="1"/>
  <c r="F44" i="117"/>
  <c r="H18" i="109" l="1"/>
  <c r="R18" i="109"/>
  <c r="H44" i="117"/>
  <c r="F14" i="109" l="1"/>
  <c r="F15" i="109"/>
  <c r="F9" i="118"/>
  <c r="F8" i="118"/>
  <c r="H14" i="109" l="1"/>
  <c r="R14" i="109"/>
  <c r="H15" i="109"/>
  <c r="R15" i="109"/>
  <c r="H9" i="118"/>
  <c r="H8" i="118"/>
  <c r="F13" i="109" l="1"/>
  <c r="F12" i="109"/>
  <c r="F8" i="110"/>
  <c r="F10" i="118"/>
  <c r="F11" i="118"/>
  <c r="R13" i="109" l="1"/>
  <c r="H13" i="109"/>
  <c r="H12" i="109"/>
  <c r="R12" i="109"/>
  <c r="H8" i="110"/>
  <c r="H11" i="118"/>
  <c r="H10" i="118"/>
  <c r="F9" i="109" l="1"/>
  <c r="R9" i="109" l="1"/>
  <c r="H9" i="109"/>
  <c r="F9" i="110" l="1"/>
  <c r="F11" i="110"/>
  <c r="H11" i="110" s="1"/>
  <c r="F12" i="110"/>
  <c r="H12" i="110" s="1"/>
  <c r="F13" i="110"/>
  <c r="H13" i="110" s="1"/>
  <c r="F14" i="110"/>
  <c r="H14" i="110" s="1"/>
  <c r="F15" i="110"/>
  <c r="H15" i="110" s="1"/>
  <c r="F16" i="110"/>
  <c r="H16" i="110" s="1"/>
  <c r="F31" i="110"/>
  <c r="F32" i="110"/>
  <c r="H32" i="110" s="1"/>
  <c r="F33" i="110"/>
  <c r="H33" i="110" s="1"/>
  <c r="F34" i="110"/>
  <c r="H34" i="110" s="1"/>
  <c r="F35" i="110"/>
  <c r="H35" i="110" s="1"/>
  <c r="F36" i="110"/>
  <c r="H36" i="110" s="1"/>
  <c r="F37" i="110"/>
  <c r="H37" i="110" s="1"/>
  <c r="F38" i="110"/>
  <c r="H38" i="110" s="1"/>
  <c r="F39" i="110"/>
  <c r="H39" i="110" s="1"/>
  <c r="F40" i="110"/>
  <c r="H40" i="110" s="1"/>
  <c r="F41" i="110"/>
  <c r="H41" i="110" s="1"/>
  <c r="F42" i="110"/>
  <c r="H42" i="110" s="1"/>
  <c r="F43" i="110"/>
  <c r="H43" i="110" s="1"/>
  <c r="F44" i="110"/>
  <c r="H44" i="110" s="1"/>
  <c r="F45" i="110"/>
  <c r="H45" i="110" s="1"/>
  <c r="F46" i="110"/>
  <c r="H46" i="110" s="1"/>
  <c r="F47" i="110"/>
  <c r="H47" i="110" s="1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F63" i="110" l="1"/>
  <c r="H63" i="110" s="1"/>
  <c r="H9" i="110"/>
  <c r="Q9" i="110"/>
  <c r="H31" i="110"/>
  <c r="Q31" i="110"/>
  <c r="H10" i="109"/>
  <c r="R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H26" i="109"/>
  <c r="R26" i="109"/>
  <c r="R27" i="109"/>
  <c r="H27" i="109"/>
  <c r="H28" i="109"/>
  <c r="R28" i="109"/>
  <c r="H29" i="109"/>
  <c r="R29" i="109"/>
  <c r="H30" i="109"/>
  <c r="R30" i="109"/>
  <c r="H31" i="109"/>
  <c r="R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H49" i="109"/>
  <c r="R49" i="109"/>
  <c r="H51" i="109"/>
  <c r="R51" i="109"/>
  <c r="H52" i="109"/>
  <c r="R52" i="109"/>
  <c r="H53" i="109"/>
  <c r="R53" i="109"/>
  <c r="H54" i="109"/>
  <c r="R54" i="109"/>
  <c r="F65" i="109"/>
  <c r="H8" i="109"/>
  <c r="R8" i="109"/>
  <c r="F51" i="120"/>
  <c r="R65" i="109" l="1"/>
  <c r="H65" i="109"/>
  <c r="F48" i="120" l="1"/>
  <c r="H48" i="120" s="1"/>
  <c r="F45" i="120"/>
  <c r="H45" i="120" s="1"/>
  <c r="F47" i="120" l="1"/>
  <c r="H47" i="120" s="1"/>
  <c r="F46" i="120" l="1"/>
  <c r="H46" i="120" s="1"/>
  <c r="F14" i="118"/>
  <c r="H1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H23" i="117" s="1"/>
  <c r="F22" i="117"/>
  <c r="H22" i="117" s="1"/>
  <c r="F17" i="117"/>
  <c r="H17" i="117" s="1"/>
  <c r="F16" i="117"/>
  <c r="H16" i="117" s="1"/>
  <c r="F18" i="117"/>
  <c r="H18" i="117" s="1"/>
  <c r="F13" i="117"/>
  <c r="H13" i="117" s="1"/>
  <c r="F12" i="117"/>
  <c r="H12" i="117" s="1"/>
  <c r="F11" i="117"/>
  <c r="H11" i="117" s="1"/>
  <c r="F43" i="116"/>
  <c r="H43" i="116" s="1"/>
  <c r="F40" i="116"/>
  <c r="H40" i="116" s="1"/>
  <c r="F37" i="116"/>
  <c r="H37" i="116" s="1"/>
  <c r="F25" i="116"/>
  <c r="H25" i="116" s="1"/>
  <c r="F11" i="116"/>
  <c r="H11" i="116" s="1"/>
  <c r="F42" i="116"/>
  <c r="H42" i="116" s="1"/>
  <c r="F36" i="116"/>
  <c r="H36" i="116" s="1"/>
  <c r="F31" i="116"/>
  <c r="H31" i="116" s="1"/>
  <c r="F30" i="116"/>
  <c r="H30" i="116" s="1"/>
  <c r="F29" i="116"/>
  <c r="H29" i="116" s="1"/>
  <c r="F24" i="116"/>
  <c r="H24" i="116" s="1"/>
  <c r="F43" i="122"/>
  <c r="H43" i="122" s="1"/>
  <c r="F41" i="122"/>
  <c r="H41" i="122" s="1"/>
  <c r="F24" i="122"/>
  <c r="H24" i="122" s="1"/>
  <c r="F18" i="122"/>
  <c r="H18" i="122" s="1"/>
  <c r="F17" i="122"/>
  <c r="H17" i="122" s="1"/>
  <c r="F15" i="122"/>
  <c r="H15" i="122" s="1"/>
  <c r="F13" i="122"/>
  <c r="H13" i="122" s="1"/>
  <c r="F11" i="122"/>
  <c r="F37" i="122"/>
  <c r="H37" i="122" s="1"/>
  <c r="F34" i="122"/>
  <c r="H34" i="122" s="1"/>
  <c r="F32" i="122"/>
  <c r="H32" i="122" s="1"/>
  <c r="F28" i="122"/>
  <c r="H28" i="122" s="1"/>
  <c r="F14" i="122"/>
  <c r="H14" i="122" s="1"/>
  <c r="F41" i="121"/>
  <c r="H41" i="121" s="1"/>
  <c r="F40" i="121"/>
  <c r="H40" i="121" s="1"/>
  <c r="F38" i="121"/>
  <c r="H38" i="121" s="1"/>
  <c r="F37" i="121"/>
  <c r="H37" i="121" s="1"/>
  <c r="F36" i="121"/>
  <c r="H36" i="121" s="1"/>
  <c r="F32" i="121"/>
  <c r="F29" i="121"/>
  <c r="H29" i="121" s="1"/>
  <c r="F27" i="121"/>
  <c r="H27" i="121" s="1"/>
  <c r="F23" i="121"/>
  <c r="H23" i="121" s="1"/>
  <c r="F21" i="121"/>
  <c r="H21" i="121" s="1"/>
  <c r="F9" i="121"/>
  <c r="F47" i="121"/>
  <c r="H47" i="121" s="1"/>
  <c r="F46" i="121"/>
  <c r="H46" i="121" s="1"/>
  <c r="F42" i="121"/>
  <c r="H42" i="121" s="1"/>
  <c r="F39" i="121"/>
  <c r="H39" i="121" s="1"/>
  <c r="F34" i="121"/>
  <c r="H34" i="121" s="1"/>
  <c r="F30" i="121"/>
  <c r="H30" i="121" s="1"/>
  <c r="F26" i="121"/>
  <c r="H26" i="121" s="1"/>
  <c r="F24" i="121"/>
  <c r="H24" i="121" s="1"/>
  <c r="F20" i="121"/>
  <c r="H20" i="121" s="1"/>
  <c r="F16" i="121"/>
  <c r="H16" i="121" s="1"/>
  <c r="F12" i="121"/>
  <c r="H12" i="121" s="1"/>
  <c r="F58" i="111"/>
  <c r="H58" i="111" s="1"/>
  <c r="F57" i="111"/>
  <c r="H57" i="111" s="1"/>
  <c r="F56" i="111"/>
  <c r="H56" i="111" s="1"/>
  <c r="F55" i="111"/>
  <c r="H55" i="111" s="1"/>
  <c r="F53" i="111"/>
  <c r="H53" i="111" s="1"/>
  <c r="F52" i="111"/>
  <c r="H52" i="111" s="1"/>
  <c r="F51" i="111"/>
  <c r="H51" i="111" s="1"/>
  <c r="F50" i="111"/>
  <c r="H50" i="111" s="1"/>
  <c r="F41" i="111"/>
  <c r="H41" i="111" s="1"/>
  <c r="F34" i="111"/>
  <c r="H34" i="111" s="1"/>
  <c r="F33" i="111"/>
  <c r="H33" i="111" s="1"/>
  <c r="F27" i="111"/>
  <c r="H27" i="111" s="1"/>
  <c r="F26" i="111"/>
  <c r="H26" i="111" s="1"/>
  <c r="F25" i="111"/>
  <c r="H25" i="111" s="1"/>
  <c r="F24" i="111"/>
  <c r="H24" i="111" s="1"/>
  <c r="F20" i="111"/>
  <c r="H20" i="111" s="1"/>
  <c r="F11" i="111"/>
  <c r="H11" i="111" s="1"/>
  <c r="F8" i="111"/>
  <c r="F46" i="111"/>
  <c r="H46" i="111" s="1"/>
  <c r="F39" i="111"/>
  <c r="H39" i="111" s="1"/>
  <c r="F36" i="111"/>
  <c r="H36" i="111" s="1"/>
  <c r="F32" i="111"/>
  <c r="H32" i="111" s="1"/>
  <c r="F31" i="111"/>
  <c r="H31" i="111" s="1"/>
  <c r="F28" i="111"/>
  <c r="H28" i="111" s="1"/>
  <c r="M59" i="110"/>
  <c r="H9" i="120" l="1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H12" i="111" s="1"/>
  <c r="F31" i="122"/>
  <c r="H31" i="122" s="1"/>
  <c r="F12" i="122"/>
  <c r="F21" i="122"/>
  <c r="H21" i="122" s="1"/>
  <c r="M22" i="121"/>
  <c r="F23" i="111"/>
  <c r="H23" i="111" s="1"/>
  <c r="F11" i="121"/>
  <c r="H11" i="121" s="1"/>
  <c r="F42" i="122"/>
  <c r="H42" i="122" s="1"/>
  <c r="F35" i="121"/>
  <c r="H35" i="121" s="1"/>
  <c r="F19" i="117"/>
  <c r="H19" i="117" s="1"/>
  <c r="F22" i="122"/>
  <c r="H22" i="122" s="1"/>
  <c r="F35" i="122"/>
  <c r="H35" i="122" s="1"/>
  <c r="F25" i="122"/>
  <c r="H25" i="122" s="1"/>
  <c r="F39" i="122"/>
  <c r="H39" i="122" s="1"/>
  <c r="F49" i="111"/>
  <c r="H49" i="111" s="1"/>
  <c r="M41" i="121"/>
  <c r="M27" i="121"/>
  <c r="M13" i="119"/>
  <c r="M10" i="120"/>
  <c r="F22" i="111"/>
  <c r="H22" i="111" s="1"/>
  <c r="N26" i="113"/>
  <c r="F9" i="116"/>
  <c r="H9" i="116" s="1"/>
  <c r="M17" i="122"/>
  <c r="F48" i="121"/>
  <c r="H48" i="121" s="1"/>
  <c r="F40" i="122"/>
  <c r="H40" i="122" s="1"/>
  <c r="F44" i="111"/>
  <c r="H44" i="111" s="1"/>
  <c r="F12" i="116"/>
  <c r="H12" i="116" s="1"/>
  <c r="F24" i="117"/>
  <c r="H24" i="117" s="1"/>
  <c r="F29" i="111"/>
  <c r="H29" i="111" s="1"/>
  <c r="F48" i="111"/>
  <c r="H48" i="111" s="1"/>
  <c r="F33" i="121"/>
  <c r="H32" i="121" s="1"/>
  <c r="F19" i="122"/>
  <c r="H19" i="122" s="1"/>
  <c r="F43" i="111"/>
  <c r="H43" i="111" s="1"/>
  <c r="F38" i="111"/>
  <c r="H38" i="111" s="1"/>
  <c r="F40" i="111"/>
  <c r="H40" i="111" s="1"/>
  <c r="F18" i="121"/>
  <c r="H18" i="121" s="1"/>
  <c r="F26" i="122"/>
  <c r="H26" i="122" s="1"/>
  <c r="F26" i="116"/>
  <c r="H26" i="116" s="1"/>
  <c r="F21" i="111"/>
  <c r="H21" i="111" s="1"/>
  <c r="F25" i="121"/>
  <c r="H25" i="121" s="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H43" i="121" s="1"/>
  <c r="F30" i="111"/>
  <c r="H30" i="111" s="1"/>
  <c r="F28" i="121"/>
  <c r="H28" i="121" s="1"/>
  <c r="F19" i="121"/>
  <c r="H19" i="121" s="1"/>
  <c r="F47" i="111"/>
  <c r="H47" i="111" s="1"/>
  <c r="F35" i="111"/>
  <c r="H35" i="111" s="1"/>
  <c r="F17" i="121"/>
  <c r="H17" i="121" s="1"/>
  <c r="F22" i="121"/>
  <c r="H22" i="121" s="1"/>
  <c r="F10" i="111"/>
  <c r="N27" i="113"/>
  <c r="F45" i="111"/>
  <c r="H45" i="111" s="1"/>
  <c r="F31" i="121"/>
  <c r="H31" i="121" s="1"/>
  <c r="F14" i="121"/>
  <c r="H14" i="121" s="1"/>
  <c r="F15" i="121"/>
  <c r="H15" i="121" s="1"/>
  <c r="F45" i="121"/>
  <c r="H45" i="121" s="1"/>
  <c r="F10" i="121"/>
  <c r="F16" i="122"/>
  <c r="H16" i="122" s="1"/>
  <c r="N30" i="113"/>
  <c r="F36" i="122"/>
  <c r="H36" i="122" s="1"/>
  <c r="F33" i="122"/>
  <c r="H33" i="122" s="1"/>
  <c r="F38" i="122"/>
  <c r="H38" i="122" s="1"/>
  <c r="F44" i="121"/>
  <c r="H44" i="121" s="1"/>
  <c r="F20" i="122"/>
  <c r="H20" i="122" s="1"/>
  <c r="F30" i="122"/>
  <c r="H30" i="122" s="1"/>
  <c r="F10" i="116"/>
  <c r="H10" i="116" s="1"/>
  <c r="F8" i="116"/>
  <c r="F41" i="116"/>
  <c r="H41" i="116" s="1"/>
  <c r="F14" i="117"/>
  <c r="H14" i="117" s="1"/>
  <c r="F13" i="116"/>
  <c r="H13" i="116" s="1"/>
  <c r="F9" i="117"/>
  <c r="Q60" i="120" l="1"/>
  <c r="H60" i="120"/>
  <c r="Q62" i="119"/>
  <c r="H62" i="119"/>
  <c r="F57" i="122"/>
  <c r="H12" i="122"/>
  <c r="F62" i="111"/>
  <c r="H10" i="111"/>
  <c r="F54" i="121"/>
  <c r="H54" i="121" s="1"/>
  <c r="H10" i="121"/>
  <c r="F57" i="116"/>
  <c r="H57" i="116" s="1"/>
  <c r="H8" i="116"/>
  <c r="H9" i="117"/>
  <c r="F54" i="117"/>
  <c r="H54" i="117" s="1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57" i="122" s="1"/>
  <c r="M12" i="115"/>
  <c r="M25" i="121"/>
  <c r="M28" i="116"/>
  <c r="M46" i="111"/>
  <c r="M8" i="121"/>
  <c r="M54" i="117" l="1"/>
  <c r="M63" i="110"/>
  <c r="M62" i="111"/>
  <c r="M57" i="116"/>
  <c r="M65" i="109"/>
  <c r="M60" i="115"/>
  <c r="M54" i="121"/>
  <c r="N37" i="113" l="1"/>
  <c r="N45" i="113" l="1"/>
  <c r="N63" i="113" s="1"/>
  <c r="F15" i="118" l="1"/>
  <c r="F16" i="118"/>
  <c r="H16" i="118" l="1"/>
  <c r="H15" i="118"/>
  <c r="F64" i="118"/>
  <c r="H64" i="118" l="1"/>
  <c r="R62" i="119"/>
  <c r="S60" i="120"/>
  <c r="M15" i="118" l="1"/>
  <c r="M64" i="1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17" authorId="0" shapeId="0" xr:uid="{AFDD1281-9F49-4E42-9F6A-B98C14464560}">
      <text>
        <r>
          <rPr>
            <b/>
            <sz val="9"/>
            <color indexed="81"/>
            <rFont val="Tahoma"/>
            <charset val="1"/>
          </rPr>
          <t>Kaylil Baptiste:</t>
        </r>
        <r>
          <rPr>
            <sz val="9"/>
            <color indexed="81"/>
            <rFont val="Tahoma"/>
            <charset val="1"/>
          </rPr>
          <t xml:space="preserve">
FAB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<sst xmlns="http://schemas.openxmlformats.org/spreadsheetml/2006/main" count="882" uniqueCount="167">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</sst>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9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0.34375</v>
          </cell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155</v>
          </cell>
        </row>
        <row r="15">
          <cell r="AD15">
            <v>219</v>
          </cell>
        </row>
        <row r="16">
          <cell r="AD16">
            <v>42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677</v>
          </cell>
        </row>
        <row r="85">
          <cell r="N85">
            <v>728</v>
          </cell>
        </row>
        <row r="86">
          <cell r="N86">
            <v>649</v>
          </cell>
        </row>
        <row r="87">
          <cell r="N87">
            <v>129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  <row r="10">
          <cell r="H10">
            <v>5.8562499999999995E-3</v>
          </cell>
        </row>
        <row r="11">
          <cell r="H11">
            <v>4.9866950505588073E-3</v>
          </cell>
        </row>
        <row r="12">
          <cell r="H12">
            <v>3.8527960526315787E-3</v>
          </cell>
        </row>
        <row r="13">
          <cell r="H13">
            <v>6.1624465636303839E-3</v>
          </cell>
        </row>
      </sheetData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02" t="s">
        <v>21</v>
      </c>
      <c r="T6" s="402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03"/>
      <c r="T7" s="403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4">
        <f>((J9+J8)-(K9+K8))/(J9+J8)*100</f>
        <v>2.4146981627296631</v>
      </c>
      <c r="T8" s="404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4"/>
      <c r="T9" s="404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5">
        <f>((J13+J12)-(K13+K12))/(J13+J12)*100</f>
        <v>2.8714467543487445</v>
      </c>
      <c r="T12" s="405"/>
      <c r="U12" s="113"/>
    </row>
    <row r="13" spans="2:21">
      <c r="B13" s="60">
        <v>46031</v>
      </c>
      <c r="C13" s="49">
        <v>4</v>
      </c>
      <c r="D13" s="30" t="s">
        <v>45</v>
      </c>
      <c r="E13" s="381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5"/>
      <c r="T13" s="405"/>
      <c r="U13" s="113"/>
    </row>
    <row r="14" spans="2:21">
      <c r="B14" s="60">
        <v>46031</v>
      </c>
      <c r="C14" s="49">
        <v>4</v>
      </c>
      <c r="D14" s="30" t="s">
        <v>48</v>
      </c>
      <c r="E14" s="382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6">
        <f>((J15+J14)-(K15+K14))/(J15+J14)*100</f>
        <v>3.4806378132118421</v>
      </c>
      <c r="T14" s="406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6"/>
      <c r="T15" s="406"/>
      <c r="U15" s="113"/>
    </row>
    <row r="16" spans="2:21">
      <c r="B16" s="60">
        <v>46034</v>
      </c>
      <c r="C16" s="49">
        <v>6</v>
      </c>
      <c r="D16" s="30" t="s">
        <v>64</v>
      </c>
      <c r="E16" s="381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3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2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7">
        <f>((J19+J18)-(K19+K18))/(J19+J18)*100</f>
        <v>2.1446625436945261</v>
      </c>
      <c r="T18" s="407"/>
      <c r="U18" s="113"/>
    </row>
    <row r="19" spans="2:80">
      <c r="B19" s="60">
        <v>46035</v>
      </c>
      <c r="C19" s="49">
        <v>7</v>
      </c>
      <c r="D19" s="30" t="s">
        <v>27</v>
      </c>
      <c r="E19" s="381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7"/>
      <c r="T19" s="407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2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8">
        <f>((J21+J20)-(K21+K20))/(J21+J20)*100</f>
        <v>2.5274056029232503</v>
      </c>
      <c r="T20" s="398"/>
      <c r="U20" s="113"/>
    </row>
    <row r="21" spans="2:80">
      <c r="B21" s="143">
        <v>46036</v>
      </c>
      <c r="C21" s="115">
        <v>8</v>
      </c>
      <c r="D21" s="30" t="s">
        <v>45</v>
      </c>
      <c r="E21" s="381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8"/>
      <c r="T21" s="398"/>
      <c r="U21" s="113"/>
    </row>
    <row r="22" spans="2:80">
      <c r="B22" s="143">
        <v>46036</v>
      </c>
      <c r="C22" s="115">
        <v>8</v>
      </c>
      <c r="D22" s="30" t="s">
        <v>27</v>
      </c>
      <c r="E22" s="382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1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2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1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2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9">
        <f>((J27+J26)-(K27+K26))/(J27+J26)*100</f>
        <v>1.7898115840893327</v>
      </c>
      <c r="T26" s="399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1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9"/>
      <c r="T27" s="399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2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0">
        <f>((J29+J28)-(K29+K28))/(J29+J28)*100</f>
        <v>1.2920353982300843</v>
      </c>
      <c r="T28" s="400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1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0"/>
      <c r="T29" s="400"/>
      <c r="U29" s="113"/>
    </row>
    <row r="30" spans="2:80">
      <c r="B30" s="143">
        <v>46042</v>
      </c>
      <c r="C30" s="115">
        <v>13</v>
      </c>
      <c r="D30" s="30" t="s">
        <v>73</v>
      </c>
      <c r="E30" s="382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1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3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3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2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1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3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3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2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1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2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1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2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0">
        <f>((J44+J43)-(K44+K43))/(J44+J43)*100</f>
        <v>4.6861702127659592</v>
      </c>
      <c r="T43" s="401"/>
    </row>
    <row r="44" spans="2:21">
      <c r="B44" s="143">
        <v>46050</v>
      </c>
      <c r="C44" s="115">
        <v>19</v>
      </c>
      <c r="D44" s="116" t="s">
        <v>85</v>
      </c>
      <c r="E44" s="381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0"/>
      <c r="T44" s="401"/>
    </row>
    <row r="45" spans="2:21">
      <c r="B45" s="143">
        <v>46050</v>
      </c>
      <c r="C45" s="115">
        <v>19</v>
      </c>
      <c r="D45" s="116" t="s">
        <v>87</v>
      </c>
      <c r="E45" s="383"/>
      <c r="F45" s="421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422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3"/>
      <c r="F46" s="421"/>
      <c r="G46" s="108">
        <v>600</v>
      </c>
      <c r="H46" s="423"/>
      <c r="I46" s="110"/>
      <c r="J46" s="423"/>
      <c r="K46" s="423"/>
      <c r="L46" s="423"/>
      <c r="M46" s="422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2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0">
        <f>((J52+J51)-(K52+K51))/(J52+J51)*100</f>
        <v>2.3639291465378403</v>
      </c>
      <c r="T51" s="401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0"/>
      <c r="T52" s="401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84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85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398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398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398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4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4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7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7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01">
        <f>SUM(81,70.5,79,93.5,95.7,98.4,95.8,94,91.6)-61.3</f>
        <v>738.2</v>
      </c>
      <c r="K33" s="401">
        <f>(G33+G34+G35)*0.066</f>
        <v>726.52800000000002</v>
      </c>
      <c r="L33" s="401">
        <f t="shared" si="2"/>
        <v>11.672000000000025</v>
      </c>
      <c r="M33" s="164">
        <f>[3]Mar!$AD33</f>
        <v>129</v>
      </c>
      <c r="N33" s="422">
        <f>8+2+2</f>
        <v>12</v>
      </c>
      <c r="O33" s="55"/>
      <c r="P33" s="401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01"/>
      <c r="K34" s="401"/>
      <c r="L34" s="401"/>
      <c r="M34" s="164">
        <f>[3]Mar!$AD34</f>
        <v>58</v>
      </c>
      <c r="N34" s="422"/>
      <c r="O34" s="55"/>
      <c r="P34" s="401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01"/>
      <c r="K35" s="401"/>
      <c r="L35" s="401"/>
      <c r="M35" s="164">
        <f>[3]Mar!$AD35</f>
        <v>53</v>
      </c>
      <c r="N35" s="422"/>
      <c r="O35" s="55"/>
      <c r="P35" s="401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01">
        <f>SUM(94,89.6,96,96)-14</f>
        <v>361.6</v>
      </c>
      <c r="K39" s="401">
        <f>(G39+G40)*0.066+(79*0.19)</f>
        <v>352.73200000000003</v>
      </c>
      <c r="L39" s="401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01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01"/>
      <c r="K40" s="401"/>
      <c r="L40" s="401"/>
      <c r="M40" s="164">
        <f>[3]Mar!$AD40</f>
        <v>74</v>
      </c>
      <c r="N40" s="55">
        <v>5</v>
      </c>
      <c r="O40" s="55"/>
      <c r="P40" s="401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401">
        <f>(G41+G42)*24/(F41/60)/17000*100</f>
        <v>49.010893246187365</v>
      </c>
      <c r="I41" s="55"/>
      <c r="J41" s="401">
        <f>SUM(96.5)</f>
        <v>96.5</v>
      </c>
      <c r="K41" s="401">
        <f>(G41+G42)*0.066</f>
        <v>92.796000000000006</v>
      </c>
      <c r="L41" s="401">
        <f t="shared" si="2"/>
        <v>3.7039999999999935</v>
      </c>
      <c r="M41" s="440">
        <f>[3]Mar!$AD41</f>
        <v>356</v>
      </c>
      <c r="N41" s="422">
        <v>10</v>
      </c>
      <c r="O41" s="55"/>
      <c r="P41" s="401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401"/>
      <c r="I42" s="55"/>
      <c r="J42" s="401"/>
      <c r="K42" s="401"/>
      <c r="L42" s="401"/>
      <c r="M42" s="440"/>
      <c r="N42" s="422"/>
      <c r="O42" s="55"/>
      <c r="P42" s="401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1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2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01">
        <f>SUM(43.7,62.5,97,90.4)</f>
        <v>293.60000000000002</v>
      </c>
      <c r="K55" s="401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01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01"/>
      <c r="K56" s="401"/>
      <c r="L56" s="54">
        <f t="shared" si="14"/>
        <v>0</v>
      </c>
      <c r="M56" s="164">
        <f>[3]Mar!$AD55</f>
        <v>48</v>
      </c>
      <c r="N56" s="55">
        <v>1</v>
      </c>
      <c r="O56" s="55"/>
      <c r="P56" s="401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01"/>
      <c r="K57" s="401"/>
      <c r="L57" s="54">
        <f t="shared" si="14"/>
        <v>0</v>
      </c>
      <c r="M57" s="164">
        <f>[3]Mar!$AD56</f>
        <v>185</v>
      </c>
      <c r="N57" s="55">
        <v>10</v>
      </c>
      <c r="O57" s="55"/>
      <c r="P57" s="401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85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01">
        <f>SUM(96,102)</f>
        <v>198</v>
      </c>
      <c r="K22" s="401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01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01"/>
      <c r="K23" s="401"/>
      <c r="L23" s="54">
        <f t="shared" si="5"/>
        <v>0</v>
      </c>
      <c r="M23" s="55">
        <f>[3]Apr!AD23</f>
        <v>312</v>
      </c>
      <c r="N23" s="187"/>
      <c r="O23" s="55"/>
      <c r="P23" s="401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01">
        <f>SUM(81,85.5)</f>
        <v>166.5</v>
      </c>
      <c r="K25" s="401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01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01"/>
      <c r="K26" s="401"/>
      <c r="L26" s="54">
        <f t="shared" si="6"/>
        <v>0</v>
      </c>
      <c r="M26" s="55">
        <f>[3]Apr!AD26</f>
        <v>104</v>
      </c>
      <c r="N26" s="187"/>
      <c r="O26" s="55"/>
      <c r="P26" s="401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401">
        <f>(G32+F33)*24/(F32/60)/17000*100</f>
        <v>50.207486631016053</v>
      </c>
      <c r="I32" s="55">
        <v>239</v>
      </c>
      <c r="J32" s="401">
        <f>SUM(30.6,50.5,99)</f>
        <v>180.1</v>
      </c>
      <c r="K32" s="401">
        <f>(G32)*0.066</f>
        <v>177.738</v>
      </c>
      <c r="L32" s="54">
        <f t="shared" si="6"/>
        <v>2.3619999999999948</v>
      </c>
      <c r="M32" s="55">
        <f>[3]Apr!AD32</f>
        <v>522</v>
      </c>
      <c r="N32" s="422">
        <v>5</v>
      </c>
      <c r="O32" s="55"/>
      <c r="P32" s="401">
        <f>(J32-K32)/J32*100</f>
        <v>1.3114936146585201</v>
      </c>
      <c r="Q32" s="422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401"/>
      <c r="I33" s="55"/>
      <c r="J33" s="401"/>
      <c r="K33" s="401"/>
      <c r="L33" s="54">
        <f t="shared" si="6"/>
        <v>0</v>
      </c>
      <c r="M33" s="55">
        <f>[3]Apr!AD33</f>
        <v>58</v>
      </c>
      <c r="N33" s="422"/>
      <c r="O33" s="55"/>
      <c r="P33" s="401"/>
      <c r="Q33" s="422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01">
        <f>SUM(78,99,92)-23.8</f>
        <v>245.2</v>
      </c>
      <c r="K39" s="401">
        <f>(G39+G40)*0.066</f>
        <v>241.69200000000001</v>
      </c>
      <c r="L39" s="401">
        <f t="shared" si="5"/>
        <v>3.5079999999999814</v>
      </c>
      <c r="M39" s="55">
        <f>[3]Apr!AD39</f>
        <v>524</v>
      </c>
      <c r="N39" s="422">
        <f>10+2+3</f>
        <v>15</v>
      </c>
      <c r="O39" s="55"/>
      <c r="P39" s="401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01"/>
      <c r="K40" s="401"/>
      <c r="L40" s="401"/>
      <c r="M40" s="55">
        <f>[3]Apr!AD40</f>
        <v>363</v>
      </c>
      <c r="N40" s="422"/>
      <c r="O40" s="55"/>
      <c r="P40" s="401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01">
        <f>SUM(99,23.8,103)</f>
        <v>225.8</v>
      </c>
      <c r="K41" s="401">
        <f>(G41+G42)*0.066</f>
        <v>224.334</v>
      </c>
      <c r="L41" s="401">
        <f>J41-K41</f>
        <v>1.4660000000000082</v>
      </c>
      <c r="M41" s="55">
        <f>[3]Apr!AD41</f>
        <v>84</v>
      </c>
      <c r="N41" s="422">
        <f>13+2</f>
        <v>15</v>
      </c>
      <c r="O41" s="55"/>
      <c r="P41" s="401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01"/>
      <c r="K42" s="401"/>
      <c r="L42" s="401"/>
      <c r="M42" s="55">
        <f>[3]Apr!AD42</f>
        <v>807</v>
      </c>
      <c r="N42" s="422"/>
      <c r="O42" s="55"/>
      <c r="P42" s="401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84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85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1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2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1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01">
        <f>SUM(95,98)-10</f>
        <v>183</v>
      </c>
      <c r="L10" s="401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22">
        <f>33+15</f>
        <v>48</v>
      </c>
      <c r="P10" s="55"/>
      <c r="Q10" s="401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2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01"/>
      <c r="L11" s="401"/>
      <c r="M11" s="54">
        <f t="shared" si="2"/>
        <v>0</v>
      </c>
      <c r="N11" s="55">
        <f>[3]May!$AD11</f>
        <v>41</v>
      </c>
      <c r="O11" s="422"/>
      <c r="P11" s="55"/>
      <c r="Q11" s="401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1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3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2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1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2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1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2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1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2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1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3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3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2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1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2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1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2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1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01">
        <f>SUM(92.9,86,97,98.3)</f>
        <v>374.2</v>
      </c>
      <c r="L33" s="401">
        <f>(G33+G34)*0.066</f>
        <v>366.63</v>
      </c>
      <c r="M33" s="401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01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3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01"/>
      <c r="L34" s="401"/>
      <c r="M34" s="401"/>
      <c r="N34" s="55">
        <f>[3]May!$AD34</f>
        <v>141</v>
      </c>
      <c r="O34" s="55">
        <v>4</v>
      </c>
      <c r="P34" s="55"/>
      <c r="Q34" s="401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2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1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2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1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3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2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1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3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2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1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2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1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2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1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3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2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1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2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1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3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3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01">
        <f>SUM(97,91,94.6)-57.3-24-10</f>
        <v>191.3</v>
      </c>
      <c r="K20" s="401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01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2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01"/>
      <c r="K21" s="401"/>
      <c r="L21" s="54">
        <f t="shared" si="0"/>
        <v>0</v>
      </c>
      <c r="M21" s="55">
        <f>[3]Jun!$AD21</f>
        <v>121</v>
      </c>
      <c r="N21" s="50"/>
      <c r="O21" s="55"/>
      <c r="P21" s="401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1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2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1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2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1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3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2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1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2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01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01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01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01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01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1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2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1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3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2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1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2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1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2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1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3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01">
        <v>97.6</v>
      </c>
      <c r="K19" s="401">
        <f>(G19+G20)*0.066</f>
        <v>94.710000000000008</v>
      </c>
      <c r="L19" s="401">
        <f t="shared" si="4"/>
        <v>2.8899999999999864</v>
      </c>
      <c r="M19" s="55">
        <f>[3]Jul!$AD19</f>
        <v>85</v>
      </c>
      <c r="N19" s="55"/>
      <c r="O19" s="55"/>
      <c r="P19" s="401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3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01"/>
      <c r="K20" s="401"/>
      <c r="L20" s="401"/>
      <c r="M20" s="55">
        <f>[3]Jul!$AD20</f>
        <v>48</v>
      </c>
      <c r="N20" s="55"/>
      <c r="O20" s="55"/>
      <c r="P20" s="401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3"/>
      <c r="F21" s="421">
        <f>[3]Jul!$N82</f>
        <v>280</v>
      </c>
      <c r="G21" s="18">
        <v>702</v>
      </c>
      <c r="H21" s="401">
        <f>(G21+G22)*24/(F21/60)/17000*100</f>
        <v>24.322689075630251</v>
      </c>
      <c r="I21" s="69"/>
      <c r="J21" s="401">
        <f>SUM(101.1)-43.5</f>
        <v>57.599999999999994</v>
      </c>
      <c r="K21" s="401">
        <f>(G21+G22)*0.066</f>
        <v>53.064</v>
      </c>
      <c r="L21" s="401">
        <f t="shared" si="4"/>
        <v>4.5359999999999943</v>
      </c>
      <c r="M21" s="55">
        <f>[3]Jul!$AD21</f>
        <v>68</v>
      </c>
      <c r="N21" s="55"/>
      <c r="O21" s="55"/>
      <c r="P21" s="401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2"/>
      <c r="F22" s="421"/>
      <c r="G22" s="18">
        <v>102</v>
      </c>
      <c r="H22" s="401"/>
      <c r="I22" s="69"/>
      <c r="J22" s="401"/>
      <c r="K22" s="401"/>
      <c r="L22" s="401"/>
      <c r="M22" s="55">
        <f>[3]Jul!$AD22</f>
        <v>157</v>
      </c>
      <c r="N22" s="55"/>
      <c r="O22" s="55"/>
      <c r="P22" s="401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1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3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01">
        <f>SUM(93,88)</f>
        <v>181</v>
      </c>
      <c r="K24" s="401">
        <f>(G24+G25)*0.066</f>
        <v>178.13400000000001</v>
      </c>
      <c r="L24" s="401">
        <f t="shared" si="4"/>
        <v>2.8659999999999854</v>
      </c>
      <c r="M24" s="55">
        <f>[3]Jul!$AD24</f>
        <v>147</v>
      </c>
      <c r="N24" s="422">
        <f>2+7</f>
        <v>9</v>
      </c>
      <c r="O24" s="55"/>
      <c r="P24" s="401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2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01"/>
      <c r="K25" s="401"/>
      <c r="L25" s="401"/>
      <c r="M25" s="55">
        <f>[3]Jul!$AD25</f>
        <v>90</v>
      </c>
      <c r="N25" s="422"/>
      <c r="O25" s="55"/>
      <c r="P25" s="401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1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2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1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2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1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2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1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3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01">
        <f>SUM(99,88.8,90,98,47.1)-7.2-72.9</f>
        <v>342.80000000000007</v>
      </c>
      <c r="K34" s="401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01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3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01"/>
      <c r="K35" s="401"/>
      <c r="L35" s="54">
        <f t="shared" si="4"/>
        <v>0</v>
      </c>
      <c r="M35" s="55">
        <f>[3]Jul!$AD35</f>
        <v>107</v>
      </c>
      <c r="N35" s="55">
        <v>1</v>
      </c>
      <c r="O35" s="55"/>
      <c r="P35" s="401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2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01"/>
      <c r="K36" s="401"/>
      <c r="L36" s="54">
        <f t="shared" si="4"/>
        <v>0</v>
      </c>
      <c r="M36" s="55">
        <f>[3]Jul!$AD36</f>
        <v>92</v>
      </c>
      <c r="N36" s="55">
        <v>1</v>
      </c>
      <c r="O36" s="55"/>
      <c r="P36" s="401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1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2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1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2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1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3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2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1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2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1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2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1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2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1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01">
        <f>SUM(96.2,1,102,98,95.5,97.8,90,90)-20.7</f>
        <v>649.79999999999995</v>
      </c>
      <c r="K51" s="401">
        <f>(G51+G52)*0.066</f>
        <v>642.048</v>
      </c>
      <c r="L51" s="54">
        <f t="shared" si="4"/>
        <v>7.7519999999999527</v>
      </c>
      <c r="M51" s="55">
        <f>[3]Jul!$AD51</f>
        <v>137</v>
      </c>
      <c r="N51" s="422">
        <f>7+2+18</f>
        <v>27</v>
      </c>
      <c r="O51" s="55"/>
      <c r="P51" s="401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2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01"/>
      <c r="K52" s="401"/>
      <c r="L52" s="54">
        <f t="shared" si="4"/>
        <v>0</v>
      </c>
      <c r="M52" s="55">
        <f>[3]Jul!$AD52</f>
        <v>165</v>
      </c>
      <c r="N52" s="422"/>
      <c r="O52" s="55"/>
      <c r="P52" s="401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1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01">
        <f>SUM(20.7,80)</f>
        <v>100.7</v>
      </c>
      <c r="K53" s="401">
        <f>(G53+G54)*0.066</f>
        <v>99.198000000000008</v>
      </c>
      <c r="L53" s="401">
        <f t="shared" si="4"/>
        <v>1.5019999999999953</v>
      </c>
      <c r="M53" s="55">
        <f>[3]Jul!$AD53</f>
        <v>32</v>
      </c>
      <c r="N53" s="422">
        <v>10</v>
      </c>
      <c r="O53" s="55"/>
      <c r="P53" s="401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3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01"/>
      <c r="K54" s="401"/>
      <c r="L54" s="401"/>
      <c r="M54" s="55">
        <f>[3]Jul!$AD54</f>
        <v>115</v>
      </c>
      <c r="N54" s="422"/>
      <c r="O54" s="54"/>
      <c r="P54" s="401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2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1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3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2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84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85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22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22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22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22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22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01">
        <f>54.9+93+78+105</f>
        <v>330.9</v>
      </c>
      <c r="K17" s="401">
        <f>(G17+G18)*0.066</f>
        <v>329.142</v>
      </c>
      <c r="L17" s="401">
        <f t="shared" si="1"/>
        <v>1.7579999999999814</v>
      </c>
      <c r="M17" s="55">
        <f>[3]Aug!$AD17</f>
        <v>53</v>
      </c>
      <c r="N17" s="55"/>
      <c r="O17" s="55"/>
      <c r="P17" s="401">
        <f>(J17-K17)/J17*100</f>
        <v>0.53127833182229722</v>
      </c>
      <c r="Q17" s="422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01"/>
      <c r="K18" s="401"/>
      <c r="L18" s="401"/>
      <c r="M18" s="55">
        <f>[3]Aug!$AD18</f>
        <v>195</v>
      </c>
      <c r="N18" s="55">
        <v>2</v>
      </c>
      <c r="O18" s="55"/>
      <c r="P18" s="401"/>
      <c r="Q18" s="422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22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22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22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01">
        <f>71+78.5+82+88+96-13-32</f>
        <v>370.5</v>
      </c>
      <c r="K22" s="401">
        <f>(G22+G23)*0.066</f>
        <v>369.46800000000002</v>
      </c>
      <c r="L22" s="401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01">
        <f>(J22-K22)/J22*100</f>
        <v>0.2785425101214527</v>
      </c>
      <c r="Q22" s="422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401"/>
      <c r="K23" s="401"/>
      <c r="L23" s="401"/>
      <c r="M23" s="55">
        <f>[3]Aug!$AD23</f>
        <v>96</v>
      </c>
      <c r="N23" s="55">
        <v>0</v>
      </c>
      <c r="O23" s="55"/>
      <c r="P23" s="401"/>
      <c r="Q23" s="422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01">
        <f>13+32+99+99.7+93.5+98+83.7+98.6+97-70</f>
        <v>644.5</v>
      </c>
      <c r="K24" s="401">
        <f>(G24+G25)*0.066</f>
        <v>628.18799999999999</v>
      </c>
      <c r="L24" s="401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01">
        <f>(J24-K24)/J24*100</f>
        <v>2.5309542280837878</v>
      </c>
      <c r="Q24" s="422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01"/>
      <c r="K25" s="401"/>
      <c r="L25" s="401"/>
      <c r="M25" s="55">
        <f>[3]Aug!$AD25</f>
        <v>170</v>
      </c>
      <c r="N25" s="55">
        <v>3</v>
      </c>
      <c r="O25" s="55"/>
      <c r="P25" s="401"/>
      <c r="Q25" s="422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22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01">
        <f>((1800*2)*0.066)</f>
        <v>237.60000000000002</v>
      </c>
      <c r="K27" s="401">
        <f>(G27+G28)*0.066</f>
        <v>232.65</v>
      </c>
      <c r="L27" s="401">
        <f t="shared" si="1"/>
        <v>4.9500000000000171</v>
      </c>
      <c r="M27" s="55">
        <f>[3]Aug!$AD27</f>
        <v>288</v>
      </c>
      <c r="N27" s="55">
        <v>32</v>
      </c>
      <c r="O27" s="55"/>
      <c r="P27" s="401">
        <f t="shared" si="5"/>
        <v>2.0833333333333401</v>
      </c>
      <c r="Q27" s="422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01"/>
      <c r="K28" s="401"/>
      <c r="L28" s="401"/>
      <c r="M28" s="55">
        <f>[3]Aug!$AD28</f>
        <v>48</v>
      </c>
      <c r="N28" s="55">
        <v>3</v>
      </c>
      <c r="O28" s="55"/>
      <c r="P28" s="401"/>
      <c r="Q28" s="422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22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3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4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5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1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2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1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01">
        <f>SUM(56.3,91,90,100.8,91.3,93.1,94.4)-89.5</f>
        <v>527.4</v>
      </c>
      <c r="K10" s="401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01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3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01"/>
      <c r="K11" s="401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01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2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01"/>
      <c r="K12" s="401"/>
      <c r="L12" s="54">
        <f t="shared" si="7"/>
        <v>0</v>
      </c>
      <c r="M12" s="55">
        <f>[3]Sept!$AD12</f>
        <v>100</v>
      </c>
      <c r="N12" s="55">
        <v>3</v>
      </c>
      <c r="O12" s="55"/>
      <c r="P12" s="401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1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3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2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1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2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1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2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1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2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1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2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1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3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2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1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3"/>
      <c r="F32" s="421">
        <f>[3]Sept!$N87</f>
        <v>106</v>
      </c>
      <c r="G32" s="18">
        <v>368</v>
      </c>
      <c r="H32" s="54">
        <f t="shared" si="0"/>
        <v>29.407325194228633</v>
      </c>
      <c r="I32" s="55"/>
      <c r="J32" s="401">
        <f>SUM(52.6)</f>
        <v>52.6</v>
      </c>
      <c r="K32" s="401">
        <f>(G32+G33)*0.066</f>
        <v>49.566000000000003</v>
      </c>
      <c r="L32" s="401">
        <f t="shared" si="11"/>
        <v>3.0339999999999989</v>
      </c>
      <c r="M32" s="422">
        <f>[3]Sept!$AD32</f>
        <v>32</v>
      </c>
      <c r="N32" s="422">
        <v>8</v>
      </c>
      <c r="O32" s="55"/>
      <c r="P32" s="401">
        <f t="shared" si="6"/>
        <v>5.768060836501899</v>
      </c>
      <c r="Q32" s="55">
        <f>(G32)/(E31/60)</f>
        <v>17.523809523809526</v>
      </c>
      <c r="R32" s="33"/>
      <c r="S32" s="401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3"/>
      <c r="F33" s="421"/>
      <c r="G33" s="185">
        <v>383</v>
      </c>
      <c r="H33" s="54" t="e">
        <f t="shared" si="0"/>
        <v>#DIV/0!</v>
      </c>
      <c r="I33" s="55"/>
      <c r="J33" s="401"/>
      <c r="K33" s="401"/>
      <c r="L33" s="401"/>
      <c r="M33" s="422"/>
      <c r="N33" s="422"/>
      <c r="O33" s="55"/>
      <c r="P33" s="401"/>
      <c r="Q33" s="55">
        <f>(G33)/(E31/60)</f>
        <v>18.238095238095237</v>
      </c>
      <c r="R33" s="33"/>
      <c r="S33" s="401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3"/>
      <c r="F34" s="421">
        <f>[3]Sept!$N88</f>
        <v>101</v>
      </c>
      <c r="G34" s="18">
        <v>369</v>
      </c>
      <c r="H34" s="54">
        <f t="shared" si="0"/>
        <v>30.947000582411182</v>
      </c>
      <c r="I34" s="55"/>
      <c r="J34" s="401">
        <f>50</f>
        <v>50</v>
      </c>
      <c r="K34" s="401">
        <f>(G34+G35)*0.066</f>
        <v>48.18</v>
      </c>
      <c r="L34" s="401">
        <f t="shared" si="11"/>
        <v>1.8200000000000003</v>
      </c>
      <c r="M34" s="422">
        <f>[3]Sept!$AD33</f>
        <v>26</v>
      </c>
      <c r="N34" s="422">
        <v>10</v>
      </c>
      <c r="O34" s="55"/>
      <c r="P34" s="401">
        <f t="shared" si="6"/>
        <v>3.640000000000001</v>
      </c>
      <c r="Q34" s="55">
        <f>(G34)/(E31/60)</f>
        <v>17.571428571428573</v>
      </c>
      <c r="R34" s="33"/>
      <c r="S34" s="401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2"/>
      <c r="F35" s="421"/>
      <c r="G35" s="18">
        <v>361</v>
      </c>
      <c r="H35" s="54" t="e">
        <f t="shared" si="0"/>
        <v>#DIV/0!</v>
      </c>
      <c r="I35" s="55"/>
      <c r="J35" s="401"/>
      <c r="K35" s="401"/>
      <c r="L35" s="401"/>
      <c r="M35" s="422"/>
      <c r="N35" s="422"/>
      <c r="O35" s="55"/>
      <c r="P35" s="401"/>
      <c r="Q35" s="55">
        <f>(G35)/(E31/60)</f>
        <v>17.19047619047619</v>
      </c>
      <c r="R35" s="33"/>
      <c r="S35" s="401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1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01">
        <f>SUM(94,92)</f>
        <v>186</v>
      </c>
      <c r="K36" s="401">
        <f>(G36+G37)*0.066</f>
        <v>179.916</v>
      </c>
      <c r="L36" s="54">
        <f t="shared" si="11"/>
        <v>6.0840000000000032</v>
      </c>
      <c r="M36" s="55">
        <f>[3]Sept!$AD34</f>
        <v>196</v>
      </c>
      <c r="N36" s="422">
        <f>2+27</f>
        <v>29</v>
      </c>
      <c r="O36" s="55"/>
      <c r="P36" s="401">
        <f>(J36-K36)/J36*100</f>
        <v>3.2709677419354857</v>
      </c>
      <c r="Q36" s="55">
        <f>(G36)/(E36/60)</f>
        <v>25.12087912087912</v>
      </c>
      <c r="R36" s="33"/>
      <c r="S36" s="401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2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01"/>
      <c r="K37" s="401"/>
      <c r="L37" s="54">
        <f t="shared" si="11"/>
        <v>0</v>
      </c>
      <c r="M37" s="55">
        <f>[3]Sept!$AD35</f>
        <v>71</v>
      </c>
      <c r="N37" s="422"/>
      <c r="O37" s="55"/>
      <c r="P37" s="401"/>
      <c r="Q37" s="55">
        <f>(G37)/(E36/60)</f>
        <v>154.61538461538461</v>
      </c>
      <c r="R37" s="33"/>
      <c r="S37" s="401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1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2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1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2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1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2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1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2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Q17" sqref="Q17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0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85"/>
      <c r="S7" s="11"/>
    </row>
    <row r="8" spans="1:20" ht="15.75">
      <c r="B8" s="60">
        <v>46296</v>
      </c>
      <c r="C8" s="49">
        <v>1</v>
      </c>
      <c r="D8" s="30" t="s">
        <v>48</v>
      </c>
      <c r="E8" s="383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2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1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2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850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349.2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850</v>
      </c>
      <c r="F13" s="39">
        <f>[3]Oct!$N84</f>
        <v>677</v>
      </c>
      <c r="G13" s="18">
        <v>5412</v>
      </c>
      <c r="H13" s="54">
        <f t="shared" si="0"/>
        <v>67.714658093665832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382.02352941176474</v>
      </c>
      <c r="R13" s="33"/>
      <c r="S13" s="54">
        <f>SUM('[4]Daily glue OCT'!$H$8:$H$9)</f>
        <v>1.0093462017434619E-2</v>
      </c>
      <c r="T13" s="6"/>
    </row>
    <row r="14" spans="1:20" ht="15.75">
      <c r="B14" s="60">
        <v>46302</v>
      </c>
      <c r="C14" s="49">
        <v>5</v>
      </c>
      <c r="D14" s="30" t="s">
        <v>146</v>
      </c>
      <c r="E14" s="147">
        <v>850</v>
      </c>
      <c r="F14" s="39">
        <f>[3]Oct!$N85</f>
        <v>728</v>
      </c>
      <c r="G14" s="18">
        <v>6158</v>
      </c>
      <c r="H14" s="54">
        <f t="shared" si="0"/>
        <v>71.650937297996137</v>
      </c>
      <c r="I14" s="55"/>
      <c r="J14" s="54">
        <f>SUM(76.4,80,84,103.2,96.8)-22.5</f>
        <v>417.90000000000003</v>
      </c>
      <c r="K14" s="54">
        <f t="shared" si="6"/>
        <v>406.428</v>
      </c>
      <c r="L14" s="54">
        <f t="shared" si="1"/>
        <v>11.472000000000037</v>
      </c>
      <c r="M14" s="55">
        <f>[3]Oct!$AD14</f>
        <v>155</v>
      </c>
      <c r="N14" s="55">
        <f>7+4</f>
        <v>11</v>
      </c>
      <c r="O14" s="55"/>
      <c r="P14" s="54">
        <f t="shared" si="3"/>
        <v>2.7451543431443017</v>
      </c>
      <c r="Q14" s="55">
        <f>(G14)/(E14/60)</f>
        <v>434.68235294117648</v>
      </c>
      <c r="R14" s="33"/>
      <c r="S14" s="54">
        <f>SUM('[4]Daily glue OCT'!$H$10:$H$11)</f>
        <v>1.0842945050558807E-2</v>
      </c>
      <c r="T14" s="6"/>
    </row>
    <row r="15" spans="1:20" ht="15.75">
      <c r="B15" s="60">
        <v>46303</v>
      </c>
      <c r="C15" s="49">
        <v>6</v>
      </c>
      <c r="D15" s="30" t="s">
        <v>146</v>
      </c>
      <c r="E15" s="381">
        <v>850</v>
      </c>
      <c r="F15" s="39">
        <f>[3]Oct!$N86</f>
        <v>649</v>
      </c>
      <c r="G15" s="18">
        <v>4628</v>
      </c>
      <c r="H15" s="54">
        <f t="shared" si="0"/>
        <v>60.403516722559601</v>
      </c>
      <c r="I15" s="50"/>
      <c r="J15" s="54">
        <f>SUM(97.6,22.5,93.8,101)</f>
        <v>314.89999999999998</v>
      </c>
      <c r="K15" s="54">
        <f>(G15)*0.066</f>
        <v>305.44800000000004</v>
      </c>
      <c r="L15" s="54">
        <f t="shared" ref="L15:L31" si="7">J15-K15</f>
        <v>9.4519999999999413</v>
      </c>
      <c r="M15" s="55">
        <f>[3]Oct!$AD15</f>
        <v>219</v>
      </c>
      <c r="N15" s="55">
        <f>18+5</f>
        <v>23</v>
      </c>
      <c r="O15" s="55"/>
      <c r="P15" s="54">
        <f t="shared" si="3"/>
        <v>3.0015878056525698</v>
      </c>
      <c r="Q15" s="55">
        <f t="shared" si="5"/>
        <v>326.68235294117648</v>
      </c>
      <c r="R15" s="33"/>
      <c r="S15" s="54">
        <f>SUM('[4]Daily glue OCT'!$H$12)</f>
        <v>3.8527960526315787E-3</v>
      </c>
      <c r="T15" s="6"/>
    </row>
    <row r="16" spans="1:20" ht="15.75">
      <c r="B16" s="60">
        <v>46303</v>
      </c>
      <c r="C16" s="49">
        <v>6</v>
      </c>
      <c r="D16" s="30" t="s">
        <v>27</v>
      </c>
      <c r="E16" s="382"/>
      <c r="F16" s="39">
        <f>[3]Oct!$N87</f>
        <v>129</v>
      </c>
      <c r="G16" s="18">
        <v>845</v>
      </c>
      <c r="H16" s="54">
        <f t="shared" si="0"/>
        <v>55.485636114911088</v>
      </c>
      <c r="I16" s="55"/>
      <c r="J16" s="54">
        <f>SUM(94,96)-97-36</f>
        <v>57</v>
      </c>
      <c r="K16" s="54">
        <f>(G16)*0.066</f>
        <v>55.77</v>
      </c>
      <c r="L16" s="54">
        <f t="shared" si="7"/>
        <v>1.2299999999999969</v>
      </c>
      <c r="M16" s="55">
        <f>[3]Oct!$AD16</f>
        <v>42</v>
      </c>
      <c r="N16" s="55">
        <v>1</v>
      </c>
      <c r="O16" s="55"/>
      <c r="P16" s="54">
        <f t="shared" si="3"/>
        <v>2.1578947368420995</v>
      </c>
      <c r="Q16" s="55">
        <f>(G16)/(E15/60)</f>
        <v>59.647058823529413</v>
      </c>
      <c r="R16" s="33"/>
      <c r="S16" s="54">
        <f>'[4]Daily glue OCT'!$H$13</f>
        <v>6.1624465636303839E-3</v>
      </c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>(G17)*0.066+(15*0.19)</f>
        <v>2.85</v>
      </c>
      <c r="L17" s="54">
        <f t="shared" si="7"/>
        <v>-2.85</v>
      </c>
      <c r="M17" s="55">
        <f>[3]Oct!$AD17</f>
        <v>0</v>
      </c>
      <c r="N17" s="55"/>
      <c r="O17" s="55">
        <v>15</v>
      </c>
      <c r="P17" s="33" t="e">
        <f t="shared" si="3"/>
        <v>#DIV/0!</v>
      </c>
      <c r="Q17" s="55" t="e">
        <f t="shared" si="5"/>
        <v>#DIV/0!</v>
      </c>
      <c r="R17" s="33"/>
      <c r="S17" s="54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8">(G18)*0.066</f>
        <v>0</v>
      </c>
      <c r="L18" s="54">
        <f t="shared" si="7"/>
        <v>0</v>
      </c>
      <c r="M18" s="55">
        <f>[3]Oct!$AD18</f>
        <v>0</v>
      </c>
      <c r="N18" s="55"/>
      <c r="O18" s="55"/>
      <c r="P18" s="33" t="e">
        <f t="shared" si="3"/>
        <v>#DIV/0!</v>
      </c>
      <c r="Q18" s="55" t="e">
        <f t="shared" si="5"/>
        <v>#DIV/0!</v>
      </c>
      <c r="R18" s="33"/>
      <c r="S18" s="54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9">(G19)*0.066</f>
        <v>0</v>
      </c>
      <c r="L19" s="54">
        <f t="shared" si="7"/>
        <v>0</v>
      </c>
      <c r="M19" s="55">
        <f>[3]Oct!$AD19</f>
        <v>0</v>
      </c>
      <c r="N19" s="55"/>
      <c r="O19" s="55"/>
      <c r="P19" s="33" t="e">
        <f t="shared" si="3"/>
        <v>#DIV/0!</v>
      </c>
      <c r="Q19" s="55" t="e">
        <f t="shared" si="5"/>
        <v>#DIV/0!</v>
      </c>
      <c r="R19" s="33"/>
      <c r="S19" s="54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9"/>
        <v>0</v>
      </c>
      <c r="L20" s="54">
        <f t="shared" si="7"/>
        <v>0</v>
      </c>
      <c r="M20" s="55">
        <f>[3]Oct!$AD20</f>
        <v>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3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9"/>
        <v>0</v>
      </c>
      <c r="L21" s="54">
        <f t="shared" si="7"/>
        <v>0</v>
      </c>
      <c r="M21" s="55">
        <f>[3]Oct!$AD21</f>
        <v>0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3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7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9"/>
        <v>0</v>
      </c>
      <c r="L23" s="54">
        <f t="shared" si="7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0">(G24)*24/(F24/60)/17000*100</f>
        <v>#DIV/0!</v>
      </c>
      <c r="I24" s="55"/>
      <c r="J24" s="54"/>
      <c r="K24" s="54">
        <f t="shared" si="9"/>
        <v>0</v>
      </c>
      <c r="L24" s="54">
        <f t="shared" si="7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0"/>
        <v>#DIV/0!</v>
      </c>
      <c r="I25" s="55"/>
      <c r="J25" s="54"/>
      <c r="K25" s="54">
        <f t="shared" si="9"/>
        <v>0</v>
      </c>
      <c r="L25" s="54">
        <f t="shared" si="7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0"/>
        <v>#DIV/0!</v>
      </c>
      <c r="I26" s="55"/>
      <c r="J26" s="54"/>
      <c r="K26" s="54">
        <f t="shared" si="9"/>
        <v>0</v>
      </c>
      <c r="L26" s="54">
        <f t="shared" si="7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0"/>
        <v>#DIV/0!</v>
      </c>
      <c r="I27" s="50"/>
      <c r="J27" s="54"/>
      <c r="K27" s="54">
        <f t="shared" si="9"/>
        <v>0</v>
      </c>
      <c r="L27" s="54">
        <f t="shared" si="7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0"/>
        <v>#DIV/0!</v>
      </c>
      <c r="I28" s="50"/>
      <c r="J28" s="54"/>
      <c r="K28" s="54">
        <f t="shared" ref="K28" si="11">(G28)*0.066</f>
        <v>0</v>
      </c>
      <c r="L28" s="54">
        <f t="shared" si="7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0"/>
        <v>#DIV/0!</v>
      </c>
      <c r="I29" s="54"/>
      <c r="J29" s="54"/>
      <c r="K29" s="54">
        <f t="shared" si="9"/>
        <v>0</v>
      </c>
      <c r="L29" s="54">
        <f t="shared" si="7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0"/>
        <v>#DIV/0!</v>
      </c>
      <c r="I30" s="55"/>
      <c r="J30" s="54"/>
      <c r="K30" s="54">
        <f t="shared" si="9"/>
        <v>0</v>
      </c>
      <c r="L30" s="54">
        <f t="shared" si="7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0"/>
        <v>#DIV/0!</v>
      </c>
      <c r="I31" s="55"/>
      <c r="J31" s="54"/>
      <c r="K31" s="54">
        <f t="shared" si="9"/>
        <v>0</v>
      </c>
      <c r="L31" s="54">
        <f t="shared" si="7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0"/>
        <v>#DIV/0!</v>
      </c>
      <c r="I32" s="50"/>
      <c r="J32" s="54"/>
      <c r="K32" s="54">
        <f>(G32)*0.066</f>
        <v>0</v>
      </c>
      <c r="L32" s="54">
        <f t="shared" ref="L32:L34" si="12">J32-K32</f>
        <v>0</v>
      </c>
      <c r="M32" s="55">
        <f>[3]Oct!$AD32</f>
        <v>0</v>
      </c>
      <c r="N32" s="55"/>
      <c r="O32" s="55"/>
      <c r="P32" s="33" t="e">
        <f t="shared" ref="P32:P43" si="13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0"/>
        <v>#DIV/0!</v>
      </c>
      <c r="I33" s="55"/>
      <c r="J33" s="54"/>
      <c r="K33" s="54">
        <f t="shared" si="9"/>
        <v>0</v>
      </c>
      <c r="L33" s="54">
        <f t="shared" si="12"/>
        <v>0</v>
      </c>
      <c r="M33" s="55">
        <f>[3]Oct!$AD33</f>
        <v>0</v>
      </c>
      <c r="N33" s="55"/>
      <c r="O33" s="55"/>
      <c r="P33" s="33" t="e">
        <f t="shared" si="13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0"/>
        <v>#DIV/0!</v>
      </c>
      <c r="I34" s="55"/>
      <c r="J34" s="54"/>
      <c r="K34" s="54">
        <f t="shared" si="9"/>
        <v>0</v>
      </c>
      <c r="L34" s="54">
        <f t="shared" si="12"/>
        <v>0</v>
      </c>
      <c r="M34" s="55">
        <f>[3]Oct!$AD34</f>
        <v>0</v>
      </c>
      <c r="N34" s="55"/>
      <c r="O34" s="55"/>
      <c r="P34" s="33" t="e">
        <f t="shared" si="13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0"/>
        <v>#DIV/0!</v>
      </c>
      <c r="I35" s="55"/>
      <c r="J35" s="54"/>
      <c r="K35" s="54">
        <f t="shared" ref="K35:K58" si="14">(G35)*0.066</f>
        <v>0</v>
      </c>
      <c r="L35" s="54">
        <f t="shared" ref="L35:L58" si="15">J35-K35</f>
        <v>0</v>
      </c>
      <c r="M35" s="55">
        <f>[3]Oct!$AD35</f>
        <v>0</v>
      </c>
      <c r="N35" s="55"/>
      <c r="O35" s="55"/>
      <c r="P35" s="33" t="e">
        <f t="shared" si="13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0"/>
        <v>#DIV/0!</v>
      </c>
      <c r="I36" s="50"/>
      <c r="J36" s="33"/>
      <c r="K36" s="54">
        <f t="shared" si="14"/>
        <v>0</v>
      </c>
      <c r="L36" s="54">
        <f t="shared" si="15"/>
        <v>0</v>
      </c>
      <c r="M36" s="55">
        <f>[3]Oct!$AD36</f>
        <v>0</v>
      </c>
      <c r="N36" s="55"/>
      <c r="O36" s="55"/>
      <c r="P36" s="33" t="e">
        <f t="shared" si="13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0"/>
        <v>#DIV/0!</v>
      </c>
      <c r="I37" s="50"/>
      <c r="J37" s="33"/>
      <c r="K37" s="54">
        <f t="shared" si="14"/>
        <v>0</v>
      </c>
      <c r="L37" s="54">
        <f t="shared" si="15"/>
        <v>0</v>
      </c>
      <c r="M37" s="55">
        <f>[3]Oct!$AD37</f>
        <v>0</v>
      </c>
      <c r="N37" s="55"/>
      <c r="O37" s="55"/>
      <c r="P37" s="33" t="e">
        <f t="shared" si="13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0"/>
        <v>#DIV/0!</v>
      </c>
      <c r="I38" s="55"/>
      <c r="J38" s="33"/>
      <c r="K38" s="54">
        <f t="shared" si="14"/>
        <v>0</v>
      </c>
      <c r="L38" s="54">
        <f t="shared" si="15"/>
        <v>0</v>
      </c>
      <c r="M38" s="55">
        <f>[3]Oct!$AD38</f>
        <v>0</v>
      </c>
      <c r="N38" s="55"/>
      <c r="O38" s="55"/>
      <c r="P38" s="33" t="e">
        <f t="shared" si="13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0"/>
        <v>#DIV/0!</v>
      </c>
      <c r="I39" s="55"/>
      <c r="J39" s="54"/>
      <c r="K39" s="54">
        <f t="shared" si="14"/>
        <v>0</v>
      </c>
      <c r="L39" s="54">
        <f t="shared" si="15"/>
        <v>0</v>
      </c>
      <c r="M39" s="55">
        <f>[3]Oct!$AD39</f>
        <v>0</v>
      </c>
      <c r="N39" s="55"/>
      <c r="O39" s="55"/>
      <c r="P39" s="33" t="e">
        <f t="shared" si="13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0"/>
        <v>#DIV/0!</v>
      </c>
      <c r="I40" s="50"/>
      <c r="J40" s="54"/>
      <c r="K40" s="54">
        <f t="shared" si="14"/>
        <v>0</v>
      </c>
      <c r="L40" s="54">
        <f t="shared" si="15"/>
        <v>0</v>
      </c>
      <c r="M40" s="55">
        <f>[3]Oct!$AD40</f>
        <v>0</v>
      </c>
      <c r="N40" s="55"/>
      <c r="O40" s="55"/>
      <c r="P40" s="33" t="e">
        <f t="shared" si="13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0"/>
        <v>#DIV/0!</v>
      </c>
      <c r="I41" s="55"/>
      <c r="J41" s="54"/>
      <c r="K41" s="54">
        <f t="shared" si="14"/>
        <v>0</v>
      </c>
      <c r="L41" s="54">
        <f t="shared" si="15"/>
        <v>0</v>
      </c>
      <c r="M41" s="55">
        <f>[3]Oct!$AD41</f>
        <v>0</v>
      </c>
      <c r="N41" s="55"/>
      <c r="O41" s="55"/>
      <c r="P41" s="33" t="e">
        <f t="shared" si="13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0"/>
        <v>#DIV/0!</v>
      </c>
      <c r="I42" s="50"/>
      <c r="J42" s="33"/>
      <c r="K42" s="54">
        <f t="shared" si="14"/>
        <v>0</v>
      </c>
      <c r="L42" s="54">
        <f t="shared" si="15"/>
        <v>0</v>
      </c>
      <c r="M42" s="55">
        <f>[3]Oct!$AD42</f>
        <v>0</v>
      </c>
      <c r="N42" s="55"/>
      <c r="O42" s="55"/>
      <c r="P42" s="33" t="e">
        <f t="shared" si="13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0"/>
        <v>#DIV/0!</v>
      </c>
      <c r="I43" s="50"/>
      <c r="J43" s="33"/>
      <c r="K43" s="54">
        <f t="shared" si="14"/>
        <v>0</v>
      </c>
      <c r="L43" s="54">
        <f t="shared" si="15"/>
        <v>0</v>
      </c>
      <c r="M43" s="55">
        <f>[3]Oct!$AD43</f>
        <v>0</v>
      </c>
      <c r="N43" s="55"/>
      <c r="O43" s="55"/>
      <c r="P43" s="33" t="e">
        <f t="shared" si="13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0"/>
        <v>#DIV/0!</v>
      </c>
      <c r="I44" s="55"/>
      <c r="J44" s="54"/>
      <c r="K44" s="54">
        <f t="shared" si="14"/>
        <v>0</v>
      </c>
      <c r="L44" s="54">
        <f t="shared" si="15"/>
        <v>0</v>
      </c>
      <c r="M44" s="55">
        <f>[3]Oct!$AD44</f>
        <v>0</v>
      </c>
      <c r="N44" s="55"/>
      <c r="O44" s="55"/>
      <c r="P44" s="33" t="e">
        <f t="shared" ref="P44:P59" si="16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0"/>
        <v>#DIV/0!</v>
      </c>
      <c r="I45" s="55"/>
      <c r="J45" s="54"/>
      <c r="K45" s="54">
        <f t="shared" si="14"/>
        <v>0</v>
      </c>
      <c r="L45" s="54">
        <f t="shared" si="15"/>
        <v>0</v>
      </c>
      <c r="M45" s="55">
        <f>[3]Oct!$AD45</f>
        <v>0</v>
      </c>
      <c r="N45" s="55"/>
      <c r="O45" s="55"/>
      <c r="P45" s="33" t="e">
        <f t="shared" si="16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0"/>
        <v>#DIV/0!</v>
      </c>
      <c r="I46" s="50"/>
      <c r="J46" s="54"/>
      <c r="K46" s="54">
        <f t="shared" si="14"/>
        <v>0</v>
      </c>
      <c r="L46" s="54">
        <f t="shared" si="15"/>
        <v>0</v>
      </c>
      <c r="M46" s="55">
        <f>[3]Oct!$AD46</f>
        <v>0</v>
      </c>
      <c r="N46" s="55"/>
      <c r="O46" s="55"/>
      <c r="P46" s="33" t="e">
        <f t="shared" si="16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7">(G47)*24/(F47/60)/17000*100</f>
        <v>#DIV/0!</v>
      </c>
      <c r="I47" s="55"/>
      <c r="J47" s="54"/>
      <c r="K47" s="54">
        <f t="shared" si="14"/>
        <v>0</v>
      </c>
      <c r="L47" s="54">
        <f t="shared" si="15"/>
        <v>0</v>
      </c>
      <c r="M47" s="55">
        <f>[3]Oct!$AD47</f>
        <v>0</v>
      </c>
      <c r="N47" s="55"/>
      <c r="O47" s="55"/>
      <c r="P47" s="33" t="e">
        <f t="shared" si="16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4"/>
        <v>0</v>
      </c>
      <c r="L48" s="54">
        <f t="shared" si="15"/>
        <v>0</v>
      </c>
      <c r="M48" s="55">
        <f>[3]Oct!$AD48</f>
        <v>0</v>
      </c>
      <c r="N48" s="55"/>
      <c r="O48" s="55"/>
      <c r="P48" s="33" t="e">
        <f t="shared" si="16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7"/>
        <v>#DIV/0!</v>
      </c>
      <c r="I49" s="55"/>
      <c r="J49" s="54"/>
      <c r="K49" s="54">
        <f t="shared" si="14"/>
        <v>0</v>
      </c>
      <c r="L49" s="54">
        <f t="shared" si="15"/>
        <v>0</v>
      </c>
      <c r="M49" s="55">
        <f>[3]Oct!$AD49</f>
        <v>0</v>
      </c>
      <c r="N49" s="55"/>
      <c r="O49" s="55"/>
      <c r="P49" s="33" t="e">
        <f t="shared" si="16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7"/>
        <v>#DIV/0!</v>
      </c>
      <c r="I50" s="50"/>
      <c r="J50" s="54"/>
      <c r="K50" s="54">
        <f t="shared" si="14"/>
        <v>0</v>
      </c>
      <c r="L50" s="54">
        <f t="shared" si="15"/>
        <v>0</v>
      </c>
      <c r="M50" s="55">
        <f>[3]Oct!$AD50</f>
        <v>0</v>
      </c>
      <c r="N50" s="55"/>
      <c r="O50" s="55"/>
      <c r="P50" s="33" t="e">
        <f t="shared" si="16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7"/>
        <v>#DIV/0!</v>
      </c>
      <c r="I51" s="50"/>
      <c r="J51" s="54"/>
      <c r="K51" s="54">
        <f t="shared" si="14"/>
        <v>0</v>
      </c>
      <c r="L51" s="54">
        <f t="shared" si="15"/>
        <v>0</v>
      </c>
      <c r="M51" s="55">
        <f>[3]Oct!$AD51</f>
        <v>0</v>
      </c>
      <c r="N51" s="55"/>
      <c r="O51" s="55"/>
      <c r="P51" s="33" t="e">
        <f t="shared" si="16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7"/>
        <v>#DIV/0!</v>
      </c>
      <c r="I52" s="55"/>
      <c r="J52" s="54"/>
      <c r="K52" s="54">
        <f t="shared" si="14"/>
        <v>0</v>
      </c>
      <c r="L52" s="54">
        <f t="shared" si="15"/>
        <v>0</v>
      </c>
      <c r="M52" s="55">
        <f>[3]Oct!$AD52</f>
        <v>0</v>
      </c>
      <c r="N52" s="55"/>
      <c r="O52" s="55"/>
      <c r="P52" s="33" t="e">
        <f t="shared" si="16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7"/>
        <v>#DIV/0!</v>
      </c>
      <c r="I53" s="55"/>
      <c r="J53" s="54"/>
      <c r="K53" s="54">
        <f t="shared" si="14"/>
        <v>0</v>
      </c>
      <c r="L53" s="54">
        <f t="shared" si="15"/>
        <v>0</v>
      </c>
      <c r="M53" s="55">
        <f>[3]Oct!$AD53</f>
        <v>0</v>
      </c>
      <c r="N53" s="55"/>
      <c r="O53" s="55"/>
      <c r="P53" s="33" t="e">
        <f t="shared" si="16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7"/>
        <v>#DIV/0!</v>
      </c>
      <c r="I54" s="55"/>
      <c r="J54" s="54"/>
      <c r="K54" s="54">
        <f t="shared" si="14"/>
        <v>0</v>
      </c>
      <c r="L54" s="54">
        <f t="shared" si="15"/>
        <v>0</v>
      </c>
      <c r="M54" s="55">
        <f>[3]Oct!$AD54</f>
        <v>0</v>
      </c>
      <c r="N54" s="55"/>
      <c r="O54" s="55"/>
      <c r="P54" s="33" t="e">
        <f t="shared" si="16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4"/>
        <v>0</v>
      </c>
      <c r="L55" s="54">
        <f t="shared" si="15"/>
        <v>0</v>
      </c>
      <c r="M55" s="55">
        <f>[3]Oct!$AD55</f>
        <v>0</v>
      </c>
      <c r="N55" s="55"/>
      <c r="O55" s="55"/>
      <c r="P55" s="33" t="e">
        <f t="shared" si="16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8">(G56)*24/(F56/60)/17000*100</f>
        <v>#DIV/0!</v>
      </c>
      <c r="I56" s="55"/>
      <c r="J56" s="54"/>
      <c r="K56" s="54">
        <f t="shared" si="14"/>
        <v>0</v>
      </c>
      <c r="L56" s="54">
        <f t="shared" si="15"/>
        <v>0</v>
      </c>
      <c r="M56" s="55">
        <f>[3]Oct!$AD56</f>
        <v>0</v>
      </c>
      <c r="N56" s="55"/>
      <c r="O56" s="55"/>
      <c r="P56" s="33" t="e">
        <f t="shared" si="16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8"/>
        <v>#DIV/0!</v>
      </c>
      <c r="I57" s="55"/>
      <c r="J57" s="33"/>
      <c r="K57" s="54">
        <f t="shared" si="14"/>
        <v>0</v>
      </c>
      <c r="L57" s="54">
        <f t="shared" si="15"/>
        <v>0</v>
      </c>
      <c r="M57" s="55">
        <f>[3]Oct!$AD57</f>
        <v>0</v>
      </c>
      <c r="N57" s="55"/>
      <c r="O57" s="55"/>
      <c r="P57" s="33" t="e">
        <f t="shared" si="16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8"/>
        <v>#DIV/0!</v>
      </c>
      <c r="I58" s="55"/>
      <c r="J58" s="33"/>
      <c r="K58" s="54">
        <f t="shared" si="14"/>
        <v>0</v>
      </c>
      <c r="L58" s="54">
        <f t="shared" si="15"/>
        <v>0</v>
      </c>
      <c r="M58" s="55">
        <f>[3]Oct!$AD58</f>
        <v>0</v>
      </c>
      <c r="N58" s="55"/>
      <c r="O58" s="55"/>
      <c r="P58" s="33" t="e">
        <f t="shared" si="16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8"/>
        <v>#DIV/0!</v>
      </c>
      <c r="I59" s="55"/>
      <c r="J59" s="54"/>
      <c r="K59" s="54">
        <f>(G59)*0.066</f>
        <v>0</v>
      </c>
      <c r="L59" s="54">
        <f t="shared" ref="L59:L63" si="19">J59-K59</f>
        <v>0</v>
      </c>
      <c r="M59" s="55">
        <f>[3]Oct!$AD59</f>
        <v>0</v>
      </c>
      <c r="N59" s="55"/>
      <c r="O59" s="55"/>
      <c r="P59" s="33" t="e">
        <f t="shared" si="16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8"/>
        <v>#DIV/0!</v>
      </c>
      <c r="I60" s="55"/>
      <c r="J60" s="54"/>
      <c r="K60" s="54">
        <f t="shared" ref="K60:K63" si="20">(G60)*0.066</f>
        <v>0</v>
      </c>
      <c r="L60" s="54">
        <f t="shared" si="19"/>
        <v>0</v>
      </c>
      <c r="M60" s="55">
        <f>[3]Oct!$AD60</f>
        <v>0</v>
      </c>
      <c r="N60" s="55"/>
      <c r="O60" s="55"/>
      <c r="P60" s="54" t="e">
        <f t="shared" ref="P60:P61" si="21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8"/>
        <v>#DIV/0!</v>
      </c>
      <c r="I61" s="55"/>
      <c r="J61" s="54"/>
      <c r="K61" s="54">
        <f t="shared" si="20"/>
        <v>0</v>
      </c>
      <c r="L61" s="54">
        <f t="shared" si="19"/>
        <v>0</v>
      </c>
      <c r="M61" s="55"/>
      <c r="N61" s="55"/>
      <c r="O61" s="55"/>
      <c r="P61" s="54" t="e">
        <f t="shared" si="21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8"/>
        <v>#DIV/0!</v>
      </c>
      <c r="I62" s="55"/>
      <c r="J62" s="54"/>
      <c r="K62" s="54">
        <f t="shared" si="20"/>
        <v>0</v>
      </c>
      <c r="L62" s="54">
        <f t="shared" si="19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0"/>
        <v>0</v>
      </c>
      <c r="L63" s="54">
        <f t="shared" si="19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4905</v>
      </c>
      <c r="F64" s="23">
        <f>SUM(F8:F63)</f>
        <v>4072</v>
      </c>
      <c r="G64" s="15">
        <f>SUM(G8:G63)</f>
        <v>31770</v>
      </c>
      <c r="H64" s="13">
        <f>(G64)*24/(F64/60)/17000*100</f>
        <v>66.088061943834518</v>
      </c>
      <c r="I64" s="14">
        <f>SUM(I8:I63)</f>
        <v>0</v>
      </c>
      <c r="J64" s="52">
        <f>SUM(J8:J63)</f>
        <v>2172.2000000000003</v>
      </c>
      <c r="K64" s="13">
        <f>SUM(K8:K63)</f>
        <v>2125.9115999999999</v>
      </c>
      <c r="L64" s="52">
        <f>J64-K64</f>
        <v>46.288400000000365</v>
      </c>
      <c r="M64" s="53">
        <f>SUM(M8:M63)</f>
        <v>1253</v>
      </c>
      <c r="N64" s="36">
        <f>SUM(N8:N63)</f>
        <v>82</v>
      </c>
      <c r="O64" s="14">
        <f>SUM(O8:O63)</f>
        <v>15</v>
      </c>
      <c r="P64" s="25">
        <f>(J64-K64)/J64</f>
        <v>2.1309455851210919E-2</v>
      </c>
      <c r="Q64" s="14">
        <f>(G64)/(E64/60)</f>
        <v>388.62385321100919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271.7489748618292</v>
      </c>
      <c r="S64" s="17">
        <f>SUM(S8:S63)</f>
        <v>6.1705314959460897E-2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31811.25</v>
      </c>
      <c r="M66" s="19"/>
      <c r="N66" s="41" t="s">
        <v>31</v>
      </c>
      <c r="O66" s="19">
        <f>O64*2.75</f>
        <v>41.25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2">
    <mergeCell ref="E15:E16"/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85"/>
    </row>
    <row r="8" spans="2:19" ht="15.75">
      <c r="B8" s="60"/>
      <c r="C8" s="49"/>
      <c r="D8" s="30"/>
      <c r="E8" s="383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3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2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1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2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1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3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2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1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2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1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3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2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1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22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2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22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1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2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1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2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1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2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1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2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1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2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1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2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1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3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2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1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2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1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2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1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2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365.50807706254608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84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85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22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22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365.50807706254608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2026-10-09T12:34:10Z</dcterms:modified>
</cp:coreProperties>
</file>