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drawings/drawing1.xml" ContentType="application/vnd.openxmlformats-officedocument.drawing+xml"/>
  <Override PartName="/xl/comments2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6 Daily Process Report\"/>
    </mc:Choice>
  </mc:AlternateContent>
  <xr:revisionPtr revIDLastSave="0" documentId="13_ncr:1_{11CDEC7C-BF48-4C03-AD5B-283A317AA1D0}" xr6:coauthVersionLast="47" xr6:coauthVersionMax="47" xr10:uidLastSave="{00000000-0000-0000-0000-000000000000}"/>
  <bookViews>
    <workbookView xWindow="-120" yWindow="-120" windowWidth="29040" windowHeight="15720" tabRatio="599" firstSheet="13" activeTab="20" xr2:uid="{1120807F-7390-4E10-A66F-84111922E872}"/>
  </bookViews>
  <sheets>
    <sheet name="Dec 18th" sheetId="658" state="hidden" r:id="rId1"/>
    <sheet name="June 2nd" sheetId="999" r:id="rId2"/>
    <sheet name="June 3rd" sheetId="1000" r:id="rId3"/>
    <sheet name="June 4th" sheetId="1001" r:id="rId4"/>
    <sheet name="June 5th" sheetId="1002" r:id="rId5"/>
    <sheet name="June 8th" sheetId="1003" r:id="rId6"/>
    <sheet name="June 9th" sheetId="1004" r:id="rId7"/>
    <sheet name="June 12th " sheetId="1005" r:id="rId8"/>
    <sheet name="June 15th " sheetId="1006" r:id="rId9"/>
    <sheet name="June 16th" sheetId="1007" r:id="rId10"/>
    <sheet name="June 17th " sheetId="1008" r:id="rId11"/>
    <sheet name="June 18th " sheetId="1009" r:id="rId12"/>
    <sheet name="June 21st" sheetId="1010" r:id="rId13"/>
    <sheet name="June 22nd" sheetId="1011" r:id="rId14"/>
    <sheet name="June 23rd" sheetId="1012" r:id="rId15"/>
    <sheet name="June 24th" sheetId="1013" r:id="rId16"/>
    <sheet name="June 25th " sheetId="1014" r:id="rId17"/>
    <sheet name="June 26th " sheetId="1015" r:id="rId18"/>
    <sheet name="June 27th-28th" sheetId="1016" r:id="rId19"/>
    <sheet name="June 29th" sheetId="1017" r:id="rId20"/>
    <sheet name="June 30th" sheetId="1018" r:id="rId21"/>
    <sheet name="MTD_Links" sheetId="18" r:id="rId22"/>
    <sheet name="YTD_Links" sheetId="19" r:id="rId23"/>
    <sheet name="KPIs" sheetId="20" state="hidden" r:id="rId24"/>
    <sheet name="Brewer Performance" sheetId="21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xlnm.Print_Area" localSheetId="24">'Brewer Performance'!$B$2:$K$35</definedName>
    <definedName name="_xlnm.Print_Area" localSheetId="21">MTD_Links!$B$2:$K$65</definedName>
    <definedName name="_xlnm.Print_Area" localSheetId="22">YTD_Links!$B$2:$K$65</definedName>
    <definedName name="ProductList" localSheetId="24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7" i="1018" l="1"/>
  <c r="L27" i="1018"/>
  <c r="G66" i="1018"/>
  <c r="G53" i="1018"/>
  <c r="D53" i="1018"/>
  <c r="R10" i="1018"/>
  <c r="S10" i="1018"/>
  <c r="T10" i="1018"/>
  <c r="U10" i="1018"/>
  <c r="V10" i="1018"/>
  <c r="W10" i="1018"/>
  <c r="X10" i="1018"/>
  <c r="Y10" i="1018"/>
  <c r="Z10" i="1018"/>
  <c r="R11" i="1018"/>
  <c r="S11" i="1018"/>
  <c r="T11" i="1018"/>
  <c r="U11" i="1018"/>
  <c r="V11" i="1018"/>
  <c r="W11" i="1018"/>
  <c r="X11" i="1018"/>
  <c r="Y11" i="1018"/>
  <c r="Z11" i="1018"/>
  <c r="R12" i="1018"/>
  <c r="S12" i="1018"/>
  <c r="T12" i="1018"/>
  <c r="U12" i="1018"/>
  <c r="V12" i="1018"/>
  <c r="W12" i="1018"/>
  <c r="X12" i="1018"/>
  <c r="Y12" i="1018"/>
  <c r="Z12" i="1018"/>
  <c r="R13" i="1018"/>
  <c r="S13" i="1018"/>
  <c r="T13" i="1018"/>
  <c r="U13" i="1018"/>
  <c r="V13" i="1018"/>
  <c r="W13" i="1018"/>
  <c r="X13" i="1018"/>
  <c r="Y13" i="1018"/>
  <c r="Z13" i="1018"/>
  <c r="R14" i="1018"/>
  <c r="S14" i="1018"/>
  <c r="T14" i="1018"/>
  <c r="U14" i="1018"/>
  <c r="V14" i="1018"/>
  <c r="W14" i="1018"/>
  <c r="X14" i="1018"/>
  <c r="Y14" i="1018"/>
  <c r="Z14" i="1018"/>
  <c r="R15" i="1018"/>
  <c r="S15" i="1018"/>
  <c r="T15" i="1018"/>
  <c r="U15" i="1018"/>
  <c r="V15" i="1018"/>
  <c r="W15" i="1018"/>
  <c r="X15" i="1018"/>
  <c r="Y15" i="1018"/>
  <c r="Z15" i="1018"/>
  <c r="R16" i="1018"/>
  <c r="S16" i="1018"/>
  <c r="T16" i="1018"/>
  <c r="U16" i="1018"/>
  <c r="V16" i="1018"/>
  <c r="W16" i="1018"/>
  <c r="X16" i="1018"/>
  <c r="Y16" i="1018"/>
  <c r="Z16" i="1018"/>
  <c r="R17" i="1018"/>
  <c r="S17" i="1018"/>
  <c r="T17" i="1018"/>
  <c r="U17" i="1018"/>
  <c r="V17" i="1018"/>
  <c r="W17" i="1018"/>
  <c r="X17" i="1018"/>
  <c r="Y17" i="1018"/>
  <c r="Z17" i="1018"/>
  <c r="R18" i="1018"/>
  <c r="S18" i="1018"/>
  <c r="T18" i="1018"/>
  <c r="U18" i="1018"/>
  <c r="V18" i="1018"/>
  <c r="W18" i="1018"/>
  <c r="X18" i="1018"/>
  <c r="Y18" i="1018"/>
  <c r="Z18" i="1018"/>
  <c r="R19" i="1018"/>
  <c r="S19" i="1018"/>
  <c r="T19" i="1018"/>
  <c r="U19" i="1018"/>
  <c r="V19" i="1018"/>
  <c r="W19" i="1018"/>
  <c r="X19" i="1018"/>
  <c r="Y19" i="1018"/>
  <c r="Z19" i="1018"/>
  <c r="M25" i="1018"/>
  <c r="L25" i="1018"/>
  <c r="K25" i="1018"/>
  <c r="M24" i="1018"/>
  <c r="L24" i="1018"/>
  <c r="K24" i="1018"/>
  <c r="C10" i="1018"/>
  <c r="D10" i="1018"/>
  <c r="E10" i="1018"/>
  <c r="F10" i="1018"/>
  <c r="G10" i="1018"/>
  <c r="I10" i="1018"/>
  <c r="J10" i="1018"/>
  <c r="K10" i="1018"/>
  <c r="L10" i="1018"/>
  <c r="M10" i="1018"/>
  <c r="N10" i="1018"/>
  <c r="O10" i="1018"/>
  <c r="C11" i="1018"/>
  <c r="D11" i="1018"/>
  <c r="E11" i="1018"/>
  <c r="F11" i="1018"/>
  <c r="G11" i="1018"/>
  <c r="I11" i="1018"/>
  <c r="J11" i="1018"/>
  <c r="K11" i="1018"/>
  <c r="L11" i="1018"/>
  <c r="M11" i="1018"/>
  <c r="N11" i="1018"/>
  <c r="O11" i="1018"/>
  <c r="C12" i="1018"/>
  <c r="D12" i="1018"/>
  <c r="E12" i="1018"/>
  <c r="F12" i="1018"/>
  <c r="G12" i="1018"/>
  <c r="I12" i="1018"/>
  <c r="J12" i="1018"/>
  <c r="K12" i="1018"/>
  <c r="L12" i="1018"/>
  <c r="M12" i="1018"/>
  <c r="N12" i="1018"/>
  <c r="O12" i="1018"/>
  <c r="C13" i="1018"/>
  <c r="D13" i="1018"/>
  <c r="E13" i="1018"/>
  <c r="F13" i="1018"/>
  <c r="G13" i="1018"/>
  <c r="I13" i="1018"/>
  <c r="J13" i="1018"/>
  <c r="K13" i="1018"/>
  <c r="L13" i="1018"/>
  <c r="M13" i="1018"/>
  <c r="N13" i="1018"/>
  <c r="O13" i="1018"/>
  <c r="C14" i="1018"/>
  <c r="D14" i="1018"/>
  <c r="E14" i="1018"/>
  <c r="F14" i="1018"/>
  <c r="G14" i="1018"/>
  <c r="I14" i="1018"/>
  <c r="J14" i="1018"/>
  <c r="K14" i="1018"/>
  <c r="L14" i="1018"/>
  <c r="M14" i="1018"/>
  <c r="N14" i="1018"/>
  <c r="O14" i="1018"/>
  <c r="C16" i="1018"/>
  <c r="D16" i="1018"/>
  <c r="E16" i="1018"/>
  <c r="F16" i="1018"/>
  <c r="G16" i="1018"/>
  <c r="I16" i="1018"/>
  <c r="J16" i="1018"/>
  <c r="K16" i="1018"/>
  <c r="L16" i="1018"/>
  <c r="M16" i="1018"/>
  <c r="N16" i="1018"/>
  <c r="O16" i="1018"/>
  <c r="C17" i="1018"/>
  <c r="D17" i="1018"/>
  <c r="E17" i="1018"/>
  <c r="F17" i="1018"/>
  <c r="G17" i="1018"/>
  <c r="I17" i="1018"/>
  <c r="J17" i="1018"/>
  <c r="K17" i="1018"/>
  <c r="L17" i="1018"/>
  <c r="M17" i="1018"/>
  <c r="N17" i="1018"/>
  <c r="O17" i="1018"/>
  <c r="C18" i="1018"/>
  <c r="D18" i="1018"/>
  <c r="E18" i="1018"/>
  <c r="F18" i="1018"/>
  <c r="G18" i="1018"/>
  <c r="I18" i="1018"/>
  <c r="J18" i="1018"/>
  <c r="K18" i="1018"/>
  <c r="L18" i="1018"/>
  <c r="M18" i="1018"/>
  <c r="N18" i="1018"/>
  <c r="O18" i="1018"/>
  <c r="B62" i="1016"/>
  <c r="B53" i="1018"/>
  <c r="AX55" i="1018"/>
  <c r="AW55" i="1018"/>
  <c r="AV55" i="1018"/>
  <c r="AU55" i="1018"/>
  <c r="AT55" i="1018"/>
  <c r="AS55" i="1018"/>
  <c r="AR55" i="1018"/>
  <c r="AQ55" i="1018"/>
  <c r="AP55" i="1018"/>
  <c r="AO55" i="1018"/>
  <c r="AN55" i="1018"/>
  <c r="AM55" i="1018"/>
  <c r="AL55" i="1018"/>
  <c r="AK55" i="1018"/>
  <c r="AJ55" i="1018"/>
  <c r="AI55" i="1018"/>
  <c r="AH55" i="1018"/>
  <c r="AG55" i="1018"/>
  <c r="AF55" i="1018"/>
  <c r="AE55" i="1018"/>
  <c r="AD55" i="1018"/>
  <c r="AC55" i="1018"/>
  <c r="AB55" i="1018"/>
  <c r="AX54" i="1018"/>
  <c r="AW54" i="1018"/>
  <c r="AV54" i="1018"/>
  <c r="AU54" i="1018"/>
  <c r="AT54" i="1018"/>
  <c r="AS54" i="1018"/>
  <c r="AR54" i="1018"/>
  <c r="AQ54" i="1018"/>
  <c r="AP54" i="1018"/>
  <c r="AO54" i="1018"/>
  <c r="AN54" i="1018"/>
  <c r="AM54" i="1018"/>
  <c r="AL54" i="1018"/>
  <c r="AK54" i="1018"/>
  <c r="AJ54" i="1018"/>
  <c r="AI54" i="1018"/>
  <c r="AH54" i="1018"/>
  <c r="AG54" i="1018"/>
  <c r="AF54" i="1018"/>
  <c r="AE54" i="1018"/>
  <c r="AD54" i="1018"/>
  <c r="AC54" i="1018"/>
  <c r="AB54" i="1018"/>
  <c r="AX53" i="1018"/>
  <c r="AW53" i="1018"/>
  <c r="AV53" i="1018"/>
  <c r="AU53" i="1018"/>
  <c r="AT53" i="1018"/>
  <c r="AS53" i="1018"/>
  <c r="AR53" i="1018"/>
  <c r="AQ53" i="1018"/>
  <c r="AP53" i="1018"/>
  <c r="AO53" i="1018"/>
  <c r="AN53" i="1018"/>
  <c r="AM53" i="1018"/>
  <c r="AL53" i="1018"/>
  <c r="AK53" i="1018"/>
  <c r="AJ53" i="1018"/>
  <c r="AI53" i="1018"/>
  <c r="AH53" i="1018"/>
  <c r="AG53" i="1018"/>
  <c r="AF53" i="1018"/>
  <c r="AE53" i="1018"/>
  <c r="AD53" i="1018"/>
  <c r="AC53" i="1018"/>
  <c r="AB53" i="1018"/>
  <c r="K48" i="1018"/>
  <c r="L39" i="1018" s="1"/>
  <c r="M39" i="1018" s="1"/>
  <c r="Z35" i="1018"/>
  <c r="Y35" i="1018"/>
  <c r="X35" i="1018"/>
  <c r="W35" i="1018"/>
  <c r="V35" i="1018"/>
  <c r="U35" i="1018"/>
  <c r="T35" i="1018"/>
  <c r="S35" i="1018"/>
  <c r="R35" i="1018"/>
  <c r="Z34" i="1018"/>
  <c r="Y34" i="1018"/>
  <c r="X34" i="1018"/>
  <c r="W34" i="1018"/>
  <c r="V34" i="1018"/>
  <c r="U34" i="1018"/>
  <c r="T34" i="1018"/>
  <c r="S34" i="1018"/>
  <c r="R34" i="1018"/>
  <c r="Z33" i="1018"/>
  <c r="Y33" i="1018"/>
  <c r="X33" i="1018"/>
  <c r="W33" i="1018"/>
  <c r="V33" i="1018"/>
  <c r="U33" i="1018"/>
  <c r="T33" i="1018"/>
  <c r="S33" i="1018"/>
  <c r="R33" i="1018"/>
  <c r="Z32" i="1018"/>
  <c r="Y32" i="1018"/>
  <c r="X32" i="1018"/>
  <c r="W32" i="1018"/>
  <c r="V32" i="1018"/>
  <c r="U32" i="1018"/>
  <c r="T32" i="1018"/>
  <c r="S32" i="1018"/>
  <c r="R32" i="1018"/>
  <c r="Z31" i="1018"/>
  <c r="Y31" i="1018"/>
  <c r="X31" i="1018"/>
  <c r="W31" i="1018"/>
  <c r="V31" i="1018"/>
  <c r="U31" i="1018"/>
  <c r="T31" i="1018"/>
  <c r="S31" i="1018"/>
  <c r="R31" i="1018"/>
  <c r="Z30" i="1018"/>
  <c r="Y30" i="1018"/>
  <c r="X30" i="1018"/>
  <c r="W30" i="1018"/>
  <c r="V30" i="1018"/>
  <c r="U30" i="1018"/>
  <c r="T30" i="1018"/>
  <c r="S30" i="1018"/>
  <c r="R30" i="1018"/>
  <c r="M30" i="1018"/>
  <c r="L30" i="1018"/>
  <c r="K30" i="1018"/>
  <c r="Z29" i="1018"/>
  <c r="Y29" i="1018"/>
  <c r="X29" i="1018"/>
  <c r="W29" i="1018"/>
  <c r="V29" i="1018"/>
  <c r="U29" i="1018"/>
  <c r="T29" i="1018"/>
  <c r="S29" i="1018"/>
  <c r="R29" i="1018"/>
  <c r="M29" i="1018"/>
  <c r="Z28" i="1018"/>
  <c r="Y28" i="1018"/>
  <c r="X28" i="1018"/>
  <c r="W28" i="1018"/>
  <c r="V28" i="1018"/>
  <c r="U28" i="1018"/>
  <c r="T28" i="1018"/>
  <c r="S28" i="1018"/>
  <c r="R28" i="1018"/>
  <c r="Z27" i="1018"/>
  <c r="Y27" i="1018"/>
  <c r="X27" i="1018"/>
  <c r="W27" i="1018"/>
  <c r="V27" i="1018"/>
  <c r="U27" i="1018"/>
  <c r="T27" i="1018"/>
  <c r="S27" i="1018"/>
  <c r="R27" i="1018"/>
  <c r="K27" i="1018"/>
  <c r="Z26" i="1018"/>
  <c r="Y26" i="1018"/>
  <c r="X26" i="1018"/>
  <c r="W26" i="1018"/>
  <c r="V26" i="1018"/>
  <c r="U26" i="1018"/>
  <c r="T26" i="1018"/>
  <c r="S26" i="1018"/>
  <c r="R26" i="1018"/>
  <c r="M26" i="1018"/>
  <c r="L26" i="1018"/>
  <c r="K26" i="1018"/>
  <c r="Z25" i="1018"/>
  <c r="Y25" i="1018"/>
  <c r="X25" i="1018"/>
  <c r="W25" i="1018"/>
  <c r="V25" i="1018"/>
  <c r="U25" i="1018"/>
  <c r="T25" i="1018"/>
  <c r="S25" i="1018"/>
  <c r="R25" i="1018"/>
  <c r="Z24" i="1018"/>
  <c r="Y24" i="1018"/>
  <c r="X24" i="1018"/>
  <c r="W24" i="1018"/>
  <c r="V24" i="1018"/>
  <c r="U24" i="1018"/>
  <c r="T24" i="1018"/>
  <c r="S24" i="1018"/>
  <c r="R24" i="1018"/>
  <c r="Z23" i="1018"/>
  <c r="Y23" i="1018"/>
  <c r="X23" i="1018"/>
  <c r="W23" i="1018"/>
  <c r="V23" i="1018"/>
  <c r="U23" i="1018"/>
  <c r="T23" i="1018"/>
  <c r="S23" i="1018"/>
  <c r="R23" i="1018"/>
  <c r="Z22" i="1018"/>
  <c r="Y22" i="1018"/>
  <c r="X22" i="1018"/>
  <c r="W22" i="1018"/>
  <c r="V22" i="1018"/>
  <c r="U22" i="1018"/>
  <c r="T22" i="1018"/>
  <c r="S22" i="1018"/>
  <c r="R22" i="1018"/>
  <c r="Z21" i="1018"/>
  <c r="Y21" i="1018"/>
  <c r="X21" i="1018"/>
  <c r="W21" i="1018"/>
  <c r="V21" i="1018"/>
  <c r="U21" i="1018"/>
  <c r="T21" i="1018"/>
  <c r="S21" i="1018"/>
  <c r="R21" i="1018"/>
  <c r="Z20" i="1018"/>
  <c r="Y20" i="1018"/>
  <c r="X20" i="1018"/>
  <c r="W20" i="1018"/>
  <c r="V20" i="1018"/>
  <c r="U20" i="1018"/>
  <c r="T20" i="1018"/>
  <c r="S20" i="1018"/>
  <c r="R20" i="1018"/>
  <c r="G67" i="1017"/>
  <c r="G53" i="1017"/>
  <c r="D53" i="1017"/>
  <c r="J24" i="1018" l="1"/>
  <c r="J25" i="1018"/>
  <c r="L53" i="1018"/>
  <c r="C66" i="1018" s="1"/>
  <c r="I19" i="1017"/>
  <c r="J25" i="1017" s="1"/>
  <c r="O19" i="1017"/>
  <c r="N19" i="1017"/>
  <c r="M19" i="1017"/>
  <c r="L19" i="1017"/>
  <c r="K19" i="1017"/>
  <c r="J19" i="1017"/>
  <c r="G19" i="1017"/>
  <c r="F19" i="1017"/>
  <c r="E19" i="1017"/>
  <c r="D19" i="1017"/>
  <c r="C19" i="1017"/>
  <c r="R10" i="1017"/>
  <c r="S10" i="1017"/>
  <c r="T10" i="1017"/>
  <c r="U10" i="1017"/>
  <c r="V10" i="1017"/>
  <c r="W10" i="1017"/>
  <c r="X10" i="1017"/>
  <c r="Y10" i="1017"/>
  <c r="Z10" i="1017"/>
  <c r="R11" i="1017"/>
  <c r="S11" i="1017"/>
  <c r="T11" i="1017"/>
  <c r="U11" i="1017"/>
  <c r="V11" i="1017"/>
  <c r="W11" i="1017"/>
  <c r="X11" i="1017"/>
  <c r="Y11" i="1017"/>
  <c r="Z11" i="1017"/>
  <c r="R12" i="1017"/>
  <c r="S12" i="1017"/>
  <c r="T12" i="1017"/>
  <c r="U12" i="1017"/>
  <c r="V12" i="1017"/>
  <c r="W12" i="1017"/>
  <c r="X12" i="1017"/>
  <c r="Y12" i="1017"/>
  <c r="Z12" i="1017"/>
  <c r="R13" i="1017"/>
  <c r="S13" i="1017"/>
  <c r="T13" i="1017"/>
  <c r="U13" i="1017"/>
  <c r="V13" i="1017"/>
  <c r="W13" i="1017"/>
  <c r="X13" i="1017"/>
  <c r="Y13" i="1017"/>
  <c r="Z13" i="1017"/>
  <c r="R14" i="1017"/>
  <c r="S14" i="1017"/>
  <c r="T14" i="1017"/>
  <c r="U14" i="1017"/>
  <c r="V14" i="1017"/>
  <c r="W14" i="1017"/>
  <c r="X14" i="1017"/>
  <c r="Y14" i="1017"/>
  <c r="Z14" i="1017"/>
  <c r="R15" i="1017"/>
  <c r="S15" i="1017"/>
  <c r="T15" i="1017"/>
  <c r="U15" i="1017"/>
  <c r="V15" i="1017"/>
  <c r="W15" i="1017"/>
  <c r="X15" i="1017"/>
  <c r="Y15" i="1017"/>
  <c r="Z15" i="1017"/>
  <c r="R16" i="1017"/>
  <c r="S16" i="1017"/>
  <c r="T16" i="1017"/>
  <c r="U16" i="1017"/>
  <c r="V16" i="1017"/>
  <c r="W16" i="1017"/>
  <c r="X16" i="1017"/>
  <c r="Y16" i="1017"/>
  <c r="Z16" i="1017"/>
  <c r="R17" i="1017"/>
  <c r="S17" i="1017"/>
  <c r="T17" i="1017"/>
  <c r="U17" i="1017"/>
  <c r="V17" i="1017"/>
  <c r="W17" i="1017"/>
  <c r="X17" i="1017"/>
  <c r="Y17" i="1017"/>
  <c r="Z17" i="1017"/>
  <c r="R18" i="1017"/>
  <c r="S18" i="1017"/>
  <c r="T18" i="1017"/>
  <c r="U18" i="1017"/>
  <c r="V18" i="1017"/>
  <c r="W18" i="1017"/>
  <c r="X18" i="1017"/>
  <c r="Y18" i="1017"/>
  <c r="Z18" i="1017"/>
  <c r="R19" i="1017"/>
  <c r="S19" i="1017"/>
  <c r="T19" i="1017"/>
  <c r="U19" i="1017"/>
  <c r="V19" i="1017"/>
  <c r="W19" i="1017"/>
  <c r="X19" i="1017"/>
  <c r="Y19" i="1017"/>
  <c r="Z19" i="1017"/>
  <c r="R20" i="1017"/>
  <c r="S20" i="1017"/>
  <c r="T20" i="1017"/>
  <c r="U20" i="1017"/>
  <c r="V20" i="1017"/>
  <c r="W20" i="1017"/>
  <c r="X20" i="1017"/>
  <c r="Y20" i="1017"/>
  <c r="Z20" i="1017"/>
  <c r="R21" i="1017"/>
  <c r="S21" i="1017"/>
  <c r="T21" i="1017"/>
  <c r="U21" i="1017"/>
  <c r="V21" i="1017"/>
  <c r="W21" i="1017"/>
  <c r="X21" i="1017"/>
  <c r="Y21" i="1017"/>
  <c r="Z21" i="1017"/>
  <c r="R22" i="1017"/>
  <c r="S22" i="1017"/>
  <c r="T22" i="1017"/>
  <c r="U22" i="1017"/>
  <c r="V22" i="1017"/>
  <c r="W22" i="1017"/>
  <c r="X22" i="1017"/>
  <c r="Y22" i="1017"/>
  <c r="Z22" i="1017"/>
  <c r="R23" i="1017"/>
  <c r="S23" i="1017"/>
  <c r="T23" i="1017"/>
  <c r="U23" i="1017"/>
  <c r="V23" i="1017"/>
  <c r="W23" i="1017"/>
  <c r="X23" i="1017"/>
  <c r="Y23" i="1017"/>
  <c r="Z23" i="1017"/>
  <c r="R24" i="1017"/>
  <c r="S24" i="1017"/>
  <c r="T24" i="1017"/>
  <c r="U24" i="1017"/>
  <c r="V24" i="1017"/>
  <c r="W24" i="1017"/>
  <c r="X24" i="1017"/>
  <c r="Y24" i="1017"/>
  <c r="Z24" i="1017"/>
  <c r="G10" i="1017"/>
  <c r="G11" i="1017"/>
  <c r="G12" i="1017"/>
  <c r="G13" i="1017"/>
  <c r="G14" i="1017"/>
  <c r="G15" i="1017"/>
  <c r="G16" i="1017"/>
  <c r="G17" i="1017"/>
  <c r="D17" i="1017"/>
  <c r="E17" i="1017"/>
  <c r="F17" i="1017"/>
  <c r="D10" i="1017"/>
  <c r="E10" i="1017"/>
  <c r="F10" i="1017"/>
  <c r="D11" i="1017"/>
  <c r="E11" i="1017"/>
  <c r="F11" i="1017"/>
  <c r="D12" i="1017"/>
  <c r="E12" i="1017"/>
  <c r="F12" i="1017"/>
  <c r="D13" i="1017"/>
  <c r="E13" i="1017"/>
  <c r="D14" i="1017"/>
  <c r="E14" i="1017"/>
  <c r="F14" i="1017"/>
  <c r="D15" i="1017"/>
  <c r="E15" i="1017"/>
  <c r="F15" i="1017"/>
  <c r="D16" i="1017"/>
  <c r="E16" i="1017"/>
  <c r="F16" i="1017"/>
  <c r="M10" i="1017"/>
  <c r="O10" i="1017"/>
  <c r="M11" i="1017"/>
  <c r="O11" i="1017"/>
  <c r="M12" i="1017"/>
  <c r="O12" i="1017"/>
  <c r="M13" i="1017"/>
  <c r="O13" i="1017"/>
  <c r="M14" i="1017"/>
  <c r="O14" i="1017"/>
  <c r="M15" i="1017"/>
  <c r="O15" i="1017"/>
  <c r="M16" i="1017"/>
  <c r="O16" i="1017"/>
  <c r="M17" i="1017"/>
  <c r="O17" i="1017"/>
  <c r="AX55" i="1017"/>
  <c r="AW55" i="1017"/>
  <c r="AV55" i="1017"/>
  <c r="AU55" i="1017"/>
  <c r="AT55" i="1017"/>
  <c r="AS55" i="1017"/>
  <c r="AR55" i="1017"/>
  <c r="AQ55" i="1017"/>
  <c r="AP55" i="1017"/>
  <c r="AO55" i="1017"/>
  <c r="AN55" i="1017"/>
  <c r="AM55" i="1017"/>
  <c r="AL55" i="1017"/>
  <c r="AK55" i="1017"/>
  <c r="AJ55" i="1017"/>
  <c r="AI55" i="1017"/>
  <c r="AH55" i="1017"/>
  <c r="AG55" i="1017"/>
  <c r="AF55" i="1017"/>
  <c r="AE55" i="1017"/>
  <c r="AD55" i="1017"/>
  <c r="AC55" i="1017"/>
  <c r="AB55" i="1017"/>
  <c r="AX54" i="1017"/>
  <c r="AW54" i="1017"/>
  <c r="AV54" i="1017"/>
  <c r="AU54" i="1017"/>
  <c r="AT54" i="1017"/>
  <c r="AS54" i="1017"/>
  <c r="AR54" i="1017"/>
  <c r="AQ54" i="1017"/>
  <c r="AP54" i="1017"/>
  <c r="AO54" i="1017"/>
  <c r="AN54" i="1017"/>
  <c r="AM54" i="1017"/>
  <c r="AL54" i="1017"/>
  <c r="AK54" i="1017"/>
  <c r="AJ54" i="1017"/>
  <c r="AI54" i="1017"/>
  <c r="AH54" i="1017"/>
  <c r="AG54" i="1017"/>
  <c r="AF54" i="1017"/>
  <c r="AE54" i="1017"/>
  <c r="AD54" i="1017"/>
  <c r="AC54" i="1017"/>
  <c r="AB54" i="1017"/>
  <c r="AX53" i="1017"/>
  <c r="AW53" i="1017"/>
  <c r="AV53" i="1017"/>
  <c r="AU53" i="1017"/>
  <c r="AT53" i="1017"/>
  <c r="AS53" i="1017"/>
  <c r="AR53" i="1017"/>
  <c r="AQ53" i="1017"/>
  <c r="AP53" i="1017"/>
  <c r="AO53" i="1017"/>
  <c r="AN53" i="1017"/>
  <c r="AM53" i="1017"/>
  <c r="AL53" i="1017"/>
  <c r="AK53" i="1017"/>
  <c r="AJ53" i="1017"/>
  <c r="AI53" i="1017"/>
  <c r="AH53" i="1017"/>
  <c r="AG53" i="1017"/>
  <c r="AF53" i="1017"/>
  <c r="AE53" i="1017"/>
  <c r="AD53" i="1017"/>
  <c r="AC53" i="1017"/>
  <c r="AB53" i="1017"/>
  <c r="L53" i="1017"/>
  <c r="C67" i="1017" s="1"/>
  <c r="B53" i="1017"/>
  <c r="K48" i="1017"/>
  <c r="L39" i="1017" s="1"/>
  <c r="Z35" i="1017"/>
  <c r="Y35" i="1017"/>
  <c r="X35" i="1017"/>
  <c r="W35" i="1017"/>
  <c r="V35" i="1017"/>
  <c r="U35" i="1017"/>
  <c r="T35" i="1017"/>
  <c r="S35" i="1017"/>
  <c r="R35" i="1017"/>
  <c r="Z34" i="1017"/>
  <c r="Y34" i="1017"/>
  <c r="X34" i="1017"/>
  <c r="W34" i="1017"/>
  <c r="V34" i="1017"/>
  <c r="U34" i="1017"/>
  <c r="T34" i="1017"/>
  <c r="S34" i="1017"/>
  <c r="R34" i="1017"/>
  <c r="Z33" i="1017"/>
  <c r="Y33" i="1017"/>
  <c r="X33" i="1017"/>
  <c r="W33" i="1017"/>
  <c r="V33" i="1017"/>
  <c r="U33" i="1017"/>
  <c r="T33" i="1017"/>
  <c r="S33" i="1017"/>
  <c r="R33" i="1017"/>
  <c r="Z32" i="1017"/>
  <c r="Y32" i="1017"/>
  <c r="X32" i="1017"/>
  <c r="W32" i="1017"/>
  <c r="V32" i="1017"/>
  <c r="U32" i="1017"/>
  <c r="T32" i="1017"/>
  <c r="S32" i="1017"/>
  <c r="R32" i="1017"/>
  <c r="Z31" i="1017"/>
  <c r="Y31" i="1017"/>
  <c r="X31" i="1017"/>
  <c r="W31" i="1017"/>
  <c r="V31" i="1017"/>
  <c r="U31" i="1017"/>
  <c r="T31" i="1017"/>
  <c r="S31" i="1017"/>
  <c r="R31" i="1017"/>
  <c r="Z30" i="1017"/>
  <c r="Y30" i="1017"/>
  <c r="X30" i="1017"/>
  <c r="W30" i="1017"/>
  <c r="V30" i="1017"/>
  <c r="U30" i="1017"/>
  <c r="T30" i="1017"/>
  <c r="S30" i="1017"/>
  <c r="R30" i="1017"/>
  <c r="M30" i="1017"/>
  <c r="L30" i="1017"/>
  <c r="K30" i="1017"/>
  <c r="Z29" i="1017"/>
  <c r="Y29" i="1017"/>
  <c r="X29" i="1017"/>
  <c r="W29" i="1017"/>
  <c r="V29" i="1017"/>
  <c r="U29" i="1017"/>
  <c r="T29" i="1017"/>
  <c r="S29" i="1017"/>
  <c r="R29" i="1017"/>
  <c r="M29" i="1017"/>
  <c r="Z28" i="1017"/>
  <c r="Y28" i="1017"/>
  <c r="X28" i="1017"/>
  <c r="W28" i="1017"/>
  <c r="V28" i="1017"/>
  <c r="U28" i="1017"/>
  <c r="T28" i="1017"/>
  <c r="S28" i="1017"/>
  <c r="R28" i="1017"/>
  <c r="Z27" i="1017"/>
  <c r="Y27" i="1017"/>
  <c r="X27" i="1017"/>
  <c r="W27" i="1017"/>
  <c r="V27" i="1017"/>
  <c r="U27" i="1017"/>
  <c r="T27" i="1017"/>
  <c r="S27" i="1017"/>
  <c r="R27" i="1017"/>
  <c r="M27" i="1017"/>
  <c r="K27" i="1017"/>
  <c r="Z26" i="1017"/>
  <c r="Y26" i="1017"/>
  <c r="X26" i="1017"/>
  <c r="W26" i="1017"/>
  <c r="V26" i="1017"/>
  <c r="U26" i="1017"/>
  <c r="T26" i="1017"/>
  <c r="S26" i="1017"/>
  <c r="R26" i="1017"/>
  <c r="M26" i="1017"/>
  <c r="L26" i="1017"/>
  <c r="K26" i="1017"/>
  <c r="Z25" i="1017"/>
  <c r="Y25" i="1017"/>
  <c r="X25" i="1017"/>
  <c r="W25" i="1017"/>
  <c r="V25" i="1017"/>
  <c r="U25" i="1017"/>
  <c r="T25" i="1017"/>
  <c r="S25" i="1017"/>
  <c r="R25" i="1017"/>
  <c r="K25" i="1017"/>
  <c r="R24" i="1016"/>
  <c r="S24" i="1016"/>
  <c r="T24" i="1016"/>
  <c r="U24" i="1016"/>
  <c r="V24" i="1016"/>
  <c r="W24" i="1016"/>
  <c r="X24" i="1016"/>
  <c r="Y24" i="1016"/>
  <c r="Z24" i="1016"/>
  <c r="R25" i="1016"/>
  <c r="S25" i="1016"/>
  <c r="T25" i="1016"/>
  <c r="U25" i="1016"/>
  <c r="V25" i="1016"/>
  <c r="W25" i="1016"/>
  <c r="X25" i="1016"/>
  <c r="Y25" i="1016"/>
  <c r="Z25" i="1016"/>
  <c r="R26" i="1016"/>
  <c r="S26" i="1016"/>
  <c r="T26" i="1016"/>
  <c r="U26" i="1016"/>
  <c r="V26" i="1016"/>
  <c r="W26" i="1016"/>
  <c r="X26" i="1016"/>
  <c r="Y26" i="1016"/>
  <c r="Z26" i="1016"/>
  <c r="R27" i="1016"/>
  <c r="S27" i="1016"/>
  <c r="T27" i="1016"/>
  <c r="U27" i="1016"/>
  <c r="V27" i="1016"/>
  <c r="W27" i="1016"/>
  <c r="X27" i="1016"/>
  <c r="Y27" i="1016"/>
  <c r="Z27" i="1016"/>
  <c r="R28" i="1016"/>
  <c r="S28" i="1016"/>
  <c r="T28" i="1016"/>
  <c r="U28" i="1016"/>
  <c r="V28" i="1016"/>
  <c r="W28" i="1016"/>
  <c r="X28" i="1016"/>
  <c r="Y28" i="1016"/>
  <c r="Z28" i="1016"/>
  <c r="R29" i="1016"/>
  <c r="S29" i="1016"/>
  <c r="T29" i="1016"/>
  <c r="U29" i="1016"/>
  <c r="V29" i="1016"/>
  <c r="W29" i="1016"/>
  <c r="X29" i="1016"/>
  <c r="Y29" i="1016"/>
  <c r="Z29" i="1016"/>
  <c r="R30" i="1016"/>
  <c r="S30" i="1016"/>
  <c r="T30" i="1016"/>
  <c r="U30" i="1016"/>
  <c r="V30" i="1016"/>
  <c r="W30" i="1016"/>
  <c r="X30" i="1016"/>
  <c r="Y30" i="1016"/>
  <c r="Z30" i="1016"/>
  <c r="R31" i="1016"/>
  <c r="S31" i="1016"/>
  <c r="T31" i="1016"/>
  <c r="U31" i="1016"/>
  <c r="V31" i="1016"/>
  <c r="W31" i="1016"/>
  <c r="X31" i="1016"/>
  <c r="Y31" i="1016"/>
  <c r="Z31" i="1016"/>
  <c r="M39" i="1017" l="1"/>
  <c r="D24" i="1016" l="1"/>
  <c r="E24" i="1016"/>
  <c r="F24" i="1016"/>
  <c r="G24" i="1016"/>
  <c r="D25" i="1016"/>
  <c r="E25" i="1016"/>
  <c r="F25" i="1016"/>
  <c r="G25" i="1016"/>
  <c r="D26" i="1016"/>
  <c r="E26" i="1016"/>
  <c r="F26" i="1016"/>
  <c r="G26" i="1016"/>
  <c r="M24" i="1016"/>
  <c r="O24" i="1016"/>
  <c r="M25" i="1016"/>
  <c r="O25" i="1016"/>
  <c r="M26" i="1016"/>
  <c r="O26" i="1016"/>
  <c r="M10" i="1016"/>
  <c r="O23" i="1016"/>
  <c r="M23" i="1016"/>
  <c r="G23" i="1016"/>
  <c r="F23" i="1016"/>
  <c r="E23" i="1016"/>
  <c r="D23" i="1016"/>
  <c r="L25" i="1017" l="1"/>
  <c r="M25" i="1017"/>
  <c r="J57" i="1016" l="1"/>
  <c r="O10" i="1016"/>
  <c r="G10" i="1016"/>
  <c r="F10" i="1016"/>
  <c r="E10" i="1016"/>
  <c r="D10" i="1016"/>
  <c r="Z10" i="1016"/>
  <c r="Y10" i="1016"/>
  <c r="X10" i="1016"/>
  <c r="W10" i="1016"/>
  <c r="V10" i="1016"/>
  <c r="U10" i="1016"/>
  <c r="T10" i="1016"/>
  <c r="S10" i="1016"/>
  <c r="R10" i="1016"/>
  <c r="G76" i="1016"/>
  <c r="D62" i="1016"/>
  <c r="G62" i="1016"/>
  <c r="K62" i="1016"/>
  <c r="K76" i="1016" s="1"/>
  <c r="L62" i="1016" l="1"/>
  <c r="C76" i="1016" s="1"/>
  <c r="K36" i="1016"/>
  <c r="I21" i="1016"/>
  <c r="J21" i="1016"/>
  <c r="K21" i="1016"/>
  <c r="L21" i="1016"/>
  <c r="M21" i="1016"/>
  <c r="N21" i="1016"/>
  <c r="O21" i="1016"/>
  <c r="G21" i="1016"/>
  <c r="E13" i="1016"/>
  <c r="E14" i="1016"/>
  <c r="E15" i="1016"/>
  <c r="E16" i="1016"/>
  <c r="E19" i="1016"/>
  <c r="E20" i="1016"/>
  <c r="E21" i="1016"/>
  <c r="E12" i="1016"/>
  <c r="C12" i="1016"/>
  <c r="D12" i="1016"/>
  <c r="F12" i="1016"/>
  <c r="C13" i="1016"/>
  <c r="D13" i="1016"/>
  <c r="F13" i="1016"/>
  <c r="C14" i="1016"/>
  <c r="D14" i="1016"/>
  <c r="F14" i="1016"/>
  <c r="C15" i="1016"/>
  <c r="D15" i="1016"/>
  <c r="F15" i="1016"/>
  <c r="C16" i="1016"/>
  <c r="D16" i="1016"/>
  <c r="F16" i="1016"/>
  <c r="C19" i="1016"/>
  <c r="D19" i="1016"/>
  <c r="F19" i="1016"/>
  <c r="C20" i="1016"/>
  <c r="D20" i="1016"/>
  <c r="F20" i="1016"/>
  <c r="C21" i="1016"/>
  <c r="D21" i="1016"/>
  <c r="F21" i="1016"/>
  <c r="G20" i="1016"/>
  <c r="I20" i="1016"/>
  <c r="J20" i="1016"/>
  <c r="K20" i="1016"/>
  <c r="L20" i="1016"/>
  <c r="M20" i="1016"/>
  <c r="N20" i="1016"/>
  <c r="O20" i="1016"/>
  <c r="I19" i="1016"/>
  <c r="J19" i="1016"/>
  <c r="K19" i="1016"/>
  <c r="L19" i="1016"/>
  <c r="M19" i="1016"/>
  <c r="N19" i="1016"/>
  <c r="O19" i="1016"/>
  <c r="G19" i="1016"/>
  <c r="N13" i="1016" l="1"/>
  <c r="N12" i="1016"/>
  <c r="L15" i="1016"/>
  <c r="L14" i="1016"/>
  <c r="L12" i="1016"/>
  <c r="G12" i="1016"/>
  <c r="M12" i="1016"/>
  <c r="O12" i="1016"/>
  <c r="G13" i="1016"/>
  <c r="L13" i="1016"/>
  <c r="M13" i="1016"/>
  <c r="O13" i="1016"/>
  <c r="G14" i="1016"/>
  <c r="M14" i="1016"/>
  <c r="N14" i="1016"/>
  <c r="O14" i="1016"/>
  <c r="G15" i="1016"/>
  <c r="M15" i="1016"/>
  <c r="N15" i="1016"/>
  <c r="O15" i="1016"/>
  <c r="G16" i="1016"/>
  <c r="L16" i="1016"/>
  <c r="M16" i="1016"/>
  <c r="N16" i="1016"/>
  <c r="O16" i="1016"/>
  <c r="I14" i="1016" l="1"/>
  <c r="J14" i="1016"/>
  <c r="I15" i="1016"/>
  <c r="J15" i="1016"/>
  <c r="I16" i="1016"/>
  <c r="J16" i="1016"/>
  <c r="K12" i="1016"/>
  <c r="J12" i="1016"/>
  <c r="K13" i="1016"/>
  <c r="K14" i="1016"/>
  <c r="K15" i="1016"/>
  <c r="K16" i="1016"/>
  <c r="J13" i="1016" l="1"/>
  <c r="I13" i="1016"/>
  <c r="I12" i="1016"/>
  <c r="J36" i="1016" s="1"/>
  <c r="AX64" i="1016" l="1"/>
  <c r="AW64" i="1016"/>
  <c r="AV64" i="1016"/>
  <c r="AU64" i="1016"/>
  <c r="AT64" i="1016"/>
  <c r="AS64" i="1016"/>
  <c r="AR64" i="1016"/>
  <c r="AQ64" i="1016"/>
  <c r="AP64" i="1016"/>
  <c r="AO64" i="1016"/>
  <c r="AN64" i="1016"/>
  <c r="AM64" i="1016"/>
  <c r="AL64" i="1016"/>
  <c r="AK64" i="1016"/>
  <c r="AJ64" i="1016"/>
  <c r="AI64" i="1016"/>
  <c r="AH64" i="1016"/>
  <c r="AG64" i="1016"/>
  <c r="AF64" i="1016"/>
  <c r="AE64" i="1016"/>
  <c r="AD64" i="1016"/>
  <c r="AC64" i="1016"/>
  <c r="AB64" i="1016"/>
  <c r="AX63" i="1016"/>
  <c r="AW63" i="1016"/>
  <c r="AV63" i="1016"/>
  <c r="AU63" i="1016"/>
  <c r="AT63" i="1016"/>
  <c r="AS63" i="1016"/>
  <c r="AR63" i="1016"/>
  <c r="AQ63" i="1016"/>
  <c r="AP63" i="1016"/>
  <c r="AO63" i="1016"/>
  <c r="AN63" i="1016"/>
  <c r="AM63" i="1016"/>
  <c r="AL63" i="1016"/>
  <c r="AK63" i="1016"/>
  <c r="AJ63" i="1016"/>
  <c r="AI63" i="1016"/>
  <c r="AH63" i="1016"/>
  <c r="AG63" i="1016"/>
  <c r="AF63" i="1016"/>
  <c r="AE63" i="1016"/>
  <c r="AD63" i="1016"/>
  <c r="AC63" i="1016"/>
  <c r="AB63" i="1016"/>
  <c r="AX62" i="1016"/>
  <c r="AW62" i="1016"/>
  <c r="AV62" i="1016"/>
  <c r="AU62" i="1016"/>
  <c r="AT62" i="1016"/>
  <c r="AS62" i="1016"/>
  <c r="AR62" i="1016"/>
  <c r="AQ62" i="1016"/>
  <c r="AP62" i="1016"/>
  <c r="AO62" i="1016"/>
  <c r="AN62" i="1016"/>
  <c r="AM62" i="1016"/>
  <c r="AL62" i="1016"/>
  <c r="AK62" i="1016"/>
  <c r="AJ62" i="1016"/>
  <c r="AI62" i="1016"/>
  <c r="AH62" i="1016"/>
  <c r="AG62" i="1016"/>
  <c r="AF62" i="1016"/>
  <c r="AE62" i="1016"/>
  <c r="AD62" i="1016"/>
  <c r="AC62" i="1016"/>
  <c r="AB62" i="1016"/>
  <c r="K57" i="1016"/>
  <c r="L48" i="1016" s="1"/>
  <c r="Z44" i="1016"/>
  <c r="Y44" i="1016"/>
  <c r="X44" i="1016"/>
  <c r="W44" i="1016"/>
  <c r="V44" i="1016"/>
  <c r="U44" i="1016"/>
  <c r="T44" i="1016"/>
  <c r="S44" i="1016"/>
  <c r="R44" i="1016"/>
  <c r="Z43" i="1016"/>
  <c r="Y43" i="1016"/>
  <c r="X43" i="1016"/>
  <c r="W43" i="1016"/>
  <c r="V43" i="1016"/>
  <c r="U43" i="1016"/>
  <c r="T43" i="1016"/>
  <c r="S43" i="1016"/>
  <c r="R43" i="1016"/>
  <c r="Z42" i="1016"/>
  <c r="Y42" i="1016"/>
  <c r="X42" i="1016"/>
  <c r="W42" i="1016"/>
  <c r="V42" i="1016"/>
  <c r="U42" i="1016"/>
  <c r="T42" i="1016"/>
  <c r="S42" i="1016"/>
  <c r="R42" i="1016"/>
  <c r="Z41" i="1016"/>
  <c r="Y41" i="1016"/>
  <c r="X41" i="1016"/>
  <c r="W41" i="1016"/>
  <c r="V41" i="1016"/>
  <c r="U41" i="1016"/>
  <c r="T41" i="1016"/>
  <c r="S41" i="1016"/>
  <c r="R41" i="1016"/>
  <c r="Z40" i="1016"/>
  <c r="Y40" i="1016"/>
  <c r="X40" i="1016"/>
  <c r="W40" i="1016"/>
  <c r="V40" i="1016"/>
  <c r="U40" i="1016"/>
  <c r="T40" i="1016"/>
  <c r="S40" i="1016"/>
  <c r="R40" i="1016"/>
  <c r="Z39" i="1016"/>
  <c r="Y39" i="1016"/>
  <c r="X39" i="1016"/>
  <c r="W39" i="1016"/>
  <c r="V39" i="1016"/>
  <c r="U39" i="1016"/>
  <c r="T39" i="1016"/>
  <c r="S39" i="1016"/>
  <c r="R39" i="1016"/>
  <c r="M39" i="1016"/>
  <c r="L39" i="1016"/>
  <c r="K39" i="1016"/>
  <c r="Z38" i="1016"/>
  <c r="Y38" i="1016"/>
  <c r="X38" i="1016"/>
  <c r="W38" i="1016"/>
  <c r="V38" i="1016"/>
  <c r="U38" i="1016"/>
  <c r="T38" i="1016"/>
  <c r="S38" i="1016"/>
  <c r="R38" i="1016"/>
  <c r="M38" i="1016"/>
  <c r="Z37" i="1016"/>
  <c r="Y37" i="1016"/>
  <c r="X37" i="1016"/>
  <c r="W37" i="1016"/>
  <c r="V37" i="1016"/>
  <c r="U37" i="1016"/>
  <c r="T37" i="1016"/>
  <c r="S37" i="1016"/>
  <c r="R37" i="1016"/>
  <c r="Z36" i="1016"/>
  <c r="Y36" i="1016"/>
  <c r="X36" i="1016"/>
  <c r="W36" i="1016"/>
  <c r="V36" i="1016"/>
  <c r="U36" i="1016"/>
  <c r="T36" i="1016"/>
  <c r="S36" i="1016"/>
  <c r="R36" i="1016"/>
  <c r="M36" i="1016"/>
  <c r="Z35" i="1016"/>
  <c r="Y35" i="1016"/>
  <c r="X35" i="1016"/>
  <c r="W35" i="1016"/>
  <c r="V35" i="1016"/>
  <c r="U35" i="1016"/>
  <c r="T35" i="1016"/>
  <c r="S35" i="1016"/>
  <c r="R35" i="1016"/>
  <c r="M35" i="1016"/>
  <c r="L35" i="1016"/>
  <c r="K35" i="1016"/>
  <c r="Z34" i="1016"/>
  <c r="Y34" i="1016"/>
  <c r="X34" i="1016"/>
  <c r="W34" i="1016"/>
  <c r="V34" i="1016"/>
  <c r="U34" i="1016"/>
  <c r="T34" i="1016"/>
  <c r="S34" i="1016"/>
  <c r="R34" i="1016"/>
  <c r="M34" i="1016"/>
  <c r="L34" i="1016"/>
  <c r="K34" i="1016"/>
  <c r="Z33" i="1016"/>
  <c r="Y33" i="1016"/>
  <c r="X33" i="1016"/>
  <c r="W33" i="1016"/>
  <c r="V33" i="1016"/>
  <c r="U33" i="1016"/>
  <c r="T33" i="1016"/>
  <c r="S33" i="1016"/>
  <c r="R33" i="1016"/>
  <c r="Z32" i="1016"/>
  <c r="Y32" i="1016"/>
  <c r="X32" i="1016"/>
  <c r="W32" i="1016"/>
  <c r="V32" i="1016"/>
  <c r="U32" i="1016"/>
  <c r="T32" i="1016"/>
  <c r="S32" i="1016"/>
  <c r="R32" i="1016"/>
  <c r="Z23" i="1016"/>
  <c r="Y23" i="1016"/>
  <c r="X23" i="1016"/>
  <c r="W23" i="1016"/>
  <c r="V23" i="1016"/>
  <c r="U23" i="1016"/>
  <c r="T23" i="1016"/>
  <c r="S23" i="1016"/>
  <c r="R23" i="1016"/>
  <c r="Z22" i="1016"/>
  <c r="Y22" i="1016"/>
  <c r="X22" i="1016"/>
  <c r="W22" i="1016"/>
  <c r="V22" i="1016"/>
  <c r="U22" i="1016"/>
  <c r="T22" i="1016"/>
  <c r="S22" i="1016"/>
  <c r="R22" i="1016"/>
  <c r="Z21" i="1016"/>
  <c r="Y21" i="1016"/>
  <c r="X21" i="1016"/>
  <c r="W21" i="1016"/>
  <c r="V21" i="1016"/>
  <c r="U21" i="1016"/>
  <c r="T21" i="1016"/>
  <c r="S21" i="1016"/>
  <c r="R21" i="1016"/>
  <c r="Z20" i="1016"/>
  <c r="Y20" i="1016"/>
  <c r="X20" i="1016"/>
  <c r="W20" i="1016"/>
  <c r="V20" i="1016"/>
  <c r="U20" i="1016"/>
  <c r="T20" i="1016"/>
  <c r="S20" i="1016"/>
  <c r="R20" i="1016"/>
  <c r="Z19" i="1016"/>
  <c r="Y19" i="1016"/>
  <c r="X19" i="1016"/>
  <c r="W19" i="1016"/>
  <c r="V19" i="1016"/>
  <c r="U19" i="1016"/>
  <c r="T19" i="1016"/>
  <c r="S19" i="1016"/>
  <c r="R19" i="1016"/>
  <c r="Z16" i="1016"/>
  <c r="Y16" i="1016"/>
  <c r="X16" i="1016"/>
  <c r="W16" i="1016"/>
  <c r="V16" i="1016"/>
  <c r="U16" i="1016"/>
  <c r="T16" i="1016"/>
  <c r="S16" i="1016"/>
  <c r="R16" i="1016"/>
  <c r="Z15" i="1016"/>
  <c r="Y15" i="1016"/>
  <c r="X15" i="1016"/>
  <c r="W15" i="1016"/>
  <c r="V15" i="1016"/>
  <c r="U15" i="1016"/>
  <c r="T15" i="1016"/>
  <c r="S15" i="1016"/>
  <c r="R15" i="1016"/>
  <c r="Z14" i="1016"/>
  <c r="Y14" i="1016"/>
  <c r="X14" i="1016"/>
  <c r="W14" i="1016"/>
  <c r="V14" i="1016"/>
  <c r="U14" i="1016"/>
  <c r="T14" i="1016"/>
  <c r="S14" i="1016"/>
  <c r="R14" i="1016"/>
  <c r="Z13" i="1016"/>
  <c r="Y13" i="1016"/>
  <c r="X13" i="1016"/>
  <c r="W13" i="1016"/>
  <c r="V13" i="1016"/>
  <c r="U13" i="1016"/>
  <c r="T13" i="1016"/>
  <c r="S13" i="1016"/>
  <c r="R13" i="1016"/>
  <c r="Z12" i="1016"/>
  <c r="Y12" i="1016"/>
  <c r="X12" i="1016"/>
  <c r="W12" i="1016"/>
  <c r="V12" i="1016"/>
  <c r="U12" i="1016"/>
  <c r="T12" i="1016"/>
  <c r="S12" i="1016"/>
  <c r="R12" i="1016"/>
  <c r="L43" i="1015"/>
  <c r="M43" i="1015" s="1"/>
  <c r="M29" i="1015"/>
  <c r="L29" i="1015"/>
  <c r="K29" i="1015"/>
  <c r="I10" i="1015"/>
  <c r="J10" i="1015"/>
  <c r="L10" i="1015"/>
  <c r="M10" i="1015"/>
  <c r="N10" i="1015"/>
  <c r="O10" i="1015"/>
  <c r="I11" i="1015"/>
  <c r="J11" i="1015"/>
  <c r="L11" i="1015"/>
  <c r="M11" i="1015"/>
  <c r="N11" i="1015"/>
  <c r="O11" i="1015"/>
  <c r="I12" i="1015"/>
  <c r="J12" i="1015"/>
  <c r="L12" i="1015"/>
  <c r="M12" i="1015"/>
  <c r="N12" i="1015"/>
  <c r="O12" i="1015"/>
  <c r="I13" i="1015"/>
  <c r="J13" i="1015"/>
  <c r="L13" i="1015"/>
  <c r="M13" i="1015"/>
  <c r="N13" i="1015"/>
  <c r="O13" i="1015"/>
  <c r="I14" i="1015"/>
  <c r="J14" i="1015"/>
  <c r="L14" i="1015"/>
  <c r="M14" i="1015"/>
  <c r="N14" i="1015"/>
  <c r="O14" i="1015"/>
  <c r="I15" i="1015"/>
  <c r="J15" i="1015"/>
  <c r="L15" i="1015"/>
  <c r="M15" i="1015"/>
  <c r="N15" i="1015"/>
  <c r="O15" i="1015"/>
  <c r="C10" i="1015"/>
  <c r="D10" i="1015"/>
  <c r="E10" i="1015"/>
  <c r="F10" i="1015"/>
  <c r="G10" i="1015"/>
  <c r="C11" i="1015"/>
  <c r="D11" i="1015"/>
  <c r="E11" i="1015"/>
  <c r="F11" i="1015"/>
  <c r="G11" i="1015"/>
  <c r="C12" i="1015"/>
  <c r="D12" i="1015"/>
  <c r="E12" i="1015"/>
  <c r="F12" i="1015"/>
  <c r="G12" i="1015"/>
  <c r="C13" i="1015"/>
  <c r="D13" i="1015"/>
  <c r="E13" i="1015"/>
  <c r="F13" i="1015"/>
  <c r="G13" i="1015"/>
  <c r="C14" i="1015"/>
  <c r="D14" i="1015"/>
  <c r="E14" i="1015"/>
  <c r="F14" i="1015"/>
  <c r="G14" i="1015"/>
  <c r="C15" i="1015"/>
  <c r="D15" i="1015"/>
  <c r="E15" i="1015"/>
  <c r="F15" i="1015"/>
  <c r="G15" i="1015"/>
  <c r="AX59" i="1015"/>
  <c r="AW59" i="1015"/>
  <c r="AV59" i="1015"/>
  <c r="AU59" i="1015"/>
  <c r="AT59" i="1015"/>
  <c r="AS59" i="1015"/>
  <c r="AR59" i="1015"/>
  <c r="AQ59" i="1015"/>
  <c r="AP59" i="1015"/>
  <c r="AO59" i="1015"/>
  <c r="AN59" i="1015"/>
  <c r="AM59" i="1015"/>
  <c r="AL59" i="1015"/>
  <c r="AK59" i="1015"/>
  <c r="AJ59" i="1015"/>
  <c r="AI59" i="1015"/>
  <c r="AH59" i="1015"/>
  <c r="AG59" i="1015"/>
  <c r="AF59" i="1015"/>
  <c r="AE59" i="1015"/>
  <c r="AD59" i="1015"/>
  <c r="AC59" i="1015"/>
  <c r="AB59" i="1015"/>
  <c r="AX58" i="1015"/>
  <c r="AW58" i="1015"/>
  <c r="AV58" i="1015"/>
  <c r="AU58" i="1015"/>
  <c r="AT58" i="1015"/>
  <c r="AS58" i="1015"/>
  <c r="AR58" i="1015"/>
  <c r="AQ58" i="1015"/>
  <c r="AP58" i="1015"/>
  <c r="AO58" i="1015"/>
  <c r="AN58" i="1015"/>
  <c r="AM58" i="1015"/>
  <c r="AL58" i="1015"/>
  <c r="AK58" i="1015"/>
  <c r="AJ58" i="1015"/>
  <c r="AI58" i="1015"/>
  <c r="AH58" i="1015"/>
  <c r="AG58" i="1015"/>
  <c r="AF58" i="1015"/>
  <c r="AE58" i="1015"/>
  <c r="AD58" i="1015"/>
  <c r="AC58" i="1015"/>
  <c r="AB58" i="1015"/>
  <c r="AX57" i="1015"/>
  <c r="AW57" i="1015"/>
  <c r="AV57" i="1015"/>
  <c r="AU57" i="1015"/>
  <c r="AT57" i="1015"/>
  <c r="AS57" i="1015"/>
  <c r="AR57" i="1015"/>
  <c r="AQ57" i="1015"/>
  <c r="AP57" i="1015"/>
  <c r="AO57" i="1015"/>
  <c r="AN57" i="1015"/>
  <c r="AM57" i="1015"/>
  <c r="AL57" i="1015"/>
  <c r="AK57" i="1015"/>
  <c r="AJ57" i="1015"/>
  <c r="AI57" i="1015"/>
  <c r="AH57" i="1015"/>
  <c r="AG57" i="1015"/>
  <c r="AF57" i="1015"/>
  <c r="AE57" i="1015"/>
  <c r="AD57" i="1015"/>
  <c r="AC57" i="1015"/>
  <c r="AB57" i="1015"/>
  <c r="K52" i="1015"/>
  <c r="Z39" i="1015"/>
  <c r="Y39" i="1015"/>
  <c r="X39" i="1015"/>
  <c r="W39" i="1015"/>
  <c r="V39" i="1015"/>
  <c r="U39" i="1015"/>
  <c r="T39" i="1015"/>
  <c r="S39" i="1015"/>
  <c r="R39" i="1015"/>
  <c r="Z38" i="1015"/>
  <c r="Y38" i="1015"/>
  <c r="X38" i="1015"/>
  <c r="W38" i="1015"/>
  <c r="V38" i="1015"/>
  <c r="U38" i="1015"/>
  <c r="T38" i="1015"/>
  <c r="S38" i="1015"/>
  <c r="R38" i="1015"/>
  <c r="Z37" i="1015"/>
  <c r="Y37" i="1015"/>
  <c r="X37" i="1015"/>
  <c r="W37" i="1015"/>
  <c r="V37" i="1015"/>
  <c r="U37" i="1015"/>
  <c r="T37" i="1015"/>
  <c r="S37" i="1015"/>
  <c r="R37" i="1015"/>
  <c r="Z36" i="1015"/>
  <c r="Y36" i="1015"/>
  <c r="X36" i="1015"/>
  <c r="W36" i="1015"/>
  <c r="V36" i="1015"/>
  <c r="U36" i="1015"/>
  <c r="T36" i="1015"/>
  <c r="S36" i="1015"/>
  <c r="R36" i="1015"/>
  <c r="Z35" i="1015"/>
  <c r="Y35" i="1015"/>
  <c r="X35" i="1015"/>
  <c r="W35" i="1015"/>
  <c r="V35" i="1015"/>
  <c r="U35" i="1015"/>
  <c r="T35" i="1015"/>
  <c r="S35" i="1015"/>
  <c r="R35" i="1015"/>
  <c r="Z34" i="1015"/>
  <c r="Y34" i="1015"/>
  <c r="X34" i="1015"/>
  <c r="W34" i="1015"/>
  <c r="V34" i="1015"/>
  <c r="U34" i="1015"/>
  <c r="T34" i="1015"/>
  <c r="S34" i="1015"/>
  <c r="R34" i="1015"/>
  <c r="M34" i="1015"/>
  <c r="L34" i="1015"/>
  <c r="K34" i="1015"/>
  <c r="Z33" i="1015"/>
  <c r="Y33" i="1015"/>
  <c r="X33" i="1015"/>
  <c r="W33" i="1015"/>
  <c r="V33" i="1015"/>
  <c r="U33" i="1015"/>
  <c r="T33" i="1015"/>
  <c r="S33" i="1015"/>
  <c r="R33" i="1015"/>
  <c r="M33" i="1015"/>
  <c r="Z32" i="1015"/>
  <c r="Y32" i="1015"/>
  <c r="X32" i="1015"/>
  <c r="W32" i="1015"/>
  <c r="V32" i="1015"/>
  <c r="U32" i="1015"/>
  <c r="T32" i="1015"/>
  <c r="S32" i="1015"/>
  <c r="R32" i="1015"/>
  <c r="Z31" i="1015"/>
  <c r="Y31" i="1015"/>
  <c r="X31" i="1015"/>
  <c r="W31" i="1015"/>
  <c r="V31" i="1015"/>
  <c r="U31" i="1015"/>
  <c r="T31" i="1015"/>
  <c r="S31" i="1015"/>
  <c r="R31" i="1015"/>
  <c r="M31" i="1015"/>
  <c r="Z30" i="1015"/>
  <c r="Y30" i="1015"/>
  <c r="X30" i="1015"/>
  <c r="W30" i="1015"/>
  <c r="V30" i="1015"/>
  <c r="U30" i="1015"/>
  <c r="T30" i="1015"/>
  <c r="S30" i="1015"/>
  <c r="R30" i="1015"/>
  <c r="M30" i="1015"/>
  <c r="L30" i="1015"/>
  <c r="K30" i="1015"/>
  <c r="Z29" i="1015"/>
  <c r="Y29" i="1015"/>
  <c r="X29" i="1015"/>
  <c r="W29" i="1015"/>
  <c r="V29" i="1015"/>
  <c r="U29" i="1015"/>
  <c r="T29" i="1015"/>
  <c r="S29" i="1015"/>
  <c r="R29" i="1015"/>
  <c r="Z28" i="1015"/>
  <c r="Y28" i="1015"/>
  <c r="X28" i="1015"/>
  <c r="W28" i="1015"/>
  <c r="V28" i="1015"/>
  <c r="U28" i="1015"/>
  <c r="T28" i="1015"/>
  <c r="S28" i="1015"/>
  <c r="R28" i="1015"/>
  <c r="Z27" i="1015"/>
  <c r="Y27" i="1015"/>
  <c r="X27" i="1015"/>
  <c r="W27" i="1015"/>
  <c r="V27" i="1015"/>
  <c r="U27" i="1015"/>
  <c r="T27" i="1015"/>
  <c r="S27" i="1015"/>
  <c r="R27" i="1015"/>
  <c r="Z26" i="1015"/>
  <c r="Y26" i="1015"/>
  <c r="X26" i="1015"/>
  <c r="W26" i="1015"/>
  <c r="V26" i="1015"/>
  <c r="U26" i="1015"/>
  <c r="T26" i="1015"/>
  <c r="S26" i="1015"/>
  <c r="R26" i="1015"/>
  <c r="Z25" i="1015"/>
  <c r="Y25" i="1015"/>
  <c r="X25" i="1015"/>
  <c r="W25" i="1015"/>
  <c r="V25" i="1015"/>
  <c r="U25" i="1015"/>
  <c r="T25" i="1015"/>
  <c r="S25" i="1015"/>
  <c r="R25" i="1015"/>
  <c r="Z24" i="1015"/>
  <c r="Y24" i="1015"/>
  <c r="X24" i="1015"/>
  <c r="W24" i="1015"/>
  <c r="V24" i="1015"/>
  <c r="U24" i="1015"/>
  <c r="T24" i="1015"/>
  <c r="S24" i="1015"/>
  <c r="R24" i="1015"/>
  <c r="Z23" i="1015"/>
  <c r="Y23" i="1015"/>
  <c r="X23" i="1015"/>
  <c r="W23" i="1015"/>
  <c r="V23" i="1015"/>
  <c r="U23" i="1015"/>
  <c r="T23" i="1015"/>
  <c r="S23" i="1015"/>
  <c r="R23" i="1015"/>
  <c r="Z22" i="1015"/>
  <c r="Y22" i="1015"/>
  <c r="X22" i="1015"/>
  <c r="W22" i="1015"/>
  <c r="V22" i="1015"/>
  <c r="U22" i="1015"/>
  <c r="T22" i="1015"/>
  <c r="S22" i="1015"/>
  <c r="R22" i="1015"/>
  <c r="Z21" i="1015"/>
  <c r="Y21" i="1015"/>
  <c r="X21" i="1015"/>
  <c r="W21" i="1015"/>
  <c r="V21" i="1015"/>
  <c r="U21" i="1015"/>
  <c r="T21" i="1015"/>
  <c r="S21" i="1015"/>
  <c r="R21" i="1015"/>
  <c r="Z20" i="1015"/>
  <c r="Y20" i="1015"/>
  <c r="X20" i="1015"/>
  <c r="W20" i="1015"/>
  <c r="V20" i="1015"/>
  <c r="U20" i="1015"/>
  <c r="T20" i="1015"/>
  <c r="S20" i="1015"/>
  <c r="R20" i="1015"/>
  <c r="Z19" i="1015"/>
  <c r="Y19" i="1015"/>
  <c r="X19" i="1015"/>
  <c r="W19" i="1015"/>
  <c r="V19" i="1015"/>
  <c r="U19" i="1015"/>
  <c r="T19" i="1015"/>
  <c r="S19" i="1015"/>
  <c r="R19" i="1015"/>
  <c r="Z18" i="1015"/>
  <c r="Y18" i="1015"/>
  <c r="X18" i="1015"/>
  <c r="W18" i="1015"/>
  <c r="V18" i="1015"/>
  <c r="U18" i="1015"/>
  <c r="T18" i="1015"/>
  <c r="S18" i="1015"/>
  <c r="R18" i="1015"/>
  <c r="Z17" i="1015"/>
  <c r="Y17" i="1015"/>
  <c r="X17" i="1015"/>
  <c r="W17" i="1015"/>
  <c r="V17" i="1015"/>
  <c r="U17" i="1015"/>
  <c r="T17" i="1015"/>
  <c r="S17" i="1015"/>
  <c r="R17" i="1015"/>
  <c r="Z16" i="1015"/>
  <c r="Y16" i="1015"/>
  <c r="X16" i="1015"/>
  <c r="W16" i="1015"/>
  <c r="V16" i="1015"/>
  <c r="U16" i="1015"/>
  <c r="T16" i="1015"/>
  <c r="S16" i="1015"/>
  <c r="R16" i="1015"/>
  <c r="Z15" i="1015"/>
  <c r="Y15" i="1015"/>
  <c r="X15" i="1015"/>
  <c r="W15" i="1015"/>
  <c r="V15" i="1015"/>
  <c r="U15" i="1015"/>
  <c r="T15" i="1015"/>
  <c r="S15" i="1015"/>
  <c r="R15" i="1015"/>
  <c r="Z14" i="1015"/>
  <c r="Y14" i="1015"/>
  <c r="X14" i="1015"/>
  <c r="W14" i="1015"/>
  <c r="V14" i="1015"/>
  <c r="U14" i="1015"/>
  <c r="T14" i="1015"/>
  <c r="S14" i="1015"/>
  <c r="R14" i="1015"/>
  <c r="Z13" i="1015"/>
  <c r="Y13" i="1015"/>
  <c r="X13" i="1015"/>
  <c r="W13" i="1015"/>
  <c r="V13" i="1015"/>
  <c r="U13" i="1015"/>
  <c r="T13" i="1015"/>
  <c r="S13" i="1015"/>
  <c r="R13" i="1015"/>
  <c r="Z12" i="1015"/>
  <c r="Y12" i="1015"/>
  <c r="X12" i="1015"/>
  <c r="W12" i="1015"/>
  <c r="V12" i="1015"/>
  <c r="U12" i="1015"/>
  <c r="T12" i="1015"/>
  <c r="S12" i="1015"/>
  <c r="R12" i="1015"/>
  <c r="Z11" i="1015"/>
  <c r="Y11" i="1015"/>
  <c r="X11" i="1015"/>
  <c r="W11" i="1015"/>
  <c r="V11" i="1015"/>
  <c r="U11" i="1015"/>
  <c r="T11" i="1015"/>
  <c r="S11" i="1015"/>
  <c r="R11" i="1015"/>
  <c r="Z10" i="1015"/>
  <c r="Y10" i="1015"/>
  <c r="X10" i="1015"/>
  <c r="W10" i="1015"/>
  <c r="V10" i="1015"/>
  <c r="U10" i="1015"/>
  <c r="T10" i="1015"/>
  <c r="S10" i="1015"/>
  <c r="R10" i="1015"/>
  <c r="J29" i="1015" l="1"/>
  <c r="M48" i="1016"/>
  <c r="D14" i="1013"/>
  <c r="E14" i="1013"/>
  <c r="F14" i="1013"/>
  <c r="G14" i="1013"/>
  <c r="M14" i="1013"/>
  <c r="O14" i="1013"/>
  <c r="R14" i="1013"/>
  <c r="S14" i="1013"/>
  <c r="T14" i="1013"/>
  <c r="U14" i="1013"/>
  <c r="V14" i="1013"/>
  <c r="W14" i="1013"/>
  <c r="X14" i="1013"/>
  <c r="Y14" i="1013"/>
  <c r="Z14" i="1013"/>
  <c r="G73" i="1014"/>
  <c r="G72" i="1014"/>
  <c r="K61" i="1014"/>
  <c r="K73" i="1014" s="1"/>
  <c r="K59" i="1014"/>
  <c r="K72" i="1014" s="1"/>
  <c r="M31" i="1014"/>
  <c r="L31" i="1014"/>
  <c r="K31" i="1014"/>
  <c r="R11" i="1014"/>
  <c r="S11" i="1014"/>
  <c r="T11" i="1014"/>
  <c r="U11" i="1014"/>
  <c r="V11" i="1014"/>
  <c r="W11" i="1014"/>
  <c r="X11" i="1014"/>
  <c r="Y11" i="1014"/>
  <c r="Z11" i="1014"/>
  <c r="R12" i="1014"/>
  <c r="S12" i="1014"/>
  <c r="T12" i="1014"/>
  <c r="U12" i="1014"/>
  <c r="V12" i="1014"/>
  <c r="W12" i="1014"/>
  <c r="X12" i="1014"/>
  <c r="Y12" i="1014"/>
  <c r="Z12" i="1014"/>
  <c r="R13" i="1014"/>
  <c r="S13" i="1014"/>
  <c r="T13" i="1014"/>
  <c r="U13" i="1014"/>
  <c r="V13" i="1014"/>
  <c r="W13" i="1014"/>
  <c r="X13" i="1014"/>
  <c r="Y13" i="1014"/>
  <c r="Z13" i="1014"/>
  <c r="R14" i="1014"/>
  <c r="S14" i="1014"/>
  <c r="T14" i="1014"/>
  <c r="U14" i="1014"/>
  <c r="V14" i="1014"/>
  <c r="W14" i="1014"/>
  <c r="X14" i="1014"/>
  <c r="Y14" i="1014"/>
  <c r="Z14" i="1014"/>
  <c r="R15" i="1014"/>
  <c r="S15" i="1014"/>
  <c r="T15" i="1014"/>
  <c r="U15" i="1014"/>
  <c r="V15" i="1014"/>
  <c r="W15" i="1014"/>
  <c r="X15" i="1014"/>
  <c r="Y15" i="1014"/>
  <c r="Z15" i="1014"/>
  <c r="R16" i="1014"/>
  <c r="S16" i="1014"/>
  <c r="T16" i="1014"/>
  <c r="U16" i="1014"/>
  <c r="V16" i="1014"/>
  <c r="W16" i="1014"/>
  <c r="X16" i="1014"/>
  <c r="Y16" i="1014"/>
  <c r="Z16" i="1014"/>
  <c r="R17" i="1014"/>
  <c r="S17" i="1014"/>
  <c r="T17" i="1014"/>
  <c r="U17" i="1014"/>
  <c r="V17" i="1014"/>
  <c r="W17" i="1014"/>
  <c r="X17" i="1014"/>
  <c r="Y17" i="1014"/>
  <c r="Z17" i="1014"/>
  <c r="R18" i="1014"/>
  <c r="S18" i="1014"/>
  <c r="T18" i="1014"/>
  <c r="U18" i="1014"/>
  <c r="V18" i="1014"/>
  <c r="W18" i="1014"/>
  <c r="X18" i="1014"/>
  <c r="Y18" i="1014"/>
  <c r="Z18" i="1014"/>
  <c r="R19" i="1014"/>
  <c r="S19" i="1014"/>
  <c r="T19" i="1014"/>
  <c r="U19" i="1014"/>
  <c r="V19" i="1014"/>
  <c r="W19" i="1014"/>
  <c r="X19" i="1014"/>
  <c r="Y19" i="1014"/>
  <c r="Z19" i="1014"/>
  <c r="R20" i="1014"/>
  <c r="S20" i="1014"/>
  <c r="T20" i="1014"/>
  <c r="U20" i="1014"/>
  <c r="V20" i="1014"/>
  <c r="W20" i="1014"/>
  <c r="X20" i="1014"/>
  <c r="Y20" i="1014"/>
  <c r="Z20" i="1014"/>
  <c r="R21" i="1014"/>
  <c r="S21" i="1014"/>
  <c r="T21" i="1014"/>
  <c r="U21" i="1014"/>
  <c r="V21" i="1014"/>
  <c r="W21" i="1014"/>
  <c r="X21" i="1014"/>
  <c r="Y21" i="1014"/>
  <c r="Z21" i="1014"/>
  <c r="R22" i="1014"/>
  <c r="S22" i="1014"/>
  <c r="T22" i="1014"/>
  <c r="U22" i="1014"/>
  <c r="V22" i="1014"/>
  <c r="W22" i="1014"/>
  <c r="X22" i="1014"/>
  <c r="Y22" i="1014"/>
  <c r="Z22" i="1014"/>
  <c r="R23" i="1014"/>
  <c r="S23" i="1014"/>
  <c r="T23" i="1014"/>
  <c r="U23" i="1014"/>
  <c r="V23" i="1014"/>
  <c r="W23" i="1014"/>
  <c r="X23" i="1014"/>
  <c r="Y23" i="1014"/>
  <c r="Z23" i="1014"/>
  <c r="R24" i="1014"/>
  <c r="S24" i="1014"/>
  <c r="T24" i="1014"/>
  <c r="U24" i="1014"/>
  <c r="V24" i="1014"/>
  <c r="W24" i="1014"/>
  <c r="X24" i="1014"/>
  <c r="Y24" i="1014"/>
  <c r="Z24" i="1014"/>
  <c r="R25" i="1014"/>
  <c r="S25" i="1014"/>
  <c r="T25" i="1014"/>
  <c r="U25" i="1014"/>
  <c r="V25" i="1014"/>
  <c r="W25" i="1014"/>
  <c r="X25" i="1014"/>
  <c r="Y25" i="1014"/>
  <c r="Z25" i="1014"/>
  <c r="R26" i="1014"/>
  <c r="S26" i="1014"/>
  <c r="T26" i="1014"/>
  <c r="U26" i="1014"/>
  <c r="V26" i="1014"/>
  <c r="W26" i="1014"/>
  <c r="X26" i="1014"/>
  <c r="Y26" i="1014"/>
  <c r="Z26" i="1014"/>
  <c r="R27" i="1014"/>
  <c r="S27" i="1014"/>
  <c r="T27" i="1014"/>
  <c r="U27" i="1014"/>
  <c r="V27" i="1014"/>
  <c r="W27" i="1014"/>
  <c r="X27" i="1014"/>
  <c r="Y27" i="1014"/>
  <c r="Z27" i="1014"/>
  <c r="R28" i="1014"/>
  <c r="S28" i="1014"/>
  <c r="T28" i="1014"/>
  <c r="U28" i="1014"/>
  <c r="V28" i="1014"/>
  <c r="W28" i="1014"/>
  <c r="X28" i="1014"/>
  <c r="Y28" i="1014"/>
  <c r="Z28" i="1014"/>
  <c r="D13" i="1014"/>
  <c r="E13" i="1014"/>
  <c r="F13" i="1014"/>
  <c r="G13" i="1014"/>
  <c r="M13" i="1014"/>
  <c r="O13" i="1014"/>
  <c r="D14" i="1014"/>
  <c r="E14" i="1014"/>
  <c r="F14" i="1014"/>
  <c r="G14" i="1014"/>
  <c r="M14" i="1014"/>
  <c r="O14" i="1014"/>
  <c r="D15" i="1014"/>
  <c r="E15" i="1014"/>
  <c r="F15" i="1014"/>
  <c r="G15" i="1014"/>
  <c r="M15" i="1014"/>
  <c r="O15" i="1014"/>
  <c r="D17" i="1014"/>
  <c r="E17" i="1014"/>
  <c r="F17" i="1014"/>
  <c r="G17" i="1014"/>
  <c r="M17" i="1014"/>
  <c r="O17" i="1014"/>
  <c r="D18" i="1014"/>
  <c r="E18" i="1014"/>
  <c r="F18" i="1014"/>
  <c r="G18" i="1014"/>
  <c r="M18" i="1014"/>
  <c r="O18" i="1014"/>
  <c r="O16" i="1014"/>
  <c r="M16" i="1014"/>
  <c r="G16" i="1014"/>
  <c r="F16" i="1014"/>
  <c r="E16" i="1014"/>
  <c r="D16" i="1014"/>
  <c r="L10" i="1014"/>
  <c r="M10" i="1014"/>
  <c r="O10" i="1014"/>
  <c r="L11" i="1014"/>
  <c r="M11" i="1014"/>
  <c r="O11" i="1014"/>
  <c r="C10" i="1014"/>
  <c r="D10" i="1014"/>
  <c r="E10" i="1014"/>
  <c r="F10" i="1014"/>
  <c r="G10" i="1014"/>
  <c r="C11" i="1014"/>
  <c r="D11" i="1014"/>
  <c r="E11" i="1014"/>
  <c r="F11" i="1014"/>
  <c r="G11" i="1014"/>
  <c r="D61" i="1014"/>
  <c r="G61" i="1014"/>
  <c r="G59" i="1014"/>
  <c r="D59" i="1014"/>
  <c r="B61" i="1014"/>
  <c r="AX61" i="1014"/>
  <c r="AW61" i="1014"/>
  <c r="AV61" i="1014"/>
  <c r="AU61" i="1014"/>
  <c r="AT61" i="1014"/>
  <c r="AS61" i="1014"/>
  <c r="AR61" i="1014"/>
  <c r="AQ61" i="1014"/>
  <c r="AP61" i="1014"/>
  <c r="AO61" i="1014"/>
  <c r="AN61" i="1014"/>
  <c r="AM61" i="1014"/>
  <c r="AL61" i="1014"/>
  <c r="AK61" i="1014"/>
  <c r="AJ61" i="1014"/>
  <c r="AI61" i="1014"/>
  <c r="AH61" i="1014"/>
  <c r="AG61" i="1014"/>
  <c r="AF61" i="1014"/>
  <c r="AE61" i="1014"/>
  <c r="AD61" i="1014"/>
  <c r="AC61" i="1014"/>
  <c r="AB61" i="1014"/>
  <c r="AX60" i="1014"/>
  <c r="AW60" i="1014"/>
  <c r="AV60" i="1014"/>
  <c r="AU60" i="1014"/>
  <c r="AT60" i="1014"/>
  <c r="AS60" i="1014"/>
  <c r="AR60" i="1014"/>
  <c r="AQ60" i="1014"/>
  <c r="AP60" i="1014"/>
  <c r="AO60" i="1014"/>
  <c r="AN60" i="1014"/>
  <c r="AM60" i="1014"/>
  <c r="AL60" i="1014"/>
  <c r="AK60" i="1014"/>
  <c r="AJ60" i="1014"/>
  <c r="AI60" i="1014"/>
  <c r="AH60" i="1014"/>
  <c r="AG60" i="1014"/>
  <c r="AF60" i="1014"/>
  <c r="AE60" i="1014"/>
  <c r="AD60" i="1014"/>
  <c r="AC60" i="1014"/>
  <c r="AB60" i="1014"/>
  <c r="AX59" i="1014"/>
  <c r="AW59" i="1014"/>
  <c r="AV59" i="1014"/>
  <c r="AU59" i="1014"/>
  <c r="AT59" i="1014"/>
  <c r="AS59" i="1014"/>
  <c r="AR59" i="1014"/>
  <c r="AQ59" i="1014"/>
  <c r="AP59" i="1014"/>
  <c r="AO59" i="1014"/>
  <c r="AN59" i="1014"/>
  <c r="AM59" i="1014"/>
  <c r="AL59" i="1014"/>
  <c r="AK59" i="1014"/>
  <c r="AJ59" i="1014"/>
  <c r="AI59" i="1014"/>
  <c r="AH59" i="1014"/>
  <c r="AG59" i="1014"/>
  <c r="AF59" i="1014"/>
  <c r="AE59" i="1014"/>
  <c r="AD59" i="1014"/>
  <c r="AC59" i="1014"/>
  <c r="AB59" i="1014"/>
  <c r="B59" i="1014"/>
  <c r="K54" i="1014"/>
  <c r="Z41" i="1014"/>
  <c r="Y41" i="1014"/>
  <c r="X41" i="1014"/>
  <c r="W41" i="1014"/>
  <c r="V41" i="1014"/>
  <c r="U41" i="1014"/>
  <c r="T41" i="1014"/>
  <c r="S41" i="1014"/>
  <c r="R41" i="1014"/>
  <c r="Z40" i="1014"/>
  <c r="Y40" i="1014"/>
  <c r="X40" i="1014"/>
  <c r="W40" i="1014"/>
  <c r="V40" i="1014"/>
  <c r="U40" i="1014"/>
  <c r="T40" i="1014"/>
  <c r="S40" i="1014"/>
  <c r="R40" i="1014"/>
  <c r="Z39" i="1014"/>
  <c r="Y39" i="1014"/>
  <c r="X39" i="1014"/>
  <c r="W39" i="1014"/>
  <c r="V39" i="1014"/>
  <c r="U39" i="1014"/>
  <c r="T39" i="1014"/>
  <c r="S39" i="1014"/>
  <c r="R39" i="1014"/>
  <c r="Z38" i="1014"/>
  <c r="Y38" i="1014"/>
  <c r="X38" i="1014"/>
  <c r="W38" i="1014"/>
  <c r="V38" i="1014"/>
  <c r="U38" i="1014"/>
  <c r="T38" i="1014"/>
  <c r="S38" i="1014"/>
  <c r="R38" i="1014"/>
  <c r="Z37" i="1014"/>
  <c r="Y37" i="1014"/>
  <c r="X37" i="1014"/>
  <c r="W37" i="1014"/>
  <c r="V37" i="1014"/>
  <c r="U37" i="1014"/>
  <c r="T37" i="1014"/>
  <c r="S37" i="1014"/>
  <c r="R37" i="1014"/>
  <c r="Z36" i="1014"/>
  <c r="Y36" i="1014"/>
  <c r="X36" i="1014"/>
  <c r="W36" i="1014"/>
  <c r="V36" i="1014"/>
  <c r="U36" i="1014"/>
  <c r="T36" i="1014"/>
  <c r="S36" i="1014"/>
  <c r="R36" i="1014"/>
  <c r="M36" i="1014"/>
  <c r="L36" i="1014"/>
  <c r="K36" i="1014"/>
  <c r="Z35" i="1014"/>
  <c r="Y35" i="1014"/>
  <c r="X35" i="1014"/>
  <c r="W35" i="1014"/>
  <c r="V35" i="1014"/>
  <c r="U35" i="1014"/>
  <c r="T35" i="1014"/>
  <c r="S35" i="1014"/>
  <c r="R35" i="1014"/>
  <c r="M35" i="1014"/>
  <c r="Z34" i="1014"/>
  <c r="Y34" i="1014"/>
  <c r="X34" i="1014"/>
  <c r="W34" i="1014"/>
  <c r="V34" i="1014"/>
  <c r="U34" i="1014"/>
  <c r="T34" i="1014"/>
  <c r="S34" i="1014"/>
  <c r="R34" i="1014"/>
  <c r="Z33" i="1014"/>
  <c r="Y33" i="1014"/>
  <c r="X33" i="1014"/>
  <c r="W33" i="1014"/>
  <c r="V33" i="1014"/>
  <c r="U33" i="1014"/>
  <c r="T33" i="1014"/>
  <c r="S33" i="1014"/>
  <c r="R33" i="1014"/>
  <c r="M33" i="1014"/>
  <c r="Z32" i="1014"/>
  <c r="Y32" i="1014"/>
  <c r="X32" i="1014"/>
  <c r="W32" i="1014"/>
  <c r="V32" i="1014"/>
  <c r="U32" i="1014"/>
  <c r="T32" i="1014"/>
  <c r="S32" i="1014"/>
  <c r="R32" i="1014"/>
  <c r="M32" i="1014"/>
  <c r="L32" i="1014"/>
  <c r="K32" i="1014"/>
  <c r="Z31" i="1014"/>
  <c r="Y31" i="1014"/>
  <c r="X31" i="1014"/>
  <c r="W31" i="1014"/>
  <c r="V31" i="1014"/>
  <c r="U31" i="1014"/>
  <c r="T31" i="1014"/>
  <c r="S31" i="1014"/>
  <c r="R31" i="1014"/>
  <c r="Z30" i="1014"/>
  <c r="Y30" i="1014"/>
  <c r="X30" i="1014"/>
  <c r="W30" i="1014"/>
  <c r="V30" i="1014"/>
  <c r="U30" i="1014"/>
  <c r="T30" i="1014"/>
  <c r="S30" i="1014"/>
  <c r="R30" i="1014"/>
  <c r="Z29" i="1014"/>
  <c r="Y29" i="1014"/>
  <c r="X29" i="1014"/>
  <c r="W29" i="1014"/>
  <c r="V29" i="1014"/>
  <c r="U29" i="1014"/>
  <c r="T29" i="1014"/>
  <c r="S29" i="1014"/>
  <c r="R29" i="1014"/>
  <c r="Z10" i="1014"/>
  <c r="Y10" i="1014"/>
  <c r="X10" i="1014"/>
  <c r="W10" i="1014"/>
  <c r="V10" i="1014"/>
  <c r="U10" i="1014"/>
  <c r="T10" i="1014"/>
  <c r="S10" i="1014"/>
  <c r="R10" i="1014"/>
  <c r="L59" i="1014" l="1"/>
  <c r="C72" i="1014" s="1"/>
  <c r="L61" i="1014"/>
  <c r="C73" i="1014" s="1"/>
  <c r="I11" i="1014" l="1"/>
  <c r="J11" i="1014"/>
  <c r="N10" i="1014"/>
  <c r="N11" i="1014"/>
  <c r="J10" i="1014" l="1"/>
  <c r="I10" i="1014"/>
  <c r="J31" i="1014" s="1"/>
  <c r="G65" i="1013" l="1"/>
  <c r="K52" i="1013"/>
  <c r="K65" i="1013" s="1"/>
  <c r="G52" i="1013"/>
  <c r="D52" i="1013"/>
  <c r="L52" i="1013" l="1"/>
  <c r="C65" i="1013" s="1"/>
  <c r="B52" i="1013"/>
  <c r="M24" i="1013"/>
  <c r="L24" i="1013"/>
  <c r="K24" i="1013"/>
  <c r="R10" i="1013"/>
  <c r="S10" i="1013"/>
  <c r="T10" i="1013"/>
  <c r="U10" i="1013"/>
  <c r="V10" i="1013"/>
  <c r="W10" i="1013"/>
  <c r="X10" i="1013"/>
  <c r="Y10" i="1013"/>
  <c r="Z10" i="1013"/>
  <c r="R11" i="1013"/>
  <c r="S11" i="1013"/>
  <c r="T11" i="1013"/>
  <c r="U11" i="1013"/>
  <c r="V11" i="1013"/>
  <c r="W11" i="1013"/>
  <c r="X11" i="1013"/>
  <c r="Y11" i="1013"/>
  <c r="Z11" i="1013"/>
  <c r="R12" i="1013"/>
  <c r="S12" i="1013"/>
  <c r="T12" i="1013"/>
  <c r="U12" i="1013"/>
  <c r="V12" i="1013"/>
  <c r="W12" i="1013"/>
  <c r="X12" i="1013"/>
  <c r="Y12" i="1013"/>
  <c r="Z12" i="1013"/>
  <c r="R13" i="1013"/>
  <c r="S13" i="1013"/>
  <c r="T13" i="1013"/>
  <c r="U13" i="1013"/>
  <c r="V13" i="1013"/>
  <c r="W13" i="1013"/>
  <c r="X13" i="1013"/>
  <c r="Y13" i="1013"/>
  <c r="Z13" i="1013"/>
  <c r="R15" i="1013"/>
  <c r="S15" i="1013"/>
  <c r="T15" i="1013"/>
  <c r="U15" i="1013"/>
  <c r="V15" i="1013"/>
  <c r="W15" i="1013"/>
  <c r="X15" i="1013"/>
  <c r="Y15" i="1013"/>
  <c r="Z15" i="1013"/>
  <c r="R16" i="1013"/>
  <c r="S16" i="1013"/>
  <c r="T16" i="1013"/>
  <c r="U16" i="1013"/>
  <c r="V16" i="1013"/>
  <c r="W16" i="1013"/>
  <c r="X16" i="1013"/>
  <c r="Y16" i="1013"/>
  <c r="Z16" i="1013"/>
  <c r="R17" i="1013"/>
  <c r="S17" i="1013"/>
  <c r="T17" i="1013"/>
  <c r="U17" i="1013"/>
  <c r="V17" i="1013"/>
  <c r="W17" i="1013"/>
  <c r="X17" i="1013"/>
  <c r="Y17" i="1013"/>
  <c r="Z17" i="1013"/>
  <c r="R18" i="1013"/>
  <c r="S18" i="1013"/>
  <c r="T18" i="1013"/>
  <c r="U18" i="1013"/>
  <c r="V18" i="1013"/>
  <c r="W18" i="1013"/>
  <c r="X18" i="1013"/>
  <c r="Y18" i="1013"/>
  <c r="Z18" i="1013"/>
  <c r="C10" i="1013"/>
  <c r="D10" i="1013"/>
  <c r="E10" i="1013"/>
  <c r="F10" i="1013"/>
  <c r="G10" i="1013"/>
  <c r="I10" i="1013"/>
  <c r="J10" i="1013"/>
  <c r="L10" i="1013"/>
  <c r="M10" i="1013"/>
  <c r="N10" i="1013"/>
  <c r="O10" i="1013"/>
  <c r="C11" i="1013"/>
  <c r="D11" i="1013"/>
  <c r="E11" i="1013"/>
  <c r="F11" i="1013"/>
  <c r="G11" i="1013"/>
  <c r="I11" i="1013"/>
  <c r="J11" i="1013"/>
  <c r="L11" i="1013"/>
  <c r="M11" i="1013"/>
  <c r="N11" i="1013"/>
  <c r="O11" i="1013"/>
  <c r="C12" i="1013"/>
  <c r="D12" i="1013"/>
  <c r="E12" i="1013"/>
  <c r="F12" i="1013"/>
  <c r="G12" i="1013"/>
  <c r="I12" i="1013"/>
  <c r="J12" i="1013"/>
  <c r="L12" i="1013"/>
  <c r="M12" i="1013"/>
  <c r="N12" i="1013"/>
  <c r="O12" i="1013"/>
  <c r="AX54" i="1013"/>
  <c r="AW54" i="1013"/>
  <c r="AV54" i="1013"/>
  <c r="AU54" i="1013"/>
  <c r="AT54" i="1013"/>
  <c r="AS54" i="1013"/>
  <c r="AR54" i="1013"/>
  <c r="AQ54" i="1013"/>
  <c r="AP54" i="1013"/>
  <c r="AO54" i="1013"/>
  <c r="AN54" i="1013"/>
  <c r="AM54" i="1013"/>
  <c r="AL54" i="1013"/>
  <c r="AK54" i="1013"/>
  <c r="AJ54" i="1013"/>
  <c r="AI54" i="1013"/>
  <c r="AH54" i="1013"/>
  <c r="AG54" i="1013"/>
  <c r="AF54" i="1013"/>
  <c r="AE54" i="1013"/>
  <c r="AD54" i="1013"/>
  <c r="AC54" i="1013"/>
  <c r="AB54" i="1013"/>
  <c r="AX53" i="1013"/>
  <c r="AW53" i="1013"/>
  <c r="AV53" i="1013"/>
  <c r="AU53" i="1013"/>
  <c r="AT53" i="1013"/>
  <c r="AS53" i="1013"/>
  <c r="AR53" i="1013"/>
  <c r="AQ53" i="1013"/>
  <c r="AP53" i="1013"/>
  <c r="AO53" i="1013"/>
  <c r="AN53" i="1013"/>
  <c r="AM53" i="1013"/>
  <c r="AL53" i="1013"/>
  <c r="AK53" i="1013"/>
  <c r="AJ53" i="1013"/>
  <c r="AI53" i="1013"/>
  <c r="AH53" i="1013"/>
  <c r="AG53" i="1013"/>
  <c r="AF53" i="1013"/>
  <c r="AE53" i="1013"/>
  <c r="AD53" i="1013"/>
  <c r="AC53" i="1013"/>
  <c r="AB53" i="1013"/>
  <c r="AX52" i="1013"/>
  <c r="AW52" i="1013"/>
  <c r="AV52" i="1013"/>
  <c r="AU52" i="1013"/>
  <c r="AT52" i="1013"/>
  <c r="AS52" i="1013"/>
  <c r="AR52" i="1013"/>
  <c r="AQ52" i="1013"/>
  <c r="AP52" i="1013"/>
  <c r="AO52" i="1013"/>
  <c r="AN52" i="1013"/>
  <c r="AM52" i="1013"/>
  <c r="AL52" i="1013"/>
  <c r="AK52" i="1013"/>
  <c r="AJ52" i="1013"/>
  <c r="AI52" i="1013"/>
  <c r="AH52" i="1013"/>
  <c r="AG52" i="1013"/>
  <c r="AF52" i="1013"/>
  <c r="AE52" i="1013"/>
  <c r="AD52" i="1013"/>
  <c r="AC52" i="1013"/>
  <c r="AB52" i="1013"/>
  <c r="K47" i="1013"/>
  <c r="Z34" i="1013"/>
  <c r="Y34" i="1013"/>
  <c r="X34" i="1013"/>
  <c r="W34" i="1013"/>
  <c r="V34" i="1013"/>
  <c r="U34" i="1013"/>
  <c r="T34" i="1013"/>
  <c r="S34" i="1013"/>
  <c r="R34" i="1013"/>
  <c r="Z33" i="1013"/>
  <c r="Y33" i="1013"/>
  <c r="X33" i="1013"/>
  <c r="W33" i="1013"/>
  <c r="V33" i="1013"/>
  <c r="U33" i="1013"/>
  <c r="T33" i="1013"/>
  <c r="S33" i="1013"/>
  <c r="R33" i="1013"/>
  <c r="Z32" i="1013"/>
  <c r="Y32" i="1013"/>
  <c r="X32" i="1013"/>
  <c r="W32" i="1013"/>
  <c r="V32" i="1013"/>
  <c r="U32" i="1013"/>
  <c r="T32" i="1013"/>
  <c r="S32" i="1013"/>
  <c r="R32" i="1013"/>
  <c r="Z31" i="1013"/>
  <c r="Y31" i="1013"/>
  <c r="X31" i="1013"/>
  <c r="W31" i="1013"/>
  <c r="V31" i="1013"/>
  <c r="U31" i="1013"/>
  <c r="T31" i="1013"/>
  <c r="S31" i="1013"/>
  <c r="R31" i="1013"/>
  <c r="Z30" i="1013"/>
  <c r="Y30" i="1013"/>
  <c r="X30" i="1013"/>
  <c r="W30" i="1013"/>
  <c r="V30" i="1013"/>
  <c r="U30" i="1013"/>
  <c r="T30" i="1013"/>
  <c r="S30" i="1013"/>
  <c r="R30" i="1013"/>
  <c r="Z29" i="1013"/>
  <c r="Y29" i="1013"/>
  <c r="X29" i="1013"/>
  <c r="W29" i="1013"/>
  <c r="V29" i="1013"/>
  <c r="U29" i="1013"/>
  <c r="T29" i="1013"/>
  <c r="S29" i="1013"/>
  <c r="R29" i="1013"/>
  <c r="M29" i="1013"/>
  <c r="L29" i="1013"/>
  <c r="K29" i="1013"/>
  <c r="Z28" i="1013"/>
  <c r="Y28" i="1013"/>
  <c r="X28" i="1013"/>
  <c r="W28" i="1013"/>
  <c r="V28" i="1013"/>
  <c r="U28" i="1013"/>
  <c r="T28" i="1013"/>
  <c r="S28" i="1013"/>
  <c r="R28" i="1013"/>
  <c r="M28" i="1013"/>
  <c r="Z27" i="1013"/>
  <c r="Y27" i="1013"/>
  <c r="X27" i="1013"/>
  <c r="W27" i="1013"/>
  <c r="V27" i="1013"/>
  <c r="U27" i="1013"/>
  <c r="T27" i="1013"/>
  <c r="S27" i="1013"/>
  <c r="R27" i="1013"/>
  <c r="Z26" i="1013"/>
  <c r="Y26" i="1013"/>
  <c r="X26" i="1013"/>
  <c r="W26" i="1013"/>
  <c r="V26" i="1013"/>
  <c r="U26" i="1013"/>
  <c r="T26" i="1013"/>
  <c r="S26" i="1013"/>
  <c r="R26" i="1013"/>
  <c r="M26" i="1013"/>
  <c r="Z25" i="1013"/>
  <c r="Y25" i="1013"/>
  <c r="X25" i="1013"/>
  <c r="W25" i="1013"/>
  <c r="V25" i="1013"/>
  <c r="U25" i="1013"/>
  <c r="T25" i="1013"/>
  <c r="S25" i="1013"/>
  <c r="R25" i="1013"/>
  <c r="M25" i="1013"/>
  <c r="L25" i="1013"/>
  <c r="K25" i="1013"/>
  <c r="Z24" i="1013"/>
  <c r="Y24" i="1013"/>
  <c r="X24" i="1013"/>
  <c r="W24" i="1013"/>
  <c r="V24" i="1013"/>
  <c r="U24" i="1013"/>
  <c r="T24" i="1013"/>
  <c r="S24" i="1013"/>
  <c r="R24" i="1013"/>
  <c r="Z23" i="1013"/>
  <c r="Y23" i="1013"/>
  <c r="X23" i="1013"/>
  <c r="W23" i="1013"/>
  <c r="V23" i="1013"/>
  <c r="U23" i="1013"/>
  <c r="T23" i="1013"/>
  <c r="S23" i="1013"/>
  <c r="R23" i="1013"/>
  <c r="Z22" i="1013"/>
  <c r="Y22" i="1013"/>
  <c r="X22" i="1013"/>
  <c r="W22" i="1013"/>
  <c r="V22" i="1013"/>
  <c r="U22" i="1013"/>
  <c r="T22" i="1013"/>
  <c r="S22" i="1013"/>
  <c r="R22" i="1013"/>
  <c r="Z21" i="1013"/>
  <c r="Y21" i="1013"/>
  <c r="X21" i="1013"/>
  <c r="W21" i="1013"/>
  <c r="V21" i="1013"/>
  <c r="U21" i="1013"/>
  <c r="T21" i="1013"/>
  <c r="S21" i="1013"/>
  <c r="R21" i="1013"/>
  <c r="Z20" i="1013"/>
  <c r="Y20" i="1013"/>
  <c r="X20" i="1013"/>
  <c r="W20" i="1013"/>
  <c r="V20" i="1013"/>
  <c r="U20" i="1013"/>
  <c r="T20" i="1013"/>
  <c r="S20" i="1013"/>
  <c r="R20" i="1013"/>
  <c r="Z19" i="1013"/>
  <c r="Y19" i="1013"/>
  <c r="X19" i="1013"/>
  <c r="W19" i="1013"/>
  <c r="V19" i="1013"/>
  <c r="U19" i="1013"/>
  <c r="T19" i="1013"/>
  <c r="S19" i="1013"/>
  <c r="R19" i="1013"/>
  <c r="L36" i="1012"/>
  <c r="M22" i="1012"/>
  <c r="L22" i="1012"/>
  <c r="K22" i="1012"/>
  <c r="C15" i="1012"/>
  <c r="D15" i="1012"/>
  <c r="E15" i="1012"/>
  <c r="F15" i="1012"/>
  <c r="G15" i="1012"/>
  <c r="I15" i="1012"/>
  <c r="J15" i="1012"/>
  <c r="L15" i="1012"/>
  <c r="M15" i="1012"/>
  <c r="N15" i="1012"/>
  <c r="C16" i="1012"/>
  <c r="D16" i="1012"/>
  <c r="E16" i="1012"/>
  <c r="F16" i="1012"/>
  <c r="G16" i="1012"/>
  <c r="I16" i="1012"/>
  <c r="J16" i="1012"/>
  <c r="L16" i="1012"/>
  <c r="M16" i="1012"/>
  <c r="N16" i="1012"/>
  <c r="C17" i="1012"/>
  <c r="D17" i="1012"/>
  <c r="E17" i="1012"/>
  <c r="F17" i="1012"/>
  <c r="G17" i="1012"/>
  <c r="I17" i="1012"/>
  <c r="J17" i="1012"/>
  <c r="L17" i="1012"/>
  <c r="M17" i="1012"/>
  <c r="N17" i="1012"/>
  <c r="O13" i="1012"/>
  <c r="O14" i="1012"/>
  <c r="O15" i="1012"/>
  <c r="O16" i="1012"/>
  <c r="O17" i="1012"/>
  <c r="C13" i="1012"/>
  <c r="D13" i="1012"/>
  <c r="E13" i="1012"/>
  <c r="F13" i="1012"/>
  <c r="G13" i="1012"/>
  <c r="I13" i="1012"/>
  <c r="J13" i="1012"/>
  <c r="L13" i="1012"/>
  <c r="M13" i="1012"/>
  <c r="N13" i="1012"/>
  <c r="C14" i="1012"/>
  <c r="D14" i="1012"/>
  <c r="E14" i="1012"/>
  <c r="F14" i="1012"/>
  <c r="G14" i="1012"/>
  <c r="I14" i="1012"/>
  <c r="J14" i="1012"/>
  <c r="L14" i="1012"/>
  <c r="M14" i="1012"/>
  <c r="N14" i="1012"/>
  <c r="R10" i="1012"/>
  <c r="S10" i="1012"/>
  <c r="T10" i="1012"/>
  <c r="U10" i="1012"/>
  <c r="V10" i="1012"/>
  <c r="W10" i="1012"/>
  <c r="X10" i="1012"/>
  <c r="Y10" i="1012"/>
  <c r="Z10" i="1012"/>
  <c r="R11" i="1012"/>
  <c r="S11" i="1012"/>
  <c r="T11" i="1012"/>
  <c r="U11" i="1012"/>
  <c r="V11" i="1012"/>
  <c r="W11" i="1012"/>
  <c r="X11" i="1012"/>
  <c r="Y11" i="1012"/>
  <c r="Z11" i="1012"/>
  <c r="R12" i="1012"/>
  <c r="S12" i="1012"/>
  <c r="T12" i="1012"/>
  <c r="U12" i="1012"/>
  <c r="V12" i="1012"/>
  <c r="W12" i="1012"/>
  <c r="X12" i="1012"/>
  <c r="Y12" i="1012"/>
  <c r="Z12" i="1012"/>
  <c r="D10" i="1012"/>
  <c r="E10" i="1012"/>
  <c r="F10" i="1012"/>
  <c r="G10" i="1012"/>
  <c r="M10" i="1012"/>
  <c r="O10" i="1012"/>
  <c r="D11" i="1012"/>
  <c r="E11" i="1012"/>
  <c r="F11" i="1012"/>
  <c r="G11" i="1012"/>
  <c r="M11" i="1012"/>
  <c r="O11" i="1012"/>
  <c r="K50" i="1012"/>
  <c r="K65" i="1012" s="1"/>
  <c r="E50" i="1012"/>
  <c r="G50" i="1012"/>
  <c r="B50" i="1012"/>
  <c r="AX52" i="1012"/>
  <c r="AW52" i="1012"/>
  <c r="AV52" i="1012"/>
  <c r="AU52" i="1012"/>
  <c r="AT52" i="1012"/>
  <c r="AS52" i="1012"/>
  <c r="AR52" i="1012"/>
  <c r="AQ52" i="1012"/>
  <c r="AP52" i="1012"/>
  <c r="AO52" i="1012"/>
  <c r="AN52" i="1012"/>
  <c r="AM52" i="1012"/>
  <c r="AL52" i="1012"/>
  <c r="AK52" i="1012"/>
  <c r="AJ52" i="1012"/>
  <c r="AI52" i="1012"/>
  <c r="AH52" i="1012"/>
  <c r="AG52" i="1012"/>
  <c r="AF52" i="1012"/>
  <c r="AE52" i="1012"/>
  <c r="AD52" i="1012"/>
  <c r="AC52" i="1012"/>
  <c r="AB52" i="1012"/>
  <c r="AX51" i="1012"/>
  <c r="AW51" i="1012"/>
  <c r="AV51" i="1012"/>
  <c r="AU51" i="1012"/>
  <c r="AT51" i="1012"/>
  <c r="AS51" i="1012"/>
  <c r="AR51" i="1012"/>
  <c r="AQ51" i="1012"/>
  <c r="AP51" i="1012"/>
  <c r="AO51" i="1012"/>
  <c r="AN51" i="1012"/>
  <c r="AM51" i="1012"/>
  <c r="AL51" i="1012"/>
  <c r="AK51" i="1012"/>
  <c r="AJ51" i="1012"/>
  <c r="AI51" i="1012"/>
  <c r="AH51" i="1012"/>
  <c r="AG51" i="1012"/>
  <c r="AF51" i="1012"/>
  <c r="AE51" i="1012"/>
  <c r="AD51" i="1012"/>
  <c r="AC51" i="1012"/>
  <c r="AB51" i="1012"/>
  <c r="AX50" i="1012"/>
  <c r="AW50" i="1012"/>
  <c r="AV50" i="1012"/>
  <c r="AU50" i="1012"/>
  <c r="AT50" i="1012"/>
  <c r="AS50" i="1012"/>
  <c r="AR50" i="1012"/>
  <c r="AQ50" i="1012"/>
  <c r="AP50" i="1012"/>
  <c r="AO50" i="1012"/>
  <c r="AN50" i="1012"/>
  <c r="AM50" i="1012"/>
  <c r="AL50" i="1012"/>
  <c r="AK50" i="1012"/>
  <c r="AJ50" i="1012"/>
  <c r="AI50" i="1012"/>
  <c r="AH50" i="1012"/>
  <c r="AG50" i="1012"/>
  <c r="AF50" i="1012"/>
  <c r="AE50" i="1012"/>
  <c r="AD50" i="1012"/>
  <c r="AC50" i="1012"/>
  <c r="AB50" i="1012"/>
  <c r="K45" i="1012"/>
  <c r="M36" i="1012" s="1"/>
  <c r="Z32" i="1012"/>
  <c r="Y32" i="1012"/>
  <c r="X32" i="1012"/>
  <c r="W32" i="1012"/>
  <c r="V32" i="1012"/>
  <c r="U32" i="1012"/>
  <c r="T32" i="1012"/>
  <c r="S32" i="1012"/>
  <c r="R32" i="1012"/>
  <c r="Z31" i="1012"/>
  <c r="Y31" i="1012"/>
  <c r="X31" i="1012"/>
  <c r="W31" i="1012"/>
  <c r="V31" i="1012"/>
  <c r="U31" i="1012"/>
  <c r="T31" i="1012"/>
  <c r="S31" i="1012"/>
  <c r="R31" i="1012"/>
  <c r="Z30" i="1012"/>
  <c r="Y30" i="1012"/>
  <c r="X30" i="1012"/>
  <c r="W30" i="1012"/>
  <c r="V30" i="1012"/>
  <c r="U30" i="1012"/>
  <c r="T30" i="1012"/>
  <c r="S30" i="1012"/>
  <c r="R30" i="1012"/>
  <c r="Z29" i="1012"/>
  <c r="Y29" i="1012"/>
  <c r="X29" i="1012"/>
  <c r="W29" i="1012"/>
  <c r="V29" i="1012"/>
  <c r="U29" i="1012"/>
  <c r="T29" i="1012"/>
  <c r="S29" i="1012"/>
  <c r="R29" i="1012"/>
  <c r="Z28" i="1012"/>
  <c r="Y28" i="1012"/>
  <c r="X28" i="1012"/>
  <c r="W28" i="1012"/>
  <c r="V28" i="1012"/>
  <c r="U28" i="1012"/>
  <c r="T28" i="1012"/>
  <c r="S28" i="1012"/>
  <c r="R28" i="1012"/>
  <c r="Z27" i="1012"/>
  <c r="Y27" i="1012"/>
  <c r="X27" i="1012"/>
  <c r="W27" i="1012"/>
  <c r="V27" i="1012"/>
  <c r="U27" i="1012"/>
  <c r="T27" i="1012"/>
  <c r="S27" i="1012"/>
  <c r="R27" i="1012"/>
  <c r="M27" i="1012"/>
  <c r="L27" i="1012"/>
  <c r="K27" i="1012"/>
  <c r="Z26" i="1012"/>
  <c r="Y26" i="1012"/>
  <c r="X26" i="1012"/>
  <c r="W26" i="1012"/>
  <c r="V26" i="1012"/>
  <c r="U26" i="1012"/>
  <c r="T26" i="1012"/>
  <c r="S26" i="1012"/>
  <c r="R26" i="1012"/>
  <c r="M26" i="1012"/>
  <c r="Z25" i="1012"/>
  <c r="Y25" i="1012"/>
  <c r="X25" i="1012"/>
  <c r="W25" i="1012"/>
  <c r="V25" i="1012"/>
  <c r="U25" i="1012"/>
  <c r="T25" i="1012"/>
  <c r="S25" i="1012"/>
  <c r="R25" i="1012"/>
  <c r="Z24" i="1012"/>
  <c r="Y24" i="1012"/>
  <c r="X24" i="1012"/>
  <c r="W24" i="1012"/>
  <c r="V24" i="1012"/>
  <c r="U24" i="1012"/>
  <c r="T24" i="1012"/>
  <c r="S24" i="1012"/>
  <c r="R24" i="1012"/>
  <c r="M24" i="1012"/>
  <c r="Z23" i="1012"/>
  <c r="Y23" i="1012"/>
  <c r="X23" i="1012"/>
  <c r="W23" i="1012"/>
  <c r="V23" i="1012"/>
  <c r="U23" i="1012"/>
  <c r="T23" i="1012"/>
  <c r="S23" i="1012"/>
  <c r="R23" i="1012"/>
  <c r="M23" i="1012"/>
  <c r="L23" i="1012"/>
  <c r="K23" i="1012"/>
  <c r="Z22" i="1012"/>
  <c r="Y22" i="1012"/>
  <c r="X22" i="1012"/>
  <c r="W22" i="1012"/>
  <c r="V22" i="1012"/>
  <c r="U22" i="1012"/>
  <c r="T22" i="1012"/>
  <c r="S22" i="1012"/>
  <c r="R22" i="1012"/>
  <c r="Z21" i="1012"/>
  <c r="Y21" i="1012"/>
  <c r="X21" i="1012"/>
  <c r="W21" i="1012"/>
  <c r="V21" i="1012"/>
  <c r="U21" i="1012"/>
  <c r="T21" i="1012"/>
  <c r="S21" i="1012"/>
  <c r="R21" i="1012"/>
  <c r="Z20" i="1012"/>
  <c r="Y20" i="1012"/>
  <c r="X20" i="1012"/>
  <c r="W20" i="1012"/>
  <c r="V20" i="1012"/>
  <c r="U20" i="1012"/>
  <c r="T20" i="1012"/>
  <c r="S20" i="1012"/>
  <c r="R20" i="1012"/>
  <c r="Z19" i="1012"/>
  <c r="Y19" i="1012"/>
  <c r="X19" i="1012"/>
  <c r="W19" i="1012"/>
  <c r="V19" i="1012"/>
  <c r="U19" i="1012"/>
  <c r="T19" i="1012"/>
  <c r="S19" i="1012"/>
  <c r="R19" i="1012"/>
  <c r="Z18" i="1012"/>
  <c r="Y18" i="1012"/>
  <c r="X18" i="1012"/>
  <c r="W18" i="1012"/>
  <c r="V18" i="1012"/>
  <c r="U18" i="1012"/>
  <c r="T18" i="1012"/>
  <c r="S18" i="1012"/>
  <c r="R18" i="1012"/>
  <c r="Z17" i="1012"/>
  <c r="Y17" i="1012"/>
  <c r="X17" i="1012"/>
  <c r="W17" i="1012"/>
  <c r="V17" i="1012"/>
  <c r="U17" i="1012"/>
  <c r="T17" i="1012"/>
  <c r="S17" i="1012"/>
  <c r="R17" i="1012"/>
  <c r="Z16" i="1012"/>
  <c r="Y16" i="1012"/>
  <c r="X16" i="1012"/>
  <c r="W16" i="1012"/>
  <c r="V16" i="1012"/>
  <c r="U16" i="1012"/>
  <c r="T16" i="1012"/>
  <c r="S16" i="1012"/>
  <c r="R16" i="1012"/>
  <c r="Z15" i="1012"/>
  <c r="Y15" i="1012"/>
  <c r="X15" i="1012"/>
  <c r="W15" i="1012"/>
  <c r="V15" i="1012"/>
  <c r="U15" i="1012"/>
  <c r="T15" i="1012"/>
  <c r="S15" i="1012"/>
  <c r="R15" i="1012"/>
  <c r="Z14" i="1012"/>
  <c r="Y14" i="1012"/>
  <c r="X14" i="1012"/>
  <c r="W14" i="1012"/>
  <c r="V14" i="1012"/>
  <c r="U14" i="1012"/>
  <c r="T14" i="1012"/>
  <c r="S14" i="1012"/>
  <c r="R14" i="1012"/>
  <c r="Z13" i="1012"/>
  <c r="Y13" i="1012"/>
  <c r="X13" i="1012"/>
  <c r="W13" i="1012"/>
  <c r="V13" i="1012"/>
  <c r="U13" i="1012"/>
  <c r="T13" i="1012"/>
  <c r="S13" i="1012"/>
  <c r="R13" i="1012"/>
  <c r="K54" i="1011"/>
  <c r="K67" i="1011" s="1"/>
  <c r="G54" i="1011"/>
  <c r="B54" i="1011"/>
  <c r="L40" i="1011"/>
  <c r="R10" i="1011"/>
  <c r="S10" i="1011"/>
  <c r="T10" i="1011"/>
  <c r="U10" i="1011"/>
  <c r="V10" i="1011"/>
  <c r="W10" i="1011"/>
  <c r="X10" i="1011"/>
  <c r="Y10" i="1011"/>
  <c r="Z10" i="1011"/>
  <c r="R11" i="1011"/>
  <c r="S11" i="1011"/>
  <c r="T11" i="1011"/>
  <c r="U11" i="1011"/>
  <c r="V11" i="1011"/>
  <c r="W11" i="1011"/>
  <c r="X11" i="1011"/>
  <c r="Y11" i="1011"/>
  <c r="Z11" i="1011"/>
  <c r="R12" i="1011"/>
  <c r="S12" i="1011"/>
  <c r="T12" i="1011"/>
  <c r="U12" i="1011"/>
  <c r="V12" i="1011"/>
  <c r="W12" i="1011"/>
  <c r="X12" i="1011"/>
  <c r="Y12" i="1011"/>
  <c r="Z12" i="1011"/>
  <c r="R13" i="1011"/>
  <c r="S13" i="1011"/>
  <c r="T13" i="1011"/>
  <c r="U13" i="1011"/>
  <c r="V13" i="1011"/>
  <c r="W13" i="1011"/>
  <c r="X13" i="1011"/>
  <c r="Y13" i="1011"/>
  <c r="Z13" i="1011"/>
  <c r="D10" i="1011"/>
  <c r="E10" i="1011"/>
  <c r="F10" i="1011"/>
  <c r="G10" i="1011"/>
  <c r="M10" i="1011"/>
  <c r="O10" i="1011"/>
  <c r="D11" i="1011"/>
  <c r="E11" i="1011"/>
  <c r="F11" i="1011"/>
  <c r="G11" i="1011"/>
  <c r="M11" i="1011"/>
  <c r="O11" i="1011"/>
  <c r="D12" i="1011"/>
  <c r="E12" i="1011"/>
  <c r="F12" i="1011"/>
  <c r="G12" i="1011"/>
  <c r="M12" i="1011"/>
  <c r="O12" i="1011"/>
  <c r="D13" i="1011"/>
  <c r="E13" i="1011"/>
  <c r="F13" i="1011"/>
  <c r="G13" i="1011"/>
  <c r="M13" i="1011"/>
  <c r="O13" i="1011"/>
  <c r="D14" i="1011"/>
  <c r="E14" i="1011"/>
  <c r="F14" i="1011"/>
  <c r="G14" i="1011"/>
  <c r="M14" i="1011"/>
  <c r="O14" i="1011"/>
  <c r="D15" i="1011"/>
  <c r="E15" i="1011"/>
  <c r="F15" i="1011"/>
  <c r="G15" i="1011"/>
  <c r="M15" i="1011"/>
  <c r="O15" i="1011"/>
  <c r="AX56" i="1011"/>
  <c r="AW56" i="1011"/>
  <c r="AV56" i="1011"/>
  <c r="AU56" i="1011"/>
  <c r="AT56" i="1011"/>
  <c r="AS56" i="1011"/>
  <c r="AR56" i="1011"/>
  <c r="AQ56" i="1011"/>
  <c r="AP56" i="1011"/>
  <c r="AO56" i="1011"/>
  <c r="AN56" i="1011"/>
  <c r="AM56" i="1011"/>
  <c r="AL56" i="1011"/>
  <c r="AK56" i="1011"/>
  <c r="AJ56" i="1011"/>
  <c r="AI56" i="1011"/>
  <c r="AH56" i="1011"/>
  <c r="AG56" i="1011"/>
  <c r="AF56" i="1011"/>
  <c r="AE56" i="1011"/>
  <c r="AD56" i="1011"/>
  <c r="AC56" i="1011"/>
  <c r="AB56" i="1011"/>
  <c r="AX55" i="1011"/>
  <c r="AW55" i="1011"/>
  <c r="AV55" i="1011"/>
  <c r="AU55" i="1011"/>
  <c r="AT55" i="1011"/>
  <c r="AS55" i="1011"/>
  <c r="AR55" i="1011"/>
  <c r="AQ55" i="1011"/>
  <c r="AP55" i="1011"/>
  <c r="AO55" i="1011"/>
  <c r="AN55" i="1011"/>
  <c r="AM55" i="1011"/>
  <c r="AL55" i="1011"/>
  <c r="AK55" i="1011"/>
  <c r="AJ55" i="1011"/>
  <c r="AI55" i="1011"/>
  <c r="AH55" i="1011"/>
  <c r="AG55" i="1011"/>
  <c r="AF55" i="1011"/>
  <c r="AE55" i="1011"/>
  <c r="AD55" i="1011"/>
  <c r="AC55" i="1011"/>
  <c r="AB55" i="1011"/>
  <c r="AX54" i="1011"/>
  <c r="AW54" i="1011"/>
  <c r="AV54" i="1011"/>
  <c r="AU54" i="1011"/>
  <c r="AT54" i="1011"/>
  <c r="AS54" i="1011"/>
  <c r="AR54" i="1011"/>
  <c r="AQ54" i="1011"/>
  <c r="AP54" i="1011"/>
  <c r="AO54" i="1011"/>
  <c r="AN54" i="1011"/>
  <c r="AM54" i="1011"/>
  <c r="AL54" i="1011"/>
  <c r="AK54" i="1011"/>
  <c r="AJ54" i="1011"/>
  <c r="AI54" i="1011"/>
  <c r="AH54" i="1011"/>
  <c r="AG54" i="1011"/>
  <c r="AF54" i="1011"/>
  <c r="AE54" i="1011"/>
  <c r="AD54" i="1011"/>
  <c r="AC54" i="1011"/>
  <c r="AB54" i="1011"/>
  <c r="K49" i="1011"/>
  <c r="M40" i="1011"/>
  <c r="Z36" i="1011"/>
  <c r="Y36" i="1011"/>
  <c r="X36" i="1011"/>
  <c r="W36" i="1011"/>
  <c r="V36" i="1011"/>
  <c r="U36" i="1011"/>
  <c r="T36" i="1011"/>
  <c r="S36" i="1011"/>
  <c r="R36" i="1011"/>
  <c r="Z35" i="1011"/>
  <c r="Y35" i="1011"/>
  <c r="X35" i="1011"/>
  <c r="W35" i="1011"/>
  <c r="V35" i="1011"/>
  <c r="U35" i="1011"/>
  <c r="T35" i="1011"/>
  <c r="S35" i="1011"/>
  <c r="R35" i="1011"/>
  <c r="Z34" i="1011"/>
  <c r="Y34" i="1011"/>
  <c r="X34" i="1011"/>
  <c r="W34" i="1011"/>
  <c r="V34" i="1011"/>
  <c r="U34" i="1011"/>
  <c r="T34" i="1011"/>
  <c r="S34" i="1011"/>
  <c r="R34" i="1011"/>
  <c r="Z33" i="1011"/>
  <c r="Y33" i="1011"/>
  <c r="X33" i="1011"/>
  <c r="W33" i="1011"/>
  <c r="V33" i="1011"/>
  <c r="U33" i="1011"/>
  <c r="T33" i="1011"/>
  <c r="S33" i="1011"/>
  <c r="R33" i="1011"/>
  <c r="Z32" i="1011"/>
  <c r="Y32" i="1011"/>
  <c r="X32" i="1011"/>
  <c r="W32" i="1011"/>
  <c r="V32" i="1011"/>
  <c r="U32" i="1011"/>
  <c r="T32" i="1011"/>
  <c r="S32" i="1011"/>
  <c r="R32" i="1011"/>
  <c r="Z31" i="1011"/>
  <c r="Y31" i="1011"/>
  <c r="X31" i="1011"/>
  <c r="W31" i="1011"/>
  <c r="V31" i="1011"/>
  <c r="U31" i="1011"/>
  <c r="T31" i="1011"/>
  <c r="S31" i="1011"/>
  <c r="R31" i="1011"/>
  <c r="M31" i="1011"/>
  <c r="L31" i="1011"/>
  <c r="K31" i="1011"/>
  <c r="Z30" i="1011"/>
  <c r="Y30" i="1011"/>
  <c r="X30" i="1011"/>
  <c r="W30" i="1011"/>
  <c r="V30" i="1011"/>
  <c r="U30" i="1011"/>
  <c r="T30" i="1011"/>
  <c r="S30" i="1011"/>
  <c r="R30" i="1011"/>
  <c r="M30" i="1011"/>
  <c r="Z29" i="1011"/>
  <c r="Y29" i="1011"/>
  <c r="X29" i="1011"/>
  <c r="W29" i="1011"/>
  <c r="V29" i="1011"/>
  <c r="U29" i="1011"/>
  <c r="T29" i="1011"/>
  <c r="S29" i="1011"/>
  <c r="R29" i="1011"/>
  <c r="Z28" i="1011"/>
  <c r="Y28" i="1011"/>
  <c r="X28" i="1011"/>
  <c r="W28" i="1011"/>
  <c r="V28" i="1011"/>
  <c r="U28" i="1011"/>
  <c r="T28" i="1011"/>
  <c r="S28" i="1011"/>
  <c r="R28" i="1011"/>
  <c r="M28" i="1011"/>
  <c r="Z27" i="1011"/>
  <c r="Y27" i="1011"/>
  <c r="X27" i="1011"/>
  <c r="W27" i="1011"/>
  <c r="V27" i="1011"/>
  <c r="U27" i="1011"/>
  <c r="T27" i="1011"/>
  <c r="S27" i="1011"/>
  <c r="R27" i="1011"/>
  <c r="M27" i="1011"/>
  <c r="L27" i="1011"/>
  <c r="K27" i="1011"/>
  <c r="Z26" i="1011"/>
  <c r="Y26" i="1011"/>
  <c r="X26" i="1011"/>
  <c r="W26" i="1011"/>
  <c r="V26" i="1011"/>
  <c r="U26" i="1011"/>
  <c r="T26" i="1011"/>
  <c r="S26" i="1011"/>
  <c r="R26" i="1011"/>
  <c r="K26" i="1011"/>
  <c r="Z25" i="1011"/>
  <c r="Y25" i="1011"/>
  <c r="X25" i="1011"/>
  <c r="W25" i="1011"/>
  <c r="V25" i="1011"/>
  <c r="U25" i="1011"/>
  <c r="T25" i="1011"/>
  <c r="S25" i="1011"/>
  <c r="R25" i="1011"/>
  <c r="Z24" i="1011"/>
  <c r="Y24" i="1011"/>
  <c r="X24" i="1011"/>
  <c r="W24" i="1011"/>
  <c r="V24" i="1011"/>
  <c r="U24" i="1011"/>
  <c r="T24" i="1011"/>
  <c r="S24" i="1011"/>
  <c r="R24" i="1011"/>
  <c r="Z23" i="1011"/>
  <c r="Y23" i="1011"/>
  <c r="X23" i="1011"/>
  <c r="W23" i="1011"/>
  <c r="V23" i="1011"/>
  <c r="U23" i="1011"/>
  <c r="T23" i="1011"/>
  <c r="S23" i="1011"/>
  <c r="R23" i="1011"/>
  <c r="Z22" i="1011"/>
  <c r="Y22" i="1011"/>
  <c r="X22" i="1011"/>
  <c r="W22" i="1011"/>
  <c r="V22" i="1011"/>
  <c r="U22" i="1011"/>
  <c r="T22" i="1011"/>
  <c r="S22" i="1011"/>
  <c r="R22" i="1011"/>
  <c r="Z21" i="1011"/>
  <c r="Y21" i="1011"/>
  <c r="X21" i="1011"/>
  <c r="W21" i="1011"/>
  <c r="V21" i="1011"/>
  <c r="U21" i="1011"/>
  <c r="T21" i="1011"/>
  <c r="S21" i="1011"/>
  <c r="R21" i="1011"/>
  <c r="Z20" i="1011"/>
  <c r="Y20" i="1011"/>
  <c r="X20" i="1011"/>
  <c r="W20" i="1011"/>
  <c r="V20" i="1011"/>
  <c r="U20" i="1011"/>
  <c r="T20" i="1011"/>
  <c r="S20" i="1011"/>
  <c r="R20" i="1011"/>
  <c r="Z19" i="1011"/>
  <c r="Y19" i="1011"/>
  <c r="X19" i="1011"/>
  <c r="W19" i="1011"/>
  <c r="V19" i="1011"/>
  <c r="U19" i="1011"/>
  <c r="T19" i="1011"/>
  <c r="S19" i="1011"/>
  <c r="R19" i="1011"/>
  <c r="Z18" i="1011"/>
  <c r="Y18" i="1011"/>
  <c r="X18" i="1011"/>
  <c r="W18" i="1011"/>
  <c r="V18" i="1011"/>
  <c r="U18" i="1011"/>
  <c r="T18" i="1011"/>
  <c r="S18" i="1011"/>
  <c r="R18" i="1011"/>
  <c r="Z17" i="1011"/>
  <c r="Y17" i="1011"/>
  <c r="X17" i="1011"/>
  <c r="W17" i="1011"/>
  <c r="V17" i="1011"/>
  <c r="U17" i="1011"/>
  <c r="T17" i="1011"/>
  <c r="S17" i="1011"/>
  <c r="R17" i="1011"/>
  <c r="Z16" i="1011"/>
  <c r="Y16" i="1011"/>
  <c r="X16" i="1011"/>
  <c r="W16" i="1011"/>
  <c r="V16" i="1011"/>
  <c r="U16" i="1011"/>
  <c r="T16" i="1011"/>
  <c r="S16" i="1011"/>
  <c r="R16" i="1011"/>
  <c r="Z15" i="1011"/>
  <c r="Y15" i="1011"/>
  <c r="X15" i="1011"/>
  <c r="W15" i="1011"/>
  <c r="V15" i="1011"/>
  <c r="U15" i="1011"/>
  <c r="T15" i="1011"/>
  <c r="S15" i="1011"/>
  <c r="R15" i="1011"/>
  <c r="Z14" i="1011"/>
  <c r="Y14" i="1011"/>
  <c r="X14" i="1011"/>
  <c r="W14" i="1011"/>
  <c r="V14" i="1011"/>
  <c r="U14" i="1011"/>
  <c r="T14" i="1011"/>
  <c r="S14" i="1011"/>
  <c r="R14" i="1011"/>
  <c r="K53" i="1010"/>
  <c r="K72" i="1010" s="1"/>
  <c r="G53" i="1010"/>
  <c r="B53" i="1010"/>
  <c r="L39" i="1010"/>
  <c r="AX55" i="1010"/>
  <c r="AW55" i="1010"/>
  <c r="AV55" i="1010"/>
  <c r="AU55" i="1010"/>
  <c r="AT55" i="1010"/>
  <c r="AS55" i="1010"/>
  <c r="AR55" i="1010"/>
  <c r="AQ55" i="1010"/>
  <c r="AP55" i="1010"/>
  <c r="AO55" i="1010"/>
  <c r="AN55" i="1010"/>
  <c r="AM55" i="1010"/>
  <c r="AL55" i="1010"/>
  <c r="AK55" i="1010"/>
  <c r="AJ55" i="1010"/>
  <c r="AI55" i="1010"/>
  <c r="AH55" i="1010"/>
  <c r="AG55" i="1010"/>
  <c r="AF55" i="1010"/>
  <c r="AE55" i="1010"/>
  <c r="AD55" i="1010"/>
  <c r="AC55" i="1010"/>
  <c r="AB55" i="1010"/>
  <c r="AX54" i="1010"/>
  <c r="AW54" i="1010"/>
  <c r="AV54" i="1010"/>
  <c r="AU54" i="1010"/>
  <c r="AT54" i="1010"/>
  <c r="AS54" i="1010"/>
  <c r="AR54" i="1010"/>
  <c r="AQ54" i="1010"/>
  <c r="AP54" i="1010"/>
  <c r="AO54" i="1010"/>
  <c r="AN54" i="1010"/>
  <c r="AM54" i="1010"/>
  <c r="AL54" i="1010"/>
  <c r="AK54" i="1010"/>
  <c r="AJ54" i="1010"/>
  <c r="AI54" i="1010"/>
  <c r="AH54" i="1010"/>
  <c r="AG54" i="1010"/>
  <c r="AF54" i="1010"/>
  <c r="AE54" i="1010"/>
  <c r="AD54" i="1010"/>
  <c r="AC54" i="1010"/>
  <c r="AB54" i="1010"/>
  <c r="AX53" i="1010"/>
  <c r="AW53" i="1010"/>
  <c r="AV53" i="1010"/>
  <c r="AU53" i="1010"/>
  <c r="AT53" i="1010"/>
  <c r="AS53" i="1010"/>
  <c r="AR53" i="1010"/>
  <c r="AQ53" i="1010"/>
  <c r="AP53" i="1010"/>
  <c r="AO53" i="1010"/>
  <c r="AN53" i="1010"/>
  <c r="AM53" i="1010"/>
  <c r="AL53" i="1010"/>
  <c r="AK53" i="1010"/>
  <c r="AJ53" i="1010"/>
  <c r="AI53" i="1010"/>
  <c r="AH53" i="1010"/>
  <c r="AG53" i="1010"/>
  <c r="AF53" i="1010"/>
  <c r="AE53" i="1010"/>
  <c r="AD53" i="1010"/>
  <c r="AC53" i="1010"/>
  <c r="AB53" i="1010"/>
  <c r="K48" i="1010"/>
  <c r="M39" i="1010"/>
  <c r="Z35" i="1010"/>
  <c r="Y35" i="1010"/>
  <c r="X35" i="1010"/>
  <c r="W35" i="1010"/>
  <c r="V35" i="1010"/>
  <c r="U35" i="1010"/>
  <c r="T35" i="1010"/>
  <c r="S35" i="1010"/>
  <c r="R35" i="1010"/>
  <c r="Z34" i="1010"/>
  <c r="Y34" i="1010"/>
  <c r="X34" i="1010"/>
  <c r="W34" i="1010"/>
  <c r="V34" i="1010"/>
  <c r="U34" i="1010"/>
  <c r="T34" i="1010"/>
  <c r="S34" i="1010"/>
  <c r="R34" i="1010"/>
  <c r="Z33" i="1010"/>
  <c r="Y33" i="1010"/>
  <c r="X33" i="1010"/>
  <c r="W33" i="1010"/>
  <c r="V33" i="1010"/>
  <c r="U33" i="1010"/>
  <c r="T33" i="1010"/>
  <c r="S33" i="1010"/>
  <c r="R33" i="1010"/>
  <c r="Z32" i="1010"/>
  <c r="Y32" i="1010"/>
  <c r="X32" i="1010"/>
  <c r="W32" i="1010"/>
  <c r="V32" i="1010"/>
  <c r="U32" i="1010"/>
  <c r="T32" i="1010"/>
  <c r="S32" i="1010"/>
  <c r="R32" i="1010"/>
  <c r="Z31" i="1010"/>
  <c r="Y31" i="1010"/>
  <c r="X31" i="1010"/>
  <c r="W31" i="1010"/>
  <c r="V31" i="1010"/>
  <c r="U31" i="1010"/>
  <c r="T31" i="1010"/>
  <c r="S31" i="1010"/>
  <c r="R31" i="1010"/>
  <c r="Z30" i="1010"/>
  <c r="Y30" i="1010"/>
  <c r="X30" i="1010"/>
  <c r="W30" i="1010"/>
  <c r="V30" i="1010"/>
  <c r="U30" i="1010"/>
  <c r="T30" i="1010"/>
  <c r="S30" i="1010"/>
  <c r="R30" i="1010"/>
  <c r="M30" i="1010"/>
  <c r="L30" i="1010"/>
  <c r="K30" i="1010"/>
  <c r="Z29" i="1010"/>
  <c r="Y29" i="1010"/>
  <c r="X29" i="1010"/>
  <c r="W29" i="1010"/>
  <c r="V29" i="1010"/>
  <c r="U29" i="1010"/>
  <c r="T29" i="1010"/>
  <c r="S29" i="1010"/>
  <c r="R29" i="1010"/>
  <c r="M29" i="1010"/>
  <c r="Z28" i="1010"/>
  <c r="Y28" i="1010"/>
  <c r="X28" i="1010"/>
  <c r="W28" i="1010"/>
  <c r="V28" i="1010"/>
  <c r="U28" i="1010"/>
  <c r="T28" i="1010"/>
  <c r="S28" i="1010"/>
  <c r="R28" i="1010"/>
  <c r="Z27" i="1010"/>
  <c r="Y27" i="1010"/>
  <c r="X27" i="1010"/>
  <c r="W27" i="1010"/>
  <c r="V27" i="1010"/>
  <c r="U27" i="1010"/>
  <c r="T27" i="1010"/>
  <c r="S27" i="1010"/>
  <c r="R27" i="1010"/>
  <c r="M27" i="1010"/>
  <c r="Z26" i="1010"/>
  <c r="Y26" i="1010"/>
  <c r="X26" i="1010"/>
  <c r="W26" i="1010"/>
  <c r="V26" i="1010"/>
  <c r="U26" i="1010"/>
  <c r="T26" i="1010"/>
  <c r="S26" i="1010"/>
  <c r="R26" i="1010"/>
  <c r="M26" i="1010"/>
  <c r="L26" i="1010"/>
  <c r="K26" i="1010"/>
  <c r="Z25" i="1010"/>
  <c r="Y25" i="1010"/>
  <c r="X25" i="1010"/>
  <c r="W25" i="1010"/>
  <c r="V25" i="1010"/>
  <c r="U25" i="1010"/>
  <c r="T25" i="1010"/>
  <c r="S25" i="1010"/>
  <c r="R25" i="1010"/>
  <c r="K25" i="1010"/>
  <c r="Z24" i="1010"/>
  <c r="Y24" i="1010"/>
  <c r="X24" i="1010"/>
  <c r="W24" i="1010"/>
  <c r="V24" i="1010"/>
  <c r="U24" i="1010"/>
  <c r="T24" i="1010"/>
  <c r="S24" i="1010"/>
  <c r="R24" i="1010"/>
  <c r="Z23" i="1010"/>
  <c r="Y23" i="1010"/>
  <c r="X23" i="1010"/>
  <c r="W23" i="1010"/>
  <c r="V23" i="1010"/>
  <c r="U23" i="1010"/>
  <c r="T23" i="1010"/>
  <c r="S23" i="1010"/>
  <c r="R23" i="1010"/>
  <c r="Z22" i="1010"/>
  <c r="Y22" i="1010"/>
  <c r="X22" i="1010"/>
  <c r="W22" i="1010"/>
  <c r="V22" i="1010"/>
  <c r="U22" i="1010"/>
  <c r="T22" i="1010"/>
  <c r="S22" i="1010"/>
  <c r="R22" i="1010"/>
  <c r="Z21" i="1010"/>
  <c r="Y21" i="1010"/>
  <c r="X21" i="1010"/>
  <c r="W21" i="1010"/>
  <c r="V21" i="1010"/>
  <c r="U21" i="1010"/>
  <c r="T21" i="1010"/>
  <c r="S21" i="1010"/>
  <c r="R21" i="1010"/>
  <c r="Z20" i="1010"/>
  <c r="Y20" i="1010"/>
  <c r="X20" i="1010"/>
  <c r="W20" i="1010"/>
  <c r="V20" i="1010"/>
  <c r="U20" i="1010"/>
  <c r="T20" i="1010"/>
  <c r="S20" i="1010"/>
  <c r="R20" i="1010"/>
  <c r="Z19" i="1010"/>
  <c r="Y19" i="1010"/>
  <c r="X19" i="1010"/>
  <c r="W19" i="1010"/>
  <c r="V19" i="1010"/>
  <c r="U19" i="1010"/>
  <c r="T19" i="1010"/>
  <c r="S19" i="1010"/>
  <c r="R19" i="1010"/>
  <c r="Z18" i="1010"/>
  <c r="Y18" i="1010"/>
  <c r="X18" i="1010"/>
  <c r="W18" i="1010"/>
  <c r="V18" i="1010"/>
  <c r="U18" i="1010"/>
  <c r="T18" i="1010"/>
  <c r="S18" i="1010"/>
  <c r="R18" i="1010"/>
  <c r="Z17" i="1010"/>
  <c r="Y17" i="1010"/>
  <c r="X17" i="1010"/>
  <c r="W17" i="1010"/>
  <c r="V17" i="1010"/>
  <c r="U17" i="1010"/>
  <c r="T17" i="1010"/>
  <c r="S17" i="1010"/>
  <c r="R17" i="1010"/>
  <c r="Z16" i="1010"/>
  <c r="Y16" i="1010"/>
  <c r="X16" i="1010"/>
  <c r="W16" i="1010"/>
  <c r="V16" i="1010"/>
  <c r="U16" i="1010"/>
  <c r="T16" i="1010"/>
  <c r="S16" i="1010"/>
  <c r="R16" i="1010"/>
  <c r="Z15" i="1010"/>
  <c r="Y15" i="1010"/>
  <c r="X15" i="1010"/>
  <c r="W15" i="1010"/>
  <c r="V15" i="1010"/>
  <c r="U15" i="1010"/>
  <c r="T15" i="1010"/>
  <c r="S15" i="1010"/>
  <c r="R15" i="1010"/>
  <c r="Z14" i="1010"/>
  <c r="Y14" i="1010"/>
  <c r="X14" i="1010"/>
  <c r="W14" i="1010"/>
  <c r="V14" i="1010"/>
  <c r="U14" i="1010"/>
  <c r="T14" i="1010"/>
  <c r="S14" i="1010"/>
  <c r="R14" i="1010"/>
  <c r="Z13" i="1010"/>
  <c r="Y13" i="1010"/>
  <c r="X13" i="1010"/>
  <c r="W13" i="1010"/>
  <c r="V13" i="1010"/>
  <c r="U13" i="1010"/>
  <c r="T13" i="1010"/>
  <c r="S13" i="1010"/>
  <c r="R13" i="1010"/>
  <c r="Z12" i="1010"/>
  <c r="Y12" i="1010"/>
  <c r="X12" i="1010"/>
  <c r="W12" i="1010"/>
  <c r="V12" i="1010"/>
  <c r="U12" i="1010"/>
  <c r="T12" i="1010"/>
  <c r="S12" i="1010"/>
  <c r="R12" i="1010"/>
  <c r="Z11" i="1010"/>
  <c r="Y11" i="1010"/>
  <c r="X11" i="1010"/>
  <c r="W11" i="1010"/>
  <c r="V11" i="1010"/>
  <c r="U11" i="1010"/>
  <c r="T11" i="1010"/>
  <c r="S11" i="1010"/>
  <c r="R11" i="1010"/>
  <c r="Z10" i="1010"/>
  <c r="Y10" i="1010"/>
  <c r="X10" i="1010"/>
  <c r="W10" i="1010"/>
  <c r="V10" i="1010"/>
  <c r="U10" i="1010"/>
  <c r="T10" i="1010"/>
  <c r="S10" i="1010"/>
  <c r="R10" i="1010"/>
  <c r="L39" i="1009"/>
  <c r="R10" i="1009"/>
  <c r="S10" i="1009"/>
  <c r="T10" i="1009"/>
  <c r="U10" i="1009"/>
  <c r="V10" i="1009"/>
  <c r="W10" i="1009"/>
  <c r="X10" i="1009"/>
  <c r="Y10" i="1009"/>
  <c r="Z10" i="1009"/>
  <c r="R11" i="1009"/>
  <c r="S11" i="1009"/>
  <c r="T11" i="1009"/>
  <c r="U11" i="1009"/>
  <c r="V11" i="1009"/>
  <c r="W11" i="1009"/>
  <c r="X11" i="1009"/>
  <c r="Y11" i="1009"/>
  <c r="Z11" i="1009"/>
  <c r="R12" i="1009"/>
  <c r="S12" i="1009"/>
  <c r="T12" i="1009"/>
  <c r="U12" i="1009"/>
  <c r="V12" i="1009"/>
  <c r="W12" i="1009"/>
  <c r="X12" i="1009"/>
  <c r="Y12" i="1009"/>
  <c r="Z12" i="1009"/>
  <c r="R13" i="1009"/>
  <c r="S13" i="1009"/>
  <c r="T13" i="1009"/>
  <c r="U13" i="1009"/>
  <c r="V13" i="1009"/>
  <c r="W13" i="1009"/>
  <c r="X13" i="1009"/>
  <c r="Y13" i="1009"/>
  <c r="Z13" i="1009"/>
  <c r="R14" i="1009"/>
  <c r="S14" i="1009"/>
  <c r="T14" i="1009"/>
  <c r="U14" i="1009"/>
  <c r="V14" i="1009"/>
  <c r="W14" i="1009"/>
  <c r="X14" i="1009"/>
  <c r="Y14" i="1009"/>
  <c r="Z14" i="1009"/>
  <c r="R15" i="1009"/>
  <c r="S15" i="1009"/>
  <c r="T15" i="1009"/>
  <c r="U15" i="1009"/>
  <c r="V15" i="1009"/>
  <c r="W15" i="1009"/>
  <c r="X15" i="1009"/>
  <c r="Y15" i="1009"/>
  <c r="Z15" i="1009"/>
  <c r="R16" i="1009"/>
  <c r="S16" i="1009"/>
  <c r="T16" i="1009"/>
  <c r="U16" i="1009"/>
  <c r="V16" i="1009"/>
  <c r="W16" i="1009"/>
  <c r="X16" i="1009"/>
  <c r="Y16" i="1009"/>
  <c r="Z16" i="1009"/>
  <c r="R17" i="1009"/>
  <c r="S17" i="1009"/>
  <c r="T17" i="1009"/>
  <c r="U17" i="1009"/>
  <c r="V17" i="1009"/>
  <c r="W17" i="1009"/>
  <c r="X17" i="1009"/>
  <c r="Y17" i="1009"/>
  <c r="Z17" i="1009"/>
  <c r="R18" i="1009"/>
  <c r="S18" i="1009"/>
  <c r="T18" i="1009"/>
  <c r="U18" i="1009"/>
  <c r="V18" i="1009"/>
  <c r="W18" i="1009"/>
  <c r="X18" i="1009"/>
  <c r="Y18" i="1009"/>
  <c r="Z18" i="1009"/>
  <c r="M10" i="1009"/>
  <c r="O10" i="1009"/>
  <c r="M11" i="1009"/>
  <c r="O11" i="1009"/>
  <c r="M12" i="1009"/>
  <c r="O12" i="1009"/>
  <c r="M13" i="1009"/>
  <c r="O13" i="1009"/>
  <c r="M14" i="1009"/>
  <c r="O14" i="1009"/>
  <c r="M15" i="1009"/>
  <c r="O15" i="1009"/>
  <c r="M16" i="1009"/>
  <c r="O16" i="1009"/>
  <c r="M17" i="1009"/>
  <c r="O17" i="1009"/>
  <c r="D15" i="1009"/>
  <c r="E15" i="1009"/>
  <c r="F15" i="1009"/>
  <c r="G15" i="1009"/>
  <c r="D16" i="1009"/>
  <c r="E16" i="1009"/>
  <c r="F16" i="1009"/>
  <c r="G16" i="1009"/>
  <c r="D17" i="1009"/>
  <c r="E17" i="1009"/>
  <c r="F17" i="1009"/>
  <c r="G17" i="1009"/>
  <c r="D10" i="1009"/>
  <c r="E10" i="1009"/>
  <c r="F10" i="1009"/>
  <c r="G10" i="1009"/>
  <c r="D11" i="1009"/>
  <c r="E11" i="1009"/>
  <c r="F11" i="1009"/>
  <c r="G11" i="1009"/>
  <c r="D12" i="1009"/>
  <c r="E12" i="1009"/>
  <c r="F12" i="1009"/>
  <c r="G12" i="1009"/>
  <c r="D13" i="1009"/>
  <c r="E13" i="1009"/>
  <c r="F13" i="1009"/>
  <c r="G13" i="1009"/>
  <c r="D14" i="1009"/>
  <c r="E14" i="1009"/>
  <c r="F14" i="1009"/>
  <c r="G14" i="1009"/>
  <c r="K67" i="1009"/>
  <c r="AX55" i="1009"/>
  <c r="AW55" i="1009"/>
  <c r="AV55" i="1009"/>
  <c r="AU55" i="1009"/>
  <c r="AT55" i="1009"/>
  <c r="AS55" i="1009"/>
  <c r="AR55" i="1009"/>
  <c r="AQ55" i="1009"/>
  <c r="AP55" i="1009"/>
  <c r="AO55" i="1009"/>
  <c r="AN55" i="1009"/>
  <c r="AM55" i="1009"/>
  <c r="AL55" i="1009"/>
  <c r="AK55" i="1009"/>
  <c r="AJ55" i="1009"/>
  <c r="AI55" i="1009"/>
  <c r="AH55" i="1009"/>
  <c r="AG55" i="1009"/>
  <c r="AF55" i="1009"/>
  <c r="AE55" i="1009"/>
  <c r="AD55" i="1009"/>
  <c r="AC55" i="1009"/>
  <c r="AB55" i="1009"/>
  <c r="AX54" i="1009"/>
  <c r="AW54" i="1009"/>
  <c r="AV54" i="1009"/>
  <c r="AU54" i="1009"/>
  <c r="AT54" i="1009"/>
  <c r="AS54" i="1009"/>
  <c r="AR54" i="1009"/>
  <c r="AQ54" i="1009"/>
  <c r="AP54" i="1009"/>
  <c r="AO54" i="1009"/>
  <c r="AN54" i="1009"/>
  <c r="AM54" i="1009"/>
  <c r="AL54" i="1009"/>
  <c r="AK54" i="1009"/>
  <c r="AJ54" i="1009"/>
  <c r="AI54" i="1009"/>
  <c r="AH54" i="1009"/>
  <c r="AG54" i="1009"/>
  <c r="AF54" i="1009"/>
  <c r="AE54" i="1009"/>
  <c r="AD54" i="1009"/>
  <c r="AC54" i="1009"/>
  <c r="AB54" i="1009"/>
  <c r="AX53" i="1009"/>
  <c r="AW53" i="1009"/>
  <c r="AV53" i="1009"/>
  <c r="AU53" i="1009"/>
  <c r="AT53" i="1009"/>
  <c r="AS53" i="1009"/>
  <c r="AR53" i="1009"/>
  <c r="AQ53" i="1009"/>
  <c r="AP53" i="1009"/>
  <c r="AO53" i="1009"/>
  <c r="AN53" i="1009"/>
  <c r="AM53" i="1009"/>
  <c r="AL53" i="1009"/>
  <c r="AK53" i="1009"/>
  <c r="AJ53" i="1009"/>
  <c r="AI53" i="1009"/>
  <c r="AH53" i="1009"/>
  <c r="AG53" i="1009"/>
  <c r="AF53" i="1009"/>
  <c r="AE53" i="1009"/>
  <c r="AD53" i="1009"/>
  <c r="AC53" i="1009"/>
  <c r="AB53" i="1009"/>
  <c r="K48" i="1009"/>
  <c r="M39" i="1009"/>
  <c r="Z35" i="1009"/>
  <c r="Y35" i="1009"/>
  <c r="X35" i="1009"/>
  <c r="W35" i="1009"/>
  <c r="V35" i="1009"/>
  <c r="U35" i="1009"/>
  <c r="T35" i="1009"/>
  <c r="S35" i="1009"/>
  <c r="R35" i="1009"/>
  <c r="Z34" i="1009"/>
  <c r="Y34" i="1009"/>
  <c r="X34" i="1009"/>
  <c r="W34" i="1009"/>
  <c r="V34" i="1009"/>
  <c r="U34" i="1009"/>
  <c r="T34" i="1009"/>
  <c r="S34" i="1009"/>
  <c r="R34" i="1009"/>
  <c r="Z33" i="1009"/>
  <c r="Y33" i="1009"/>
  <c r="X33" i="1009"/>
  <c r="W33" i="1009"/>
  <c r="V33" i="1009"/>
  <c r="U33" i="1009"/>
  <c r="T33" i="1009"/>
  <c r="S33" i="1009"/>
  <c r="R33" i="1009"/>
  <c r="Z32" i="1009"/>
  <c r="Y32" i="1009"/>
  <c r="X32" i="1009"/>
  <c r="W32" i="1009"/>
  <c r="V32" i="1009"/>
  <c r="U32" i="1009"/>
  <c r="T32" i="1009"/>
  <c r="S32" i="1009"/>
  <c r="R32" i="1009"/>
  <c r="Z31" i="1009"/>
  <c r="Y31" i="1009"/>
  <c r="X31" i="1009"/>
  <c r="W31" i="1009"/>
  <c r="V31" i="1009"/>
  <c r="U31" i="1009"/>
  <c r="T31" i="1009"/>
  <c r="S31" i="1009"/>
  <c r="R31" i="1009"/>
  <c r="Z30" i="1009"/>
  <c r="Y30" i="1009"/>
  <c r="X30" i="1009"/>
  <c r="W30" i="1009"/>
  <c r="V30" i="1009"/>
  <c r="U30" i="1009"/>
  <c r="T30" i="1009"/>
  <c r="S30" i="1009"/>
  <c r="R30" i="1009"/>
  <c r="M30" i="1009"/>
  <c r="L30" i="1009"/>
  <c r="K30" i="1009"/>
  <c r="Z29" i="1009"/>
  <c r="Y29" i="1009"/>
  <c r="X29" i="1009"/>
  <c r="W29" i="1009"/>
  <c r="V29" i="1009"/>
  <c r="U29" i="1009"/>
  <c r="T29" i="1009"/>
  <c r="S29" i="1009"/>
  <c r="R29" i="1009"/>
  <c r="M29" i="1009"/>
  <c r="Z28" i="1009"/>
  <c r="Y28" i="1009"/>
  <c r="X28" i="1009"/>
  <c r="W28" i="1009"/>
  <c r="V28" i="1009"/>
  <c r="U28" i="1009"/>
  <c r="T28" i="1009"/>
  <c r="S28" i="1009"/>
  <c r="R28" i="1009"/>
  <c r="Z27" i="1009"/>
  <c r="Y27" i="1009"/>
  <c r="X27" i="1009"/>
  <c r="W27" i="1009"/>
  <c r="V27" i="1009"/>
  <c r="U27" i="1009"/>
  <c r="T27" i="1009"/>
  <c r="S27" i="1009"/>
  <c r="R27" i="1009"/>
  <c r="M27" i="1009"/>
  <c r="Z26" i="1009"/>
  <c r="Y26" i="1009"/>
  <c r="X26" i="1009"/>
  <c r="W26" i="1009"/>
  <c r="V26" i="1009"/>
  <c r="U26" i="1009"/>
  <c r="T26" i="1009"/>
  <c r="S26" i="1009"/>
  <c r="R26" i="1009"/>
  <c r="M26" i="1009"/>
  <c r="L26" i="1009"/>
  <c r="K26" i="1009"/>
  <c r="Z25" i="1009"/>
  <c r="Y25" i="1009"/>
  <c r="X25" i="1009"/>
  <c r="W25" i="1009"/>
  <c r="V25" i="1009"/>
  <c r="U25" i="1009"/>
  <c r="T25" i="1009"/>
  <c r="S25" i="1009"/>
  <c r="R25" i="1009"/>
  <c r="K25" i="1009"/>
  <c r="Z24" i="1009"/>
  <c r="Y24" i="1009"/>
  <c r="X24" i="1009"/>
  <c r="W24" i="1009"/>
  <c r="V24" i="1009"/>
  <c r="U24" i="1009"/>
  <c r="T24" i="1009"/>
  <c r="S24" i="1009"/>
  <c r="R24" i="1009"/>
  <c r="Z23" i="1009"/>
  <c r="Y23" i="1009"/>
  <c r="X23" i="1009"/>
  <c r="W23" i="1009"/>
  <c r="V23" i="1009"/>
  <c r="U23" i="1009"/>
  <c r="T23" i="1009"/>
  <c r="S23" i="1009"/>
  <c r="R23" i="1009"/>
  <c r="Z22" i="1009"/>
  <c r="Y22" i="1009"/>
  <c r="X22" i="1009"/>
  <c r="W22" i="1009"/>
  <c r="V22" i="1009"/>
  <c r="U22" i="1009"/>
  <c r="T22" i="1009"/>
  <c r="S22" i="1009"/>
  <c r="R22" i="1009"/>
  <c r="Z21" i="1009"/>
  <c r="Y21" i="1009"/>
  <c r="X21" i="1009"/>
  <c r="W21" i="1009"/>
  <c r="V21" i="1009"/>
  <c r="U21" i="1009"/>
  <c r="T21" i="1009"/>
  <c r="S21" i="1009"/>
  <c r="R21" i="1009"/>
  <c r="Z20" i="1009"/>
  <c r="Y20" i="1009"/>
  <c r="X20" i="1009"/>
  <c r="W20" i="1009"/>
  <c r="V20" i="1009"/>
  <c r="U20" i="1009"/>
  <c r="T20" i="1009"/>
  <c r="S20" i="1009"/>
  <c r="R20" i="1009"/>
  <c r="Z19" i="1009"/>
  <c r="Y19" i="1009"/>
  <c r="X19" i="1009"/>
  <c r="W19" i="1009"/>
  <c r="V19" i="1009"/>
  <c r="U19" i="1009"/>
  <c r="T19" i="1009"/>
  <c r="S19" i="1009"/>
  <c r="R19" i="1009"/>
  <c r="L40" i="1008"/>
  <c r="K26" i="1008"/>
  <c r="R11" i="1008"/>
  <c r="S11" i="1008"/>
  <c r="T11" i="1008"/>
  <c r="U11" i="1008"/>
  <c r="V11" i="1008"/>
  <c r="W11" i="1008"/>
  <c r="X11" i="1008"/>
  <c r="Y11" i="1008"/>
  <c r="Z11" i="1008"/>
  <c r="R12" i="1008"/>
  <c r="S12" i="1008"/>
  <c r="T12" i="1008"/>
  <c r="U12" i="1008"/>
  <c r="V12" i="1008"/>
  <c r="W12" i="1008"/>
  <c r="X12" i="1008"/>
  <c r="Y12" i="1008"/>
  <c r="Z12" i="1008"/>
  <c r="R13" i="1008"/>
  <c r="S13" i="1008"/>
  <c r="T13" i="1008"/>
  <c r="U13" i="1008"/>
  <c r="V13" i="1008"/>
  <c r="W13" i="1008"/>
  <c r="X13" i="1008"/>
  <c r="Y13" i="1008"/>
  <c r="Z13" i="1008"/>
  <c r="R14" i="1008"/>
  <c r="S14" i="1008"/>
  <c r="T14" i="1008"/>
  <c r="U14" i="1008"/>
  <c r="V14" i="1008"/>
  <c r="W14" i="1008"/>
  <c r="X14" i="1008"/>
  <c r="Y14" i="1008"/>
  <c r="Z14" i="1008"/>
  <c r="R15" i="1008"/>
  <c r="S15" i="1008"/>
  <c r="T15" i="1008"/>
  <c r="U15" i="1008"/>
  <c r="V15" i="1008"/>
  <c r="W15" i="1008"/>
  <c r="X15" i="1008"/>
  <c r="Y15" i="1008"/>
  <c r="Z15" i="1008"/>
  <c r="R16" i="1008"/>
  <c r="S16" i="1008"/>
  <c r="T16" i="1008"/>
  <c r="U16" i="1008"/>
  <c r="V16" i="1008"/>
  <c r="W16" i="1008"/>
  <c r="X16" i="1008"/>
  <c r="Y16" i="1008"/>
  <c r="Z16" i="1008"/>
  <c r="R17" i="1008"/>
  <c r="S17" i="1008"/>
  <c r="T17" i="1008"/>
  <c r="U17" i="1008"/>
  <c r="V17" i="1008"/>
  <c r="W17" i="1008"/>
  <c r="X17" i="1008"/>
  <c r="Y17" i="1008"/>
  <c r="Z17" i="1008"/>
  <c r="R18" i="1008"/>
  <c r="S18" i="1008"/>
  <c r="T18" i="1008"/>
  <c r="U18" i="1008"/>
  <c r="V18" i="1008"/>
  <c r="W18" i="1008"/>
  <c r="X18" i="1008"/>
  <c r="Y18" i="1008"/>
  <c r="Z18" i="1008"/>
  <c r="R19" i="1008"/>
  <c r="S19" i="1008"/>
  <c r="T19" i="1008"/>
  <c r="U19" i="1008"/>
  <c r="V19" i="1008"/>
  <c r="W19" i="1008"/>
  <c r="X19" i="1008"/>
  <c r="Y19" i="1008"/>
  <c r="Z19" i="1008"/>
  <c r="R20" i="1008"/>
  <c r="S20" i="1008"/>
  <c r="T20" i="1008"/>
  <c r="U20" i="1008"/>
  <c r="V20" i="1008"/>
  <c r="W20" i="1008"/>
  <c r="X20" i="1008"/>
  <c r="Y20" i="1008"/>
  <c r="Z20" i="1008"/>
  <c r="R21" i="1008"/>
  <c r="S21" i="1008"/>
  <c r="T21" i="1008"/>
  <c r="U21" i="1008"/>
  <c r="V21" i="1008"/>
  <c r="W21" i="1008"/>
  <c r="X21" i="1008"/>
  <c r="Y21" i="1008"/>
  <c r="Z21" i="1008"/>
  <c r="R22" i="1008"/>
  <c r="S22" i="1008"/>
  <c r="T22" i="1008"/>
  <c r="U22" i="1008"/>
  <c r="V22" i="1008"/>
  <c r="W22" i="1008"/>
  <c r="X22" i="1008"/>
  <c r="Y22" i="1008"/>
  <c r="Z22" i="1008"/>
  <c r="R23" i="1008"/>
  <c r="S23" i="1008"/>
  <c r="T23" i="1008"/>
  <c r="U23" i="1008"/>
  <c r="V23" i="1008"/>
  <c r="W23" i="1008"/>
  <c r="X23" i="1008"/>
  <c r="Y23" i="1008"/>
  <c r="Z23" i="1008"/>
  <c r="R24" i="1008"/>
  <c r="S24" i="1008"/>
  <c r="T24" i="1008"/>
  <c r="U24" i="1008"/>
  <c r="V24" i="1008"/>
  <c r="W24" i="1008"/>
  <c r="X24" i="1008"/>
  <c r="Y24" i="1008"/>
  <c r="Z24" i="1008"/>
  <c r="R25" i="1008"/>
  <c r="S25" i="1008"/>
  <c r="T25" i="1008"/>
  <c r="U25" i="1008"/>
  <c r="V25" i="1008"/>
  <c r="W25" i="1008"/>
  <c r="X25" i="1008"/>
  <c r="Y25" i="1008"/>
  <c r="Z25" i="1008"/>
  <c r="R26" i="1008"/>
  <c r="S26" i="1008"/>
  <c r="T26" i="1008"/>
  <c r="U26" i="1008"/>
  <c r="V26" i="1008"/>
  <c r="W26" i="1008"/>
  <c r="X26" i="1008"/>
  <c r="Y26" i="1008"/>
  <c r="Z26" i="1008"/>
  <c r="R27" i="1008"/>
  <c r="S27" i="1008"/>
  <c r="T27" i="1008"/>
  <c r="U27" i="1008"/>
  <c r="V27" i="1008"/>
  <c r="W27" i="1008"/>
  <c r="X27" i="1008"/>
  <c r="Y27" i="1008"/>
  <c r="Z27" i="1008"/>
  <c r="R28" i="1008"/>
  <c r="S28" i="1008"/>
  <c r="T28" i="1008"/>
  <c r="U28" i="1008"/>
  <c r="V28" i="1008"/>
  <c r="W28" i="1008"/>
  <c r="X28" i="1008"/>
  <c r="Y28" i="1008"/>
  <c r="Z28" i="1008"/>
  <c r="R29" i="1008"/>
  <c r="S29" i="1008"/>
  <c r="T29" i="1008"/>
  <c r="U29" i="1008"/>
  <c r="V29" i="1008"/>
  <c r="W29" i="1008"/>
  <c r="X29" i="1008"/>
  <c r="Y29" i="1008"/>
  <c r="Z29" i="1008"/>
  <c r="I10" i="1008"/>
  <c r="J10" i="1008"/>
  <c r="L10" i="1008"/>
  <c r="M10" i="1008"/>
  <c r="N10" i="1008"/>
  <c r="I11" i="1008"/>
  <c r="J11" i="1008"/>
  <c r="L11" i="1008"/>
  <c r="M11" i="1008"/>
  <c r="N11" i="1008"/>
  <c r="I12" i="1008"/>
  <c r="J12" i="1008"/>
  <c r="L12" i="1008"/>
  <c r="M12" i="1008"/>
  <c r="N12" i="1008"/>
  <c r="I13" i="1008"/>
  <c r="J13" i="1008"/>
  <c r="L13" i="1008"/>
  <c r="M13" i="1008"/>
  <c r="N13" i="1008"/>
  <c r="I14" i="1008"/>
  <c r="J14" i="1008"/>
  <c r="L14" i="1008"/>
  <c r="M14" i="1008"/>
  <c r="N14" i="1008"/>
  <c r="I15" i="1008"/>
  <c r="J15" i="1008"/>
  <c r="L15" i="1008"/>
  <c r="M15" i="1008"/>
  <c r="N15" i="1008"/>
  <c r="I16" i="1008"/>
  <c r="J16" i="1008"/>
  <c r="L16" i="1008"/>
  <c r="M16" i="1008"/>
  <c r="N16" i="1008"/>
  <c r="L17" i="1008"/>
  <c r="M17" i="1008"/>
  <c r="N17" i="1008"/>
  <c r="C10" i="1008"/>
  <c r="D10" i="1008"/>
  <c r="E10" i="1008"/>
  <c r="F10" i="1008"/>
  <c r="G10" i="1008"/>
  <c r="C11" i="1008"/>
  <c r="D11" i="1008"/>
  <c r="E11" i="1008"/>
  <c r="F11" i="1008"/>
  <c r="G11" i="1008"/>
  <c r="C12" i="1008"/>
  <c r="D12" i="1008"/>
  <c r="E12" i="1008"/>
  <c r="F12" i="1008"/>
  <c r="G12" i="1008"/>
  <c r="C13" i="1008"/>
  <c r="D13" i="1008"/>
  <c r="E13" i="1008"/>
  <c r="F13" i="1008"/>
  <c r="G13" i="1008"/>
  <c r="C14" i="1008"/>
  <c r="D14" i="1008"/>
  <c r="E14" i="1008"/>
  <c r="F14" i="1008"/>
  <c r="G14" i="1008"/>
  <c r="C15" i="1008"/>
  <c r="D15" i="1008"/>
  <c r="E15" i="1008"/>
  <c r="F15" i="1008"/>
  <c r="G15" i="1008"/>
  <c r="C16" i="1008"/>
  <c r="D16" i="1008"/>
  <c r="E16" i="1008"/>
  <c r="F16" i="1008"/>
  <c r="G16" i="1008"/>
  <c r="C17" i="1008"/>
  <c r="D17" i="1008"/>
  <c r="E17" i="1008"/>
  <c r="F17" i="1008"/>
  <c r="G17" i="1008"/>
  <c r="K68" i="1008"/>
  <c r="AX56" i="1008"/>
  <c r="AW56" i="1008"/>
  <c r="AV56" i="1008"/>
  <c r="AU56" i="1008"/>
  <c r="AT56" i="1008"/>
  <c r="AS56" i="1008"/>
  <c r="AR56" i="1008"/>
  <c r="AQ56" i="1008"/>
  <c r="AP56" i="1008"/>
  <c r="AO56" i="1008"/>
  <c r="AN56" i="1008"/>
  <c r="AM56" i="1008"/>
  <c r="AL56" i="1008"/>
  <c r="AK56" i="1008"/>
  <c r="AJ56" i="1008"/>
  <c r="AI56" i="1008"/>
  <c r="AH56" i="1008"/>
  <c r="AG56" i="1008"/>
  <c r="AF56" i="1008"/>
  <c r="AE56" i="1008"/>
  <c r="AD56" i="1008"/>
  <c r="AC56" i="1008"/>
  <c r="AB56" i="1008"/>
  <c r="AX55" i="1008"/>
  <c r="AW55" i="1008"/>
  <c r="AV55" i="1008"/>
  <c r="AU55" i="1008"/>
  <c r="AT55" i="1008"/>
  <c r="AS55" i="1008"/>
  <c r="AR55" i="1008"/>
  <c r="AQ55" i="1008"/>
  <c r="AP55" i="1008"/>
  <c r="AO55" i="1008"/>
  <c r="AN55" i="1008"/>
  <c r="AM55" i="1008"/>
  <c r="AL55" i="1008"/>
  <c r="AK55" i="1008"/>
  <c r="AJ55" i="1008"/>
  <c r="AI55" i="1008"/>
  <c r="AH55" i="1008"/>
  <c r="AG55" i="1008"/>
  <c r="AF55" i="1008"/>
  <c r="AE55" i="1008"/>
  <c r="AD55" i="1008"/>
  <c r="AC55" i="1008"/>
  <c r="AB55" i="1008"/>
  <c r="AX54" i="1008"/>
  <c r="AW54" i="1008"/>
  <c r="AV54" i="1008"/>
  <c r="AU54" i="1008"/>
  <c r="AT54" i="1008"/>
  <c r="AS54" i="1008"/>
  <c r="AR54" i="1008"/>
  <c r="AQ54" i="1008"/>
  <c r="AP54" i="1008"/>
  <c r="AO54" i="1008"/>
  <c r="AN54" i="1008"/>
  <c r="AM54" i="1008"/>
  <c r="AL54" i="1008"/>
  <c r="AK54" i="1008"/>
  <c r="AJ54" i="1008"/>
  <c r="AI54" i="1008"/>
  <c r="AH54" i="1008"/>
  <c r="AG54" i="1008"/>
  <c r="AF54" i="1008"/>
  <c r="AE54" i="1008"/>
  <c r="AD54" i="1008"/>
  <c r="AC54" i="1008"/>
  <c r="AB54" i="1008"/>
  <c r="K49" i="1008"/>
  <c r="M40" i="1008" s="1"/>
  <c r="Z36" i="1008"/>
  <c r="Y36" i="1008"/>
  <c r="X36" i="1008"/>
  <c r="W36" i="1008"/>
  <c r="V36" i="1008"/>
  <c r="U36" i="1008"/>
  <c r="T36" i="1008"/>
  <c r="S36" i="1008"/>
  <c r="R36" i="1008"/>
  <c r="Z35" i="1008"/>
  <c r="Y35" i="1008"/>
  <c r="X35" i="1008"/>
  <c r="W35" i="1008"/>
  <c r="V35" i="1008"/>
  <c r="U35" i="1008"/>
  <c r="T35" i="1008"/>
  <c r="S35" i="1008"/>
  <c r="R35" i="1008"/>
  <c r="Z34" i="1008"/>
  <c r="Y34" i="1008"/>
  <c r="X34" i="1008"/>
  <c r="W34" i="1008"/>
  <c r="V34" i="1008"/>
  <c r="U34" i="1008"/>
  <c r="T34" i="1008"/>
  <c r="S34" i="1008"/>
  <c r="R34" i="1008"/>
  <c r="Z33" i="1008"/>
  <c r="Y33" i="1008"/>
  <c r="X33" i="1008"/>
  <c r="W33" i="1008"/>
  <c r="V33" i="1008"/>
  <c r="U33" i="1008"/>
  <c r="T33" i="1008"/>
  <c r="S33" i="1008"/>
  <c r="R33" i="1008"/>
  <c r="Z32" i="1008"/>
  <c r="Y32" i="1008"/>
  <c r="X32" i="1008"/>
  <c r="W32" i="1008"/>
  <c r="V32" i="1008"/>
  <c r="U32" i="1008"/>
  <c r="T32" i="1008"/>
  <c r="S32" i="1008"/>
  <c r="R32" i="1008"/>
  <c r="Z31" i="1008"/>
  <c r="Y31" i="1008"/>
  <c r="X31" i="1008"/>
  <c r="W31" i="1008"/>
  <c r="V31" i="1008"/>
  <c r="U31" i="1008"/>
  <c r="T31" i="1008"/>
  <c r="S31" i="1008"/>
  <c r="R31" i="1008"/>
  <c r="M31" i="1008"/>
  <c r="L31" i="1008"/>
  <c r="K31" i="1008"/>
  <c r="Z30" i="1008"/>
  <c r="Y30" i="1008"/>
  <c r="X30" i="1008"/>
  <c r="W30" i="1008"/>
  <c r="V30" i="1008"/>
  <c r="U30" i="1008"/>
  <c r="T30" i="1008"/>
  <c r="S30" i="1008"/>
  <c r="R30" i="1008"/>
  <c r="M30" i="1008"/>
  <c r="M28" i="1008"/>
  <c r="M27" i="1008"/>
  <c r="L27" i="1008"/>
  <c r="K27" i="1008"/>
  <c r="Z10" i="1008"/>
  <c r="Y10" i="1008"/>
  <c r="X10" i="1008"/>
  <c r="W10" i="1008"/>
  <c r="V10" i="1008"/>
  <c r="U10" i="1008"/>
  <c r="T10" i="1008"/>
  <c r="S10" i="1008"/>
  <c r="R10" i="1008"/>
  <c r="M32" i="1007"/>
  <c r="L32" i="1007"/>
  <c r="K32" i="1007"/>
  <c r="O10" i="1007"/>
  <c r="N10" i="1007"/>
  <c r="M10" i="1007"/>
  <c r="L10" i="1007"/>
  <c r="K10" i="1007"/>
  <c r="J10" i="1007"/>
  <c r="I10" i="1007"/>
  <c r="G10" i="1007"/>
  <c r="F10" i="1007"/>
  <c r="E10" i="1007"/>
  <c r="D10" i="1007"/>
  <c r="C10" i="1007"/>
  <c r="R10" i="1007"/>
  <c r="S10" i="1007"/>
  <c r="T10" i="1007"/>
  <c r="U10" i="1007"/>
  <c r="V10" i="1007"/>
  <c r="W10" i="1007"/>
  <c r="X10" i="1007"/>
  <c r="Y10" i="1007"/>
  <c r="Z10" i="1007"/>
  <c r="L45" i="1014" l="1"/>
  <c r="M45" i="1014" s="1"/>
  <c r="L38" i="1013"/>
  <c r="M38" i="1013" s="1"/>
  <c r="J22" i="1012"/>
  <c r="J24" i="1013"/>
  <c r="M27" i="1007"/>
  <c r="L27" i="1007"/>
  <c r="K27" i="1007"/>
  <c r="C13" i="1007"/>
  <c r="D13" i="1007"/>
  <c r="E13" i="1007"/>
  <c r="F13" i="1007"/>
  <c r="G13" i="1007"/>
  <c r="I13" i="1007"/>
  <c r="J13" i="1007"/>
  <c r="L13" i="1007"/>
  <c r="M13" i="1007"/>
  <c r="N13" i="1007"/>
  <c r="O13" i="1007"/>
  <c r="C14" i="1007"/>
  <c r="D14" i="1007"/>
  <c r="E14" i="1007"/>
  <c r="F14" i="1007"/>
  <c r="G14" i="1007"/>
  <c r="I14" i="1007"/>
  <c r="J14" i="1007"/>
  <c r="L14" i="1007"/>
  <c r="M14" i="1007"/>
  <c r="N14" i="1007"/>
  <c r="O14" i="1007"/>
  <c r="C15" i="1007"/>
  <c r="D15" i="1007"/>
  <c r="E15" i="1007"/>
  <c r="F15" i="1007"/>
  <c r="G15" i="1007"/>
  <c r="I15" i="1007"/>
  <c r="J15" i="1007"/>
  <c r="L15" i="1007"/>
  <c r="M15" i="1007"/>
  <c r="N15" i="1007"/>
  <c r="O15" i="1007"/>
  <c r="O12" i="1007"/>
  <c r="N12" i="1007"/>
  <c r="M12" i="1007"/>
  <c r="L12" i="1007"/>
  <c r="J12" i="1007"/>
  <c r="I12" i="1007"/>
  <c r="G12" i="1007"/>
  <c r="F12" i="1007"/>
  <c r="E12" i="1007"/>
  <c r="D12" i="1007"/>
  <c r="C12" i="1007"/>
  <c r="K69" i="1007"/>
  <c r="AX57" i="1007"/>
  <c r="AW57" i="1007"/>
  <c r="AV57" i="1007"/>
  <c r="AU57" i="1007"/>
  <c r="AT57" i="1007"/>
  <c r="AS57" i="1007"/>
  <c r="AR57" i="1007"/>
  <c r="AQ57" i="1007"/>
  <c r="AP57" i="1007"/>
  <c r="AO57" i="1007"/>
  <c r="AN57" i="1007"/>
  <c r="AM57" i="1007"/>
  <c r="AL57" i="1007"/>
  <c r="AK57" i="1007"/>
  <c r="AJ57" i="1007"/>
  <c r="AI57" i="1007"/>
  <c r="AH57" i="1007"/>
  <c r="AG57" i="1007"/>
  <c r="AF57" i="1007"/>
  <c r="AE57" i="1007"/>
  <c r="AD57" i="1007"/>
  <c r="AC57" i="1007"/>
  <c r="AB57" i="1007"/>
  <c r="AX56" i="1007"/>
  <c r="AW56" i="1007"/>
  <c r="AV56" i="1007"/>
  <c r="AU56" i="1007"/>
  <c r="AT56" i="1007"/>
  <c r="AS56" i="1007"/>
  <c r="AR56" i="1007"/>
  <c r="AQ56" i="1007"/>
  <c r="AP56" i="1007"/>
  <c r="AO56" i="1007"/>
  <c r="AN56" i="1007"/>
  <c r="AM56" i="1007"/>
  <c r="AL56" i="1007"/>
  <c r="AK56" i="1007"/>
  <c r="AJ56" i="1007"/>
  <c r="AI56" i="1007"/>
  <c r="AH56" i="1007"/>
  <c r="AG56" i="1007"/>
  <c r="AF56" i="1007"/>
  <c r="AE56" i="1007"/>
  <c r="AD56" i="1007"/>
  <c r="AC56" i="1007"/>
  <c r="AB56" i="1007"/>
  <c r="AX55" i="1007"/>
  <c r="AW55" i="1007"/>
  <c r="AV55" i="1007"/>
  <c r="AU55" i="1007"/>
  <c r="AT55" i="1007"/>
  <c r="AS55" i="1007"/>
  <c r="AR55" i="1007"/>
  <c r="AQ55" i="1007"/>
  <c r="AP55" i="1007"/>
  <c r="AO55" i="1007"/>
  <c r="AN55" i="1007"/>
  <c r="AM55" i="1007"/>
  <c r="AL55" i="1007"/>
  <c r="AK55" i="1007"/>
  <c r="AJ55" i="1007"/>
  <c r="AI55" i="1007"/>
  <c r="AH55" i="1007"/>
  <c r="AG55" i="1007"/>
  <c r="AF55" i="1007"/>
  <c r="AE55" i="1007"/>
  <c r="AD55" i="1007"/>
  <c r="AC55" i="1007"/>
  <c r="AB55" i="1007"/>
  <c r="K50" i="1007"/>
  <c r="L41" i="1007" s="1"/>
  <c r="M41" i="1007" s="1"/>
  <c r="Z37" i="1007"/>
  <c r="Y37" i="1007"/>
  <c r="X37" i="1007"/>
  <c r="W37" i="1007"/>
  <c r="V37" i="1007"/>
  <c r="U37" i="1007"/>
  <c r="T37" i="1007"/>
  <c r="S37" i="1007"/>
  <c r="R37" i="1007"/>
  <c r="Z36" i="1007"/>
  <c r="Y36" i="1007"/>
  <c r="X36" i="1007"/>
  <c r="W36" i="1007"/>
  <c r="V36" i="1007"/>
  <c r="U36" i="1007"/>
  <c r="T36" i="1007"/>
  <c r="S36" i="1007"/>
  <c r="R36" i="1007"/>
  <c r="Z35" i="1007"/>
  <c r="Y35" i="1007"/>
  <c r="X35" i="1007"/>
  <c r="W35" i="1007"/>
  <c r="V35" i="1007"/>
  <c r="U35" i="1007"/>
  <c r="T35" i="1007"/>
  <c r="S35" i="1007"/>
  <c r="R35" i="1007"/>
  <c r="Z34" i="1007"/>
  <c r="Y34" i="1007"/>
  <c r="X34" i="1007"/>
  <c r="W34" i="1007"/>
  <c r="V34" i="1007"/>
  <c r="U34" i="1007"/>
  <c r="T34" i="1007"/>
  <c r="S34" i="1007"/>
  <c r="R34" i="1007"/>
  <c r="Z33" i="1007"/>
  <c r="Y33" i="1007"/>
  <c r="X33" i="1007"/>
  <c r="W33" i="1007"/>
  <c r="V33" i="1007"/>
  <c r="U33" i="1007"/>
  <c r="T33" i="1007"/>
  <c r="S33" i="1007"/>
  <c r="R33" i="1007"/>
  <c r="Z32" i="1007"/>
  <c r="Y32" i="1007"/>
  <c r="X32" i="1007"/>
  <c r="W32" i="1007"/>
  <c r="V32" i="1007"/>
  <c r="U32" i="1007"/>
  <c r="T32" i="1007"/>
  <c r="S32" i="1007"/>
  <c r="R32" i="1007"/>
  <c r="Z31" i="1007"/>
  <c r="Y31" i="1007"/>
  <c r="X31" i="1007"/>
  <c r="W31" i="1007"/>
  <c r="V31" i="1007"/>
  <c r="U31" i="1007"/>
  <c r="T31" i="1007"/>
  <c r="S31" i="1007"/>
  <c r="R31" i="1007"/>
  <c r="M31" i="1007"/>
  <c r="Z30" i="1007"/>
  <c r="Y30" i="1007"/>
  <c r="X30" i="1007"/>
  <c r="W30" i="1007"/>
  <c r="V30" i="1007"/>
  <c r="U30" i="1007"/>
  <c r="T30" i="1007"/>
  <c r="S30" i="1007"/>
  <c r="R30" i="1007"/>
  <c r="Z29" i="1007"/>
  <c r="Y29" i="1007"/>
  <c r="X29" i="1007"/>
  <c r="W29" i="1007"/>
  <c r="V29" i="1007"/>
  <c r="U29" i="1007"/>
  <c r="T29" i="1007"/>
  <c r="S29" i="1007"/>
  <c r="R29" i="1007"/>
  <c r="M29" i="1007"/>
  <c r="Z28" i="1007"/>
  <c r="Y28" i="1007"/>
  <c r="X28" i="1007"/>
  <c r="W28" i="1007"/>
  <c r="V28" i="1007"/>
  <c r="U28" i="1007"/>
  <c r="T28" i="1007"/>
  <c r="S28" i="1007"/>
  <c r="R28" i="1007"/>
  <c r="M28" i="1007"/>
  <c r="L28" i="1007"/>
  <c r="K28" i="1007"/>
  <c r="Z27" i="1007"/>
  <c r="Y27" i="1007"/>
  <c r="X27" i="1007"/>
  <c r="W27" i="1007"/>
  <c r="V27" i="1007"/>
  <c r="U27" i="1007"/>
  <c r="T27" i="1007"/>
  <c r="S27" i="1007"/>
  <c r="R27" i="1007"/>
  <c r="Z26" i="1007"/>
  <c r="Y26" i="1007"/>
  <c r="X26" i="1007"/>
  <c r="W26" i="1007"/>
  <c r="V26" i="1007"/>
  <c r="U26" i="1007"/>
  <c r="T26" i="1007"/>
  <c r="S26" i="1007"/>
  <c r="R26" i="1007"/>
  <c r="Z25" i="1007"/>
  <c r="Y25" i="1007"/>
  <c r="X25" i="1007"/>
  <c r="W25" i="1007"/>
  <c r="V25" i="1007"/>
  <c r="U25" i="1007"/>
  <c r="T25" i="1007"/>
  <c r="S25" i="1007"/>
  <c r="R25" i="1007"/>
  <c r="Z24" i="1007"/>
  <c r="Y24" i="1007"/>
  <c r="X24" i="1007"/>
  <c r="W24" i="1007"/>
  <c r="V24" i="1007"/>
  <c r="U24" i="1007"/>
  <c r="T24" i="1007"/>
  <c r="S24" i="1007"/>
  <c r="R24" i="1007"/>
  <c r="Z23" i="1007"/>
  <c r="Y23" i="1007"/>
  <c r="X23" i="1007"/>
  <c r="W23" i="1007"/>
  <c r="V23" i="1007"/>
  <c r="U23" i="1007"/>
  <c r="T23" i="1007"/>
  <c r="S23" i="1007"/>
  <c r="R23" i="1007"/>
  <c r="Z22" i="1007"/>
  <c r="Y22" i="1007"/>
  <c r="X22" i="1007"/>
  <c r="W22" i="1007"/>
  <c r="V22" i="1007"/>
  <c r="U22" i="1007"/>
  <c r="T22" i="1007"/>
  <c r="S22" i="1007"/>
  <c r="R22" i="1007"/>
  <c r="Z21" i="1007"/>
  <c r="Y21" i="1007"/>
  <c r="X21" i="1007"/>
  <c r="W21" i="1007"/>
  <c r="V21" i="1007"/>
  <c r="U21" i="1007"/>
  <c r="T21" i="1007"/>
  <c r="S21" i="1007"/>
  <c r="R21" i="1007"/>
  <c r="Z20" i="1007"/>
  <c r="Y20" i="1007"/>
  <c r="X20" i="1007"/>
  <c r="W20" i="1007"/>
  <c r="V20" i="1007"/>
  <c r="U20" i="1007"/>
  <c r="T20" i="1007"/>
  <c r="S20" i="1007"/>
  <c r="R20" i="1007"/>
  <c r="Z19" i="1007"/>
  <c r="Y19" i="1007"/>
  <c r="X19" i="1007"/>
  <c r="W19" i="1007"/>
  <c r="V19" i="1007"/>
  <c r="U19" i="1007"/>
  <c r="T19" i="1007"/>
  <c r="S19" i="1007"/>
  <c r="R19" i="1007"/>
  <c r="Z18" i="1007"/>
  <c r="Y18" i="1007"/>
  <c r="X18" i="1007"/>
  <c r="W18" i="1007"/>
  <c r="V18" i="1007"/>
  <c r="U18" i="1007"/>
  <c r="T18" i="1007"/>
  <c r="S18" i="1007"/>
  <c r="R18" i="1007"/>
  <c r="Z17" i="1007"/>
  <c r="Y17" i="1007"/>
  <c r="X17" i="1007"/>
  <c r="W17" i="1007"/>
  <c r="V17" i="1007"/>
  <c r="U17" i="1007"/>
  <c r="T17" i="1007"/>
  <c r="S17" i="1007"/>
  <c r="R17" i="1007"/>
  <c r="Z16" i="1007"/>
  <c r="Y16" i="1007"/>
  <c r="X16" i="1007"/>
  <c r="W16" i="1007"/>
  <c r="V16" i="1007"/>
  <c r="U16" i="1007"/>
  <c r="T16" i="1007"/>
  <c r="S16" i="1007"/>
  <c r="R16" i="1007"/>
  <c r="Z15" i="1007"/>
  <c r="Y15" i="1007"/>
  <c r="X15" i="1007"/>
  <c r="W15" i="1007"/>
  <c r="V15" i="1007"/>
  <c r="U15" i="1007"/>
  <c r="T15" i="1007"/>
  <c r="S15" i="1007"/>
  <c r="R15" i="1007"/>
  <c r="Z14" i="1007"/>
  <c r="Y14" i="1007"/>
  <c r="X14" i="1007"/>
  <c r="W14" i="1007"/>
  <c r="V14" i="1007"/>
  <c r="U14" i="1007"/>
  <c r="T14" i="1007"/>
  <c r="S14" i="1007"/>
  <c r="R14" i="1007"/>
  <c r="Z13" i="1007"/>
  <c r="Y13" i="1007"/>
  <c r="X13" i="1007"/>
  <c r="W13" i="1007"/>
  <c r="V13" i="1007"/>
  <c r="U13" i="1007"/>
  <c r="T13" i="1007"/>
  <c r="S13" i="1007"/>
  <c r="R13" i="1007"/>
  <c r="Z12" i="1007"/>
  <c r="Y12" i="1007"/>
  <c r="X12" i="1007"/>
  <c r="W12" i="1007"/>
  <c r="V12" i="1007"/>
  <c r="U12" i="1007"/>
  <c r="T12" i="1007"/>
  <c r="S12" i="1007"/>
  <c r="R12" i="1007"/>
  <c r="Z11" i="1007"/>
  <c r="Y11" i="1007"/>
  <c r="X11" i="1007"/>
  <c r="W11" i="1007"/>
  <c r="V11" i="1007"/>
  <c r="U11" i="1007"/>
  <c r="T11" i="1007"/>
  <c r="S11" i="1007"/>
  <c r="R11" i="1007"/>
  <c r="K38" i="1006"/>
  <c r="M38" i="1006"/>
  <c r="L38" i="1006"/>
  <c r="K56" i="1006"/>
  <c r="L47" i="1006"/>
  <c r="C19" i="1006"/>
  <c r="D19" i="1006"/>
  <c r="E19" i="1006"/>
  <c r="F19" i="1006"/>
  <c r="G19" i="1006"/>
  <c r="I19" i="1006"/>
  <c r="J19" i="1006"/>
  <c r="K19" i="1006"/>
  <c r="L19" i="1006"/>
  <c r="M19" i="1006"/>
  <c r="N19" i="1006"/>
  <c r="O19" i="1006"/>
  <c r="C20" i="1006"/>
  <c r="D20" i="1006"/>
  <c r="E20" i="1006"/>
  <c r="F20" i="1006"/>
  <c r="G20" i="1006"/>
  <c r="I20" i="1006"/>
  <c r="J20" i="1006"/>
  <c r="K20" i="1006"/>
  <c r="L20" i="1006"/>
  <c r="M20" i="1006"/>
  <c r="N20" i="1006"/>
  <c r="O20" i="1006"/>
  <c r="C21" i="1006"/>
  <c r="D21" i="1006"/>
  <c r="E21" i="1006"/>
  <c r="F21" i="1006"/>
  <c r="G21" i="1006"/>
  <c r="I21" i="1006"/>
  <c r="J21" i="1006"/>
  <c r="K21" i="1006"/>
  <c r="L21" i="1006"/>
  <c r="M21" i="1006"/>
  <c r="N21" i="1006"/>
  <c r="O21" i="1006"/>
  <c r="C22" i="1006"/>
  <c r="D22" i="1006"/>
  <c r="E22" i="1006"/>
  <c r="F22" i="1006"/>
  <c r="G22" i="1006"/>
  <c r="I22" i="1006"/>
  <c r="J22" i="1006"/>
  <c r="K22" i="1006"/>
  <c r="L22" i="1006"/>
  <c r="M22" i="1006"/>
  <c r="N22" i="1006"/>
  <c r="O22" i="1006"/>
  <c r="C23" i="1006"/>
  <c r="D23" i="1006"/>
  <c r="E23" i="1006"/>
  <c r="F23" i="1006"/>
  <c r="G23" i="1006"/>
  <c r="I23" i="1006"/>
  <c r="J23" i="1006"/>
  <c r="K23" i="1006"/>
  <c r="L23" i="1006"/>
  <c r="M23" i="1006"/>
  <c r="N23" i="1006"/>
  <c r="O23" i="1006"/>
  <c r="C24" i="1006"/>
  <c r="D24" i="1006"/>
  <c r="E24" i="1006"/>
  <c r="F24" i="1006"/>
  <c r="G24" i="1006"/>
  <c r="I24" i="1006"/>
  <c r="J24" i="1006"/>
  <c r="K24" i="1006"/>
  <c r="L24" i="1006"/>
  <c r="M24" i="1006"/>
  <c r="N24" i="1006"/>
  <c r="O24" i="1006"/>
  <c r="O18" i="1006"/>
  <c r="N18" i="1006"/>
  <c r="M18" i="1006"/>
  <c r="L18" i="1006"/>
  <c r="K18" i="1006"/>
  <c r="J18" i="1006"/>
  <c r="I18" i="1006"/>
  <c r="G18" i="1006"/>
  <c r="F18" i="1006"/>
  <c r="E18" i="1006"/>
  <c r="D18" i="1006"/>
  <c r="C18" i="1006"/>
  <c r="AX63" i="1006"/>
  <c r="AW63" i="1006"/>
  <c r="AV63" i="1006"/>
  <c r="AU63" i="1006"/>
  <c r="AT63" i="1006"/>
  <c r="AS63" i="1006"/>
  <c r="AR63" i="1006"/>
  <c r="AQ63" i="1006"/>
  <c r="AP63" i="1006"/>
  <c r="AO63" i="1006"/>
  <c r="AN63" i="1006"/>
  <c r="AM63" i="1006"/>
  <c r="AL63" i="1006"/>
  <c r="AK63" i="1006"/>
  <c r="AJ63" i="1006"/>
  <c r="AI63" i="1006"/>
  <c r="AH63" i="1006"/>
  <c r="AG63" i="1006"/>
  <c r="AF63" i="1006"/>
  <c r="AE63" i="1006"/>
  <c r="AD63" i="1006"/>
  <c r="AC63" i="1006"/>
  <c r="AB63" i="1006"/>
  <c r="AX62" i="1006"/>
  <c r="AW62" i="1006"/>
  <c r="AV62" i="1006"/>
  <c r="AU62" i="1006"/>
  <c r="AT62" i="1006"/>
  <c r="AS62" i="1006"/>
  <c r="AR62" i="1006"/>
  <c r="AQ62" i="1006"/>
  <c r="AP62" i="1006"/>
  <c r="AO62" i="1006"/>
  <c r="AN62" i="1006"/>
  <c r="AM62" i="1006"/>
  <c r="AL62" i="1006"/>
  <c r="AK62" i="1006"/>
  <c r="AJ62" i="1006"/>
  <c r="AI62" i="1006"/>
  <c r="AH62" i="1006"/>
  <c r="AG62" i="1006"/>
  <c r="AF62" i="1006"/>
  <c r="AE62" i="1006"/>
  <c r="AD62" i="1006"/>
  <c r="AC62" i="1006"/>
  <c r="AB62" i="1006"/>
  <c r="AX61" i="1006"/>
  <c r="AW61" i="1006"/>
  <c r="AV61" i="1006"/>
  <c r="AU61" i="1006"/>
  <c r="AT61" i="1006"/>
  <c r="AS61" i="1006"/>
  <c r="AR61" i="1006"/>
  <c r="AQ61" i="1006"/>
  <c r="AP61" i="1006"/>
  <c r="AO61" i="1006"/>
  <c r="AN61" i="1006"/>
  <c r="AM61" i="1006"/>
  <c r="AL61" i="1006"/>
  <c r="AK61" i="1006"/>
  <c r="AJ61" i="1006"/>
  <c r="AI61" i="1006"/>
  <c r="AH61" i="1006"/>
  <c r="AG61" i="1006"/>
  <c r="AF61" i="1006"/>
  <c r="AE61" i="1006"/>
  <c r="AD61" i="1006"/>
  <c r="AC61" i="1006"/>
  <c r="AB61" i="1006"/>
  <c r="K75" i="1006"/>
  <c r="M47" i="1006"/>
  <c r="Z43" i="1006"/>
  <c r="Y43" i="1006"/>
  <c r="X43" i="1006"/>
  <c r="W43" i="1006"/>
  <c r="V43" i="1006"/>
  <c r="U43" i="1006"/>
  <c r="T43" i="1006"/>
  <c r="S43" i="1006"/>
  <c r="R43" i="1006"/>
  <c r="Z42" i="1006"/>
  <c r="Y42" i="1006"/>
  <c r="X42" i="1006"/>
  <c r="W42" i="1006"/>
  <c r="V42" i="1006"/>
  <c r="U42" i="1006"/>
  <c r="T42" i="1006"/>
  <c r="S42" i="1006"/>
  <c r="R42" i="1006"/>
  <c r="Z41" i="1006"/>
  <c r="Y41" i="1006"/>
  <c r="X41" i="1006"/>
  <c r="W41" i="1006"/>
  <c r="V41" i="1006"/>
  <c r="U41" i="1006"/>
  <c r="T41" i="1006"/>
  <c r="S41" i="1006"/>
  <c r="R41" i="1006"/>
  <c r="Z40" i="1006"/>
  <c r="Y40" i="1006"/>
  <c r="X40" i="1006"/>
  <c r="W40" i="1006"/>
  <c r="V40" i="1006"/>
  <c r="U40" i="1006"/>
  <c r="T40" i="1006"/>
  <c r="S40" i="1006"/>
  <c r="R40" i="1006"/>
  <c r="Z39" i="1006"/>
  <c r="Y39" i="1006"/>
  <c r="X39" i="1006"/>
  <c r="W39" i="1006"/>
  <c r="V39" i="1006"/>
  <c r="U39" i="1006"/>
  <c r="T39" i="1006"/>
  <c r="S39" i="1006"/>
  <c r="R39" i="1006"/>
  <c r="Z38" i="1006"/>
  <c r="Y38" i="1006"/>
  <c r="X38" i="1006"/>
  <c r="W38" i="1006"/>
  <c r="V38" i="1006"/>
  <c r="U38" i="1006"/>
  <c r="T38" i="1006"/>
  <c r="S38" i="1006"/>
  <c r="R38" i="1006"/>
  <c r="Z37" i="1006"/>
  <c r="Y37" i="1006"/>
  <c r="X37" i="1006"/>
  <c r="W37" i="1006"/>
  <c r="V37" i="1006"/>
  <c r="U37" i="1006"/>
  <c r="T37" i="1006"/>
  <c r="S37" i="1006"/>
  <c r="R37" i="1006"/>
  <c r="M37" i="1006"/>
  <c r="Z36" i="1006"/>
  <c r="Y36" i="1006"/>
  <c r="X36" i="1006"/>
  <c r="W36" i="1006"/>
  <c r="V36" i="1006"/>
  <c r="U36" i="1006"/>
  <c r="T36" i="1006"/>
  <c r="S36" i="1006"/>
  <c r="R36" i="1006"/>
  <c r="Z35" i="1006"/>
  <c r="Y35" i="1006"/>
  <c r="X35" i="1006"/>
  <c r="W35" i="1006"/>
  <c r="V35" i="1006"/>
  <c r="U35" i="1006"/>
  <c r="T35" i="1006"/>
  <c r="S35" i="1006"/>
  <c r="R35" i="1006"/>
  <c r="M35" i="1006"/>
  <c r="Z34" i="1006"/>
  <c r="Y34" i="1006"/>
  <c r="X34" i="1006"/>
  <c r="W34" i="1006"/>
  <c r="V34" i="1006"/>
  <c r="U34" i="1006"/>
  <c r="T34" i="1006"/>
  <c r="S34" i="1006"/>
  <c r="R34" i="1006"/>
  <c r="M34" i="1006"/>
  <c r="L34" i="1006"/>
  <c r="K34" i="1006"/>
  <c r="Z33" i="1006"/>
  <c r="Y33" i="1006"/>
  <c r="X33" i="1006"/>
  <c r="W33" i="1006"/>
  <c r="V33" i="1006"/>
  <c r="U33" i="1006"/>
  <c r="T33" i="1006"/>
  <c r="S33" i="1006"/>
  <c r="R33" i="1006"/>
  <c r="M33" i="1006"/>
  <c r="L33" i="1006"/>
  <c r="K33" i="1006"/>
  <c r="Z32" i="1006"/>
  <c r="Y32" i="1006"/>
  <c r="X32" i="1006"/>
  <c r="W32" i="1006"/>
  <c r="V32" i="1006"/>
  <c r="U32" i="1006"/>
  <c r="T32" i="1006"/>
  <c r="S32" i="1006"/>
  <c r="R32" i="1006"/>
  <c r="Z31" i="1006"/>
  <c r="Y31" i="1006"/>
  <c r="X31" i="1006"/>
  <c r="W31" i="1006"/>
  <c r="V31" i="1006"/>
  <c r="U31" i="1006"/>
  <c r="T31" i="1006"/>
  <c r="S31" i="1006"/>
  <c r="R31" i="1006"/>
  <c r="Z30" i="1006"/>
  <c r="Y30" i="1006"/>
  <c r="X30" i="1006"/>
  <c r="W30" i="1006"/>
  <c r="V30" i="1006"/>
  <c r="U30" i="1006"/>
  <c r="T30" i="1006"/>
  <c r="S30" i="1006"/>
  <c r="R30" i="1006"/>
  <c r="Z29" i="1006"/>
  <c r="Y29" i="1006"/>
  <c r="X29" i="1006"/>
  <c r="W29" i="1006"/>
  <c r="V29" i="1006"/>
  <c r="U29" i="1006"/>
  <c r="T29" i="1006"/>
  <c r="S29" i="1006"/>
  <c r="R29" i="1006"/>
  <c r="Z28" i="1006"/>
  <c r="Y28" i="1006"/>
  <c r="X28" i="1006"/>
  <c r="W28" i="1006"/>
  <c r="V28" i="1006"/>
  <c r="U28" i="1006"/>
  <c r="T28" i="1006"/>
  <c r="S28" i="1006"/>
  <c r="R28" i="1006"/>
  <c r="Z27" i="1006"/>
  <c r="Y27" i="1006"/>
  <c r="X27" i="1006"/>
  <c r="W27" i="1006"/>
  <c r="V27" i="1006"/>
  <c r="U27" i="1006"/>
  <c r="T27" i="1006"/>
  <c r="S27" i="1006"/>
  <c r="R27" i="1006"/>
  <c r="Z26" i="1006"/>
  <c r="Y26" i="1006"/>
  <c r="X26" i="1006"/>
  <c r="W26" i="1006"/>
  <c r="V26" i="1006"/>
  <c r="U26" i="1006"/>
  <c r="T26" i="1006"/>
  <c r="S26" i="1006"/>
  <c r="R26" i="1006"/>
  <c r="Z25" i="1006"/>
  <c r="Y25" i="1006"/>
  <c r="X25" i="1006"/>
  <c r="W25" i="1006"/>
  <c r="V25" i="1006"/>
  <c r="U25" i="1006"/>
  <c r="T25" i="1006"/>
  <c r="S25" i="1006"/>
  <c r="R25" i="1006"/>
  <c r="Z24" i="1006"/>
  <c r="Y24" i="1006"/>
  <c r="X24" i="1006"/>
  <c r="W24" i="1006"/>
  <c r="V24" i="1006"/>
  <c r="U24" i="1006"/>
  <c r="T24" i="1006"/>
  <c r="S24" i="1006"/>
  <c r="R24" i="1006"/>
  <c r="Z23" i="1006"/>
  <c r="Y23" i="1006"/>
  <c r="X23" i="1006"/>
  <c r="W23" i="1006"/>
  <c r="V23" i="1006"/>
  <c r="U23" i="1006"/>
  <c r="T23" i="1006"/>
  <c r="S23" i="1006"/>
  <c r="R23" i="1006"/>
  <c r="Z22" i="1006"/>
  <c r="Y22" i="1006"/>
  <c r="X22" i="1006"/>
  <c r="W22" i="1006"/>
  <c r="V22" i="1006"/>
  <c r="U22" i="1006"/>
  <c r="T22" i="1006"/>
  <c r="S22" i="1006"/>
  <c r="R22" i="1006"/>
  <c r="Z21" i="1006"/>
  <c r="Y21" i="1006"/>
  <c r="X21" i="1006"/>
  <c r="W21" i="1006"/>
  <c r="V21" i="1006"/>
  <c r="U21" i="1006"/>
  <c r="T21" i="1006"/>
  <c r="S21" i="1006"/>
  <c r="R21" i="1006"/>
  <c r="Z20" i="1006"/>
  <c r="Y20" i="1006"/>
  <c r="X20" i="1006"/>
  <c r="W20" i="1006"/>
  <c r="V20" i="1006"/>
  <c r="U20" i="1006"/>
  <c r="T20" i="1006"/>
  <c r="S20" i="1006"/>
  <c r="R20" i="1006"/>
  <c r="Z19" i="1006"/>
  <c r="Y19" i="1006"/>
  <c r="X19" i="1006"/>
  <c r="W19" i="1006"/>
  <c r="V19" i="1006"/>
  <c r="U19" i="1006"/>
  <c r="T19" i="1006"/>
  <c r="S19" i="1006"/>
  <c r="R19" i="1006"/>
  <c r="Z18" i="1006"/>
  <c r="Y18" i="1006"/>
  <c r="X18" i="1006"/>
  <c r="W18" i="1006"/>
  <c r="V18" i="1006"/>
  <c r="U18" i="1006"/>
  <c r="T18" i="1006"/>
  <c r="S18" i="1006"/>
  <c r="R18" i="1006"/>
  <c r="Z17" i="1006"/>
  <c r="Y17" i="1006"/>
  <c r="X17" i="1006"/>
  <c r="W17" i="1006"/>
  <c r="V17" i="1006"/>
  <c r="U17" i="1006"/>
  <c r="T17" i="1006"/>
  <c r="S17" i="1006"/>
  <c r="R17" i="1006"/>
  <c r="O17" i="1006"/>
  <c r="M17" i="1006"/>
  <c r="G17" i="1006"/>
  <c r="F17" i="1006"/>
  <c r="E17" i="1006"/>
  <c r="D17" i="1006"/>
  <c r="Z16" i="1006"/>
  <c r="Y16" i="1006"/>
  <c r="X16" i="1006"/>
  <c r="W16" i="1006"/>
  <c r="V16" i="1006"/>
  <c r="U16" i="1006"/>
  <c r="T16" i="1006"/>
  <c r="S16" i="1006"/>
  <c r="R16" i="1006"/>
  <c r="O16" i="1006"/>
  <c r="M16" i="1006"/>
  <c r="G16" i="1006"/>
  <c r="F16" i="1006"/>
  <c r="E16" i="1006"/>
  <c r="D16" i="1006"/>
  <c r="Z15" i="1006"/>
  <c r="Y15" i="1006"/>
  <c r="X15" i="1006"/>
  <c r="W15" i="1006"/>
  <c r="V15" i="1006"/>
  <c r="U15" i="1006"/>
  <c r="T15" i="1006"/>
  <c r="S15" i="1006"/>
  <c r="R15" i="1006"/>
  <c r="O15" i="1006"/>
  <c r="M15" i="1006"/>
  <c r="G15" i="1006"/>
  <c r="F15" i="1006"/>
  <c r="E15" i="1006"/>
  <c r="D15" i="1006"/>
  <c r="Z14" i="1006"/>
  <c r="Y14" i="1006"/>
  <c r="X14" i="1006"/>
  <c r="W14" i="1006"/>
  <c r="V14" i="1006"/>
  <c r="U14" i="1006"/>
  <c r="T14" i="1006"/>
  <c r="S14" i="1006"/>
  <c r="R14" i="1006"/>
  <c r="O14" i="1006"/>
  <c r="M14" i="1006"/>
  <c r="G14" i="1006"/>
  <c r="F14" i="1006"/>
  <c r="E14" i="1006"/>
  <c r="D14" i="1006"/>
  <c r="Z13" i="1006"/>
  <c r="Y13" i="1006"/>
  <c r="X13" i="1006"/>
  <c r="W13" i="1006"/>
  <c r="V13" i="1006"/>
  <c r="U13" i="1006"/>
  <c r="T13" i="1006"/>
  <c r="S13" i="1006"/>
  <c r="R13" i="1006"/>
  <c r="O13" i="1006"/>
  <c r="M13" i="1006"/>
  <c r="G13" i="1006"/>
  <c r="F13" i="1006"/>
  <c r="E13" i="1006"/>
  <c r="D13" i="1006"/>
  <c r="Z12" i="1006"/>
  <c r="Y12" i="1006"/>
  <c r="X12" i="1006"/>
  <c r="W12" i="1006"/>
  <c r="V12" i="1006"/>
  <c r="U12" i="1006"/>
  <c r="T12" i="1006"/>
  <c r="S12" i="1006"/>
  <c r="R12" i="1006"/>
  <c r="O12" i="1006"/>
  <c r="M12" i="1006"/>
  <c r="G12" i="1006"/>
  <c r="F12" i="1006"/>
  <c r="E12" i="1006"/>
  <c r="D12" i="1006"/>
  <c r="Z11" i="1006"/>
  <c r="Y11" i="1006"/>
  <c r="X11" i="1006"/>
  <c r="W11" i="1006"/>
  <c r="V11" i="1006"/>
  <c r="U11" i="1006"/>
  <c r="T11" i="1006"/>
  <c r="S11" i="1006"/>
  <c r="R11" i="1006"/>
  <c r="O11" i="1006"/>
  <c r="M11" i="1006"/>
  <c r="G11" i="1006"/>
  <c r="F11" i="1006"/>
  <c r="E11" i="1006"/>
  <c r="D11" i="1006"/>
  <c r="Z10" i="1006"/>
  <c r="Y10" i="1006"/>
  <c r="X10" i="1006"/>
  <c r="W10" i="1006"/>
  <c r="V10" i="1006"/>
  <c r="U10" i="1006"/>
  <c r="T10" i="1006"/>
  <c r="S10" i="1006"/>
  <c r="R10" i="1006"/>
  <c r="O10" i="1006"/>
  <c r="M10" i="1006"/>
  <c r="G10" i="1006"/>
  <c r="F10" i="1006"/>
  <c r="E10" i="1006"/>
  <c r="D10" i="1006"/>
  <c r="J27" i="1007" l="1"/>
  <c r="J38" i="1006"/>
  <c r="K61" i="1005" l="1"/>
  <c r="K75" i="1005" s="1"/>
  <c r="G61" i="1005"/>
  <c r="B61" i="1005"/>
  <c r="AX63" i="1005"/>
  <c r="AW63" i="1005"/>
  <c r="AV63" i="1005"/>
  <c r="AU63" i="1005"/>
  <c r="AT63" i="1005"/>
  <c r="AS63" i="1005"/>
  <c r="AR63" i="1005"/>
  <c r="AQ63" i="1005"/>
  <c r="AP63" i="1005"/>
  <c r="AO63" i="1005"/>
  <c r="AN63" i="1005"/>
  <c r="AM63" i="1005"/>
  <c r="AL63" i="1005"/>
  <c r="AK63" i="1005"/>
  <c r="AJ63" i="1005"/>
  <c r="AI63" i="1005"/>
  <c r="AH63" i="1005"/>
  <c r="AG63" i="1005"/>
  <c r="AF63" i="1005"/>
  <c r="AE63" i="1005"/>
  <c r="AD63" i="1005"/>
  <c r="AC63" i="1005"/>
  <c r="AB63" i="1005"/>
  <c r="AX62" i="1005"/>
  <c r="AW62" i="1005"/>
  <c r="AV62" i="1005"/>
  <c r="AU62" i="1005"/>
  <c r="AT62" i="1005"/>
  <c r="AS62" i="1005"/>
  <c r="AR62" i="1005"/>
  <c r="AQ62" i="1005"/>
  <c r="AP62" i="1005"/>
  <c r="AO62" i="1005"/>
  <c r="AN62" i="1005"/>
  <c r="AM62" i="1005"/>
  <c r="AL62" i="1005"/>
  <c r="AK62" i="1005"/>
  <c r="AJ62" i="1005"/>
  <c r="AI62" i="1005"/>
  <c r="AH62" i="1005"/>
  <c r="AG62" i="1005"/>
  <c r="AF62" i="1005"/>
  <c r="AE62" i="1005"/>
  <c r="AD62" i="1005"/>
  <c r="AC62" i="1005"/>
  <c r="AB62" i="1005"/>
  <c r="AX61" i="1005"/>
  <c r="AW61" i="1005"/>
  <c r="AV61" i="1005"/>
  <c r="AU61" i="1005"/>
  <c r="AT61" i="1005"/>
  <c r="AS61" i="1005"/>
  <c r="AR61" i="1005"/>
  <c r="AQ61" i="1005"/>
  <c r="AP61" i="1005"/>
  <c r="AO61" i="1005"/>
  <c r="AN61" i="1005"/>
  <c r="AM61" i="1005"/>
  <c r="AL61" i="1005"/>
  <c r="AK61" i="1005"/>
  <c r="AJ61" i="1005"/>
  <c r="AI61" i="1005"/>
  <c r="AH61" i="1005"/>
  <c r="AG61" i="1005"/>
  <c r="AF61" i="1005"/>
  <c r="AE61" i="1005"/>
  <c r="AD61" i="1005"/>
  <c r="AC61" i="1005"/>
  <c r="AB61" i="1005"/>
  <c r="Z43" i="1005"/>
  <c r="Y43" i="1005"/>
  <c r="X43" i="1005"/>
  <c r="W43" i="1005"/>
  <c r="V43" i="1005"/>
  <c r="U43" i="1005"/>
  <c r="T43" i="1005"/>
  <c r="S43" i="1005"/>
  <c r="R43" i="1005"/>
  <c r="Z42" i="1005"/>
  <c r="Y42" i="1005"/>
  <c r="X42" i="1005"/>
  <c r="W42" i="1005"/>
  <c r="V42" i="1005"/>
  <c r="U42" i="1005"/>
  <c r="T42" i="1005"/>
  <c r="S42" i="1005"/>
  <c r="R42" i="1005"/>
  <c r="Z41" i="1005"/>
  <c r="Y41" i="1005"/>
  <c r="X41" i="1005"/>
  <c r="W41" i="1005"/>
  <c r="V41" i="1005"/>
  <c r="U41" i="1005"/>
  <c r="T41" i="1005"/>
  <c r="S41" i="1005"/>
  <c r="R41" i="1005"/>
  <c r="Z40" i="1005"/>
  <c r="Y40" i="1005"/>
  <c r="X40" i="1005"/>
  <c r="W40" i="1005"/>
  <c r="V40" i="1005"/>
  <c r="U40" i="1005"/>
  <c r="T40" i="1005"/>
  <c r="S40" i="1005"/>
  <c r="R40" i="1005"/>
  <c r="Z39" i="1005"/>
  <c r="Y39" i="1005"/>
  <c r="X39" i="1005"/>
  <c r="W39" i="1005"/>
  <c r="V39" i="1005"/>
  <c r="U39" i="1005"/>
  <c r="T39" i="1005"/>
  <c r="S39" i="1005"/>
  <c r="R39" i="1005"/>
  <c r="Z38" i="1005"/>
  <c r="Y38" i="1005"/>
  <c r="X38" i="1005"/>
  <c r="W38" i="1005"/>
  <c r="V38" i="1005"/>
  <c r="U38" i="1005"/>
  <c r="T38" i="1005"/>
  <c r="S38" i="1005"/>
  <c r="R38" i="1005"/>
  <c r="M38" i="1005"/>
  <c r="Z37" i="1005"/>
  <c r="Y37" i="1005"/>
  <c r="X37" i="1005"/>
  <c r="W37" i="1005"/>
  <c r="V37" i="1005"/>
  <c r="U37" i="1005"/>
  <c r="T37" i="1005"/>
  <c r="S37" i="1005"/>
  <c r="R37" i="1005"/>
  <c r="M37" i="1005"/>
  <c r="Z36" i="1005"/>
  <c r="Y36" i="1005"/>
  <c r="X36" i="1005"/>
  <c r="W36" i="1005"/>
  <c r="V36" i="1005"/>
  <c r="U36" i="1005"/>
  <c r="T36" i="1005"/>
  <c r="S36" i="1005"/>
  <c r="R36" i="1005"/>
  <c r="Z35" i="1005"/>
  <c r="Y35" i="1005"/>
  <c r="X35" i="1005"/>
  <c r="W35" i="1005"/>
  <c r="V35" i="1005"/>
  <c r="U35" i="1005"/>
  <c r="T35" i="1005"/>
  <c r="S35" i="1005"/>
  <c r="R35" i="1005"/>
  <c r="M35" i="1005"/>
  <c r="Z34" i="1005"/>
  <c r="Y34" i="1005"/>
  <c r="X34" i="1005"/>
  <c r="W34" i="1005"/>
  <c r="V34" i="1005"/>
  <c r="U34" i="1005"/>
  <c r="T34" i="1005"/>
  <c r="S34" i="1005"/>
  <c r="R34" i="1005"/>
  <c r="M34" i="1005"/>
  <c r="L34" i="1005"/>
  <c r="K34" i="1005"/>
  <c r="Z33" i="1005"/>
  <c r="Y33" i="1005"/>
  <c r="X33" i="1005"/>
  <c r="W33" i="1005"/>
  <c r="V33" i="1005"/>
  <c r="U33" i="1005"/>
  <c r="T33" i="1005"/>
  <c r="S33" i="1005"/>
  <c r="R33" i="1005"/>
  <c r="M33" i="1005"/>
  <c r="L33" i="1005"/>
  <c r="K33" i="1005"/>
  <c r="Z32" i="1005"/>
  <c r="Y32" i="1005"/>
  <c r="X32" i="1005"/>
  <c r="W32" i="1005"/>
  <c r="V32" i="1005"/>
  <c r="U32" i="1005"/>
  <c r="T32" i="1005"/>
  <c r="S32" i="1005"/>
  <c r="R32" i="1005"/>
  <c r="Z31" i="1005"/>
  <c r="Y31" i="1005"/>
  <c r="X31" i="1005"/>
  <c r="W31" i="1005"/>
  <c r="V31" i="1005"/>
  <c r="U31" i="1005"/>
  <c r="T31" i="1005"/>
  <c r="S31" i="1005"/>
  <c r="R31" i="1005"/>
  <c r="Z30" i="1005"/>
  <c r="Y30" i="1005"/>
  <c r="X30" i="1005"/>
  <c r="W30" i="1005"/>
  <c r="V30" i="1005"/>
  <c r="U30" i="1005"/>
  <c r="T30" i="1005"/>
  <c r="S30" i="1005"/>
  <c r="R30" i="1005"/>
  <c r="Z29" i="1005"/>
  <c r="Y29" i="1005"/>
  <c r="X29" i="1005"/>
  <c r="W29" i="1005"/>
  <c r="V29" i="1005"/>
  <c r="U29" i="1005"/>
  <c r="T29" i="1005"/>
  <c r="S29" i="1005"/>
  <c r="R29" i="1005"/>
  <c r="Z28" i="1005"/>
  <c r="Y28" i="1005"/>
  <c r="X28" i="1005"/>
  <c r="W28" i="1005"/>
  <c r="V28" i="1005"/>
  <c r="U28" i="1005"/>
  <c r="T28" i="1005"/>
  <c r="S28" i="1005"/>
  <c r="R28" i="1005"/>
  <c r="Z27" i="1005"/>
  <c r="Y27" i="1005"/>
  <c r="X27" i="1005"/>
  <c r="W27" i="1005"/>
  <c r="V27" i="1005"/>
  <c r="U27" i="1005"/>
  <c r="T27" i="1005"/>
  <c r="S27" i="1005"/>
  <c r="R27" i="1005"/>
  <c r="Z26" i="1005"/>
  <c r="Y26" i="1005"/>
  <c r="X26" i="1005"/>
  <c r="W26" i="1005"/>
  <c r="V26" i="1005"/>
  <c r="U26" i="1005"/>
  <c r="T26" i="1005"/>
  <c r="S26" i="1005"/>
  <c r="R26" i="1005"/>
  <c r="Z25" i="1005"/>
  <c r="Y25" i="1005"/>
  <c r="X25" i="1005"/>
  <c r="W25" i="1005"/>
  <c r="V25" i="1005"/>
  <c r="U25" i="1005"/>
  <c r="T25" i="1005"/>
  <c r="S25" i="1005"/>
  <c r="R25" i="1005"/>
  <c r="Z24" i="1005"/>
  <c r="Y24" i="1005"/>
  <c r="X24" i="1005"/>
  <c r="W24" i="1005"/>
  <c r="V24" i="1005"/>
  <c r="U24" i="1005"/>
  <c r="T24" i="1005"/>
  <c r="S24" i="1005"/>
  <c r="R24" i="1005"/>
  <c r="Z23" i="1005"/>
  <c r="Y23" i="1005"/>
  <c r="X23" i="1005"/>
  <c r="W23" i="1005"/>
  <c r="V23" i="1005"/>
  <c r="U23" i="1005"/>
  <c r="T23" i="1005"/>
  <c r="S23" i="1005"/>
  <c r="R23" i="1005"/>
  <c r="Z22" i="1005"/>
  <c r="Y22" i="1005"/>
  <c r="X22" i="1005"/>
  <c r="W22" i="1005"/>
  <c r="V22" i="1005"/>
  <c r="U22" i="1005"/>
  <c r="T22" i="1005"/>
  <c r="S22" i="1005"/>
  <c r="R22" i="1005"/>
  <c r="Z21" i="1005"/>
  <c r="Y21" i="1005"/>
  <c r="X21" i="1005"/>
  <c r="W21" i="1005"/>
  <c r="V21" i="1005"/>
  <c r="U21" i="1005"/>
  <c r="T21" i="1005"/>
  <c r="S21" i="1005"/>
  <c r="R21" i="1005"/>
  <c r="Z20" i="1005"/>
  <c r="Y20" i="1005"/>
  <c r="X20" i="1005"/>
  <c r="W20" i="1005"/>
  <c r="V20" i="1005"/>
  <c r="U20" i="1005"/>
  <c r="T20" i="1005"/>
  <c r="S20" i="1005"/>
  <c r="R20" i="1005"/>
  <c r="Z19" i="1005"/>
  <c r="Y19" i="1005"/>
  <c r="X19" i="1005"/>
  <c r="W19" i="1005"/>
  <c r="V19" i="1005"/>
  <c r="U19" i="1005"/>
  <c r="T19" i="1005"/>
  <c r="S19" i="1005"/>
  <c r="R19" i="1005"/>
  <c r="Z18" i="1005"/>
  <c r="Y18" i="1005"/>
  <c r="X18" i="1005"/>
  <c r="W18" i="1005"/>
  <c r="V18" i="1005"/>
  <c r="U18" i="1005"/>
  <c r="T18" i="1005"/>
  <c r="S18" i="1005"/>
  <c r="R18" i="1005"/>
  <c r="Z17" i="1005"/>
  <c r="Y17" i="1005"/>
  <c r="X17" i="1005"/>
  <c r="W17" i="1005"/>
  <c r="V17" i="1005"/>
  <c r="U17" i="1005"/>
  <c r="T17" i="1005"/>
  <c r="S17" i="1005"/>
  <c r="R17" i="1005"/>
  <c r="O17" i="1005"/>
  <c r="M17" i="1005"/>
  <c r="G17" i="1005"/>
  <c r="F17" i="1005"/>
  <c r="E17" i="1005"/>
  <c r="D17" i="1005"/>
  <c r="Z16" i="1005"/>
  <c r="Y16" i="1005"/>
  <c r="X16" i="1005"/>
  <c r="W16" i="1005"/>
  <c r="V16" i="1005"/>
  <c r="U16" i="1005"/>
  <c r="T16" i="1005"/>
  <c r="S16" i="1005"/>
  <c r="R16" i="1005"/>
  <c r="O16" i="1005"/>
  <c r="M16" i="1005"/>
  <c r="G16" i="1005"/>
  <c r="F16" i="1005"/>
  <c r="E16" i="1005"/>
  <c r="D16" i="1005"/>
  <c r="Z15" i="1005"/>
  <c r="Y15" i="1005"/>
  <c r="X15" i="1005"/>
  <c r="W15" i="1005"/>
  <c r="V15" i="1005"/>
  <c r="U15" i="1005"/>
  <c r="T15" i="1005"/>
  <c r="S15" i="1005"/>
  <c r="R15" i="1005"/>
  <c r="O15" i="1005"/>
  <c r="M15" i="1005"/>
  <c r="G15" i="1005"/>
  <c r="F15" i="1005"/>
  <c r="E15" i="1005"/>
  <c r="D15" i="1005"/>
  <c r="Z14" i="1005"/>
  <c r="Y14" i="1005"/>
  <c r="X14" i="1005"/>
  <c r="W14" i="1005"/>
  <c r="V14" i="1005"/>
  <c r="U14" i="1005"/>
  <c r="T14" i="1005"/>
  <c r="S14" i="1005"/>
  <c r="R14" i="1005"/>
  <c r="O14" i="1005"/>
  <c r="M14" i="1005"/>
  <c r="G14" i="1005"/>
  <c r="F14" i="1005"/>
  <c r="E14" i="1005"/>
  <c r="D14" i="1005"/>
  <c r="Z13" i="1005"/>
  <c r="Y13" i="1005"/>
  <c r="X13" i="1005"/>
  <c r="W13" i="1005"/>
  <c r="V13" i="1005"/>
  <c r="U13" i="1005"/>
  <c r="T13" i="1005"/>
  <c r="S13" i="1005"/>
  <c r="R13" i="1005"/>
  <c r="O13" i="1005"/>
  <c r="M13" i="1005"/>
  <c r="G13" i="1005"/>
  <c r="F13" i="1005"/>
  <c r="E13" i="1005"/>
  <c r="D13" i="1005"/>
  <c r="Z12" i="1005"/>
  <c r="Y12" i="1005"/>
  <c r="X12" i="1005"/>
  <c r="W12" i="1005"/>
  <c r="V12" i="1005"/>
  <c r="U12" i="1005"/>
  <c r="T12" i="1005"/>
  <c r="S12" i="1005"/>
  <c r="R12" i="1005"/>
  <c r="O12" i="1005"/>
  <c r="M12" i="1005"/>
  <c r="G12" i="1005"/>
  <c r="F12" i="1005"/>
  <c r="E12" i="1005"/>
  <c r="D12" i="1005"/>
  <c r="Z11" i="1005"/>
  <c r="Y11" i="1005"/>
  <c r="X11" i="1005"/>
  <c r="W11" i="1005"/>
  <c r="V11" i="1005"/>
  <c r="U11" i="1005"/>
  <c r="T11" i="1005"/>
  <c r="S11" i="1005"/>
  <c r="R11" i="1005"/>
  <c r="O11" i="1005"/>
  <c r="M11" i="1005"/>
  <c r="G11" i="1005"/>
  <c r="F11" i="1005"/>
  <c r="E11" i="1005"/>
  <c r="D11" i="1005"/>
  <c r="Z10" i="1005"/>
  <c r="Y10" i="1005"/>
  <c r="X10" i="1005"/>
  <c r="W10" i="1005"/>
  <c r="V10" i="1005"/>
  <c r="U10" i="1005"/>
  <c r="T10" i="1005"/>
  <c r="S10" i="1005"/>
  <c r="R10" i="1005"/>
  <c r="O10" i="1005"/>
  <c r="M10" i="1005"/>
  <c r="G10" i="1005"/>
  <c r="F10" i="1005"/>
  <c r="E10" i="1005"/>
  <c r="D10" i="1005"/>
  <c r="R19" i="1004"/>
  <c r="S19" i="1004"/>
  <c r="T19" i="1004"/>
  <c r="U19" i="1004"/>
  <c r="V19" i="1004"/>
  <c r="W19" i="1004"/>
  <c r="X19" i="1004"/>
  <c r="Y19" i="1004"/>
  <c r="Z19" i="1004"/>
  <c r="R20" i="1004"/>
  <c r="S20" i="1004"/>
  <c r="T20" i="1004"/>
  <c r="U20" i="1004"/>
  <c r="V20" i="1004"/>
  <c r="W20" i="1004"/>
  <c r="X20" i="1004"/>
  <c r="Y20" i="1004"/>
  <c r="Z20" i="1004"/>
  <c r="R21" i="1004"/>
  <c r="S21" i="1004"/>
  <c r="T21" i="1004"/>
  <c r="U21" i="1004"/>
  <c r="V21" i="1004"/>
  <c r="W21" i="1004"/>
  <c r="X21" i="1004"/>
  <c r="Y21" i="1004"/>
  <c r="Z21" i="1004"/>
  <c r="R22" i="1004"/>
  <c r="S22" i="1004"/>
  <c r="T22" i="1004"/>
  <c r="U22" i="1004"/>
  <c r="V22" i="1004"/>
  <c r="W22" i="1004"/>
  <c r="X22" i="1004"/>
  <c r="Y22" i="1004"/>
  <c r="Z22" i="1004"/>
  <c r="R23" i="1004"/>
  <c r="S23" i="1004"/>
  <c r="T23" i="1004"/>
  <c r="U23" i="1004"/>
  <c r="V23" i="1004"/>
  <c r="W23" i="1004"/>
  <c r="X23" i="1004"/>
  <c r="Y23" i="1004"/>
  <c r="Z23" i="1004"/>
  <c r="R24" i="1004"/>
  <c r="S24" i="1004"/>
  <c r="T24" i="1004"/>
  <c r="U24" i="1004"/>
  <c r="V24" i="1004"/>
  <c r="W24" i="1004"/>
  <c r="X24" i="1004"/>
  <c r="Y24" i="1004"/>
  <c r="Z24" i="1004"/>
  <c r="R25" i="1004"/>
  <c r="S25" i="1004"/>
  <c r="T25" i="1004"/>
  <c r="U25" i="1004"/>
  <c r="V25" i="1004"/>
  <c r="W25" i="1004"/>
  <c r="X25" i="1004"/>
  <c r="Y25" i="1004"/>
  <c r="Z25" i="1004"/>
  <c r="R26" i="1004"/>
  <c r="S26" i="1004"/>
  <c r="T26" i="1004"/>
  <c r="U26" i="1004"/>
  <c r="V26" i="1004"/>
  <c r="W26" i="1004"/>
  <c r="X26" i="1004"/>
  <c r="Y26" i="1004"/>
  <c r="Z26" i="1004"/>
  <c r="R27" i="1004"/>
  <c r="S27" i="1004"/>
  <c r="T27" i="1004"/>
  <c r="U27" i="1004"/>
  <c r="V27" i="1004"/>
  <c r="W27" i="1004"/>
  <c r="X27" i="1004"/>
  <c r="Y27" i="1004"/>
  <c r="Z27" i="1004"/>
  <c r="R28" i="1004"/>
  <c r="S28" i="1004"/>
  <c r="T28" i="1004"/>
  <c r="U28" i="1004"/>
  <c r="V28" i="1004"/>
  <c r="W28" i="1004"/>
  <c r="X28" i="1004"/>
  <c r="Y28" i="1004"/>
  <c r="Z28" i="1004"/>
  <c r="R29" i="1004"/>
  <c r="S29" i="1004"/>
  <c r="T29" i="1004"/>
  <c r="U29" i="1004"/>
  <c r="V29" i="1004"/>
  <c r="W29" i="1004"/>
  <c r="X29" i="1004"/>
  <c r="Y29" i="1004"/>
  <c r="Z29" i="1004"/>
  <c r="R30" i="1004"/>
  <c r="S30" i="1004"/>
  <c r="T30" i="1004"/>
  <c r="U30" i="1004"/>
  <c r="V30" i="1004"/>
  <c r="W30" i="1004"/>
  <c r="X30" i="1004"/>
  <c r="Y30" i="1004"/>
  <c r="Z30" i="1004"/>
  <c r="R31" i="1004"/>
  <c r="S31" i="1004"/>
  <c r="T31" i="1004"/>
  <c r="U31" i="1004"/>
  <c r="V31" i="1004"/>
  <c r="W31" i="1004"/>
  <c r="X31" i="1004"/>
  <c r="Y31" i="1004"/>
  <c r="Z31" i="1004"/>
  <c r="M24" i="1004"/>
  <c r="O24" i="1004"/>
  <c r="M25" i="1004"/>
  <c r="O25" i="1004"/>
  <c r="D24" i="1004"/>
  <c r="E24" i="1004"/>
  <c r="F24" i="1004"/>
  <c r="G24" i="1004"/>
  <c r="D25" i="1004"/>
  <c r="E25" i="1004"/>
  <c r="F25" i="1004"/>
  <c r="G25" i="1004"/>
  <c r="M20" i="1004"/>
  <c r="O20" i="1004"/>
  <c r="M21" i="1004"/>
  <c r="O21" i="1004"/>
  <c r="M22" i="1004"/>
  <c r="O22" i="1004"/>
  <c r="M23" i="1004"/>
  <c r="O23" i="1004"/>
  <c r="D20" i="1004"/>
  <c r="E20" i="1004"/>
  <c r="F20" i="1004"/>
  <c r="G20" i="1004"/>
  <c r="D21" i="1004"/>
  <c r="E21" i="1004"/>
  <c r="F21" i="1004"/>
  <c r="G21" i="1004"/>
  <c r="D22" i="1004"/>
  <c r="E22" i="1004"/>
  <c r="F22" i="1004"/>
  <c r="G22" i="1004"/>
  <c r="D23" i="1004"/>
  <c r="E23" i="1004"/>
  <c r="F23" i="1004"/>
  <c r="G23" i="1004"/>
  <c r="D11" i="1004"/>
  <c r="E11" i="1004"/>
  <c r="F11" i="1004"/>
  <c r="G11" i="1004"/>
  <c r="M11" i="1004"/>
  <c r="O11" i="1004"/>
  <c r="D12" i="1004"/>
  <c r="E12" i="1004"/>
  <c r="F12" i="1004"/>
  <c r="G12" i="1004"/>
  <c r="M12" i="1004"/>
  <c r="O12" i="1004"/>
  <c r="D13" i="1004"/>
  <c r="E13" i="1004"/>
  <c r="F13" i="1004"/>
  <c r="G13" i="1004"/>
  <c r="M13" i="1004"/>
  <c r="O13" i="1004"/>
  <c r="D14" i="1004"/>
  <c r="E14" i="1004"/>
  <c r="F14" i="1004"/>
  <c r="G14" i="1004"/>
  <c r="M14" i="1004"/>
  <c r="O14" i="1004"/>
  <c r="D15" i="1004"/>
  <c r="E15" i="1004"/>
  <c r="F15" i="1004"/>
  <c r="G15" i="1004"/>
  <c r="M15" i="1004"/>
  <c r="O15" i="1004"/>
  <c r="D16" i="1004"/>
  <c r="E16" i="1004"/>
  <c r="F16" i="1004"/>
  <c r="G16" i="1004"/>
  <c r="M16" i="1004"/>
  <c r="O16" i="1004"/>
  <c r="D17" i="1004"/>
  <c r="E17" i="1004"/>
  <c r="F17" i="1004"/>
  <c r="G17" i="1004"/>
  <c r="M17" i="1004"/>
  <c r="O17" i="1004"/>
  <c r="D18" i="1004"/>
  <c r="E18" i="1004"/>
  <c r="F18" i="1004"/>
  <c r="G18" i="1004"/>
  <c r="M18" i="1004"/>
  <c r="O18" i="1004"/>
  <c r="D19" i="1004"/>
  <c r="E19" i="1004"/>
  <c r="F19" i="1004"/>
  <c r="G19" i="1004"/>
  <c r="M19" i="1004"/>
  <c r="O19" i="1004"/>
  <c r="O10" i="1004"/>
  <c r="M10" i="1004"/>
  <c r="G10" i="1004"/>
  <c r="F10" i="1004"/>
  <c r="E10" i="1004"/>
  <c r="D10" i="1004"/>
  <c r="AX63" i="1004"/>
  <c r="AW63" i="1004"/>
  <c r="AV63" i="1004"/>
  <c r="AU63" i="1004"/>
  <c r="AT63" i="1004"/>
  <c r="AS63" i="1004"/>
  <c r="AR63" i="1004"/>
  <c r="AQ63" i="1004"/>
  <c r="AP63" i="1004"/>
  <c r="AO63" i="1004"/>
  <c r="AN63" i="1004"/>
  <c r="AM63" i="1004"/>
  <c r="AL63" i="1004"/>
  <c r="AK63" i="1004"/>
  <c r="AJ63" i="1004"/>
  <c r="AI63" i="1004"/>
  <c r="AH63" i="1004"/>
  <c r="AG63" i="1004"/>
  <c r="AF63" i="1004"/>
  <c r="AE63" i="1004"/>
  <c r="AD63" i="1004"/>
  <c r="AC63" i="1004"/>
  <c r="AB63" i="1004"/>
  <c r="AX62" i="1004"/>
  <c r="AW62" i="1004"/>
  <c r="AV62" i="1004"/>
  <c r="AU62" i="1004"/>
  <c r="AT62" i="1004"/>
  <c r="AS62" i="1004"/>
  <c r="AR62" i="1004"/>
  <c r="AQ62" i="1004"/>
  <c r="AP62" i="1004"/>
  <c r="AO62" i="1004"/>
  <c r="AN62" i="1004"/>
  <c r="AM62" i="1004"/>
  <c r="AL62" i="1004"/>
  <c r="AK62" i="1004"/>
  <c r="AJ62" i="1004"/>
  <c r="AI62" i="1004"/>
  <c r="AH62" i="1004"/>
  <c r="AG62" i="1004"/>
  <c r="AF62" i="1004"/>
  <c r="AE62" i="1004"/>
  <c r="AD62" i="1004"/>
  <c r="AC62" i="1004"/>
  <c r="AB62" i="1004"/>
  <c r="AX61" i="1004"/>
  <c r="AW61" i="1004"/>
  <c r="AV61" i="1004"/>
  <c r="AU61" i="1004"/>
  <c r="AT61" i="1004"/>
  <c r="AS61" i="1004"/>
  <c r="AR61" i="1004"/>
  <c r="AQ61" i="1004"/>
  <c r="AP61" i="1004"/>
  <c r="AO61" i="1004"/>
  <c r="AN61" i="1004"/>
  <c r="AM61" i="1004"/>
  <c r="AL61" i="1004"/>
  <c r="AK61" i="1004"/>
  <c r="AJ61" i="1004"/>
  <c r="AI61" i="1004"/>
  <c r="AH61" i="1004"/>
  <c r="AG61" i="1004"/>
  <c r="AF61" i="1004"/>
  <c r="AE61" i="1004"/>
  <c r="AD61" i="1004"/>
  <c r="AC61" i="1004"/>
  <c r="AB61" i="1004"/>
  <c r="K56" i="1004"/>
  <c r="Z43" i="1004"/>
  <c r="Y43" i="1004"/>
  <c r="X43" i="1004"/>
  <c r="W43" i="1004"/>
  <c r="V43" i="1004"/>
  <c r="U43" i="1004"/>
  <c r="T43" i="1004"/>
  <c r="S43" i="1004"/>
  <c r="R43" i="1004"/>
  <c r="Z42" i="1004"/>
  <c r="Y42" i="1004"/>
  <c r="X42" i="1004"/>
  <c r="W42" i="1004"/>
  <c r="V42" i="1004"/>
  <c r="U42" i="1004"/>
  <c r="T42" i="1004"/>
  <c r="S42" i="1004"/>
  <c r="R42" i="1004"/>
  <c r="Z41" i="1004"/>
  <c r="Y41" i="1004"/>
  <c r="X41" i="1004"/>
  <c r="W41" i="1004"/>
  <c r="V41" i="1004"/>
  <c r="U41" i="1004"/>
  <c r="T41" i="1004"/>
  <c r="S41" i="1004"/>
  <c r="R41" i="1004"/>
  <c r="Z40" i="1004"/>
  <c r="Y40" i="1004"/>
  <c r="X40" i="1004"/>
  <c r="W40" i="1004"/>
  <c r="V40" i="1004"/>
  <c r="U40" i="1004"/>
  <c r="T40" i="1004"/>
  <c r="S40" i="1004"/>
  <c r="R40" i="1004"/>
  <c r="Z39" i="1004"/>
  <c r="Y39" i="1004"/>
  <c r="X39" i="1004"/>
  <c r="W39" i="1004"/>
  <c r="V39" i="1004"/>
  <c r="U39" i="1004"/>
  <c r="T39" i="1004"/>
  <c r="S39" i="1004"/>
  <c r="R39" i="1004"/>
  <c r="Z38" i="1004"/>
  <c r="Y38" i="1004"/>
  <c r="X38" i="1004"/>
  <c r="W38" i="1004"/>
  <c r="V38" i="1004"/>
  <c r="U38" i="1004"/>
  <c r="T38" i="1004"/>
  <c r="S38" i="1004"/>
  <c r="R38" i="1004"/>
  <c r="M38" i="1004"/>
  <c r="Z37" i="1004"/>
  <c r="Y37" i="1004"/>
  <c r="X37" i="1004"/>
  <c r="W37" i="1004"/>
  <c r="V37" i="1004"/>
  <c r="U37" i="1004"/>
  <c r="T37" i="1004"/>
  <c r="S37" i="1004"/>
  <c r="R37" i="1004"/>
  <c r="M37" i="1004"/>
  <c r="Z36" i="1004"/>
  <c r="Y36" i="1004"/>
  <c r="X36" i="1004"/>
  <c r="W36" i="1004"/>
  <c r="V36" i="1004"/>
  <c r="U36" i="1004"/>
  <c r="T36" i="1004"/>
  <c r="S36" i="1004"/>
  <c r="R36" i="1004"/>
  <c r="Z35" i="1004"/>
  <c r="Y35" i="1004"/>
  <c r="X35" i="1004"/>
  <c r="W35" i="1004"/>
  <c r="V35" i="1004"/>
  <c r="U35" i="1004"/>
  <c r="T35" i="1004"/>
  <c r="S35" i="1004"/>
  <c r="R35" i="1004"/>
  <c r="M35" i="1004"/>
  <c r="Z34" i="1004"/>
  <c r="Y34" i="1004"/>
  <c r="X34" i="1004"/>
  <c r="W34" i="1004"/>
  <c r="V34" i="1004"/>
  <c r="U34" i="1004"/>
  <c r="T34" i="1004"/>
  <c r="S34" i="1004"/>
  <c r="R34" i="1004"/>
  <c r="M34" i="1004"/>
  <c r="L34" i="1004"/>
  <c r="K34" i="1004"/>
  <c r="Z33" i="1004"/>
  <c r="Y33" i="1004"/>
  <c r="X33" i="1004"/>
  <c r="W33" i="1004"/>
  <c r="V33" i="1004"/>
  <c r="U33" i="1004"/>
  <c r="T33" i="1004"/>
  <c r="S33" i="1004"/>
  <c r="R33" i="1004"/>
  <c r="M33" i="1004"/>
  <c r="L33" i="1004"/>
  <c r="K33" i="1004"/>
  <c r="Z32" i="1004"/>
  <c r="Y32" i="1004"/>
  <c r="X32" i="1004"/>
  <c r="W32" i="1004"/>
  <c r="V32" i="1004"/>
  <c r="U32" i="1004"/>
  <c r="T32" i="1004"/>
  <c r="S32" i="1004"/>
  <c r="R32" i="1004"/>
  <c r="Z18" i="1004"/>
  <c r="Y18" i="1004"/>
  <c r="X18" i="1004"/>
  <c r="W18" i="1004"/>
  <c r="V18" i="1004"/>
  <c r="U18" i="1004"/>
  <c r="T18" i="1004"/>
  <c r="S18" i="1004"/>
  <c r="R18" i="1004"/>
  <c r="Z17" i="1004"/>
  <c r="Y17" i="1004"/>
  <c r="X17" i="1004"/>
  <c r="W17" i="1004"/>
  <c r="V17" i="1004"/>
  <c r="U17" i="1004"/>
  <c r="T17" i="1004"/>
  <c r="S17" i="1004"/>
  <c r="R17" i="1004"/>
  <c r="Z16" i="1004"/>
  <c r="Y16" i="1004"/>
  <c r="X16" i="1004"/>
  <c r="W16" i="1004"/>
  <c r="V16" i="1004"/>
  <c r="U16" i="1004"/>
  <c r="T16" i="1004"/>
  <c r="S16" i="1004"/>
  <c r="R16" i="1004"/>
  <c r="Z15" i="1004"/>
  <c r="Y15" i="1004"/>
  <c r="X15" i="1004"/>
  <c r="W15" i="1004"/>
  <c r="V15" i="1004"/>
  <c r="U15" i="1004"/>
  <c r="T15" i="1004"/>
  <c r="S15" i="1004"/>
  <c r="R15" i="1004"/>
  <c r="Z14" i="1004"/>
  <c r="Y14" i="1004"/>
  <c r="X14" i="1004"/>
  <c r="W14" i="1004"/>
  <c r="V14" i="1004"/>
  <c r="U14" i="1004"/>
  <c r="T14" i="1004"/>
  <c r="S14" i="1004"/>
  <c r="R14" i="1004"/>
  <c r="Z13" i="1004"/>
  <c r="Y13" i="1004"/>
  <c r="X13" i="1004"/>
  <c r="W13" i="1004"/>
  <c r="V13" i="1004"/>
  <c r="U13" i="1004"/>
  <c r="T13" i="1004"/>
  <c r="S13" i="1004"/>
  <c r="R13" i="1004"/>
  <c r="Z12" i="1004"/>
  <c r="Y12" i="1004"/>
  <c r="X12" i="1004"/>
  <c r="W12" i="1004"/>
  <c r="V12" i="1004"/>
  <c r="U12" i="1004"/>
  <c r="T12" i="1004"/>
  <c r="S12" i="1004"/>
  <c r="R12" i="1004"/>
  <c r="Z11" i="1004"/>
  <c r="Y11" i="1004"/>
  <c r="X11" i="1004"/>
  <c r="W11" i="1004"/>
  <c r="V11" i="1004"/>
  <c r="U11" i="1004"/>
  <c r="T11" i="1004"/>
  <c r="S11" i="1004"/>
  <c r="R11" i="1004"/>
  <c r="Z10" i="1004"/>
  <c r="Y10" i="1004"/>
  <c r="X10" i="1004"/>
  <c r="W10" i="1004"/>
  <c r="V10" i="1004"/>
  <c r="U10" i="1004"/>
  <c r="T10" i="1004"/>
  <c r="S10" i="1004"/>
  <c r="R10" i="1004"/>
  <c r="P34" i="1003"/>
  <c r="R12" i="1003" l="1"/>
  <c r="S12" i="1003"/>
  <c r="T12" i="1003"/>
  <c r="U12" i="1003"/>
  <c r="V12" i="1003"/>
  <c r="W12" i="1003"/>
  <c r="X12" i="1003"/>
  <c r="Y12" i="1003"/>
  <c r="Z12" i="1003"/>
  <c r="R13" i="1003"/>
  <c r="S13" i="1003"/>
  <c r="T13" i="1003"/>
  <c r="U13" i="1003"/>
  <c r="V13" i="1003"/>
  <c r="W13" i="1003"/>
  <c r="X13" i="1003"/>
  <c r="Y13" i="1003"/>
  <c r="Z13" i="1003"/>
  <c r="R14" i="1003"/>
  <c r="S14" i="1003"/>
  <c r="T14" i="1003"/>
  <c r="U14" i="1003"/>
  <c r="V14" i="1003"/>
  <c r="W14" i="1003"/>
  <c r="X14" i="1003"/>
  <c r="Y14" i="1003"/>
  <c r="Z14" i="1003"/>
  <c r="R15" i="1003"/>
  <c r="S15" i="1003"/>
  <c r="T15" i="1003"/>
  <c r="U15" i="1003"/>
  <c r="V15" i="1003"/>
  <c r="W15" i="1003"/>
  <c r="X15" i="1003"/>
  <c r="Y15" i="1003"/>
  <c r="Z15" i="1003"/>
  <c r="R16" i="1003"/>
  <c r="S16" i="1003"/>
  <c r="T16" i="1003"/>
  <c r="U16" i="1003"/>
  <c r="V16" i="1003"/>
  <c r="W16" i="1003"/>
  <c r="X16" i="1003"/>
  <c r="Y16" i="1003"/>
  <c r="Z16" i="1003"/>
  <c r="R17" i="1003"/>
  <c r="S17" i="1003"/>
  <c r="T17" i="1003"/>
  <c r="U17" i="1003"/>
  <c r="V17" i="1003"/>
  <c r="W17" i="1003"/>
  <c r="X17" i="1003"/>
  <c r="Y17" i="1003"/>
  <c r="Z17" i="1003"/>
  <c r="R18" i="1003"/>
  <c r="S18" i="1003"/>
  <c r="T18" i="1003"/>
  <c r="U18" i="1003"/>
  <c r="V18" i="1003"/>
  <c r="W18" i="1003"/>
  <c r="X18" i="1003"/>
  <c r="Y18" i="1003"/>
  <c r="Z18" i="1003"/>
  <c r="R19" i="1003"/>
  <c r="S19" i="1003"/>
  <c r="T19" i="1003"/>
  <c r="U19" i="1003"/>
  <c r="V19" i="1003"/>
  <c r="W19" i="1003"/>
  <c r="X19" i="1003"/>
  <c r="Y19" i="1003"/>
  <c r="Z19" i="1003"/>
  <c r="R20" i="1003"/>
  <c r="S20" i="1003"/>
  <c r="T20" i="1003"/>
  <c r="U20" i="1003"/>
  <c r="V20" i="1003"/>
  <c r="W20" i="1003"/>
  <c r="X20" i="1003"/>
  <c r="Y20" i="1003"/>
  <c r="Z20" i="1003"/>
  <c r="R21" i="1003"/>
  <c r="S21" i="1003"/>
  <c r="T21" i="1003"/>
  <c r="U21" i="1003"/>
  <c r="V21" i="1003"/>
  <c r="W21" i="1003"/>
  <c r="X21" i="1003"/>
  <c r="Y21" i="1003"/>
  <c r="Z21" i="1003"/>
  <c r="M25" i="1003"/>
  <c r="L25" i="1003"/>
  <c r="K25" i="1003"/>
  <c r="I10" i="1003"/>
  <c r="J10" i="1003"/>
  <c r="L10" i="1003"/>
  <c r="M10" i="1003"/>
  <c r="N10" i="1003"/>
  <c r="O10" i="1003"/>
  <c r="I11" i="1003"/>
  <c r="J11" i="1003"/>
  <c r="L11" i="1003"/>
  <c r="M11" i="1003"/>
  <c r="N11" i="1003"/>
  <c r="O11" i="1003"/>
  <c r="I12" i="1003"/>
  <c r="J12" i="1003"/>
  <c r="L12" i="1003"/>
  <c r="M12" i="1003"/>
  <c r="N12" i="1003"/>
  <c r="O12" i="1003"/>
  <c r="I13" i="1003"/>
  <c r="J13" i="1003"/>
  <c r="L13" i="1003"/>
  <c r="M13" i="1003"/>
  <c r="N13" i="1003"/>
  <c r="O13" i="1003"/>
  <c r="I14" i="1003"/>
  <c r="J14" i="1003"/>
  <c r="L14" i="1003"/>
  <c r="M14" i="1003"/>
  <c r="N14" i="1003"/>
  <c r="O14" i="1003"/>
  <c r="I15" i="1003"/>
  <c r="J15" i="1003"/>
  <c r="L15" i="1003"/>
  <c r="M15" i="1003"/>
  <c r="N15" i="1003"/>
  <c r="O15" i="1003"/>
  <c r="I16" i="1003"/>
  <c r="J16" i="1003"/>
  <c r="L16" i="1003"/>
  <c r="M16" i="1003"/>
  <c r="N16" i="1003"/>
  <c r="O16" i="1003"/>
  <c r="I17" i="1003"/>
  <c r="J17" i="1003"/>
  <c r="L17" i="1003"/>
  <c r="M17" i="1003"/>
  <c r="N17" i="1003"/>
  <c r="O17" i="1003"/>
  <c r="C10" i="1003"/>
  <c r="D10" i="1003"/>
  <c r="E10" i="1003"/>
  <c r="F10" i="1003"/>
  <c r="G10" i="1003"/>
  <c r="C11" i="1003"/>
  <c r="D11" i="1003"/>
  <c r="E11" i="1003"/>
  <c r="F11" i="1003"/>
  <c r="G11" i="1003"/>
  <c r="C12" i="1003"/>
  <c r="D12" i="1003"/>
  <c r="E12" i="1003"/>
  <c r="F12" i="1003"/>
  <c r="G12" i="1003"/>
  <c r="C13" i="1003"/>
  <c r="D13" i="1003"/>
  <c r="E13" i="1003"/>
  <c r="F13" i="1003"/>
  <c r="G13" i="1003"/>
  <c r="C14" i="1003"/>
  <c r="D14" i="1003"/>
  <c r="E14" i="1003"/>
  <c r="F14" i="1003"/>
  <c r="G14" i="1003"/>
  <c r="C15" i="1003"/>
  <c r="D15" i="1003"/>
  <c r="E15" i="1003"/>
  <c r="F15" i="1003"/>
  <c r="G15" i="1003"/>
  <c r="C16" i="1003"/>
  <c r="D16" i="1003"/>
  <c r="E16" i="1003"/>
  <c r="F16" i="1003"/>
  <c r="G16" i="1003"/>
  <c r="C17" i="1003"/>
  <c r="D17" i="1003"/>
  <c r="E17" i="1003"/>
  <c r="F17" i="1003"/>
  <c r="G17" i="1003"/>
  <c r="AX55" i="1003"/>
  <c r="AW55" i="1003"/>
  <c r="AV55" i="1003"/>
  <c r="AU55" i="1003"/>
  <c r="AT55" i="1003"/>
  <c r="AS55" i="1003"/>
  <c r="AR55" i="1003"/>
  <c r="AQ55" i="1003"/>
  <c r="AP55" i="1003"/>
  <c r="AO55" i="1003"/>
  <c r="AN55" i="1003"/>
  <c r="AM55" i="1003"/>
  <c r="AL55" i="1003"/>
  <c r="AK55" i="1003"/>
  <c r="AJ55" i="1003"/>
  <c r="AI55" i="1003"/>
  <c r="AH55" i="1003"/>
  <c r="AG55" i="1003"/>
  <c r="AF55" i="1003"/>
  <c r="AE55" i="1003"/>
  <c r="AD55" i="1003"/>
  <c r="AC55" i="1003"/>
  <c r="AB55" i="1003"/>
  <c r="AX54" i="1003"/>
  <c r="AW54" i="1003"/>
  <c r="AV54" i="1003"/>
  <c r="AU54" i="1003"/>
  <c r="AT54" i="1003"/>
  <c r="AS54" i="1003"/>
  <c r="AR54" i="1003"/>
  <c r="AQ54" i="1003"/>
  <c r="AP54" i="1003"/>
  <c r="AO54" i="1003"/>
  <c r="AN54" i="1003"/>
  <c r="AM54" i="1003"/>
  <c r="AL54" i="1003"/>
  <c r="AK54" i="1003"/>
  <c r="AJ54" i="1003"/>
  <c r="AI54" i="1003"/>
  <c r="AH54" i="1003"/>
  <c r="AG54" i="1003"/>
  <c r="AF54" i="1003"/>
  <c r="AE54" i="1003"/>
  <c r="AD54" i="1003"/>
  <c r="AC54" i="1003"/>
  <c r="AB54" i="1003"/>
  <c r="AX53" i="1003"/>
  <c r="AW53" i="1003"/>
  <c r="AV53" i="1003"/>
  <c r="AU53" i="1003"/>
  <c r="AT53" i="1003"/>
  <c r="AS53" i="1003"/>
  <c r="AR53" i="1003"/>
  <c r="AQ53" i="1003"/>
  <c r="AP53" i="1003"/>
  <c r="AO53" i="1003"/>
  <c r="AN53" i="1003"/>
  <c r="AM53" i="1003"/>
  <c r="AL53" i="1003"/>
  <c r="AK53" i="1003"/>
  <c r="AJ53" i="1003"/>
  <c r="AI53" i="1003"/>
  <c r="AH53" i="1003"/>
  <c r="AG53" i="1003"/>
  <c r="AF53" i="1003"/>
  <c r="AE53" i="1003"/>
  <c r="AD53" i="1003"/>
  <c r="AC53" i="1003"/>
  <c r="AB53" i="1003"/>
  <c r="K48" i="1003"/>
  <c r="Z35" i="1003"/>
  <c r="Y35" i="1003"/>
  <c r="X35" i="1003"/>
  <c r="W35" i="1003"/>
  <c r="V35" i="1003"/>
  <c r="U35" i="1003"/>
  <c r="T35" i="1003"/>
  <c r="S35" i="1003"/>
  <c r="R35" i="1003"/>
  <c r="Z34" i="1003"/>
  <c r="Y34" i="1003"/>
  <c r="X34" i="1003"/>
  <c r="W34" i="1003"/>
  <c r="V34" i="1003"/>
  <c r="U34" i="1003"/>
  <c r="T34" i="1003"/>
  <c r="S34" i="1003"/>
  <c r="R34" i="1003"/>
  <c r="Z33" i="1003"/>
  <c r="Y33" i="1003"/>
  <c r="X33" i="1003"/>
  <c r="W33" i="1003"/>
  <c r="V33" i="1003"/>
  <c r="U33" i="1003"/>
  <c r="T33" i="1003"/>
  <c r="S33" i="1003"/>
  <c r="R33" i="1003"/>
  <c r="Z32" i="1003"/>
  <c r="Y32" i="1003"/>
  <c r="X32" i="1003"/>
  <c r="W32" i="1003"/>
  <c r="V32" i="1003"/>
  <c r="U32" i="1003"/>
  <c r="T32" i="1003"/>
  <c r="S32" i="1003"/>
  <c r="R32" i="1003"/>
  <c r="Z31" i="1003"/>
  <c r="Y31" i="1003"/>
  <c r="X31" i="1003"/>
  <c r="W31" i="1003"/>
  <c r="V31" i="1003"/>
  <c r="U31" i="1003"/>
  <c r="T31" i="1003"/>
  <c r="S31" i="1003"/>
  <c r="R31" i="1003"/>
  <c r="Z30" i="1003"/>
  <c r="Y30" i="1003"/>
  <c r="X30" i="1003"/>
  <c r="W30" i="1003"/>
  <c r="V30" i="1003"/>
  <c r="U30" i="1003"/>
  <c r="T30" i="1003"/>
  <c r="S30" i="1003"/>
  <c r="R30" i="1003"/>
  <c r="M30" i="1003"/>
  <c r="Z29" i="1003"/>
  <c r="Y29" i="1003"/>
  <c r="X29" i="1003"/>
  <c r="W29" i="1003"/>
  <c r="V29" i="1003"/>
  <c r="U29" i="1003"/>
  <c r="T29" i="1003"/>
  <c r="S29" i="1003"/>
  <c r="R29" i="1003"/>
  <c r="M29" i="1003"/>
  <c r="Z28" i="1003"/>
  <c r="Y28" i="1003"/>
  <c r="X28" i="1003"/>
  <c r="W28" i="1003"/>
  <c r="V28" i="1003"/>
  <c r="U28" i="1003"/>
  <c r="T28" i="1003"/>
  <c r="S28" i="1003"/>
  <c r="R28" i="1003"/>
  <c r="Z27" i="1003"/>
  <c r="Y27" i="1003"/>
  <c r="X27" i="1003"/>
  <c r="W27" i="1003"/>
  <c r="V27" i="1003"/>
  <c r="U27" i="1003"/>
  <c r="T27" i="1003"/>
  <c r="S27" i="1003"/>
  <c r="R27" i="1003"/>
  <c r="M27" i="1003"/>
  <c r="Z26" i="1003"/>
  <c r="Y26" i="1003"/>
  <c r="X26" i="1003"/>
  <c r="W26" i="1003"/>
  <c r="V26" i="1003"/>
  <c r="U26" i="1003"/>
  <c r="T26" i="1003"/>
  <c r="S26" i="1003"/>
  <c r="R26" i="1003"/>
  <c r="M26" i="1003"/>
  <c r="L26" i="1003"/>
  <c r="K26" i="1003"/>
  <c r="Z25" i="1003"/>
  <c r="Y25" i="1003"/>
  <c r="X25" i="1003"/>
  <c r="W25" i="1003"/>
  <c r="V25" i="1003"/>
  <c r="U25" i="1003"/>
  <c r="T25" i="1003"/>
  <c r="S25" i="1003"/>
  <c r="R25" i="1003"/>
  <c r="Z24" i="1003"/>
  <c r="Y24" i="1003"/>
  <c r="X24" i="1003"/>
  <c r="W24" i="1003"/>
  <c r="V24" i="1003"/>
  <c r="U24" i="1003"/>
  <c r="T24" i="1003"/>
  <c r="S24" i="1003"/>
  <c r="R24" i="1003"/>
  <c r="Z23" i="1003"/>
  <c r="Y23" i="1003"/>
  <c r="X23" i="1003"/>
  <c r="W23" i="1003"/>
  <c r="V23" i="1003"/>
  <c r="U23" i="1003"/>
  <c r="T23" i="1003"/>
  <c r="S23" i="1003"/>
  <c r="R23" i="1003"/>
  <c r="Z22" i="1003"/>
  <c r="Y22" i="1003"/>
  <c r="X22" i="1003"/>
  <c r="W22" i="1003"/>
  <c r="V22" i="1003"/>
  <c r="U22" i="1003"/>
  <c r="T22" i="1003"/>
  <c r="S22" i="1003"/>
  <c r="R22" i="1003"/>
  <c r="Z11" i="1003"/>
  <c r="Y11" i="1003"/>
  <c r="X11" i="1003"/>
  <c r="W11" i="1003"/>
  <c r="V11" i="1003"/>
  <c r="U11" i="1003"/>
  <c r="T11" i="1003"/>
  <c r="S11" i="1003"/>
  <c r="R11" i="1003"/>
  <c r="Z10" i="1003"/>
  <c r="Y10" i="1003"/>
  <c r="X10" i="1003"/>
  <c r="W10" i="1003"/>
  <c r="V10" i="1003"/>
  <c r="U10" i="1003"/>
  <c r="T10" i="1003"/>
  <c r="S10" i="1003"/>
  <c r="R10" i="1003"/>
  <c r="M23" i="1002"/>
  <c r="L23" i="1002"/>
  <c r="K23" i="1002"/>
  <c r="R10" i="1002"/>
  <c r="S10" i="1002"/>
  <c r="T10" i="1002"/>
  <c r="U10" i="1002"/>
  <c r="V10" i="1002"/>
  <c r="W10" i="1002"/>
  <c r="X10" i="1002"/>
  <c r="Y10" i="1002"/>
  <c r="Z10" i="1002"/>
  <c r="R11" i="1002"/>
  <c r="S11" i="1002"/>
  <c r="T11" i="1002"/>
  <c r="U11" i="1002"/>
  <c r="V11" i="1002"/>
  <c r="W11" i="1002"/>
  <c r="X11" i="1002"/>
  <c r="Y11" i="1002"/>
  <c r="Z11" i="1002"/>
  <c r="R12" i="1002"/>
  <c r="S12" i="1002"/>
  <c r="T12" i="1002"/>
  <c r="U12" i="1002"/>
  <c r="V12" i="1002"/>
  <c r="W12" i="1002"/>
  <c r="X12" i="1002"/>
  <c r="Y12" i="1002"/>
  <c r="Z12" i="1002"/>
  <c r="R13" i="1002"/>
  <c r="S13" i="1002"/>
  <c r="T13" i="1002"/>
  <c r="U13" i="1002"/>
  <c r="V13" i="1002"/>
  <c r="W13" i="1002"/>
  <c r="X13" i="1002"/>
  <c r="Y13" i="1002"/>
  <c r="Z13" i="1002"/>
  <c r="R14" i="1002"/>
  <c r="S14" i="1002"/>
  <c r="T14" i="1002"/>
  <c r="U14" i="1002"/>
  <c r="V14" i="1002"/>
  <c r="W14" i="1002"/>
  <c r="X14" i="1002"/>
  <c r="Y14" i="1002"/>
  <c r="Z14" i="1002"/>
  <c r="C10" i="1002"/>
  <c r="D10" i="1002"/>
  <c r="E10" i="1002"/>
  <c r="F10" i="1002"/>
  <c r="G10" i="1002"/>
  <c r="I10" i="1002"/>
  <c r="J10" i="1002"/>
  <c r="L10" i="1002"/>
  <c r="M10" i="1002"/>
  <c r="N10" i="1002"/>
  <c r="O10" i="1002"/>
  <c r="C11" i="1002"/>
  <c r="D11" i="1002"/>
  <c r="E11" i="1002"/>
  <c r="F11" i="1002"/>
  <c r="G11" i="1002"/>
  <c r="I11" i="1002"/>
  <c r="J11" i="1002"/>
  <c r="L11" i="1002"/>
  <c r="M11" i="1002"/>
  <c r="N11" i="1002"/>
  <c r="O11" i="1002"/>
  <c r="C12" i="1002"/>
  <c r="D12" i="1002"/>
  <c r="E12" i="1002"/>
  <c r="F12" i="1002"/>
  <c r="G12" i="1002"/>
  <c r="I12" i="1002"/>
  <c r="J12" i="1002"/>
  <c r="L12" i="1002"/>
  <c r="M12" i="1002"/>
  <c r="N12" i="1002"/>
  <c r="O12" i="1002"/>
  <c r="J25" i="1003" l="1"/>
  <c r="J23" i="1002"/>
  <c r="AX53" i="1002"/>
  <c r="AW53" i="1002"/>
  <c r="AV53" i="1002"/>
  <c r="AU53" i="1002"/>
  <c r="AT53" i="1002"/>
  <c r="AS53" i="1002"/>
  <c r="AR53" i="1002"/>
  <c r="AQ53" i="1002"/>
  <c r="AP53" i="1002"/>
  <c r="AO53" i="1002"/>
  <c r="AN53" i="1002"/>
  <c r="AM53" i="1002"/>
  <c r="AL53" i="1002"/>
  <c r="AK53" i="1002"/>
  <c r="AJ53" i="1002"/>
  <c r="AI53" i="1002"/>
  <c r="AH53" i="1002"/>
  <c r="AG53" i="1002"/>
  <c r="AF53" i="1002"/>
  <c r="AE53" i="1002"/>
  <c r="AD53" i="1002"/>
  <c r="AC53" i="1002"/>
  <c r="AB53" i="1002"/>
  <c r="AX52" i="1002"/>
  <c r="AW52" i="1002"/>
  <c r="AV52" i="1002"/>
  <c r="AU52" i="1002"/>
  <c r="AT52" i="1002"/>
  <c r="AS52" i="1002"/>
  <c r="AR52" i="1002"/>
  <c r="AQ52" i="1002"/>
  <c r="AP52" i="1002"/>
  <c r="AO52" i="1002"/>
  <c r="AN52" i="1002"/>
  <c r="AM52" i="1002"/>
  <c r="AL52" i="1002"/>
  <c r="AK52" i="1002"/>
  <c r="AJ52" i="1002"/>
  <c r="AI52" i="1002"/>
  <c r="AH52" i="1002"/>
  <c r="AG52" i="1002"/>
  <c r="AF52" i="1002"/>
  <c r="AE52" i="1002"/>
  <c r="AD52" i="1002"/>
  <c r="AC52" i="1002"/>
  <c r="AB52" i="1002"/>
  <c r="AX51" i="1002"/>
  <c r="AW51" i="1002"/>
  <c r="AV51" i="1002"/>
  <c r="AU51" i="1002"/>
  <c r="AT51" i="1002"/>
  <c r="AS51" i="1002"/>
  <c r="AR51" i="1002"/>
  <c r="AQ51" i="1002"/>
  <c r="AP51" i="1002"/>
  <c r="AO51" i="1002"/>
  <c r="AN51" i="1002"/>
  <c r="AM51" i="1002"/>
  <c r="AL51" i="1002"/>
  <c r="AK51" i="1002"/>
  <c r="AJ51" i="1002"/>
  <c r="AI51" i="1002"/>
  <c r="AH51" i="1002"/>
  <c r="AG51" i="1002"/>
  <c r="AF51" i="1002"/>
  <c r="AE51" i="1002"/>
  <c r="AD51" i="1002"/>
  <c r="AC51" i="1002"/>
  <c r="AB51" i="1002"/>
  <c r="K46" i="1002"/>
  <c r="Z33" i="1002"/>
  <c r="Y33" i="1002"/>
  <c r="X33" i="1002"/>
  <c r="W33" i="1002"/>
  <c r="V33" i="1002"/>
  <c r="U33" i="1002"/>
  <c r="T33" i="1002"/>
  <c r="S33" i="1002"/>
  <c r="R33" i="1002"/>
  <c r="Z32" i="1002"/>
  <c r="Y32" i="1002"/>
  <c r="X32" i="1002"/>
  <c r="W32" i="1002"/>
  <c r="V32" i="1002"/>
  <c r="U32" i="1002"/>
  <c r="T32" i="1002"/>
  <c r="S32" i="1002"/>
  <c r="R32" i="1002"/>
  <c r="Z31" i="1002"/>
  <c r="Y31" i="1002"/>
  <c r="X31" i="1002"/>
  <c r="W31" i="1002"/>
  <c r="V31" i="1002"/>
  <c r="U31" i="1002"/>
  <c r="T31" i="1002"/>
  <c r="S31" i="1002"/>
  <c r="R31" i="1002"/>
  <c r="Z30" i="1002"/>
  <c r="Y30" i="1002"/>
  <c r="X30" i="1002"/>
  <c r="W30" i="1002"/>
  <c r="V30" i="1002"/>
  <c r="U30" i="1002"/>
  <c r="T30" i="1002"/>
  <c r="S30" i="1002"/>
  <c r="R30" i="1002"/>
  <c r="Z29" i="1002"/>
  <c r="Y29" i="1002"/>
  <c r="X29" i="1002"/>
  <c r="W29" i="1002"/>
  <c r="V29" i="1002"/>
  <c r="U29" i="1002"/>
  <c r="T29" i="1002"/>
  <c r="S29" i="1002"/>
  <c r="R29" i="1002"/>
  <c r="Z28" i="1002"/>
  <c r="Y28" i="1002"/>
  <c r="X28" i="1002"/>
  <c r="W28" i="1002"/>
  <c r="V28" i="1002"/>
  <c r="U28" i="1002"/>
  <c r="T28" i="1002"/>
  <c r="S28" i="1002"/>
  <c r="R28" i="1002"/>
  <c r="M28" i="1002"/>
  <c r="Z27" i="1002"/>
  <c r="Y27" i="1002"/>
  <c r="X27" i="1002"/>
  <c r="W27" i="1002"/>
  <c r="V27" i="1002"/>
  <c r="U27" i="1002"/>
  <c r="T27" i="1002"/>
  <c r="S27" i="1002"/>
  <c r="R27" i="1002"/>
  <c r="M27" i="1002"/>
  <c r="Z26" i="1002"/>
  <c r="Y26" i="1002"/>
  <c r="X26" i="1002"/>
  <c r="W26" i="1002"/>
  <c r="V26" i="1002"/>
  <c r="U26" i="1002"/>
  <c r="T26" i="1002"/>
  <c r="S26" i="1002"/>
  <c r="R26" i="1002"/>
  <c r="Z25" i="1002"/>
  <c r="Y25" i="1002"/>
  <c r="X25" i="1002"/>
  <c r="W25" i="1002"/>
  <c r="V25" i="1002"/>
  <c r="U25" i="1002"/>
  <c r="T25" i="1002"/>
  <c r="S25" i="1002"/>
  <c r="R25" i="1002"/>
  <c r="M25" i="1002"/>
  <c r="Z24" i="1002"/>
  <c r="Y24" i="1002"/>
  <c r="X24" i="1002"/>
  <c r="W24" i="1002"/>
  <c r="V24" i="1002"/>
  <c r="U24" i="1002"/>
  <c r="T24" i="1002"/>
  <c r="S24" i="1002"/>
  <c r="R24" i="1002"/>
  <c r="M24" i="1002"/>
  <c r="L24" i="1002"/>
  <c r="K24" i="1002"/>
  <c r="Z23" i="1002"/>
  <c r="Y23" i="1002"/>
  <c r="X23" i="1002"/>
  <c r="W23" i="1002"/>
  <c r="V23" i="1002"/>
  <c r="U23" i="1002"/>
  <c r="T23" i="1002"/>
  <c r="S23" i="1002"/>
  <c r="R23" i="1002"/>
  <c r="Z22" i="1002"/>
  <c r="Y22" i="1002"/>
  <c r="X22" i="1002"/>
  <c r="W22" i="1002"/>
  <c r="V22" i="1002"/>
  <c r="U22" i="1002"/>
  <c r="T22" i="1002"/>
  <c r="S22" i="1002"/>
  <c r="R22" i="1002"/>
  <c r="Z21" i="1002"/>
  <c r="Y21" i="1002"/>
  <c r="X21" i="1002"/>
  <c r="W21" i="1002"/>
  <c r="V21" i="1002"/>
  <c r="U21" i="1002"/>
  <c r="T21" i="1002"/>
  <c r="S21" i="1002"/>
  <c r="R21" i="1002"/>
  <c r="Z20" i="1002"/>
  <c r="Y20" i="1002"/>
  <c r="X20" i="1002"/>
  <c r="W20" i="1002"/>
  <c r="V20" i="1002"/>
  <c r="U20" i="1002"/>
  <c r="T20" i="1002"/>
  <c r="S20" i="1002"/>
  <c r="R20" i="1002"/>
  <c r="Z19" i="1002"/>
  <c r="Y19" i="1002"/>
  <c r="X19" i="1002"/>
  <c r="W19" i="1002"/>
  <c r="V19" i="1002"/>
  <c r="U19" i="1002"/>
  <c r="T19" i="1002"/>
  <c r="S19" i="1002"/>
  <c r="R19" i="1002"/>
  <c r="Z18" i="1002"/>
  <c r="Y18" i="1002"/>
  <c r="X18" i="1002"/>
  <c r="W18" i="1002"/>
  <c r="V18" i="1002"/>
  <c r="U18" i="1002"/>
  <c r="T18" i="1002"/>
  <c r="S18" i="1002"/>
  <c r="R18" i="1002"/>
  <c r="Z17" i="1002"/>
  <c r="Y17" i="1002"/>
  <c r="X17" i="1002"/>
  <c r="W17" i="1002"/>
  <c r="V17" i="1002"/>
  <c r="U17" i="1002"/>
  <c r="T17" i="1002"/>
  <c r="S17" i="1002"/>
  <c r="R17" i="1002"/>
  <c r="Z16" i="1002"/>
  <c r="Y16" i="1002"/>
  <c r="X16" i="1002"/>
  <c r="W16" i="1002"/>
  <c r="V16" i="1002"/>
  <c r="U16" i="1002"/>
  <c r="T16" i="1002"/>
  <c r="S16" i="1002"/>
  <c r="R16" i="1002"/>
  <c r="Z15" i="1002"/>
  <c r="Y15" i="1002"/>
  <c r="X15" i="1002"/>
  <c r="W15" i="1002"/>
  <c r="V15" i="1002"/>
  <c r="U15" i="1002"/>
  <c r="T15" i="1002"/>
  <c r="S15" i="1002"/>
  <c r="R15" i="1002"/>
  <c r="L38" i="1001"/>
  <c r="R11" i="1001"/>
  <c r="S11" i="1001"/>
  <c r="T11" i="1001"/>
  <c r="U11" i="1001"/>
  <c r="V11" i="1001"/>
  <c r="W11" i="1001"/>
  <c r="X11" i="1001"/>
  <c r="Y11" i="1001"/>
  <c r="Z11" i="1001"/>
  <c r="R12" i="1001"/>
  <c r="S12" i="1001"/>
  <c r="T12" i="1001"/>
  <c r="U12" i="1001"/>
  <c r="V12" i="1001"/>
  <c r="W12" i="1001"/>
  <c r="X12" i="1001"/>
  <c r="Y12" i="1001"/>
  <c r="Z12" i="1001"/>
  <c r="R13" i="1001"/>
  <c r="S13" i="1001"/>
  <c r="T13" i="1001"/>
  <c r="U13" i="1001"/>
  <c r="V13" i="1001"/>
  <c r="W13" i="1001"/>
  <c r="X13" i="1001"/>
  <c r="Y13" i="1001"/>
  <c r="Z13" i="1001"/>
  <c r="R14" i="1001"/>
  <c r="S14" i="1001"/>
  <c r="T14" i="1001"/>
  <c r="U14" i="1001"/>
  <c r="V14" i="1001"/>
  <c r="W14" i="1001"/>
  <c r="X14" i="1001"/>
  <c r="Y14" i="1001"/>
  <c r="Z14" i="1001"/>
  <c r="R15" i="1001"/>
  <c r="S15" i="1001"/>
  <c r="T15" i="1001"/>
  <c r="U15" i="1001"/>
  <c r="V15" i="1001"/>
  <c r="W15" i="1001"/>
  <c r="X15" i="1001"/>
  <c r="Y15" i="1001"/>
  <c r="Z15" i="1001"/>
  <c r="R16" i="1001"/>
  <c r="S16" i="1001"/>
  <c r="T16" i="1001"/>
  <c r="U16" i="1001"/>
  <c r="V16" i="1001"/>
  <c r="W16" i="1001"/>
  <c r="X16" i="1001"/>
  <c r="Y16" i="1001"/>
  <c r="Z16" i="1001"/>
  <c r="R17" i="1001"/>
  <c r="S17" i="1001"/>
  <c r="T17" i="1001"/>
  <c r="U17" i="1001"/>
  <c r="V17" i="1001"/>
  <c r="W17" i="1001"/>
  <c r="X17" i="1001"/>
  <c r="Y17" i="1001"/>
  <c r="Z17" i="1001"/>
  <c r="R18" i="1001"/>
  <c r="S18" i="1001"/>
  <c r="T18" i="1001"/>
  <c r="U18" i="1001"/>
  <c r="V18" i="1001"/>
  <c r="W18" i="1001"/>
  <c r="X18" i="1001"/>
  <c r="Y18" i="1001"/>
  <c r="Z18" i="1001"/>
  <c r="R19" i="1001"/>
  <c r="S19" i="1001"/>
  <c r="T19" i="1001"/>
  <c r="U19" i="1001"/>
  <c r="V19" i="1001"/>
  <c r="W19" i="1001"/>
  <c r="X19" i="1001"/>
  <c r="Y19" i="1001"/>
  <c r="Z19" i="1001"/>
  <c r="R20" i="1001"/>
  <c r="S20" i="1001"/>
  <c r="T20" i="1001"/>
  <c r="U20" i="1001"/>
  <c r="V20" i="1001"/>
  <c r="W20" i="1001"/>
  <c r="X20" i="1001"/>
  <c r="Y20" i="1001"/>
  <c r="Z20" i="1001"/>
  <c r="R21" i="1001"/>
  <c r="S21" i="1001"/>
  <c r="T21" i="1001"/>
  <c r="U21" i="1001"/>
  <c r="V21" i="1001"/>
  <c r="W21" i="1001"/>
  <c r="X21" i="1001"/>
  <c r="Y21" i="1001"/>
  <c r="Z21" i="1001"/>
  <c r="R22" i="1001"/>
  <c r="S22" i="1001"/>
  <c r="T22" i="1001"/>
  <c r="U22" i="1001"/>
  <c r="V22" i="1001"/>
  <c r="W22" i="1001"/>
  <c r="X22" i="1001"/>
  <c r="Y22" i="1001"/>
  <c r="Z22" i="1001"/>
  <c r="R23" i="1001"/>
  <c r="S23" i="1001"/>
  <c r="T23" i="1001"/>
  <c r="U23" i="1001"/>
  <c r="V23" i="1001"/>
  <c r="W23" i="1001"/>
  <c r="X23" i="1001"/>
  <c r="Y23" i="1001"/>
  <c r="Z23" i="1001"/>
  <c r="R24" i="1001"/>
  <c r="S24" i="1001"/>
  <c r="T24" i="1001"/>
  <c r="U24" i="1001"/>
  <c r="V24" i="1001"/>
  <c r="W24" i="1001"/>
  <c r="X24" i="1001"/>
  <c r="Y24" i="1001"/>
  <c r="Z24" i="1001"/>
  <c r="M25" i="1001"/>
  <c r="L25" i="1001"/>
  <c r="K25" i="1001"/>
  <c r="I10" i="1001"/>
  <c r="J10" i="1001"/>
  <c r="L10" i="1001"/>
  <c r="M10" i="1001"/>
  <c r="N10" i="1001"/>
  <c r="O10" i="1001"/>
  <c r="I11" i="1001"/>
  <c r="J11" i="1001"/>
  <c r="L11" i="1001"/>
  <c r="M11" i="1001"/>
  <c r="N11" i="1001"/>
  <c r="O11" i="1001"/>
  <c r="I12" i="1001"/>
  <c r="J12" i="1001"/>
  <c r="L12" i="1001"/>
  <c r="M12" i="1001"/>
  <c r="N12" i="1001"/>
  <c r="O12" i="1001"/>
  <c r="I13" i="1001"/>
  <c r="J13" i="1001"/>
  <c r="L13" i="1001"/>
  <c r="M13" i="1001"/>
  <c r="N13" i="1001"/>
  <c r="O13" i="1001"/>
  <c r="I14" i="1001"/>
  <c r="J14" i="1001"/>
  <c r="L14" i="1001"/>
  <c r="M14" i="1001"/>
  <c r="N14" i="1001"/>
  <c r="O14" i="1001"/>
  <c r="C10" i="1001"/>
  <c r="D10" i="1001"/>
  <c r="E10" i="1001"/>
  <c r="F10" i="1001"/>
  <c r="G10" i="1001"/>
  <c r="C11" i="1001"/>
  <c r="D11" i="1001"/>
  <c r="E11" i="1001"/>
  <c r="F11" i="1001"/>
  <c r="G11" i="1001"/>
  <c r="C12" i="1001"/>
  <c r="D12" i="1001"/>
  <c r="E12" i="1001"/>
  <c r="F12" i="1001"/>
  <c r="G12" i="1001"/>
  <c r="C13" i="1001"/>
  <c r="D13" i="1001"/>
  <c r="E13" i="1001"/>
  <c r="F13" i="1001"/>
  <c r="G13" i="1001"/>
  <c r="C14" i="1001"/>
  <c r="D14" i="1001"/>
  <c r="E14" i="1001"/>
  <c r="F14" i="1001"/>
  <c r="G14" i="1001"/>
  <c r="AX54" i="1001"/>
  <c r="AW54" i="1001"/>
  <c r="AV54" i="1001"/>
  <c r="AU54" i="1001"/>
  <c r="AT54" i="1001"/>
  <c r="AS54" i="1001"/>
  <c r="AR54" i="1001"/>
  <c r="AQ54" i="1001"/>
  <c r="AP54" i="1001"/>
  <c r="AO54" i="1001"/>
  <c r="AN54" i="1001"/>
  <c r="AM54" i="1001"/>
  <c r="AL54" i="1001"/>
  <c r="AK54" i="1001"/>
  <c r="AJ54" i="1001"/>
  <c r="AI54" i="1001"/>
  <c r="AH54" i="1001"/>
  <c r="AG54" i="1001"/>
  <c r="AF54" i="1001"/>
  <c r="AE54" i="1001"/>
  <c r="AD54" i="1001"/>
  <c r="AC54" i="1001"/>
  <c r="AB54" i="1001"/>
  <c r="AX53" i="1001"/>
  <c r="AW53" i="1001"/>
  <c r="AV53" i="1001"/>
  <c r="AU53" i="1001"/>
  <c r="AT53" i="1001"/>
  <c r="AS53" i="1001"/>
  <c r="AR53" i="1001"/>
  <c r="AQ53" i="1001"/>
  <c r="AP53" i="1001"/>
  <c r="AO53" i="1001"/>
  <c r="AN53" i="1001"/>
  <c r="AM53" i="1001"/>
  <c r="AL53" i="1001"/>
  <c r="AK53" i="1001"/>
  <c r="AJ53" i="1001"/>
  <c r="AI53" i="1001"/>
  <c r="AH53" i="1001"/>
  <c r="AG53" i="1001"/>
  <c r="AF53" i="1001"/>
  <c r="AE53" i="1001"/>
  <c r="AD53" i="1001"/>
  <c r="AC53" i="1001"/>
  <c r="AB53" i="1001"/>
  <c r="AX52" i="1001"/>
  <c r="AW52" i="1001"/>
  <c r="AV52" i="1001"/>
  <c r="AU52" i="1001"/>
  <c r="AT52" i="1001"/>
  <c r="AS52" i="1001"/>
  <c r="AR52" i="1001"/>
  <c r="AQ52" i="1001"/>
  <c r="AP52" i="1001"/>
  <c r="AO52" i="1001"/>
  <c r="AN52" i="1001"/>
  <c r="AM52" i="1001"/>
  <c r="AL52" i="1001"/>
  <c r="AK52" i="1001"/>
  <c r="AJ52" i="1001"/>
  <c r="AI52" i="1001"/>
  <c r="AH52" i="1001"/>
  <c r="AG52" i="1001"/>
  <c r="AF52" i="1001"/>
  <c r="AE52" i="1001"/>
  <c r="AD52" i="1001"/>
  <c r="AC52" i="1001"/>
  <c r="AB52" i="1001"/>
  <c r="K47" i="1001"/>
  <c r="M38" i="1001" s="1"/>
  <c r="Z34" i="1001"/>
  <c r="Y34" i="1001"/>
  <c r="X34" i="1001"/>
  <c r="W34" i="1001"/>
  <c r="V34" i="1001"/>
  <c r="U34" i="1001"/>
  <c r="T34" i="1001"/>
  <c r="S34" i="1001"/>
  <c r="R34" i="1001"/>
  <c r="Z33" i="1001"/>
  <c r="Y33" i="1001"/>
  <c r="X33" i="1001"/>
  <c r="W33" i="1001"/>
  <c r="V33" i="1001"/>
  <c r="U33" i="1001"/>
  <c r="T33" i="1001"/>
  <c r="S33" i="1001"/>
  <c r="R33" i="1001"/>
  <c r="Z32" i="1001"/>
  <c r="Y32" i="1001"/>
  <c r="X32" i="1001"/>
  <c r="W32" i="1001"/>
  <c r="V32" i="1001"/>
  <c r="U32" i="1001"/>
  <c r="T32" i="1001"/>
  <c r="S32" i="1001"/>
  <c r="R32" i="1001"/>
  <c r="Z31" i="1001"/>
  <c r="Y31" i="1001"/>
  <c r="X31" i="1001"/>
  <c r="W31" i="1001"/>
  <c r="V31" i="1001"/>
  <c r="U31" i="1001"/>
  <c r="T31" i="1001"/>
  <c r="S31" i="1001"/>
  <c r="R31" i="1001"/>
  <c r="Z30" i="1001"/>
  <c r="Y30" i="1001"/>
  <c r="X30" i="1001"/>
  <c r="W30" i="1001"/>
  <c r="V30" i="1001"/>
  <c r="U30" i="1001"/>
  <c r="T30" i="1001"/>
  <c r="S30" i="1001"/>
  <c r="R30" i="1001"/>
  <c r="Z29" i="1001"/>
  <c r="Y29" i="1001"/>
  <c r="X29" i="1001"/>
  <c r="W29" i="1001"/>
  <c r="V29" i="1001"/>
  <c r="U29" i="1001"/>
  <c r="T29" i="1001"/>
  <c r="S29" i="1001"/>
  <c r="R29" i="1001"/>
  <c r="M29" i="1001"/>
  <c r="Z28" i="1001"/>
  <c r="Y28" i="1001"/>
  <c r="X28" i="1001"/>
  <c r="W28" i="1001"/>
  <c r="V28" i="1001"/>
  <c r="U28" i="1001"/>
  <c r="T28" i="1001"/>
  <c r="S28" i="1001"/>
  <c r="R28" i="1001"/>
  <c r="M28" i="1001"/>
  <c r="Z27" i="1001"/>
  <c r="Y27" i="1001"/>
  <c r="X27" i="1001"/>
  <c r="W27" i="1001"/>
  <c r="V27" i="1001"/>
  <c r="U27" i="1001"/>
  <c r="T27" i="1001"/>
  <c r="S27" i="1001"/>
  <c r="R27" i="1001"/>
  <c r="Z26" i="1001"/>
  <c r="Y26" i="1001"/>
  <c r="X26" i="1001"/>
  <c r="W26" i="1001"/>
  <c r="V26" i="1001"/>
  <c r="U26" i="1001"/>
  <c r="T26" i="1001"/>
  <c r="S26" i="1001"/>
  <c r="R26" i="1001"/>
  <c r="M26" i="1001"/>
  <c r="Z25" i="1001"/>
  <c r="Y25" i="1001"/>
  <c r="X25" i="1001"/>
  <c r="W25" i="1001"/>
  <c r="V25" i="1001"/>
  <c r="U25" i="1001"/>
  <c r="T25" i="1001"/>
  <c r="S25" i="1001"/>
  <c r="R25" i="1001"/>
  <c r="M24" i="1001"/>
  <c r="Z10" i="1001"/>
  <c r="Y10" i="1001"/>
  <c r="X10" i="1001"/>
  <c r="W10" i="1001"/>
  <c r="V10" i="1001"/>
  <c r="U10" i="1001"/>
  <c r="T10" i="1001"/>
  <c r="S10" i="1001"/>
  <c r="R10" i="1001"/>
  <c r="M30" i="1000"/>
  <c r="L30" i="1000"/>
  <c r="K30" i="1000"/>
  <c r="C16" i="1000"/>
  <c r="D16" i="1000"/>
  <c r="E16" i="1000"/>
  <c r="F16" i="1000"/>
  <c r="G16" i="1000"/>
  <c r="I16" i="1000"/>
  <c r="J16" i="1000"/>
  <c r="L16" i="1000"/>
  <c r="M16" i="1000"/>
  <c r="N16" i="1000"/>
  <c r="O16" i="1000"/>
  <c r="C17" i="1000"/>
  <c r="D17" i="1000"/>
  <c r="E17" i="1000"/>
  <c r="F17" i="1000"/>
  <c r="G17" i="1000"/>
  <c r="I17" i="1000"/>
  <c r="J17" i="1000"/>
  <c r="L17" i="1000"/>
  <c r="M17" i="1000"/>
  <c r="N17" i="1000"/>
  <c r="O17" i="1000"/>
  <c r="C18" i="1000"/>
  <c r="D18" i="1000"/>
  <c r="E18" i="1000"/>
  <c r="F18" i="1000"/>
  <c r="G18" i="1000"/>
  <c r="I18" i="1000"/>
  <c r="J18" i="1000"/>
  <c r="L18" i="1000"/>
  <c r="M18" i="1000"/>
  <c r="N18" i="1000"/>
  <c r="O18" i="1000"/>
  <c r="J25" i="1001" l="1"/>
  <c r="L47" i="1005"/>
  <c r="M47" i="1005" s="1"/>
  <c r="L47" i="1004"/>
  <c r="M47" i="1004" s="1"/>
  <c r="L37" i="1002"/>
  <c r="M37" i="1002" s="1"/>
  <c r="L39" i="1003"/>
  <c r="M39" i="1003" s="1"/>
  <c r="J30" i="1000"/>
  <c r="L43" i="1000"/>
  <c r="R11" i="1000"/>
  <c r="S11" i="1000"/>
  <c r="T11" i="1000"/>
  <c r="U11" i="1000"/>
  <c r="V11" i="1000"/>
  <c r="W11" i="1000"/>
  <c r="X11" i="1000"/>
  <c r="Y11" i="1000"/>
  <c r="Z11" i="1000"/>
  <c r="R12" i="1000"/>
  <c r="S12" i="1000"/>
  <c r="T12" i="1000"/>
  <c r="U12" i="1000"/>
  <c r="V12" i="1000"/>
  <c r="W12" i="1000"/>
  <c r="X12" i="1000"/>
  <c r="Y12" i="1000"/>
  <c r="Z12" i="1000"/>
  <c r="R13" i="1000"/>
  <c r="S13" i="1000"/>
  <c r="T13" i="1000"/>
  <c r="U13" i="1000"/>
  <c r="V13" i="1000"/>
  <c r="W13" i="1000"/>
  <c r="X13" i="1000"/>
  <c r="Y13" i="1000"/>
  <c r="Z13" i="1000"/>
  <c r="R14" i="1000"/>
  <c r="S14" i="1000"/>
  <c r="T14" i="1000"/>
  <c r="U14" i="1000"/>
  <c r="V14" i="1000"/>
  <c r="W14" i="1000"/>
  <c r="X14" i="1000"/>
  <c r="Y14" i="1000"/>
  <c r="Z14" i="1000"/>
  <c r="R15" i="1000"/>
  <c r="S15" i="1000"/>
  <c r="T15" i="1000"/>
  <c r="U15" i="1000"/>
  <c r="V15" i="1000"/>
  <c r="W15" i="1000"/>
  <c r="X15" i="1000"/>
  <c r="Y15" i="1000"/>
  <c r="Z15" i="1000"/>
  <c r="R16" i="1000"/>
  <c r="S16" i="1000"/>
  <c r="T16" i="1000"/>
  <c r="U16" i="1000"/>
  <c r="V16" i="1000"/>
  <c r="W16" i="1000"/>
  <c r="X16" i="1000"/>
  <c r="Y16" i="1000"/>
  <c r="Z16" i="1000"/>
  <c r="R17" i="1000"/>
  <c r="S17" i="1000"/>
  <c r="T17" i="1000"/>
  <c r="U17" i="1000"/>
  <c r="V17" i="1000"/>
  <c r="W17" i="1000"/>
  <c r="X17" i="1000"/>
  <c r="Y17" i="1000"/>
  <c r="Z17" i="1000"/>
  <c r="R18" i="1000"/>
  <c r="S18" i="1000"/>
  <c r="T18" i="1000"/>
  <c r="U18" i="1000"/>
  <c r="V18" i="1000"/>
  <c r="W18" i="1000"/>
  <c r="X18" i="1000"/>
  <c r="Y18" i="1000"/>
  <c r="Z18" i="1000"/>
  <c r="R19" i="1000"/>
  <c r="S19" i="1000"/>
  <c r="T19" i="1000"/>
  <c r="U19" i="1000"/>
  <c r="V19" i="1000"/>
  <c r="W19" i="1000"/>
  <c r="X19" i="1000"/>
  <c r="Y19" i="1000"/>
  <c r="Z19" i="1000"/>
  <c r="R20" i="1000"/>
  <c r="S20" i="1000"/>
  <c r="T20" i="1000"/>
  <c r="U20" i="1000"/>
  <c r="V20" i="1000"/>
  <c r="W20" i="1000"/>
  <c r="X20" i="1000"/>
  <c r="Y20" i="1000"/>
  <c r="Z20" i="1000"/>
  <c r="R21" i="1000"/>
  <c r="S21" i="1000"/>
  <c r="T21" i="1000"/>
  <c r="U21" i="1000"/>
  <c r="V21" i="1000"/>
  <c r="W21" i="1000"/>
  <c r="X21" i="1000"/>
  <c r="Y21" i="1000"/>
  <c r="Z21" i="1000"/>
  <c r="R22" i="1000"/>
  <c r="S22" i="1000"/>
  <c r="T22" i="1000"/>
  <c r="U22" i="1000"/>
  <c r="V22" i="1000"/>
  <c r="W22" i="1000"/>
  <c r="X22" i="1000"/>
  <c r="Y22" i="1000"/>
  <c r="Z22" i="1000"/>
  <c r="R23" i="1000"/>
  <c r="S23" i="1000"/>
  <c r="T23" i="1000"/>
  <c r="U23" i="1000"/>
  <c r="V23" i="1000"/>
  <c r="W23" i="1000"/>
  <c r="X23" i="1000"/>
  <c r="Y23" i="1000"/>
  <c r="Z23" i="1000"/>
  <c r="R24" i="1000"/>
  <c r="S24" i="1000"/>
  <c r="T24" i="1000"/>
  <c r="U24" i="1000"/>
  <c r="V24" i="1000"/>
  <c r="W24" i="1000"/>
  <c r="X24" i="1000"/>
  <c r="Y24" i="1000"/>
  <c r="Z24" i="1000"/>
  <c r="M11" i="1000"/>
  <c r="O11" i="1000"/>
  <c r="M12" i="1000"/>
  <c r="O12" i="1000"/>
  <c r="M13" i="1000"/>
  <c r="O13" i="1000"/>
  <c r="M14" i="1000"/>
  <c r="O14" i="1000"/>
  <c r="D11" i="1000"/>
  <c r="E11" i="1000"/>
  <c r="F11" i="1000"/>
  <c r="G11" i="1000"/>
  <c r="D12" i="1000"/>
  <c r="E12" i="1000"/>
  <c r="F12" i="1000"/>
  <c r="G12" i="1000"/>
  <c r="D13" i="1000"/>
  <c r="E13" i="1000"/>
  <c r="F13" i="1000"/>
  <c r="G13" i="1000"/>
  <c r="D14" i="1000"/>
  <c r="E14" i="1000"/>
  <c r="F14" i="1000"/>
  <c r="G14" i="1000"/>
  <c r="AX59" i="1000"/>
  <c r="AW59" i="1000"/>
  <c r="AV59" i="1000"/>
  <c r="AU59" i="1000"/>
  <c r="AT59" i="1000"/>
  <c r="AS59" i="1000"/>
  <c r="AR59" i="1000"/>
  <c r="AQ59" i="1000"/>
  <c r="AP59" i="1000"/>
  <c r="AO59" i="1000"/>
  <c r="AN59" i="1000"/>
  <c r="AM59" i="1000"/>
  <c r="AL59" i="1000"/>
  <c r="AK59" i="1000"/>
  <c r="AJ59" i="1000"/>
  <c r="AI59" i="1000"/>
  <c r="AH59" i="1000"/>
  <c r="AG59" i="1000"/>
  <c r="AF59" i="1000"/>
  <c r="AE59" i="1000"/>
  <c r="AD59" i="1000"/>
  <c r="AC59" i="1000"/>
  <c r="AB59" i="1000"/>
  <c r="AX58" i="1000"/>
  <c r="AW58" i="1000"/>
  <c r="AV58" i="1000"/>
  <c r="AU58" i="1000"/>
  <c r="AT58" i="1000"/>
  <c r="AS58" i="1000"/>
  <c r="AR58" i="1000"/>
  <c r="AQ58" i="1000"/>
  <c r="AP58" i="1000"/>
  <c r="AO58" i="1000"/>
  <c r="AN58" i="1000"/>
  <c r="AM58" i="1000"/>
  <c r="AL58" i="1000"/>
  <c r="AK58" i="1000"/>
  <c r="AJ58" i="1000"/>
  <c r="AI58" i="1000"/>
  <c r="AH58" i="1000"/>
  <c r="AG58" i="1000"/>
  <c r="AF58" i="1000"/>
  <c r="AE58" i="1000"/>
  <c r="AD58" i="1000"/>
  <c r="AC58" i="1000"/>
  <c r="AB58" i="1000"/>
  <c r="AX57" i="1000"/>
  <c r="AW57" i="1000"/>
  <c r="AV57" i="1000"/>
  <c r="AU57" i="1000"/>
  <c r="AT57" i="1000"/>
  <c r="AS57" i="1000"/>
  <c r="AR57" i="1000"/>
  <c r="AQ57" i="1000"/>
  <c r="AP57" i="1000"/>
  <c r="AO57" i="1000"/>
  <c r="AN57" i="1000"/>
  <c r="AM57" i="1000"/>
  <c r="AL57" i="1000"/>
  <c r="AK57" i="1000"/>
  <c r="AJ57" i="1000"/>
  <c r="AI57" i="1000"/>
  <c r="AH57" i="1000"/>
  <c r="AG57" i="1000"/>
  <c r="AF57" i="1000"/>
  <c r="AE57" i="1000"/>
  <c r="AD57" i="1000"/>
  <c r="AC57" i="1000"/>
  <c r="AB57" i="1000"/>
  <c r="K52" i="1000"/>
  <c r="Z39" i="1000"/>
  <c r="Y39" i="1000"/>
  <c r="X39" i="1000"/>
  <c r="W39" i="1000"/>
  <c r="V39" i="1000"/>
  <c r="U39" i="1000"/>
  <c r="T39" i="1000"/>
  <c r="S39" i="1000"/>
  <c r="R39" i="1000"/>
  <c r="Z38" i="1000"/>
  <c r="Y38" i="1000"/>
  <c r="X38" i="1000"/>
  <c r="W38" i="1000"/>
  <c r="V38" i="1000"/>
  <c r="U38" i="1000"/>
  <c r="T38" i="1000"/>
  <c r="S38" i="1000"/>
  <c r="R38" i="1000"/>
  <c r="Z37" i="1000"/>
  <c r="Y37" i="1000"/>
  <c r="X37" i="1000"/>
  <c r="W37" i="1000"/>
  <c r="V37" i="1000"/>
  <c r="U37" i="1000"/>
  <c r="T37" i="1000"/>
  <c r="S37" i="1000"/>
  <c r="R37" i="1000"/>
  <c r="Z36" i="1000"/>
  <c r="Y36" i="1000"/>
  <c r="X36" i="1000"/>
  <c r="W36" i="1000"/>
  <c r="V36" i="1000"/>
  <c r="U36" i="1000"/>
  <c r="T36" i="1000"/>
  <c r="S36" i="1000"/>
  <c r="R36" i="1000"/>
  <c r="Z35" i="1000"/>
  <c r="Y35" i="1000"/>
  <c r="X35" i="1000"/>
  <c r="W35" i="1000"/>
  <c r="V35" i="1000"/>
  <c r="U35" i="1000"/>
  <c r="T35" i="1000"/>
  <c r="S35" i="1000"/>
  <c r="R35" i="1000"/>
  <c r="Z34" i="1000"/>
  <c r="Y34" i="1000"/>
  <c r="X34" i="1000"/>
  <c r="W34" i="1000"/>
  <c r="V34" i="1000"/>
  <c r="U34" i="1000"/>
  <c r="T34" i="1000"/>
  <c r="S34" i="1000"/>
  <c r="R34" i="1000"/>
  <c r="M34" i="1000"/>
  <c r="Z33" i="1000"/>
  <c r="Y33" i="1000"/>
  <c r="X33" i="1000"/>
  <c r="W33" i="1000"/>
  <c r="V33" i="1000"/>
  <c r="U33" i="1000"/>
  <c r="T33" i="1000"/>
  <c r="S33" i="1000"/>
  <c r="R33" i="1000"/>
  <c r="M33" i="1000"/>
  <c r="Z32" i="1000"/>
  <c r="Y32" i="1000"/>
  <c r="X32" i="1000"/>
  <c r="W32" i="1000"/>
  <c r="V32" i="1000"/>
  <c r="U32" i="1000"/>
  <c r="T32" i="1000"/>
  <c r="S32" i="1000"/>
  <c r="R32" i="1000"/>
  <c r="Z31" i="1000"/>
  <c r="Y31" i="1000"/>
  <c r="X31" i="1000"/>
  <c r="W31" i="1000"/>
  <c r="V31" i="1000"/>
  <c r="U31" i="1000"/>
  <c r="T31" i="1000"/>
  <c r="S31" i="1000"/>
  <c r="R31" i="1000"/>
  <c r="M31" i="1000"/>
  <c r="Z30" i="1000"/>
  <c r="Y30" i="1000"/>
  <c r="X30" i="1000"/>
  <c r="W30" i="1000"/>
  <c r="V30" i="1000"/>
  <c r="U30" i="1000"/>
  <c r="T30" i="1000"/>
  <c r="S30" i="1000"/>
  <c r="R30" i="1000"/>
  <c r="Z29" i="1000"/>
  <c r="Y29" i="1000"/>
  <c r="X29" i="1000"/>
  <c r="W29" i="1000"/>
  <c r="V29" i="1000"/>
  <c r="U29" i="1000"/>
  <c r="T29" i="1000"/>
  <c r="S29" i="1000"/>
  <c r="R29" i="1000"/>
  <c r="M29" i="1000"/>
  <c r="Z28" i="1000"/>
  <c r="Y28" i="1000"/>
  <c r="X28" i="1000"/>
  <c r="W28" i="1000"/>
  <c r="V28" i="1000"/>
  <c r="U28" i="1000"/>
  <c r="T28" i="1000"/>
  <c r="S28" i="1000"/>
  <c r="R28" i="1000"/>
  <c r="Z27" i="1000"/>
  <c r="Y27" i="1000"/>
  <c r="X27" i="1000"/>
  <c r="W27" i="1000"/>
  <c r="V27" i="1000"/>
  <c r="U27" i="1000"/>
  <c r="T27" i="1000"/>
  <c r="S27" i="1000"/>
  <c r="R27" i="1000"/>
  <c r="Z26" i="1000"/>
  <c r="Y26" i="1000"/>
  <c r="X26" i="1000"/>
  <c r="W26" i="1000"/>
  <c r="V26" i="1000"/>
  <c r="U26" i="1000"/>
  <c r="T26" i="1000"/>
  <c r="S26" i="1000"/>
  <c r="R26" i="1000"/>
  <c r="Z25" i="1000"/>
  <c r="Y25" i="1000"/>
  <c r="X25" i="1000"/>
  <c r="W25" i="1000"/>
  <c r="V25" i="1000"/>
  <c r="U25" i="1000"/>
  <c r="T25" i="1000"/>
  <c r="S25" i="1000"/>
  <c r="R25" i="1000"/>
  <c r="Z10" i="1000"/>
  <c r="Y10" i="1000"/>
  <c r="X10" i="1000"/>
  <c r="W10" i="1000"/>
  <c r="V10" i="1000"/>
  <c r="U10" i="1000"/>
  <c r="T10" i="1000"/>
  <c r="S10" i="1000"/>
  <c r="R10" i="1000"/>
  <c r="O10" i="1000"/>
  <c r="M10" i="1000"/>
  <c r="G10" i="1000"/>
  <c r="F10" i="1000"/>
  <c r="E10" i="1000"/>
  <c r="D10" i="1000"/>
  <c r="J58" i="18"/>
  <c r="J59" i="18"/>
  <c r="J60" i="18"/>
  <c r="J61" i="18"/>
  <c r="J62" i="18"/>
  <c r="J63" i="18"/>
  <c r="J64" i="18"/>
  <c r="G59" i="18"/>
  <c r="G60" i="18"/>
  <c r="G61" i="18"/>
  <c r="G63" i="18"/>
  <c r="G64" i="18"/>
  <c r="G64" i="19"/>
  <c r="G63" i="19"/>
  <c r="G60" i="19"/>
  <c r="M43" i="1000" l="1"/>
  <c r="J63" i="19"/>
  <c r="J60" i="19" l="1"/>
  <c r="J64" i="19" l="1"/>
  <c r="D64" i="18" l="1"/>
  <c r="D63" i="18"/>
  <c r="D61" i="18"/>
  <c r="D60" i="18"/>
  <c r="D59" i="18"/>
  <c r="M35" i="999" l="1"/>
  <c r="D11" i="999" l="1"/>
  <c r="E11" i="999"/>
  <c r="F11" i="999"/>
  <c r="G11" i="999"/>
  <c r="M11" i="999"/>
  <c r="O11" i="999"/>
  <c r="D12" i="999"/>
  <c r="E12" i="999"/>
  <c r="F12" i="999"/>
  <c r="G12" i="999"/>
  <c r="M12" i="999"/>
  <c r="O12" i="999"/>
  <c r="D10" i="999"/>
  <c r="E10" i="999"/>
  <c r="F10" i="999"/>
  <c r="G10" i="999"/>
  <c r="M10" i="999"/>
  <c r="O10" i="999"/>
  <c r="M21" i="999" l="1"/>
  <c r="R10" i="999" l="1"/>
  <c r="S10" i="999"/>
  <c r="T10" i="999"/>
  <c r="U10" i="999"/>
  <c r="V10" i="999"/>
  <c r="W10" i="999"/>
  <c r="X10" i="999"/>
  <c r="Y10" i="999"/>
  <c r="Z10" i="999"/>
  <c r="R11" i="999"/>
  <c r="S11" i="999"/>
  <c r="T11" i="999"/>
  <c r="U11" i="999"/>
  <c r="V11" i="999"/>
  <c r="W11" i="999"/>
  <c r="X11" i="999"/>
  <c r="Y11" i="999"/>
  <c r="Z11" i="999"/>
  <c r="R12" i="999"/>
  <c r="S12" i="999"/>
  <c r="T12" i="999"/>
  <c r="U12" i="999"/>
  <c r="V12" i="999"/>
  <c r="W12" i="999"/>
  <c r="X12" i="999"/>
  <c r="Y12" i="999"/>
  <c r="Z12" i="999"/>
  <c r="R14" i="999"/>
  <c r="S14" i="999"/>
  <c r="T14" i="999"/>
  <c r="U14" i="999"/>
  <c r="V14" i="999"/>
  <c r="W14" i="999"/>
  <c r="X14" i="999"/>
  <c r="Y14" i="999"/>
  <c r="Z14" i="999"/>
  <c r="R15" i="999"/>
  <c r="S15" i="999"/>
  <c r="T15" i="999"/>
  <c r="U15" i="999"/>
  <c r="V15" i="999"/>
  <c r="W15" i="999"/>
  <c r="X15" i="999"/>
  <c r="Y15" i="999"/>
  <c r="Z15" i="999"/>
  <c r="AX51" i="999"/>
  <c r="AW51" i="999"/>
  <c r="AV51" i="999"/>
  <c r="AU51" i="999"/>
  <c r="AT51" i="999"/>
  <c r="AS51" i="999"/>
  <c r="AR51" i="999"/>
  <c r="AQ51" i="999"/>
  <c r="AP51" i="999"/>
  <c r="AO51" i="999"/>
  <c r="AN51" i="999"/>
  <c r="AM51" i="999"/>
  <c r="AL51" i="999"/>
  <c r="AK51" i="999"/>
  <c r="AJ51" i="999"/>
  <c r="AI51" i="999"/>
  <c r="AH51" i="999"/>
  <c r="AG51" i="999"/>
  <c r="AF51" i="999"/>
  <c r="AE51" i="999"/>
  <c r="AD51" i="999"/>
  <c r="AC51" i="999"/>
  <c r="AB51" i="999"/>
  <c r="AX50" i="999"/>
  <c r="AW50" i="999"/>
  <c r="AV50" i="999"/>
  <c r="AU50" i="999"/>
  <c r="AT50" i="999"/>
  <c r="AS50" i="999"/>
  <c r="AR50" i="999"/>
  <c r="AQ50" i="999"/>
  <c r="AP50" i="999"/>
  <c r="AO50" i="999"/>
  <c r="AN50" i="999"/>
  <c r="AM50" i="999"/>
  <c r="AL50" i="999"/>
  <c r="AK50" i="999"/>
  <c r="AJ50" i="999"/>
  <c r="AI50" i="999"/>
  <c r="AH50" i="999"/>
  <c r="AG50" i="999"/>
  <c r="AF50" i="999"/>
  <c r="AE50" i="999"/>
  <c r="AD50" i="999"/>
  <c r="AC50" i="999"/>
  <c r="AB50" i="999"/>
  <c r="AX49" i="999"/>
  <c r="AW49" i="999"/>
  <c r="AV49" i="999"/>
  <c r="AU49" i="999"/>
  <c r="AT49" i="999"/>
  <c r="AS49" i="999"/>
  <c r="AR49" i="999"/>
  <c r="AQ49" i="999"/>
  <c r="AP49" i="999"/>
  <c r="AO49" i="999"/>
  <c r="AN49" i="999"/>
  <c r="AM49" i="999"/>
  <c r="AL49" i="999"/>
  <c r="AK49" i="999"/>
  <c r="AJ49" i="999"/>
  <c r="AI49" i="999"/>
  <c r="AH49" i="999"/>
  <c r="AG49" i="999"/>
  <c r="AF49" i="999"/>
  <c r="AE49" i="999"/>
  <c r="AD49" i="999"/>
  <c r="AC49" i="999"/>
  <c r="AB49" i="999"/>
  <c r="K44" i="999"/>
  <c r="L35" i="999" s="1"/>
  <c r="Z31" i="999"/>
  <c r="Y31" i="999"/>
  <c r="X31" i="999"/>
  <c r="W31" i="999"/>
  <c r="V31" i="999"/>
  <c r="U31" i="999"/>
  <c r="T31" i="999"/>
  <c r="S31" i="999"/>
  <c r="R31" i="999"/>
  <c r="Z30" i="999"/>
  <c r="Y30" i="999"/>
  <c r="X30" i="999"/>
  <c r="W30" i="999"/>
  <c r="V30" i="999"/>
  <c r="U30" i="999"/>
  <c r="T30" i="999"/>
  <c r="S30" i="999"/>
  <c r="R30" i="999"/>
  <c r="Z29" i="999"/>
  <c r="Y29" i="999"/>
  <c r="X29" i="999"/>
  <c r="W29" i="999"/>
  <c r="V29" i="999"/>
  <c r="U29" i="999"/>
  <c r="T29" i="999"/>
  <c r="S29" i="999"/>
  <c r="R29" i="999"/>
  <c r="Z28" i="999"/>
  <c r="Y28" i="999"/>
  <c r="X28" i="999"/>
  <c r="W28" i="999"/>
  <c r="V28" i="999"/>
  <c r="U28" i="999"/>
  <c r="T28" i="999"/>
  <c r="S28" i="999"/>
  <c r="R28" i="999"/>
  <c r="Z27" i="999"/>
  <c r="Y27" i="999"/>
  <c r="X27" i="999"/>
  <c r="W27" i="999"/>
  <c r="V27" i="999"/>
  <c r="U27" i="999"/>
  <c r="T27" i="999"/>
  <c r="S27" i="999"/>
  <c r="R27" i="999"/>
  <c r="Z26" i="999"/>
  <c r="Y26" i="999"/>
  <c r="X26" i="999"/>
  <c r="W26" i="999"/>
  <c r="V26" i="999"/>
  <c r="U26" i="999"/>
  <c r="T26" i="999"/>
  <c r="S26" i="999"/>
  <c r="R26" i="999"/>
  <c r="M26" i="999"/>
  <c r="Z25" i="999"/>
  <c r="Y25" i="999"/>
  <c r="X25" i="999"/>
  <c r="W25" i="999"/>
  <c r="V25" i="999"/>
  <c r="U25" i="999"/>
  <c r="T25" i="999"/>
  <c r="S25" i="999"/>
  <c r="R25" i="999"/>
  <c r="M25" i="999"/>
  <c r="Z24" i="999"/>
  <c r="Y24" i="999"/>
  <c r="X24" i="999"/>
  <c r="W24" i="999"/>
  <c r="V24" i="999"/>
  <c r="U24" i="999"/>
  <c r="T24" i="999"/>
  <c r="S24" i="999"/>
  <c r="R24" i="999"/>
  <c r="Z23" i="999"/>
  <c r="Y23" i="999"/>
  <c r="X23" i="999"/>
  <c r="W23" i="999"/>
  <c r="V23" i="999"/>
  <c r="U23" i="999"/>
  <c r="T23" i="999"/>
  <c r="S23" i="999"/>
  <c r="R23" i="999"/>
  <c r="M23" i="999"/>
  <c r="Z22" i="999"/>
  <c r="Y22" i="999"/>
  <c r="X22" i="999"/>
  <c r="W22" i="999"/>
  <c r="V22" i="999"/>
  <c r="U22" i="999"/>
  <c r="T22" i="999"/>
  <c r="S22" i="999"/>
  <c r="R22" i="999"/>
  <c r="M22" i="999"/>
  <c r="Z21" i="999"/>
  <c r="Y21" i="999"/>
  <c r="X21" i="999"/>
  <c r="W21" i="999"/>
  <c r="V21" i="999"/>
  <c r="U21" i="999"/>
  <c r="T21" i="999"/>
  <c r="S21" i="999"/>
  <c r="R21" i="999"/>
  <c r="Z20" i="999"/>
  <c r="Y20" i="999"/>
  <c r="X20" i="999"/>
  <c r="W20" i="999"/>
  <c r="V20" i="999"/>
  <c r="U20" i="999"/>
  <c r="T20" i="999"/>
  <c r="S20" i="999"/>
  <c r="R20" i="999"/>
  <c r="Z19" i="999"/>
  <c r="Y19" i="999"/>
  <c r="X19" i="999"/>
  <c r="W19" i="999"/>
  <c r="V19" i="999"/>
  <c r="U19" i="999"/>
  <c r="T19" i="999"/>
  <c r="S19" i="999"/>
  <c r="R19" i="999"/>
  <c r="Z18" i="999"/>
  <c r="Y18" i="999"/>
  <c r="X18" i="999"/>
  <c r="W18" i="999"/>
  <c r="V18" i="999"/>
  <c r="U18" i="999"/>
  <c r="T18" i="999"/>
  <c r="S18" i="999"/>
  <c r="R18" i="999"/>
  <c r="Z17" i="999"/>
  <c r="Y17" i="999"/>
  <c r="X17" i="999"/>
  <c r="W17" i="999"/>
  <c r="V17" i="999"/>
  <c r="U17" i="999"/>
  <c r="T17" i="999"/>
  <c r="S17" i="999"/>
  <c r="R17" i="999"/>
  <c r="Z16" i="999"/>
  <c r="Y16" i="999"/>
  <c r="X16" i="999"/>
  <c r="W16" i="999"/>
  <c r="V16" i="999"/>
  <c r="U16" i="999"/>
  <c r="T16" i="999"/>
  <c r="S16" i="999"/>
  <c r="R16" i="999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D61" i="1005" l="1"/>
  <c r="L61" i="1005" s="1"/>
  <c r="C75" i="1005" s="1"/>
  <c r="G67" i="1009" l="1"/>
  <c r="G75" i="1006"/>
  <c r="G69" i="1007"/>
  <c r="G75" i="1005"/>
  <c r="G68" i="1008"/>
  <c r="J17" i="1008" l="1"/>
  <c r="L25" i="1009" l="1"/>
  <c r="L26" i="1008"/>
  <c r="M25" i="1009"/>
  <c r="M26" i="1011"/>
  <c r="M26" i="1008"/>
  <c r="M25" i="1010"/>
  <c r="L26" i="1011"/>
  <c r="I17" i="1008"/>
  <c r="J26" i="1008" s="1"/>
  <c r="L25" i="1010"/>
  <c r="D54" i="1011" l="1"/>
  <c r="L54" i="1011" s="1"/>
  <c r="C67" i="1011" s="1"/>
  <c r="G67" i="1011" l="1"/>
  <c r="D57" i="18" l="1"/>
  <c r="G57" i="18" l="1"/>
  <c r="G56" i="18" l="1"/>
  <c r="K10" i="1015" l="1"/>
  <c r="K11" i="1015"/>
  <c r="K12" i="1015"/>
  <c r="K13" i="1015"/>
  <c r="K14" i="1015"/>
  <c r="K15" i="1015"/>
  <c r="K11" i="1014" l="1"/>
  <c r="K10" i="1013"/>
  <c r="K11" i="1013"/>
  <c r="K12" i="1013"/>
  <c r="K10" i="1014"/>
  <c r="K14" i="1012"/>
  <c r="K15" i="1012"/>
  <c r="K16" i="1012"/>
  <c r="K17" i="1012"/>
  <c r="K11" i="1008"/>
  <c r="K12" i="1008"/>
  <c r="K13" i="1008"/>
  <c r="K14" i="1008"/>
  <c r="K15" i="1008"/>
  <c r="K16" i="1008"/>
  <c r="K17" i="1008"/>
  <c r="K13" i="1012"/>
  <c r="K13" i="1007"/>
  <c r="K14" i="1007"/>
  <c r="K15" i="1007"/>
  <c r="K10" i="1008"/>
  <c r="K10" i="1003"/>
  <c r="K11" i="1003"/>
  <c r="K12" i="1003"/>
  <c r="K13" i="1003"/>
  <c r="K14" i="1003"/>
  <c r="K15" i="1003"/>
  <c r="K16" i="1003"/>
  <c r="K17" i="1003"/>
  <c r="K10" i="1002"/>
  <c r="K11" i="1002"/>
  <c r="K12" i="1002"/>
  <c r="K23" i="1016" l="1"/>
  <c r="K24" i="1016"/>
  <c r="K25" i="1016"/>
  <c r="K26" i="1016"/>
  <c r="K13" i="1017" l="1"/>
  <c r="K17" i="1017"/>
  <c r="K16" i="1017"/>
  <c r="K15" i="1017"/>
  <c r="K14" i="1017"/>
  <c r="K12" i="1017"/>
  <c r="K11" i="1017"/>
  <c r="K10" i="1017"/>
  <c r="F13" i="1017"/>
  <c r="N25" i="1016"/>
  <c r="N26" i="1016"/>
  <c r="L26" i="1016"/>
  <c r="L25" i="1016"/>
  <c r="L24" i="1016"/>
  <c r="L23" i="1016"/>
  <c r="C26" i="1016"/>
  <c r="N17" i="1017" l="1"/>
  <c r="L13" i="1017"/>
  <c r="L14" i="1017"/>
  <c r="L16" i="1017"/>
  <c r="L17" i="1017"/>
  <c r="L12" i="1017"/>
  <c r="L15" i="1017"/>
  <c r="N14" i="1017"/>
  <c r="L10" i="1017"/>
  <c r="N15" i="1017"/>
  <c r="N12" i="1017"/>
  <c r="N11" i="1017"/>
  <c r="L11" i="1017"/>
  <c r="N16" i="1017"/>
  <c r="N13" i="1017"/>
  <c r="N10" i="1017"/>
  <c r="J26" i="1016"/>
  <c r="C13" i="1017"/>
  <c r="C12" i="1017"/>
  <c r="C11" i="1017"/>
  <c r="C15" i="1017"/>
  <c r="C17" i="1017"/>
  <c r="C14" i="1017"/>
  <c r="C10" i="1017"/>
  <c r="C16" i="1017"/>
  <c r="K10" i="1016"/>
  <c r="L10" i="1016"/>
  <c r="C10" i="1016"/>
  <c r="I26" i="1016" l="1"/>
  <c r="J14" i="1017"/>
  <c r="J17" i="1017"/>
  <c r="I16" i="1017"/>
  <c r="I17" i="1017"/>
  <c r="I10" i="1017"/>
  <c r="J11" i="1017"/>
  <c r="I12" i="1017"/>
  <c r="J10" i="1017"/>
  <c r="C25" i="1016"/>
  <c r="I13" i="1017"/>
  <c r="C24" i="1016"/>
  <c r="J13" i="1017"/>
  <c r="J12" i="1017"/>
  <c r="J16" i="1017"/>
  <c r="J15" i="1017"/>
  <c r="C23" i="1016"/>
  <c r="K18" i="1014"/>
  <c r="C16" i="1014"/>
  <c r="C17" i="1014"/>
  <c r="C18" i="1014"/>
  <c r="K14" i="1013"/>
  <c r="K13" i="1014"/>
  <c r="K14" i="1014"/>
  <c r="K15" i="1014"/>
  <c r="K16" i="1014"/>
  <c r="K17" i="1014"/>
  <c r="N13" i="1014"/>
  <c r="N14" i="1014"/>
  <c r="N15" i="1014"/>
  <c r="N16" i="1014"/>
  <c r="N17" i="1014"/>
  <c r="N18" i="1014"/>
  <c r="N10" i="1016"/>
  <c r="N23" i="1016"/>
  <c r="N24" i="1016"/>
  <c r="L18" i="1014"/>
  <c r="L17" i="1014"/>
  <c r="L16" i="1014"/>
  <c r="L15" i="1014"/>
  <c r="L14" i="1014"/>
  <c r="L13" i="1014"/>
  <c r="L14" i="1013"/>
  <c r="I14" i="1017" l="1"/>
  <c r="I16" i="1014"/>
  <c r="J18" i="1014"/>
  <c r="I18" i="1014"/>
  <c r="I11" i="1017"/>
  <c r="J17" i="1014"/>
  <c r="I15" i="1017"/>
  <c r="I25" i="1016"/>
  <c r="J25" i="1016"/>
  <c r="J24" i="1016"/>
  <c r="J23" i="1016"/>
  <c r="I24" i="1016"/>
  <c r="J10" i="1016"/>
  <c r="I10" i="1016"/>
  <c r="J33" i="1016" s="1"/>
  <c r="I23" i="1016"/>
  <c r="J16" i="1014"/>
  <c r="J24" i="1017" l="1"/>
  <c r="I17" i="1014"/>
  <c r="K10" i="1012" l="1"/>
  <c r="K11" i="1012"/>
  <c r="N10" i="1012"/>
  <c r="N11" i="1012"/>
  <c r="N14" i="1013"/>
  <c r="L11" i="1012"/>
  <c r="L10" i="1012"/>
  <c r="C10" i="1012"/>
  <c r="C11" i="1012"/>
  <c r="C14" i="1013"/>
  <c r="C13" i="1014"/>
  <c r="C14" i="1014"/>
  <c r="C15" i="1014"/>
  <c r="J15" i="1014" l="1"/>
  <c r="J14" i="1014"/>
  <c r="J13" i="1014"/>
  <c r="I15" i="1014" l="1"/>
  <c r="I13" i="1014"/>
  <c r="I14" i="1014"/>
  <c r="K11" i="1011"/>
  <c r="K12" i="1011"/>
  <c r="K13" i="1011"/>
  <c r="K14" i="1011"/>
  <c r="K15" i="1011"/>
  <c r="N15" i="1011"/>
  <c r="J30" i="1014" l="1"/>
  <c r="L15" i="1011"/>
  <c r="L14" i="1011"/>
  <c r="L13" i="1011"/>
  <c r="L12" i="1011"/>
  <c r="L11" i="1011"/>
  <c r="L10" i="1011"/>
  <c r="L17" i="1009" l="1"/>
  <c r="L16" i="1009"/>
  <c r="L15" i="1009"/>
  <c r="L14" i="1009"/>
  <c r="L13" i="1009"/>
  <c r="L12" i="1009"/>
  <c r="L11" i="1009"/>
  <c r="L10" i="1009"/>
  <c r="I14" i="1013"/>
  <c r="J23" i="1013" s="1"/>
  <c r="J14" i="1013"/>
  <c r="N13" i="1009"/>
  <c r="N14" i="1009"/>
  <c r="N15" i="1009"/>
  <c r="N16" i="1009"/>
  <c r="N17" i="1009"/>
  <c r="N10" i="1011"/>
  <c r="N11" i="1011"/>
  <c r="N12" i="1011"/>
  <c r="N13" i="1011"/>
  <c r="N14" i="1011"/>
  <c r="K11" i="1009"/>
  <c r="K12" i="1009"/>
  <c r="K13" i="1009"/>
  <c r="K14" i="1009"/>
  <c r="K15" i="1009"/>
  <c r="K16" i="1009"/>
  <c r="K17" i="1009"/>
  <c r="K10" i="1011"/>
  <c r="C12" i="1009"/>
  <c r="C13" i="1009"/>
  <c r="N18" i="1004"/>
  <c r="N19" i="1004"/>
  <c r="N20" i="1004"/>
  <c r="N21" i="1004"/>
  <c r="N22" i="1004"/>
  <c r="N23" i="1004"/>
  <c r="N24" i="1004"/>
  <c r="N25" i="1004"/>
  <c r="N10" i="1009"/>
  <c r="N11" i="1009"/>
  <c r="N12" i="1009"/>
  <c r="K18" i="1004"/>
  <c r="K19" i="1004"/>
  <c r="K20" i="1004"/>
  <c r="K21" i="1004"/>
  <c r="K22" i="1004"/>
  <c r="K23" i="1004"/>
  <c r="K24" i="1004"/>
  <c r="K25" i="1004"/>
  <c r="K10" i="1009"/>
  <c r="L25" i="1004"/>
  <c r="L24" i="1004"/>
  <c r="L23" i="1004"/>
  <c r="L22" i="1004"/>
  <c r="L21" i="1004"/>
  <c r="L20" i="1004"/>
  <c r="L19" i="1004"/>
  <c r="L18" i="1004"/>
  <c r="J11" i="1011" l="1"/>
  <c r="I17" i="1009"/>
  <c r="J12" i="1009"/>
  <c r="J14" i="1009"/>
  <c r="C11" i="1011"/>
  <c r="C10" i="1011"/>
  <c r="C17" i="1009"/>
  <c r="C15" i="1011"/>
  <c r="C16" i="1009"/>
  <c r="C15" i="1009"/>
  <c r="J17" i="1009"/>
  <c r="C13" i="1011"/>
  <c r="C12" i="1011"/>
  <c r="C14" i="1011"/>
  <c r="J16" i="1009"/>
  <c r="C14" i="1009"/>
  <c r="J10" i="1012"/>
  <c r="I11" i="1012"/>
  <c r="J11" i="1012"/>
  <c r="I10" i="1012"/>
  <c r="I10" i="1011"/>
  <c r="J10" i="1011"/>
  <c r="J12" i="1011"/>
  <c r="I15" i="1011"/>
  <c r="I14" i="1011"/>
  <c r="I13" i="1011"/>
  <c r="I12" i="1011"/>
  <c r="I11" i="1011"/>
  <c r="J15" i="1011"/>
  <c r="J14" i="1011"/>
  <c r="J13" i="1011"/>
  <c r="I16" i="1009"/>
  <c r="J15" i="1009"/>
  <c r="I14" i="1009"/>
  <c r="J13" i="1009"/>
  <c r="I13" i="1009" l="1"/>
  <c r="J25" i="1011"/>
  <c r="I12" i="1009"/>
  <c r="J21" i="1012"/>
  <c r="I15" i="1009"/>
  <c r="C18" i="1004" l="1"/>
  <c r="C19" i="1004"/>
  <c r="C20" i="1004"/>
  <c r="J22" i="1004" l="1"/>
  <c r="J21" i="1004"/>
  <c r="J25" i="1004"/>
  <c r="J24" i="1004"/>
  <c r="C24" i="1004"/>
  <c r="C23" i="1004"/>
  <c r="J11" i="1009"/>
  <c r="C10" i="1009"/>
  <c r="C25" i="1004"/>
  <c r="J23" i="1004"/>
  <c r="C22" i="1004"/>
  <c r="C21" i="1004"/>
  <c r="C11" i="1009"/>
  <c r="J10" i="1009"/>
  <c r="I19" i="1004"/>
  <c r="K16" i="1006" l="1"/>
  <c r="K16" i="1004"/>
  <c r="K16" i="1005"/>
  <c r="K13" i="1000"/>
  <c r="J19" i="1004"/>
  <c r="J18" i="1004"/>
  <c r="J20" i="1004"/>
  <c r="N16" i="1006"/>
  <c r="N16" i="1004"/>
  <c r="N16" i="1005"/>
  <c r="N13" i="1000"/>
  <c r="K15" i="1006"/>
  <c r="K15" i="1004"/>
  <c r="K15" i="1005"/>
  <c r="K12" i="1000"/>
  <c r="I18" i="1004"/>
  <c r="I20" i="1004"/>
  <c r="L14" i="1006"/>
  <c r="L14" i="1005"/>
  <c r="L14" i="1004"/>
  <c r="L11" i="1000"/>
  <c r="L15" i="1006"/>
  <c r="L15" i="1005"/>
  <c r="L15" i="1004"/>
  <c r="L12" i="1000"/>
  <c r="K17" i="1006"/>
  <c r="K17" i="1004"/>
  <c r="K17" i="1005"/>
  <c r="K14" i="1000"/>
  <c r="K14" i="1006"/>
  <c r="K14" i="1004"/>
  <c r="K14" i="1005"/>
  <c r="K11" i="1000"/>
  <c r="L16" i="1006"/>
  <c r="L16" i="1005"/>
  <c r="L16" i="1004"/>
  <c r="L13" i="1000"/>
  <c r="L17" i="1006"/>
  <c r="L17" i="1005"/>
  <c r="L17" i="1004"/>
  <c r="L14" i="1000"/>
  <c r="N17" i="1006"/>
  <c r="N17" i="1005"/>
  <c r="N17" i="1004"/>
  <c r="N14" i="1000"/>
  <c r="I11" i="1009"/>
  <c r="I24" i="1004"/>
  <c r="I25" i="1004"/>
  <c r="I23" i="1004"/>
  <c r="I21" i="1004"/>
  <c r="I22" i="1004"/>
  <c r="I10" i="1009"/>
  <c r="J32" i="1004" l="1"/>
  <c r="L12" i="1006"/>
  <c r="L12" i="1005"/>
  <c r="L12" i="1004"/>
  <c r="L12" i="999"/>
  <c r="N11" i="1006"/>
  <c r="N11" i="1005"/>
  <c r="N11" i="1004"/>
  <c r="N11" i="999"/>
  <c r="K10" i="1006"/>
  <c r="K10" i="1004"/>
  <c r="K10" i="1005"/>
  <c r="K10" i="999"/>
  <c r="L13" i="1006"/>
  <c r="L13" i="1004"/>
  <c r="L13" i="1005"/>
  <c r="L10" i="1000"/>
  <c r="K11" i="1006"/>
  <c r="K11" i="1004"/>
  <c r="K11" i="1005"/>
  <c r="K11" i="999"/>
  <c r="L10" i="1006"/>
  <c r="L10" i="1005"/>
  <c r="L10" i="1004"/>
  <c r="L10" i="999"/>
  <c r="N12" i="1006"/>
  <c r="N12" i="1004"/>
  <c r="N12" i="1005"/>
  <c r="N12" i="999"/>
  <c r="N13" i="1006"/>
  <c r="N13" i="1004"/>
  <c r="N13" i="1005"/>
  <c r="N10" i="1000"/>
  <c r="J24" i="1009"/>
  <c r="L11" i="1006"/>
  <c r="L11" i="1005"/>
  <c r="L11" i="1004"/>
  <c r="L11" i="999"/>
  <c r="N10" i="1006"/>
  <c r="N10" i="1005"/>
  <c r="N10" i="1004"/>
  <c r="N10" i="999"/>
  <c r="N15" i="1006"/>
  <c r="N15" i="1005"/>
  <c r="N15" i="1004"/>
  <c r="N12" i="1000"/>
  <c r="N14" i="1006"/>
  <c r="N14" i="1005"/>
  <c r="N14" i="1004"/>
  <c r="N11" i="1000"/>
  <c r="K13" i="1006"/>
  <c r="K13" i="1005"/>
  <c r="K13" i="1004"/>
  <c r="K10" i="1000"/>
  <c r="K12" i="1006"/>
  <c r="K12" i="1005"/>
  <c r="K12" i="1004"/>
  <c r="K12" i="999"/>
  <c r="C14" i="1006"/>
  <c r="C14" i="1005"/>
  <c r="C14" i="1004"/>
  <c r="C11" i="1000"/>
  <c r="C12" i="1006"/>
  <c r="C12" i="1004"/>
  <c r="C12" i="1005"/>
  <c r="C12" i="999"/>
  <c r="C13" i="1006"/>
  <c r="C13" i="1005"/>
  <c r="C13" i="1004"/>
  <c r="C10" i="1000"/>
  <c r="C11" i="1006"/>
  <c r="C11" i="1004"/>
  <c r="C11" i="1005"/>
  <c r="C11" i="999"/>
  <c r="C16" i="1006"/>
  <c r="C16" i="1004"/>
  <c r="C16" i="1005"/>
  <c r="C13" i="1000"/>
  <c r="C17" i="1006"/>
  <c r="C17" i="1004"/>
  <c r="C17" i="1005"/>
  <c r="C14" i="1000"/>
  <c r="C15" i="1006"/>
  <c r="C15" i="1005"/>
  <c r="C15" i="1004"/>
  <c r="C12" i="1000"/>
  <c r="J11" i="1006" l="1"/>
  <c r="J11" i="1005"/>
  <c r="J11" i="1004"/>
  <c r="J11" i="999"/>
  <c r="J15" i="1006"/>
  <c r="J15" i="1005"/>
  <c r="J15" i="1004"/>
  <c r="J12" i="1000"/>
  <c r="J12" i="1006"/>
  <c r="J12" i="1005"/>
  <c r="J12" i="1004"/>
  <c r="J12" i="999"/>
  <c r="J17" i="1006"/>
  <c r="J17" i="1004"/>
  <c r="J17" i="1005"/>
  <c r="J14" i="1000"/>
  <c r="J14" i="1006"/>
  <c r="J14" i="1005"/>
  <c r="J14" i="1004"/>
  <c r="J11" i="1000"/>
  <c r="J13" i="1006"/>
  <c r="J13" i="1004"/>
  <c r="J13" i="1005"/>
  <c r="J10" i="1000"/>
  <c r="J16" i="1006"/>
  <c r="J16" i="1005"/>
  <c r="J16" i="1004"/>
  <c r="J13" i="1000"/>
  <c r="I12" i="1006" l="1"/>
  <c r="I12" i="1004"/>
  <c r="I12" i="1005"/>
  <c r="I12" i="999"/>
  <c r="I16" i="1006"/>
  <c r="I16" i="1005"/>
  <c r="I16" i="1004"/>
  <c r="I13" i="1000"/>
  <c r="I17" i="1006"/>
  <c r="I17" i="1005"/>
  <c r="I17" i="1004"/>
  <c r="I14" i="1000"/>
  <c r="I15" i="1006"/>
  <c r="I15" i="1004"/>
  <c r="I15" i="1005"/>
  <c r="I12" i="1000"/>
  <c r="I11" i="1006"/>
  <c r="I11" i="1004"/>
  <c r="I11" i="1005"/>
  <c r="I11" i="999"/>
  <c r="I13" i="1006"/>
  <c r="I13" i="1004"/>
  <c r="I13" i="1005"/>
  <c r="I10" i="1000"/>
  <c r="I14" i="1006"/>
  <c r="I14" i="1005"/>
  <c r="I14" i="1004"/>
  <c r="I11" i="1000"/>
  <c r="J28" i="1000" l="1"/>
  <c r="K34" i="1018" l="1"/>
  <c r="K24" i="1017"/>
  <c r="K34" i="1017" s="1"/>
  <c r="K33" i="1016"/>
  <c r="K43" i="1016" s="1"/>
  <c r="K28" i="1015"/>
  <c r="K38" i="1015" s="1"/>
  <c r="K30" i="1014"/>
  <c r="K40" i="1014" s="1"/>
  <c r="K21" i="1012"/>
  <c r="K31" i="1012" s="1"/>
  <c r="K24" i="1010"/>
  <c r="K34" i="1010" s="1"/>
  <c r="K25" i="1008"/>
  <c r="K35" i="1008" s="1"/>
  <c r="K24" i="1009"/>
  <c r="K34" i="1009" s="1"/>
  <c r="K25" i="1011"/>
  <c r="K35" i="1011" s="1"/>
  <c r="K23" i="1013"/>
  <c r="K33" i="1013" s="1"/>
  <c r="K26" i="1007"/>
  <c r="K36" i="1007" s="1"/>
  <c r="C10" i="1006"/>
  <c r="K32" i="1006"/>
  <c r="K42" i="1006" s="1"/>
  <c r="K32" i="1004"/>
  <c r="K42" i="1004" s="1"/>
  <c r="K32" i="1005"/>
  <c r="K42" i="1005" s="1"/>
  <c r="C10" i="1005"/>
  <c r="C10" i="1004"/>
  <c r="K24" i="1003"/>
  <c r="K34" i="1003" s="1"/>
  <c r="K22" i="1002"/>
  <c r="K32" i="1002" s="1"/>
  <c r="K23" i="1001"/>
  <c r="K33" i="1001" s="1"/>
  <c r="K28" i="1000"/>
  <c r="K38" i="1000" s="1"/>
  <c r="K20" i="999"/>
  <c r="K30" i="999" s="1"/>
  <c r="C10" i="999"/>
  <c r="J10" i="1006" l="1"/>
  <c r="J10" i="1005"/>
  <c r="J10" i="1004"/>
  <c r="J10" i="999"/>
  <c r="L34" i="1018"/>
  <c r="M34" i="1018" s="1"/>
  <c r="L24" i="1017"/>
  <c r="L34" i="1017" s="1"/>
  <c r="M34" i="1017" s="1"/>
  <c r="L33" i="1016"/>
  <c r="L43" i="1016" s="1"/>
  <c r="M43" i="1016" s="1"/>
  <c r="L28" i="1015"/>
  <c r="L38" i="1015" s="1"/>
  <c r="M38" i="1015" s="1"/>
  <c r="L30" i="1014"/>
  <c r="L40" i="1014" s="1"/>
  <c r="M40" i="1014" s="1"/>
  <c r="L21" i="1012"/>
  <c r="L31" i="1012" s="1"/>
  <c r="M31" i="1012" s="1"/>
  <c r="L25" i="1011"/>
  <c r="L35" i="1011" s="1"/>
  <c r="M35" i="1011" s="1"/>
  <c r="L23" i="1013"/>
  <c r="L33" i="1013" s="1"/>
  <c r="M33" i="1013" s="1"/>
  <c r="L25" i="1008"/>
  <c r="L35" i="1008" s="1"/>
  <c r="M35" i="1008" s="1"/>
  <c r="L24" i="1010"/>
  <c r="L34" i="1010" s="1"/>
  <c r="M34" i="1010" s="1"/>
  <c r="L24" i="1009"/>
  <c r="L34" i="1009" s="1"/>
  <c r="M34" i="1009" s="1"/>
  <c r="I10" i="1006"/>
  <c r="L26" i="1007"/>
  <c r="L36" i="1007" s="1"/>
  <c r="M36" i="1007" s="1"/>
  <c r="L32" i="1006"/>
  <c r="L42" i="1006" s="1"/>
  <c r="M42" i="1006" s="1"/>
  <c r="I10" i="1005"/>
  <c r="L32" i="1004"/>
  <c r="L42" i="1004" s="1"/>
  <c r="M42" i="1004" s="1"/>
  <c r="L32" i="1005"/>
  <c r="L42" i="1005" s="1"/>
  <c r="M42" i="1005" s="1"/>
  <c r="I10" i="1004"/>
  <c r="L24" i="1003"/>
  <c r="L34" i="1003" s="1"/>
  <c r="M34" i="1003" s="1"/>
  <c r="L22" i="1002"/>
  <c r="L32" i="1002" s="1"/>
  <c r="M32" i="1002" s="1"/>
  <c r="L23" i="1001"/>
  <c r="L33" i="1001" s="1"/>
  <c r="M33" i="1001" s="1"/>
  <c r="L28" i="1000"/>
  <c r="L38" i="1000" s="1"/>
  <c r="M38" i="1000" s="1"/>
  <c r="L20" i="999"/>
  <c r="L30" i="999" s="1"/>
  <c r="M30" i="999" s="1"/>
  <c r="I10" i="999"/>
  <c r="J20" i="999" s="1"/>
  <c r="M24" i="1017" l="1"/>
  <c r="M33" i="1016"/>
  <c r="M28" i="1015"/>
  <c r="M30" i="1014"/>
  <c r="M24" i="1010"/>
  <c r="M25" i="1011"/>
  <c r="M25" i="1008"/>
  <c r="M24" i="1009"/>
  <c r="M23" i="1013"/>
  <c r="M21" i="1012"/>
  <c r="M32" i="1006"/>
  <c r="M26" i="1007"/>
  <c r="M32" i="1004"/>
  <c r="M32" i="1005"/>
  <c r="M24" i="1003"/>
  <c r="M23" i="1001"/>
  <c r="M22" i="1002"/>
  <c r="M28" i="1000"/>
  <c r="M20" i="999"/>
  <c r="D62" i="18" l="1"/>
  <c r="D53" i="1010" l="1"/>
  <c r="L53" i="1010" s="1"/>
  <c r="C72" i="1010" s="1"/>
  <c r="D50" i="1012"/>
  <c r="L50" i="1012" s="1"/>
  <c r="C65" i="1012" s="1"/>
  <c r="G72" i="1010" l="1"/>
  <c r="D56" i="18"/>
  <c r="D58" i="18"/>
  <c r="G65" i="1012" l="1"/>
  <c r="G62" i="18"/>
  <c r="G58" i="18" l="1"/>
  <c r="D65" i="18"/>
  <c r="G65" i="18" l="1"/>
  <c r="K53" i="1018" l="1"/>
  <c r="K66" i="1018" s="1"/>
  <c r="K53" i="1017"/>
  <c r="K67" i="1017" s="1"/>
  <c r="J57" i="18" l="1"/>
  <c r="J56" i="18"/>
  <c r="J65" i="18" l="1"/>
  <c r="D63" i="19" l="1"/>
  <c r="D59" i="19"/>
  <c r="D58" i="19"/>
  <c r="D60" i="19" l="1"/>
  <c r="D64" i="19"/>
  <c r="D61" i="19"/>
  <c r="D62" i="19"/>
  <c r="D57" i="19"/>
  <c r="D56" i="19" l="1"/>
  <c r="D65" i="19" l="1"/>
  <c r="G61" i="19" l="1"/>
  <c r="G59" i="19"/>
  <c r="G62" i="19"/>
  <c r="J59" i="19" l="1"/>
  <c r="J62" i="19"/>
  <c r="J61" i="19"/>
  <c r="J57" i="19"/>
  <c r="J58" i="19"/>
  <c r="G57" i="19"/>
  <c r="G58" i="19"/>
  <c r="G56" i="19"/>
  <c r="G65" i="19"/>
  <c r="J65" i="19" l="1"/>
  <c r="J56" i="19"/>
  <c r="K11" i="1001" l="1"/>
  <c r="K12" i="1001"/>
  <c r="K13" i="1001"/>
  <c r="K14" i="1001"/>
  <c r="K10" i="1001"/>
  <c r="K18" i="1000"/>
  <c r="K17" i="1000"/>
  <c r="K16" i="100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84796A0-7829-4F54-9688-76809BFE20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F0BB735-55A2-4013-884E-8594E51420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636311B-788E-444D-8B55-2A6FB37A8D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A092BBC-4DEA-469E-A293-4EB137F2DB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9DCB2F9-AA33-4AB6-914E-14857F4D23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F8B6972-07EA-4979-A9D2-AE2E84A915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2421B75-C86F-4A57-9117-5F92C245142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8747178-9498-4351-AB61-009F4E91F6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414E0F1-5A63-4309-A8C8-F76E5596AD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6BCF590-8B26-48FC-B189-14D30A6C1AD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D4B0C63-1BB2-4839-923F-2D2FA48325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67429E8-A8A0-42FF-9AF0-68E0EB81D8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B521640-C672-4E36-9E7F-4D02C3289D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4FAFF35-A608-47B6-A281-C23791E8439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D2FDF03-3C28-4A30-AEF7-1F987ED7B63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0A5DBFC-8C93-4636-A654-0F82B0F8D7E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A06BD03-9B83-4A7F-8F9B-34299CC943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87D234D-C51A-4ACE-9937-A3ACCF6A9B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0AD62B9-8C75-4B10-BD4B-F9BD496FDB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57ABDB3-8C61-481F-AADA-55E3338CA90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2C53742-AEF3-4B7A-B504-02DCE6E0A07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A52A83F-AF7B-4F21-B556-7E1F30352D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26070F3-B569-4B8A-8CFA-90D2CF00C0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1D23DF1-BDE0-47A8-B3BA-F55740C438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5C34199-F6FD-41FC-9614-7A72A571C16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D0BF888-1723-423D-A7FA-6EC9944524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37D136B-407A-4683-B1F5-9F2688670F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46BAB6E-3B72-4BFC-8FF7-C2D770F1B6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29D4C17-B790-4620-94C2-6110B62F3A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27DD0F4-4B48-463A-9D9D-A16242F24D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6FE152E-FA2E-45DA-8721-41A1D73D66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1C07435-887D-4689-BB3D-C139B71FBB7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59819AA4-F35E-4481-A1D7-A68C9BD4CF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D03DB00-39CE-4865-8BFA-9AC68D55D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411F7D2-7347-4160-90EB-1DCF971C02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C511D24-85AF-4763-B914-EEAAC4E773D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5BDABDC-EABB-4560-95E3-90D430CE3F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0E62074-5577-421D-BCD2-AE05DA4DFDF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4B3AE5E-0170-4654-9DF5-52CC1C3F1A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B03239B-66F1-4E34-B697-32A10B8F96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2871FBC-7BE0-4A1D-97A4-315DE12D0B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B6A4D318-AFE2-46A4-B35B-AF43A33FA6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E99F79F-BC61-4BE0-8F32-DD70598AF8C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066993C-42EE-4256-ABCF-6B343EBBF7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F4C80B3-1BCD-4ACB-BE94-BFE98BF44C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C38C2B6-9CA7-4042-B67B-33365A22C9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409CAA5-6F09-43CC-A5D9-986CE929C6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8D8856D-F659-43D0-95FB-32E9052F00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DF60783-B9A6-4B4A-9EF2-38C2CF8D8C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548A0FA-E83E-4360-9D91-C3FC248AD1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BB03001-9398-42B6-9591-F251778DE8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5B826D7-1374-4FB9-BE3A-675DD3773C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6C4B6C4-0AA0-4EF5-92E5-515F5B5978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C759523B-0FD4-44FA-9417-5EC63AC0DCD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9317BC1-2736-4507-9532-0FF0E9E5EA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EF0EEFD-7769-47A1-A8F4-FA43CE072C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F48D47A-67E0-4FC8-8468-C520E44BE7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FB0E55C-D4AB-4966-9C18-BAF534C3C3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929E4AD-7E2E-4B0B-A38E-7CF1FBCDF2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5FCB6CF-2D05-4508-A02D-2328384D86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179C400-43F2-409C-9336-2851199F3B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B16DDFF-95EA-4D19-8E6F-34EABDE260E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A61686C-9FA2-4D7A-B102-497ED994EF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B43EB673-F62C-4702-A171-D208E62223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2BAA86F-D218-4F7C-B352-856D3C39F7A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21212B9-73EE-4F70-9E87-3BD1657CA7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75F4356-25FE-40DE-B2CE-748F2EF8A7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065938E-9B71-4FCF-9FF4-A8B0DA85ACB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11AF563-859A-468D-9A31-0960BD01B6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D8627FE-8416-46F3-94C3-14DBCB41F5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ED30A8D-7395-49FF-8845-BC0C9769B1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1CDEB4B-2759-4DC9-BAA2-65F2468F9D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3537326-6218-4935-923F-8FEDD3C3041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2E3B9F5-5A17-4AC4-A902-F7F5521A1D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D15E75B-453E-45B0-B511-C87F28AFFB1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1887164-D8BF-4DC2-AFB5-237844C3127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EF7241E-B273-48D2-8EC7-01595D0991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CC53883-F9BE-4678-9870-2A21447EA9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CC0DC16-CCED-417D-8AE1-E77C6B5D4D8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535DACC-9B89-44D8-AF56-6C87E0DF298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B4DBA82-9FCB-4A01-B3EA-E27E478DAF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A8EC408-1031-4A19-8BE4-4863EA5992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0EC65F4-2278-4B0B-9279-2A43FA6D87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4481D72-BE33-4523-B2FD-7A560DC4C3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39E7D21-081C-4C27-930D-57C84CFB783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B995224-EB57-4B1C-AA16-0B8A1354C1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767858A-9A92-40D6-BD69-BFE3DE7EC14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FD208A1-82CD-4BA5-9870-2800CF90CA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451ED34-1055-4C7F-B3FF-58BA78B71C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5CAAF75-9968-4B00-A1F3-32F0D855C2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691E8F5-237B-450E-B192-021BD43369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ED60948-9846-408F-B83C-F349D9FB1B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25E464C-B787-4080-A17C-0AC4EA7D05B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9BE9F39-75D1-4F23-A479-05B53C8F1D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3EF7A56-F886-40DF-A043-DE20A6BFFD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24687AE-A269-43C4-A0D1-4E2B45397F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8B4D7A5-45D0-42AC-AAFB-A2367F999E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CA09B7D0-F8AA-4760-AF23-AFE9B089ECC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F447C94-D705-4A9E-B3E6-58D08ABDE3D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5F79B92-26A4-49B2-9C4E-28FD15B44B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9A805E5-5DB9-4014-B5B7-A056353090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CB401CC-69C0-4B3A-BAA7-1247ED574A4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EA83C35-8E12-497C-B7C4-29BC6EA76A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CE49DF4-5AF5-4D7C-81AF-8E71C54973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7B77AD8-CD13-4548-A0F8-B4E434BAC5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73D0319-AAB6-4898-B26C-A8B899E9146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1FE4DA3-2F9E-41A0-9F1C-AD3A2340CA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B779FA8-A654-4F99-B904-40C4966FD1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B30333E-4E46-41DC-A184-08909A3AB43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AC8DF79-5939-4A28-A9CE-36E41378EC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667A3AA-5480-4C38-9624-D9345D05F2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BFFE16B-F324-4A01-932F-9D2316D159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52B1BE8-28DE-440C-AEDF-B1CC820DFA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79148EE-FCF4-4483-8935-C800AFBA3A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0A7AA65-54A0-4A6A-9DC0-088B8F4D01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FFDAEC2-D8F3-4FF9-A783-304743E06C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60F9091-17C6-4560-8E77-BD617FECD7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2AA68C6-1E54-4E4D-8E10-9692323B48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94DC23A-80C9-45E8-9E36-668E4844B3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5D3CECA-79CD-47BA-A748-A0B4B06AC7F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CBFD047-C7AF-4C36-BCDB-19EC807831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F90CCA3-565D-4D45-A332-945472E064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9C96641-450B-4062-B5DE-1F338F642B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0061BF5-6F79-4371-8F85-E6A0F193393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620C843-2B82-432D-B92C-F9A60944D74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789B84C-CC64-4769-9B18-7CA479EA38A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12BEF3A-F757-4B80-8926-FFE675B24A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06FE382-AEF2-4B31-A64D-574C4D849E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006AEFB-1DDC-4A05-84A7-DC647874EE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15B2C07-BAF0-4517-91F3-242D4AC44B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E758F04-D4C1-41D0-ADA9-BD97844B30F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470DB87-02F2-4E44-A32C-29CFFB292F4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2AC48FE-8C5B-46D0-8EC0-8B534B5D2B2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CC0FBE6-3669-477B-98A5-5D6D07F9E7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9DB1614-A7A1-4BF2-BA5A-8E41EE5070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858382D-8DA2-4D20-9C5A-1767FF3824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413712F-8858-47F6-8F46-846D14D16E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72CC99A-7DA7-4C12-A610-F0AF9D6BF2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63C2531-1DB4-44BB-AB91-FFB05C8A05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91B2D9D-FC16-4ED6-9110-2301DF764B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886FA1D-EDF7-40B6-92A6-D4CF99E511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CFC6B6A0-6385-4EA6-9F86-446B8DE71D8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55B03AFE-66A3-4884-8B2E-6415D8DA79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E556CCF-AED7-40B4-A3A3-454B723955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E26E584-5D70-4269-A753-B1B0DEAA57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96BFA82-9A09-4CB2-9BBA-CE2B458DC3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A63CAE8-F635-46FF-A4B4-FB7F114533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87878B4-8272-4DF9-B391-9BB98FE537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91CF497-6019-4C75-8193-90B74C1585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B500A83-20E4-445B-9B07-60F0922662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FF90F8B-85B8-476B-9F95-590A907FBE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C0B9314-E897-477D-92EE-26E37E1291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C13B0A0-9AA6-49FA-BC10-B214CC4B406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E42E377-B874-45E3-B70B-0E0CE89211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5F682CB-C5D1-4DD3-AC09-9BAE5C0151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BD12FCF-FFB0-4E9C-9843-B14E577780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AB22D18-201D-4BF8-820D-38D34C6FC6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1B93584-44F1-4C13-8010-550800DBA3E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9F381D8-613E-4F0D-B84F-087A4F0522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C031508-889D-4DC6-8B93-F3944893B7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D5C4939-6385-4B23-AC11-CA19A1371B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F00E2D2-A908-4A5E-B8BA-2A0DCECD97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178635F-BFE4-490A-BD9A-AEC9C72660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2ADF6B6-2B3C-4E1F-B6C9-42F3211D324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5259CD5-518A-43C3-B3AF-A351735BC2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19B236C-9665-4349-84A9-045E6FE8C6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2268F52-A00A-4601-BD22-84896C9157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9E5BEF7-EB48-4E24-ADEC-2FBA0C3DE6E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63BB228-663F-49A1-8B43-B1C40B8CDC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CF4998B-4EA7-48A5-9AF7-FCC55D614F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133DA4D-7F42-4147-993C-3457EA628D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BD9E3F4-DDF3-4F54-A4A5-15882D41BB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D0C28CA-A113-4C51-B891-91E17FE73F0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644E7E0-EF98-4F5C-9606-EC00DC2EB6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C4BC8CC-37DE-4D40-9F5B-9D4C9BA76FD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2EBEC89-36DB-40F8-8F22-AE725DFAAB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14983AF-47C4-4AF3-82AF-94CCD362FA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FC62B2E-8F40-4083-B3A7-C7724714FF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2719052-27A2-40F7-9756-4C81F15E27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660361F-2335-4C00-A9E3-7347B22000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F253EC2-B1C7-4D32-8D6A-362201D2C9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C74C2B39-93CA-4BDD-B966-6A342967CC6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55B05A6-3958-4C26-941E-3614C04F06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E20756B-138E-4EDB-B077-7E9598C9A9E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2DB3FAA-6F78-443A-B028-E6459F2533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74F00B8-FE3E-4334-8709-E0E02749957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D074E8D-8ED9-4B1B-AF4A-E65F3E49C1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B93254F-946F-4EFD-8EFB-715B72C6594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2402F47-D3F9-430C-945C-CB8949CC2B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B95F506-DD92-4699-9686-AAF0039034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AA5FB8F-9595-48AA-8913-E13B6DE693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8D5E17A-79B5-4AAE-AA2F-5C9058E4A1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684C508-31F6-4046-96C4-4C67995BC4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101DF6D-936D-48E3-B44E-B4BAD52251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65B10DE-D29E-4347-9854-42F36B1952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A96ADD3-C9A5-4745-988A-2904745DBB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AD214C2-548D-4932-92FF-5D598898629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311D2D5-4857-493E-8B29-61D7ACF311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CC7552B3-2EBA-4FD9-9AB9-470A5CBDE4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AFC6847-DDCD-4EDC-897E-E81FD4AC28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8F02F3E-7E2A-4DF5-844C-656AE7416B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64C5B5B-3531-4AA5-8D44-DC87DD7BBC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8AABA3C-C9DC-4EB0-99B6-7A3A70D0AF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03A8283-FAD0-492D-B8DA-EBF830B7FE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49EBDA2-B1E3-4A6C-B959-FFA65C4E7D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6BB56F9-5943-4527-984A-6A4DB40DECA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02F4CFF-9E14-4D19-96A0-D02FAFE4553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91B99B2-FF0D-4EFF-8A75-57CA4E58630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D0EFE0D-27DD-4084-9A70-F074F8A195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C02959D-9CFD-490B-B258-6028CC1086A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B88B805-70AE-4B72-B34F-A1E46AEE3C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CBD66B6-1FBD-432E-AE27-B04489D466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A78C173-C8B7-42F9-8588-FB76902E79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EA615F3-E526-4D23-97FB-43649EAB40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C650F75-AEB5-4196-9FBD-A91B973B74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BEF4551-780B-4E7D-AF85-E3266BEA9E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362B4CB-079F-4120-A358-9DDF73C0D1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C4B5A086-61D3-4DBA-8127-1D87EFF27D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2BA965E-7267-4A1A-AFEF-35047CB6BE0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CE3B4B2-36A4-4E99-A0FD-92B27E8A28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5" authorId="1" shapeId="0" xr:uid="{C951187D-5352-4202-93A8-010E06BB020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 stag brew dumped 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sharedStrings.xml><?xml version="1.0" encoding="utf-8"?>
<sst xmlns="http://schemas.openxmlformats.org/spreadsheetml/2006/main" count="3047" uniqueCount="201">
  <si>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</si>
  <si>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</si>
  <si>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</si>
  <si>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</si>
  <si>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</si>
  <si>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</si>
  <si>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</si>
  <si>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</si>
  <si>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</si>
  <si>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</si>
  <si>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</si>
  <si>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</si>
  <si>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</si>
  <si>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</si>
  <si>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</si>
  <si>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</si>
  <si>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</si>
  <si>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</si>
  <si>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</si>
  <si>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</si>
  <si>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</si>
  <si>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</si>
  <si>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</si>
  <si>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</si>
  <si>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</si>
  <si>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</si>
  <si>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</si>
  <si>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</si>
  <si>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</si>
  <si>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</si>
  <si>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</si>
  <si>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</si>
  <si>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</si>
  <si>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</si>
  <si>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</si>
  <si>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</si>
  <si>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</si>
  <si>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</si>
  <si>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</si>
  <si>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</si>
  <si>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</si>
  <si>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</si>
  <si>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</si>
  <si>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</si>
  <si>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</si>
  <si>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</si>
  <si>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</si>
  <si>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</si>
  <si>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</si>
  <si>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</si>
  <si>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</si>
  <si>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</si>
  <si>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</si>
  <si>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</si>
  <si>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</si>
  <si>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</si>
  <si>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</si>
  <si>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</si>
  <si>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</si>
  <si>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</si>
  <si>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</si>
  <si>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</si>
  <si>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</si>
  <si>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</si>
  <si>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</si>
  <si>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</si>
  <si>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</si>
  <si>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</si>
  <si>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</si>
  <si>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</si>
  <si>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</si>
  <si>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</si>
  <si>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</si>
  <si>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</si>
  <si>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</si>
  <si>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</si>
  <si>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</si>
  <si>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</si>
  <si>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</si>
  <si>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</si>
  <si>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</si>
  <si>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</si>
  <si>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</si>
  <si>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</si>
  <si>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</si>
  <si>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</si>
  <si>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</si>
  <si>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</si>
  <si>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</si>
  <si>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</si>
  <si>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</si>
  <si>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</si>
  <si>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</si>
  <si>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</si>
  <si>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</si>
  <si>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</si>
  <si>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</si>
  <si>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</si>
  <si>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</si>
  <si>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</si>
  <si>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</si>
  <si>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</si>
  <si>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</si>
  <si>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</si>
  <si>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</si>
  <si>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</si>
  <si>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</si>
  <si>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</si>
  <si>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</si>
  <si>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</si>
  <si>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</si>
  <si>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</si>
  <si>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</si>
  <si>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</si>
  <si>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</si>
  <si>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</si>
  <si>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</si>
  <si>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</si>
  <si>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</si>
  <si>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</si>
  <si>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</si>
  <si>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</si>
  <si>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</si>
  <si>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</si>
  <si>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</si>
  <si>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</si>
  <si>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</si>
  <si>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</si>
  <si>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</si>
  <si>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</si>
  <si>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</si>
  <si>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</si>
  <si>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</si>
  <si>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</si>
  <si>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</si>
  <si>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</si>
  <si>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</si>
  <si>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</si>
  <si>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</si>
  <si>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</si>
  <si>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</si>
  <si>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</si>
  <si>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</si>
  <si>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</si>
  <si>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</si>
  <si>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</si>
  <si>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</si>
  <si>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</si>
  <si>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</si>
  <si>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</si>
  <si>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</si>
  <si>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</si>
  <si>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</si>
  <si>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</si>
  <si>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</si>
  <si>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</si>
  <si>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</si>
  <si>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</si>
  <si>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</si>
  <si>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</si>
  <si>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</si>
  <si>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</si>
  <si>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</si>
  <si>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IPA</t>
  </si>
  <si>
    <t>APA</t>
  </si>
  <si>
    <t>Extr. Rec (77.9%)</t>
  </si>
  <si>
    <t xml:space="preserve">  </t>
  </si>
  <si>
    <t xml:space="preserve">LOT WORT COLOUR: </t>
  </si>
  <si>
    <t>Brewing Time</t>
  </si>
  <si>
    <t xml:space="preserve"> MALT LOT: Lot #13</t>
  </si>
  <si>
    <t>Brews Achieved</t>
  </si>
  <si>
    <t>Brew dumped</t>
  </si>
  <si>
    <t>Spent grain downtime</t>
  </si>
  <si>
    <t>Problems throwing out  spent grains</t>
  </si>
  <si>
    <t>NO SBF</t>
  </si>
  <si>
    <t>K. Hosten</t>
  </si>
  <si>
    <t>HLT low (no water for dilution)</t>
  </si>
  <si>
    <t>LT sparge temp low</t>
  </si>
  <si>
    <t>Waiting on sugar from stores</t>
  </si>
  <si>
    <t>Issues with sugar dosing from hopper .</t>
  </si>
  <si>
    <t>Kettle up in pre- run tank</t>
  </si>
  <si>
    <t xml:space="preserve">Brew held back due to problem with CIP system </t>
  </si>
  <si>
    <t>Slow spen grain removal</t>
  </si>
  <si>
    <t>Steam supply lost during heat up</t>
  </si>
  <si>
    <t xml:space="preserve">Steam supply lost </t>
  </si>
  <si>
    <t>G. Mason</t>
  </si>
  <si>
    <t xml:space="preserve"> 6 SBF</t>
  </si>
  <si>
    <t>late skip pickup</t>
  </si>
  <si>
    <t xml:space="preserve">WK cast out pump keeps  faulty during sugar dosing causing steam and valves to shut </t>
  </si>
  <si>
    <t>pump on wort kettle</t>
  </si>
  <si>
    <t xml:space="preserve"> 1 SBF</t>
  </si>
  <si>
    <t>3 BREAKS</t>
  </si>
  <si>
    <t>K. Neptune</t>
  </si>
  <si>
    <t>1 BREAK</t>
  </si>
  <si>
    <t>WK pump issues</t>
  </si>
  <si>
    <t xml:space="preserve">Spent grain removal issues </t>
  </si>
  <si>
    <t>D. Emery</t>
  </si>
  <si>
    <t>Steam shut off</t>
  </si>
  <si>
    <t xml:space="preserve">Copper up in pre-run </t>
  </si>
  <si>
    <t>Brews Achieved (28th)</t>
  </si>
  <si>
    <t>2 BREAKS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</si>
</sst>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  <font>
      <b/>
      <sz val="11"/>
      <color rgb="FFCC33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330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38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6" fontId="9" fillId="26" borderId="63" xfId="3" applyNumberFormat="1" applyFont="1" applyFill="1" applyBorder="1" applyAlignment="1">
      <alignment horizont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5" fontId="8" fillId="23" borderId="2" xfId="3" applyFont="1" applyFill="1" applyBorder="1" applyAlignment="1">
      <alignment vertical="center"/>
    </xf>
    <xf numFmtId="165" fontId="9" fillId="0" borderId="81" xfId="3" applyFont="1" applyBorder="1" applyAlignment="1">
      <alignment vertical="center" wrapText="1"/>
    </xf>
    <xf numFmtId="165" fontId="9" fillId="0" borderId="40" xfId="3" applyFont="1" applyBorder="1" applyAlignment="1">
      <alignment horizontal="center" vertical="center" wrapText="1"/>
    </xf>
    <xf numFmtId="16" fontId="8" fillId="0" borderId="39" xfId="3" applyNumberFormat="1" applyFont="1" applyBorder="1" applyAlignment="1">
      <alignment horizontal="center" vertical="center"/>
    </xf>
    <xf numFmtId="4" fontId="8" fillId="0" borderId="39" xfId="3" applyNumberFormat="1" applyFont="1" applyBorder="1" applyAlignment="1">
      <alignment horizontal="center" vertical="center"/>
    </xf>
    <xf numFmtId="171" fontId="8" fillId="0" borderId="39" xfId="3" applyNumberFormat="1" applyFont="1" applyBorder="1" applyAlignment="1">
      <alignment horizontal="center" vertical="center"/>
    </xf>
    <xf numFmtId="2" fontId="8" fillId="0" borderId="39" xfId="3" applyNumberFormat="1" applyFont="1" applyBorder="1" applyAlignment="1">
      <alignment horizontal="center" vertical="center"/>
    </xf>
    <xf numFmtId="4" fontId="8" fillId="0" borderId="62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170" fontId="8" fillId="0" borderId="79" xfId="4" applyNumberFormat="1" applyFont="1" applyFill="1" applyBorder="1" applyAlignment="1">
      <alignment horizontal="center" vertical="center"/>
    </xf>
    <xf numFmtId="16" fontId="9" fillId="0" borderId="76" xfId="3" applyNumberFormat="1" applyFont="1" applyBorder="1" applyAlignment="1">
      <alignment horizontal="center" vertical="center"/>
    </xf>
    <xf numFmtId="4" fontId="8" fillId="0" borderId="76" xfId="3" applyNumberFormat="1" applyFont="1" applyBorder="1" applyAlignment="1">
      <alignment horizontal="center" vertical="center"/>
    </xf>
    <xf numFmtId="171" fontId="8" fillId="0" borderId="76" xfId="3" applyNumberFormat="1" applyFont="1" applyBorder="1" applyAlignment="1">
      <alignment horizontal="center" vertical="center"/>
    </xf>
    <xf numFmtId="2" fontId="8" fillId="0" borderId="76" xfId="3" applyNumberFormat="1" applyFont="1" applyBorder="1" applyAlignment="1">
      <alignment horizontal="center" vertical="center"/>
    </xf>
    <xf numFmtId="4" fontId="8" fillId="0" borderId="80" xfId="3" applyNumberFormat="1" applyFont="1" applyBorder="1" applyAlignment="1">
      <alignment horizontal="center" vertical="center"/>
    </xf>
    <xf numFmtId="2" fontId="31" fillId="0" borderId="76" xfId="4" applyNumberFormat="1" applyFont="1" applyFill="1" applyBorder="1" applyAlignment="1">
      <alignment horizontal="center" vertical="center"/>
    </xf>
    <xf numFmtId="170" fontId="8" fillId="0" borderId="9" xfId="4" applyNumberFormat="1" applyFont="1" applyFill="1" applyBorder="1" applyAlignment="1">
      <alignment horizontal="center" vertical="center"/>
    </xf>
    <xf numFmtId="165" fontId="85" fillId="0" borderId="38" xfId="3" applyFont="1" applyBorder="1" applyAlignment="1">
      <alignment horizontal="center" vertical="center"/>
    </xf>
    <xf numFmtId="2" fontId="31" fillId="0" borderId="62" xfId="4" applyNumberFormat="1" applyFont="1" applyFill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2" fontId="79" fillId="0" borderId="39" xfId="3" applyNumberFormat="1" applyFont="1" applyBorder="1" applyAlignment="1">
      <alignment horizontal="center" vertical="center"/>
    </xf>
    <xf numFmtId="16" fontId="9" fillId="0" borderId="84" xfId="3" applyNumberFormat="1" applyFont="1" applyBorder="1" applyAlignment="1">
      <alignment horizontal="center" vertical="center"/>
    </xf>
    <xf numFmtId="4" fontId="8" fillId="0" borderId="84" xfId="3" applyNumberFormat="1" applyFont="1" applyBorder="1" applyAlignment="1">
      <alignment horizontal="center" vertical="center"/>
    </xf>
    <xf numFmtId="171" fontId="8" fillId="0" borderId="84" xfId="3" applyNumberFormat="1" applyFont="1" applyBorder="1" applyAlignment="1">
      <alignment horizontal="center" vertical="center"/>
    </xf>
    <xf numFmtId="2" fontId="8" fillId="0" borderId="84" xfId="3" applyNumberFormat="1" applyFont="1" applyBorder="1" applyAlignment="1">
      <alignment horizontal="center" vertical="center"/>
    </xf>
    <xf numFmtId="4" fontId="8" fillId="0" borderId="85" xfId="3" applyNumberFormat="1" applyFont="1" applyBorder="1" applyAlignment="1">
      <alignment horizontal="center" vertical="center"/>
    </xf>
    <xf numFmtId="2" fontId="31" fillId="0" borderId="84" xfId="4" applyNumberFormat="1" applyFont="1" applyFill="1" applyBorder="1" applyAlignment="1">
      <alignment horizontal="center" vertical="center"/>
    </xf>
    <xf numFmtId="2" fontId="31" fillId="0" borderId="85" xfId="4" applyNumberFormat="1" applyFont="1" applyFill="1" applyBorder="1" applyAlignment="1">
      <alignment horizontal="center" vertical="center"/>
    </xf>
    <xf numFmtId="2" fontId="9" fillId="4" borderId="84" xfId="3" applyNumberFormat="1" applyFont="1" applyFill="1" applyBorder="1" applyAlignment="1">
      <alignment horizontal="center" vertical="center"/>
    </xf>
    <xf numFmtId="170" fontId="8" fillId="0" borderId="86" xfId="4" applyNumberFormat="1" applyFont="1" applyFill="1" applyBorder="1" applyAlignment="1">
      <alignment horizontal="center" vertical="center"/>
    </xf>
    <xf numFmtId="2" fontId="31" fillId="0" borderId="80" xfId="4" applyNumberFormat="1" applyFont="1" applyFill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2" fontId="79" fillId="0" borderId="76" xfId="3" applyNumberFormat="1" applyFont="1" applyBorder="1" applyAlignment="1">
      <alignment horizontal="center" vertical="center"/>
    </xf>
    <xf numFmtId="165" fontId="86" fillId="0" borderId="88" xfId="3" applyFont="1" applyBorder="1" applyAlignment="1">
      <alignment horizontal="center" vertical="center"/>
    </xf>
    <xf numFmtId="165" fontId="9" fillId="0" borderId="87" xfId="3" applyFont="1" applyBorder="1" applyAlignment="1">
      <alignment horizontal="center" vertical="center" wrapText="1"/>
    </xf>
    <xf numFmtId="165" fontId="9" fillId="0" borderId="18" xfId="3" applyFont="1" applyBorder="1" applyAlignment="1">
      <alignment horizontal="center" vertical="center" wrapText="1"/>
    </xf>
    <xf numFmtId="165" fontId="20" fillId="0" borderId="13" xfId="3" applyFont="1" applyBorder="1" applyAlignment="1">
      <alignment horizontal="center" vertical="center"/>
    </xf>
    <xf numFmtId="2" fontId="79" fillId="0" borderId="84" xfId="3" applyNumberFormat="1" applyFont="1" applyBorder="1" applyAlignment="1">
      <alignment horizontal="center" vertical="center"/>
    </xf>
    <xf numFmtId="2" fontId="31" fillId="0" borderId="84" xfId="4" applyNumberFormat="1" applyFont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71" fontId="8" fillId="0" borderId="0" xfId="3" applyNumberFormat="1" applyFont="1" applyAlignment="1">
      <alignment horizontal="center" vertical="center"/>
    </xf>
    <xf numFmtId="2" fontId="8" fillId="0" borderId="0" xfId="3" applyNumberFormat="1" applyFont="1" applyAlignment="1">
      <alignment horizontal="center" vertical="center"/>
    </xf>
    <xf numFmtId="2" fontId="31" fillId="0" borderId="0" xfId="4" applyNumberFormat="1" applyFont="1" applyFill="1" applyBorder="1" applyAlignment="1">
      <alignment horizontal="center" vertical="center"/>
    </xf>
    <xf numFmtId="170" fontId="8" fillId="0" borderId="0" xfId="4" applyNumberFormat="1" applyFont="1" applyFill="1" applyBorder="1" applyAlignment="1">
      <alignment horizontal="center" vertical="center"/>
    </xf>
    <xf numFmtId="2" fontId="79" fillId="0" borderId="0" xfId="3" applyNumberFormat="1" applyFont="1" applyAlignment="1">
      <alignment horizontal="center" vertical="center"/>
    </xf>
    <xf numFmtId="165" fontId="27" fillId="0" borderId="0" xfId="3" applyFont="1" applyAlignment="1">
      <alignment horizontal="center" vertical="center"/>
    </xf>
    <xf numFmtId="165" fontId="10" fillId="3" borderId="1" xfId="3" applyFont="1" applyFill="1" applyBorder="1"/>
    <xf numFmtId="166" fontId="10" fillId="3" borderId="1" xfId="3" applyNumberFormat="1" applyFont="1" applyFill="1" applyBorder="1"/>
    <xf numFmtId="166" fontId="10" fillId="3" borderId="2" xfId="3" applyNumberFormat="1" applyFont="1" applyFill="1" applyBorder="1"/>
    <xf numFmtId="1" fontId="10" fillId="3" borderId="1" xfId="3" applyNumberFormat="1" applyFont="1" applyFill="1" applyBorder="1" applyAlignment="1">
      <alignment horizontal="center"/>
    </xf>
    <xf numFmtId="166" fontId="10" fillId="3" borderId="14" xfId="3" applyNumberFormat="1" applyFont="1" applyFill="1" applyBorder="1"/>
    <xf numFmtId="166" fontId="10" fillId="0" borderId="0" xfId="3" applyNumberFormat="1" applyFont="1" applyAlignment="1">
      <alignment vertical="center"/>
    </xf>
    <xf numFmtId="20" fontId="9" fillId="4" borderId="17" xfId="3" applyNumberFormat="1" applyFont="1" applyFill="1" applyBorder="1" applyAlignment="1">
      <alignment horizontal="center" vertical="center" wrapText="1"/>
    </xf>
    <xf numFmtId="20" fontId="9" fillId="4" borderId="18" xfId="3" applyNumberFormat="1" applyFont="1" applyFill="1" applyBorder="1" applyAlignment="1">
      <alignment horizontal="center" vertical="center" wrapText="1"/>
    </xf>
    <xf numFmtId="169" fontId="34" fillId="0" borderId="41" xfId="3" applyNumberFormat="1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2" fontId="40" fillId="0" borderId="1" xfId="3" applyNumberFormat="1" applyFont="1" applyBorder="1" applyAlignment="1">
      <alignment horizontal="right"/>
    </xf>
    <xf numFmtId="165" fontId="9" fillId="0" borderId="27" xfId="3" applyFont="1" applyBorder="1" applyAlignment="1">
      <alignment vertical="center" wrapText="1"/>
    </xf>
    <xf numFmtId="16" fontId="9" fillId="0" borderId="86" xfId="3" applyNumberFormat="1" applyFont="1" applyBorder="1" applyAlignment="1">
      <alignment horizontal="center" vertical="center"/>
    </xf>
    <xf numFmtId="165" fontId="20" fillId="0" borderId="18" xfId="3" applyFont="1" applyBorder="1" applyAlignment="1">
      <alignment horizontal="center" vertical="center"/>
    </xf>
    <xf numFmtId="166" fontId="79" fillId="7" borderId="1" xfId="3" applyNumberFormat="1" applyFont="1" applyFill="1" applyBorder="1" applyAlignment="1">
      <alignment horizontal="center" vertical="center"/>
    </xf>
    <xf numFmtId="165" fontId="9" fillId="0" borderId="13" xfId="3" applyFont="1" applyBorder="1" applyAlignment="1">
      <alignment horizontal="left"/>
    </xf>
    <xf numFmtId="166" fontId="9" fillId="4" borderId="51" xfId="3" applyNumberFormat="1" applyFont="1" applyFill="1" applyBorder="1" applyAlignment="1">
      <alignment horizontal="right"/>
    </xf>
    <xf numFmtId="165" fontId="85" fillId="0" borderId="18" xfId="3" applyFont="1" applyBorder="1" applyAlignment="1">
      <alignment horizontal="center" vertical="center"/>
    </xf>
    <xf numFmtId="2" fontId="79" fillId="0" borderId="1" xfId="3" applyNumberFormat="1" applyFont="1" applyBorder="1" applyAlignment="1">
      <alignment horizontal="right"/>
    </xf>
    <xf numFmtId="167" fontId="79" fillId="5" borderId="11" xfId="3" applyNumberFormat="1" applyFont="1" applyFill="1" applyBorder="1" applyAlignment="1">
      <alignment horizontal="center" vertical="center"/>
    </xf>
    <xf numFmtId="166" fontId="9" fillId="23" borderId="1" xfId="3" applyNumberFormat="1" applyFont="1" applyFill="1" applyBorder="1" applyAlignment="1">
      <alignment horizontal="center" vertical="center"/>
    </xf>
    <xf numFmtId="2" fontId="9" fillId="23" borderId="1" xfId="3" applyNumberFormat="1" applyFont="1" applyFill="1" applyBorder="1" applyAlignment="1">
      <alignment horizontal="center" vertical="center"/>
    </xf>
    <xf numFmtId="165" fontId="27" fillId="28" borderId="13" xfId="3" applyFont="1" applyFill="1" applyBorder="1"/>
    <xf numFmtId="16" fontId="8" fillId="28" borderId="1" xfId="3" applyNumberFormat="1" applyFont="1" applyFill="1" applyBorder="1" applyAlignment="1">
      <alignment horizontal="center" vertical="center"/>
    </xf>
    <xf numFmtId="166" fontId="8" fillId="28" borderId="1" xfId="3" applyNumberFormat="1" applyFont="1" applyFill="1" applyBorder="1" applyAlignment="1">
      <alignment horizontal="center" vertical="center"/>
    </xf>
    <xf numFmtId="1" fontId="9" fillId="28" borderId="1" xfId="3" applyNumberFormat="1" applyFont="1" applyFill="1" applyBorder="1" applyAlignment="1">
      <alignment horizontal="center" vertical="center"/>
    </xf>
    <xf numFmtId="166" fontId="9" fillId="28" borderId="1" xfId="3" applyNumberFormat="1" applyFont="1" applyFill="1" applyBorder="1" applyAlignment="1">
      <alignment horizontal="center" vertical="center"/>
    </xf>
    <xf numFmtId="2" fontId="9" fillId="28" borderId="1" xfId="3" applyNumberFormat="1" applyFont="1" applyFill="1" applyBorder="1" applyAlignment="1">
      <alignment horizontal="center" vertical="center"/>
    </xf>
    <xf numFmtId="1" fontId="8" fillId="28" borderId="1" xfId="3" applyNumberFormat="1" applyFont="1" applyFill="1" applyBorder="1" applyAlignment="1">
      <alignment horizontal="center" vertical="center"/>
    </xf>
    <xf numFmtId="167" fontId="21" fillId="28" borderId="11" xfId="3" applyNumberFormat="1" applyFont="1" applyFill="1" applyBorder="1" applyAlignment="1">
      <alignment horizontal="center" vertical="center"/>
    </xf>
    <xf numFmtId="165" fontId="8" fillId="28" borderId="2" xfId="3" applyFont="1" applyFill="1" applyBorder="1" applyAlignment="1">
      <alignment vertical="center"/>
    </xf>
    <xf numFmtId="0" fontId="22" fillId="28" borderId="1" xfId="3" applyNumberFormat="1" applyFont="1" applyFill="1" applyBorder="1" applyAlignment="1">
      <alignment vertical="top" wrapText="1"/>
    </xf>
    <xf numFmtId="165" fontId="8" fillId="28" borderId="0" xfId="3" applyFont="1" applyFill="1"/>
    <xf numFmtId="165" fontId="8" fillId="28" borderId="0" xfId="3" applyFont="1" applyFill="1" applyAlignment="1">
      <alignment vertical="center"/>
    </xf>
    <xf numFmtId="166" fontId="10" fillId="28" borderId="0" xfId="3" applyNumberFormat="1" applyFont="1" applyFill="1" applyAlignment="1">
      <alignment vertical="center"/>
    </xf>
    <xf numFmtId="167" fontId="9" fillId="28" borderId="0" xfId="3" applyNumberFormat="1" applyFont="1" applyFill="1" applyAlignment="1">
      <alignment horizontal="right" vertical="center"/>
    </xf>
    <xf numFmtId="165" fontId="80" fillId="0" borderId="18" xfId="3" applyFont="1" applyBorder="1" applyAlignment="1">
      <alignment horizontal="center" vertical="center"/>
    </xf>
    <xf numFmtId="165" fontId="87" fillId="0" borderId="18" xfId="3" applyFont="1" applyBorder="1" applyAlignment="1">
      <alignment horizontal="center" vertical="center"/>
    </xf>
    <xf numFmtId="165" fontId="79" fillId="0" borderId="18" xfId="3" applyFont="1" applyBorder="1" applyAlignment="1">
      <alignment horizontal="center" vertical="center"/>
    </xf>
    <xf numFmtId="166" fontId="79" fillId="0" borderId="1" xfId="3" applyNumberFormat="1" applyFont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 wrapText="1"/>
    </xf>
    <xf numFmtId="165" fontId="9" fillId="0" borderId="27" xfId="3" applyFont="1" applyBorder="1" applyAlignment="1">
      <alignment horizontal="center" vertical="center" wrapText="1"/>
    </xf>
    <xf numFmtId="165" fontId="9" fillId="0" borderId="5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6" fontId="9" fillId="27" borderId="83" xfId="3" applyNumberFormat="1" applyFont="1" applyFill="1" applyBorder="1" applyAlignment="1">
      <alignment horizontal="center" vertical="center"/>
    </xf>
    <xf numFmtId="166" fontId="9" fillId="27" borderId="19" xfId="3" applyNumberFormat="1" applyFont="1" applyFill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 wrapText="1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5" fontId="9" fillId="0" borderId="4" xfId="3" applyFont="1" applyBorder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80" fillId="0" borderId="34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5" fontId="9" fillId="0" borderId="14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0" xfId="3" applyFont="1" applyAlignment="1">
      <alignment horizontal="left"/>
    </xf>
    <xf numFmtId="165" fontId="9" fillId="0" borderId="50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10" fillId="3" borderId="1" xfId="3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6" fontId="8" fillId="0" borderId="82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10" fillId="3" borderId="1" xfId="0" applyFont="1" applyFill="1" applyBorder="1" applyAlignment="1">
      <alignment horizont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12" xfId="3" applyFont="1" applyBorder="1" applyAlignment="1">
      <alignment horizontal="center" vertical="center" wrapText="1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6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23" xfId="3" applyFont="1" applyBorder="1" applyAlignment="1">
      <alignment horizontal="center" vertic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5" xfId="3" applyFont="1" applyBorder="1" applyAlignment="1">
      <alignment horizontal="center" vertical="center" wrapText="1"/>
    </xf>
    <xf numFmtId="165" fontId="40" fillId="0" borderId="38" xfId="3" applyFont="1" applyBorder="1" applyAlignment="1">
      <alignment horizontal="center" vertical="center" wrapText="1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0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35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3896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8200"/>
      <color rgb="FFCC3300"/>
      <color rgb="FFFF3300"/>
      <color rgb="FFFF0000"/>
      <color rgb="FFFF66FF"/>
      <color rgb="FFFF0066"/>
      <color rgb="FFFF9999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47" Type="http://schemas.openxmlformats.org/officeDocument/2006/relationships/externalLink" Target="externalLinks/externalLink22.xml"/><Relationship Id="rId63" Type="http://schemas.openxmlformats.org/officeDocument/2006/relationships/externalLink" Target="externalLinks/externalLink38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28.xml"/><Relationship Id="rId58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4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31.xml"/><Relationship Id="rId64" Type="http://schemas.openxmlformats.org/officeDocument/2006/relationships/externalLink" Target="externalLinks/externalLink39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59" Type="http://schemas.openxmlformats.org/officeDocument/2006/relationships/externalLink" Target="externalLinks/externalLink34.xml"/><Relationship Id="rId67" Type="http://schemas.openxmlformats.org/officeDocument/2006/relationships/externalLink" Target="externalLinks/externalLink42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54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37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3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27.xml"/><Relationship Id="rId60" Type="http://schemas.openxmlformats.org/officeDocument/2006/relationships/externalLink" Target="externalLinks/externalLink35.xml"/><Relationship Id="rId65" Type="http://schemas.openxmlformats.org/officeDocument/2006/relationships/externalLink" Target="externalLinks/externalLink4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9.xml"/><Relationship Id="rId50" Type="http://schemas.openxmlformats.org/officeDocument/2006/relationships/externalLink" Target="externalLinks/externalLink25.xml"/><Relationship Id="rId55" Type="http://schemas.openxmlformats.org/officeDocument/2006/relationships/externalLink" Target="externalLinks/externalLink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CaribLog2026.xlsx" TargetMode="External"/><Relationship Id="rId2" Type="http://schemas.openxmlformats.org/officeDocument/2006/relationships/externalLinkPath" Target="file:///F:\Operations\Brewing\Logbooks\Logbooks%202026\NewCaribLog2026.xlsx" TargetMode="External"/><Relationship Id="rId1" Type="http://schemas.openxmlformats.org/officeDocument/2006/relationships/externalLinkPath" Target="/Operations/Brewing/Logbooks/Logbooks%202026/NewCaribLog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tagLog2026.xls" TargetMode="External"/><Relationship Id="rId2" Type="http://schemas.openxmlformats.org/officeDocument/2006/relationships/externalLinkPath" Target="file:///F:\Operations\Brewing\Logbooks\Logbooks%202026\NewStagLog2026.xls" TargetMode="External"/><Relationship Id="rId1" Type="http://schemas.openxmlformats.org/officeDocument/2006/relationships/externalLinkPath" Target="/Operations/Brewing/Logbooks/Logbooks%202026/NewStagLog2026.xls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GuinnLog2026.xls" TargetMode="External"/><Relationship Id="rId2" Type="http://schemas.openxmlformats.org/officeDocument/2006/relationships/externalLinkPath" Target="file:///F:\Operations\Brewing\Logbooks\Logbooks%202026\NewGuinnLog2026.xls" TargetMode="External"/><Relationship Id="rId1" Type="http://schemas.openxmlformats.org/officeDocument/2006/relationships/externalLinkPath" Target="/Operations/Brewing/Logbooks/Logbooks%202026/NewGuinnLog2026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VMaltLog2026.xls" TargetMode="External"/><Relationship Id="rId2" Type="http://schemas.openxmlformats.org/officeDocument/2006/relationships/externalLinkPath" Target="file:///F:\Operations\Brewing\Logbooks\Logbooks%202026\NewVMaltLog2026.xls" TargetMode="External"/><Relationship Id="rId1" Type="http://schemas.openxmlformats.org/officeDocument/2006/relationships/externalLinkPath" Target="/Operations/Brewing/Logbooks/Logbooks%202026/NewVMaltLog2026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MackLog2026.xls" TargetMode="External"/><Relationship Id="rId2" Type="http://schemas.openxmlformats.org/officeDocument/2006/relationships/externalLinkPath" Target="file:///F:\Operations\Brewing\Logbooks\Logbooks%202026\NewMackLog2026.xls" TargetMode="External"/><Relationship Id="rId1" Type="http://schemas.openxmlformats.org/officeDocument/2006/relationships/externalLinkPath" Target="/Operations/Brewing/Logbooks/Logbooks%202026/NewMackLog2026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MaltLog2026.xls" TargetMode="External"/><Relationship Id="rId2" Type="http://schemas.openxmlformats.org/officeDocument/2006/relationships/externalLinkPath" Target="file:///F:\Operations\Brewing\Logbooks\Logbooks%202026\NewSMaltLog2026.xls" TargetMode="External"/><Relationship Id="rId1" Type="http://schemas.openxmlformats.org/officeDocument/2006/relationships/externalLinkPath" Target="/Operations/Brewing/Logbooks/Logbooks%202026/NewSMaltLog202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anuary%20'26%20Daily%20Process%20Report%202026.xlsx" TargetMode="External"/><Relationship Id="rId1" Type="http://schemas.openxmlformats.org/officeDocument/2006/relationships/externalLinkPath" Target="January%20'26%20Daily%20Process%20Report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February%20'26%20Daily%20Process%20Report%202026.xlsx" TargetMode="External"/><Relationship Id="rId1" Type="http://schemas.openxmlformats.org/officeDocument/2006/relationships/externalLinkPath" Target="February%20'26%20Daily%20Process%20Report%202026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rch'26%20Daily%20Process%20Report%202026.xlsx" TargetMode="External"/><Relationship Id="rId1" Type="http://schemas.openxmlformats.org/officeDocument/2006/relationships/externalLinkPath" Target="March'26%20Daily%20Process%20Report%202026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April%20'26%20Daily%20Process%20Report%202026.xlsx" TargetMode="External"/><Relationship Id="rId1" Type="http://schemas.openxmlformats.org/officeDocument/2006/relationships/externalLinkPath" Target="April%20'26%20Daily%20Process%20Report%20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y'26%20Daily%20Process%20Report%202026.xlsx" TargetMode="External"/><Relationship Id="rId1" Type="http://schemas.openxmlformats.org/officeDocument/2006/relationships/externalLinkPath" Target="May'26%20Daily%20Process%20Report%202026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6.xls" TargetMode="External"/><Relationship Id="rId2" Type="http://schemas.openxmlformats.org/officeDocument/2006/relationships/externalLinkPath" Target="file:///F:\Operations\Reshelle\Brewing\Daily_Brewhouse_Efficiency\Daily_Brewhouse_Efficiency_2026.xls" TargetMode="External"/><Relationship Id="rId1" Type="http://schemas.openxmlformats.org/officeDocument/2006/relationships/externalLinkPath" Target="/Operations/Reshelle/Brewing/Daily_Brewhouse_Efficiency/Daily_Brewhouse_Efficiency_2026.xls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6.xlsx" TargetMode="External"/><Relationship Id="rId2" Type="http://schemas.openxmlformats.org/officeDocument/2006/relationships/externalLinkPath" Target="file:///F:\Operations\Reshelle\Brewing\Filtration_Throughput\Filtration_Throughput_2026.xlsx" TargetMode="External"/><Relationship Id="rId1" Type="http://schemas.openxmlformats.org/officeDocument/2006/relationships/externalLinkPath" Target="/Operations/Reshelle/Brewing/Filtration_Throughput/Filtration_Throughput_2026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Filtration_Throughput/Filtration_Throughput_2019.xlsx" TargetMode="External"/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CaribLog2022.xlsx" TargetMode="External"/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tagLog2022.xls" TargetMode="External"/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GuinnLog2022.xls" TargetMode="External"/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VMaltLog2022.xls" TargetMode="External"/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MackLog2022.xls" TargetMode="External"/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MaltLog2022.xls" TargetMode="External"/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HRLog2022.xls" TargetMode="External"/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an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Febr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March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April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ne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l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ugust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October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3.xls" TargetMode="External"/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3.xlsx" TargetMode="External"/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Daily_Brewhouse_Efficiency/Daily_Brewhouse_Efficiency_2022.xls" TargetMode="External"/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osses%202026/June_2026.xls" TargetMode="External"/><Relationship Id="rId2" Type="http://schemas.openxmlformats.org/officeDocument/2006/relationships/externalLinkPath" Target="file:///F:\Operations\Brewing\Reports%20Local\Losses%202026\June_2026.xls" TargetMode="External"/><Relationship Id="rId1" Type="http://schemas.openxmlformats.org/officeDocument/2006/relationships/externalLinkPath" Target="/Operations/Brewing/Reports%20Local/Losses%202026/June_202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VMaltLog.xls" TargetMode="External"/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ogbooks/NewMMaltLog.xls" TargetMode="External"/><Relationship Id="rId1" Type="http://schemas.openxmlformats.org/officeDocument/2006/relationships/externalLinkPath" Target="/Operations/Brewing/Logbooks/NewMMaltLog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Jan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Febr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Ma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ackaging"/>
      <sheetName val="Process"/>
      <sheetName val="Summary June '26"/>
      <sheetName val="Summary May '26"/>
      <sheetName val="Summary April '26"/>
      <sheetName val="Summary March '26"/>
      <sheetName val="Summary February '26"/>
      <sheetName val="Summary January '26"/>
    </sheetNames>
    <sheetDataSet>
      <sheetData sheetId="0"/>
      <sheetData sheetId="1"/>
      <sheetData sheetId="2"/>
      <sheetData sheetId="3"/>
      <sheetData sheetId="4"/>
      <sheetData sheetId="5">
        <row r="42">
          <cell r="AU42">
            <v>98.774703764205327</v>
          </cell>
        </row>
        <row r="43">
          <cell r="AU43">
            <v>99.746895730388445</v>
          </cell>
        </row>
        <row r="44">
          <cell r="AU44">
            <v>99.480491014553465</v>
          </cell>
        </row>
        <row r="45">
          <cell r="AU45">
            <v>99.359192252045119</v>
          </cell>
        </row>
        <row r="46">
          <cell r="AU46">
            <v>94.942986581581494</v>
          </cell>
        </row>
        <row r="47">
          <cell r="AU47">
            <v>99.744059513955506</v>
          </cell>
        </row>
        <row r="48">
          <cell r="AU48">
            <v>100.99522335236702</v>
          </cell>
        </row>
        <row r="49">
          <cell r="AU49">
            <v>96.38510978729046</v>
          </cell>
        </row>
        <row r="50">
          <cell r="AU50">
            <v>96.854916965661218</v>
          </cell>
        </row>
        <row r="51">
          <cell r="AU51">
            <v>97.756974250197359</v>
          </cell>
        </row>
        <row r="52">
          <cell r="AU52">
            <v>98.280554742749217</v>
          </cell>
        </row>
        <row r="53">
          <cell r="AU53">
            <v>96.13324085965202</v>
          </cell>
        </row>
        <row r="54">
          <cell r="AU54">
            <v>93.879203465211987</v>
          </cell>
        </row>
        <row r="55">
          <cell r="AU55">
            <v>95.350414753836105</v>
          </cell>
        </row>
        <row r="56">
          <cell r="AU56">
            <v>96.220784779412256</v>
          </cell>
        </row>
        <row r="57">
          <cell r="AU57">
            <v>98.599549107933044</v>
          </cell>
        </row>
        <row r="58">
          <cell r="AU58">
            <v>97.224654996866249</v>
          </cell>
        </row>
        <row r="59">
          <cell r="AU59">
            <v>97.214744342532583</v>
          </cell>
        </row>
        <row r="60">
          <cell r="AU60">
            <v>99.947116466554263</v>
          </cell>
        </row>
        <row r="61">
          <cell r="AU61">
            <v>98.532094795334359</v>
          </cell>
        </row>
        <row r="62">
          <cell r="AU62">
            <v>93.409868719251207</v>
          </cell>
        </row>
        <row r="63">
          <cell r="AU63">
            <v>99.155044731309943</v>
          </cell>
        </row>
        <row r="64">
          <cell r="AU64">
            <v>97.421068441304371</v>
          </cell>
        </row>
        <row r="65">
          <cell r="AU65">
            <v>96.397222195852265</v>
          </cell>
        </row>
        <row r="66">
          <cell r="AU66">
            <v>100.46145390412471</v>
          </cell>
        </row>
        <row r="67">
          <cell r="AU67">
            <v>98.998214709308328</v>
          </cell>
        </row>
        <row r="68">
          <cell r="AU68">
            <v>97.857422068578444</v>
          </cell>
        </row>
        <row r="69">
          <cell r="AU69">
            <v>97.436062166815688</v>
          </cell>
        </row>
        <row r="70">
          <cell r="AU70">
            <v>96.910477582354332</v>
          </cell>
        </row>
        <row r="71">
          <cell r="AU71">
            <v>98.960439575055489</v>
          </cell>
        </row>
        <row r="72">
          <cell r="AU72">
            <v>102.29507421858402</v>
          </cell>
        </row>
        <row r="73">
          <cell r="AU73">
            <v>99.640437653385277</v>
          </cell>
        </row>
        <row r="74">
          <cell r="AU74">
            <v>82.328169468585017</v>
          </cell>
        </row>
        <row r="75">
          <cell r="AU75">
            <v>97.674289949528585</v>
          </cell>
        </row>
        <row r="76">
          <cell r="AU76">
            <v>107.03141163467369</v>
          </cell>
        </row>
        <row r="77">
          <cell r="AU77">
            <v>95.236008152799599</v>
          </cell>
        </row>
        <row r="78">
          <cell r="AU78">
            <v>93.827567679359049</v>
          </cell>
        </row>
        <row r="79">
          <cell r="AU79">
            <v>95.896687100312732</v>
          </cell>
        </row>
        <row r="80">
          <cell r="AU80">
            <v>99.738925134433643</v>
          </cell>
        </row>
        <row r="81">
          <cell r="AU81">
            <v>100.16530562302518</v>
          </cell>
        </row>
        <row r="82">
          <cell r="AU82">
            <v>99.736526583941028</v>
          </cell>
        </row>
        <row r="83">
          <cell r="AU83">
            <v>99.664029210937514</v>
          </cell>
        </row>
        <row r="84">
          <cell r="AU84">
            <v>100.01748335846912</v>
          </cell>
        </row>
        <row r="85">
          <cell r="AU85">
            <v>102.59219085086538</v>
          </cell>
        </row>
        <row r="86">
          <cell r="AU86">
            <v>102.5433340471773</v>
          </cell>
        </row>
        <row r="87">
          <cell r="AU87">
            <v>96.805164931106077</v>
          </cell>
        </row>
        <row r="88">
          <cell r="AU88">
            <v>95.467350978288906</v>
          </cell>
        </row>
        <row r="89">
          <cell r="AU89">
            <v>101.53064235241746</v>
          </cell>
        </row>
        <row r="90">
          <cell r="AU90">
            <v>99.843022353876989</v>
          </cell>
        </row>
        <row r="91">
          <cell r="AU91">
            <v>101.2321550320278</v>
          </cell>
        </row>
        <row r="92">
          <cell r="AU92">
            <v>101.42626155454937</v>
          </cell>
        </row>
        <row r="93">
          <cell r="AU93">
            <v>100.44724358587611</v>
          </cell>
        </row>
        <row r="94">
          <cell r="AU94">
            <v>102.05296320797829</v>
          </cell>
        </row>
        <row r="95">
          <cell r="AU95">
            <v>95.560767955537841</v>
          </cell>
        </row>
        <row r="96">
          <cell r="AU96">
            <v>95.858476381615304</v>
          </cell>
        </row>
        <row r="97">
          <cell r="AU97">
            <v>93.414689526206047</v>
          </cell>
        </row>
        <row r="98">
          <cell r="AU98">
            <v>99.986346763685134</v>
          </cell>
        </row>
        <row r="99">
          <cell r="AU99">
            <v>99.177482096170877</v>
          </cell>
        </row>
        <row r="100">
          <cell r="AU100">
            <v>97.509880366294198</v>
          </cell>
        </row>
        <row r="101">
          <cell r="AU101">
            <v>101.75095732104258</v>
          </cell>
        </row>
        <row r="102">
          <cell r="AU102">
            <v>99.415120817930529</v>
          </cell>
        </row>
        <row r="103">
          <cell r="AU103">
            <v>99.662908503532648</v>
          </cell>
        </row>
        <row r="104">
          <cell r="AU104">
            <v>96.575602446302355</v>
          </cell>
        </row>
        <row r="105">
          <cell r="AU105">
            <v>95.507567677953077</v>
          </cell>
        </row>
        <row r="106">
          <cell r="AU106">
            <v>97.819710364525065</v>
          </cell>
        </row>
        <row r="107">
          <cell r="AU107">
            <v>93.737546450558312</v>
          </cell>
        </row>
        <row r="108">
          <cell r="AU108">
            <v>96.679439674001571</v>
          </cell>
        </row>
        <row r="109">
          <cell r="AU109">
            <v>96.344074013646235</v>
          </cell>
        </row>
        <row r="110">
          <cell r="AU110">
            <v>96.969073122994232</v>
          </cell>
        </row>
        <row r="111">
          <cell r="AU111">
            <v>98.413757188601139</v>
          </cell>
        </row>
        <row r="112">
          <cell r="AU112">
            <v>96.361633561905379</v>
          </cell>
        </row>
        <row r="113">
          <cell r="AU113">
            <v>97.5202904784814</v>
          </cell>
        </row>
        <row r="114">
          <cell r="AU114">
            <v>97.851490534465384</v>
          </cell>
        </row>
        <row r="115">
          <cell r="AU115">
            <v>96.702752232561977</v>
          </cell>
        </row>
        <row r="116">
          <cell r="AU116">
            <v>96.254729187993746</v>
          </cell>
        </row>
        <row r="117">
          <cell r="AU117">
            <v>98.215110637851069</v>
          </cell>
        </row>
        <row r="118">
          <cell r="AU118">
            <v>95.664747463751866</v>
          </cell>
        </row>
        <row r="119">
          <cell r="AU119">
            <v>95.472649577278474</v>
          </cell>
        </row>
        <row r="120">
          <cell r="AU120">
            <v>92.499443839985332</v>
          </cell>
        </row>
        <row r="121">
          <cell r="AU121">
            <v>101.81766752472274</v>
          </cell>
        </row>
        <row r="122">
          <cell r="AU122">
            <v>99.504012001826652</v>
          </cell>
        </row>
        <row r="123">
          <cell r="AU123">
            <v>99.783415797736893</v>
          </cell>
        </row>
        <row r="125">
          <cell r="AU125">
            <v>94.991214982303461</v>
          </cell>
        </row>
        <row r="126">
          <cell r="AU126">
            <v>98.081652776220835</v>
          </cell>
        </row>
        <row r="127">
          <cell r="AU127">
            <v>98.458827461721384</v>
          </cell>
        </row>
        <row r="128">
          <cell r="AU128">
            <v>95.824043987091741</v>
          </cell>
        </row>
        <row r="129">
          <cell r="AU129">
            <v>98.44333422721418</v>
          </cell>
        </row>
        <row r="130">
          <cell r="AU130">
            <v>100.21447484042207</v>
          </cell>
        </row>
        <row r="131">
          <cell r="AU131">
            <v>93.572296329201976</v>
          </cell>
        </row>
        <row r="132">
          <cell r="AU132">
            <v>99.628123440277676</v>
          </cell>
        </row>
        <row r="133">
          <cell r="AU133">
            <v>93.047268518820289</v>
          </cell>
        </row>
        <row r="134">
          <cell r="AU134">
            <v>98.00301242081278</v>
          </cell>
        </row>
        <row r="135">
          <cell r="AU135">
            <v>98.750429944987545</v>
          </cell>
        </row>
        <row r="136">
          <cell r="AU136">
            <v>100.69196814542862</v>
          </cell>
        </row>
        <row r="137">
          <cell r="AU137">
            <v>96.996599085521808</v>
          </cell>
        </row>
        <row r="138">
          <cell r="AU138">
            <v>97.499189767162704</v>
          </cell>
        </row>
        <row r="139">
          <cell r="AU139">
            <v>98.065329347096849</v>
          </cell>
        </row>
        <row r="140">
          <cell r="AU140">
            <v>100.56885966131995</v>
          </cell>
        </row>
        <row r="141">
          <cell r="AU141">
            <v>99.310564104752999</v>
          </cell>
        </row>
        <row r="142">
          <cell r="AU142">
            <v>81.813106414231768</v>
          </cell>
        </row>
        <row r="143">
          <cell r="AU143">
            <v>74.681377386116381</v>
          </cell>
        </row>
        <row r="144">
          <cell r="AU144">
            <v>99.596822865747242</v>
          </cell>
        </row>
        <row r="145">
          <cell r="AU145">
            <v>98.361425847158671</v>
          </cell>
        </row>
        <row r="146">
          <cell r="AU146">
            <v>102.80934079529675</v>
          </cell>
        </row>
        <row r="147">
          <cell r="AU147">
            <v>104.32736945451965</v>
          </cell>
        </row>
        <row r="148">
          <cell r="AU148">
            <v>102.41832780758313</v>
          </cell>
        </row>
        <row r="149">
          <cell r="AU149">
            <v>102.65008917352358</v>
          </cell>
        </row>
        <row r="150">
          <cell r="AU150">
            <v>98.351271471428475</v>
          </cell>
        </row>
        <row r="151">
          <cell r="AU151">
            <v>95.527089538140444</v>
          </cell>
        </row>
        <row r="152">
          <cell r="AU152">
            <v>98.791770353169028</v>
          </cell>
        </row>
        <row r="153">
          <cell r="AU153">
            <v>92.525215393532562</v>
          </cell>
        </row>
        <row r="154">
          <cell r="AU154">
            <v>98.286412743082607</v>
          </cell>
        </row>
        <row r="155">
          <cell r="AU155">
            <v>95.699273266512037</v>
          </cell>
        </row>
        <row r="156">
          <cell r="AU156">
            <v>96.200448437262068</v>
          </cell>
        </row>
        <row r="157">
          <cell r="AU157">
            <v>93.020726759402706</v>
          </cell>
        </row>
        <row r="158">
          <cell r="AU158">
            <v>96.412047269582672</v>
          </cell>
        </row>
        <row r="159">
          <cell r="AU159">
            <v>97.250520471561614</v>
          </cell>
        </row>
        <row r="160">
          <cell r="AU160">
            <v>98.1438476329579</v>
          </cell>
        </row>
        <row r="161">
          <cell r="AU161">
            <v>93.52608739149872</v>
          </cell>
        </row>
        <row r="162">
          <cell r="AU162">
            <v>101.12603213986264</v>
          </cell>
        </row>
        <row r="163">
          <cell r="AU163">
            <v>100.33640509948549</v>
          </cell>
        </row>
        <row r="164">
          <cell r="AU164">
            <v>100.85036161508521</v>
          </cell>
        </row>
        <row r="165">
          <cell r="AU165">
            <v>95.502024957607773</v>
          </cell>
        </row>
        <row r="166">
          <cell r="AU166">
            <v>94.342162395109455</v>
          </cell>
        </row>
        <row r="167">
          <cell r="AU167">
            <v>99.071689760585087</v>
          </cell>
        </row>
        <row r="168">
          <cell r="AU168">
            <v>98.514796568176052</v>
          </cell>
        </row>
        <row r="169">
          <cell r="AU169">
            <v>96.024272843684003</v>
          </cell>
        </row>
        <row r="170">
          <cell r="AU170">
            <v>98.175529465436611</v>
          </cell>
        </row>
        <row r="171">
          <cell r="AU171">
            <v>102.72843364793638</v>
          </cell>
        </row>
        <row r="172">
          <cell r="AU172">
            <v>97.857596270649012</v>
          </cell>
        </row>
        <row r="173">
          <cell r="AU173">
            <v>96.511183978216323</v>
          </cell>
        </row>
        <row r="174">
          <cell r="AU174">
            <v>96.273917789076862</v>
          </cell>
        </row>
        <row r="175">
          <cell r="AU175">
            <v>96.763833489372473</v>
          </cell>
        </row>
        <row r="176">
          <cell r="AU176">
            <v>98.253731658657813</v>
          </cell>
        </row>
        <row r="177">
          <cell r="AU177">
            <v>96.225557296455349</v>
          </cell>
        </row>
        <row r="178">
          <cell r="AU178">
            <v>95.76386603519768</v>
          </cell>
        </row>
        <row r="179">
          <cell r="AU179">
            <v>97.861559996128506</v>
          </cell>
        </row>
        <row r="180">
          <cell r="AU180">
            <v>98.551754908063671</v>
          </cell>
        </row>
        <row r="181">
          <cell r="AU181">
            <v>90.189295198187452</v>
          </cell>
        </row>
        <row r="182">
          <cell r="AU182">
            <v>99.950041431757512</v>
          </cell>
        </row>
        <row r="183">
          <cell r="AU183">
            <v>97.547980983941912</v>
          </cell>
        </row>
        <row r="184">
          <cell r="AU184">
            <v>97.02181756168649</v>
          </cell>
        </row>
        <row r="185">
          <cell r="AU185">
            <v>97.515157399606437</v>
          </cell>
        </row>
        <row r="186">
          <cell r="AU186">
            <v>95.404393473874009</v>
          </cell>
        </row>
        <row r="187">
          <cell r="AU187">
            <v>99.138574114682569</v>
          </cell>
        </row>
        <row r="188">
          <cell r="AU188">
            <v>97.371494370242544</v>
          </cell>
        </row>
        <row r="198">
          <cell r="AU198">
            <v>96.242072087973199</v>
          </cell>
        </row>
        <row r="199">
          <cell r="AU199">
            <v>98.87254747107896</v>
          </cell>
        </row>
        <row r="200">
          <cell r="AU200">
            <v>101.57164076036193</v>
          </cell>
        </row>
        <row r="201">
          <cell r="AU201">
            <v>99.130786137236072</v>
          </cell>
        </row>
        <row r="202">
          <cell r="AU202">
            <v>94.664735774609312</v>
          </cell>
        </row>
        <row r="203">
          <cell r="AU203">
            <v>98.211317122475975</v>
          </cell>
        </row>
        <row r="204">
          <cell r="AU204">
            <v>96.718815813314833</v>
          </cell>
        </row>
        <row r="205">
          <cell r="AU205">
            <v>99.681744479307142</v>
          </cell>
        </row>
        <row r="206">
          <cell r="AU206">
            <v>96.837780355457184</v>
          </cell>
        </row>
        <row r="207">
          <cell r="AU207">
            <v>101.84066195473321</v>
          </cell>
        </row>
        <row r="208">
          <cell r="AU208">
            <v>98.972363799020584</v>
          </cell>
        </row>
        <row r="209">
          <cell r="AU209">
            <v>97.717648278528927</v>
          </cell>
        </row>
        <row r="210">
          <cell r="AU210">
            <v>95.753750342141842</v>
          </cell>
        </row>
        <row r="211">
          <cell r="AU211">
            <v>98.477078860461759</v>
          </cell>
        </row>
        <row r="212">
          <cell r="AU212">
            <v>98.060574842581516</v>
          </cell>
        </row>
        <row r="213">
          <cell r="AU213">
            <v>98.477078860461759</v>
          </cell>
        </row>
        <row r="214">
          <cell r="AU214">
            <v>96.84005415922779</v>
          </cell>
        </row>
        <row r="215">
          <cell r="AU215">
            <v>100.25557474160721</v>
          </cell>
        </row>
        <row r="216">
          <cell r="AU216">
            <v>97.982769910971371</v>
          </cell>
        </row>
        <row r="217">
          <cell r="AU217">
            <v>98.499505757279664</v>
          </cell>
        </row>
        <row r="218">
          <cell r="AU218">
            <v>94.764649300245921</v>
          </cell>
        </row>
        <row r="219">
          <cell r="AU219">
            <v>114.82483845154799</v>
          </cell>
        </row>
        <row r="220">
          <cell r="AU220">
            <v>98.182619925802825</v>
          </cell>
        </row>
        <row r="221">
          <cell r="AU221">
            <v>98.728037202201719</v>
          </cell>
        </row>
        <row r="222">
          <cell r="AU222">
            <v>98.865584270828393</v>
          </cell>
        </row>
        <row r="223">
          <cell r="AU223">
            <v>94.960805086604111</v>
          </cell>
        </row>
        <row r="224">
          <cell r="AU224">
            <v>94.654963762652073</v>
          </cell>
        </row>
        <row r="225">
          <cell r="AU225">
            <v>97.983517470033405</v>
          </cell>
        </row>
        <row r="226">
          <cell r="AU226">
            <v>97.134089873786564</v>
          </cell>
        </row>
        <row r="227">
          <cell r="AU227">
            <v>97.825601678018998</v>
          </cell>
        </row>
        <row r="228">
          <cell r="AU228">
            <v>98.868627192961327</v>
          </cell>
        </row>
        <row r="229">
          <cell r="AU229">
            <v>98.076814194365696</v>
          </cell>
        </row>
        <row r="230">
          <cell r="AU230">
            <v>99.593534238465153</v>
          </cell>
        </row>
        <row r="231">
          <cell r="AU231">
            <v>96.043228742840341</v>
          </cell>
        </row>
        <row r="232">
          <cell r="AU232">
            <v>93.852195272622652</v>
          </cell>
        </row>
        <row r="233">
          <cell r="AU233">
            <v>97.973702378244013</v>
          </cell>
        </row>
        <row r="234">
          <cell r="AU234">
            <v>97.595557441238071</v>
          </cell>
        </row>
        <row r="235">
          <cell r="AU235">
            <v>99.011089727354573</v>
          </cell>
        </row>
        <row r="236">
          <cell r="AU236">
            <v>97.622156604926758</v>
          </cell>
        </row>
        <row r="237">
          <cell r="AU237">
            <v>98.713591365675498</v>
          </cell>
        </row>
        <row r="238">
          <cell r="AU238">
            <v>96.451431959126339</v>
          </cell>
        </row>
        <row r="239">
          <cell r="AU239">
            <v>97.225318569947376</v>
          </cell>
        </row>
        <row r="240">
          <cell r="AU240">
            <v>97.302716492359181</v>
          </cell>
        </row>
        <row r="241">
          <cell r="AU241">
            <v>96.377175001990878</v>
          </cell>
        </row>
        <row r="242">
          <cell r="AU242">
            <v>98.562914042619013</v>
          </cell>
        </row>
        <row r="243">
          <cell r="AU243">
            <v>97.595442540704411</v>
          </cell>
        </row>
        <row r="244">
          <cell r="AU244">
            <v>100.18284509194719</v>
          </cell>
        </row>
        <row r="245">
          <cell r="AU245">
            <v>96.311853798954317</v>
          </cell>
        </row>
        <row r="246">
          <cell r="AU246">
            <v>96.096956507805032</v>
          </cell>
        </row>
        <row r="247">
          <cell r="AU247">
            <v>99.508128433796273</v>
          </cell>
        </row>
        <row r="248">
          <cell r="AU248">
            <v>94.924305937938897</v>
          </cell>
        </row>
        <row r="249">
          <cell r="AU249">
            <v>97.266996516441111</v>
          </cell>
        </row>
        <row r="250">
          <cell r="AU250">
            <v>101.97538590361592</v>
          </cell>
        </row>
        <row r="251">
          <cell r="AU251">
            <v>93.260037484866757</v>
          </cell>
        </row>
        <row r="252">
          <cell r="AU252">
            <v>97.506312070474038</v>
          </cell>
        </row>
        <row r="253">
          <cell r="AU253">
            <v>97.162294174609158</v>
          </cell>
        </row>
        <row r="254">
          <cell r="AU254">
            <v>99.189410098175131</v>
          </cell>
        </row>
        <row r="255">
          <cell r="AU255">
            <v>96.590809413258498</v>
          </cell>
        </row>
        <row r="256">
          <cell r="AU256">
            <v>104.8589466494704</v>
          </cell>
        </row>
        <row r="257">
          <cell r="AU257">
            <v>98.830299448787045</v>
          </cell>
        </row>
        <row r="258">
          <cell r="AU258">
            <v>98.040070014500969</v>
          </cell>
        </row>
        <row r="259">
          <cell r="AU259">
            <v>99.708815326021792</v>
          </cell>
        </row>
        <row r="260">
          <cell r="AU260">
            <v>97.755708503233933</v>
          </cell>
        </row>
        <row r="261">
          <cell r="AU261">
            <v>97.407767694541405</v>
          </cell>
        </row>
        <row r="262">
          <cell r="AU262">
            <v>98.655643022911761</v>
          </cell>
        </row>
        <row r="263">
          <cell r="AU263">
            <v>95.847937505992363</v>
          </cell>
        </row>
        <row r="264">
          <cell r="AU264">
            <v>96.904607911463032</v>
          </cell>
        </row>
        <row r="265">
          <cell r="AU265">
            <v>97.843989874471959</v>
          </cell>
        </row>
        <row r="266">
          <cell r="AU266">
            <v>97.685025256417518</v>
          </cell>
        </row>
        <row r="267">
          <cell r="AU267">
            <v>101.44067430211668</v>
          </cell>
        </row>
        <row r="268">
          <cell r="AU268">
            <v>97.441660983042127</v>
          </cell>
        </row>
        <row r="269">
          <cell r="AU269">
            <v>96.686043099880422</v>
          </cell>
        </row>
        <row r="270">
          <cell r="AU270">
            <v>99.558186680524798</v>
          </cell>
        </row>
        <row r="271">
          <cell r="AU271">
            <v>100.34481040419453</v>
          </cell>
        </row>
        <row r="272">
          <cell r="AU272">
            <v>99.932598886125291</v>
          </cell>
        </row>
        <row r="273">
          <cell r="AU273">
            <v>97.05962214993248</v>
          </cell>
        </row>
        <row r="274">
          <cell r="AU274">
            <v>98.473296044522911</v>
          </cell>
        </row>
        <row r="275">
          <cell r="AU275">
            <v>96.821336097738467</v>
          </cell>
        </row>
        <row r="276">
          <cell r="AU276">
            <v>94.526889247991434</v>
          </cell>
        </row>
        <row r="277">
          <cell r="AU277">
            <v>99.232478638628749</v>
          </cell>
        </row>
        <row r="278">
          <cell r="AU278">
            <v>97.771866547676723</v>
          </cell>
        </row>
        <row r="279">
          <cell r="AU279">
            <v>98.557950595645067</v>
          </cell>
        </row>
        <row r="280">
          <cell r="AU280">
            <v>99.798300055092355</v>
          </cell>
        </row>
        <row r="281">
          <cell r="AU281">
            <v>99.38157832321258</v>
          </cell>
        </row>
        <row r="282">
          <cell r="AU282">
            <v>98.434186024142619</v>
          </cell>
        </row>
        <row r="283">
          <cell r="AU283">
            <v>98.376488030672363</v>
          </cell>
        </row>
        <row r="284">
          <cell r="AU284">
            <v>107.26927617311497</v>
          </cell>
        </row>
        <row r="285">
          <cell r="AU285">
            <v>104.13717497046395</v>
          </cell>
        </row>
        <row r="286">
          <cell r="AU286">
            <v>95.960980995714607</v>
          </cell>
        </row>
        <row r="287">
          <cell r="AU287">
            <v>98.780662674884439</v>
          </cell>
        </row>
        <row r="288">
          <cell r="AU288">
            <v>97.564314880534255</v>
          </cell>
        </row>
        <row r="289">
          <cell r="AU289">
            <v>98.861130500688475</v>
          </cell>
        </row>
        <row r="290">
          <cell r="AU290">
            <v>99.745630863635611</v>
          </cell>
        </row>
        <row r="292">
          <cell r="AU292">
            <v>97.704199504233429</v>
          </cell>
        </row>
        <row r="293">
          <cell r="AU293">
            <v>97.979907272741045</v>
          </cell>
        </row>
        <row r="294">
          <cell r="AU294">
            <v>99.895350375578587</v>
          </cell>
        </row>
        <row r="295">
          <cell r="AU295">
            <v>95.889566709390451</v>
          </cell>
        </row>
        <row r="296">
          <cell r="AU296">
            <v>99.06862717692897</v>
          </cell>
        </row>
        <row r="297">
          <cell r="AU297">
            <v>95.445431119922034</v>
          </cell>
        </row>
        <row r="298">
          <cell r="AU298">
            <v>104.42612750160676</v>
          </cell>
        </row>
        <row r="299">
          <cell r="AU299">
            <v>97.341719131975395</v>
          </cell>
        </row>
        <row r="300">
          <cell r="AU300">
            <v>99.419193802504751</v>
          </cell>
        </row>
        <row r="301">
          <cell r="AU301">
            <v>97.071854613833906</v>
          </cell>
        </row>
        <row r="302">
          <cell r="AU302">
            <v>99.570734039536561</v>
          </cell>
        </row>
        <row r="303">
          <cell r="AU303">
            <v>96.468452597935965</v>
          </cell>
        </row>
        <row r="304">
          <cell r="AU304">
            <v>98.260915565538383</v>
          </cell>
        </row>
        <row r="305">
          <cell r="AU305">
            <v>97.640321547589153</v>
          </cell>
        </row>
        <row r="306">
          <cell r="AU306">
            <v>98.731659046513386</v>
          </cell>
        </row>
        <row r="307">
          <cell r="AU307">
            <v>100.63051286939478</v>
          </cell>
        </row>
        <row r="308">
          <cell r="AU308">
            <v>96.708405814293428</v>
          </cell>
        </row>
        <row r="309">
          <cell r="AU309">
            <v>98.262108477392388</v>
          </cell>
        </row>
        <row r="310">
          <cell r="AU310">
            <v>100.88223340232045</v>
          </cell>
        </row>
        <row r="311">
          <cell r="AU311">
            <v>97.964873795422605</v>
          </cell>
        </row>
        <row r="312">
          <cell r="AU312">
            <v>97.684444147608716</v>
          </cell>
        </row>
        <row r="313">
          <cell r="AU313">
            <v>100.56390577410568</v>
          </cell>
        </row>
        <row r="314">
          <cell r="AU314">
            <v>99.284482347324953</v>
          </cell>
        </row>
        <row r="315">
          <cell r="AU315">
            <v>99.92986277518375</v>
          </cell>
        </row>
        <row r="316">
          <cell r="AU316">
            <v>98.833209781084534</v>
          </cell>
        </row>
        <row r="317">
          <cell r="AU317">
            <v>99.202272266400399</v>
          </cell>
        </row>
        <row r="318">
          <cell r="AU318">
            <v>98.715968018469894</v>
          </cell>
        </row>
        <row r="319">
          <cell r="AU319">
            <v>95.039912630667331</v>
          </cell>
        </row>
        <row r="320">
          <cell r="AU320">
            <v>98.367421417804422</v>
          </cell>
        </row>
        <row r="321">
          <cell r="AU321">
            <v>98.860563530003276</v>
          </cell>
        </row>
        <row r="322">
          <cell r="AU322">
            <v>98.293969985865587</v>
          </cell>
        </row>
        <row r="323">
          <cell r="AU323">
            <v>98.680554445148545</v>
          </cell>
        </row>
        <row r="324">
          <cell r="AU324">
            <v>97.276066263342202</v>
          </cell>
        </row>
        <row r="325">
          <cell r="AU325">
            <v>99.522717712698153</v>
          </cell>
        </row>
        <row r="326">
          <cell r="AU326">
            <v>97.280161876306295</v>
          </cell>
        </row>
        <row r="327">
          <cell r="AU327">
            <v>98.419574335641741</v>
          </cell>
        </row>
        <row r="328">
          <cell r="AU328">
            <v>99.010323522494176</v>
          </cell>
        </row>
        <row r="329">
          <cell r="AU329">
            <v>101.34286464320613</v>
          </cell>
        </row>
        <row r="330">
          <cell r="AU330">
            <v>100.08719027441192</v>
          </cell>
        </row>
        <row r="331">
          <cell r="AU331">
            <v>97.147652628524895</v>
          </cell>
        </row>
        <row r="333">
          <cell r="AU333">
            <v>98.291637523851719</v>
          </cell>
        </row>
        <row r="334">
          <cell r="AU334">
            <v>101.55474535131795</v>
          </cell>
        </row>
        <row r="335">
          <cell r="AU335">
            <v>100.47437476290094</v>
          </cell>
        </row>
        <row r="336">
          <cell r="AU336">
            <v>100.54292897070825</v>
          </cell>
        </row>
        <row r="337">
          <cell r="AU337">
            <v>99.6914222479014</v>
          </cell>
        </row>
        <row r="338">
          <cell r="AU338">
            <v>98.788355462696771</v>
          </cell>
        </row>
        <row r="339">
          <cell r="AU339">
            <v>96.362850732705169</v>
          </cell>
        </row>
        <row r="340">
          <cell r="AU340">
            <v>99.706387133823071</v>
          </cell>
        </row>
        <row r="341">
          <cell r="AU341">
            <v>97.642652173476279</v>
          </cell>
        </row>
        <row r="342">
          <cell r="AU342">
            <v>99.106149710242491</v>
          </cell>
        </row>
        <row r="343">
          <cell r="AU343">
            <v>96.333505901006006</v>
          </cell>
        </row>
        <row r="344">
          <cell r="AU344">
            <v>98.749512017375622</v>
          </cell>
        </row>
        <row r="345">
          <cell r="AU345">
            <v>97.86206666251897</v>
          </cell>
        </row>
        <row r="346">
          <cell r="AU346">
            <v>101.04601229684947</v>
          </cell>
        </row>
        <row r="347">
          <cell r="AU347">
            <v>97.276066263342202</v>
          </cell>
        </row>
        <row r="348">
          <cell r="AU348">
            <v>93.852395703596613</v>
          </cell>
        </row>
        <row r="349">
          <cell r="AU349">
            <v>97.34537784324344</v>
          </cell>
        </row>
        <row r="350">
          <cell r="AU350">
            <v>98.987340911426685</v>
          </cell>
        </row>
        <row r="351">
          <cell r="AU351">
            <v>98.106846922939908</v>
          </cell>
        </row>
        <row r="352">
          <cell r="AU352">
            <v>98.794769125933016</v>
          </cell>
        </row>
        <row r="353">
          <cell r="AU353">
            <v>98.17950033315293</v>
          </cell>
        </row>
        <row r="354">
          <cell r="AU354">
            <v>96.913042197128789</v>
          </cell>
        </row>
        <row r="355">
          <cell r="AU355">
            <v>98.866426421918902</v>
          </cell>
        </row>
        <row r="356">
          <cell r="AU356">
            <v>98.283716639471436</v>
          </cell>
        </row>
        <row r="357">
          <cell r="AU357">
            <v>97.627901774051935</v>
          </cell>
        </row>
        <row r="358">
          <cell r="AU358">
            <v>99.060663016068062</v>
          </cell>
        </row>
        <row r="359">
          <cell r="AU359">
            <v>98.301955213273345</v>
          </cell>
        </row>
        <row r="360">
          <cell r="AU360">
            <v>98.106846922939908</v>
          </cell>
        </row>
        <row r="361">
          <cell r="AU361">
            <v>96.325564324938568</v>
          </cell>
        </row>
        <row r="362">
          <cell r="AU362">
            <v>97.842907420327492</v>
          </cell>
        </row>
        <row r="363">
          <cell r="AU363">
            <v>98.232555924411713</v>
          </cell>
        </row>
        <row r="364">
          <cell r="AU364">
            <v>99.070568405483513</v>
          </cell>
        </row>
        <row r="365">
          <cell r="AU365">
            <v>97.022595413926055</v>
          </cell>
        </row>
        <row r="366">
          <cell r="AU366">
            <v>97.985121162080063</v>
          </cell>
        </row>
        <row r="367">
          <cell r="AU367">
            <v>96.656126592782627</v>
          </cell>
        </row>
        <row r="368">
          <cell r="AU368">
            <v>99.467995204961397</v>
          </cell>
        </row>
        <row r="369">
          <cell r="AU369">
            <v>96.072078638210456</v>
          </cell>
        </row>
        <row r="370">
          <cell r="AU370">
            <v>97.701006857023984</v>
          </cell>
        </row>
        <row r="372">
          <cell r="AU372">
            <v>96.56462372355783</v>
          </cell>
        </row>
        <row r="373">
          <cell r="AU373">
            <v>99.450129980121687</v>
          </cell>
        </row>
        <row r="374">
          <cell r="AU374">
            <v>99.924395660222203</v>
          </cell>
        </row>
        <row r="375">
          <cell r="AU375">
            <v>96.735005949559593</v>
          </cell>
        </row>
        <row r="376">
          <cell r="AU376">
            <v>100.92621982794307</v>
          </cell>
        </row>
        <row r="377">
          <cell r="AU377">
            <v>101.71080765524663</v>
          </cell>
        </row>
        <row r="378">
          <cell r="AU378">
            <v>99.915911049565807</v>
          </cell>
        </row>
        <row r="379">
          <cell r="AU379">
            <v>100.09336436066228</v>
          </cell>
        </row>
        <row r="380">
          <cell r="AU380">
            <v>97.004179140412717</v>
          </cell>
        </row>
        <row r="381">
          <cell r="AU381">
            <v>98.419019214153593</v>
          </cell>
        </row>
        <row r="382">
          <cell r="AU382">
            <v>100.07208608682477</v>
          </cell>
        </row>
        <row r="383">
          <cell r="AU383">
            <v>99.210048636900865</v>
          </cell>
        </row>
        <row r="384">
          <cell r="AU384">
            <v>95.646066734056419</v>
          </cell>
        </row>
        <row r="385">
          <cell r="AU385">
            <v>99.871647112886492</v>
          </cell>
        </row>
        <row r="386">
          <cell r="AU386">
            <v>98.917653360549238</v>
          </cell>
        </row>
        <row r="387">
          <cell r="AU387">
            <v>97.985121162080063</v>
          </cell>
        </row>
        <row r="388">
          <cell r="AU388">
            <v>95.883570904040326</v>
          </cell>
        </row>
        <row r="389">
          <cell r="AU389">
            <v>97.688668777521585</v>
          </cell>
        </row>
        <row r="390">
          <cell r="AU390">
            <v>98.076322225051427</v>
          </cell>
        </row>
        <row r="391">
          <cell r="AU391">
            <v>96.738087826903367</v>
          </cell>
        </row>
        <row r="392">
          <cell r="AU392">
            <v>89.576614302132214</v>
          </cell>
        </row>
        <row r="393">
          <cell r="AU393">
            <v>99.045954733310609</v>
          </cell>
        </row>
        <row r="394">
          <cell r="AU394">
            <v>97.073638621963838</v>
          </cell>
        </row>
        <row r="395">
          <cell r="AU395">
            <v>96.622408854490644</v>
          </cell>
        </row>
        <row r="396">
          <cell r="AU396">
            <v>95.968798858100953</v>
          </cell>
        </row>
        <row r="397">
          <cell r="AU397">
            <v>97.010275244344342</v>
          </cell>
        </row>
        <row r="398">
          <cell r="AU398">
            <v>97.315054553505178</v>
          </cell>
        </row>
        <row r="399">
          <cell r="AU399">
            <v>97.194196677647014</v>
          </cell>
        </row>
        <row r="400">
          <cell r="AU400">
            <v>97.107188606226813</v>
          </cell>
        </row>
        <row r="401">
          <cell r="AU401">
            <v>97.543298003623377</v>
          </cell>
        </row>
        <row r="402">
          <cell r="AU402">
            <v>99.596971567739487</v>
          </cell>
        </row>
        <row r="403">
          <cell r="AU403">
            <v>98.567307662683234</v>
          </cell>
        </row>
        <row r="404">
          <cell r="AU404">
            <v>94.783958244441095</v>
          </cell>
        </row>
        <row r="405">
          <cell r="AU405">
            <v>96.215628300055926</v>
          </cell>
        </row>
        <row r="406">
          <cell r="AU406">
            <v>96.512976698627241</v>
          </cell>
        </row>
        <row r="407">
          <cell r="AU407">
            <v>97.668075936141776</v>
          </cell>
        </row>
        <row r="408">
          <cell r="AU408">
            <v>98.061106422806333</v>
          </cell>
        </row>
        <row r="409">
          <cell r="AU409">
            <v>94.141882174700498</v>
          </cell>
        </row>
        <row r="410">
          <cell r="AU410">
            <v>98.065683886305649</v>
          </cell>
        </row>
        <row r="411">
          <cell r="AU411">
            <v>96.227121995274018</v>
          </cell>
        </row>
        <row r="412">
          <cell r="AU412">
            <v>93.644485520251749</v>
          </cell>
        </row>
        <row r="413">
          <cell r="AU413">
            <v>95.780305895522162</v>
          </cell>
        </row>
        <row r="414">
          <cell r="AU414">
            <v>97.194703072885943</v>
          </cell>
        </row>
        <row r="415">
          <cell r="AU415">
            <v>96.196995367381973</v>
          </cell>
        </row>
        <row r="416">
          <cell r="AU416">
            <v>96.762050323253916</v>
          </cell>
        </row>
        <row r="417">
          <cell r="AU417">
            <v>97.028112667120254</v>
          </cell>
        </row>
        <row r="418">
          <cell r="AU418">
            <v>99.093675526055435</v>
          </cell>
        </row>
        <row r="419">
          <cell r="AU419">
            <v>99.090770773720209</v>
          </cell>
        </row>
        <row r="420">
          <cell r="AU420">
            <v>99.125761295317346</v>
          </cell>
        </row>
        <row r="421">
          <cell r="AU421">
            <v>98.716771578243012</v>
          </cell>
        </row>
        <row r="422">
          <cell r="AU422">
            <v>97.782996764277044</v>
          </cell>
        </row>
        <row r="423">
          <cell r="AU423">
            <v>95.550640529582381</v>
          </cell>
        </row>
        <row r="424">
          <cell r="AU424">
            <v>96.771687084536438</v>
          </cell>
        </row>
        <row r="425">
          <cell r="AU425">
            <v>98.586817634255368</v>
          </cell>
        </row>
        <row r="426">
          <cell r="AU426">
            <v>101.98305384057822</v>
          </cell>
        </row>
        <row r="427">
          <cell r="AU427">
            <v>100.69577752031054</v>
          </cell>
        </row>
        <row r="428">
          <cell r="AU428">
            <v>99.806095951858012</v>
          </cell>
        </row>
        <row r="429">
          <cell r="AU429">
            <v>100.43366418858588</v>
          </cell>
        </row>
        <row r="430">
          <cell r="AU430">
            <v>98.893379734379081</v>
          </cell>
        </row>
        <row r="431">
          <cell r="AU431">
            <v>100.24969919406345</v>
          </cell>
        </row>
        <row r="432">
          <cell r="AU432">
            <v>97.081248898849111</v>
          </cell>
        </row>
        <row r="433">
          <cell r="AU433">
            <v>101.76707851622425</v>
          </cell>
        </row>
        <row r="434">
          <cell r="AU434">
            <v>96.510244562053785</v>
          </cell>
        </row>
        <row r="435">
          <cell r="AU435">
            <v>99.775672338436593</v>
          </cell>
        </row>
        <row r="436">
          <cell r="AU436">
            <v>99.168607234311096</v>
          </cell>
        </row>
        <row r="437">
          <cell r="AU437">
            <v>97.065619624859266</v>
          </cell>
        </row>
        <row r="438">
          <cell r="AU438">
            <v>95.966425934229434</v>
          </cell>
        </row>
        <row r="439">
          <cell r="AU439">
            <v>96.902068655985502</v>
          </cell>
        </row>
        <row r="441">
          <cell r="A441" t="str">
            <v>CA395</v>
          </cell>
          <cell r="P441">
            <v>57</v>
          </cell>
          <cell r="Q441">
            <v>12.62962962962963</v>
          </cell>
          <cell r="T441">
            <v>0.78472222222222221</v>
          </cell>
          <cell r="U441">
            <v>0.91180555555555554</v>
          </cell>
          <cell r="V441">
            <v>60</v>
          </cell>
          <cell r="Z441">
            <v>0.32847222222222217</v>
          </cell>
          <cell r="AF441">
            <v>47.9</v>
          </cell>
          <cell r="AG441">
            <v>12</v>
          </cell>
          <cell r="AI441">
            <v>47.9</v>
          </cell>
          <cell r="AU441">
            <v>94.35299110982487</v>
          </cell>
          <cell r="AV441">
            <v>95.174307131157988</v>
          </cell>
          <cell r="AX441" t="str">
            <v>R. Regis</v>
          </cell>
        </row>
        <row r="442">
          <cell r="A442" t="str">
            <v>CA396</v>
          </cell>
          <cell r="P442">
            <v>60</v>
          </cell>
          <cell r="Q442">
            <v>9.6487985212569285</v>
          </cell>
          <cell r="T442">
            <v>0.9375</v>
          </cell>
          <cell r="U442">
            <v>1.0430555555555556</v>
          </cell>
          <cell r="V442">
            <v>47</v>
          </cell>
          <cell r="Z442">
            <v>0.26527777777777783</v>
          </cell>
          <cell r="AF442">
            <v>50.4</v>
          </cell>
          <cell r="AG442">
            <v>12</v>
          </cell>
          <cell r="AI442">
            <v>50.1</v>
          </cell>
          <cell r="AU442">
            <v>99.78810647611833</v>
          </cell>
          <cell r="AV442">
            <v>100.65622530286895</v>
          </cell>
          <cell r="AX442" t="str">
            <v>R. Sookram</v>
          </cell>
        </row>
        <row r="443">
          <cell r="A443" t="str">
            <v>CA397</v>
          </cell>
          <cell r="P443">
            <v>60</v>
          </cell>
          <cell r="Q443">
            <v>11.333333333333329</v>
          </cell>
          <cell r="T443">
            <v>1.0381944444444444</v>
          </cell>
          <cell r="U443">
            <v>1.1388888888888888</v>
          </cell>
          <cell r="V443">
            <v>50</v>
          </cell>
          <cell r="Z443">
            <v>0.25694444444444442</v>
          </cell>
          <cell r="AF443">
            <v>49.8</v>
          </cell>
          <cell r="AG443">
            <v>12</v>
          </cell>
          <cell r="AI443">
            <v>49.5</v>
          </cell>
          <cell r="AU443">
            <v>98.715472456614393</v>
          </cell>
          <cell r="AV443">
            <v>99.574203204894033</v>
          </cell>
          <cell r="AX443" t="str">
            <v>R. Sookram</v>
          </cell>
        </row>
        <row r="444">
          <cell r="A444" t="str">
            <v>CA398</v>
          </cell>
          <cell r="P444">
            <v>61</v>
          </cell>
          <cell r="Q444">
            <v>7.6296296296296253</v>
          </cell>
          <cell r="T444">
            <v>1.1368055555555556</v>
          </cell>
          <cell r="U444">
            <v>1.2430555555555556</v>
          </cell>
          <cell r="V444">
            <v>55</v>
          </cell>
          <cell r="Z444">
            <v>0.24305555555555558</v>
          </cell>
          <cell r="AF444">
            <v>51</v>
          </cell>
          <cell r="AG444">
            <v>11.9</v>
          </cell>
          <cell r="AI444">
            <v>50</v>
          </cell>
          <cell r="AU444">
            <v>98.839319314550693</v>
          </cell>
          <cell r="AV444">
            <v>99.699127412736502</v>
          </cell>
          <cell r="AX444" t="str">
            <v>K. Benjamin</v>
          </cell>
        </row>
        <row r="445">
          <cell r="A445" t="str">
            <v>CA399</v>
          </cell>
          <cell r="P445">
            <v>61</v>
          </cell>
          <cell r="Q445">
            <v>7.8148148148148131</v>
          </cell>
          <cell r="T445">
            <v>0.27708333333333335</v>
          </cell>
          <cell r="U445">
            <v>0.38333333333333336</v>
          </cell>
          <cell r="V445">
            <v>61</v>
          </cell>
          <cell r="Z445">
            <v>0.25833333333333336</v>
          </cell>
          <cell r="AF445">
            <v>50.9</v>
          </cell>
          <cell r="AG445">
            <v>11.9</v>
          </cell>
          <cell r="AI445">
            <v>50.5</v>
          </cell>
          <cell r="AU445">
            <v>99.827712507696191</v>
          </cell>
          <cell r="AV445">
            <v>100.69611868686383</v>
          </cell>
          <cell r="AX445" t="str">
            <v>K. Benjamin</v>
          </cell>
        </row>
        <row r="446">
          <cell r="A446" t="str">
            <v>CA400</v>
          </cell>
          <cell r="P446">
            <v>61</v>
          </cell>
          <cell r="Q446">
            <v>8.1700554528650677</v>
          </cell>
          <cell r="T446">
            <v>0.39166666666666666</v>
          </cell>
          <cell r="U446">
            <v>0.50277777777777777</v>
          </cell>
          <cell r="V446">
            <v>60</v>
          </cell>
          <cell r="Z446">
            <v>0.2631944444444444</v>
          </cell>
          <cell r="AF446">
            <v>52.1</v>
          </cell>
          <cell r="AG446">
            <v>12</v>
          </cell>
          <cell r="AI446">
            <v>51.77</v>
          </cell>
          <cell r="AU446">
            <v>102.60534633351912</v>
          </cell>
          <cell r="AV446">
            <v>103.49820781921714</v>
          </cell>
          <cell r="AX446" t="str">
            <v>K. Benjamin</v>
          </cell>
        </row>
        <row r="447">
          <cell r="A447" t="str">
            <v>CA401</v>
          </cell>
          <cell r="P447">
            <v>62</v>
          </cell>
          <cell r="Q447">
            <v>6.5064695009242195</v>
          </cell>
          <cell r="T447">
            <v>0.53611111111111109</v>
          </cell>
          <cell r="U447">
            <v>0.65</v>
          </cell>
          <cell r="V447">
            <v>65</v>
          </cell>
          <cell r="Z447">
            <v>0.30625000000000002</v>
          </cell>
          <cell r="AF447">
            <v>52.6</v>
          </cell>
          <cell r="AG447">
            <v>11.6</v>
          </cell>
          <cell r="AI447">
            <v>53.3</v>
          </cell>
          <cell r="AU447">
            <v>101.06394965204404</v>
          </cell>
          <cell r="AV447">
            <v>101.94379553152135</v>
          </cell>
          <cell r="AX447" t="str">
            <v>R. Regis</v>
          </cell>
        </row>
        <row r="448">
          <cell r="A448" t="str">
            <v>CA402</v>
          </cell>
          <cell r="P448">
            <v>59</v>
          </cell>
          <cell r="Q448">
            <v>8.7245841035120115</v>
          </cell>
          <cell r="T448">
            <v>0.65555555555555556</v>
          </cell>
          <cell r="U448">
            <v>0.76458333333333328</v>
          </cell>
          <cell r="V448">
            <v>64</v>
          </cell>
          <cell r="Z448">
            <v>0.27499999999999997</v>
          </cell>
          <cell r="AF448">
            <v>50.9</v>
          </cell>
          <cell r="AG448">
            <v>11.8</v>
          </cell>
          <cell r="AI448">
            <v>50.83</v>
          </cell>
          <cell r="AU448">
            <v>99.592276455198828</v>
          </cell>
          <cell r="AV448">
            <v>100.45863456457052</v>
          </cell>
          <cell r="AX448" t="str">
            <v>R. Regis</v>
          </cell>
        </row>
        <row r="449">
          <cell r="A449" t="str">
            <v>CA403</v>
          </cell>
          <cell r="P449">
            <v>58</v>
          </cell>
          <cell r="Q449">
            <v>9.2791127541589713</v>
          </cell>
          <cell r="T449">
            <v>0.21458333333333332</v>
          </cell>
          <cell r="U449">
            <v>0.34791666666666665</v>
          </cell>
          <cell r="V449">
            <v>56</v>
          </cell>
          <cell r="Z449">
            <v>0.27847222222222223</v>
          </cell>
          <cell r="AF449">
            <v>49.8</v>
          </cell>
          <cell r="AG449">
            <v>12</v>
          </cell>
          <cell r="AI449">
            <v>49.1</v>
          </cell>
          <cell r="AU449">
            <v>98.084548863306736</v>
          </cell>
          <cell r="AV449">
            <v>98.892311690113686</v>
          </cell>
          <cell r="AX449" t="str">
            <v>R. Sookram</v>
          </cell>
        </row>
        <row r="450">
          <cell r="A450" t="str">
            <v>CA404</v>
          </cell>
          <cell r="P450">
            <v>60</v>
          </cell>
          <cell r="Q450">
            <v>12.975970425138639</v>
          </cell>
          <cell r="T450">
            <v>0.32222222222222224</v>
          </cell>
          <cell r="U450">
            <v>0.46250000000000002</v>
          </cell>
          <cell r="V450">
            <v>74</v>
          </cell>
          <cell r="Z450">
            <v>0.29583333333333339</v>
          </cell>
          <cell r="AF450">
            <v>47.8</v>
          </cell>
          <cell r="AG450">
            <v>12</v>
          </cell>
          <cell r="AI450">
            <v>48</v>
          </cell>
          <cell r="AU450">
            <v>96.00650184159764</v>
          </cell>
          <cell r="AV450">
            <v>96.797098830647101</v>
          </cell>
          <cell r="AX450" t="str">
            <v>R. Sookram</v>
          </cell>
        </row>
        <row r="451">
          <cell r="A451" t="str">
            <v>CA405</v>
          </cell>
          <cell r="P451">
            <v>60</v>
          </cell>
          <cell r="Q451">
            <v>12.444444444444443</v>
          </cell>
          <cell r="T451">
            <v>0.42708333333333331</v>
          </cell>
          <cell r="U451">
            <v>0.55555555555555558</v>
          </cell>
          <cell r="V451">
            <v>55</v>
          </cell>
          <cell r="Z451">
            <v>0.28472222222222227</v>
          </cell>
          <cell r="AF451">
            <v>48</v>
          </cell>
          <cell r="AG451">
            <v>12</v>
          </cell>
          <cell r="AI451">
            <v>47.2</v>
          </cell>
          <cell r="AU451">
            <v>94.406393477571029</v>
          </cell>
          <cell r="AV451">
            <v>95.183813850136332</v>
          </cell>
          <cell r="AX451" t="str">
            <v>R. Sookram</v>
          </cell>
        </row>
        <row r="452">
          <cell r="A452" t="str">
            <v>CA406</v>
          </cell>
          <cell r="P452">
            <v>60</v>
          </cell>
          <cell r="Q452">
            <v>10.222222222222214</v>
          </cell>
          <cell r="T452">
            <v>0.51527777777777772</v>
          </cell>
          <cell r="U452">
            <v>0.62361111111111112</v>
          </cell>
          <cell r="V452">
            <v>55</v>
          </cell>
          <cell r="Z452">
            <v>0.2416666666666667</v>
          </cell>
          <cell r="AF452">
            <v>49.2</v>
          </cell>
          <cell r="AG452">
            <v>11.9</v>
          </cell>
          <cell r="AI452">
            <v>48.7</v>
          </cell>
          <cell r="AU452">
            <v>96.433466803831749</v>
          </cell>
          <cell r="AV452">
            <v>97.227632354338738</v>
          </cell>
          <cell r="AX452" t="str">
            <v>K. Benjamin</v>
          </cell>
        </row>
        <row r="453">
          <cell r="A453" t="str">
            <v>CA407</v>
          </cell>
          <cell r="P453">
            <v>61</v>
          </cell>
          <cell r="Q453">
            <v>10.573012939001845</v>
          </cell>
          <cell r="T453">
            <v>0.64652777777777781</v>
          </cell>
          <cell r="U453">
            <v>0.75347222222222221</v>
          </cell>
          <cell r="V453">
            <v>58</v>
          </cell>
          <cell r="Z453">
            <v>0.24652777777777779</v>
          </cell>
          <cell r="AF453">
            <v>49.9</v>
          </cell>
          <cell r="AG453">
            <v>11.6</v>
          </cell>
          <cell r="AI453">
            <v>50.3</v>
          </cell>
          <cell r="AU453">
            <v>97.324682978378192</v>
          </cell>
          <cell r="AV453">
            <v>98.126028435578576</v>
          </cell>
          <cell r="AX453" t="str">
            <v>K. Benjamin</v>
          </cell>
        </row>
        <row r="454">
          <cell r="A454" t="str">
            <v>CA408</v>
          </cell>
          <cell r="P454">
            <v>60</v>
          </cell>
          <cell r="Q454">
            <v>8.9094269870609999</v>
          </cell>
          <cell r="T454">
            <v>0.78680555555555554</v>
          </cell>
          <cell r="U454">
            <v>0.89930555555555558</v>
          </cell>
          <cell r="V454">
            <v>58</v>
          </cell>
          <cell r="Z454">
            <v>0.29513888888888895</v>
          </cell>
          <cell r="AF454">
            <v>50</v>
          </cell>
          <cell r="AG454">
            <v>11.7</v>
          </cell>
          <cell r="AI454">
            <v>50.5</v>
          </cell>
          <cell r="AU454">
            <v>98.352998332832939</v>
          </cell>
          <cell r="AV454">
            <v>99.162918315900527</v>
          </cell>
          <cell r="AX454" t="str">
            <v>K. Benjamin</v>
          </cell>
        </row>
        <row r="455">
          <cell r="A455" t="str">
            <v>CA409</v>
          </cell>
          <cell r="P455">
            <v>60</v>
          </cell>
          <cell r="Q455">
            <v>10.018484288354902</v>
          </cell>
          <cell r="T455">
            <v>0.89444444444444449</v>
          </cell>
          <cell r="U455">
            <v>1.0111111111111111</v>
          </cell>
          <cell r="V455">
            <v>61</v>
          </cell>
          <cell r="Z455">
            <v>0.26111111111111107</v>
          </cell>
          <cell r="AF455">
            <v>49.4</v>
          </cell>
          <cell r="AG455">
            <v>11.7</v>
          </cell>
          <cell r="AI455">
            <v>50</v>
          </cell>
          <cell r="AU455">
            <v>97.74424129612386</v>
          </cell>
          <cell r="AV455">
            <v>98.54898759134322</v>
          </cell>
          <cell r="AX455" t="str">
            <v>R. Regis</v>
          </cell>
        </row>
        <row r="456">
          <cell r="A456" t="str">
            <v>CA410</v>
          </cell>
          <cell r="P456">
            <v>61</v>
          </cell>
          <cell r="Q456">
            <v>10.018484288354902</v>
          </cell>
          <cell r="T456">
            <v>1.0090277777777779</v>
          </cell>
          <cell r="U456">
            <v>1.1138888888888889</v>
          </cell>
          <cell r="V456">
            <v>59</v>
          </cell>
          <cell r="Z456">
            <v>0.23888888888888893</v>
          </cell>
          <cell r="AF456">
            <v>50.2</v>
          </cell>
          <cell r="AG456">
            <v>11.8</v>
          </cell>
          <cell r="AI456">
            <v>50.9</v>
          </cell>
          <cell r="AU456">
            <v>100.27330624637854</v>
          </cell>
          <cell r="AV456">
            <v>101.09892988038358</v>
          </cell>
          <cell r="AX456" t="str">
            <v>R. Regis</v>
          </cell>
        </row>
        <row r="457">
          <cell r="A457" t="str">
            <v>CA411</v>
          </cell>
          <cell r="P457">
            <v>61</v>
          </cell>
          <cell r="Q457">
            <v>10.573012939001845</v>
          </cell>
          <cell r="T457">
            <v>0.24444444444444444</v>
          </cell>
          <cell r="U457">
            <v>0.36249999999999999</v>
          </cell>
          <cell r="V457">
            <v>64</v>
          </cell>
          <cell r="Z457">
            <v>0.25486111111111109</v>
          </cell>
          <cell r="AF457">
            <v>49.1</v>
          </cell>
          <cell r="AG457">
            <v>11.9</v>
          </cell>
          <cell r="AI457">
            <v>51.1</v>
          </cell>
          <cell r="AU457">
            <v>101.5646659439884</v>
          </cell>
          <cell r="AV457">
            <v>102.40092228899363</v>
          </cell>
          <cell r="AX457" t="str">
            <v>R. Regis</v>
          </cell>
        </row>
        <row r="458">
          <cell r="A458" t="str">
            <v>CA412</v>
          </cell>
          <cell r="P458">
            <v>61</v>
          </cell>
          <cell r="Q458">
            <v>8.9259259259259256</v>
          </cell>
          <cell r="T458">
            <v>0.36319444444444443</v>
          </cell>
          <cell r="U458">
            <v>0.47361111111111109</v>
          </cell>
          <cell r="V458">
            <v>64</v>
          </cell>
          <cell r="Z458">
            <v>0.25138888888888888</v>
          </cell>
          <cell r="AF458">
            <v>49.9</v>
          </cell>
          <cell r="AG458">
            <v>11.6</v>
          </cell>
          <cell r="AI458">
            <v>50.2</v>
          </cell>
          <cell r="AU458">
            <v>96.768900005202767</v>
          </cell>
          <cell r="AV458">
            <v>97.565827973175971</v>
          </cell>
          <cell r="AX458" t="str">
            <v>R. Regis</v>
          </cell>
        </row>
        <row r="459">
          <cell r="A459" t="str">
            <v>CA413</v>
          </cell>
          <cell r="P459">
            <v>60</v>
          </cell>
          <cell r="Q459">
            <v>10.018484288354902</v>
          </cell>
          <cell r="T459">
            <v>0.45624999999999999</v>
          </cell>
          <cell r="U459">
            <v>0.56666666666666665</v>
          </cell>
          <cell r="V459">
            <v>62</v>
          </cell>
          <cell r="Z459">
            <v>0.25069444444444444</v>
          </cell>
          <cell r="AG459">
            <v>11.8</v>
          </cell>
          <cell r="AI459">
            <v>50.3</v>
          </cell>
          <cell r="AU459">
            <v>99.215120295971658</v>
          </cell>
          <cell r="AV459">
            <v>100.03197660821246</v>
          </cell>
          <cell r="AX459" t="str">
            <v>D. Gomaz</v>
          </cell>
        </row>
        <row r="460">
          <cell r="A460" t="str">
            <v>CA414</v>
          </cell>
          <cell r="P460">
            <v>61</v>
          </cell>
          <cell r="Q460">
            <v>9.8336414048059151</v>
          </cell>
          <cell r="T460">
            <v>0.58402777777777781</v>
          </cell>
          <cell r="U460">
            <v>0.68819444444444444</v>
          </cell>
          <cell r="V460">
            <v>60</v>
          </cell>
          <cell r="Z460">
            <v>0.27500000000000002</v>
          </cell>
          <cell r="AF460">
            <v>49.5</v>
          </cell>
          <cell r="AG460">
            <v>11.8</v>
          </cell>
          <cell r="AI460">
            <v>49</v>
          </cell>
          <cell r="AU460">
            <v>96.530294814784824</v>
          </cell>
          <cell r="AV460">
            <v>97.325099491921321</v>
          </cell>
          <cell r="AX460" t="str">
            <v>D. Gomaz</v>
          </cell>
        </row>
        <row r="461">
          <cell r="A461" t="str">
            <v>CA415</v>
          </cell>
          <cell r="P461">
            <v>60</v>
          </cell>
          <cell r="Q461">
            <v>10.407407407407403</v>
          </cell>
          <cell r="T461">
            <v>0.69513888888888886</v>
          </cell>
          <cell r="U461">
            <v>0.79791666666666672</v>
          </cell>
          <cell r="V461">
            <v>58</v>
          </cell>
          <cell r="Z461">
            <v>0.24583333333333335</v>
          </cell>
          <cell r="AF461">
            <v>49.1</v>
          </cell>
          <cell r="AG461">
            <v>12</v>
          </cell>
          <cell r="AI461">
            <v>50.3</v>
          </cell>
          <cell r="AU461">
            <v>100.60681338817419</v>
          </cell>
          <cell r="AV461">
            <v>101.43529314961562</v>
          </cell>
          <cell r="AX461" t="str">
            <v>D. Gomaz</v>
          </cell>
        </row>
        <row r="462">
          <cell r="A462" t="str">
            <v>CA416</v>
          </cell>
          <cell r="P462">
            <v>62</v>
          </cell>
          <cell r="Q462">
            <v>9.6666666666666643</v>
          </cell>
          <cell r="T462">
            <v>0.79027777777777775</v>
          </cell>
          <cell r="U462">
            <v>0.89513888888888893</v>
          </cell>
          <cell r="V462">
            <v>59</v>
          </cell>
          <cell r="Z462">
            <v>0.23888888888888893</v>
          </cell>
          <cell r="AF462">
            <v>49.5</v>
          </cell>
          <cell r="AG462">
            <v>11.9</v>
          </cell>
          <cell r="AI462">
            <v>50.4</v>
          </cell>
          <cell r="AU462">
            <v>99.799727452014764</v>
          </cell>
          <cell r="AV462">
            <v>100.62161541393576</v>
          </cell>
          <cell r="AX462" t="str">
            <v>K. Benjamin</v>
          </cell>
        </row>
        <row r="463">
          <cell r="A463" t="str">
            <v>CA417</v>
          </cell>
          <cell r="P463">
            <v>61</v>
          </cell>
          <cell r="Q463">
            <v>10.03703703703704</v>
          </cell>
          <cell r="T463">
            <v>0.89930555555555558</v>
          </cell>
          <cell r="U463">
            <v>1.0201388888888889</v>
          </cell>
          <cell r="V463">
            <v>62</v>
          </cell>
          <cell r="Z463">
            <v>0.2597222222222223</v>
          </cell>
          <cell r="AF463">
            <v>49.3</v>
          </cell>
          <cell r="AG463">
            <v>11.9</v>
          </cell>
          <cell r="AI463">
            <v>50.3</v>
          </cell>
          <cell r="AU463">
            <v>100.35031551856368</v>
          </cell>
          <cell r="AV463">
            <v>101.17640743800908</v>
          </cell>
          <cell r="AX463" t="str">
            <v>K. Benjamin</v>
          </cell>
        </row>
        <row r="464">
          <cell r="A464" t="str">
            <v>CA418</v>
          </cell>
          <cell r="P464">
            <v>60</v>
          </cell>
          <cell r="Q464">
            <v>9.2791127541589713</v>
          </cell>
          <cell r="T464">
            <v>0.99722222222222223</v>
          </cell>
          <cell r="U464">
            <v>1.1041666666666667</v>
          </cell>
          <cell r="V464">
            <v>62</v>
          </cell>
          <cell r="Z464">
            <v>0.23611111111111116</v>
          </cell>
          <cell r="AF464">
            <v>49.8</v>
          </cell>
          <cell r="AG464">
            <v>11.8</v>
          </cell>
          <cell r="AI464">
            <v>50.8</v>
          </cell>
          <cell r="AU464">
            <v>99.827142752199421</v>
          </cell>
          <cell r="AV464">
            <v>100.64920206038583</v>
          </cell>
          <cell r="AX464" t="str">
            <v>K. Benjamin</v>
          </cell>
        </row>
        <row r="465">
          <cell r="A465" t="str">
            <v>CA419</v>
          </cell>
          <cell r="P465">
            <v>61</v>
          </cell>
          <cell r="Q465">
            <v>12.606284658040664</v>
          </cell>
          <cell r="T465">
            <v>0.57152777777777775</v>
          </cell>
          <cell r="U465">
            <v>0.70486111111111116</v>
          </cell>
          <cell r="V465">
            <v>57</v>
          </cell>
          <cell r="Z465">
            <v>0.30902777777777785</v>
          </cell>
          <cell r="AF465">
            <v>48.4</v>
          </cell>
          <cell r="AG465">
            <v>11.9</v>
          </cell>
          <cell r="AI465">
            <v>49.2</v>
          </cell>
          <cell r="AU465">
            <v>96.996454448160804</v>
          </cell>
          <cell r="AV465">
            <v>98.103941374132702</v>
          </cell>
          <cell r="AX465" t="str">
            <v>R. Regis</v>
          </cell>
        </row>
        <row r="466">
          <cell r="A466" t="str">
            <v>CA420</v>
          </cell>
          <cell r="P466">
            <v>60</v>
          </cell>
          <cell r="Q466">
            <v>10.942698706099819</v>
          </cell>
          <cell r="T466">
            <v>0.65763888888888888</v>
          </cell>
          <cell r="U466">
            <v>0.76597222222222228</v>
          </cell>
          <cell r="V466">
            <v>57</v>
          </cell>
          <cell r="Z466">
            <v>0.26597222222222228</v>
          </cell>
          <cell r="AF466">
            <v>49.3</v>
          </cell>
          <cell r="AG466">
            <v>11.9</v>
          </cell>
          <cell r="AI466">
            <v>50.7</v>
          </cell>
          <cell r="AU466">
            <v>99.953663425238886</v>
          </cell>
          <cell r="AV466">
            <v>101.09491519651482</v>
          </cell>
          <cell r="AX466" t="str">
            <v>R. Regis</v>
          </cell>
        </row>
        <row r="467">
          <cell r="A467" t="str">
            <v>CA421</v>
          </cell>
          <cell r="P467">
            <v>60</v>
          </cell>
          <cell r="Q467">
            <v>11.127541589648803</v>
          </cell>
          <cell r="T467">
            <v>0.74930555555555556</v>
          </cell>
          <cell r="U467">
            <v>0.85277777777777775</v>
          </cell>
          <cell r="V467">
            <v>59</v>
          </cell>
          <cell r="Z467">
            <v>0.24166666666666659</v>
          </cell>
          <cell r="AF467">
            <v>49.6</v>
          </cell>
          <cell r="AG467">
            <v>11.7</v>
          </cell>
          <cell r="AI467">
            <v>50.3</v>
          </cell>
          <cell r="AU467">
            <v>97.899114248935831</v>
          </cell>
          <cell r="AV467">
            <v>99.016611201908091</v>
          </cell>
          <cell r="AX467" t="str">
            <v>D. Gomaz</v>
          </cell>
        </row>
        <row r="468">
          <cell r="A468" t="str">
            <v>CA422</v>
          </cell>
          <cell r="P468">
            <v>61</v>
          </cell>
          <cell r="Q468">
            <v>11.888888888888891</v>
          </cell>
          <cell r="T468">
            <v>0.84513888888888888</v>
          </cell>
          <cell r="U468">
            <v>0.95486111111111116</v>
          </cell>
          <cell r="V468">
            <v>59</v>
          </cell>
          <cell r="Z468">
            <v>0.24652777777777779</v>
          </cell>
          <cell r="AF468">
            <v>49.5</v>
          </cell>
          <cell r="AG468">
            <v>11.7</v>
          </cell>
          <cell r="AI468">
            <v>51.3</v>
          </cell>
          <cell r="AU468">
            <v>99.845418707165166</v>
          </cell>
          <cell r="AV468">
            <v>100.98513229936152</v>
          </cell>
          <cell r="AX468" t="str">
            <v>D. Gomaz</v>
          </cell>
        </row>
        <row r="469">
          <cell r="A469" t="str">
            <v>CA423</v>
          </cell>
          <cell r="P469">
            <v>63</v>
          </cell>
          <cell r="Q469">
            <v>11.497227356746762</v>
          </cell>
          <cell r="T469">
            <v>0.94166666666666665</v>
          </cell>
          <cell r="U469">
            <v>1.0513888888888889</v>
          </cell>
          <cell r="V469">
            <v>61</v>
          </cell>
          <cell r="Z469">
            <v>0.24583333333333335</v>
          </cell>
          <cell r="AF469">
            <v>48.6</v>
          </cell>
          <cell r="AG469">
            <v>12</v>
          </cell>
          <cell r="AI469">
            <v>50.3</v>
          </cell>
          <cell r="AU469">
            <v>100.41537290555753</v>
          </cell>
          <cell r="AV469">
            <v>101.56166868094114</v>
          </cell>
          <cell r="AX469" t="str">
            <v>D. Gomaz</v>
          </cell>
        </row>
        <row r="470">
          <cell r="A470" t="str">
            <v>CA424</v>
          </cell>
          <cell r="P470">
            <v>60</v>
          </cell>
          <cell r="Q470">
            <v>12.074074074074066</v>
          </cell>
          <cell r="T470">
            <v>1.0444444444444445</v>
          </cell>
          <cell r="U470">
            <v>1.1736111111111112</v>
          </cell>
          <cell r="V470">
            <v>60</v>
          </cell>
          <cell r="Z470">
            <v>0.27083333333333337</v>
          </cell>
          <cell r="AF470">
            <v>48.2</v>
          </cell>
          <cell r="AG470">
            <v>12</v>
          </cell>
          <cell r="AI470">
            <v>50</v>
          </cell>
          <cell r="AU470">
            <v>99.941062940966958</v>
          </cell>
          <cell r="AV470">
            <v>101.08186829114972</v>
          </cell>
          <cell r="AX470" t="str">
            <v>D. Gomaz</v>
          </cell>
        </row>
        <row r="471">
          <cell r="A471" t="str">
            <v>CA425</v>
          </cell>
          <cell r="P471">
            <v>60</v>
          </cell>
          <cell r="Q471">
            <v>11.127541589648803</v>
          </cell>
          <cell r="T471">
            <v>1.4097222222222223</v>
          </cell>
          <cell r="U471">
            <v>1.5208333333333333</v>
          </cell>
          <cell r="V471">
            <v>61</v>
          </cell>
          <cell r="Z471">
            <v>0.52083333333333326</v>
          </cell>
          <cell r="AF471">
            <v>48.8</v>
          </cell>
          <cell r="AG471">
            <v>11.9</v>
          </cell>
          <cell r="AI471">
            <v>50.3</v>
          </cell>
          <cell r="AU471">
            <v>99.412009557795542</v>
          </cell>
          <cell r="AV471">
            <v>100.54692672871927</v>
          </cell>
          <cell r="AX471" t="str">
            <v>K. Benjamin</v>
          </cell>
        </row>
        <row r="472">
          <cell r="A472" t="str">
            <v>CA426</v>
          </cell>
          <cell r="P472">
            <v>60</v>
          </cell>
          <cell r="Q472">
            <v>10.388170055452859</v>
          </cell>
          <cell r="T472">
            <v>0.5083333333333333</v>
          </cell>
          <cell r="U472">
            <v>0.62222222222222223</v>
          </cell>
          <cell r="V472">
            <v>64</v>
          </cell>
          <cell r="Z472">
            <v>0.24722222222222223</v>
          </cell>
          <cell r="AF472">
            <v>50.4</v>
          </cell>
          <cell r="AG472">
            <v>11.4</v>
          </cell>
          <cell r="AI472">
            <v>52.2</v>
          </cell>
          <cell r="AU472">
            <v>98.242593755797657</v>
          </cell>
          <cell r="AV472">
            <v>99.364382753022824</v>
          </cell>
          <cell r="AX472" t="str">
            <v>R. Regis</v>
          </cell>
        </row>
        <row r="473">
          <cell r="A473" t="str">
            <v>CA427</v>
          </cell>
          <cell r="P473">
            <v>62</v>
          </cell>
          <cell r="Q473">
            <v>4.6400000000000006</v>
          </cell>
          <cell r="T473">
            <v>1.1722222222222223</v>
          </cell>
          <cell r="U473">
            <v>1.2986111111111112</v>
          </cell>
          <cell r="V473">
            <v>60</v>
          </cell>
          <cell r="Z473">
            <v>0.30555555555555558</v>
          </cell>
          <cell r="AF473">
            <v>50</v>
          </cell>
          <cell r="AG473">
            <v>11.8</v>
          </cell>
          <cell r="AI473">
            <v>50.6</v>
          </cell>
          <cell r="AU473">
            <v>112.10179731674612</v>
          </cell>
          <cell r="AV473">
            <v>113.37266213777374</v>
          </cell>
          <cell r="AX473" t="str">
            <v>K. Benjamin</v>
          </cell>
        </row>
        <row r="474">
          <cell r="A474" t="str">
            <v>CA428</v>
          </cell>
          <cell r="P474">
            <v>60</v>
          </cell>
          <cell r="Q474">
            <v>8</v>
          </cell>
          <cell r="T474">
            <v>0.26666666666666666</v>
          </cell>
          <cell r="U474">
            <v>0.37777777777777777</v>
          </cell>
          <cell r="V474">
            <v>54</v>
          </cell>
          <cell r="Z474">
            <v>0.28055555555555556</v>
          </cell>
          <cell r="AF474">
            <v>50.4</v>
          </cell>
          <cell r="AG474">
            <v>11.9</v>
          </cell>
          <cell r="AI474">
            <v>51.9</v>
          </cell>
          <cell r="AU474">
            <v>102.44666718353356</v>
          </cell>
          <cell r="AV474">
            <v>103.61630634887433</v>
          </cell>
          <cell r="AX474" t="str">
            <v>K. Benjamin</v>
          </cell>
        </row>
        <row r="475">
          <cell r="A475" t="str">
            <v>CA429</v>
          </cell>
          <cell r="P475">
            <v>63</v>
          </cell>
          <cell r="Q475">
            <v>8.3548983364140526</v>
          </cell>
          <cell r="T475">
            <v>0.35972222222222222</v>
          </cell>
          <cell r="U475">
            <v>0.46944444444444444</v>
          </cell>
          <cell r="V475">
            <v>55</v>
          </cell>
          <cell r="Z475">
            <v>0.26111111111111107</v>
          </cell>
          <cell r="AF475">
            <v>51.2</v>
          </cell>
          <cell r="AG475">
            <v>11.9</v>
          </cell>
          <cell r="AI475">
            <v>52.5</v>
          </cell>
          <cell r="AU475">
            <v>103.76004973726178</v>
          </cell>
          <cell r="AV475">
            <v>104.9446054325599</v>
          </cell>
          <cell r="AX475" t="str">
            <v>K. Benjamin</v>
          </cell>
        </row>
        <row r="476">
          <cell r="A476" t="str">
            <v>CA430</v>
          </cell>
          <cell r="P476">
            <v>60</v>
          </cell>
          <cell r="Q476">
            <v>8.7245841035120115</v>
          </cell>
          <cell r="T476">
            <v>0.46319444444444446</v>
          </cell>
          <cell r="U476">
            <v>0.5708333333333333</v>
          </cell>
          <cell r="V476">
            <v>55</v>
          </cell>
          <cell r="Z476">
            <v>0.25138888888888888</v>
          </cell>
          <cell r="AF476">
            <v>51</v>
          </cell>
          <cell r="AG476">
            <v>11.6</v>
          </cell>
          <cell r="AI476">
            <v>52.5</v>
          </cell>
          <cell r="AU476">
            <v>101.00978335868373</v>
          </cell>
          <cell r="AV476">
            <v>102.16294119217879</v>
          </cell>
          <cell r="AX476" t="str">
            <v>R. Regis</v>
          </cell>
        </row>
        <row r="477">
          <cell r="A477" t="str">
            <v>CA431</v>
          </cell>
          <cell r="P477">
            <v>61</v>
          </cell>
          <cell r="Q477">
            <v>9.0942698706099847</v>
          </cell>
          <cell r="T477">
            <v>0.56874999999999998</v>
          </cell>
          <cell r="U477">
            <v>0.67152777777777772</v>
          </cell>
          <cell r="V477">
            <v>55</v>
          </cell>
          <cell r="Z477">
            <v>0.24097222222222214</v>
          </cell>
          <cell r="AF477">
            <v>49.9</v>
          </cell>
          <cell r="AG477">
            <v>11.8</v>
          </cell>
          <cell r="AI477">
            <v>52</v>
          </cell>
          <cell r="AU477">
            <v>102.24574408304541</v>
          </cell>
          <cell r="AV477">
            <v>103.41277899854965</v>
          </cell>
          <cell r="AX477" t="str">
            <v>R. Regis</v>
          </cell>
        </row>
        <row r="478">
          <cell r="A478" t="str">
            <v>CA432</v>
          </cell>
          <cell r="P478">
            <v>60</v>
          </cell>
          <cell r="Q478">
            <v>9.4639556377079437</v>
          </cell>
          <cell r="T478">
            <v>0.68125000000000002</v>
          </cell>
          <cell r="U478">
            <v>0.7895833333333333</v>
          </cell>
          <cell r="V478">
            <v>63</v>
          </cell>
          <cell r="Z478">
            <v>0.24791666666666667</v>
          </cell>
          <cell r="AF478">
            <v>50.5</v>
          </cell>
          <cell r="AG478">
            <v>11.7</v>
          </cell>
          <cell r="AI478">
            <v>51.6</v>
          </cell>
          <cell r="AU478">
            <v>100.17922672418331</v>
          </cell>
          <cell r="AV478">
            <v>101.32290267525677</v>
          </cell>
          <cell r="AX478" t="str">
            <v>R. Regis</v>
          </cell>
        </row>
        <row r="479">
          <cell r="A479" t="str">
            <v>CA433</v>
          </cell>
          <cell r="P479">
            <v>59</v>
          </cell>
          <cell r="Q479">
            <v>9.0942698706099847</v>
          </cell>
          <cell r="T479">
            <v>0.77916666666666667</v>
          </cell>
          <cell r="U479">
            <v>0.88749999999999996</v>
          </cell>
          <cell r="V479">
            <v>62</v>
          </cell>
          <cell r="Z479">
            <v>0.24166666666666659</v>
          </cell>
          <cell r="AF479">
            <v>49.9</v>
          </cell>
          <cell r="AG479">
            <v>11.9</v>
          </cell>
          <cell r="AI479">
            <v>51.3</v>
          </cell>
          <cell r="AU479">
            <v>101.13654701607011</v>
          </cell>
          <cell r="AV479">
            <v>102.29130472546764</v>
          </cell>
          <cell r="AX479" t="str">
            <v>D. Gomaz</v>
          </cell>
        </row>
        <row r="480">
          <cell r="A480" t="str">
            <v>CA434</v>
          </cell>
          <cell r="P480">
            <v>61</v>
          </cell>
          <cell r="Q480">
            <v>11.682070240295749</v>
          </cell>
          <cell r="T480">
            <v>0.50277777777777777</v>
          </cell>
          <cell r="U480">
            <v>0.64722222222222225</v>
          </cell>
          <cell r="V480">
            <v>65</v>
          </cell>
          <cell r="Z480">
            <v>0.27569444444444446</v>
          </cell>
          <cell r="AF480">
            <v>48.5</v>
          </cell>
          <cell r="AG480">
            <v>11.6</v>
          </cell>
          <cell r="AI480">
            <v>49.9</v>
          </cell>
          <cell r="AU480">
            <v>108.88670789478645</v>
          </cell>
          <cell r="AV480">
            <v>110.1209128307509</v>
          </cell>
          <cell r="AX480" t="str">
            <v>D. Gomaz</v>
          </cell>
        </row>
        <row r="481">
          <cell r="A481" t="str">
            <v>CA435</v>
          </cell>
          <cell r="P481">
            <v>61</v>
          </cell>
          <cell r="Q481">
            <v>9.6487985212569285</v>
          </cell>
          <cell r="T481">
            <v>0.6479166666666667</v>
          </cell>
          <cell r="U481">
            <v>0.75972222222222219</v>
          </cell>
          <cell r="V481">
            <v>60</v>
          </cell>
          <cell r="Z481">
            <v>0.23888888888888882</v>
          </cell>
          <cell r="AF481">
            <v>49.6</v>
          </cell>
          <cell r="AI481">
            <v>50.1</v>
          </cell>
          <cell r="AU481">
            <v>96.512358037648923</v>
          </cell>
          <cell r="AV481">
            <v>97.61409878799121</v>
          </cell>
          <cell r="AX481" t="str">
            <v>D. Gomaz</v>
          </cell>
        </row>
        <row r="482">
          <cell r="A482" t="str">
            <v>CA436</v>
          </cell>
          <cell r="P482">
            <v>61</v>
          </cell>
          <cell r="Q482">
            <v>9.0942698706099847</v>
          </cell>
          <cell r="T482">
            <v>0.78888888888888886</v>
          </cell>
          <cell r="U482">
            <v>0.89375000000000004</v>
          </cell>
          <cell r="V482">
            <v>64</v>
          </cell>
          <cell r="Z482">
            <v>0.23819444444444449</v>
          </cell>
          <cell r="AF482">
            <v>49.9</v>
          </cell>
          <cell r="AI482">
            <v>50.9</v>
          </cell>
          <cell r="AU482">
            <v>100.97500195447307</v>
          </cell>
          <cell r="AV482">
            <v>102.12753259455789</v>
          </cell>
          <cell r="AX482" t="str">
            <v>D. Gomaz</v>
          </cell>
        </row>
        <row r="483">
          <cell r="A483" t="str">
            <v>CA437</v>
          </cell>
          <cell r="P483">
            <v>60</v>
          </cell>
          <cell r="Q483">
            <v>9.2791127541589713</v>
          </cell>
          <cell r="T483">
            <v>0.93611111111111112</v>
          </cell>
          <cell r="U483">
            <v>1.0506944444444444</v>
          </cell>
          <cell r="V483">
            <v>62</v>
          </cell>
          <cell r="Z483">
            <v>0.25208333333333321</v>
          </cell>
          <cell r="AF483">
            <v>49.8</v>
          </cell>
          <cell r="AI483">
            <v>50.4</v>
          </cell>
          <cell r="AU483">
            <v>100.7405914444947</v>
          </cell>
          <cell r="AV483">
            <v>101.89052323747892</v>
          </cell>
          <cell r="AX483" t="str">
            <v>R. Sookram</v>
          </cell>
        </row>
        <row r="484">
          <cell r="A484" t="str">
            <v>CA438</v>
          </cell>
          <cell r="P484">
            <v>58</v>
          </cell>
          <cell r="Q484">
            <v>10.388170055452859</v>
          </cell>
          <cell r="T484">
            <v>1.03125</v>
          </cell>
          <cell r="U484">
            <v>1.1381944444444445</v>
          </cell>
          <cell r="V484">
            <v>63</v>
          </cell>
          <cell r="Z484">
            <v>0.24236111111111114</v>
          </cell>
          <cell r="AF484">
            <v>50.4</v>
          </cell>
          <cell r="AI484">
            <v>51.6</v>
          </cell>
          <cell r="AU484">
            <v>100.3041125045339</v>
          </cell>
          <cell r="AV484">
            <v>101.44913818228235</v>
          </cell>
          <cell r="AX484" t="str">
            <v>R. Sookram</v>
          </cell>
        </row>
        <row r="485">
          <cell r="A485" t="str">
            <v>CA439</v>
          </cell>
          <cell r="P485">
            <v>59</v>
          </cell>
          <cell r="Q485">
            <v>12.606284658040664</v>
          </cell>
          <cell r="T485">
            <v>1.2041666666666666</v>
          </cell>
          <cell r="U485">
            <v>1.325</v>
          </cell>
          <cell r="V485">
            <v>63</v>
          </cell>
          <cell r="Z485">
            <v>0.26597222222222228</v>
          </cell>
          <cell r="AF485">
            <v>49.2</v>
          </cell>
          <cell r="AG485">
            <v>12</v>
          </cell>
          <cell r="AI485">
            <v>50.2</v>
          </cell>
          <cell r="AU485">
            <v>100.21573995743513</v>
          </cell>
          <cell r="AV485">
            <v>101.35975681477625</v>
          </cell>
          <cell r="AX485" t="str">
            <v>R. Sookram</v>
          </cell>
        </row>
        <row r="486">
          <cell r="A486" t="str">
            <v>CA440</v>
          </cell>
          <cell r="P486">
            <v>61</v>
          </cell>
          <cell r="Q486">
            <v>10.592592592592592</v>
          </cell>
          <cell r="T486">
            <v>0.32847222222222222</v>
          </cell>
          <cell r="U486">
            <v>0.43541666666666667</v>
          </cell>
          <cell r="V486">
            <v>61</v>
          </cell>
          <cell r="Z486">
            <v>0.28194444444444444</v>
          </cell>
          <cell r="AF486">
            <v>49.8</v>
          </cell>
          <cell r="AG486">
            <v>11.8</v>
          </cell>
          <cell r="AI486">
            <v>50.7</v>
          </cell>
          <cell r="AU486">
            <v>99.317238473927688</v>
          </cell>
          <cell r="AV486">
            <v>100.45107370987327</v>
          </cell>
          <cell r="AX486" t="str">
            <v>R. Sookram</v>
          </cell>
        </row>
        <row r="487">
          <cell r="A487" t="str">
            <v>CA441</v>
          </cell>
          <cell r="P487">
            <v>60</v>
          </cell>
          <cell r="Q487">
            <v>10.592592592592592</v>
          </cell>
          <cell r="T487">
            <v>0.40833333333333333</v>
          </cell>
          <cell r="U487">
            <v>0.51875000000000004</v>
          </cell>
          <cell r="V487">
            <v>64</v>
          </cell>
          <cell r="Z487">
            <v>0.25138888888888894</v>
          </cell>
          <cell r="AF487">
            <v>49.8</v>
          </cell>
          <cell r="AG487">
            <v>11.8</v>
          </cell>
          <cell r="AI487">
            <v>50.1</v>
          </cell>
          <cell r="AU487">
            <v>98.386883927142947</v>
          </cell>
          <cell r="AV487">
            <v>99.509948664188954</v>
          </cell>
          <cell r="AX487" t="str">
            <v>R. Sookram</v>
          </cell>
        </row>
        <row r="488">
          <cell r="A488" t="str">
            <v>CA442</v>
          </cell>
          <cell r="P488">
            <v>61</v>
          </cell>
          <cell r="Q488">
            <v>10.573012939001845</v>
          </cell>
          <cell r="T488">
            <v>0.49583333333333335</v>
          </cell>
          <cell r="U488">
            <v>0.60416666666666663</v>
          </cell>
          <cell r="V488">
            <v>63</v>
          </cell>
          <cell r="Z488">
            <v>0.23958333333333331</v>
          </cell>
          <cell r="AF488">
            <v>49.9</v>
          </cell>
          <cell r="AG488">
            <v>11.8</v>
          </cell>
          <cell r="AI488">
            <v>50.81</v>
          </cell>
          <cell r="AU488">
            <v>99.532719661938174</v>
          </cell>
          <cell r="AV488">
            <v>100.66901489543709</v>
          </cell>
          <cell r="AX488" t="str">
            <v>D. Gomaz</v>
          </cell>
        </row>
        <row r="489">
          <cell r="A489" t="str">
            <v>CA443</v>
          </cell>
          <cell r="P489">
            <v>60</v>
          </cell>
          <cell r="Q489">
            <v>12.55898366606171</v>
          </cell>
          <cell r="T489">
            <v>0.68055555555555558</v>
          </cell>
          <cell r="U489">
            <v>0.79305555555555551</v>
          </cell>
          <cell r="V489">
            <v>57</v>
          </cell>
          <cell r="Z489">
            <v>0.24791666666666667</v>
          </cell>
          <cell r="AF489">
            <v>48.9</v>
          </cell>
          <cell r="AG489">
            <v>11.6</v>
          </cell>
          <cell r="AI489">
            <v>50.4</v>
          </cell>
          <cell r="AU489">
            <v>97.09027634925161</v>
          </cell>
          <cell r="AV489">
            <v>98.198614349595942</v>
          </cell>
          <cell r="AX489" t="str">
            <v>D. Gomaz</v>
          </cell>
        </row>
        <row r="490">
          <cell r="A490" t="str">
            <v>CA444</v>
          </cell>
          <cell r="P490">
            <v>60</v>
          </cell>
          <cell r="Q490">
            <v>10.199637023593462</v>
          </cell>
          <cell r="T490">
            <v>0.77777777777777779</v>
          </cell>
          <cell r="U490">
            <v>0.88055555555555554</v>
          </cell>
          <cell r="V490">
            <v>53</v>
          </cell>
          <cell r="Z490">
            <v>0.23819444444444438</v>
          </cell>
          <cell r="AF490">
            <v>50.2</v>
          </cell>
          <cell r="AG490">
            <v>11.7</v>
          </cell>
          <cell r="AI490">
            <v>50.9</v>
          </cell>
          <cell r="AU490">
            <v>98.94339780001502</v>
          </cell>
          <cell r="AV490">
            <v>100.0728901836855</v>
          </cell>
          <cell r="AX490" t="str">
            <v>R. Regis</v>
          </cell>
        </row>
        <row r="491">
          <cell r="A491" t="str">
            <v>CA445</v>
          </cell>
          <cell r="P491">
            <v>60</v>
          </cell>
          <cell r="Q491">
            <v>9.6551724137931032</v>
          </cell>
          <cell r="T491">
            <v>0.87361111111111112</v>
          </cell>
          <cell r="U491">
            <v>0.98819444444444449</v>
          </cell>
          <cell r="V491">
            <v>63</v>
          </cell>
          <cell r="Z491">
            <v>0.24861111111111112</v>
          </cell>
          <cell r="AF491">
            <v>50.5</v>
          </cell>
          <cell r="AG491">
            <v>11.7</v>
          </cell>
          <cell r="AI491">
            <v>51</v>
          </cell>
          <cell r="AU491">
            <v>99.385578414346583</v>
          </cell>
          <cell r="AV491">
            <v>100.51996734317008</v>
          </cell>
          <cell r="AX491" t="str">
            <v>R. Regis</v>
          </cell>
        </row>
        <row r="492">
          <cell r="A492" t="str">
            <v>CA446</v>
          </cell>
          <cell r="P492">
            <v>59</v>
          </cell>
          <cell r="Q492">
            <v>10.744101633393832</v>
          </cell>
          <cell r="T492">
            <v>1.0048611111111112</v>
          </cell>
          <cell r="U492">
            <v>1.1111111111111112</v>
          </cell>
          <cell r="V492">
            <v>56</v>
          </cell>
          <cell r="Z492">
            <v>0.27083333333333337</v>
          </cell>
          <cell r="AF492">
            <v>49.9</v>
          </cell>
          <cell r="AG492">
            <v>11.7</v>
          </cell>
          <cell r="AI492">
            <v>50.7</v>
          </cell>
          <cell r="AU492">
            <v>98.554622170152498</v>
          </cell>
          <cell r="AV492">
            <v>99.679676469800697</v>
          </cell>
          <cell r="AX492" t="str">
            <v>R. Regis</v>
          </cell>
        </row>
        <row r="493">
          <cell r="A493" t="str">
            <v>CA447</v>
          </cell>
          <cell r="P493">
            <v>61</v>
          </cell>
          <cell r="Q493">
            <v>10.562613430127042</v>
          </cell>
          <cell r="T493">
            <v>0.70347222222222228</v>
          </cell>
          <cell r="U493">
            <v>0.81180555555555556</v>
          </cell>
          <cell r="V493">
            <v>52</v>
          </cell>
          <cell r="Z493">
            <v>0.24791666666666667</v>
          </cell>
          <cell r="AF493">
            <v>50</v>
          </cell>
          <cell r="AG493">
            <v>11.6</v>
          </cell>
          <cell r="AI493">
            <v>49.7</v>
          </cell>
          <cell r="AU493">
            <v>96.059064469639495</v>
          </cell>
          <cell r="AV493">
            <v>96.834744705851563</v>
          </cell>
          <cell r="AX493" t="str">
            <v>D. Gomaz</v>
          </cell>
        </row>
        <row r="494">
          <cell r="A494" t="str">
            <v>CA448</v>
          </cell>
          <cell r="Q494">
            <v>9.4736842105263133</v>
          </cell>
          <cell r="T494">
            <v>0.79791666666666672</v>
          </cell>
          <cell r="U494">
            <v>0.92291666666666672</v>
          </cell>
          <cell r="V494">
            <v>60</v>
          </cell>
          <cell r="Z494">
            <v>0.26319444444444451</v>
          </cell>
          <cell r="AF494">
            <v>50.6</v>
          </cell>
          <cell r="AG494">
            <v>11.6</v>
          </cell>
          <cell r="AI494">
            <v>51.9</v>
          </cell>
          <cell r="AU494">
            <v>99.937487991353251</v>
          </cell>
          <cell r="AV494">
            <v>100.74464693683342</v>
          </cell>
          <cell r="AX494" t="str">
            <v>R. Regis</v>
          </cell>
        </row>
        <row r="495">
          <cell r="A495" t="str">
            <v>CA449</v>
          </cell>
          <cell r="P495">
            <v>60</v>
          </cell>
          <cell r="Q495">
            <v>11.28856624319419</v>
          </cell>
          <cell r="T495">
            <v>0.89861111111111114</v>
          </cell>
          <cell r="U495">
            <v>1.0104166666666667</v>
          </cell>
          <cell r="V495">
            <v>71</v>
          </cell>
          <cell r="Z495">
            <v>0.25347222222222232</v>
          </cell>
          <cell r="AF495">
            <v>49.6</v>
          </cell>
          <cell r="AG495">
            <v>11.9</v>
          </cell>
          <cell r="AI495">
            <v>48.01</v>
          </cell>
          <cell r="AU495">
            <v>94.84633473437168</v>
          </cell>
          <cell r="AV495">
            <v>95.612424738174411</v>
          </cell>
          <cell r="AX495" t="str">
            <v>R. Regis</v>
          </cell>
        </row>
        <row r="496">
          <cell r="A496" t="str">
            <v>CA450</v>
          </cell>
          <cell r="P496">
            <v>61</v>
          </cell>
          <cell r="Q496">
            <v>12.606284658040664</v>
          </cell>
          <cell r="T496">
            <v>1.0048611111111112</v>
          </cell>
          <cell r="U496">
            <v>1.1194444444444445</v>
          </cell>
          <cell r="V496">
            <v>54</v>
          </cell>
          <cell r="Z496">
            <v>0.2583333333333333</v>
          </cell>
          <cell r="AF496">
            <v>48</v>
          </cell>
          <cell r="AG496">
            <v>12</v>
          </cell>
          <cell r="AI496">
            <v>49.1</v>
          </cell>
          <cell r="AU496">
            <v>98.344590350965177</v>
          </cell>
          <cell r="AV496">
            <v>99.138726286962424</v>
          </cell>
          <cell r="AX496" t="str">
            <v>R. Regis</v>
          </cell>
        </row>
        <row r="497">
          <cell r="A497" t="str">
            <v>CA451</v>
          </cell>
          <cell r="P497">
            <v>58</v>
          </cell>
          <cell r="Q497">
            <v>10.388170055452859</v>
          </cell>
          <cell r="T497">
            <v>1.1041666666666667</v>
          </cell>
          <cell r="U497">
            <v>1.2048611111111112</v>
          </cell>
          <cell r="V497">
            <v>56</v>
          </cell>
          <cell r="Z497">
            <v>0.23958333333333337</v>
          </cell>
          <cell r="AF497">
            <v>49.2</v>
          </cell>
          <cell r="AG497">
            <v>11.8</v>
          </cell>
          <cell r="AI497">
            <v>49.9</v>
          </cell>
          <cell r="AU497">
            <v>98.441679685943271</v>
          </cell>
          <cell r="AV497">
            <v>99.236493692839005</v>
          </cell>
          <cell r="AX497" t="str">
            <v>R. Sookram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Packaging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22">
          <cell r="AS22">
            <v>90.83852238031325</v>
          </cell>
        </row>
        <row r="23">
          <cell r="AS23">
            <v>96.684836556310898</v>
          </cell>
        </row>
        <row r="24">
          <cell r="AS24">
            <v>99.232339589579539</v>
          </cell>
        </row>
        <row r="25">
          <cell r="AS25">
            <v>97.192444367259839</v>
          </cell>
        </row>
        <row r="26">
          <cell r="AS26">
            <v>97.669442273884727</v>
          </cell>
        </row>
        <row r="27">
          <cell r="AS27">
            <v>98.409669512415022</v>
          </cell>
        </row>
        <row r="28">
          <cell r="AS28">
            <v>98.526897208705151</v>
          </cell>
        </row>
        <row r="29">
          <cell r="AS29">
            <v>98.632992892535128</v>
          </cell>
        </row>
        <row r="30">
          <cell r="AS30">
            <v>109.99798711625786</v>
          </cell>
        </row>
        <row r="31">
          <cell r="AS31">
            <v>97.655248935825526</v>
          </cell>
        </row>
        <row r="32">
          <cell r="AS32">
            <v>95.59750367474058</v>
          </cell>
        </row>
        <row r="33">
          <cell r="AS33">
            <v>91.227014661850589</v>
          </cell>
        </row>
        <row r="34">
          <cell r="AS34">
            <v>99.225964512754345</v>
          </cell>
        </row>
        <row r="35">
          <cell r="AS35">
            <v>96.399159890042384</v>
          </cell>
        </row>
        <row r="36">
          <cell r="AS36">
            <v>97.533873677524795</v>
          </cell>
        </row>
        <row r="37">
          <cell r="AS37">
            <v>98.662767363445553</v>
          </cell>
        </row>
        <row r="38">
          <cell r="AS38">
            <v>98.110362343721974</v>
          </cell>
        </row>
        <row r="39">
          <cell r="AS39">
            <v>97.644364444691902</v>
          </cell>
        </row>
        <row r="40">
          <cell r="AS40">
            <v>97.453064155420094</v>
          </cell>
        </row>
        <row r="41">
          <cell r="AS41">
            <v>100.20702691272596</v>
          </cell>
        </row>
        <row r="42">
          <cell r="AS42">
            <v>96.346712472097764</v>
          </cell>
        </row>
        <row r="43">
          <cell r="AS43">
            <v>97.523568316559476</v>
          </cell>
        </row>
        <row r="44">
          <cell r="AS44">
            <v>95.926010836532257</v>
          </cell>
        </row>
        <row r="45">
          <cell r="AS45">
            <v>93.454371995230545</v>
          </cell>
        </row>
        <row r="46">
          <cell r="AS46">
            <v>98.103230583960681</v>
          </cell>
        </row>
        <row r="47">
          <cell r="AS47">
            <v>100.44904539532449</v>
          </cell>
        </row>
        <row r="48">
          <cell r="AS48">
            <v>95.833135510284677</v>
          </cell>
        </row>
        <row r="49">
          <cell r="AS49">
            <v>99.410610314879818</v>
          </cell>
        </row>
        <row r="50">
          <cell r="AS50">
            <v>97.098158462404967</v>
          </cell>
        </row>
        <row r="51">
          <cell r="AS51">
            <v>0</v>
          </cell>
        </row>
        <row r="52">
          <cell r="AS52">
            <v>104.87426366689108</v>
          </cell>
        </row>
        <row r="53">
          <cell r="AS53">
            <v>101.76112094286238</v>
          </cell>
        </row>
        <row r="54">
          <cell r="AS54">
            <v>95.359527283738572</v>
          </cell>
        </row>
        <row r="55">
          <cell r="AS55">
            <v>95.527344703430927</v>
          </cell>
        </row>
        <row r="56">
          <cell r="AS56">
            <v>100.07660336606865</v>
          </cell>
        </row>
        <row r="57">
          <cell r="AS57">
            <v>99.467327733929991</v>
          </cell>
        </row>
        <row r="58">
          <cell r="AS58">
            <v>99.703032511968686</v>
          </cell>
        </row>
        <row r="59">
          <cell r="AS59">
            <v>97.74414704454891</v>
          </cell>
        </row>
        <row r="60">
          <cell r="AS60">
            <v>98.138276669728526</v>
          </cell>
        </row>
        <row r="61">
          <cell r="AS61">
            <v>100.18497924496634</v>
          </cell>
        </row>
        <row r="62">
          <cell r="AS62">
            <v>98.239543519521192</v>
          </cell>
        </row>
        <row r="63">
          <cell r="AS63">
            <v>98.533695545018929</v>
          </cell>
        </row>
        <row r="64">
          <cell r="AS64">
            <v>106.23422780270799</v>
          </cell>
        </row>
        <row r="65">
          <cell r="AS65">
            <v>101.82543081774969</v>
          </cell>
        </row>
        <row r="66">
          <cell r="AS66">
            <v>95.866364717151924</v>
          </cell>
        </row>
        <row r="67">
          <cell r="AS67">
            <v>103.14086541165727</v>
          </cell>
        </row>
        <row r="68">
          <cell r="AS68">
            <v>98.629167060203699</v>
          </cell>
        </row>
        <row r="69">
          <cell r="AS69">
            <v>98.859186647542359</v>
          </cell>
        </row>
        <row r="70">
          <cell r="AS70">
            <v>96.813810190504412</v>
          </cell>
        </row>
        <row r="71">
          <cell r="AS71">
            <v>99.638493421142599</v>
          </cell>
        </row>
        <row r="72">
          <cell r="AS72">
            <v>99.741578008131555</v>
          </cell>
        </row>
        <row r="73">
          <cell r="AS73">
            <v>100.21398306039248</v>
          </cell>
        </row>
        <row r="74">
          <cell r="AS74">
            <v>95.650862133364953</v>
          </cell>
        </row>
        <row r="75">
          <cell r="AS75">
            <v>98.001099487384138</v>
          </cell>
        </row>
        <row r="76">
          <cell r="AS76">
            <v>97.461393370976353</v>
          </cell>
        </row>
        <row r="77">
          <cell r="AS77">
            <v>98.255217290461545</v>
          </cell>
        </row>
        <row r="78">
          <cell r="AS78">
            <v>99.546243435804755</v>
          </cell>
        </row>
        <row r="79">
          <cell r="AS79">
            <v>98.33017402501261</v>
          </cell>
        </row>
        <row r="80">
          <cell r="AS80">
            <v>98.333997846966298</v>
          </cell>
        </row>
        <row r="81">
          <cell r="AS81">
            <v>94.60432549058099</v>
          </cell>
        </row>
        <row r="82">
          <cell r="AS82">
            <v>99.025209415013663</v>
          </cell>
        </row>
        <row r="83">
          <cell r="AS83">
            <v>94.60432549058099</v>
          </cell>
        </row>
        <row r="84">
          <cell r="AS84">
            <v>99.47104784488721</v>
          </cell>
        </row>
        <row r="85">
          <cell r="AS85">
            <v>99.198378090715636</v>
          </cell>
        </row>
        <row r="86">
          <cell r="AS86">
            <v>98.651407682761771</v>
          </cell>
        </row>
        <row r="87">
          <cell r="AS87">
            <v>95.500399540574435</v>
          </cell>
        </row>
        <row r="88">
          <cell r="AS88">
            <v>97.387098904762667</v>
          </cell>
        </row>
        <row r="89">
          <cell r="AS89">
            <v>93.977530506802793</v>
          </cell>
        </row>
        <row r="90">
          <cell r="AS90">
            <v>103.98288970906668</v>
          </cell>
        </row>
        <row r="91">
          <cell r="AS91">
            <v>95.88635207026536</v>
          </cell>
        </row>
        <row r="92">
          <cell r="AS92">
            <v>97.555318567088662</v>
          </cell>
        </row>
        <row r="93">
          <cell r="AS93">
            <v>98.651407682761771</v>
          </cell>
        </row>
        <row r="94">
          <cell r="AS94">
            <v>98.885347309806249</v>
          </cell>
        </row>
        <row r="95">
          <cell r="AS95">
            <v>97.116026980207323</v>
          </cell>
        </row>
        <row r="96">
          <cell r="AS96">
            <v>98.047046969958473</v>
          </cell>
        </row>
        <row r="97">
          <cell r="AS97">
            <v>98.368823692109089</v>
          </cell>
        </row>
        <row r="98">
          <cell r="AS98">
            <v>96.689071563521296</v>
          </cell>
        </row>
        <row r="99">
          <cell r="AS99">
            <v>99.344647215577908</v>
          </cell>
        </row>
        <row r="100">
          <cell r="AS100">
            <v>99.146354506564776</v>
          </cell>
        </row>
        <row r="101">
          <cell r="AS101">
            <v>96.667077258035434</v>
          </cell>
        </row>
        <row r="102">
          <cell r="AS102">
            <v>97.440413876099711</v>
          </cell>
        </row>
        <row r="103">
          <cell r="AS103">
            <v>98.7497690885385</v>
          </cell>
        </row>
        <row r="104">
          <cell r="AS104">
            <v>99.321694799161747</v>
          </cell>
        </row>
        <row r="105">
          <cell r="AS105">
            <v>100.46208508570412</v>
          </cell>
        </row>
        <row r="106">
          <cell r="AS106">
            <v>100.43231059698405</v>
          </cell>
        </row>
        <row r="107">
          <cell r="AS107">
            <v>95.835506022405141</v>
          </cell>
        </row>
        <row r="108">
          <cell r="AS108">
            <v>96.762123724352961</v>
          </cell>
        </row>
        <row r="109">
          <cell r="AS109">
            <v>99.760146592752164</v>
          </cell>
        </row>
        <row r="110">
          <cell r="AS110">
            <v>111.40726919026143</v>
          </cell>
        </row>
        <row r="111">
          <cell r="AS111">
            <v>93.624091427861956</v>
          </cell>
        </row>
        <row r="112">
          <cell r="AS112">
            <v>99.584274797583333</v>
          </cell>
        </row>
        <row r="113">
          <cell r="AS113">
            <v>99.70978306370283</v>
          </cell>
        </row>
        <row r="114">
          <cell r="AS114">
            <v>97.110300140907029</v>
          </cell>
        </row>
        <row r="115">
          <cell r="AS115">
            <v>92.705086039935708</v>
          </cell>
        </row>
        <row r="116">
          <cell r="AS116">
            <v>97.080519007256299</v>
          </cell>
        </row>
        <row r="117">
          <cell r="AS117">
            <v>97.541311782322396</v>
          </cell>
        </row>
        <row r="118">
          <cell r="AS118">
            <v>97.594273454571933</v>
          </cell>
        </row>
        <row r="119">
          <cell r="AS119">
            <v>92.293331261823425</v>
          </cell>
        </row>
        <row r="120">
          <cell r="AS120">
            <v>97.343784830508056</v>
          </cell>
        </row>
        <row r="121">
          <cell r="AS121">
            <v>96.622655969201077</v>
          </cell>
        </row>
        <row r="122">
          <cell r="AS122">
            <v>99.627850959740556</v>
          </cell>
        </row>
        <row r="123">
          <cell r="AS123">
            <v>95.822053579237433</v>
          </cell>
        </row>
        <row r="124">
          <cell r="AS124">
            <v>92.078533418077527</v>
          </cell>
        </row>
        <row r="125">
          <cell r="AS125">
            <v>91.706323721321553</v>
          </cell>
        </row>
        <row r="126">
          <cell r="AS126">
            <v>97.990435086817186</v>
          </cell>
        </row>
        <row r="127">
          <cell r="AS127">
            <v>98.099792913221961</v>
          </cell>
        </row>
        <row r="128">
          <cell r="AS128">
            <v>97.016230942599037</v>
          </cell>
        </row>
        <row r="129">
          <cell r="AS129">
            <v>97.224790380282329</v>
          </cell>
        </row>
        <row r="130">
          <cell r="AS130">
            <v>100.12446085425042</v>
          </cell>
        </row>
        <row r="131">
          <cell r="AS131">
            <v>97.065060568710209</v>
          </cell>
        </row>
        <row r="132">
          <cell r="AS132">
            <v>99.975893759521298</v>
          </cell>
        </row>
        <row r="133">
          <cell r="AS133">
            <v>97.744854170435261</v>
          </cell>
        </row>
        <row r="134">
          <cell r="AS134">
            <v>97.537234970496229</v>
          </cell>
        </row>
        <row r="135">
          <cell r="AS135">
            <v>100.40321390300859</v>
          </cell>
        </row>
        <row r="136">
          <cell r="AS136">
            <v>96.434077770876058</v>
          </cell>
        </row>
        <row r="137">
          <cell r="AS137">
            <v>98.484252856431482</v>
          </cell>
        </row>
        <row r="138">
          <cell r="AS138">
            <v>95.389217922687735</v>
          </cell>
        </row>
        <row r="139">
          <cell r="AS139">
            <v>99.224351098396042</v>
          </cell>
        </row>
        <row r="140">
          <cell r="AS140">
            <v>99.32353232094539</v>
          </cell>
        </row>
        <row r="141">
          <cell r="AS141">
            <v>98.997632648360266</v>
          </cell>
        </row>
        <row r="142">
          <cell r="AS142">
            <v>97.463760265996399</v>
          </cell>
        </row>
        <row r="143">
          <cell r="AS143">
            <v>98.264063319970077</v>
          </cell>
        </row>
        <row r="144">
          <cell r="AS144">
            <v>98.548192719950322</v>
          </cell>
        </row>
        <row r="145">
          <cell r="AS145">
            <v>98.823429599635432</v>
          </cell>
        </row>
        <row r="146">
          <cell r="AS146">
            <v>100.44128447905582</v>
          </cell>
        </row>
        <row r="147">
          <cell r="AS147">
            <v>99.541673683507312</v>
          </cell>
        </row>
        <row r="148">
          <cell r="AS148">
            <v>98.983156674800313</v>
          </cell>
        </row>
        <row r="149">
          <cell r="AS149">
            <v>98.87270268473425</v>
          </cell>
        </row>
        <row r="150">
          <cell r="AS150">
            <v>93.677898473705298</v>
          </cell>
        </row>
        <row r="151">
          <cell r="AS151">
            <v>96.09626744823305</v>
          </cell>
        </row>
        <row r="152">
          <cell r="AS152">
            <v>97.393225185801398</v>
          </cell>
        </row>
        <row r="153">
          <cell r="AS153">
            <v>99.51827092226965</v>
          </cell>
        </row>
        <row r="154">
          <cell r="AS154">
            <v>98.297037775048096</v>
          </cell>
        </row>
        <row r="155">
          <cell r="AS155">
            <v>98.699180649962642</v>
          </cell>
        </row>
        <row r="156">
          <cell r="AS156">
            <v>99.709379094868325</v>
          </cell>
        </row>
        <row r="157">
          <cell r="AS157">
            <v>99.20510217019843</v>
          </cell>
        </row>
        <row r="158">
          <cell r="AS158">
            <v>95.967564626079536</v>
          </cell>
        </row>
        <row r="159">
          <cell r="AS159">
            <v>99.038293072120226</v>
          </cell>
        </row>
        <row r="160">
          <cell r="AS160">
            <v>100.88509268187487</v>
          </cell>
        </row>
        <row r="161">
          <cell r="AS161">
            <v>100.27544662459104</v>
          </cell>
        </row>
        <row r="162">
          <cell r="AS162">
            <v>97.783409002966863</v>
          </cell>
        </row>
        <row r="163">
          <cell r="AS163">
            <v>99.181519714228756</v>
          </cell>
        </row>
        <row r="164">
          <cell r="AS164">
            <v>99.254628474405266</v>
          </cell>
        </row>
        <row r="165">
          <cell r="AS165">
            <v>99.821646060237796</v>
          </cell>
        </row>
        <row r="166">
          <cell r="AS166">
            <v>100.23336840295755</v>
          </cell>
        </row>
        <row r="167">
          <cell r="AS167">
            <v>99.224984415000222</v>
          </cell>
        </row>
        <row r="168">
          <cell r="AS168">
            <v>97.991392065284458</v>
          </cell>
        </row>
        <row r="169">
          <cell r="AS169">
            <v>98.754567210015793</v>
          </cell>
        </row>
        <row r="170">
          <cell r="AS170">
            <v>95.102929375307482</v>
          </cell>
        </row>
        <row r="171">
          <cell r="AS171">
            <v>99.584274797583333</v>
          </cell>
        </row>
        <row r="172">
          <cell r="AS172">
            <v>99.459082097726125</v>
          </cell>
        </row>
        <row r="173">
          <cell r="AS173">
            <v>99.987853202533756</v>
          </cell>
        </row>
        <row r="174">
          <cell r="AS174">
            <v>99.844431138440441</v>
          </cell>
        </row>
        <row r="175">
          <cell r="AS175">
            <v>99.739560847146265</v>
          </cell>
        </row>
        <row r="176">
          <cell r="AS176">
            <v>99.897261798186378</v>
          </cell>
        </row>
        <row r="177">
          <cell r="AS177">
            <v>97.867313690154518</v>
          </cell>
        </row>
        <row r="178">
          <cell r="AS178">
            <v>98.618699043994994</v>
          </cell>
        </row>
        <row r="179">
          <cell r="AS179">
            <v>95.736023506245473</v>
          </cell>
        </row>
        <row r="214">
          <cell r="AS214">
            <v>94.642949948026541</v>
          </cell>
        </row>
        <row r="215">
          <cell r="AS215">
            <v>97.740620302660346</v>
          </cell>
        </row>
        <row r="216">
          <cell r="AS216">
            <v>97.156843184212079</v>
          </cell>
        </row>
        <row r="217">
          <cell r="AS217">
            <v>98.378206632279046</v>
          </cell>
        </row>
        <row r="218">
          <cell r="AS218">
            <v>98.866051801226916</v>
          </cell>
        </row>
        <row r="219">
          <cell r="AS219">
            <v>98.986375596522507</v>
          </cell>
        </row>
        <row r="220">
          <cell r="AS220">
            <v>98.588839951556579</v>
          </cell>
        </row>
        <row r="221">
          <cell r="AS221">
            <v>98.140556826659378</v>
          </cell>
        </row>
        <row r="222">
          <cell r="AS222">
            <v>94.541913901166239</v>
          </cell>
        </row>
        <row r="223">
          <cell r="AS223">
            <v>99.065882725515735</v>
          </cell>
        </row>
        <row r="224">
          <cell r="AS224">
            <v>95.607322614311911</v>
          </cell>
        </row>
        <row r="225">
          <cell r="AS225">
            <v>98.852784636210828</v>
          </cell>
        </row>
        <row r="226">
          <cell r="AS226">
            <v>98.991001256161667</v>
          </cell>
        </row>
        <row r="227">
          <cell r="AS227">
            <v>98.91245808939847</v>
          </cell>
        </row>
        <row r="228">
          <cell r="AS228">
            <v>98.030742498650199</v>
          </cell>
        </row>
        <row r="229">
          <cell r="AS229">
            <v>98.227987453375846</v>
          </cell>
        </row>
        <row r="230">
          <cell r="AS230">
            <v>91.893381203561418</v>
          </cell>
        </row>
        <row r="231">
          <cell r="AS231">
            <v>95.883830769509331</v>
          </cell>
        </row>
        <row r="232">
          <cell r="AS232">
            <v>96.325210694705959</v>
          </cell>
        </row>
        <row r="233">
          <cell r="AS233">
            <v>96.768374788406007</v>
          </cell>
        </row>
        <row r="234">
          <cell r="AS234">
            <v>99.805947091181096</v>
          </cell>
        </row>
        <row r="235">
          <cell r="AS235">
            <v>97.59500083914169</v>
          </cell>
        </row>
        <row r="236">
          <cell r="AS236">
            <v>96.015295809177886</v>
          </cell>
        </row>
        <row r="237">
          <cell r="AS237">
            <v>99.016967272278464</v>
          </cell>
        </row>
        <row r="238">
          <cell r="AS238">
            <v>97.930910424263288</v>
          </cell>
        </row>
        <row r="239">
          <cell r="AS239">
            <v>95.51262249962322</v>
          </cell>
        </row>
        <row r="240">
          <cell r="AS240">
            <v>100.03027228544039</v>
          </cell>
        </row>
        <row r="241">
          <cell r="AS241">
            <v>99.680150206688893</v>
          </cell>
        </row>
        <row r="242">
          <cell r="AS242">
            <v>99.677491461603083</v>
          </cell>
        </row>
        <row r="243">
          <cell r="AS243">
            <v>99.880311150879038</v>
          </cell>
        </row>
        <row r="244">
          <cell r="AS244">
            <v>101.658582761551</v>
          </cell>
        </row>
        <row r="245">
          <cell r="AS245">
            <v>101.63039952812952</v>
          </cell>
        </row>
        <row r="246">
          <cell r="AS246">
            <v>99.260258246780694</v>
          </cell>
        </row>
        <row r="247">
          <cell r="AS247">
            <v>102.67383093717935</v>
          </cell>
        </row>
        <row r="248">
          <cell r="AS248">
            <v>100.39997678316345</v>
          </cell>
        </row>
        <row r="249">
          <cell r="AS249">
            <v>99.081028043575728</v>
          </cell>
        </row>
        <row r="251">
          <cell r="A251" t="str">
            <v>ST196</v>
          </cell>
          <cell r="P251">
            <v>62</v>
          </cell>
          <cell r="Q251">
            <v>11.064030131826742</v>
          </cell>
          <cell r="T251">
            <v>0.4826388888888889</v>
          </cell>
          <cell r="U251">
            <v>0.62083333333333335</v>
          </cell>
          <cell r="V251">
            <v>87</v>
          </cell>
          <cell r="AB251">
            <v>53.1</v>
          </cell>
          <cell r="AE251">
            <v>11.9</v>
          </cell>
          <cell r="AG251">
            <v>48.32</v>
          </cell>
          <cell r="AS251">
            <v>96.358168532830376</v>
          </cell>
          <cell r="AT251">
            <v>97.020451087425599</v>
          </cell>
          <cell r="AV251" t="str">
            <v xml:space="preserve">R.Regis </v>
          </cell>
          <cell r="AW251">
            <v>0.28402777777777777</v>
          </cell>
        </row>
        <row r="252">
          <cell r="A252" t="str">
            <v>ST197</v>
          </cell>
          <cell r="P252">
            <v>61</v>
          </cell>
          <cell r="Q252">
            <v>16.337099811676076</v>
          </cell>
          <cell r="T252">
            <v>0.57430555555555551</v>
          </cell>
          <cell r="U252">
            <v>0.73958333333333337</v>
          </cell>
          <cell r="V252">
            <v>64</v>
          </cell>
          <cell r="AB252">
            <v>53.1</v>
          </cell>
          <cell r="AE252">
            <v>12</v>
          </cell>
          <cell r="AG252">
            <v>49</v>
          </cell>
          <cell r="AS252">
            <v>99.198581391944401</v>
          </cell>
          <cell r="AT252">
            <v>99.879263329087635</v>
          </cell>
          <cell r="AV252" t="str">
            <v xml:space="preserve">R.Regis </v>
          </cell>
          <cell r="AW252">
            <v>0.30208333333333337</v>
          </cell>
        </row>
        <row r="253">
          <cell r="A253" t="str">
            <v>ST198</v>
          </cell>
          <cell r="P253">
            <v>58</v>
          </cell>
          <cell r="Q253">
            <v>12.382297551789083</v>
          </cell>
          <cell r="T253">
            <v>0.7993055555555556</v>
          </cell>
          <cell r="U253">
            <v>0.90208333333333335</v>
          </cell>
          <cell r="V253">
            <v>66</v>
          </cell>
          <cell r="AB253">
            <v>53.1</v>
          </cell>
          <cell r="AE253">
            <v>11.8</v>
          </cell>
          <cell r="AG253">
            <v>50</v>
          </cell>
          <cell r="AS253">
            <v>99.450027165653339</v>
          </cell>
          <cell r="AT253">
            <v>100.13243447622362</v>
          </cell>
          <cell r="AV253" t="str">
            <v>R.Sookram</v>
          </cell>
          <cell r="AW253">
            <v>0.24097222222222225</v>
          </cell>
        </row>
        <row r="254">
          <cell r="A254" t="str">
            <v>ST199</v>
          </cell>
          <cell r="P254">
            <v>58</v>
          </cell>
          <cell r="Q254">
            <v>12.570621468926548</v>
          </cell>
          <cell r="T254">
            <v>0.18958333333333333</v>
          </cell>
          <cell r="U254">
            <v>0.30694444444444446</v>
          </cell>
          <cell r="V254">
            <v>54</v>
          </cell>
          <cell r="AB254">
            <v>53.1</v>
          </cell>
          <cell r="AE254">
            <v>11.8</v>
          </cell>
          <cell r="AG254">
            <v>48.2</v>
          </cell>
          <cell r="AS254">
            <v>95.749181793212287</v>
          </cell>
          <cell r="AT254">
            <v>96.406412510809474</v>
          </cell>
          <cell r="AV254" t="str">
            <v>R.Sookram</v>
          </cell>
          <cell r="AW254">
            <v>0.26527777777777778</v>
          </cell>
        </row>
        <row r="255">
          <cell r="A255" t="str">
            <v>ST200</v>
          </cell>
          <cell r="P255">
            <v>62</v>
          </cell>
          <cell r="Q255">
            <v>12.028301886792454</v>
          </cell>
          <cell r="T255">
            <v>0.31597222222222221</v>
          </cell>
          <cell r="U255">
            <v>0.43958333333333333</v>
          </cell>
          <cell r="V255">
            <v>53</v>
          </cell>
          <cell r="AB255">
            <v>53</v>
          </cell>
          <cell r="AE255">
            <v>12</v>
          </cell>
          <cell r="AG255">
            <v>47.38</v>
          </cell>
          <cell r="AS255">
            <v>96.404836914851714</v>
          </cell>
          <cell r="AT255">
            <v>97.065465552222236</v>
          </cell>
          <cell r="AV255" t="str">
            <v>R.Sookram</v>
          </cell>
          <cell r="AW255">
            <v>0.29374999999999996</v>
          </cell>
        </row>
        <row r="256">
          <cell r="A256" t="str">
            <v>ST201</v>
          </cell>
          <cell r="P256">
            <v>60</v>
          </cell>
          <cell r="Q256">
            <v>10.141509433962264</v>
          </cell>
          <cell r="T256">
            <v>0.43402777777777779</v>
          </cell>
          <cell r="U256">
            <v>0.54513888888888884</v>
          </cell>
          <cell r="V256">
            <v>59</v>
          </cell>
          <cell r="AB256">
            <v>53</v>
          </cell>
          <cell r="AE256">
            <v>11.9</v>
          </cell>
          <cell r="AG256">
            <v>48.2</v>
          </cell>
          <cell r="AS256">
            <v>97.214381663218518</v>
          </cell>
          <cell r="AT256">
            <v>97.88055782767502</v>
          </cell>
          <cell r="AV256" t="str">
            <v>R.Sookram</v>
          </cell>
          <cell r="AW256">
            <v>0.27430555555555552</v>
          </cell>
        </row>
        <row r="257">
          <cell r="A257" t="str">
            <v>ST202</v>
          </cell>
          <cell r="P257">
            <v>62</v>
          </cell>
          <cell r="Q257">
            <v>11.839622641509431</v>
          </cell>
          <cell r="T257">
            <v>0.55208333333333337</v>
          </cell>
          <cell r="U257">
            <v>0.67222222222222228</v>
          </cell>
          <cell r="V257">
            <v>60</v>
          </cell>
          <cell r="AB257">
            <v>53</v>
          </cell>
          <cell r="AE257">
            <v>11.9</v>
          </cell>
          <cell r="AG257">
            <v>49.8</v>
          </cell>
          <cell r="AS257">
            <v>99.683984036787066</v>
          </cell>
          <cell r="AT257">
            <v>100.36844987444104</v>
          </cell>
          <cell r="AV257" t="str">
            <v>K. Benjamin</v>
          </cell>
          <cell r="AW257">
            <v>0.2729166666666667</v>
          </cell>
        </row>
        <row r="258">
          <cell r="A258" t="str">
            <v>ST203</v>
          </cell>
          <cell r="P258">
            <v>61</v>
          </cell>
          <cell r="Q258">
            <v>9.5574387947269361</v>
          </cell>
          <cell r="T258">
            <v>0.67083333333333328</v>
          </cell>
          <cell r="U258">
            <v>0.78472222222222221</v>
          </cell>
          <cell r="V258">
            <v>60</v>
          </cell>
          <cell r="AB258">
            <v>53.1</v>
          </cell>
          <cell r="AE258">
            <v>11.7</v>
          </cell>
          <cell r="AG258">
            <v>50.6</v>
          </cell>
          <cell r="AS258">
            <v>99.370659448462092</v>
          </cell>
          <cell r="AT258">
            <v>100.05319890596252</v>
          </cell>
          <cell r="AV258" t="str">
            <v>K. Benjamin</v>
          </cell>
          <cell r="AW258">
            <v>0.26388888888888884</v>
          </cell>
        </row>
        <row r="259">
          <cell r="A259" t="str">
            <v>ST204</v>
          </cell>
          <cell r="P259">
            <v>61</v>
          </cell>
          <cell r="Q259">
            <v>8.6158192090395538</v>
          </cell>
          <cell r="T259">
            <v>0.73055555555555551</v>
          </cell>
          <cell r="U259">
            <v>0.90833333333333333</v>
          </cell>
          <cell r="V259">
            <v>57</v>
          </cell>
          <cell r="AB259">
            <v>53.1</v>
          </cell>
          <cell r="AE259">
            <v>12</v>
          </cell>
          <cell r="AG259">
            <v>50</v>
          </cell>
          <cell r="AS259">
            <v>100.46353523213787</v>
          </cell>
          <cell r="AT259">
            <v>101.15426031140436</v>
          </cell>
          <cell r="AV259" t="str">
            <v xml:space="preserve">R.Regis </v>
          </cell>
          <cell r="AW259">
            <v>0.26249999999999996</v>
          </cell>
        </row>
        <row r="260">
          <cell r="A260" t="str">
            <v>ST205</v>
          </cell>
          <cell r="P260">
            <v>61</v>
          </cell>
          <cell r="Q260">
            <v>9.7457627118644012</v>
          </cell>
          <cell r="T260">
            <v>0.91319444444444442</v>
          </cell>
          <cell r="U260">
            <v>1.0465277777777777</v>
          </cell>
          <cell r="V260">
            <v>63</v>
          </cell>
          <cell r="AB260">
            <v>53.1</v>
          </cell>
          <cell r="AE260">
            <v>11.7</v>
          </cell>
          <cell r="AG260">
            <v>50.4</v>
          </cell>
          <cell r="AS260">
            <v>98.730026427379045</v>
          </cell>
          <cell r="AT260">
            <v>99.408611077888466</v>
          </cell>
          <cell r="AV260" t="str">
            <v xml:space="preserve">R.Regis </v>
          </cell>
          <cell r="AW260">
            <v>0.29652777777777772</v>
          </cell>
        </row>
        <row r="261">
          <cell r="A261" t="str">
            <v>ST206</v>
          </cell>
          <cell r="P261">
            <v>59</v>
          </cell>
          <cell r="Q261">
            <v>10.12241054613936</v>
          </cell>
          <cell r="T261">
            <v>1.0375000000000001</v>
          </cell>
          <cell r="U261">
            <v>1.1444444444444444</v>
          </cell>
          <cell r="V261">
            <v>58</v>
          </cell>
          <cell r="AB261">
            <v>53.1</v>
          </cell>
          <cell r="AE261">
            <v>11.8</v>
          </cell>
          <cell r="AG261">
            <v>50.4</v>
          </cell>
          <cell r="AS261">
            <v>100.24562738297855</v>
          </cell>
          <cell r="AT261">
            <v>100.93349395203339</v>
          </cell>
          <cell r="AV261" t="str">
            <v xml:space="preserve">R.Regis </v>
          </cell>
          <cell r="AW261">
            <v>0.2451388888888888</v>
          </cell>
        </row>
        <row r="262">
          <cell r="A262" t="str">
            <v>ST207</v>
          </cell>
          <cell r="P262">
            <v>60</v>
          </cell>
          <cell r="T262">
            <v>0.70208333333333328</v>
          </cell>
          <cell r="U262">
            <v>0.8354166666666667</v>
          </cell>
          <cell r="V262">
            <v>55</v>
          </cell>
          <cell r="AE262">
            <v>11.9</v>
          </cell>
          <cell r="AG262">
            <v>50</v>
          </cell>
          <cell r="AS262">
            <v>99.335232031479649</v>
          </cell>
          <cell r="AT262">
            <v>100.01864443935861</v>
          </cell>
          <cell r="AV262" t="str">
            <v>D. Gomaz</v>
          </cell>
          <cell r="AW262">
            <v>0.5229166666666667</v>
          </cell>
        </row>
        <row r="263">
          <cell r="A263" t="str">
            <v>ST208</v>
          </cell>
          <cell r="P263">
            <v>60</v>
          </cell>
          <cell r="Q263">
            <v>12.594339622641504</v>
          </cell>
          <cell r="T263">
            <v>0.86944444444444446</v>
          </cell>
          <cell r="U263">
            <v>0.98541666666666672</v>
          </cell>
          <cell r="V263">
            <v>52</v>
          </cell>
          <cell r="AB263">
            <v>53</v>
          </cell>
          <cell r="AE263">
            <v>12</v>
          </cell>
          <cell r="AG263">
            <v>50</v>
          </cell>
          <cell r="AS263">
            <v>100.58932724044769</v>
          </cell>
          <cell r="AT263">
            <v>101.28069111363216</v>
          </cell>
          <cell r="AV263" t="str">
            <v>K. Benjamin</v>
          </cell>
          <cell r="AW263">
            <v>0.25625000000000009</v>
          </cell>
        </row>
        <row r="264">
          <cell r="A264" t="str">
            <v>ST209</v>
          </cell>
          <cell r="P264">
            <v>62</v>
          </cell>
          <cell r="Q264">
            <v>10.896226415094338</v>
          </cell>
          <cell r="T264">
            <v>0.96736111111111112</v>
          </cell>
          <cell r="U264">
            <v>1.0798611111111112</v>
          </cell>
          <cell r="V264">
            <v>59</v>
          </cell>
          <cell r="AB264">
            <v>53</v>
          </cell>
          <cell r="AE264">
            <v>11.9</v>
          </cell>
          <cell r="AG264">
            <v>50.6</v>
          </cell>
          <cell r="AS264">
            <v>101.15819379667646</v>
          </cell>
          <cell r="AT264">
            <v>101.85301115120467</v>
          </cell>
          <cell r="AV264" t="str">
            <v>K. Benjamin</v>
          </cell>
          <cell r="AW264">
            <v>0.24652777777777779</v>
          </cell>
        </row>
        <row r="265">
          <cell r="A265" t="str">
            <v>ST210</v>
          </cell>
          <cell r="P265">
            <v>62</v>
          </cell>
          <cell r="Q265">
            <v>10.875706214689263</v>
          </cell>
          <cell r="T265">
            <v>1.0881944444444445</v>
          </cell>
          <cell r="U265">
            <v>1.2083333333333333</v>
          </cell>
          <cell r="V265">
            <v>53</v>
          </cell>
          <cell r="AB265">
            <v>53.1</v>
          </cell>
          <cell r="AE265">
            <v>11.7</v>
          </cell>
          <cell r="AG265">
            <v>50.9</v>
          </cell>
          <cell r="AS265">
            <v>100.84592825413714</v>
          </cell>
          <cell r="AT265">
            <v>101.53699013753352</v>
          </cell>
          <cell r="AV265" t="str">
            <v>K. Benjamin</v>
          </cell>
          <cell r="AW265">
            <v>0.27083333333333326</v>
          </cell>
        </row>
        <row r="266">
          <cell r="A266" t="str">
            <v>ST211</v>
          </cell>
          <cell r="P266">
            <v>60</v>
          </cell>
          <cell r="Q266">
            <v>11.064030131826742</v>
          </cell>
          <cell r="T266">
            <v>0.19930555555555557</v>
          </cell>
          <cell r="U266">
            <v>0.31805555555555554</v>
          </cell>
          <cell r="V266">
            <v>57</v>
          </cell>
          <cell r="AB266">
            <v>53.1</v>
          </cell>
          <cell r="AE266">
            <v>11.9</v>
          </cell>
          <cell r="AG266">
            <v>50.3</v>
          </cell>
          <cell r="AS266">
            <v>100.43237296472746</v>
          </cell>
          <cell r="AT266">
            <v>101.12243178395899</v>
          </cell>
          <cell r="AW266">
            <v>0.25555555555555554</v>
          </cell>
        </row>
        <row r="267">
          <cell r="A267" t="str">
            <v>ST212</v>
          </cell>
          <cell r="P267">
            <v>61</v>
          </cell>
          <cell r="Q267">
            <v>10.12241054613936</v>
          </cell>
          <cell r="T267">
            <v>0.32083333333333336</v>
          </cell>
          <cell r="U267">
            <v>0.44027777777777777</v>
          </cell>
          <cell r="V267">
            <v>61</v>
          </cell>
          <cell r="AB267">
            <v>53.1</v>
          </cell>
          <cell r="AE267">
            <v>11.8</v>
          </cell>
          <cell r="AG267">
            <v>50.4</v>
          </cell>
          <cell r="AS267">
            <v>99.868124541057114</v>
          </cell>
          <cell r="AT267">
            <v>100.55408089803581</v>
          </cell>
          <cell r="AW267">
            <v>0.25972222222222219</v>
          </cell>
        </row>
        <row r="268">
          <cell r="A268" t="str">
            <v>ST213</v>
          </cell>
          <cell r="P268">
            <v>61</v>
          </cell>
          <cell r="Q268">
            <v>10.687382297551784</v>
          </cell>
          <cell r="T268">
            <v>0.47013888888888888</v>
          </cell>
          <cell r="U268">
            <v>0.57916666666666672</v>
          </cell>
          <cell r="V268">
            <v>58</v>
          </cell>
          <cell r="AB268">
            <v>53.1</v>
          </cell>
          <cell r="AE268">
            <v>11.6</v>
          </cell>
          <cell r="AG268">
            <v>50.1</v>
          </cell>
          <cell r="AS268">
            <v>96.895654477588451</v>
          </cell>
          <cell r="AT268">
            <v>97.562282935440692</v>
          </cell>
          <cell r="AW268">
            <v>0.2770833333333334</v>
          </cell>
        </row>
        <row r="269">
          <cell r="A269" t="str">
            <v>ST214</v>
          </cell>
          <cell r="P269">
            <v>61</v>
          </cell>
          <cell r="Q269">
            <v>9.7641509433962206</v>
          </cell>
          <cell r="T269">
            <v>0.58680555555555558</v>
          </cell>
          <cell r="U269">
            <v>0.70694444444444449</v>
          </cell>
          <cell r="V269">
            <v>59</v>
          </cell>
          <cell r="AB269">
            <v>53</v>
          </cell>
          <cell r="AE269">
            <v>11.6</v>
          </cell>
          <cell r="AG269">
            <v>50</v>
          </cell>
          <cell r="AS269">
            <v>97.187186945196061</v>
          </cell>
          <cell r="AT269">
            <v>97.854948479531089</v>
          </cell>
          <cell r="AW269">
            <v>0.31111111111111117</v>
          </cell>
        </row>
        <row r="270">
          <cell r="A270" t="str">
            <v>ST215</v>
          </cell>
          <cell r="P270">
            <v>60</v>
          </cell>
          <cell r="Q270">
            <v>11.27358490566038</v>
          </cell>
          <cell r="T270">
            <v>0.75486111111111109</v>
          </cell>
          <cell r="U270">
            <v>0.87291666666666667</v>
          </cell>
          <cell r="V270">
            <v>57</v>
          </cell>
          <cell r="AB270">
            <v>53</v>
          </cell>
          <cell r="AE270">
            <v>12</v>
          </cell>
          <cell r="AG270">
            <v>48.81</v>
          </cell>
          <cell r="AS270">
            <v>96.861205051857695</v>
          </cell>
          <cell r="AT270">
            <v>97.529310165661883</v>
          </cell>
          <cell r="AW270">
            <v>0.25138888888888888</v>
          </cell>
        </row>
        <row r="271">
          <cell r="A271" t="str">
            <v>ST216</v>
          </cell>
          <cell r="P271">
            <v>60</v>
          </cell>
          <cell r="Q271">
            <v>11.462264150943389</v>
          </cell>
          <cell r="T271">
            <v>0.86319444444444449</v>
          </cell>
          <cell r="U271">
            <v>0.97013888888888888</v>
          </cell>
          <cell r="V271">
            <v>57</v>
          </cell>
          <cell r="AB271">
            <v>53</v>
          </cell>
          <cell r="AE271">
            <v>12</v>
          </cell>
          <cell r="AG271">
            <v>50.1</v>
          </cell>
          <cell r="AS271">
            <v>100.7905058949286</v>
          </cell>
          <cell r="AT271">
            <v>101.48325249585943</v>
          </cell>
          <cell r="AW271">
            <v>0.24444444444444446</v>
          </cell>
        </row>
        <row r="272">
          <cell r="A272" t="str">
            <v>ST217</v>
          </cell>
          <cell r="P272">
            <v>61</v>
          </cell>
          <cell r="Q272">
            <v>12.947269303201505</v>
          </cell>
          <cell r="T272">
            <v>0.97013888888888888</v>
          </cell>
          <cell r="U272">
            <v>1.0770833333333334</v>
          </cell>
          <cell r="V272">
            <v>54</v>
          </cell>
          <cell r="AB272">
            <v>53.1</v>
          </cell>
          <cell r="AE272">
            <v>11.8</v>
          </cell>
          <cell r="AG272">
            <v>50.4</v>
          </cell>
          <cell r="AS272">
            <v>99.868124541057114</v>
          </cell>
          <cell r="AT272">
            <v>100.55408089803581</v>
          </cell>
          <cell r="AW272">
            <v>0.24375000000000002</v>
          </cell>
        </row>
        <row r="273">
          <cell r="A273" t="str">
            <v>ST218</v>
          </cell>
          <cell r="P273">
            <v>61</v>
          </cell>
          <cell r="Q273">
            <v>11.064030131826742</v>
          </cell>
          <cell r="T273">
            <v>1.075</v>
          </cell>
          <cell r="U273">
            <v>1.1854166666666666</v>
          </cell>
          <cell r="V273">
            <v>55</v>
          </cell>
          <cell r="AB273">
            <v>53.1</v>
          </cell>
          <cell r="AE273">
            <v>11.9</v>
          </cell>
          <cell r="AG273">
            <v>50.3</v>
          </cell>
          <cell r="AS273">
            <v>100.55844165954197</v>
          </cell>
          <cell r="AT273">
            <v>101.24913954358881</v>
          </cell>
          <cell r="AW273">
            <v>0.24791666666666656</v>
          </cell>
        </row>
        <row r="274">
          <cell r="A274" t="str">
            <v>ST219</v>
          </cell>
          <cell r="P274">
            <v>66</v>
          </cell>
          <cell r="Q274">
            <v>25.475435816164822</v>
          </cell>
          <cell r="T274">
            <v>0.68402777777777779</v>
          </cell>
          <cell r="U274">
            <v>0.8041666666666667</v>
          </cell>
          <cell r="V274">
            <v>55</v>
          </cell>
          <cell r="AB274">
            <v>63.1</v>
          </cell>
          <cell r="AE274">
            <v>11.9</v>
          </cell>
          <cell r="AG274">
            <v>48.3</v>
          </cell>
          <cell r="AS274">
            <v>96.548828345484281</v>
          </cell>
          <cell r="AT274">
            <v>97.467585202101588</v>
          </cell>
          <cell r="AV274" t="str">
            <v xml:space="preserve">R.Regis </v>
          </cell>
          <cell r="AW274">
            <v>0.26250000000000007</v>
          </cell>
        </row>
        <row r="275">
          <cell r="A275" t="str">
            <v>ST220</v>
          </cell>
          <cell r="P275">
            <v>64</v>
          </cell>
          <cell r="Q275">
            <v>11.084905660377359</v>
          </cell>
          <cell r="T275">
            <v>0.79305555555555551</v>
          </cell>
          <cell r="U275">
            <v>0.90416666666666667</v>
          </cell>
          <cell r="V275">
            <v>60</v>
          </cell>
          <cell r="AB275">
            <v>53</v>
          </cell>
          <cell r="AE275">
            <v>12.1</v>
          </cell>
          <cell r="AG275">
            <v>49.5</v>
          </cell>
          <cell r="AS275">
            <v>100.19135091878917</v>
          </cell>
          <cell r="AT275">
            <v>101.14602650044762</v>
          </cell>
          <cell r="AV275" t="str">
            <v>D. Gomaz</v>
          </cell>
          <cell r="AW275">
            <v>0.26527777777777783</v>
          </cell>
        </row>
        <row r="276">
          <cell r="A276" t="str">
            <v>ST221</v>
          </cell>
          <cell r="P276">
            <v>67</v>
          </cell>
          <cell r="Q276">
            <v>88.276836158192083</v>
          </cell>
          <cell r="T276">
            <v>0.89027777777777772</v>
          </cell>
          <cell r="U276">
            <v>1.0104166666666667</v>
          </cell>
          <cell r="V276">
            <v>59</v>
          </cell>
          <cell r="AB276">
            <v>53.1</v>
          </cell>
          <cell r="AE276">
            <v>11.9</v>
          </cell>
          <cell r="AG276">
            <v>49.9</v>
          </cell>
          <cell r="AS276">
            <v>99.371721926227323</v>
          </cell>
          <cell r="AT276">
            <v>100.31827725684998</v>
          </cell>
          <cell r="AV276" t="str">
            <v>D. Gomaz</v>
          </cell>
          <cell r="AW276">
            <v>0.26041666666666674</v>
          </cell>
        </row>
        <row r="277">
          <cell r="A277" t="str">
            <v>ST222</v>
          </cell>
          <cell r="P277">
            <v>60</v>
          </cell>
          <cell r="Q277">
            <v>11.839622641509431</v>
          </cell>
          <cell r="T277">
            <v>0.98750000000000004</v>
          </cell>
          <cell r="U277">
            <v>1.1145833333333333</v>
          </cell>
          <cell r="V277">
            <v>55</v>
          </cell>
          <cell r="AB277">
            <v>53</v>
          </cell>
          <cell r="AE277">
            <v>11.9</v>
          </cell>
          <cell r="AG277">
            <v>47.7</v>
          </cell>
          <cell r="AS277">
            <v>94.990603925471802</v>
          </cell>
          <cell r="AT277">
            <v>95.895427357750378</v>
          </cell>
          <cell r="AV277" t="str">
            <v>D. Gomaz</v>
          </cell>
          <cell r="AW277">
            <v>0.26736111111111105</v>
          </cell>
        </row>
        <row r="278">
          <cell r="A278" t="str">
            <v>ST223</v>
          </cell>
          <cell r="P278">
            <v>60</v>
          </cell>
          <cell r="Q278">
            <v>10.707547169811315</v>
          </cell>
          <cell r="T278">
            <v>1.0833333333333333</v>
          </cell>
          <cell r="U278">
            <v>1.2076388888888889</v>
          </cell>
          <cell r="V278">
            <v>53</v>
          </cell>
          <cell r="AB278">
            <v>53</v>
          </cell>
          <cell r="AE278">
            <v>11.9</v>
          </cell>
          <cell r="AG278">
            <v>50.7</v>
          </cell>
          <cell r="AS278">
            <v>100.83834966907197</v>
          </cell>
          <cell r="AT278">
            <v>101.79919019313905</v>
          </cell>
          <cell r="AV278" t="str">
            <v>D. Gomaz</v>
          </cell>
          <cell r="AW278">
            <v>0.2597222222222223</v>
          </cell>
        </row>
        <row r="279">
          <cell r="A279" t="str">
            <v>ST224</v>
          </cell>
          <cell r="P279">
            <v>59</v>
          </cell>
          <cell r="Q279">
            <v>11.839622641509431</v>
          </cell>
          <cell r="T279">
            <v>0.20833333333333334</v>
          </cell>
          <cell r="U279">
            <v>0.33055555555555555</v>
          </cell>
          <cell r="V279">
            <v>58</v>
          </cell>
          <cell r="AB279">
            <v>53</v>
          </cell>
          <cell r="AE279">
            <v>11.6</v>
          </cell>
          <cell r="AG279">
            <v>50.2</v>
          </cell>
          <cell r="AS279">
            <v>97.31936248600482</v>
          </cell>
          <cell r="AT279">
            <v>98.246368273449207</v>
          </cell>
          <cell r="AV279" t="str">
            <v>K. Benjamin</v>
          </cell>
          <cell r="AW279">
            <v>0.27847222222222223</v>
          </cell>
        </row>
        <row r="280">
          <cell r="A280" t="str">
            <v>ST225</v>
          </cell>
          <cell r="P280">
            <v>61</v>
          </cell>
          <cell r="Q280">
            <v>9.0094339622641488</v>
          </cell>
          <cell r="T280">
            <v>0.31319444444444444</v>
          </cell>
          <cell r="U280">
            <v>0.4375</v>
          </cell>
          <cell r="V280">
            <v>55</v>
          </cell>
          <cell r="AB280">
            <v>53</v>
          </cell>
          <cell r="AE280">
            <v>12</v>
          </cell>
          <cell r="AG280">
            <v>49.5</v>
          </cell>
          <cell r="AS280">
            <v>99.446100161727543</v>
          </cell>
          <cell r="AT280">
            <v>100.3933639747427</v>
          </cell>
          <cell r="AV280" t="str">
            <v>K. Benjamin</v>
          </cell>
          <cell r="AW280">
            <v>0.28819444444444442</v>
          </cell>
        </row>
        <row r="281">
          <cell r="A281" t="str">
            <v>ST226</v>
          </cell>
          <cell r="P281">
            <v>66</v>
          </cell>
          <cell r="Q281">
            <v>11.252354048964222</v>
          </cell>
          <cell r="T281">
            <v>0.46875</v>
          </cell>
          <cell r="U281">
            <v>0.57638888888888884</v>
          </cell>
          <cell r="V281">
            <v>53</v>
          </cell>
          <cell r="AB281">
            <v>53.1</v>
          </cell>
          <cell r="AE281">
            <v>12</v>
          </cell>
          <cell r="AG281">
            <v>50.4</v>
          </cell>
          <cell r="AS281">
            <v>101.25421107375897</v>
          </cell>
          <cell r="AT281">
            <v>102.21869786519255</v>
          </cell>
          <cell r="AV281" t="str">
            <v>K. Benjamin</v>
          </cell>
          <cell r="AW281">
            <v>0.32291666666666663</v>
          </cell>
        </row>
        <row r="282">
          <cell r="A282" t="str">
            <v>ST227</v>
          </cell>
          <cell r="P282">
            <v>60</v>
          </cell>
          <cell r="Q282">
            <v>12.193973634651604</v>
          </cell>
          <cell r="T282">
            <v>0.95</v>
          </cell>
          <cell r="U282">
            <v>1.0854166666666667</v>
          </cell>
          <cell r="V282">
            <v>56</v>
          </cell>
          <cell r="AB282">
            <v>53.1</v>
          </cell>
          <cell r="AE282">
            <v>12</v>
          </cell>
          <cell r="AG282">
            <v>49.5</v>
          </cell>
          <cell r="AS282">
            <v>99.571016312772826</v>
          </cell>
          <cell r="AT282">
            <v>100.51915820265562</v>
          </cell>
          <cell r="AV282" t="str">
            <v>D. Gomaz</v>
          </cell>
          <cell r="AW282">
            <v>0.26944444444444449</v>
          </cell>
        </row>
        <row r="283">
          <cell r="A283" t="str">
            <v>ST228</v>
          </cell>
          <cell r="P283">
            <v>60</v>
          </cell>
          <cell r="Q283">
            <v>6.7452830188679158</v>
          </cell>
          <cell r="T283">
            <v>1.05</v>
          </cell>
          <cell r="U283">
            <v>1.1715277777777777</v>
          </cell>
          <cell r="V283">
            <v>53</v>
          </cell>
          <cell r="AB283">
            <v>53</v>
          </cell>
          <cell r="AE283">
            <v>12.1</v>
          </cell>
          <cell r="AG283">
            <v>49.9</v>
          </cell>
          <cell r="AS283">
            <v>101.25471652266825</v>
          </cell>
          <cell r="AT283">
            <v>102.21889105697028</v>
          </cell>
          <cell r="AV283" t="str">
            <v>D. Gomaz</v>
          </cell>
          <cell r="AW283">
            <v>0.2583333333333333</v>
          </cell>
        </row>
        <row r="284">
          <cell r="A284" t="str">
            <v>ST229</v>
          </cell>
          <cell r="P284">
            <v>60</v>
          </cell>
          <cell r="Q284">
            <v>11.27358490566038</v>
          </cell>
          <cell r="T284">
            <v>1.148611111111111</v>
          </cell>
          <cell r="U284">
            <v>1.2902777777777779</v>
          </cell>
          <cell r="V284">
            <v>59</v>
          </cell>
          <cell r="AB284">
            <v>53</v>
          </cell>
          <cell r="AE284">
            <v>12</v>
          </cell>
          <cell r="AG284">
            <v>50.26</v>
          </cell>
          <cell r="AS284">
            <v>102.25579256731321</v>
          </cell>
          <cell r="AT284">
            <v>103.22658123516146</v>
          </cell>
          <cell r="AV284" t="str">
            <v>K. Benjamin</v>
          </cell>
          <cell r="AW284">
            <v>0.28333333333333344</v>
          </cell>
        </row>
        <row r="285">
          <cell r="A285" t="str">
            <v>ST230</v>
          </cell>
          <cell r="P285">
            <v>61</v>
          </cell>
          <cell r="Q285">
            <v>8.8207547169811278</v>
          </cell>
          <cell r="T285">
            <v>0.26180555555555557</v>
          </cell>
          <cell r="U285">
            <v>0.37569444444444444</v>
          </cell>
          <cell r="V285">
            <v>53</v>
          </cell>
          <cell r="AB285">
            <v>53</v>
          </cell>
          <cell r="AE285">
            <v>11.8</v>
          </cell>
          <cell r="AG285">
            <v>51.1</v>
          </cell>
          <cell r="AS285">
            <v>100.48414063181383</v>
          </cell>
          <cell r="AT285">
            <v>101.44223146333022</v>
          </cell>
          <cell r="AV285" t="str">
            <v>K. Benjamin</v>
          </cell>
          <cell r="AW285">
            <v>0.26805555555555555</v>
          </cell>
        </row>
        <row r="286">
          <cell r="A286" t="str">
            <v>ST231</v>
          </cell>
          <cell r="P286">
            <v>61</v>
          </cell>
          <cell r="Q286">
            <v>9.1807909604519775</v>
          </cell>
          <cell r="T286">
            <v>0.35</v>
          </cell>
          <cell r="U286">
            <v>0.46388888888888891</v>
          </cell>
          <cell r="V286">
            <v>57</v>
          </cell>
          <cell r="AB286">
            <v>53.1</v>
          </cell>
          <cell r="AE286">
            <v>11.9</v>
          </cell>
          <cell r="AG286">
            <v>50.5</v>
          </cell>
          <cell r="AS286">
            <v>99.939679018214306</v>
          </cell>
          <cell r="AT286">
            <v>100.89319745960161</v>
          </cell>
          <cell r="AV286" t="str">
            <v>K. Benjamin</v>
          </cell>
          <cell r="AW286">
            <v>0.25555555555555554</v>
          </cell>
        </row>
        <row r="287">
          <cell r="A287" t="str">
            <v>ST232</v>
          </cell>
          <cell r="P287">
            <v>61</v>
          </cell>
          <cell r="Q287">
            <v>9.1807909604519775</v>
          </cell>
          <cell r="T287">
            <v>0.44374999999999998</v>
          </cell>
          <cell r="U287">
            <v>0.55486111111111114</v>
          </cell>
          <cell r="V287">
            <v>55</v>
          </cell>
          <cell r="AB287">
            <v>53.1</v>
          </cell>
          <cell r="AE287">
            <v>11.9</v>
          </cell>
          <cell r="AG287">
            <v>50.9</v>
          </cell>
          <cell r="AS287">
            <v>101.49046337979428</v>
          </cell>
          <cell r="AT287">
            <v>102.4568827588205</v>
          </cell>
          <cell r="AV287" t="str">
            <v xml:space="preserve">R.Regis </v>
          </cell>
          <cell r="AW287">
            <v>0.24583333333333335</v>
          </cell>
        </row>
        <row r="288">
          <cell r="A288" t="str">
            <v>ST233</v>
          </cell>
          <cell r="P288">
            <v>61</v>
          </cell>
          <cell r="Q288">
            <v>9.9340866290018806</v>
          </cell>
          <cell r="T288">
            <v>0.54652777777777772</v>
          </cell>
          <cell r="U288">
            <v>0.66180555555555554</v>
          </cell>
          <cell r="V288">
            <v>58</v>
          </cell>
          <cell r="AB288">
            <v>53.1</v>
          </cell>
          <cell r="AE288">
            <v>11.8</v>
          </cell>
          <cell r="AG288">
            <v>50.3</v>
          </cell>
          <cell r="AS288">
            <v>99.658344935350172</v>
          </cell>
          <cell r="AT288">
            <v>100.6066918940605</v>
          </cell>
          <cell r="AV288" t="str">
            <v xml:space="preserve">R.Regis </v>
          </cell>
          <cell r="AW288">
            <v>0.25208333333333333</v>
          </cell>
        </row>
        <row r="289">
          <cell r="A289" t="str">
            <v>ST234</v>
          </cell>
          <cell r="P289">
            <v>62</v>
          </cell>
          <cell r="Q289">
            <v>10.12241054613936</v>
          </cell>
          <cell r="T289">
            <v>0.6479166666666667</v>
          </cell>
          <cell r="U289">
            <v>0.76111111111111107</v>
          </cell>
          <cell r="V289">
            <v>61</v>
          </cell>
          <cell r="AB289">
            <v>53.1</v>
          </cell>
          <cell r="AE289">
            <v>11.8</v>
          </cell>
          <cell r="AG289">
            <v>51</v>
          </cell>
          <cell r="AS289">
            <v>100.79139066827585</v>
          </cell>
          <cell r="AT289">
            <v>101.7511532896791</v>
          </cell>
          <cell r="AV289" t="str">
            <v xml:space="preserve">R.Regis </v>
          </cell>
          <cell r="AW289">
            <v>0.24722222222222223</v>
          </cell>
        </row>
        <row r="290">
          <cell r="A290" t="str">
            <v>ST235</v>
          </cell>
          <cell r="P290">
            <v>61</v>
          </cell>
          <cell r="Q290">
            <v>8.6158192090395538</v>
          </cell>
          <cell r="T290">
            <v>1.1076388888888888</v>
          </cell>
          <cell r="U290">
            <v>1.2159722222222222</v>
          </cell>
          <cell r="V290">
            <v>61</v>
          </cell>
          <cell r="AB290">
            <v>53.1</v>
          </cell>
          <cell r="AE290">
            <v>12</v>
          </cell>
          <cell r="AG290">
            <v>48.28</v>
          </cell>
          <cell r="AS290">
            <v>98.227410767009204</v>
          </cell>
          <cell r="AT290">
            <v>99.159955074285634</v>
          </cell>
          <cell r="AV290" t="str">
            <v>R.Sookram</v>
          </cell>
          <cell r="AW290">
            <v>0.24722222222222223</v>
          </cell>
        </row>
        <row r="291">
          <cell r="A291" t="str">
            <v>ST236</v>
          </cell>
          <cell r="P291">
            <v>60</v>
          </cell>
          <cell r="Q291">
            <v>13.888888888888889</v>
          </cell>
          <cell r="T291">
            <v>0.2076388888888889</v>
          </cell>
          <cell r="U291">
            <v>0.32847222222222222</v>
          </cell>
          <cell r="V291">
            <v>58</v>
          </cell>
          <cell r="AB291">
            <v>53.1</v>
          </cell>
          <cell r="AE291">
            <v>12</v>
          </cell>
          <cell r="AG291">
            <v>49.1</v>
          </cell>
          <cell r="AS291">
            <v>100.04439034243482</v>
          </cell>
          <cell r="AT291">
            <v>100.71647489855447</v>
          </cell>
          <cell r="AV291" t="str">
            <v>R.Sookram</v>
          </cell>
          <cell r="AW291">
            <v>0.26597222222222222</v>
          </cell>
        </row>
        <row r="292">
          <cell r="A292" t="str">
            <v>ST237</v>
          </cell>
          <cell r="P292">
            <v>60</v>
          </cell>
          <cell r="Q292">
            <v>11.629001883239166</v>
          </cell>
          <cell r="T292">
            <v>0.31458333333333333</v>
          </cell>
          <cell r="U292">
            <v>0.42430555555555555</v>
          </cell>
          <cell r="V292">
            <v>61</v>
          </cell>
          <cell r="AB292">
            <v>53.1</v>
          </cell>
          <cell r="AE292">
            <v>11.8</v>
          </cell>
          <cell r="AG292">
            <v>49.2</v>
          </cell>
          <cell r="AS292">
            <v>98.617249485112069</v>
          </cell>
          <cell r="AT292">
            <v>99.279523250025221</v>
          </cell>
          <cell r="AV292" t="str">
            <v>R.Sookram</v>
          </cell>
          <cell r="AW292">
            <v>0.25763888888888886</v>
          </cell>
        </row>
        <row r="293">
          <cell r="A293" t="str">
            <v>ST238</v>
          </cell>
          <cell r="P293">
            <v>61</v>
          </cell>
          <cell r="Q293">
            <v>11.817325800376645</v>
          </cell>
          <cell r="T293">
            <v>0.41180555555555554</v>
          </cell>
          <cell r="U293">
            <v>0.52500000000000002</v>
          </cell>
          <cell r="V293">
            <v>60</v>
          </cell>
          <cell r="AB293">
            <v>53.1</v>
          </cell>
          <cell r="AE293">
            <v>11.9</v>
          </cell>
          <cell r="AG293">
            <v>49.1</v>
          </cell>
          <cell r="AS293">
            <v>99.168205395168258</v>
          </cell>
          <cell r="AT293">
            <v>99.834403860430172</v>
          </cell>
          <cell r="AV293" t="str">
            <v>R.Sookram</v>
          </cell>
          <cell r="AW293">
            <v>0.25416666666666671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Summary December '25"/>
      <sheetName val="Guinnbottling"/>
    </sheetNames>
    <sheetDataSet>
      <sheetData sheetId="0" refreshError="1"/>
      <sheetData sheetId="1">
        <row r="16">
          <cell r="A16" t="str">
            <v>GU001</v>
          </cell>
          <cell r="AU16">
            <v>96.003306141833193</v>
          </cell>
        </row>
        <row r="17">
          <cell r="AU17">
            <v>97.325117100528743</v>
          </cell>
        </row>
        <row r="18">
          <cell r="AU18">
            <v>99.121575646105413</v>
          </cell>
        </row>
        <row r="19">
          <cell r="AU19">
            <v>98.312989092995309</v>
          </cell>
        </row>
        <row r="20">
          <cell r="AU20">
            <v>97.776942468215154</v>
          </cell>
        </row>
        <row r="21">
          <cell r="AU21">
            <v>100.27176158202545</v>
          </cell>
        </row>
        <row r="22">
          <cell r="AU22">
            <v>99.294375681877099</v>
          </cell>
        </row>
        <row r="23">
          <cell r="AU23">
            <v>94.0155703648322</v>
          </cell>
        </row>
        <row r="25">
          <cell r="AU25">
            <v>103.50405139576692</v>
          </cell>
        </row>
        <row r="26">
          <cell r="AU26">
            <v>95.716844988758396</v>
          </cell>
        </row>
        <row r="27">
          <cell r="AU27">
            <v>95.930260280243118</v>
          </cell>
        </row>
        <row r="28">
          <cell r="AU28">
            <v>91.893952811328091</v>
          </cell>
        </row>
        <row r="29">
          <cell r="AU29">
            <v>113.58212162131902</v>
          </cell>
        </row>
        <row r="30">
          <cell r="AU30">
            <v>90.487433811004081</v>
          </cell>
        </row>
        <row r="31">
          <cell r="AU31">
            <v>102.62581305950147</v>
          </cell>
        </row>
        <row r="32">
          <cell r="AU32">
            <v>97.191888885824653</v>
          </cell>
        </row>
        <row r="34">
          <cell r="AU34">
            <v>90.907169651305182</v>
          </cell>
        </row>
        <row r="35">
          <cell r="AU35">
            <v>91.553613748299583</v>
          </cell>
        </row>
        <row r="36">
          <cell r="AU36">
            <v>95.905976258581575</v>
          </cell>
        </row>
        <row r="37">
          <cell r="AU37">
            <v>96.879053203911113</v>
          </cell>
        </row>
        <row r="38">
          <cell r="AU38">
            <v>95.469150075246716</v>
          </cell>
        </row>
        <row r="39">
          <cell r="AU39">
            <v>94.854987439727708</v>
          </cell>
        </row>
        <row r="40">
          <cell r="AU40">
            <v>96.379391191673903</v>
          </cell>
        </row>
        <row r="41">
          <cell r="AU41">
            <v>96.151545309064119</v>
          </cell>
        </row>
        <row r="43">
          <cell r="AU43">
            <v>91.8653198132276</v>
          </cell>
        </row>
        <row r="44">
          <cell r="AU44">
            <v>96.795098985422072</v>
          </cell>
        </row>
        <row r="45">
          <cell r="AU45">
            <v>98.720710514490094</v>
          </cell>
        </row>
        <row r="46">
          <cell r="AU46">
            <v>95.915862303234761</v>
          </cell>
        </row>
        <row r="47">
          <cell r="AU47">
            <v>95.695713342598523</v>
          </cell>
        </row>
        <row r="48">
          <cell r="AU48">
            <v>96.347140813579983</v>
          </cell>
        </row>
        <row r="49">
          <cell r="AU49">
            <v>96.451268893467329</v>
          </cell>
        </row>
        <row r="50">
          <cell r="AU50">
            <v>97.996131903201018</v>
          </cell>
        </row>
        <row r="51">
          <cell r="AU51">
            <v>96.505256206141482</v>
          </cell>
        </row>
        <row r="52">
          <cell r="AU52">
            <v>94.58580500070201</v>
          </cell>
        </row>
        <row r="53">
          <cell r="AU53">
            <v>98.906990347725127</v>
          </cell>
        </row>
        <row r="54">
          <cell r="AU54">
            <v>94.944884823994201</v>
          </cell>
        </row>
        <row r="55">
          <cell r="AU55">
            <v>95.472821437606697</v>
          </cell>
        </row>
        <row r="56">
          <cell r="AU56">
            <v>95.226977398578171</v>
          </cell>
        </row>
        <row r="57">
          <cell r="AU57">
            <v>94.66429901148345</v>
          </cell>
        </row>
        <row r="58">
          <cell r="AU58">
            <v>100.57784401994616</v>
          </cell>
        </row>
        <row r="59">
          <cell r="AU59">
            <v>98.401209978530773</v>
          </cell>
        </row>
        <row r="60">
          <cell r="AU60">
            <v>99.190946222442903</v>
          </cell>
        </row>
        <row r="62">
          <cell r="A62" t="str">
            <v>GU043</v>
          </cell>
          <cell r="O62">
            <v>55</v>
          </cell>
          <cell r="R62">
            <v>14.224598930481278</v>
          </cell>
          <cell r="T62">
            <v>0.84513888888888888</v>
          </cell>
          <cell r="U62">
            <v>0.96527777777777779</v>
          </cell>
          <cell r="V62">
            <v>57</v>
          </cell>
          <cell r="Z62">
            <v>0.27777777777777779</v>
          </cell>
          <cell r="AF62">
            <v>49.9</v>
          </cell>
          <cell r="AG62">
            <v>17.399999999999999</v>
          </cell>
          <cell r="AI62">
            <v>49</v>
          </cell>
          <cell r="AU62">
            <v>93.161813188441059</v>
          </cell>
          <cell r="AV62">
            <v>93.861712256503935</v>
          </cell>
          <cell r="AW62" t="str">
            <v>R. Sookram</v>
          </cell>
        </row>
        <row r="63">
          <cell r="A63" t="str">
            <v>GU044</v>
          </cell>
          <cell r="O63">
            <v>58</v>
          </cell>
          <cell r="R63">
            <v>12.285714285714278</v>
          </cell>
          <cell r="T63">
            <v>0.97083333333333333</v>
          </cell>
          <cell r="U63">
            <v>1.0895833333333333</v>
          </cell>
          <cell r="V63">
            <v>59</v>
          </cell>
          <cell r="Z63">
            <v>0.27708333333333335</v>
          </cell>
          <cell r="AF63">
            <v>50.5</v>
          </cell>
          <cell r="AG63">
            <v>17.399999999999999</v>
          </cell>
          <cell r="AI63">
            <v>49.4</v>
          </cell>
          <cell r="AU63">
            <v>94.223463593248454</v>
          </cell>
          <cell r="AV63">
            <v>94.930841314505514</v>
          </cell>
          <cell r="AW63" t="str">
            <v>R. Sookram</v>
          </cell>
        </row>
        <row r="64">
          <cell r="A64" t="str">
            <v>GU045</v>
          </cell>
          <cell r="O64">
            <v>61</v>
          </cell>
          <cell r="R64">
            <v>12.821428571428569</v>
          </cell>
          <cell r="T64">
            <v>1.0951388888888889</v>
          </cell>
          <cell r="U64">
            <v>1.2118055555555556</v>
          </cell>
          <cell r="V64">
            <v>55</v>
          </cell>
          <cell r="Z64">
            <v>0.27430555555555558</v>
          </cell>
          <cell r="AF64">
            <v>51.9</v>
          </cell>
          <cell r="AG64">
            <v>17.399999999999999</v>
          </cell>
          <cell r="AI64">
            <v>50.7</v>
          </cell>
          <cell r="AU64">
            <v>96.163448111596551</v>
          </cell>
          <cell r="AV64">
            <v>96.886276120552466</v>
          </cell>
          <cell r="AW64" t="str">
            <v>R. Sookram</v>
          </cell>
        </row>
        <row r="65">
          <cell r="A65" t="str">
            <v>GU046</v>
          </cell>
          <cell r="O65">
            <v>60</v>
          </cell>
          <cell r="R65">
            <v>12.464285714285708</v>
          </cell>
          <cell r="T65">
            <v>0.21944444444444444</v>
          </cell>
          <cell r="U65">
            <v>0.33680555555555558</v>
          </cell>
          <cell r="V65">
            <v>60</v>
          </cell>
          <cell r="Z65">
            <v>0.27430555555555558</v>
          </cell>
          <cell r="AF65">
            <v>51.3</v>
          </cell>
          <cell r="AG65">
            <v>17.2</v>
          </cell>
          <cell r="AI65">
            <v>50.3</v>
          </cell>
          <cell r="AU65">
            <v>94.716056167153823</v>
          </cell>
          <cell r="AV65">
            <v>95.389393314073445</v>
          </cell>
          <cell r="AW65" t="str">
            <v>K. Benjamin</v>
          </cell>
        </row>
        <row r="66">
          <cell r="A66" t="str">
            <v>GU047</v>
          </cell>
          <cell r="O66">
            <v>58</v>
          </cell>
          <cell r="R66">
            <v>11.749999999999996</v>
          </cell>
          <cell r="T66">
            <v>0.35</v>
          </cell>
          <cell r="U66">
            <v>0.46111111111111114</v>
          </cell>
          <cell r="V66">
            <v>58</v>
          </cell>
          <cell r="Z66">
            <v>0.27361111111111114</v>
          </cell>
          <cell r="AF66">
            <v>51.4</v>
          </cell>
          <cell r="AG66">
            <v>17.5</v>
          </cell>
          <cell r="AI66">
            <v>49.3</v>
          </cell>
          <cell r="AU66">
            <v>94.701980871315456</v>
          </cell>
          <cell r="AV66">
            <v>95.374980623159175</v>
          </cell>
          <cell r="AW66" t="str">
            <v>K. Benjamin</v>
          </cell>
        </row>
        <row r="67">
          <cell r="A67" t="str">
            <v>GU048</v>
          </cell>
          <cell r="O67">
            <v>59</v>
          </cell>
          <cell r="R67">
            <v>15.650623885918005</v>
          </cell>
          <cell r="T67">
            <v>0.47291666666666665</v>
          </cell>
          <cell r="U67">
            <v>0.61458333333333337</v>
          </cell>
          <cell r="V67">
            <v>61</v>
          </cell>
          <cell r="Z67">
            <v>0.30208333333333337</v>
          </cell>
          <cell r="AF67">
            <v>52.9</v>
          </cell>
          <cell r="AG67">
            <v>17.3</v>
          </cell>
          <cell r="AI67">
            <v>50.1</v>
          </cell>
          <cell r="AU67">
            <v>95.107716330527765</v>
          </cell>
          <cell r="AV67">
            <v>95.783599441946976</v>
          </cell>
          <cell r="AW67" t="str">
            <v>R. Regis</v>
          </cell>
        </row>
        <row r="68">
          <cell r="A68" t="str">
            <v>GU049</v>
          </cell>
          <cell r="O68">
            <v>58</v>
          </cell>
          <cell r="R68">
            <v>9.9465240641711201</v>
          </cell>
          <cell r="T68">
            <v>0.62152777777777779</v>
          </cell>
          <cell r="U68">
            <v>0.73819444444444449</v>
          </cell>
          <cell r="V68">
            <v>64</v>
          </cell>
          <cell r="Z68">
            <v>0.29375000000000007</v>
          </cell>
          <cell r="AF68">
            <v>54</v>
          </cell>
          <cell r="AG68">
            <v>17.2</v>
          </cell>
          <cell r="AI68">
            <v>52.8</v>
          </cell>
          <cell r="AU68">
            <v>99.423613630730074</v>
          </cell>
          <cell r="AV68">
            <v>100.13041683862977</v>
          </cell>
          <cell r="AW68" t="str">
            <v>R. Regis</v>
          </cell>
        </row>
        <row r="69">
          <cell r="A69" t="str">
            <v>GU050</v>
          </cell>
          <cell r="O69">
            <v>56</v>
          </cell>
          <cell r="R69">
            <v>11.729055258467019</v>
          </cell>
          <cell r="T69">
            <v>0.7368055555555556</v>
          </cell>
          <cell r="U69">
            <v>0.85138888888888886</v>
          </cell>
          <cell r="V69">
            <v>63</v>
          </cell>
          <cell r="Z69">
            <v>0.26805555555555549</v>
          </cell>
          <cell r="AF69">
            <v>53.2</v>
          </cell>
          <cell r="AG69">
            <v>17.3</v>
          </cell>
          <cell r="AI69">
            <v>52.5</v>
          </cell>
          <cell r="AU69">
            <v>99.424512800846912</v>
          </cell>
          <cell r="AV69">
            <v>100.1314466867703</v>
          </cell>
          <cell r="AW69" t="str">
            <v>R. Regis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taMalt - Operator Performance"/>
      <sheetName val="BrewMaterials"/>
      <sheetName val="Brewhouse"/>
      <sheetName val="Process"/>
      <sheetName val="Summary June '26"/>
      <sheetName val="Summary May '26"/>
      <sheetName val="Summary April '26"/>
      <sheetName val="Summary March '26"/>
      <sheetName val="Summary February '26"/>
      <sheetName val="Packaging"/>
      <sheetName val="Summary January '26 "/>
      <sheetName val="Summary December '25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  <sheetName val="Summary January '25 "/>
    </sheetNames>
    <sheetDataSet>
      <sheetData sheetId="0"/>
      <sheetData sheetId="1"/>
      <sheetData sheetId="2">
        <row r="23">
          <cell r="A23" t="str">
            <v>VM001</v>
          </cell>
          <cell r="AV23">
            <v>97.339468430709204</v>
          </cell>
        </row>
        <row r="24">
          <cell r="AV24">
            <v>103.731151868401</v>
          </cell>
        </row>
        <row r="25">
          <cell r="AV25">
            <v>94.959846867032411</v>
          </cell>
        </row>
        <row r="26">
          <cell r="AV26">
            <v>97.339468430709204</v>
          </cell>
        </row>
        <row r="27">
          <cell r="AV27">
            <v>97.058295684709279</v>
          </cell>
        </row>
        <row r="28">
          <cell r="AV28">
            <v>97.867114815415192</v>
          </cell>
        </row>
        <row r="29">
          <cell r="AV29">
            <v>98.093597805251179</v>
          </cell>
        </row>
        <row r="30">
          <cell r="AV30">
            <v>102.88783663744221</v>
          </cell>
        </row>
        <row r="31">
          <cell r="AV31">
            <v>96.899121806418265</v>
          </cell>
        </row>
        <row r="32">
          <cell r="AV32">
            <v>98.250925468415389</v>
          </cell>
        </row>
        <row r="33">
          <cell r="AV33">
            <v>96.894670333550806</v>
          </cell>
        </row>
        <row r="34">
          <cell r="AV34">
            <v>98.444969429182507</v>
          </cell>
        </row>
        <row r="36">
          <cell r="AV36">
            <v>96.535163112888242</v>
          </cell>
        </row>
        <row r="38">
          <cell r="AV38">
            <v>96.780047980030858</v>
          </cell>
        </row>
        <row r="39">
          <cell r="AV39">
            <v>97.023341517405328</v>
          </cell>
        </row>
        <row r="40">
          <cell r="AV40">
            <v>96.378271472837781</v>
          </cell>
        </row>
        <row r="41">
          <cell r="AV41">
            <v>96.736022639137431</v>
          </cell>
        </row>
        <row r="42">
          <cell r="AV42">
            <v>97.949689692825132</v>
          </cell>
        </row>
        <row r="43">
          <cell r="AV43">
            <v>95.818529932594828</v>
          </cell>
        </row>
        <row r="44">
          <cell r="AV44">
            <v>97.823512224151031</v>
          </cell>
        </row>
        <row r="45">
          <cell r="AV45">
            <v>95.481796103254354</v>
          </cell>
        </row>
        <row r="46">
          <cell r="AV46">
            <v>98.065568882791581</v>
          </cell>
        </row>
        <row r="47">
          <cell r="AV47">
            <v>97.055454228278464</v>
          </cell>
        </row>
        <row r="48">
          <cell r="AV48">
            <v>99.652179089121645</v>
          </cell>
        </row>
        <row r="49">
          <cell r="AV49">
            <v>99.135667211498472</v>
          </cell>
        </row>
        <row r="50">
          <cell r="AV50">
            <v>99.232905943935492</v>
          </cell>
        </row>
        <row r="51">
          <cell r="AV51">
            <v>98.11852940599799</v>
          </cell>
        </row>
        <row r="52">
          <cell r="AV52">
            <v>92.3621562467644</v>
          </cell>
        </row>
        <row r="54">
          <cell r="AV54">
            <v>97.205782019322555</v>
          </cell>
        </row>
        <row r="55">
          <cell r="AV55">
            <v>100.49327592303123</v>
          </cell>
        </row>
        <row r="56">
          <cell r="AV56">
            <v>95.451783031665798</v>
          </cell>
        </row>
        <row r="57">
          <cell r="AV57">
            <v>97.260343131213148</v>
          </cell>
        </row>
        <row r="58">
          <cell r="AV58">
            <v>96.759736809930104</v>
          </cell>
        </row>
        <row r="59">
          <cell r="AV59">
            <v>97.064501819306201</v>
          </cell>
        </row>
        <row r="60">
          <cell r="AV60">
            <v>92.16222714184731</v>
          </cell>
        </row>
        <row r="62">
          <cell r="AV62">
            <v>94.315096961978696</v>
          </cell>
        </row>
        <row r="63">
          <cell r="AV63">
            <v>103.32629416839619</v>
          </cell>
        </row>
        <row r="64">
          <cell r="AV64">
            <v>94.325329127415785</v>
          </cell>
        </row>
        <row r="65">
          <cell r="AV65">
            <v>99.559385897285338</v>
          </cell>
        </row>
        <row r="66">
          <cell r="AV66">
            <v>98.574517909783509</v>
          </cell>
        </row>
        <row r="67">
          <cell r="AV67">
            <v>98.349199351665135</v>
          </cell>
        </row>
        <row r="68">
          <cell r="AV68">
            <v>99.563420889013372</v>
          </cell>
        </row>
        <row r="69">
          <cell r="AV69">
            <v>94.282423715374435</v>
          </cell>
        </row>
        <row r="71">
          <cell r="A71" t="str">
            <v>VM044</v>
          </cell>
          <cell r="R71">
            <v>59</v>
          </cell>
          <cell r="S71">
            <v>17.285429141716573</v>
          </cell>
          <cell r="V71">
            <v>0.65208333333333335</v>
          </cell>
          <cell r="W71">
            <v>0.79861111111111116</v>
          </cell>
          <cell r="X71">
            <v>84</v>
          </cell>
          <cell r="AB71">
            <v>0.29861111111111116</v>
          </cell>
          <cell r="AE71">
            <v>50.1</v>
          </cell>
          <cell r="AH71">
            <v>14.8</v>
          </cell>
          <cell r="AJ71">
            <v>46.53</v>
          </cell>
          <cell r="AV71">
            <v>97.883898930705087</v>
          </cell>
          <cell r="AW71">
            <v>98.118505437443972</v>
          </cell>
          <cell r="AZ71" t="str">
            <v>D.Gomaz</v>
          </cell>
        </row>
        <row r="72">
          <cell r="A72" t="str">
            <v>VM045</v>
          </cell>
          <cell r="R72">
            <v>60</v>
          </cell>
          <cell r="S72">
            <v>19.880239520958085</v>
          </cell>
          <cell r="V72">
            <v>0.78125</v>
          </cell>
          <cell r="W72">
            <v>0.92847222222222225</v>
          </cell>
          <cell r="X72">
            <v>82</v>
          </cell>
          <cell r="AB72">
            <v>0.30347222222222225</v>
          </cell>
          <cell r="AE72">
            <v>50.1</v>
          </cell>
          <cell r="AH72">
            <v>14.5</v>
          </cell>
          <cell r="AJ72">
            <v>46.2</v>
          </cell>
          <cell r="AV72">
            <v>95.141628345733025</v>
          </cell>
          <cell r="AW72">
            <v>95.369662223781177</v>
          </cell>
          <cell r="AZ72" t="str">
            <v>D.Gomaz</v>
          </cell>
        </row>
        <row r="73">
          <cell r="A73" t="str">
            <v>VM046</v>
          </cell>
          <cell r="R73">
            <v>60</v>
          </cell>
          <cell r="S73">
            <v>11.297405189620765</v>
          </cell>
          <cell r="V73">
            <v>0.89861111111111114</v>
          </cell>
          <cell r="W73">
            <v>1.0340277777777778</v>
          </cell>
          <cell r="X73">
            <v>83</v>
          </cell>
          <cell r="AB73">
            <v>0.29097222222222219</v>
          </cell>
          <cell r="AE73">
            <v>50.1</v>
          </cell>
          <cell r="AH73">
            <v>14.5</v>
          </cell>
          <cell r="AJ73">
            <v>46.2</v>
          </cell>
          <cell r="AV73">
            <v>95.141628345733025</v>
          </cell>
          <cell r="AW73">
            <v>95.369662223781177</v>
          </cell>
          <cell r="AZ73" t="str">
            <v>D.Gomaz</v>
          </cell>
        </row>
        <row r="74">
          <cell r="A74" t="str">
            <v>VM047</v>
          </cell>
          <cell r="R74">
            <v>60</v>
          </cell>
          <cell r="S74">
            <v>12.495009980039915</v>
          </cell>
          <cell r="V74">
            <v>1.0097222222222222</v>
          </cell>
          <cell r="W74">
            <v>1.1472222222222221</v>
          </cell>
          <cell r="X74">
            <v>84</v>
          </cell>
          <cell r="AB74">
            <v>0.28611111111111098</v>
          </cell>
          <cell r="AE74">
            <v>50.1</v>
          </cell>
          <cell r="AH74">
            <v>14.6</v>
          </cell>
          <cell r="AJ74">
            <v>46.6</v>
          </cell>
          <cell r="AV74">
            <v>96.552234033434374</v>
          </cell>
          <cell r="AW74">
            <v>96.784617911276385</v>
          </cell>
          <cell r="AZ74" t="str">
            <v>R. Regis</v>
          </cell>
        </row>
        <row r="75">
          <cell r="A75" t="str">
            <v>VM048</v>
          </cell>
          <cell r="R75">
            <v>60</v>
          </cell>
          <cell r="S75">
            <v>14.690618762475063</v>
          </cell>
          <cell r="V75">
            <v>1.1048611111111111</v>
          </cell>
          <cell r="W75">
            <v>1.2486111111111111</v>
          </cell>
          <cell r="X75">
            <v>87</v>
          </cell>
          <cell r="AB75">
            <v>0.29027777777777775</v>
          </cell>
          <cell r="AE75">
            <v>50.1</v>
          </cell>
          <cell r="AH75">
            <v>14.7</v>
          </cell>
          <cell r="AJ75">
            <v>48.7</v>
          </cell>
          <cell r="AV75">
            <v>101.51532621901858</v>
          </cell>
          <cell r="AW75">
            <v>101.76067214318437</v>
          </cell>
          <cell r="AZ75" t="str">
            <v>R. Regis</v>
          </cell>
        </row>
        <row r="76">
          <cell r="A76" t="str">
            <v>VM049</v>
          </cell>
          <cell r="R76">
            <v>61</v>
          </cell>
          <cell r="S76">
            <v>11.097804391217556</v>
          </cell>
          <cell r="V76">
            <v>0.2326388888888889</v>
          </cell>
          <cell r="W76">
            <v>0.375</v>
          </cell>
          <cell r="X76">
            <v>87</v>
          </cell>
          <cell r="AB76">
            <v>0.31944444444444442</v>
          </cell>
          <cell r="AE76">
            <v>50.1</v>
          </cell>
          <cell r="AH76">
            <v>14.4</v>
          </cell>
          <cell r="AJ76">
            <v>48.4</v>
          </cell>
          <cell r="AV76">
            <v>99.061358902734597</v>
          </cell>
          <cell r="AW76">
            <v>99.297791181396178</v>
          </cell>
          <cell r="AZ76" t="str">
            <v>R. Regis</v>
          </cell>
        </row>
        <row r="77">
          <cell r="A77" t="str">
            <v>VM050</v>
          </cell>
          <cell r="R77">
            <v>115</v>
          </cell>
          <cell r="S77">
            <v>8.1037924151696519</v>
          </cell>
          <cell r="V77">
            <v>0.3263888888888889</v>
          </cell>
          <cell r="W77">
            <v>0.52013888888888893</v>
          </cell>
          <cell r="X77">
            <v>85</v>
          </cell>
          <cell r="AB77">
            <v>0.3534722222222223</v>
          </cell>
          <cell r="AE77">
            <v>50.1</v>
          </cell>
          <cell r="AH77">
            <v>14.4</v>
          </cell>
          <cell r="AJ77">
            <v>48</v>
          </cell>
          <cell r="AV77">
            <v>98.035869286989112</v>
          </cell>
          <cell r="AW77">
            <v>98.271824008291929</v>
          </cell>
          <cell r="AZ77" t="str">
            <v>R. Regis</v>
          </cell>
        </row>
        <row r="78">
          <cell r="A78" t="str">
            <v>VM051</v>
          </cell>
          <cell r="R78">
            <v>60</v>
          </cell>
          <cell r="S78">
            <v>9.9199999999999875</v>
          </cell>
          <cell r="V78">
            <v>0.47916666666666669</v>
          </cell>
          <cell r="W78">
            <v>0.61388888888888893</v>
          </cell>
          <cell r="X78">
            <v>84</v>
          </cell>
          <cell r="AB78">
            <v>0.34305555555555561</v>
          </cell>
          <cell r="AE78">
            <v>50</v>
          </cell>
          <cell r="AH78">
            <v>14.8</v>
          </cell>
          <cell r="AJ78">
            <v>47.7</v>
          </cell>
          <cell r="AV78">
            <v>100.45103223776147</v>
          </cell>
          <cell r="AW78">
            <v>100.69078128531088</v>
          </cell>
          <cell r="AZ78" t="str">
            <v>R. Regis</v>
          </cell>
        </row>
      </sheetData>
      <sheetData sheetId="3">
        <row r="23">
          <cell r="C23" t="str">
            <v>SV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Summary May '26 "/>
      <sheetName val="Packaging"/>
      <sheetName val="Summary January'26"/>
      <sheetName val="Summary October'25"/>
      <sheetName val="Summary September'25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MK001</v>
          </cell>
          <cell r="AT4">
            <v>95.757584041187528</v>
          </cell>
        </row>
        <row r="5">
          <cell r="AT5">
            <v>95.858102632741591</v>
          </cell>
        </row>
        <row r="6">
          <cell r="AT6">
            <v>91.101781537342561</v>
          </cell>
        </row>
        <row r="7">
          <cell r="AT7">
            <v>96.220044255599106</v>
          </cell>
        </row>
        <row r="8">
          <cell r="AT8">
            <v>91.159176033097395</v>
          </cell>
        </row>
        <row r="9">
          <cell r="AT9">
            <v>86.497061610388243</v>
          </cell>
        </row>
        <row r="10">
          <cell r="AT10">
            <v>90.533857449292626</v>
          </cell>
        </row>
        <row r="11">
          <cell r="AT11">
            <v>95.482188504770065</v>
          </cell>
        </row>
        <row r="13">
          <cell r="AT13">
            <v>90.128375863432225</v>
          </cell>
        </row>
        <row r="14">
          <cell r="AT14">
            <v>88.195975747735361</v>
          </cell>
        </row>
        <row r="15">
          <cell r="AT15">
            <v>88.458193469652173</v>
          </cell>
        </row>
        <row r="16">
          <cell r="AT16">
            <v>89.068163344426111</v>
          </cell>
        </row>
      </sheetData>
      <sheetData sheetId="8">
        <row r="4">
          <cell r="A4" t="str">
            <v>MK001</v>
          </cell>
        </row>
      </sheetData>
      <sheetData sheetId="9"/>
      <sheetData sheetId="10"/>
      <sheetData sheetId="11">
        <row r="22">
          <cell r="E22">
            <v>5765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Summary June ' 26"/>
      <sheetName val="Summary May ' 26"/>
      <sheetName val="Summary April ' 26"/>
      <sheetName val="Summary March ' 26"/>
      <sheetName val="Summary February ' 26"/>
      <sheetName val="Summary January ' 26"/>
      <sheetName val="Summary December ' 25"/>
      <sheetName val="Packaging"/>
    </sheetNames>
    <sheetDataSet>
      <sheetData sheetId="0"/>
      <sheetData sheetId="1"/>
      <sheetData sheetId="2"/>
      <sheetData sheetId="3">
        <row r="5">
          <cell r="AY5">
            <v>97.569471586586559</v>
          </cell>
        </row>
        <row r="6">
          <cell r="AY6">
            <v>98.85391885240027</v>
          </cell>
        </row>
        <row r="7">
          <cell r="AY7">
            <v>97.962509317492206</v>
          </cell>
        </row>
        <row r="8">
          <cell r="AY8">
            <v>98.851728693915732</v>
          </cell>
        </row>
        <row r="9">
          <cell r="AY9">
            <v>96.643783230525969</v>
          </cell>
        </row>
        <row r="10">
          <cell r="AY10">
            <v>94.324644249999125</v>
          </cell>
        </row>
        <row r="11">
          <cell r="AY11">
            <v>92.117541140378776</v>
          </cell>
        </row>
        <row r="12">
          <cell r="AY12">
            <v>97.208951553511497</v>
          </cell>
        </row>
        <row r="13">
          <cell r="AY13">
            <v>98.512076526938472</v>
          </cell>
        </row>
        <row r="14">
          <cell r="AY14">
            <v>95.253677266359389</v>
          </cell>
        </row>
        <row r="16">
          <cell r="AY16">
            <v>93.855429141534003</v>
          </cell>
        </row>
        <row r="17">
          <cell r="AY17">
            <v>105.14531945603353</v>
          </cell>
        </row>
        <row r="18">
          <cell r="AY18">
            <v>93.755977480319771</v>
          </cell>
        </row>
        <row r="19">
          <cell r="AY19">
            <v>98.497810820823545</v>
          </cell>
        </row>
        <row r="20">
          <cell r="AY20">
            <v>97.678395385249857</v>
          </cell>
        </row>
        <row r="21">
          <cell r="AY21">
            <v>97.894369029995005</v>
          </cell>
        </row>
        <row r="22">
          <cell r="AY22">
            <v>96.582095881806836</v>
          </cell>
        </row>
        <row r="23">
          <cell r="AY23">
            <v>100.57737346889346</v>
          </cell>
        </row>
        <row r="42">
          <cell r="AY42">
            <v>99.134494554521325</v>
          </cell>
        </row>
        <row r="44">
          <cell r="AY44">
            <v>95.995406818829039</v>
          </cell>
        </row>
        <row r="45">
          <cell r="AY45">
            <v>95.617602987606631</v>
          </cell>
        </row>
        <row r="46">
          <cell r="AY46">
            <v>99.335814172293396</v>
          </cell>
        </row>
        <row r="47">
          <cell r="AY47">
            <v>98.909684358674781</v>
          </cell>
        </row>
        <row r="48">
          <cell r="AY48">
            <v>97.845022110433561</v>
          </cell>
        </row>
        <row r="49">
          <cell r="AY49">
            <v>98.722709530019429</v>
          </cell>
        </row>
        <row r="50">
          <cell r="AY50">
            <v>97.591251769129457</v>
          </cell>
        </row>
        <row r="51">
          <cell r="AY51">
            <v>89.186993268597121</v>
          </cell>
        </row>
        <row r="53">
          <cell r="AY53">
            <v>92.54924279225061</v>
          </cell>
        </row>
        <row r="54">
          <cell r="AY54">
            <v>97.936724701155001</v>
          </cell>
        </row>
        <row r="55">
          <cell r="AY55">
            <v>96.903024614311789</v>
          </cell>
        </row>
        <row r="56">
          <cell r="AY56">
            <v>99.751161565178876</v>
          </cell>
        </row>
        <row r="57">
          <cell r="AY57">
            <v>96.946934866926995</v>
          </cell>
        </row>
        <row r="58">
          <cell r="AY58">
            <v>101.1402395567615</v>
          </cell>
        </row>
        <row r="59">
          <cell r="AY59">
            <v>94.521368448030842</v>
          </cell>
        </row>
        <row r="60">
          <cell r="AY60">
            <v>96.447094164922959</v>
          </cell>
        </row>
        <row r="61">
          <cell r="AY61">
            <v>95.483117660591859</v>
          </cell>
        </row>
        <row r="62">
          <cell r="AY62">
            <v>101.54786093894572</v>
          </cell>
        </row>
        <row r="63">
          <cell r="AY63">
            <v>99.781002552645404</v>
          </cell>
        </row>
        <row r="64">
          <cell r="AY64">
            <v>100.38282881101692</v>
          </cell>
        </row>
        <row r="66">
          <cell r="A66" t="str">
            <v>SM057</v>
          </cell>
          <cell r="T66">
            <v>61</v>
          </cell>
          <cell r="U66">
            <v>14.839924670433149</v>
          </cell>
          <cell r="X66">
            <v>0.28125</v>
          </cell>
          <cell r="Y66">
            <v>0.40972222222222221</v>
          </cell>
          <cell r="Z66">
            <v>83</v>
          </cell>
          <cell r="AD66">
            <v>0.33680555555555552</v>
          </cell>
          <cell r="AH66">
            <v>53.1</v>
          </cell>
          <cell r="AK66">
            <v>17.899999999999999</v>
          </cell>
          <cell r="AM66">
            <v>48.5</v>
          </cell>
          <cell r="AY66">
            <v>96.052076380873814</v>
          </cell>
          <cell r="AZ66">
            <v>96.436285164364548</v>
          </cell>
          <cell r="BC66" t="str">
            <v>R. Regis</v>
          </cell>
        </row>
        <row r="67">
          <cell r="A67" t="str">
            <v>SM058</v>
          </cell>
          <cell r="T67">
            <v>61</v>
          </cell>
          <cell r="U67">
            <v>14.463276836158204</v>
          </cell>
          <cell r="X67">
            <v>0.40486111111111112</v>
          </cell>
          <cell r="Y67">
            <v>0.55902777777777779</v>
          </cell>
          <cell r="Z67">
            <v>91</v>
          </cell>
          <cell r="AD67">
            <v>0.36111111111111116</v>
          </cell>
          <cell r="AH67">
            <v>53.1</v>
          </cell>
          <cell r="AK67">
            <v>16.899999999999999</v>
          </cell>
          <cell r="AM67">
            <v>52</v>
          </cell>
          <cell r="AY67">
            <v>96.965481413861383</v>
          </cell>
          <cell r="AZ67">
            <v>97.352614459099868</v>
          </cell>
          <cell r="BC67" t="str">
            <v>R. Regis</v>
          </cell>
        </row>
        <row r="68">
          <cell r="A68" t="str">
            <v>SM059</v>
          </cell>
          <cell r="T68">
            <v>60</v>
          </cell>
          <cell r="U68">
            <v>14.086629001883248</v>
          </cell>
          <cell r="X68">
            <v>0.53749999999999998</v>
          </cell>
          <cell r="Y68">
            <v>0.68402777777777779</v>
          </cell>
          <cell r="Z68">
            <v>91</v>
          </cell>
          <cell r="AD68">
            <v>0.30902777777777779</v>
          </cell>
          <cell r="AH68">
            <v>53.1</v>
          </cell>
          <cell r="AK68">
            <v>17.399999999999999</v>
          </cell>
          <cell r="AM68">
            <v>51.4</v>
          </cell>
          <cell r="AY68">
            <v>98.929902201837479</v>
          </cell>
          <cell r="AZ68">
            <v>99.324878163861314</v>
          </cell>
          <cell r="BC68" t="str">
            <v>D. Gomaz</v>
          </cell>
        </row>
        <row r="69">
          <cell r="A69" t="str">
            <v>SM060</v>
          </cell>
          <cell r="T69">
            <v>60</v>
          </cell>
          <cell r="U69">
            <v>15.028248587570628</v>
          </cell>
          <cell r="X69">
            <v>0.66666666666666663</v>
          </cell>
          <cell r="Y69">
            <v>0.8</v>
          </cell>
          <cell r="Z69">
            <v>69</v>
          </cell>
          <cell r="AD69">
            <v>0.30000000000000004</v>
          </cell>
          <cell r="AH69">
            <v>53.1</v>
          </cell>
          <cell r="AK69">
            <v>17.399999999999999</v>
          </cell>
          <cell r="AM69">
            <v>51.3</v>
          </cell>
          <cell r="AY69">
            <v>98.81732361471613</v>
          </cell>
          <cell r="AZ69">
            <v>99.211477564552879</v>
          </cell>
          <cell r="BC69" t="str">
            <v>D. Gomaz</v>
          </cell>
        </row>
        <row r="70">
          <cell r="A70" t="str">
            <v>SM061</v>
          </cell>
          <cell r="T70">
            <v>60</v>
          </cell>
          <cell r="U70">
            <v>15.245283018867934</v>
          </cell>
          <cell r="X70">
            <v>0.7895833333333333</v>
          </cell>
          <cell r="Y70">
            <v>0.92986111111111114</v>
          </cell>
          <cell r="Z70">
            <v>65</v>
          </cell>
          <cell r="AD70">
            <v>0.30486111111111114</v>
          </cell>
          <cell r="AH70">
            <v>53</v>
          </cell>
          <cell r="AK70">
            <v>16.600000000000001</v>
          </cell>
          <cell r="AM70">
            <v>51.17</v>
          </cell>
          <cell r="AY70">
            <v>93.747141074419659</v>
          </cell>
          <cell r="AZ70">
            <v>94.121071520911556</v>
          </cell>
          <cell r="BC70" t="str">
            <v>D. Gomaz</v>
          </cell>
        </row>
        <row r="71">
          <cell r="A71" t="str">
            <v>SM062</v>
          </cell>
          <cell r="T71">
            <v>61</v>
          </cell>
          <cell r="U71">
            <v>14.490566037735849</v>
          </cell>
          <cell r="X71">
            <v>0.92152777777777772</v>
          </cell>
          <cell r="Y71">
            <v>1.1145833333333333</v>
          </cell>
          <cell r="Z71">
            <v>67</v>
          </cell>
          <cell r="AD71">
            <v>0.36458333333333326</v>
          </cell>
          <cell r="AH71">
            <v>53</v>
          </cell>
          <cell r="AK71">
            <v>17.5</v>
          </cell>
          <cell r="AM71">
            <v>51.7</v>
          </cell>
          <cell r="AY71">
            <v>100.25759492531388</v>
          </cell>
          <cell r="AZ71">
            <v>100.65711512088642</v>
          </cell>
          <cell r="BC71" t="str">
            <v>K. Benjamin</v>
          </cell>
        </row>
        <row r="72">
          <cell r="A72" t="str">
            <v>SM063</v>
          </cell>
          <cell r="T72">
            <v>61</v>
          </cell>
          <cell r="U72">
            <v>12.39171374764596</v>
          </cell>
          <cell r="X72">
            <v>1.075</v>
          </cell>
          <cell r="Y72">
            <v>1.2159722222222222</v>
          </cell>
          <cell r="Z72">
            <v>70</v>
          </cell>
          <cell r="AD72">
            <v>0.33750000000000002</v>
          </cell>
          <cell r="AH72">
            <v>53.1</v>
          </cell>
          <cell r="AK72">
            <v>17.100000000000001</v>
          </cell>
          <cell r="AM72">
            <v>52.8</v>
          </cell>
          <cell r="AY72">
            <v>99.848562971423902</v>
          </cell>
          <cell r="AZ72">
            <v>100.24683023915679</v>
          </cell>
          <cell r="BC72" t="str">
            <v>K. Benjamin</v>
          </cell>
        </row>
        <row r="73">
          <cell r="A73" t="str">
            <v>SM064</v>
          </cell>
          <cell r="T73">
            <v>61</v>
          </cell>
          <cell r="U73">
            <v>12.39171374764596</v>
          </cell>
          <cell r="X73">
            <v>1.1784722222222221</v>
          </cell>
          <cell r="Y73">
            <v>1.3187500000000001</v>
          </cell>
          <cell r="Z73">
            <v>71</v>
          </cell>
          <cell r="AD73">
            <v>0.29791666666666683</v>
          </cell>
          <cell r="AH73">
            <v>53.1</v>
          </cell>
          <cell r="AK73">
            <v>17.3</v>
          </cell>
          <cell r="AM73">
            <v>52.8</v>
          </cell>
          <cell r="AY73">
            <v>101.18742532014767</v>
          </cell>
          <cell r="AZ73">
            <v>101.59065083122742</v>
          </cell>
          <cell r="BC73" t="str">
            <v>R. Regis</v>
          </cell>
        </row>
      </sheetData>
      <sheetData sheetId="4"/>
      <sheetData sheetId="5"/>
      <sheetData sheetId="6">
        <row r="10">
          <cell r="G10">
            <v>593.29999999999995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5th"/>
      <sheetName val="Jan 6th"/>
      <sheetName val="Jan 7th"/>
      <sheetName val="Jan 8th "/>
      <sheetName val="Jan 9th-10th"/>
      <sheetName val="Jan12th "/>
      <sheetName val="Jan13th"/>
      <sheetName val="Jan14th"/>
      <sheetName val="Jan15th"/>
      <sheetName val="Jan16-18th"/>
      <sheetName val="Jan19th "/>
      <sheetName val="Jan20th"/>
      <sheetName val="Jan21st"/>
      <sheetName val="Jan22nd"/>
      <sheetName val="Jan23rd"/>
      <sheetName val="Jan26th"/>
      <sheetName val="Jan27th"/>
      <sheetName val="Jan28th"/>
      <sheetName val="Jan29th"/>
      <sheetName val="Jan30th-31st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2">
          <cell r="L42">
            <v>97.828041735841467</v>
          </cell>
        </row>
        <row r="47">
          <cell r="L47">
            <v>6.0869565217391308</v>
          </cell>
        </row>
      </sheetData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2nd"/>
      <sheetName val="Feb 3rd"/>
      <sheetName val="Feb 4th"/>
      <sheetName val="Feb 5th"/>
      <sheetName val="Feb 6th"/>
      <sheetName val="Feb 9th"/>
      <sheetName val="Feb 10th"/>
      <sheetName val="Feb 11th"/>
      <sheetName val="Feb 12th"/>
      <sheetName val="Feb 13th"/>
      <sheetName val="Feb 16th"/>
      <sheetName val="Feb 17th"/>
      <sheetName val="Feb 18th "/>
      <sheetName val="Feb 19th"/>
      <sheetName val="Feb 20th"/>
      <sheetName val="Feb 23rd"/>
      <sheetName val="Feb 24th"/>
      <sheetName val="Feb 25th"/>
      <sheetName val="Feb 26th "/>
      <sheetName val="Feb 27th-28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9">
          <cell r="L39">
            <v>6.1</v>
          </cell>
        </row>
      </sheetData>
      <sheetData sheetId="20">
        <row r="45">
          <cell r="L45">
            <v>97.514550407372639</v>
          </cell>
        </row>
      </sheetData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 1st"/>
      <sheetName val="Mar 2nd"/>
      <sheetName val="Mar 3rd"/>
      <sheetName val="Mar 4th"/>
      <sheetName val="Mar 5th"/>
      <sheetName val="Mar 6th "/>
      <sheetName val="Mar 9th"/>
      <sheetName val="Mar 10th"/>
      <sheetName val="Mar 11th"/>
      <sheetName val="Mar 12th"/>
      <sheetName val="Mar 13th-15th"/>
      <sheetName val="Mar 16th"/>
      <sheetName val="Mar 18th"/>
      <sheetName val="Mar 19th"/>
      <sheetName val="Mar 20th -22nd"/>
      <sheetName val="Mar 23rd "/>
      <sheetName val="Mar 24th"/>
      <sheetName val="Mar 25th "/>
      <sheetName val="Mar 26th"/>
      <sheetName val="Mar 27th"/>
      <sheetName val="Mar 30th "/>
      <sheetName val="Mar 31st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42">
          <cell r="L42">
            <v>98.106733433542104</v>
          </cell>
        </row>
        <row r="47">
          <cell r="L47">
            <v>7</v>
          </cell>
        </row>
      </sheetData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 1st"/>
      <sheetName val="Apr 2nd"/>
      <sheetName val="Apr 7th"/>
      <sheetName val="Apr 8th"/>
      <sheetName val="Apr 9th "/>
      <sheetName val="Apr 10th"/>
      <sheetName val="Apr 13th"/>
      <sheetName val="Apr 14th"/>
      <sheetName val="Apr 15th"/>
      <sheetName val="Apr 16th "/>
      <sheetName val="Apr 20th "/>
      <sheetName val="Apr 21st"/>
      <sheetName val="Apr 22nd"/>
      <sheetName val="Apr 23rd"/>
      <sheetName val="Apr 24th-26th"/>
      <sheetName val="Apr 27th"/>
      <sheetName val="Apr 28th"/>
      <sheetName val="Apr 29th "/>
      <sheetName val="Apr 30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41">
          <cell r="L41">
            <v>98.051518962231185</v>
          </cell>
        </row>
        <row r="46">
          <cell r="L46">
            <v>6.85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y 2nd-23rd"/>
      <sheetName val="May 4th"/>
      <sheetName val="May 5th"/>
      <sheetName val="May 6th"/>
      <sheetName val="May 7th"/>
      <sheetName val="May 8th -9th"/>
      <sheetName val="May 11th"/>
      <sheetName val="May 12th "/>
      <sheetName val="May 13th"/>
      <sheetName val="May 14th"/>
      <sheetName val="May 15th-16th"/>
      <sheetName val="May 18th"/>
      <sheetName val="May 19th "/>
      <sheetName val="May 20th"/>
      <sheetName val="May 21st"/>
      <sheetName val="May 22nd -23rd"/>
      <sheetName val="May 26th"/>
      <sheetName val="May 27th"/>
      <sheetName val="May 28th"/>
      <sheetName val="May 29th 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35">
          <cell r="L35">
            <v>97.654240924165464</v>
          </cell>
        </row>
        <row r="40">
          <cell r="L40">
            <v>5.5909090909090908</v>
          </cell>
        </row>
      </sheetData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5"/>
      <sheetName val="September_2025"/>
      <sheetName val="October_2025"/>
      <sheetName val="November_2025"/>
      <sheetName val="December_2025"/>
      <sheetName val="June_2025"/>
      <sheetName val="July_2025"/>
      <sheetName val="April_2025"/>
      <sheetName val="May_2025"/>
    </sheetNames>
    <sheetDataSet>
      <sheetData sheetId="0">
        <row r="3">
          <cell r="E3">
            <v>262.3</v>
          </cell>
        </row>
      </sheetData>
      <sheetData sheetId="1">
        <row r="3">
          <cell r="D3">
            <v>404.4</v>
          </cell>
        </row>
      </sheetData>
      <sheetData sheetId="2">
        <row r="3">
          <cell r="G3">
            <v>314.39999999999998</v>
          </cell>
        </row>
      </sheetData>
      <sheetData sheetId="3">
        <row r="3">
          <cell r="E3">
            <v>396.4</v>
          </cell>
        </row>
      </sheetData>
      <sheetData sheetId="4">
        <row r="3">
          <cell r="G3">
            <v>410.5</v>
          </cell>
        </row>
      </sheetData>
      <sheetData sheetId="5">
        <row r="3">
          <cell r="Y3">
            <v>397.46000000000004</v>
          </cell>
          <cell r="AA3">
            <v>398.92</v>
          </cell>
          <cell r="AB3">
            <v>501.91000000000008</v>
          </cell>
          <cell r="AG3">
            <v>399.21999999999997</v>
          </cell>
          <cell r="AN3" t="e">
            <v>#DIV/0!</v>
          </cell>
          <cell r="AQ3">
            <v>6.2952262389564053</v>
          </cell>
        </row>
        <row r="4">
          <cell r="AN4">
            <v>6.9040533756401175</v>
          </cell>
          <cell r="AQ4">
            <v>5.6218333761731296</v>
          </cell>
        </row>
        <row r="5">
          <cell r="AN5">
            <v>13.176885540709748</v>
          </cell>
          <cell r="AQ5">
            <v>12.705454422449741</v>
          </cell>
        </row>
        <row r="6">
          <cell r="AN6" t="e">
            <v>#DIV/0!</v>
          </cell>
          <cell r="AQ6">
            <v>4.7393662692065543</v>
          </cell>
        </row>
        <row r="7">
          <cell r="Y7">
            <v>379.8</v>
          </cell>
          <cell r="AA7">
            <v>382.7</v>
          </cell>
          <cell r="AB7">
            <v>485.6</v>
          </cell>
          <cell r="AG7">
            <v>367.9</v>
          </cell>
          <cell r="AN7" t="e">
            <v>#DIV/0!</v>
          </cell>
          <cell r="AQ7" t="e">
            <v>#DIV/0!</v>
          </cell>
        </row>
        <row r="8">
          <cell r="AN8" t="e">
            <v>#DIV/0!</v>
          </cell>
          <cell r="AQ8">
            <v>7.4989046872874194</v>
          </cell>
        </row>
        <row r="9">
          <cell r="AN9">
            <v>5.1620200172171886</v>
          </cell>
          <cell r="AQ9">
            <v>4.8813740630219202</v>
          </cell>
        </row>
        <row r="10">
          <cell r="AN10" t="e">
            <v>#DIV/0!</v>
          </cell>
          <cell r="AQ10" t="e">
            <v>#DIV/0!</v>
          </cell>
        </row>
        <row r="11">
          <cell r="Y11">
            <v>3.4332646451307456</v>
          </cell>
          <cell r="AA11">
            <v>4.1439732807034382</v>
          </cell>
          <cell r="AB11">
            <v>5.5715965013648043</v>
          </cell>
          <cell r="AG11">
            <v>10.946658484043885</v>
          </cell>
          <cell r="AN11" t="e">
            <v>#DIV/0!</v>
          </cell>
          <cell r="AQ11" t="e">
            <v>#DIV/0!</v>
          </cell>
        </row>
        <row r="12">
          <cell r="AN12">
            <v>7.2309639799884762</v>
          </cell>
          <cell r="AQ12">
            <v>6.4672291368290118</v>
          </cell>
        </row>
        <row r="13">
          <cell r="O13">
            <v>395.98</v>
          </cell>
          <cell r="AB13">
            <v>398.28</v>
          </cell>
          <cell r="AD13">
            <v>298.88</v>
          </cell>
          <cell r="AF13">
            <v>97.9</v>
          </cell>
        </row>
        <row r="17">
          <cell r="O17">
            <v>377.1</v>
          </cell>
          <cell r="AB17">
            <v>347.5</v>
          </cell>
          <cell r="AD17">
            <v>292.2</v>
          </cell>
          <cell r="AF17">
            <v>96.5</v>
          </cell>
        </row>
        <row r="21">
          <cell r="O21">
            <v>3.6848557080708271</v>
          </cell>
          <cell r="AB21">
            <v>13.59214291606764</v>
          </cell>
          <cell r="AD21">
            <v>3.3317333429418734</v>
          </cell>
          <cell r="AF21">
            <v>3.5591419816138967</v>
          </cell>
        </row>
        <row r="23">
          <cell r="Z23">
            <v>404.10000000000008</v>
          </cell>
        </row>
        <row r="28">
          <cell r="Z28">
            <v>361</v>
          </cell>
        </row>
        <row r="32">
          <cell r="Z32">
            <v>13.176885540709748</v>
          </cell>
        </row>
        <row r="55">
          <cell r="X55">
            <v>411.67</v>
          </cell>
        </row>
        <row r="59">
          <cell r="X59">
            <v>396</v>
          </cell>
        </row>
        <row r="63">
          <cell r="X63">
            <v>5.1620200172171886</v>
          </cell>
        </row>
      </sheetData>
      <sheetData sheetId="6">
        <row r="3">
          <cell r="D3">
            <v>397.20000000000005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5"/>
      <sheetName val="August_2018 (2)"/>
      <sheetName val="September_2025"/>
      <sheetName val="October_2025"/>
      <sheetName val="November_2025"/>
      <sheetName val="December_2025"/>
      <sheetName val="June_2025"/>
      <sheetName val="July_2025"/>
      <sheetName val="April_2025"/>
      <sheetName val="May_2025"/>
      <sheetName val="March_2025"/>
    </sheetNames>
    <sheetDataSet>
      <sheetData sheetId="0">
        <row r="13">
          <cell r="AN13">
            <v>0.41029399255715049</v>
          </cell>
        </row>
      </sheetData>
      <sheetData sheetId="1">
        <row r="13">
          <cell r="AN13">
            <v>0.3887953403572954</v>
          </cell>
        </row>
      </sheetData>
      <sheetData sheetId="2">
        <row r="13">
          <cell r="AN13">
            <v>0.52819256474519627</v>
          </cell>
        </row>
      </sheetData>
      <sheetData sheetId="3">
        <row r="13">
          <cell r="AN13">
            <v>0.79053411306042887</v>
          </cell>
        </row>
      </sheetData>
      <sheetData sheetId="4">
        <row r="13">
          <cell r="AN13">
            <v>0.62903508771929817</v>
          </cell>
        </row>
      </sheetData>
      <sheetData sheetId="5">
        <row r="13">
          <cell r="AN13" t="e">
            <v>#DIV/0!</v>
          </cell>
          <cell r="AQ13">
            <v>0.51983647128918364</v>
          </cell>
        </row>
        <row r="14">
          <cell r="AN14">
            <v>0.74796052631578946</v>
          </cell>
          <cell r="AQ14">
            <v>0.69593128532610038</v>
          </cell>
        </row>
        <row r="15">
          <cell r="AN15">
            <v>0.18095238095238095</v>
          </cell>
          <cell r="AQ15">
            <v>0.25516722361459199</v>
          </cell>
        </row>
        <row r="16">
          <cell r="AN16" t="e">
            <v>#DIV/0!</v>
          </cell>
          <cell r="AQ16">
            <v>0.73604010025062661</v>
          </cell>
        </row>
        <row r="17">
          <cell r="AN17" t="e">
            <v>#DIV/0!</v>
          </cell>
          <cell r="AQ17" t="e">
            <v>#DIV/0!</v>
          </cell>
        </row>
        <row r="18">
          <cell r="Y18">
            <v>0.66631578947368419</v>
          </cell>
          <cell r="AA18">
            <v>0.67140350877192978</v>
          </cell>
          <cell r="AB18">
            <v>0.85192982456140354</v>
          </cell>
          <cell r="AG18">
            <v>0.43029239766081867</v>
          </cell>
          <cell r="AN18" t="e">
            <v>#DIV/0!</v>
          </cell>
          <cell r="AQ18">
            <v>1.0201754385964912</v>
          </cell>
        </row>
        <row r="19">
          <cell r="AN19">
            <v>0.69473684210526321</v>
          </cell>
          <cell r="AQ19">
            <v>0.82729694606887583</v>
          </cell>
        </row>
        <row r="20">
          <cell r="AN20" t="e">
            <v>#DIV/0!</v>
          </cell>
          <cell r="AQ20" t="e">
            <v>#DIV/0!</v>
          </cell>
        </row>
        <row r="21">
          <cell r="AN21">
            <v>0</v>
          </cell>
          <cell r="AQ21" t="e">
            <v>#DIV/0!</v>
          </cell>
        </row>
        <row r="22">
          <cell r="AN22">
            <v>0.64874728487886379</v>
          </cell>
          <cell r="AQ22">
            <v>0.58405106775202464</v>
          </cell>
        </row>
        <row r="25">
          <cell r="O25">
            <v>1.3231578947368421</v>
          </cell>
          <cell r="AB25">
            <v>0.30482456140350878</v>
          </cell>
          <cell r="AD25">
            <v>1.0252631578947369</v>
          </cell>
          <cell r="AF25">
            <v>0.33859649122807017</v>
          </cell>
        </row>
        <row r="32">
          <cell r="AA32">
            <v>0.18095238095238095</v>
          </cell>
        </row>
        <row r="53">
          <cell r="X53">
            <v>0.69473684210526321</v>
          </cell>
        </row>
      </sheetData>
      <sheetData sheetId="6">
        <row r="13">
          <cell r="AN13">
            <v>0.57789473684210524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6"/>
    </sheetNames>
    <sheetDataSet>
      <sheetData sheetId="0" refreshError="1"/>
      <sheetData sheetId="1">
        <row r="6">
          <cell r="S6">
            <v>8.3000000000000007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E5">
            <v>4.801739017737745</v>
          </cell>
        </row>
        <row r="6">
          <cell r="E6">
            <v>6.5270687802256688</v>
          </cell>
        </row>
        <row r="7">
          <cell r="E7">
            <v>12.463627546071795</v>
          </cell>
        </row>
        <row r="8">
          <cell r="E8" t="e">
            <v>#DIV/0!</v>
          </cell>
        </row>
        <row r="9">
          <cell r="E9" t="e">
            <v>#DIV/0!</v>
          </cell>
        </row>
        <row r="10">
          <cell r="E10" t="e">
            <v>#DIV/0!</v>
          </cell>
        </row>
        <row r="11">
          <cell r="E11">
            <v>3.8064469113610451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6.0959645748824203</v>
          </cell>
        </row>
      </sheetData>
      <sheetData sheetId="11">
        <row r="5">
          <cell r="E5">
            <v>6.4212237388062769</v>
          </cell>
        </row>
        <row r="6">
          <cell r="E6">
            <v>5.8993893414814869</v>
          </cell>
        </row>
        <row r="7">
          <cell r="E7">
            <v>11.596009975062332</v>
          </cell>
        </row>
        <row r="8">
          <cell r="E8">
            <v>4.7166249493098773</v>
          </cell>
        </row>
        <row r="9">
          <cell r="E9" t="e">
            <v>#DIV/0!</v>
          </cell>
        </row>
        <row r="10">
          <cell r="E10">
            <v>5.1541347251672045</v>
          </cell>
        </row>
        <row r="11">
          <cell r="E11">
            <v>3.7425354424032347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6.2919136350539713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87" t="s">
        <v>0</v>
      </c>
      <c r="U1" s="587"/>
      <c r="V1" s="587" t="s">
        <v>1</v>
      </c>
      <c r="W1" s="587"/>
      <c r="X1" s="587" t="s">
        <v>2</v>
      </c>
      <c r="Y1" s="587"/>
      <c r="Z1" s="587" t="s">
        <v>124</v>
      </c>
      <c r="AA1" s="587"/>
    </row>
    <row r="2" spans="2:30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553">
        <v>45278</v>
      </c>
      <c r="D4" s="553"/>
      <c r="J4" s="593" t="s">
        <v>153</v>
      </c>
      <c r="K4" s="593"/>
      <c r="L4" s="11"/>
      <c r="M4" s="563" t="s">
        <v>8</v>
      </c>
      <c r="N4" s="564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94"/>
      <c r="K5" s="594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88" t="s">
        <v>151</v>
      </c>
      <c r="K6" s="589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90"/>
      <c r="K7" s="591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152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26</v>
      </c>
      <c r="O8" s="528"/>
      <c r="P8" s="519" t="s">
        <v>28</v>
      </c>
      <c r="Q8" s="580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92"/>
      <c r="Q9" s="581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44" t="s">
        <v>34</v>
      </c>
      <c r="J48" s="544"/>
      <c r="K48" s="544"/>
      <c r="L48" s="544"/>
      <c r="M48" s="544"/>
      <c r="N48" s="544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545" t="s">
        <v>35</v>
      </c>
      <c r="E49" s="546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30" t="s">
        <v>9</v>
      </c>
      <c r="C50" s="362">
        <v>11.8</v>
      </c>
      <c r="D50" s="548">
        <v>11.73</v>
      </c>
      <c r="E50" s="549"/>
      <c r="F50" s="294"/>
      <c r="G50" s="294"/>
      <c r="H50" s="294"/>
      <c r="I50" s="29" t="s">
        <v>6</v>
      </c>
      <c r="J50" s="323"/>
      <c r="K50" s="284">
        <f>COUNTA([17]Brewhouse!$A$1596:$A$1619)</f>
        <v>24</v>
      </c>
      <c r="L50" s="302">
        <f>AVERAGE([17]Brewhouse!$AU$1529,[17]Brewhouse!$AU$1531:$AU$1594,[17]Brewhouse!$AU$1596:$AU$1619)</f>
        <v>98.205761326291494</v>
      </c>
      <c r="M50" s="302">
        <f>AVERAGE([17]Brewhouse!$AU$849:$AU$924,[17]Brewhouse!$AU$926:$AU$971,[17]Brewhouse!$AU$973:$AU$1066,[17]Brewhouse!$AU$1068:$AU$1111,[17]Brewhouse!$AU$1113:$AU$1132,[17]Brewhouse!$AU$1134:$AU$1167,[17]Brewhouse!$AU$1169:$AU$1230,[17]Brewhouse!$AU$1232:$AU$1299,[17]Brewhouse!$AU$1301:$AU$1363,[17]Brewhouse!$AU$1365:$AU$1444,[17]Brewhouse!$AU$1446:$AU$1527,[17]Brewhouse!$AU$1529,[17]Brewhouse!$AU$1531:$AU$1594,[17]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31"/>
      <c r="C51" s="349">
        <v>11.9</v>
      </c>
      <c r="D51" s="550"/>
      <c r="E51" s="536"/>
      <c r="F51" s="294"/>
      <c r="G51" s="294"/>
      <c r="H51" s="32"/>
      <c r="I51" s="33" t="s">
        <v>9</v>
      </c>
      <c r="J51" s="323"/>
      <c r="K51" s="284">
        <f>COUNTA([18]Brewhouse!$A$976:$A$1007)</f>
        <v>32</v>
      </c>
      <c r="L51" s="302">
        <f>AVERAGE([18]Brewhouse!$AS$976:$AS$979,[18]Brewhouse!$AS$981:$AS$1007)</f>
        <v>98.538566771868645</v>
      </c>
      <c r="M51" s="302">
        <f>AVERAGE([18]Brewhouse!$AS$577:$AS$618,[18]Brewhouse!$AS$620:$AS$651,[18]Brewhouse!$AS$653:$AS$696,[18]Brewhouse!$AS$698:$AS$708,[18]Brewhouse!$AS$710:$AS$733,[18]Brewhouse!$AS$735:$AS$777,[18]Brewhouse!$AS$779:$AS$822,[18]Brewhouse!$AS$824:$AS$863,[18]Brewhouse!$AS$865:$AS$974,[18]Brewhouse!$AS$976:$AS$979,[18]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31"/>
      <c r="C52" s="349"/>
      <c r="D52" s="548"/>
      <c r="E52" s="549"/>
      <c r="F52" s="294"/>
      <c r="G52" s="294"/>
      <c r="H52" s="32"/>
      <c r="I52" s="34" t="s">
        <v>12</v>
      </c>
      <c r="J52" s="280"/>
      <c r="K52" s="284">
        <f>COUNTA([19]Brewhouse!$A$282:$A$289)</f>
        <v>8</v>
      </c>
      <c r="L52" s="302">
        <f>AVERAGE([19]Brewhouse!$AU$269:$AU$279,[19]Brewhouse!$AU$282:$AU$289)</f>
        <v>96.1861768599382</v>
      </c>
      <c r="M52" s="302">
        <f>AVERAGE([19]Brewhouse!$AU$161:$AU$176,[19]Brewhouse!$AU$178:$AU$195,[19]Brewhouse!$AU$197:$AU$208,[19]Brewhouse!$AU$210:$AU$221,[19]Brewhouse!$AU$223:$AU$232,[19]Brewhouse!$AU$234:$AU$279,[19]Brewhouse!$AU$282:$AU$289)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31"/>
      <c r="C53" s="349"/>
      <c r="D53" s="550"/>
      <c r="E53" s="536"/>
      <c r="F53" s="294"/>
      <c r="G53" s="294"/>
      <c r="H53" s="32"/>
      <c r="I53" s="22" t="s">
        <v>33</v>
      </c>
      <c r="J53" s="280"/>
      <c r="K53" s="284">
        <f>COUNTA([20]Brewhouse!$A$158:$A$163)</f>
        <v>6</v>
      </c>
      <c r="L53" s="302">
        <f>AVERAGE([20]Brewhouse!$AU$158:$AU$163)</f>
        <v>94.603050114691541</v>
      </c>
      <c r="M53" s="302">
        <f>AVERAGE([20]Brewhouse!$AU$91:$AU$101,[20]Brewhouse!$AU$103:$AU$112,[20]Brewhouse!$AU$114:$AU$123,[20]Brewhouse!$AU$125:$AU$134,[20]Brewhouse!$AU$136:$AU$145,[20]Brewhouse!$AU$147:$AU$156,[20]Brewhouse!$AU$158:$AU$163)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31"/>
      <c r="C54" s="349"/>
      <c r="D54" s="548"/>
      <c r="E54" s="549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31"/>
      <c r="C55" s="349"/>
      <c r="D55" s="550"/>
      <c r="E55" s="536"/>
      <c r="F55" s="294"/>
      <c r="G55" s="294"/>
      <c r="H55" s="32"/>
      <c r="I55" s="36" t="s">
        <v>15</v>
      </c>
      <c r="J55" s="323"/>
      <c r="K55" s="284"/>
      <c r="L55" s="302"/>
      <c r="M55" s="302">
        <f>AVERAGE([21]Brewhouse!$AT$74:$AT$79)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31"/>
      <c r="C56" s="349"/>
      <c r="D56" s="548"/>
      <c r="E56" s="549"/>
      <c r="F56" s="294"/>
      <c r="G56" s="294"/>
      <c r="H56" s="32"/>
      <c r="I56" s="37" t="s">
        <v>16</v>
      </c>
      <c r="J56" s="323"/>
      <c r="K56" s="284">
        <f>COUNTA([22]Brewhouse!$A$249:$A$254)</f>
        <v>6</v>
      </c>
      <c r="L56" s="302">
        <f>AVERAGE([22]Brewhouse!$AY$249:$AY$254)</f>
        <v>99.681996476494263</v>
      </c>
      <c r="M56" s="302">
        <f>AVERAGE([22]Brewhouse!$AY$138:$AY$143,[22]Brewhouse!$AY$145:$AY$153,[22]Brewhouse!$AY$155,[22]Brewhouse!$AY$156:$AY$174,[22]Brewhouse!$AY$176:$AY$185,[22]Brewhouse!$AY$187:$AY$198,[22]Brewhouse!$AY$200:$AY$247,[22]Brewhouse!$AY$249:$AY$254)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31"/>
      <c r="C57" s="349"/>
      <c r="D57" s="550"/>
      <c r="E57" s="536"/>
      <c r="F57" s="294"/>
      <c r="G57" s="294"/>
      <c r="H57" s="32"/>
      <c r="I57" s="306" t="s">
        <v>137</v>
      </c>
      <c r="J57" s="326"/>
      <c r="K57" s="284"/>
      <c r="L57" s="305"/>
      <c r="M57" s="305">
        <f>AVERAGE([23]Brewhouse!$AW$13:$AW$14,[23]Brewhouse!$AW$16:$AW$17)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31"/>
      <c r="C58" s="349"/>
      <c r="D58" s="582"/>
      <c r="E58" s="577"/>
      <c r="F58" s="294"/>
      <c r="G58" s="294"/>
      <c r="H58" s="32"/>
      <c r="I58" s="38" t="s">
        <v>125</v>
      </c>
      <c r="J58" s="327"/>
      <c r="K58" s="284"/>
      <c r="L58" s="328"/>
      <c r="M58" s="328">
        <f>AVERAGE([23]Brewhouse!$AW$13:$AW$14)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31"/>
      <c r="C59" s="349"/>
      <c r="D59" s="583"/>
      <c r="E59" s="584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AVERAGE('[24]Closing- January 2023'!$L$42,'[25]Feb. 28th'!$L$42,'[26]March 31st'!$L$75,'[27]Apri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31"/>
      <c r="C60" s="349"/>
      <c r="D60" s="582"/>
      <c r="E60" s="577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32"/>
      <c r="C61" s="350"/>
      <c r="D61" s="585"/>
      <c r="E61" s="586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71"/>
      <c r="C62" s="362"/>
      <c r="D62" s="533"/>
      <c r="E62" s="534"/>
      <c r="F62" s="43"/>
      <c r="G62" s="41"/>
      <c r="H62" s="41"/>
      <c r="I62" s="42"/>
      <c r="J62" s="574" t="s">
        <v>129</v>
      </c>
      <c r="K62" s="574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72"/>
      <c r="C63" s="349"/>
      <c r="D63" s="535"/>
      <c r="E63" s="536"/>
      <c r="F63" s="43"/>
      <c r="G63" s="41"/>
      <c r="H63" s="41"/>
      <c r="I63" s="42"/>
      <c r="J63" s="292" t="s">
        <v>17</v>
      </c>
      <c r="K63" s="293" t="s">
        <v>147</v>
      </c>
      <c r="L63" s="538" t="s">
        <v>136</v>
      </c>
      <c r="M63" s="538"/>
      <c r="N63" s="539"/>
      <c r="O63" s="294"/>
      <c r="P63" s="12"/>
      <c r="S63" s="23"/>
    </row>
    <row r="64" spans="1:27" ht="15" customHeight="1" thickBot="1">
      <c r="B64" s="572"/>
      <c r="C64" s="349"/>
      <c r="D64" s="575"/>
      <c r="E64" s="549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72"/>
      <c r="C65" s="349"/>
      <c r="D65" s="535"/>
      <c r="E65" s="536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AVERAGE(6,6,'[26]March 31st'!$L$80,'[28]June 30th  '!$L$71,6,L65,'[29]July 31st'!$L$108,'[30]Aug 30th'!$L$124,7,[31]Oct.31st!$L$51)</f>
        <v>#REF!</v>
      </c>
      <c r="N65" s="308">
        <v>9</v>
      </c>
      <c r="O65" s="294"/>
      <c r="P65" s="12"/>
      <c r="S65" s="23"/>
    </row>
    <row r="66" spans="2:58" ht="15" customHeight="1">
      <c r="B66" s="572"/>
      <c r="C66" s="349"/>
      <c r="D66" s="575"/>
      <c r="E66" s="549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72"/>
      <c r="C67" s="349"/>
      <c r="D67" s="535"/>
      <c r="E67" s="536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72"/>
      <c r="C68" s="349"/>
      <c r="D68" s="575"/>
      <c r="E68" s="549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72"/>
      <c r="C69" s="349"/>
      <c r="D69" s="535"/>
      <c r="E69" s="536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72"/>
      <c r="C70" s="349"/>
      <c r="D70" s="576"/>
      <c r="E70" s="577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73"/>
      <c r="C71" s="350"/>
      <c r="D71" s="578"/>
      <c r="E71" s="579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69">
        <f>AVERAGE(D50:E71)</f>
        <v>11.73</v>
      </c>
      <c r="E72" s="570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15" t="s">
        <v>17</v>
      </c>
      <c r="C77" s="515" t="s">
        <v>44</v>
      </c>
      <c r="D77" s="526" t="s">
        <v>45</v>
      </c>
      <c r="E77" s="528" t="s">
        <v>46</v>
      </c>
      <c r="F77" s="521" t="s">
        <v>47</v>
      </c>
      <c r="G77" s="513" t="s">
        <v>48</v>
      </c>
      <c r="H77" s="515" t="s">
        <v>49</v>
      </c>
      <c r="I77" s="567" t="s">
        <v>50</v>
      </c>
      <c r="J77" s="507" t="s">
        <v>28</v>
      </c>
      <c r="K77" s="517" t="s">
        <v>51</v>
      </c>
      <c r="L77" s="519" t="s">
        <v>52</v>
      </c>
      <c r="M77" s="507" t="s">
        <v>53</v>
      </c>
      <c r="N77" s="77"/>
      <c r="O77" s="13"/>
      <c r="P77" s="50"/>
    </row>
    <row r="78" spans="2:58" ht="28.5" customHeight="1" thickTop="1" thickBot="1">
      <c r="B78" s="525"/>
      <c r="C78" s="525"/>
      <c r="D78" s="527"/>
      <c r="E78" s="529"/>
      <c r="F78" s="522"/>
      <c r="G78" s="514"/>
      <c r="H78" s="525"/>
      <c r="I78" s="568"/>
      <c r="J78" s="508"/>
      <c r="K78" s="518"/>
      <c r="L78" s="520"/>
      <c r="M78" s="508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[32]December_2023!$U$13</f>
        <v>150.4</v>
      </c>
      <c r="E79" s="378"/>
      <c r="F79" s="379"/>
      <c r="G79" s="303">
        <f>[32]December_2023!$U$17</f>
        <v>120.8</v>
      </c>
      <c r="H79" s="381"/>
      <c r="I79" s="382"/>
      <c r="J79" s="360" t="s">
        <v>150</v>
      </c>
      <c r="K79" s="380">
        <f>[33]December_2023!$U$25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[16]January_2019!D8</f>
        <v>#DIV/0!</v>
      </c>
      <c r="V80" s="57">
        <f>[16]January_2019!E8</f>
        <v>1.0319298245614037</v>
      </c>
      <c r="W80" s="57">
        <f>[16]January_2019!F8</f>
        <v>1.7789473684210526</v>
      </c>
      <c r="X80" s="57">
        <f>[16]January_2019!G8</f>
        <v>0.51929824561403504</v>
      </c>
      <c r="Y80" s="57" t="e">
        <f>[16]January_2019!H8</f>
        <v>#DIV/0!</v>
      </c>
      <c r="Z80" s="57" t="e">
        <f>[16]January_2019!I8</f>
        <v>#DIV/0!</v>
      </c>
      <c r="AA80" s="57">
        <f>[16]January_2019!J8</f>
        <v>1.365263157894737</v>
      </c>
      <c r="AB80" s="57" t="e">
        <f>[16]January_2019!K8</f>
        <v>#DIV/0!</v>
      </c>
      <c r="AC80" s="57">
        <f>[16]January_2019!L8</f>
        <v>1.0028070175438597</v>
      </c>
      <c r="AD80" s="57">
        <f>[16]January_2019!M8</f>
        <v>1.7828070175438597</v>
      </c>
      <c r="AE80" s="57" t="e">
        <f>[16]January_2019!N8</f>
        <v>#DIV/0!</v>
      </c>
      <c r="AF80" s="57" t="e">
        <f>[16]January_2019!O8</f>
        <v>#DIV/0!</v>
      </c>
      <c r="AG80" s="57">
        <f>[16]January_2019!P8</f>
        <v>0.19222222222222221</v>
      </c>
      <c r="AH80" s="57">
        <f>[16]January_2019!Q8</f>
        <v>0.52219298245614032</v>
      </c>
      <c r="AI80" s="57">
        <f>[16]January_2019!R8</f>
        <v>0.42912280701754385</v>
      </c>
      <c r="AJ80" s="57" t="e">
        <f>[16]January_2019!S8</f>
        <v>#DIV/0!</v>
      </c>
      <c r="AK80" s="57">
        <f>[16]January_2019!T8</f>
        <v>1.0340350877192983</v>
      </c>
      <c r="AL80" s="57">
        <f>[16]January_2019!U8</f>
        <v>0.98421052631578942</v>
      </c>
      <c r="AM80" s="57" t="e">
        <f>[16]January_2019!V8</f>
        <v>#DIV/0!</v>
      </c>
      <c r="AN80" s="57" t="e">
        <f>[16]January_2019!W8</f>
        <v>#DIV/0!</v>
      </c>
      <c r="AO80" s="57">
        <f>[16]January_2019!X8</f>
        <v>0.66052631578947374</v>
      </c>
      <c r="AP80" s="57">
        <f>[16]January_2019!Y8</f>
        <v>1.0375438596491227</v>
      </c>
      <c r="AQ80" s="57">
        <f>[16]January_2019!Z8</f>
        <v>0.90456140350877201</v>
      </c>
      <c r="AR80" s="57">
        <f>[16]January_2019!AA8</f>
        <v>1.0217543859649123</v>
      </c>
      <c r="AS80" s="57">
        <f>[16]January_2019!AB8</f>
        <v>0.65614035087719302</v>
      </c>
      <c r="AT80" s="57" t="e">
        <f>[16]January_2019!AC8</f>
        <v>#DIV/0!</v>
      </c>
      <c r="AU80" s="57" t="e">
        <f>[16]January_2019!AD8</f>
        <v>#DIV/0!</v>
      </c>
      <c r="AV80" s="57">
        <f>[16]January_2019!AE8</f>
        <v>1.7021052631578948</v>
      </c>
      <c r="AW80" s="57">
        <f>[16]January_2019!AF8</f>
        <v>0.60192982456140354</v>
      </c>
      <c r="AX80" s="57">
        <f>[16]January_2019!AG8</f>
        <v>1.4870175438596491</v>
      </c>
      <c r="AY80" s="277" t="e">
        <f>[16]January_2019!AH8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509" t="s">
        <v>55</v>
      </c>
      <c r="C87" s="510"/>
      <c r="D87" s="510"/>
      <c r="E87" s="510"/>
      <c r="F87" s="511"/>
      <c r="G87" s="509" t="s">
        <v>56</v>
      </c>
      <c r="H87" s="510"/>
      <c r="I87" s="510"/>
      <c r="J87" s="511"/>
      <c r="K87" s="509" t="s">
        <v>51</v>
      </c>
      <c r="L87" s="510"/>
      <c r="M87" s="510"/>
      <c r="N87" s="512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[32]December_2023!$U$21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[34]May_2022!$M$43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C4:D4"/>
    <mergeCell ref="J4:K5"/>
    <mergeCell ref="M4:N4"/>
    <mergeCell ref="T1:U1"/>
    <mergeCell ref="V1:W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B62:B71"/>
    <mergeCell ref="D62:E63"/>
    <mergeCell ref="J62:K62"/>
    <mergeCell ref="L63:N63"/>
    <mergeCell ref="D64:E65"/>
    <mergeCell ref="D66:E67"/>
    <mergeCell ref="D68:E69"/>
    <mergeCell ref="D70:E71"/>
    <mergeCell ref="D72:E72"/>
    <mergeCell ref="B77:B78"/>
    <mergeCell ref="C77:C78"/>
    <mergeCell ref="D77:D78"/>
    <mergeCell ref="E77:E78"/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</mergeCells>
  <conditionalFormatting sqref="B72:B73">
    <cfRule type="cellIs" dxfId="3895" priority="157" operator="notBetween">
      <formula>#REF!</formula>
      <formula>#REF!</formula>
    </cfRule>
  </conditionalFormatting>
  <conditionalFormatting sqref="C76">
    <cfRule type="cellIs" dxfId="3894" priority="190" stopIfTrue="1" operator="greaterThan">
      <formula>100</formula>
    </cfRule>
    <cfRule type="cellIs" dxfId="3893" priority="189" stopIfTrue="1" operator="lessThan">
      <formula>96</formula>
    </cfRule>
  </conditionalFormatting>
  <conditionalFormatting sqref="C90">
    <cfRule type="cellIs" dxfId="3892" priority="212" stopIfTrue="1" operator="greaterThan">
      <formula>$F89</formula>
    </cfRule>
    <cfRule type="cellIs" dxfId="3891" priority="106" stopIfTrue="1" operator="lessThanOrEqual">
      <formula>0</formula>
    </cfRule>
  </conditionalFormatting>
  <conditionalFormatting sqref="C91:C93">
    <cfRule type="cellIs" dxfId="3890" priority="105" stopIfTrue="1" operator="greaterThan">
      <formula>$F91</formula>
    </cfRule>
  </conditionalFormatting>
  <conditionalFormatting sqref="C91:C94">
    <cfRule type="cellIs" dxfId="3889" priority="129" stopIfTrue="1" operator="lessThanOrEqual">
      <formula>0</formula>
    </cfRule>
  </conditionalFormatting>
  <conditionalFormatting sqref="C94">
    <cfRule type="cellIs" dxfId="3888" priority="128" stopIfTrue="1" operator="greaterThan">
      <formula>$J94</formula>
    </cfRule>
  </conditionalFormatting>
  <conditionalFormatting sqref="C95:C97">
    <cfRule type="cellIs" dxfId="3887" priority="145" stopIfTrue="1" operator="greaterThan">
      <formula>$F95</formula>
    </cfRule>
    <cfRule type="cellIs" dxfId="3886" priority="146" stopIfTrue="1" operator="lessThanOrEqual">
      <formula>0</formula>
    </cfRule>
  </conditionalFormatting>
  <conditionalFormatting sqref="C100:C104">
    <cfRule type="cellIs" dxfId="3885" priority="181" stopIfTrue="1" operator="lessThanOrEqual">
      <formula>0</formula>
    </cfRule>
  </conditionalFormatting>
  <conditionalFormatting sqref="C101:C104">
    <cfRule type="cellIs" dxfId="3884" priority="180" stopIfTrue="1" operator="greaterThan">
      <formula>$F$100</formula>
    </cfRule>
  </conditionalFormatting>
  <conditionalFormatting sqref="C106">
    <cfRule type="cellIs" dxfId="3883" priority="183" stopIfTrue="1" operator="lessThanOrEqual">
      <formula>0</formula>
    </cfRule>
    <cfRule type="cellIs" dxfId="3882" priority="182" stopIfTrue="1" operator="greaterThan">
      <formula>$F$100</formula>
    </cfRule>
  </conditionalFormatting>
  <conditionalFormatting sqref="C100:D100 D102:D108">
    <cfRule type="cellIs" dxfId="3881" priority="175" stopIfTrue="1" operator="greaterThan">
      <formula>4.5</formula>
    </cfRule>
  </conditionalFormatting>
  <conditionalFormatting sqref="D72:D73">
    <cfRule type="cellIs" dxfId="3880" priority="158" operator="notBetween">
      <formula>#REF!</formula>
      <formula>#REF!</formula>
    </cfRule>
  </conditionalFormatting>
  <conditionalFormatting sqref="D89:D96">
    <cfRule type="cellIs" dxfId="3879" priority="144" stopIfTrue="1" operator="lessThanOrEqual">
      <formula>0</formula>
    </cfRule>
  </conditionalFormatting>
  <conditionalFormatting sqref="D97">
    <cfRule type="cellIs" dxfId="3878" priority="143" stopIfTrue="1" operator="lessThanOrEqual">
      <formula>0</formula>
    </cfRule>
  </conditionalFormatting>
  <conditionalFormatting sqref="D100 D102:D108">
    <cfRule type="cellIs" dxfId="3877" priority="176" stopIfTrue="1" operator="lessThanOrEqual">
      <formula>0</formula>
    </cfRule>
  </conditionalFormatting>
  <conditionalFormatting sqref="D101">
    <cfRule type="cellIs" dxfId="3876" priority="167" stopIfTrue="1" operator="greaterThan">
      <formula>$F$100</formula>
    </cfRule>
    <cfRule type="cellIs" dxfId="3875" priority="168" stopIfTrue="1" operator="lessThanOrEqual">
      <formula>0</formula>
    </cfRule>
  </conditionalFormatting>
  <conditionalFormatting sqref="D89:E97">
    <cfRule type="cellIs" dxfId="3874" priority="135" stopIfTrue="1" operator="greaterThan">
      <formula>$F89</formula>
    </cfRule>
  </conditionalFormatting>
  <conditionalFormatting sqref="E10:E14">
    <cfRule type="cellIs" dxfId="3873" priority="52" operator="lessThan">
      <formula>48</formula>
    </cfRule>
  </conditionalFormatting>
  <conditionalFormatting sqref="E33:E46">
    <cfRule type="cellIs" dxfId="3872" priority="25" operator="lessThan">
      <formula>48</formula>
    </cfRule>
  </conditionalFormatting>
  <conditionalFormatting sqref="E76">
    <cfRule type="cellIs" dxfId="3871" priority="169" stopIfTrue="1" operator="lessThan">
      <formula>96.8</formula>
    </cfRule>
    <cfRule type="cellIs" dxfId="3870" priority="170" stopIfTrue="1" operator="greaterThan">
      <formula>100</formula>
    </cfRule>
  </conditionalFormatting>
  <conditionalFormatting sqref="E89:E97">
    <cfRule type="cellIs" dxfId="3869" priority="136" stopIfTrue="1" operator="lessThanOrEqual">
      <formula>0</formula>
    </cfRule>
  </conditionalFormatting>
  <conditionalFormatting sqref="E100:E108">
    <cfRule type="cellIs" dxfId="3868" priority="161" stopIfTrue="1" operator="greaterThan">
      <formula>4.5</formula>
    </cfRule>
    <cfRule type="cellIs" dxfId="3867" priority="162" stopIfTrue="1" operator="lessThanOrEqual">
      <formula>0</formula>
    </cfRule>
  </conditionalFormatting>
  <conditionalFormatting sqref="E75:F76">
    <cfRule type="cellIs" dxfId="3866" priority="171" stopIfTrue="1" operator="lessThan">
      <formula>96.5</formula>
    </cfRule>
    <cfRule type="cellIs" dxfId="3865" priority="172" stopIfTrue="1" operator="greaterThan">
      <formula>100</formula>
    </cfRule>
  </conditionalFormatting>
  <conditionalFormatting sqref="F10:F12">
    <cfRule type="cellIs" dxfId="3864" priority="62" operator="greaterThan">
      <formula>#REF!</formula>
    </cfRule>
  </conditionalFormatting>
  <conditionalFormatting sqref="F10:F47">
    <cfRule type="cellIs" dxfId="3863" priority="15" operator="greaterThan">
      <formula>$AA10</formula>
    </cfRule>
  </conditionalFormatting>
  <conditionalFormatting sqref="F13">
    <cfRule type="cellIs" dxfId="3862" priority="53" operator="greaterThan">
      <formula>$AA47</formula>
    </cfRule>
  </conditionalFormatting>
  <conditionalFormatting sqref="F14">
    <cfRule type="cellIs" dxfId="3861" priority="196" operator="greaterThan">
      <formula>#REF!</formula>
    </cfRule>
  </conditionalFormatting>
  <conditionalFormatting sqref="F33:F46">
    <cfRule type="cellIs" dxfId="3860" priority="26" operator="greaterThan">
      <formula>$AA48</formula>
    </cfRule>
  </conditionalFormatting>
  <conditionalFormatting sqref="F76">
    <cfRule type="cellIs" dxfId="3859" priority="188" stopIfTrue="1" operator="greaterThan">
      <formula>100</formula>
    </cfRule>
    <cfRule type="cellIs" dxfId="3858" priority="187" stopIfTrue="1" operator="lessThan">
      <formula>96.8</formula>
    </cfRule>
  </conditionalFormatting>
  <conditionalFormatting sqref="F97">
    <cfRule type="cellIs" dxfId="3857" priority="137" stopIfTrue="1" operator="greaterThan">
      <formula>$F97</formula>
    </cfRule>
    <cfRule type="cellIs" dxfId="3856" priority="138" stopIfTrue="1" operator="lessThanOrEqual">
      <formula>0</formula>
    </cfRule>
  </conditionalFormatting>
  <conditionalFormatting sqref="G10:G14">
    <cfRule type="expression" dxfId="3855" priority="54">
      <formula>IF(+(IF(G10&lt;#REF!,0,IF(G10&gt;#REF!,0,1)))=0,1)</formula>
    </cfRule>
  </conditionalFormatting>
  <conditionalFormatting sqref="G33:G46">
    <cfRule type="expression" dxfId="3854" priority="27">
      <formula>IF(+(IF(G33&lt;#REF!,0,IF(G33&gt;#REF!,0,1)))=0,1)</formula>
    </cfRule>
  </conditionalFormatting>
  <conditionalFormatting sqref="G90">
    <cfRule type="cellIs" dxfId="3853" priority="71" stopIfTrue="1" operator="lessThanOrEqual">
      <formula>0</formula>
    </cfRule>
    <cfRule type="cellIs" dxfId="3852" priority="70" stopIfTrue="1" operator="greaterThan">
      <formula>$F89</formula>
    </cfRule>
  </conditionalFormatting>
  <conditionalFormatting sqref="G90:G91">
    <cfRule type="cellIs" dxfId="3851" priority="192" stopIfTrue="1" operator="lessThanOrEqual">
      <formula>0</formula>
    </cfRule>
    <cfRule type="cellIs" dxfId="3850" priority="191" stopIfTrue="1" operator="greaterThan">
      <formula>$F89</formula>
    </cfRule>
  </conditionalFormatting>
  <conditionalFormatting sqref="G92">
    <cfRule type="cellIs" dxfId="3849" priority="140" stopIfTrue="1" operator="lessThanOrEqual">
      <formula>0</formula>
    </cfRule>
    <cfRule type="cellIs" dxfId="3848" priority="139" stopIfTrue="1" operator="greaterThan">
      <formula>$F92</formula>
    </cfRule>
  </conditionalFormatting>
  <conditionalFormatting sqref="G93:G96">
    <cfRule type="cellIs" dxfId="3847" priority="149" stopIfTrue="1" operator="lessThanOrEqual">
      <formula>0</formula>
    </cfRule>
    <cfRule type="cellIs" dxfId="3846" priority="148" stopIfTrue="1" operator="greaterThan">
      <formula>$J93</formula>
    </cfRule>
  </conditionalFormatting>
  <conditionalFormatting sqref="G97">
    <cfRule type="cellIs" dxfId="3845" priority="147" operator="greaterThan">
      <formula>4.5</formula>
    </cfRule>
  </conditionalFormatting>
  <conditionalFormatting sqref="G102:G107 C105 C107">
    <cfRule type="cellIs" dxfId="3844" priority="184" stopIfTrue="1" operator="greaterThan">
      <formula>4.5</formula>
    </cfRule>
    <cfRule type="cellIs" dxfId="3843" priority="185" stopIfTrue="1" operator="lessThanOrEqual">
      <formula>0</formula>
    </cfRule>
  </conditionalFormatting>
  <conditionalFormatting sqref="G62:H62 G63:G73 H63:H74">
    <cfRule type="cellIs" dxfId="3842" priority="163" stopIfTrue="1" operator="greaterThan">
      <formula>0</formula>
    </cfRule>
  </conditionalFormatting>
  <conditionalFormatting sqref="G101:H101">
    <cfRule type="cellIs" dxfId="3841" priority="166" stopIfTrue="1" operator="lessThanOrEqual">
      <formula>0</formula>
    </cfRule>
    <cfRule type="cellIs" dxfId="3840" priority="165" stopIfTrue="1" operator="greaterThan">
      <formula>$F$100</formula>
    </cfRule>
  </conditionalFormatting>
  <conditionalFormatting sqref="H10">
    <cfRule type="expression" dxfId="3839" priority="63">
      <formula>IF(+(IF(H10&lt;T27,0,IF(H10&gt;U27,0,1)))=0,1)</formula>
    </cfRule>
  </conditionalFormatting>
  <conditionalFormatting sqref="H10:H12">
    <cfRule type="expression" dxfId="3838" priority="64">
      <formula>IF(+(IF(H10&lt;#REF!,0,IF(H10&gt;#REF!,0,1)))=0,1)</formula>
    </cfRule>
  </conditionalFormatting>
  <conditionalFormatting sqref="H11:H12">
    <cfRule type="expression" dxfId="3837" priority="207">
      <formula>IF(+(IF(H11&lt;T47,0,IF(H11&gt;U47,0,1)))=0,1)</formula>
    </cfRule>
  </conditionalFormatting>
  <conditionalFormatting sqref="H13">
    <cfRule type="expression" dxfId="3836" priority="55">
      <formula>IF(+(IF(H13&lt;T56,0,IF(H13&gt;U56,0,1)))=0,1)</formula>
    </cfRule>
    <cfRule type="expression" dxfId="3835" priority="56">
      <formula>IF(+(IF(H13&lt;T47,0,IF(H13&gt;U47,0,1)))=0,1)</formula>
    </cfRule>
  </conditionalFormatting>
  <conditionalFormatting sqref="H14">
    <cfRule type="expression" dxfId="3834" priority="197">
      <formula>IF(+(IF(H14&lt;T50,0,IF(H14&gt;U50,0,1)))=0,1)</formula>
    </cfRule>
    <cfRule type="expression" dxfId="3833" priority="198">
      <formula>IF(+(IF(H14&lt;#REF!,0,IF(H14&gt;#REF!,0,1)))=0,1)</formula>
    </cfRule>
  </conditionalFormatting>
  <conditionalFormatting sqref="H15:H32">
    <cfRule type="expression" dxfId="3832" priority="209">
      <formula>IF(+(IF(H15&lt;T66,0,IF(H15&gt;U66,0,1)))=0,1)</formula>
    </cfRule>
  </conditionalFormatting>
  <conditionalFormatting sqref="H33:H46">
    <cfRule type="expression" dxfId="3831" priority="29">
      <formula>IF(+(IF(H33&lt;T48,0,IF(H33&gt;U48,0,1)))=0,1)</formula>
    </cfRule>
    <cfRule type="expression" dxfId="3830" priority="28">
      <formula>IF(+(IF(H33&lt;T57,0,IF(H33&gt;U57,0,1)))=0,1)</formula>
    </cfRule>
  </conditionalFormatting>
  <conditionalFormatting sqref="H47">
    <cfRule type="expression" dxfId="3829" priority="193">
      <formula>IF(+(IF(H47&lt;#REF!,0,IF(H47&gt;#REF!,0,1)))=0,1)</formula>
    </cfRule>
  </conditionalFormatting>
  <conditionalFormatting sqref="H51:H61">
    <cfRule type="cellIs" dxfId="3828" priority="159" stopIfTrue="1" operator="greaterThan">
      <formula>0</formula>
    </cfRule>
  </conditionalFormatting>
  <conditionalFormatting sqref="H79">
    <cfRule type="cellIs" dxfId="3827" priority="12" stopIfTrue="1" operator="lessThanOrEqual">
      <formula>0</formula>
    </cfRule>
    <cfRule type="cellIs" dxfId="3826" priority="14" stopIfTrue="1" operator="lessThanOrEqual">
      <formula>0</formula>
    </cfRule>
    <cfRule type="cellIs" dxfId="3825" priority="13" stopIfTrue="1" operator="greaterThan">
      <formula>$F$54</formula>
    </cfRule>
    <cfRule type="cellIs" dxfId="3824" priority="11" stopIfTrue="1" operator="greaterThan">
      <formula>$F$56</formula>
    </cfRule>
    <cfRule type="cellIs" dxfId="3823" priority="2" stopIfTrue="1" operator="lessThanOrEqual">
      <formula>0</formula>
    </cfRule>
    <cfRule type="cellIs" dxfId="3822" priority="3" stopIfTrue="1" operator="greaterThan">
      <formula>$F$53</formula>
    </cfRule>
  </conditionalFormatting>
  <conditionalFormatting sqref="H80">
    <cfRule type="cellIs" dxfId="3821" priority="92" stopIfTrue="1" operator="lessThanOrEqual">
      <formula>0</formula>
    </cfRule>
    <cfRule type="cellIs" dxfId="3820" priority="93" stopIfTrue="1" operator="greaterThan">
      <formula>$F$88</formula>
    </cfRule>
    <cfRule type="cellIs" dxfId="3819" priority="104" stopIfTrue="1" operator="lessThanOrEqual">
      <formula>0</formula>
    </cfRule>
    <cfRule type="cellIs" dxfId="3818" priority="101" stopIfTrue="1" operator="greaterThan">
      <formula>$F$91</formula>
    </cfRule>
    <cfRule type="cellIs" dxfId="3817" priority="102" stopIfTrue="1" operator="lessThanOrEqual">
      <formula>0</formula>
    </cfRule>
    <cfRule type="cellIs" dxfId="3816" priority="103" stopIfTrue="1" operator="greaterThan">
      <formula>$F$89</formula>
    </cfRule>
  </conditionalFormatting>
  <conditionalFormatting sqref="H81">
    <cfRule type="cellIs" dxfId="3815" priority="45" stopIfTrue="1" operator="lessThanOrEqual">
      <formula>0</formula>
    </cfRule>
    <cfRule type="cellIs" dxfId="3814" priority="36" stopIfTrue="1" operator="greaterThan">
      <formula>$F$72</formula>
    </cfRule>
    <cfRule type="cellIs" dxfId="3813" priority="35" stopIfTrue="1" operator="lessThanOrEqual">
      <formula>0</formula>
    </cfRule>
    <cfRule type="cellIs" dxfId="3812" priority="44" stopIfTrue="1" operator="greaterThan">
      <formula>$F$75</formula>
    </cfRule>
    <cfRule type="cellIs" dxfId="3811" priority="47" stopIfTrue="1" operator="lessThanOrEqual">
      <formula>0</formula>
    </cfRule>
    <cfRule type="cellIs" dxfId="3810" priority="46" stopIfTrue="1" operator="greaterThan">
      <formula>$F$73</formula>
    </cfRule>
  </conditionalFormatting>
  <conditionalFormatting sqref="H82">
    <cfRule type="cellIs" dxfId="3809" priority="84" stopIfTrue="1" operator="greaterThan">
      <formula>#REF!</formula>
    </cfRule>
    <cfRule type="cellIs" dxfId="3808" priority="75" stopIfTrue="1" operator="lessThanOrEqual">
      <formula>0</formula>
    </cfRule>
    <cfRule type="cellIs" dxfId="3807" priority="76" stopIfTrue="1" operator="greaterThan">
      <formula>#REF!</formula>
    </cfRule>
  </conditionalFormatting>
  <conditionalFormatting sqref="H82:H84">
    <cfRule type="cellIs" dxfId="3806" priority="85" stopIfTrue="1" operator="lessThanOrEqual">
      <formula>0</formula>
    </cfRule>
  </conditionalFormatting>
  <conditionalFormatting sqref="H83:H84">
    <cfRule type="cellIs" dxfId="3805" priority="125" stopIfTrue="1" operator="lessThanOrEqual">
      <formula>0</formula>
    </cfRule>
    <cfRule type="cellIs" dxfId="3804" priority="124" stopIfTrue="1" operator="greaterThan">
      <formula>$F$90</formula>
    </cfRule>
    <cfRule type="cellIs" dxfId="3803" priority="122" stopIfTrue="1" operator="greaterThan">
      <formula>$F$92</formula>
    </cfRule>
    <cfRule type="cellIs" dxfId="3802" priority="114" stopIfTrue="1" operator="greaterThan">
      <formula>$F$89</formula>
    </cfRule>
    <cfRule type="cellIs" dxfId="3801" priority="123" stopIfTrue="1" operator="lessThanOrEqual">
      <formula>0</formula>
    </cfRule>
  </conditionalFormatting>
  <conditionalFormatting sqref="H85">
    <cfRule type="cellIs" dxfId="3800" priority="155" stopIfTrue="1" operator="greaterThan">
      <formula>$F$82</formula>
    </cfRule>
    <cfRule type="cellIs" dxfId="3799" priority="156" stopIfTrue="1" operator="lessThanOrEqual">
      <formula>0</formula>
    </cfRule>
    <cfRule type="cellIs" dxfId="3798" priority="153" stopIfTrue="1" operator="greaterThan">
      <formula>$F$86</formula>
    </cfRule>
    <cfRule type="cellIs" dxfId="3797" priority="154" stopIfTrue="1" operator="lessThanOrEqual">
      <formula>0</formula>
    </cfRule>
  </conditionalFormatting>
  <conditionalFormatting sqref="H89:H96">
    <cfRule type="cellIs" dxfId="3796" priority="127" stopIfTrue="1" operator="lessThanOrEqual">
      <formula>0</formula>
    </cfRule>
    <cfRule type="cellIs" dxfId="3795" priority="126" stopIfTrue="1" operator="greaterThan">
      <formula>$J89</formula>
    </cfRule>
  </conditionalFormatting>
  <conditionalFormatting sqref="H97">
    <cfRule type="cellIs" dxfId="3794" priority="132" operator="greaterThan">
      <formula>5.3</formula>
    </cfRule>
  </conditionalFormatting>
  <conditionalFormatting sqref="H100 H102:H108">
    <cfRule type="cellIs" dxfId="3793" priority="177" stopIfTrue="1" operator="greaterThan">
      <formula>4.5</formula>
    </cfRule>
    <cfRule type="cellIs" dxfId="3792" priority="178" stopIfTrue="1" operator="lessThanOrEqual">
      <formula>0</formula>
    </cfRule>
  </conditionalFormatting>
  <conditionalFormatting sqref="H79:I79">
    <cfRule type="cellIs" dxfId="3791" priority="4" stopIfTrue="1" operator="lessThanOrEqual">
      <formula>0</formula>
    </cfRule>
    <cfRule type="cellIs" dxfId="3790" priority="1" stopIfTrue="1" operator="greaterThan">
      <formula>$F$55</formula>
    </cfRule>
  </conditionalFormatting>
  <conditionalFormatting sqref="H80:I80">
    <cfRule type="cellIs" dxfId="3789" priority="94" stopIfTrue="1" operator="lessThanOrEqual">
      <formula>0</formula>
    </cfRule>
    <cfRule type="cellIs" dxfId="3788" priority="91" stopIfTrue="1" operator="greaterThan">
      <formula>$F$90</formula>
    </cfRule>
  </conditionalFormatting>
  <conditionalFormatting sqref="H81:I81">
    <cfRule type="cellIs" dxfId="3787" priority="37" stopIfTrue="1" operator="lessThanOrEqual">
      <formula>0</formula>
    </cfRule>
    <cfRule type="cellIs" dxfId="3786" priority="34" stopIfTrue="1" operator="greaterThan">
      <formula>$F$74</formula>
    </cfRule>
  </conditionalFormatting>
  <conditionalFormatting sqref="H82:I82">
    <cfRule type="cellIs" dxfId="3785" priority="83" stopIfTrue="1" operator="lessThanOrEqual">
      <formula>0</formula>
    </cfRule>
    <cfRule type="cellIs" dxfId="3784" priority="82" stopIfTrue="1" operator="greaterThan">
      <formula>#REF!</formula>
    </cfRule>
    <cfRule type="cellIs" dxfId="3783" priority="74" stopIfTrue="1" operator="greaterThan">
      <formula>#REF!</formula>
    </cfRule>
    <cfRule type="cellIs" dxfId="3782" priority="77" stopIfTrue="1" operator="lessThanOrEqual">
      <formula>0</formula>
    </cfRule>
  </conditionalFormatting>
  <conditionalFormatting sqref="H83:I83">
    <cfRule type="cellIs" dxfId="3781" priority="115" stopIfTrue="1" operator="lessThanOrEqual">
      <formula>0</formula>
    </cfRule>
  </conditionalFormatting>
  <conditionalFormatting sqref="H83:I84">
    <cfRule type="cellIs" dxfId="3780" priority="72" stopIfTrue="1" operator="greaterThan">
      <formula>$F$91</formula>
    </cfRule>
  </conditionalFormatting>
  <conditionalFormatting sqref="H84:I84">
    <cfRule type="cellIs" dxfId="3779" priority="73" stopIfTrue="1" operator="lessThanOrEqual">
      <formula>0</formula>
    </cfRule>
  </conditionalFormatting>
  <conditionalFormatting sqref="I10:I14">
    <cfRule type="cellIs" dxfId="3778" priority="49" operator="lessThan">
      <formula>97.8</formula>
    </cfRule>
  </conditionalFormatting>
  <conditionalFormatting sqref="I10:I47">
    <cfRule type="cellIs" dxfId="3777" priority="21" operator="lessThan">
      <formula>98</formula>
    </cfRule>
  </conditionalFormatting>
  <conditionalFormatting sqref="I33:I46">
    <cfRule type="cellIs" dxfId="3776" priority="22" operator="lessThan">
      <formula>97.8</formula>
    </cfRule>
  </conditionalFormatting>
  <conditionalFormatting sqref="I79">
    <cfRule type="cellIs" dxfId="3775" priority="5" stopIfTrue="1" operator="greaterThan">
      <formula>$F$53</formula>
    </cfRule>
    <cfRule type="cellIs" dxfId="3774" priority="6" stopIfTrue="1" operator="lessThanOrEqual">
      <formula>0</formula>
    </cfRule>
    <cfRule type="cellIs" dxfId="3773" priority="7" stopIfTrue="1" operator="greaterThan">
      <formula>$F$55</formula>
    </cfRule>
    <cfRule type="cellIs" dxfId="3772" priority="8" stopIfTrue="1" operator="lessThanOrEqual">
      <formula>0</formula>
    </cfRule>
    <cfRule type="cellIs" dxfId="3771" priority="9" stopIfTrue="1" operator="greaterThan">
      <formula>$F$53</formula>
    </cfRule>
    <cfRule type="cellIs" dxfId="3770" priority="10" stopIfTrue="1" operator="lessThanOrEqual">
      <formula>0</formula>
    </cfRule>
  </conditionalFormatting>
  <conditionalFormatting sqref="I80">
    <cfRule type="cellIs" dxfId="3769" priority="99" stopIfTrue="1" operator="greaterThan">
      <formula>$F$88</formula>
    </cfRule>
    <cfRule type="cellIs" dxfId="3768" priority="97" stopIfTrue="1" operator="greaterThan">
      <formula>$F$90</formula>
    </cfRule>
    <cfRule type="cellIs" dxfId="3767" priority="96" stopIfTrue="1" operator="lessThanOrEqual">
      <formula>0</formula>
    </cfRule>
    <cfRule type="cellIs" dxfId="3766" priority="95" stopIfTrue="1" operator="greaterThan">
      <formula>$F$88</formula>
    </cfRule>
    <cfRule type="cellIs" dxfId="3765" priority="100" stopIfTrue="1" operator="lessThanOrEqual">
      <formula>0</formula>
    </cfRule>
    <cfRule type="cellIs" dxfId="3764" priority="98" stopIfTrue="1" operator="lessThanOrEqual">
      <formula>0</formula>
    </cfRule>
  </conditionalFormatting>
  <conditionalFormatting sqref="I81">
    <cfRule type="cellIs" dxfId="3763" priority="43" stopIfTrue="1" operator="lessThanOrEqual">
      <formula>0</formula>
    </cfRule>
    <cfRule type="cellIs" dxfId="3762" priority="42" stopIfTrue="1" operator="greaterThan">
      <formula>$F$72</formula>
    </cfRule>
    <cfRule type="cellIs" dxfId="3761" priority="41" stopIfTrue="1" operator="lessThanOrEqual">
      <formula>0</formula>
    </cfRule>
    <cfRule type="cellIs" dxfId="3760" priority="40" stopIfTrue="1" operator="greaterThan">
      <formula>$F$74</formula>
    </cfRule>
    <cfRule type="cellIs" dxfId="3759" priority="39" stopIfTrue="1" operator="lessThanOrEqual">
      <formula>0</formula>
    </cfRule>
    <cfRule type="cellIs" dxfId="3758" priority="38" stopIfTrue="1" operator="greaterThan">
      <formula>$F$72</formula>
    </cfRule>
  </conditionalFormatting>
  <conditionalFormatting sqref="I82">
    <cfRule type="cellIs" dxfId="3757" priority="80" stopIfTrue="1" operator="greaterThan">
      <formula>#REF!</formula>
    </cfRule>
    <cfRule type="cellIs" dxfId="3756" priority="79" stopIfTrue="1" operator="lessThanOrEqual">
      <formula>0</formula>
    </cfRule>
    <cfRule type="cellIs" dxfId="3755" priority="78" stopIfTrue="1" operator="greaterThan">
      <formula>#REF!</formula>
    </cfRule>
    <cfRule type="cellIs" dxfId="3754" priority="81" stopIfTrue="1" operator="lessThanOrEqual">
      <formula>0</formula>
    </cfRule>
  </conditionalFormatting>
  <conditionalFormatting sqref="I83:I84">
    <cfRule type="cellIs" dxfId="3753" priority="118" stopIfTrue="1" operator="greaterThan">
      <formula>$F$91</formula>
    </cfRule>
    <cfRule type="cellIs" dxfId="3752" priority="116" stopIfTrue="1" operator="greaterThan">
      <formula>$F$89</formula>
    </cfRule>
    <cfRule type="cellIs" dxfId="3751" priority="117" stopIfTrue="1" operator="lessThanOrEqual">
      <formula>0</formula>
    </cfRule>
    <cfRule type="cellIs" dxfId="3750" priority="119" stopIfTrue="1" operator="lessThanOrEqual">
      <formula>0</formula>
    </cfRule>
    <cfRule type="cellIs" dxfId="3749" priority="120" stopIfTrue="1" operator="greaterThan">
      <formula>$F$89</formula>
    </cfRule>
    <cfRule type="cellIs" dxfId="3748" priority="121" stopIfTrue="1" operator="lessThanOrEqual">
      <formula>0</formula>
    </cfRule>
  </conditionalFormatting>
  <conditionalFormatting sqref="I89:I97">
    <cfRule type="cellIs" dxfId="3747" priority="133" stopIfTrue="1" operator="greaterThan">
      <formula>$J89</formula>
    </cfRule>
    <cfRule type="cellIs" dxfId="3746" priority="134" stopIfTrue="1" operator="lessThanOrEqual">
      <formula>0</formula>
    </cfRule>
  </conditionalFormatting>
  <conditionalFormatting sqref="I100:I108">
    <cfRule type="cellIs" dxfId="3745" priority="173" stopIfTrue="1" operator="greaterThan">
      <formula>4.5</formula>
    </cfRule>
    <cfRule type="cellIs" dxfId="3744" priority="174" stopIfTrue="1" operator="lessThanOrEqual">
      <formula>0</formula>
    </cfRule>
  </conditionalFormatting>
  <conditionalFormatting sqref="J10:J14">
    <cfRule type="cellIs" dxfId="3743" priority="51" operator="notBetween">
      <formula>98</formula>
      <formula>99.9</formula>
    </cfRule>
  </conditionalFormatting>
  <conditionalFormatting sqref="J10:J47">
    <cfRule type="cellIs" dxfId="3742" priority="20" operator="lessThan">
      <formula>97.4</formula>
    </cfRule>
  </conditionalFormatting>
  <conditionalFormatting sqref="J33:J46">
    <cfRule type="cellIs" dxfId="3741" priority="24" operator="notBetween">
      <formula>98</formula>
      <formula>99.9</formula>
    </cfRule>
  </conditionalFormatting>
  <conditionalFormatting sqref="J50:J52">
    <cfRule type="cellIs" dxfId="3740" priority="108" stopIfTrue="1" operator="greaterThan">
      <formula>100</formula>
    </cfRule>
    <cfRule type="cellIs" dxfId="3739" priority="109" operator="lessThan">
      <formula>98</formula>
    </cfRule>
    <cfRule type="cellIs" dxfId="3738" priority="107" stopIfTrue="1" operator="lessThan">
      <formula>96.8</formula>
    </cfRule>
  </conditionalFormatting>
  <conditionalFormatting sqref="J50:J54">
    <cfRule type="cellIs" dxfId="3737" priority="48" operator="lessThan">
      <formula>97.4</formula>
    </cfRule>
  </conditionalFormatting>
  <conditionalFormatting sqref="J55 L59:M59 L61:M61">
    <cfRule type="cellIs" dxfId="3736" priority="110" operator="lessThan">
      <formula>98</formula>
    </cfRule>
  </conditionalFormatting>
  <conditionalFormatting sqref="J56:J57">
    <cfRule type="cellIs" dxfId="3735" priority="111" stopIfTrue="1" operator="lessThan">
      <formula>96.8</formula>
    </cfRule>
    <cfRule type="cellIs" dxfId="3734" priority="112" stopIfTrue="1" operator="greaterThan">
      <formula>100</formula>
    </cfRule>
  </conditionalFormatting>
  <conditionalFormatting sqref="J56:J58">
    <cfRule type="cellIs" dxfId="3733" priority="113" operator="lessThan">
      <formula>98</formula>
    </cfRule>
  </conditionalFormatting>
  <conditionalFormatting sqref="K10:K14">
    <cfRule type="cellIs" dxfId="3732" priority="50" operator="greaterThan">
      <formula>6.4</formula>
    </cfRule>
  </conditionalFormatting>
  <conditionalFormatting sqref="K10:K47">
    <cfRule type="cellIs" dxfId="3731" priority="17" operator="lessThan">
      <formula>4</formula>
    </cfRule>
    <cfRule type="cellIs" dxfId="3730" priority="16" operator="greaterThan">
      <formula>6</formula>
    </cfRule>
  </conditionalFormatting>
  <conditionalFormatting sqref="K33:K46">
    <cfRule type="cellIs" dxfId="3729" priority="23" operator="greaterThan">
      <formula>6.4</formula>
    </cfRule>
  </conditionalFormatting>
  <conditionalFormatting sqref="K64:K73">
    <cfRule type="cellIs" dxfId="3728" priority="141" operator="notEqual">
      <formula>#REF!</formula>
    </cfRule>
  </conditionalFormatting>
  <conditionalFormatting sqref="K79:K84 J85:K85 L89:N89 K90:N97">
    <cfRule type="cellIs" dxfId="3727" priority="152" stopIfTrue="1" operator="lessThan">
      <formula>100%</formula>
    </cfRule>
  </conditionalFormatting>
  <conditionalFormatting sqref="K100:K105">
    <cfRule type="cellIs" dxfId="3726" priority="179" stopIfTrue="1" operator="lessThan">
      <formula>100%</formula>
    </cfRule>
  </conditionalFormatting>
  <conditionalFormatting sqref="K107:K108">
    <cfRule type="cellIs" dxfId="3725" priority="186" stopIfTrue="1" operator="lessThan">
      <formula>100%</formula>
    </cfRule>
  </conditionalFormatting>
  <conditionalFormatting sqref="L10:L47">
    <cfRule type="cellIs" dxfId="3724" priority="19" operator="greaterThan">
      <formula>65</formula>
    </cfRule>
    <cfRule type="cellIs" dxfId="3723" priority="18" operator="between">
      <formula>61</formula>
      <formula>65</formula>
    </cfRule>
  </conditionalFormatting>
  <conditionalFormatting sqref="L52:L58">
    <cfRule type="cellIs" dxfId="3722" priority="88" operator="lessThan">
      <formula>98</formula>
    </cfRule>
  </conditionalFormatting>
  <conditionalFormatting sqref="L65:N65">
    <cfRule type="cellIs" dxfId="3721" priority="87" operator="notEqual">
      <formula>#REF!</formula>
    </cfRule>
  </conditionalFormatting>
  <conditionalFormatting sqref="L100:N108">
    <cfRule type="cellIs" dxfId="3720" priority="164" stopIfTrue="1" operator="lessThan">
      <formula>100%</formula>
    </cfRule>
  </conditionalFormatting>
  <conditionalFormatting sqref="M10:M11">
    <cfRule type="expression" dxfId="3719" priority="65">
      <formula>IF(+(IF(M10&lt;V23,0,IF(M10&gt;W23,0,1)))=0,1)</formula>
    </cfRule>
  </conditionalFormatting>
  <conditionalFormatting sqref="M13">
    <cfRule type="expression" dxfId="3718" priority="58">
      <formula>IF(+(IF(M13&lt;V47,0,IF(M13&gt;W47,0,1)))=0,1)</formula>
    </cfRule>
    <cfRule type="expression" dxfId="3717" priority="57">
      <formula>IF(+(IF(M13&lt;V52,0,IF(M13&gt;W52,0,1)))=0,1)</formula>
    </cfRule>
  </conditionalFormatting>
  <conditionalFormatting sqref="M14">
    <cfRule type="expression" dxfId="3716" priority="199">
      <formula>IF(+(IF(M14&lt;V27,0,IF(M14&gt;W27,0,1)))=0,1)</formula>
    </cfRule>
  </conditionalFormatting>
  <conditionalFormatting sqref="M15:M32">
    <cfRule type="expression" dxfId="3715" priority="210">
      <formula>IF(+(IF(M15&lt;V62,0,IF(M15&gt;W62,0,1)))=0,1)</formula>
    </cfRule>
  </conditionalFormatting>
  <conditionalFormatting sqref="M33:M46">
    <cfRule type="expression" dxfId="3714" priority="31">
      <formula>IF(+(IF(M33&lt;V48,0,IF(M33&gt;W48,0,1)))=0,1)</formula>
    </cfRule>
    <cfRule type="expression" dxfId="3713" priority="30">
      <formula>IF(+(IF(M33&lt;V53,0,IF(M33&gt;W53,0,1)))=0,1)</formula>
    </cfRule>
  </conditionalFormatting>
  <conditionalFormatting sqref="M50:M58">
    <cfRule type="cellIs" dxfId="3712" priority="86" operator="lessThan">
      <formula>98</formula>
    </cfRule>
  </conditionalFormatting>
  <conditionalFormatting sqref="M10:N12">
    <cfRule type="expression" dxfId="3711" priority="66">
      <formula>IF(+(IF(M10&lt;#REF!,0,IF(M10&gt;#REF!,0,1)))=0,1)</formula>
    </cfRule>
  </conditionalFormatting>
  <conditionalFormatting sqref="M14:N14">
    <cfRule type="expression" dxfId="3710" priority="200">
      <formula>IF(+(IF(M14&lt;#REF!,0,IF(M14&gt;#REF!,0,1)))=0,1)</formula>
    </cfRule>
  </conditionalFormatting>
  <conditionalFormatting sqref="M47:N47">
    <cfRule type="expression" dxfId="3709" priority="194">
      <formula>IF(+(IF(M47&lt;#REF!,0,IF(M47&gt;#REF!,0,1)))=0,1)</formula>
    </cfRule>
  </conditionalFormatting>
  <conditionalFormatting sqref="N10:N11">
    <cfRule type="expression" dxfId="3708" priority="67">
      <formula>IF(+(IF(N10&lt;X23,0,IF(N10&gt;Y23,0,1)))=0,1)</formula>
    </cfRule>
  </conditionalFormatting>
  <conditionalFormatting sqref="N13">
    <cfRule type="expression" dxfId="3707" priority="60">
      <formula>IF(+(IF(N13&lt;X47,0,IF(N13&gt;Y47,0,1)))=0,1)</formula>
    </cfRule>
    <cfRule type="expression" dxfId="3706" priority="59">
      <formula>IF(+(IF(N13&lt;X52,0,IF(N13&gt;Y52,0,1)))=0,1)</formula>
    </cfRule>
  </conditionalFormatting>
  <conditionalFormatting sqref="N14">
    <cfRule type="expression" dxfId="3705" priority="203">
      <formula>IF(+(IF(N14&lt;X27,0,IF(N14&gt;Y27,0,1)))=0,1)</formula>
    </cfRule>
  </conditionalFormatting>
  <conditionalFormatting sqref="N15:N32">
    <cfRule type="expression" dxfId="3704" priority="211">
      <formula>IF(+(IF(N15&lt;X62,0,IF(N15&gt;Y62,0,1)))=0,1)</formula>
    </cfRule>
  </conditionalFormatting>
  <conditionalFormatting sqref="N33:N46">
    <cfRule type="expression" dxfId="3703" priority="33">
      <formula>IF(+(IF(N33&lt;X48,0,IF(N33&gt;Y48,0,1)))=0,1)</formula>
    </cfRule>
    <cfRule type="expression" dxfId="3702" priority="32">
      <formula>IF(+(IF(N33&lt;X53,0,IF(N33&gt;Y53,0,1)))=0,1)</formula>
    </cfRule>
  </conditionalFormatting>
  <conditionalFormatting sqref="P6">
    <cfRule type="cellIs" dxfId="3701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A65F-248D-4A76-9EA8-89300246DF69}">
  <sheetPr>
    <pageSetUpPr fitToPage="1"/>
  </sheetPr>
  <dimension ref="A1:BE71"/>
  <sheetViews>
    <sheetView topLeftCell="A26" zoomScale="70" zoomScaleNormal="70" workbookViewId="0">
      <selection activeCell="B12" sqref="B12:O12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46174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[3]Brewhouse!$A441</f>
        <v>CA395</v>
      </c>
      <c r="D10" s="279">
        <f>[3]Brewhouse!$AF441</f>
        <v>47.9</v>
      </c>
      <c r="E10" s="279">
        <f>[3]Brewhouse!$AI441</f>
        <v>47.9</v>
      </c>
      <c r="F10" s="278">
        <f>[3]Brewhouse!$V441</f>
        <v>60</v>
      </c>
      <c r="G10" s="279">
        <f>[3]Brewhouse!AG441</f>
        <v>12</v>
      </c>
      <c r="H10" s="396">
        <v>12.2</v>
      </c>
      <c r="I10" s="368">
        <f>[3]Brewhouse!$AU441</f>
        <v>94.35299110982487</v>
      </c>
      <c r="J10" s="368">
        <f>[3]Brewhouse!$AV441</f>
        <v>95.174307131157988</v>
      </c>
      <c r="K10" s="281">
        <f>[3]Brewhouse!$Q441</f>
        <v>12.62962962962963</v>
      </c>
      <c r="L10" s="276">
        <f>[3]Brewhouse!$P441</f>
        <v>57</v>
      </c>
      <c r="M10" s="397">
        <f>[3]Brewhouse!$U441-[3]Brewhouse!$T441</f>
        <v>0.12708333333333333</v>
      </c>
      <c r="N10" s="486">
        <f>[3]Brewhouse!$Z441</f>
        <v>0.32847222222222217</v>
      </c>
      <c r="O10" s="420" t="str">
        <f>[3]Brewhouse!$AX441</f>
        <v>R. Regis</v>
      </c>
      <c r="P10" s="418"/>
      <c r="R10" s="277" t="str">
        <f t="shared" ref="R10:R15" si="0">B10</f>
        <v>CARIB</v>
      </c>
      <c r="S10" s="472">
        <f t="shared" ref="S10:S31" si="1">VLOOKUP($B10,$R$3:$X$9,2,FALSE)</f>
        <v>11.6</v>
      </c>
      <c r="T10" s="472">
        <f t="shared" ref="T10:T31" si="2">VLOOKUP($B10,$R$3:$X$9,3,FALSE)</f>
        <v>12</v>
      </c>
      <c r="U10" s="297">
        <f t="shared" ref="U10:U31" si="3">VLOOKUP($B10,$R$3:$X$9,4,FALSE)</f>
        <v>0</v>
      </c>
      <c r="V10" s="297">
        <f t="shared" ref="V10:V31" si="4">VLOOKUP($B10,$R$3:$X$9,5,FALSE)</f>
        <v>0.118055555555556</v>
      </c>
      <c r="W10" s="297">
        <f t="shared" ref="W10:W31" si="5">VLOOKUP($B10,$R$3:$X$9,6,FALSE)</f>
        <v>0.22569444444444445</v>
      </c>
      <c r="X10" s="297">
        <f t="shared" ref="X10:X31" si="6">VLOOKUP($B10,$R$3:$X$9,7,FALSE)</f>
        <v>0.2638888888888889</v>
      </c>
      <c r="Y10" s="297">
        <f t="shared" ref="Y10:Y31" si="7">VLOOKUP($B10,$R$3:$Z$9,8,FALSE)</f>
        <v>0</v>
      </c>
      <c r="Z10" s="472">
        <f t="shared" ref="Z10:Z31" si="8">VLOOKUP($B10,$R$3:$Z$9,9,FALSE)</f>
        <v>60</v>
      </c>
    </row>
    <row r="11" spans="2:29" ht="15">
      <c r="B11" s="29" t="s">
        <v>6</v>
      </c>
      <c r="C11" s="366" t="str">
        <f>[3]Brewhouse!$A442</f>
        <v>CA396</v>
      </c>
      <c r="D11" s="279">
        <f>[3]Brewhouse!$AF442</f>
        <v>50.4</v>
      </c>
      <c r="E11" s="279">
        <f>[3]Brewhouse!$AI442</f>
        <v>50.1</v>
      </c>
      <c r="F11" s="278">
        <f>[3]Brewhouse!$V442</f>
        <v>47</v>
      </c>
      <c r="G11" s="279">
        <f>[3]Brewhouse!AG442</f>
        <v>12</v>
      </c>
      <c r="H11" s="396">
        <v>11.8</v>
      </c>
      <c r="I11" s="368">
        <f>[3]Brewhouse!$AU442</f>
        <v>99.78810647611833</v>
      </c>
      <c r="J11" s="368">
        <f>[3]Brewhouse!$AV442</f>
        <v>100.65622530286895</v>
      </c>
      <c r="K11" s="281">
        <f>[3]Brewhouse!$Q442</f>
        <v>9.6487985212569285</v>
      </c>
      <c r="L11" s="276">
        <f>[3]Brewhouse!$P442</f>
        <v>60</v>
      </c>
      <c r="M11" s="397">
        <f>[3]Brewhouse!$U442-[3]Brewhouse!$T442</f>
        <v>0.10555555555555562</v>
      </c>
      <c r="N11" s="486">
        <f>[3]Brewhouse!$Z442</f>
        <v>0.26527777777777783</v>
      </c>
      <c r="O11" s="420" t="str">
        <f>[3]Brewhouse!$AX442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[3]Brewhouse!$A443</f>
        <v>CA397</v>
      </c>
      <c r="D12" s="279">
        <f>[3]Brewhouse!$AF443</f>
        <v>49.8</v>
      </c>
      <c r="E12" s="279">
        <f>[3]Brewhouse!$AI443</f>
        <v>49.5</v>
      </c>
      <c r="F12" s="278">
        <f>[3]Brewhouse!$V443</f>
        <v>50</v>
      </c>
      <c r="G12" s="279">
        <f>[3]Brewhouse!AG443</f>
        <v>12</v>
      </c>
      <c r="H12" s="396">
        <v>12</v>
      </c>
      <c r="I12" s="368">
        <f>[3]Brewhouse!$AU443</f>
        <v>98.715472456614393</v>
      </c>
      <c r="J12" s="368">
        <f>[3]Brewhouse!$AV443</f>
        <v>99.574203204894033</v>
      </c>
      <c r="K12" s="281">
        <f>[3]Brewhouse!$Q443</f>
        <v>11.333333333333329</v>
      </c>
      <c r="L12" s="276">
        <f>[3]Brewhouse!$P443</f>
        <v>60</v>
      </c>
      <c r="M12" s="397">
        <f>[3]Brewhouse!$U443-[3]Brewhouse!$T443</f>
        <v>0.10069444444444442</v>
      </c>
      <c r="N12" s="370">
        <f>[3]Brewhouse!$Z443</f>
        <v>0.25694444444444442</v>
      </c>
      <c r="O12" s="420" t="str">
        <f>[3]Brewhouse!$AX443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482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420"/>
      <c r="P13" s="418"/>
      <c r="R13" s="277"/>
      <c r="S13" s="472"/>
      <c r="T13" s="472"/>
      <c r="U13" s="297"/>
      <c r="V13" s="297"/>
      <c r="W13" s="297"/>
      <c r="X13" s="297"/>
      <c r="Y13" s="297"/>
      <c r="Z13" s="472"/>
    </row>
    <row r="14" spans="2:29" ht="15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5">
      <c r="B15" s="33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8" customHeight="1">
      <c r="B16" s="29"/>
      <c r="C16" s="366"/>
      <c r="D16" s="279"/>
      <c r="E16" s="279"/>
      <c r="F16" s="278"/>
      <c r="G16" s="279"/>
      <c r="H16" s="481"/>
      <c r="I16" s="368"/>
      <c r="J16" s="368"/>
      <c r="K16" s="281"/>
      <c r="L16" s="276"/>
      <c r="M16" s="374"/>
      <c r="N16" s="370"/>
      <c r="O16" s="371"/>
      <c r="P16" s="418"/>
      <c r="R16" s="277">
        <f t="shared" ref="R16:R31" si="9">B16</f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6.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.75" customHeight="1" thickBot="1">
      <c r="B18" s="358"/>
      <c r="C18" s="358"/>
      <c r="D18" s="358"/>
      <c r="E18" s="358"/>
      <c r="F18" s="294"/>
      <c r="G18" s="294"/>
      <c r="H18" s="348"/>
      <c r="I18" s="544"/>
      <c r="J18" s="544"/>
      <c r="K18" s="544"/>
      <c r="L18" s="544"/>
      <c r="M18" s="544"/>
      <c r="N18" s="544"/>
      <c r="O18" s="1"/>
      <c r="P18" s="12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.75" customHeight="1" thickBot="1">
      <c r="B19" s="388" t="s">
        <v>162</v>
      </c>
      <c r="C19" s="388"/>
      <c r="D19" s="545" t="s">
        <v>35</v>
      </c>
      <c r="E19" s="546"/>
      <c r="F19" s="294"/>
      <c r="G19" s="294"/>
      <c r="H19" s="348"/>
      <c r="I19" s="24" t="s">
        <v>17</v>
      </c>
      <c r="J19" s="25"/>
      <c r="K19" s="26" t="s">
        <v>138</v>
      </c>
      <c r="L19" s="25" t="s">
        <v>37</v>
      </c>
      <c r="M19" s="25" t="s">
        <v>38</v>
      </c>
      <c r="N19" s="27" t="s">
        <v>39</v>
      </c>
      <c r="O19" s="294"/>
      <c r="P19" s="12"/>
      <c r="R19" s="277" t="str">
        <f t="shared" si="9"/>
        <v xml:space="preserve">BRAND 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5" customHeight="1">
      <c r="A20" s="28"/>
      <c r="B20" s="530"/>
      <c r="C20" s="362"/>
      <c r="D20" s="548"/>
      <c r="E20" s="549"/>
      <c r="F20" s="294"/>
      <c r="G20" s="294"/>
      <c r="H20" s="348"/>
      <c r="I20" s="29" t="s">
        <v>6</v>
      </c>
      <c r="J20" s="323">
        <f>AVERAGE(I10:I14)</f>
        <v>97.618856680852545</v>
      </c>
      <c r="K20" s="284">
        <f>COUNTA([3]Brewhouse!$A$441:$A$444)</f>
        <v>4</v>
      </c>
      <c r="L20" s="305">
        <f>AVERAGE([3]Brewhouse!$AU$441:$AU$444)</f>
        <v>97.923972339277071</v>
      </c>
      <c r="M20" s="305">
        <f>AVERAGE([3]Brewhouse!$AU$42:$AU$123,[3]Brewhouse!$AU$125:$AU$188,[3]Brewhouse!$AU$198:$AU$290,[3]Brewhouse!$AU$292:$AU$370,[3]Brewhouse!$AU$372:$AU$439,[3]Brewhouse!$AU$441:$AU$444)</f>
        <v>97.974101899980809</v>
      </c>
      <c r="N20" s="30">
        <v>98</v>
      </c>
      <c r="O20" s="11"/>
      <c r="P20" s="31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5" customHeight="1">
      <c r="A21" s="28"/>
      <c r="B21" s="531"/>
      <c r="C21" s="362"/>
      <c r="D21" s="550"/>
      <c r="E21" s="536"/>
      <c r="F21" s="294"/>
      <c r="G21" s="294"/>
      <c r="H21" s="348"/>
      <c r="I21" s="33" t="s">
        <v>9</v>
      </c>
      <c r="J21" s="323"/>
      <c r="K21" s="284"/>
      <c r="L21" s="302"/>
      <c r="M21" s="302">
        <f>AVERAGE([4]Brewhouse!$AS$52:$AS$81,[4]Brewhouse!$AS$83:$AS$124,[4]Brewhouse!$AS$134:$AS$177,[4]Brewhouse!$AS$22:$AS$179,[4]Brewhouse!$AS$214:$AS$248)</f>
        <v>97.973401211175855</v>
      </c>
      <c r="N21" s="30">
        <v>98</v>
      </c>
      <c r="O21" s="11"/>
      <c r="P21" s="31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4.65" customHeight="1">
      <c r="A22" s="28"/>
      <c r="B22" s="531"/>
      <c r="C22" s="362"/>
      <c r="D22" s="540"/>
      <c r="E22" s="541"/>
      <c r="F22" s="294"/>
      <c r="G22" s="294"/>
      <c r="H22" s="348"/>
      <c r="I22" s="34" t="s">
        <v>12</v>
      </c>
      <c r="J22" s="280"/>
      <c r="K22" s="284"/>
      <c r="L22" s="302"/>
      <c r="M22" s="302">
        <f>AVERAGE([5]Brewhouse!$AU$16:$AU$23,[5]Brewhouse!$AU$25:$AU$32,[5]Brewhouse!$AU$34:$AU$41,[5]Brewhouse!$AU$43:$AU$55)</f>
        <v>96.793456653928644</v>
      </c>
      <c r="N22" s="30">
        <v>98</v>
      </c>
      <c r="O22" s="11"/>
      <c r="P22" s="31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31"/>
      <c r="C23" s="362"/>
      <c r="D23" s="535"/>
      <c r="E23" s="536"/>
      <c r="F23" s="294"/>
      <c r="G23" s="294"/>
      <c r="H23" s="348"/>
      <c r="I23" s="22" t="s">
        <v>33</v>
      </c>
      <c r="J23" s="280"/>
      <c r="K23" s="284"/>
      <c r="L23" s="302"/>
      <c r="M23" s="302">
        <f>AVERAGE([6]Brewhouse!$AV$23:$AV$34,[6]Brewhouse!$AV$36,[6]Brewhouse!$AV$38:$AV$52,[6]Brewhouse!$AV$54:$AV$60,[6]Brewhouse!$AV$62:$AV$68)</f>
        <v>97.579195177204838</v>
      </c>
      <c r="N23" s="30">
        <v>98</v>
      </c>
      <c r="O23" s="11"/>
      <c r="P23" s="31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31"/>
      <c r="C24" s="362"/>
      <c r="D24" s="540"/>
      <c r="E24" s="541"/>
      <c r="F24" s="417"/>
      <c r="G24" s="294"/>
      <c r="H24" s="348"/>
      <c r="I24" s="35" t="s">
        <v>29</v>
      </c>
      <c r="J24" s="280"/>
      <c r="K24" s="284"/>
      <c r="L24" s="302"/>
      <c r="M24" s="302"/>
      <c r="N24" s="30">
        <v>98</v>
      </c>
      <c r="O24" s="11"/>
      <c r="P24" s="31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31"/>
      <c r="C25" s="362"/>
      <c r="D25" s="535"/>
      <c r="E25" s="536"/>
      <c r="F25" s="417"/>
      <c r="G25" s="294"/>
      <c r="H25" s="348"/>
      <c r="I25" s="36" t="s">
        <v>15</v>
      </c>
      <c r="J25" s="323"/>
      <c r="K25" s="284"/>
      <c r="L25" s="302"/>
      <c r="M25" s="302">
        <f>AVERAGE([7]Brewhouse!$AT$4:$AT$11,[7]Brewhouse!$AT$13:$AT$16)</f>
        <v>91.538375374138752</v>
      </c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1"/>
      <c r="C26" s="362"/>
      <c r="D26" s="540"/>
      <c r="E26" s="541"/>
      <c r="F26" s="417"/>
      <c r="G26" s="294"/>
      <c r="H26" s="348"/>
      <c r="I26" s="37" t="s">
        <v>16</v>
      </c>
      <c r="J26" s="323"/>
      <c r="K26" s="284"/>
      <c r="L26" s="302"/>
      <c r="M26" s="302">
        <f>AVERAGE([8]Brewhouse!$AY$5:$AY$14,[8]Brewhouse!$AY$16:$AY$23,[8]Brewhouse!$AY$42,[8]Brewhouse!$AY$44:$AY$51,[8]Brewhouse!$AY$53:$AY$64)</f>
        <v>97.359350085271998</v>
      </c>
      <c r="N26" s="30">
        <v>98</v>
      </c>
      <c r="O26" s="11"/>
      <c r="P26" s="31" t="s">
        <v>41</v>
      </c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31"/>
      <c r="C27" s="362"/>
      <c r="D27" s="535"/>
      <c r="E27" s="536"/>
      <c r="F27" s="294"/>
      <c r="G27" s="294"/>
      <c r="H27" s="348"/>
      <c r="I27" s="411" t="s">
        <v>158</v>
      </c>
      <c r="J27" s="326"/>
      <c r="K27" s="284"/>
      <c r="L27" s="305"/>
      <c r="M27" s="305"/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31"/>
      <c r="C28" s="349"/>
      <c r="D28" s="540"/>
      <c r="E28" s="541"/>
      <c r="F28" s="294"/>
      <c r="G28" s="294"/>
      <c r="H28" s="348"/>
      <c r="I28" s="410" t="s">
        <v>157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  <c r="AA28" s="472"/>
    </row>
    <row r="29" spans="1:27" ht="15" customHeight="1" thickBot="1">
      <c r="A29" s="28"/>
      <c r="B29" s="531"/>
      <c r="C29" s="349"/>
      <c r="D29" s="535"/>
      <c r="E29" s="536"/>
      <c r="F29" s="294"/>
      <c r="G29" s="294"/>
      <c r="H29" s="348"/>
      <c r="I29" s="406" t="s">
        <v>156</v>
      </c>
      <c r="J29" s="327"/>
      <c r="K29" s="407"/>
      <c r="L29" s="408"/>
      <c r="M29" s="408"/>
      <c r="N29" s="409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5" customHeight="1" thickBot="1">
      <c r="A30" s="28"/>
      <c r="B30" s="531"/>
      <c r="C30" s="349"/>
      <c r="D30" s="548"/>
      <c r="E30" s="549"/>
      <c r="F30" s="294"/>
      <c r="G30" s="294"/>
      <c r="H30" s="348"/>
      <c r="I30" s="1"/>
      <c r="J30" s="39"/>
      <c r="K30" s="404">
        <f>SUM(K20:K29)</f>
        <v>4</v>
      </c>
      <c r="L30" s="405">
        <f>((L20*K20)+(L21*K21)+(L22*K22)+(L23*K23)+(L24*K24)+(K27*L27)+(L25*K25)+(L26*K26)+(L29*K29))/(K30)</f>
        <v>97.923972339277071</v>
      </c>
      <c r="M30" s="405">
        <f>AVERAGE('[9]Jan30th-31st'!$L$42,L30)</f>
        <v>97.876007037559276</v>
      </c>
      <c r="N30" s="4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.75" thickBot="1">
      <c r="B31" s="547"/>
      <c r="C31" s="350"/>
      <c r="D31" s="550"/>
      <c r="E31" s="536"/>
      <c r="F31" s="294"/>
      <c r="G31" s="42"/>
      <c r="H31" s="41"/>
      <c r="I31" s="42"/>
      <c r="J31" s="42"/>
      <c r="K31" s="351"/>
      <c r="L31" s="348"/>
      <c r="M31" s="348"/>
      <c r="N31" s="11"/>
      <c r="O31" s="294"/>
      <c r="P31" s="12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.75" thickBot="1">
      <c r="B32" s="530"/>
      <c r="C32" s="362"/>
      <c r="D32" s="533"/>
      <c r="E32" s="534"/>
      <c r="F32" s="294"/>
      <c r="G32" s="42"/>
      <c r="H32" s="41"/>
      <c r="I32" s="42"/>
      <c r="J32" s="537" t="s">
        <v>129</v>
      </c>
      <c r="K32" s="537"/>
      <c r="L32" s="294"/>
      <c r="M32" s="294"/>
      <c r="N32" s="294"/>
      <c r="O32" s="294"/>
      <c r="P32" s="12"/>
    </row>
    <row r="33" spans="2:56" ht="15.75" thickBot="1">
      <c r="B33" s="531"/>
      <c r="C33" s="362"/>
      <c r="D33" s="535"/>
      <c r="E33" s="536"/>
      <c r="F33" s="294"/>
      <c r="G33" s="42"/>
      <c r="H33" s="42"/>
      <c r="I33" s="42"/>
      <c r="J33" s="292" t="s">
        <v>17</v>
      </c>
      <c r="K33" s="293" t="s">
        <v>170</v>
      </c>
      <c r="L33" s="538" t="s">
        <v>136</v>
      </c>
      <c r="M33" s="538"/>
      <c r="N33" s="539"/>
      <c r="O33" s="294"/>
      <c r="P33" s="12"/>
    </row>
    <row r="34" spans="2:56" ht="15" customHeight="1" thickBot="1">
      <c r="B34" s="531"/>
      <c r="C34" s="349"/>
      <c r="D34" s="540"/>
      <c r="E34" s="541"/>
      <c r="F34" s="294"/>
      <c r="G34" s="42"/>
      <c r="H34" s="42"/>
      <c r="I34" s="42"/>
      <c r="J34" s="287" t="s">
        <v>6</v>
      </c>
      <c r="K34" s="324">
        <v>3</v>
      </c>
      <c r="L34" s="473" t="s">
        <v>37</v>
      </c>
      <c r="M34" s="474" t="s">
        <v>38</v>
      </c>
      <c r="N34" s="474" t="s">
        <v>84</v>
      </c>
      <c r="O34" s="294"/>
      <c r="P34" s="12"/>
    </row>
    <row r="35" spans="2:56" ht="15.75" customHeight="1" thickBot="1">
      <c r="B35" s="531"/>
      <c r="C35" s="349"/>
      <c r="D35" s="535"/>
      <c r="E35" s="536"/>
      <c r="F35" s="294"/>
      <c r="G35" s="42"/>
      <c r="H35" s="42"/>
      <c r="I35" s="42"/>
      <c r="J35" s="345" t="s">
        <v>9</v>
      </c>
      <c r="K35" s="324"/>
      <c r="L35" s="344">
        <f>AVERAGE(K44)</f>
        <v>3</v>
      </c>
      <c r="M35" s="325">
        <f>AVERAGE('[9]Jan30th-31st'!$L$47,L35,'[10]Feb 26th '!$L$39,'[11]Mar 31st'!$L$47,'[12]Apr 30th'!$L$46,'[13]May 29th '!$L$40)</f>
        <v>5.7713109354413703</v>
      </c>
      <c r="N35" s="416">
        <v>9.1999999999999993</v>
      </c>
      <c r="O35" s="294"/>
      <c r="P35" s="12"/>
    </row>
    <row r="36" spans="2:56" ht="15" customHeight="1">
      <c r="B36" s="531"/>
      <c r="C36" s="349"/>
      <c r="D36" s="540"/>
      <c r="E36" s="541"/>
      <c r="F36" s="294"/>
      <c r="G36" s="42"/>
      <c r="H36" s="42"/>
      <c r="I36" s="42"/>
      <c r="J36" s="288" t="s">
        <v>40</v>
      </c>
      <c r="K36" s="324"/>
      <c r="L36" s="294"/>
      <c r="M36" s="294"/>
      <c r="N36" s="294"/>
      <c r="O36" s="294"/>
      <c r="P36" s="12"/>
    </row>
    <row r="37" spans="2:56" ht="15" customHeight="1">
      <c r="B37" s="531"/>
      <c r="C37" s="349"/>
      <c r="D37" s="535"/>
      <c r="E37" s="536"/>
      <c r="F37" s="294"/>
      <c r="G37" s="42"/>
      <c r="H37" s="42"/>
      <c r="I37" s="42"/>
      <c r="J37" s="289" t="s">
        <v>33</v>
      </c>
      <c r="K37" s="324"/>
      <c r="L37" s="294"/>
      <c r="M37" s="294"/>
      <c r="N37" s="294"/>
      <c r="O37" s="294"/>
      <c r="P37" s="12"/>
    </row>
    <row r="38" spans="2:56" ht="15">
      <c r="B38" s="531"/>
      <c r="C38" s="349"/>
      <c r="D38" s="540"/>
      <c r="E38" s="541"/>
      <c r="F38" s="294"/>
      <c r="G38" s="42"/>
      <c r="H38" s="42"/>
      <c r="I38" s="42"/>
      <c r="J38" s="290" t="s">
        <v>16</v>
      </c>
      <c r="K38" s="324"/>
      <c r="L38" s="294"/>
      <c r="M38" s="294"/>
      <c r="N38" s="294"/>
      <c r="O38" s="294"/>
      <c r="P38" s="12"/>
      <c r="BC38" s="44"/>
      <c r="BD38" s="44"/>
    </row>
    <row r="39" spans="2:56" ht="15">
      <c r="B39" s="531"/>
      <c r="C39" s="349"/>
      <c r="D39" s="535"/>
      <c r="E39" s="536"/>
      <c r="F39" s="294"/>
      <c r="G39" s="42"/>
      <c r="H39" s="42"/>
      <c r="I39" s="42"/>
      <c r="J39" s="291" t="s">
        <v>15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31"/>
      <c r="C40" s="349"/>
      <c r="D40" s="540"/>
      <c r="E40" s="541"/>
      <c r="F40" s="294"/>
      <c r="G40" s="42"/>
      <c r="H40" s="42"/>
      <c r="I40" s="42"/>
      <c r="J40" s="291" t="s">
        <v>149</v>
      </c>
      <c r="K40" s="324"/>
      <c r="L40" s="294"/>
      <c r="M40" s="294"/>
      <c r="N40" s="294"/>
      <c r="O40" s="294"/>
      <c r="P40" s="12"/>
      <c r="BC40" s="44"/>
      <c r="BD40" s="44"/>
    </row>
    <row r="41" spans="2:56" ht="15.75" thickBot="1">
      <c r="B41" s="532"/>
      <c r="C41" s="350"/>
      <c r="D41" s="542"/>
      <c r="E41" s="543"/>
      <c r="F41" s="294" t="s">
        <v>166</v>
      </c>
      <c r="G41" s="42"/>
      <c r="H41" s="42"/>
      <c r="I41" s="42"/>
      <c r="J41" s="291" t="s">
        <v>148</v>
      </c>
      <c r="K41" s="324"/>
      <c r="L41" s="294"/>
      <c r="M41" s="294"/>
      <c r="N41" s="294" t="s">
        <v>41</v>
      </c>
      <c r="O41" s="294"/>
      <c r="P41" s="12"/>
      <c r="BC41" s="44"/>
      <c r="BD41" s="44"/>
    </row>
    <row r="42" spans="2:56" ht="17.649999999999999" customHeight="1" thickBot="1">
      <c r="B42" s="312" t="s">
        <v>139</v>
      </c>
      <c r="C42" s="313"/>
      <c r="D42" s="523"/>
      <c r="E42" s="524"/>
      <c r="F42" s="294"/>
      <c r="J42" s="295" t="s">
        <v>134</v>
      </c>
      <c r="K42" s="324"/>
      <c r="L42" s="294"/>
      <c r="M42" s="294"/>
      <c r="N42" s="294"/>
      <c r="O42" s="294"/>
      <c r="P42" s="12"/>
      <c r="BC42" s="44"/>
      <c r="BD42" s="44"/>
    </row>
    <row r="43" spans="2:56" ht="17.649999999999999" customHeight="1">
      <c r="B43" s="363"/>
      <c r="C43" s="364"/>
      <c r="D43" s="365"/>
      <c r="E43" s="365"/>
      <c r="F43" s="294"/>
      <c r="G43" s="42"/>
      <c r="H43" s="42"/>
      <c r="I43" s="42"/>
      <c r="J43" s="295" t="s">
        <v>131</v>
      </c>
      <c r="K43" s="324"/>
      <c r="L43" s="294"/>
      <c r="M43" s="294"/>
      <c r="N43" s="294"/>
      <c r="O43" s="294"/>
      <c r="P43" s="12"/>
      <c r="BC43" s="44"/>
      <c r="BD43" s="44"/>
    </row>
    <row r="44" spans="2:56" ht="15.6" customHeight="1">
      <c r="B44" s="45"/>
      <c r="C44" s="11"/>
      <c r="D44" s="11"/>
      <c r="E44" s="46"/>
      <c r="F44" s="294"/>
      <c r="G44" s="42"/>
      <c r="H44" s="42"/>
      <c r="I44" s="42"/>
      <c r="J44" s="346" t="s">
        <v>130</v>
      </c>
      <c r="K44" s="324">
        <f>SUM(K34:K43)</f>
        <v>3</v>
      </c>
      <c r="L44" s="294"/>
      <c r="M44" s="294"/>
      <c r="N44" s="294"/>
      <c r="O44" s="294"/>
      <c r="P44" s="12"/>
    </row>
    <row r="45" spans="2:56" ht="20.25" customHeight="1">
      <c r="B45" s="15" t="s">
        <v>42</v>
      </c>
      <c r="C45" s="1" t="s">
        <v>43</v>
      </c>
      <c r="D45" s="1"/>
      <c r="E45" s="1"/>
      <c r="F45" s="294"/>
      <c r="G45" s="42"/>
      <c r="H45" s="41"/>
      <c r="I45" s="42"/>
      <c r="L45" s="294"/>
      <c r="N45" s="315"/>
      <c r="P45" s="334"/>
    </row>
    <row r="46" spans="2:56" ht="15" customHeight="1" thickBot="1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1"/>
      <c r="O46" s="48"/>
      <c r="P46" s="49"/>
    </row>
    <row r="47" spans="2:56" ht="15" customHeight="1" thickBot="1">
      <c r="B47" s="515" t="s">
        <v>17</v>
      </c>
      <c r="C47" s="515" t="s">
        <v>44</v>
      </c>
      <c r="D47" s="526" t="s">
        <v>45</v>
      </c>
      <c r="E47" s="528" t="s">
        <v>46</v>
      </c>
      <c r="F47" s="521" t="s">
        <v>47</v>
      </c>
      <c r="G47" s="513" t="s">
        <v>48</v>
      </c>
      <c r="H47" s="515" t="s">
        <v>49</v>
      </c>
      <c r="I47" s="515" t="s">
        <v>50</v>
      </c>
      <c r="J47" s="507" t="s">
        <v>28</v>
      </c>
      <c r="K47" s="517" t="s">
        <v>51</v>
      </c>
      <c r="L47" s="519" t="s">
        <v>52</v>
      </c>
      <c r="M47" s="507" t="s">
        <v>53</v>
      </c>
      <c r="N47" s="13"/>
      <c r="O47" s="13"/>
      <c r="P47" s="50"/>
    </row>
    <row r="48" spans="2:56" ht="28.5" customHeight="1" thickTop="1" thickBot="1">
      <c r="B48" s="516"/>
      <c r="C48" s="525"/>
      <c r="D48" s="527"/>
      <c r="E48" s="529"/>
      <c r="F48" s="522"/>
      <c r="G48" s="514"/>
      <c r="H48" s="516"/>
      <c r="I48" s="516"/>
      <c r="J48" s="508"/>
      <c r="K48" s="518"/>
      <c r="L48" s="520"/>
      <c r="M48" s="508"/>
      <c r="N48" s="13"/>
      <c r="O48" s="13"/>
      <c r="P48" s="50"/>
      <c r="Q48" s="355"/>
      <c r="AB48" s="475">
        <v>43474</v>
      </c>
      <c r="AC48" s="475">
        <v>43475</v>
      </c>
      <c r="AD48" s="475">
        <v>43476</v>
      </c>
      <c r="AE48" s="475">
        <v>43477</v>
      </c>
      <c r="AF48" s="475">
        <v>43478</v>
      </c>
      <c r="AG48" s="475">
        <v>43479</v>
      </c>
      <c r="AH48" s="475">
        <v>43480</v>
      </c>
      <c r="AI48" s="475">
        <v>43481</v>
      </c>
      <c r="AJ48" s="475">
        <v>43482</v>
      </c>
      <c r="AK48" s="475">
        <v>43483</v>
      </c>
      <c r="AL48" s="475">
        <v>43484</v>
      </c>
      <c r="AM48" s="475">
        <v>43485</v>
      </c>
      <c r="AN48" s="475">
        <v>43486</v>
      </c>
      <c r="AO48" s="475">
        <v>43487</v>
      </c>
      <c r="AP48" s="475">
        <v>43488</v>
      </c>
      <c r="AQ48" s="475">
        <v>43489</v>
      </c>
      <c r="AR48" s="475">
        <v>43490</v>
      </c>
      <c r="AS48" s="475">
        <v>43491</v>
      </c>
      <c r="AT48" s="475">
        <v>43492</v>
      </c>
      <c r="AU48" s="475">
        <v>43493</v>
      </c>
      <c r="AV48" s="475">
        <v>43494</v>
      </c>
      <c r="AW48" s="475">
        <v>43495</v>
      </c>
      <c r="AX48" s="475">
        <v>43496</v>
      </c>
    </row>
    <row r="49" spans="2:57" s="54" customFormat="1" ht="36.75" customHeight="1" thickBot="1">
      <c r="B49" s="484"/>
      <c r="C49" s="479"/>
      <c r="D49" s="445"/>
      <c r="E49" s="443"/>
      <c r="F49" s="444"/>
      <c r="G49" s="445"/>
      <c r="H49" s="458"/>
      <c r="I49" s="458"/>
      <c r="J49" s="448"/>
      <c r="K49" s="449"/>
      <c r="L49" s="457"/>
      <c r="M49" s="455"/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[16]January_2019!L5</f>
        <v>0</v>
      </c>
      <c r="AC49" s="57">
        <f>[16]January_2019!M5</f>
        <v>0</v>
      </c>
      <c r="AD49" s="57">
        <f>[16]January_2019!N5</f>
        <v>0</v>
      </c>
      <c r="AE49" s="57">
        <f>[16]January_2019!O5</f>
        <v>0</v>
      </c>
      <c r="AF49" s="57">
        <f>[16]January_2019!P5</f>
        <v>0</v>
      </c>
      <c r="AG49" s="57">
        <f>[16]January_2019!Q5</f>
        <v>0</v>
      </c>
      <c r="AH49" s="57">
        <f>[16]January_2019!R5</f>
        <v>0</v>
      </c>
      <c r="AI49" s="57">
        <f>[16]January_2019!S5</f>
        <v>0</v>
      </c>
      <c r="AJ49" s="57">
        <f>[16]January_2019!T5</f>
        <v>0</v>
      </c>
      <c r="AK49" s="57">
        <f>[16]January_2019!U5</f>
        <v>0</v>
      </c>
      <c r="AL49" s="57">
        <f>[16]January_2019!V5</f>
        <v>0</v>
      </c>
      <c r="AM49" s="57">
        <f>[16]January_2019!W5</f>
        <v>0</v>
      </c>
      <c r="AN49" s="57">
        <f>[16]January_2019!X5</f>
        <v>0</v>
      </c>
      <c r="AO49" s="57">
        <f>[16]January_2019!Y5</f>
        <v>0</v>
      </c>
      <c r="AP49" s="57">
        <f>[16]January_2019!Z5</f>
        <v>0</v>
      </c>
      <c r="AQ49" s="57">
        <f>[16]January_2019!AA5</f>
        <v>0</v>
      </c>
      <c r="AR49" s="57">
        <f>[16]January_2019!AB5</f>
        <v>0</v>
      </c>
      <c r="AS49" s="57">
        <f>[16]January_2019!AC5</f>
        <v>0</v>
      </c>
      <c r="AT49" s="57">
        <f>[16]January_2019!AD5</f>
        <v>0</v>
      </c>
      <c r="AU49" s="57">
        <f>[16]January_2019!AE5</f>
        <v>0</v>
      </c>
      <c r="AV49" s="57">
        <f>[16]January_2019!AF5</f>
        <v>0</v>
      </c>
      <c r="AW49" s="57">
        <f>[16]January_2019!AG5</f>
        <v>0</v>
      </c>
      <c r="AX49" s="277">
        <f>[16]January_2019!AH5</f>
        <v>0</v>
      </c>
      <c r="AY49" s="277"/>
      <c r="AZ49" s="277"/>
      <c r="BA49" s="277"/>
      <c r="BB49" s="277"/>
      <c r="BC49" s="277"/>
      <c r="BD49" s="277"/>
      <c r="BE49" s="277"/>
    </row>
    <row r="50" spans="2:57" s="54" customFormat="1" ht="14.25" customHeight="1" thickBot="1">
      <c r="B50" s="480"/>
      <c r="C50" s="479"/>
      <c r="D50" s="442"/>
      <c r="E50" s="443"/>
      <c r="F50" s="444"/>
      <c r="G50" s="445"/>
      <c r="H50" s="458"/>
      <c r="I50" s="458"/>
      <c r="J50" s="476"/>
      <c r="K50" s="449"/>
      <c r="L50" s="457"/>
      <c r="M50" s="455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[16]January_2019!L6</f>
        <v>0</v>
      </c>
      <c r="AC50" s="57">
        <f>[16]January_2019!M6</f>
        <v>0</v>
      </c>
      <c r="AD50" s="57">
        <f>[16]January_2019!N6</f>
        <v>0</v>
      </c>
      <c r="AE50" s="57">
        <f>[16]January_2019!O6</f>
        <v>0</v>
      </c>
      <c r="AF50" s="57">
        <f>[16]January_2019!P6</f>
        <v>0</v>
      </c>
      <c r="AG50" s="57">
        <f>[16]January_2019!Q6</f>
        <v>0</v>
      </c>
      <c r="AH50" s="57">
        <f>[16]January_2019!R6</f>
        <v>0</v>
      </c>
      <c r="AI50" s="57">
        <f>[16]January_2019!S6</f>
        <v>0</v>
      </c>
      <c r="AJ50" s="57">
        <f>[16]January_2019!T6</f>
        <v>0</v>
      </c>
      <c r="AK50" s="57">
        <f>[16]January_2019!U6</f>
        <v>0</v>
      </c>
      <c r="AL50" s="57">
        <f>[16]January_2019!V6</f>
        <v>0</v>
      </c>
      <c r="AM50" s="57">
        <f>[16]January_2019!W6</f>
        <v>0</v>
      </c>
      <c r="AN50" s="57">
        <f>[16]January_2019!X6</f>
        <v>0</v>
      </c>
      <c r="AO50" s="57">
        <f>[16]January_2019!Y6</f>
        <v>0</v>
      </c>
      <c r="AP50" s="57">
        <f>[16]January_2019!Z6</f>
        <v>0</v>
      </c>
      <c r="AQ50" s="57">
        <f>[16]January_2019!AA6</f>
        <v>0</v>
      </c>
      <c r="AR50" s="57">
        <f>[16]January_2019!AB6</f>
        <v>0</v>
      </c>
      <c r="AS50" s="57">
        <f>[16]January_2019!AC6</f>
        <v>0</v>
      </c>
      <c r="AT50" s="57">
        <f>[16]January_2019!AD6</f>
        <v>0</v>
      </c>
      <c r="AU50" s="57">
        <f>[16]January_2019!AE6</f>
        <v>0</v>
      </c>
      <c r="AV50" s="57">
        <f>[16]January_2019!AF6</f>
        <v>0</v>
      </c>
      <c r="AW50" s="57">
        <f>[16]January_2019!AG6</f>
        <v>0</v>
      </c>
      <c r="AX50" s="277">
        <f>[16]January_2019!AH6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37.15" hidden="1" customHeight="1" thickBot="1">
      <c r="B51" s="480"/>
      <c r="C51" s="479"/>
      <c r="D51" s="442"/>
      <c r="E51" s="443"/>
      <c r="F51" s="444"/>
      <c r="G51" s="445"/>
      <c r="H51" s="458"/>
      <c r="I51" s="458"/>
      <c r="J51" s="448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[16]January_2019!L7</f>
        <v>285.8</v>
      </c>
      <c r="AC51" s="57">
        <f>[16]January_2019!M7</f>
        <v>508.1</v>
      </c>
      <c r="AD51" s="57">
        <f>[16]January_2019!N7</f>
        <v>0</v>
      </c>
      <c r="AE51" s="57">
        <f>[16]January_2019!O7</f>
        <v>0</v>
      </c>
      <c r="AF51" s="57">
        <f>[16]January_2019!P7</f>
        <v>109.56666666666666</v>
      </c>
      <c r="AG51" s="57">
        <f>[16]January_2019!Q7</f>
        <v>297.64999999999998</v>
      </c>
      <c r="AH51" s="57">
        <f>[16]January_2019!R7</f>
        <v>122.3</v>
      </c>
      <c r="AI51" s="57">
        <f>[16]January_2019!S7</f>
        <v>0</v>
      </c>
      <c r="AJ51" s="57">
        <f>[16]January_2019!T7</f>
        <v>294.7</v>
      </c>
      <c r="AK51" s="57">
        <f>[16]January_2019!U7</f>
        <v>280.5</v>
      </c>
      <c r="AL51" s="57">
        <f>[16]January_2019!V7</f>
        <v>0</v>
      </c>
      <c r="AM51" s="57">
        <f>[16]January_2019!W7</f>
        <v>0</v>
      </c>
      <c r="AN51" s="57">
        <f>[16]January_2019!X7</f>
        <v>188.25</v>
      </c>
      <c r="AO51" s="57">
        <f>[16]January_2019!Y7</f>
        <v>295.7</v>
      </c>
      <c r="AP51" s="57">
        <f>[16]January_2019!Z7</f>
        <v>257.8</v>
      </c>
      <c r="AQ51" s="57">
        <f>[16]January_2019!AA7</f>
        <v>291.2</v>
      </c>
      <c r="AR51" s="57">
        <f>[16]January_2019!AB7</f>
        <v>187</v>
      </c>
      <c r="AS51" s="57">
        <f>[16]January_2019!AC7</f>
        <v>0</v>
      </c>
      <c r="AT51" s="57">
        <f>[16]January_2019!AD7</f>
        <v>0</v>
      </c>
      <c r="AU51" s="57">
        <f>[16]January_2019!AE7</f>
        <v>485.1</v>
      </c>
      <c r="AV51" s="57">
        <f>[16]January_2019!AF7</f>
        <v>171.55</v>
      </c>
      <c r="AW51" s="57">
        <f>[16]January_2019!AG7</f>
        <v>423.8</v>
      </c>
      <c r="AX51" s="277">
        <f>[16]January_2019!AH7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9.5" hidden="1" customHeight="1" thickBot="1">
      <c r="B52" s="478"/>
      <c r="C52" s="430"/>
      <c r="D52" s="431"/>
      <c r="E52" s="432"/>
      <c r="F52" s="433"/>
      <c r="G52" s="434"/>
      <c r="H52" s="458"/>
      <c r="I52" s="458"/>
      <c r="J52" s="451"/>
      <c r="K52" s="436"/>
      <c r="L52" s="452"/>
      <c r="M52" s="421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38.450000000000003" hidden="1" customHeight="1" thickBot="1">
      <c r="B53" s="480"/>
      <c r="C53" s="479"/>
      <c r="D53" s="442"/>
      <c r="E53" s="443"/>
      <c r="F53" s="444"/>
      <c r="G53" s="445"/>
      <c r="H53" s="458"/>
      <c r="I53" s="458"/>
      <c r="J53" s="448"/>
      <c r="K53" s="45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5" hidden="1">
      <c r="B54" s="453"/>
      <c r="C54" s="430"/>
      <c r="D54" s="431"/>
      <c r="E54" s="432"/>
      <c r="F54" s="433"/>
      <c r="G54" s="434"/>
      <c r="H54" s="435"/>
      <c r="I54" s="450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484"/>
      <c r="C55" s="479"/>
      <c r="D55" s="442"/>
      <c r="E55" s="443"/>
      <c r="F55" s="444"/>
      <c r="G55" s="445"/>
      <c r="H55" s="446"/>
      <c r="I55" s="447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6.5" hidden="1" customHeight="1" thickBot="1">
      <c r="B56" s="437"/>
      <c r="C56" s="423"/>
      <c r="D56" s="424"/>
      <c r="E56" s="425"/>
      <c r="F56" s="426"/>
      <c r="G56" s="427"/>
      <c r="H56" s="428"/>
      <c r="I56" s="438"/>
      <c r="J56" s="439"/>
      <c r="K56" s="429"/>
      <c r="L56" s="440"/>
      <c r="M56" s="422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415"/>
      <c r="AC56" s="415"/>
      <c r="AD56" s="415"/>
      <c r="AE56" s="415"/>
      <c r="AF56" s="415"/>
      <c r="AG56" s="415"/>
      <c r="AH56" s="415"/>
      <c r="AI56" s="415"/>
      <c r="AJ56" s="415"/>
      <c r="AK56" s="415"/>
      <c r="AL56" s="415"/>
      <c r="AM56" s="415"/>
      <c r="AN56" s="415"/>
      <c r="AO56" s="415"/>
      <c r="AP56" s="415"/>
      <c r="AQ56" s="415"/>
      <c r="AR56" s="415"/>
      <c r="AS56" s="415"/>
      <c r="AT56" s="415"/>
      <c r="AU56" s="415"/>
      <c r="AV56" s="415"/>
      <c r="AW56" s="415"/>
    </row>
    <row r="57" spans="2:57" s="54" customFormat="1" ht="37.15" hidden="1" customHeight="1" thickBot="1">
      <c r="B57" s="456"/>
      <c r="C57" s="441"/>
      <c r="D57" s="442"/>
      <c r="E57" s="443"/>
      <c r="F57" s="444"/>
      <c r="G57" s="445"/>
      <c r="H57" s="446"/>
      <c r="I57" s="447"/>
      <c r="J57" s="448"/>
      <c r="K57" s="449"/>
      <c r="L57" s="457"/>
      <c r="M57" s="454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customHeight="1">
      <c r="B58" s="466"/>
      <c r="C58" s="430"/>
      <c r="D58" s="460"/>
      <c r="E58" s="461"/>
      <c r="F58" s="462"/>
      <c r="G58" s="460"/>
      <c r="H58" s="463"/>
      <c r="I58" s="463"/>
      <c r="J58" s="463"/>
      <c r="K58" s="464"/>
      <c r="L58" s="465"/>
      <c r="M58" s="50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ht="18" customHeight="1" thickBot="1">
      <c r="B59" s="59"/>
      <c r="C59" s="30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 t="s">
        <v>41</v>
      </c>
      <c r="O59" s="56"/>
      <c r="P59" s="60"/>
    </row>
    <row r="60" spans="2:57" ht="15.75" thickBot="1">
      <c r="B60" s="509" t="s">
        <v>55</v>
      </c>
      <c r="C60" s="510"/>
      <c r="D60" s="510"/>
      <c r="E60" s="510"/>
      <c r="F60" s="511"/>
      <c r="G60" s="509" t="s">
        <v>56</v>
      </c>
      <c r="H60" s="510"/>
      <c r="I60" s="510"/>
      <c r="J60" s="511"/>
      <c r="K60" s="509" t="s">
        <v>51</v>
      </c>
      <c r="L60" s="510"/>
      <c r="M60" s="510"/>
      <c r="N60" s="512"/>
      <c r="O60" s="56"/>
      <c r="P60" s="50"/>
    </row>
    <row r="61" spans="2:57" ht="15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/>
      <c r="L61" s="62" t="s">
        <v>37</v>
      </c>
      <c r="M61" s="62" t="s">
        <v>38</v>
      </c>
      <c r="N61" s="63" t="s">
        <v>39</v>
      </c>
      <c r="O61" s="56"/>
      <c r="P61" s="64"/>
    </row>
    <row r="62" spans="2:57" ht="15">
      <c r="B62" s="29" t="s">
        <v>6</v>
      </c>
      <c r="C62" s="65"/>
      <c r="D62" s="76"/>
      <c r="E62" s="76">
        <v>6.5623673132836648</v>
      </c>
      <c r="F62" s="66">
        <v>4.8</v>
      </c>
      <c r="G62" s="65"/>
      <c r="H62" s="477"/>
      <c r="I62" s="477">
        <v>6.2688670205621344</v>
      </c>
      <c r="J62" s="66">
        <v>4.8</v>
      </c>
      <c r="K62" s="67"/>
      <c r="L62" s="194"/>
      <c r="M62" s="194">
        <v>0.51130548427310263</v>
      </c>
      <c r="N62" s="68">
        <v>1</v>
      </c>
      <c r="O62" s="56"/>
      <c r="P62" s="69"/>
    </row>
    <row r="63" spans="2:57" ht="15">
      <c r="B63" s="33" t="s">
        <v>9</v>
      </c>
      <c r="C63" s="65"/>
      <c r="D63" s="76"/>
      <c r="E63" s="76">
        <v>5.8230180888372871</v>
      </c>
      <c r="F63" s="66">
        <v>4.8</v>
      </c>
      <c r="G63" s="65"/>
      <c r="H63" s="76"/>
      <c r="I63" s="76">
        <v>5.4655642193228315</v>
      </c>
      <c r="J63" s="66">
        <v>4.8</v>
      </c>
      <c r="K63" s="67"/>
      <c r="L63" s="194"/>
      <c r="M63" s="194">
        <v>0.68713504693777017</v>
      </c>
      <c r="N63" s="68">
        <v>1</v>
      </c>
      <c r="P63" s="69"/>
    </row>
    <row r="64" spans="2:57" ht="15">
      <c r="B64" s="34" t="s">
        <v>40</v>
      </c>
      <c r="C64" s="65"/>
      <c r="D64" s="76"/>
      <c r="E64" s="76">
        <v>11.435860710768946</v>
      </c>
      <c r="F64" s="66">
        <v>5.5</v>
      </c>
      <c r="G64" s="65"/>
      <c r="H64" s="76"/>
      <c r="I64" s="76">
        <v>12.618851801260744</v>
      </c>
      <c r="J64" s="66">
        <v>5.5</v>
      </c>
      <c r="K64" s="67"/>
      <c r="L64" s="194"/>
      <c r="M64" s="194">
        <v>0.26444407894736843</v>
      </c>
      <c r="N64" s="68">
        <v>1</v>
      </c>
      <c r="P64" s="69"/>
    </row>
    <row r="65" spans="2:16" ht="15">
      <c r="B65" s="22" t="s">
        <v>33</v>
      </c>
      <c r="C65" s="65"/>
      <c r="D65" s="76"/>
      <c r="E65" s="76">
        <v>4.7166249493099075</v>
      </c>
      <c r="F65" s="66">
        <v>3.3</v>
      </c>
      <c r="G65" s="65"/>
      <c r="H65" s="76"/>
      <c r="I65" s="76">
        <v>4.7393662692065543</v>
      </c>
      <c r="J65" s="66">
        <v>3.3</v>
      </c>
      <c r="K65" s="67"/>
      <c r="L65" s="194"/>
      <c r="M65" s="194">
        <v>0.73604010025062649</v>
      </c>
      <c r="N65" s="68">
        <v>1</v>
      </c>
      <c r="P65" s="69"/>
    </row>
    <row r="66" spans="2:16" ht="15">
      <c r="B66" s="35" t="s">
        <v>164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K66" s="67"/>
      <c r="L66" s="194"/>
      <c r="M66" s="194"/>
      <c r="N66" s="68">
        <v>1</v>
      </c>
      <c r="P66" s="69"/>
    </row>
    <row r="67" spans="2:16" ht="15">
      <c r="B67" s="36" t="s">
        <v>15</v>
      </c>
      <c r="C67" s="76"/>
      <c r="D67" s="76"/>
      <c r="E67" s="76">
        <v>5.1541347251672045</v>
      </c>
      <c r="F67" s="483">
        <v>5.5</v>
      </c>
      <c r="G67" s="282"/>
      <c r="H67" s="76"/>
      <c r="I67" s="76">
        <v>7.4989046872874194</v>
      </c>
      <c r="J67" s="66">
        <v>5.5</v>
      </c>
      <c r="K67" s="67"/>
      <c r="L67" s="194"/>
      <c r="M67" s="194">
        <v>1.0201754385964912</v>
      </c>
      <c r="N67" s="68">
        <v>1</v>
      </c>
      <c r="P67" s="69"/>
    </row>
    <row r="68" spans="2:16" ht="15">
      <c r="B68" s="37" t="s">
        <v>16</v>
      </c>
      <c r="C68" s="485"/>
      <c r="D68" s="76"/>
      <c r="E68" s="76">
        <v>3.7333963207914191</v>
      </c>
      <c r="F68" s="66">
        <v>3.3</v>
      </c>
      <c r="G68" s="282"/>
      <c r="H68" s="76"/>
      <c r="I68" s="76">
        <v>4.8412394790618878</v>
      </c>
      <c r="J68" s="66">
        <v>3.3</v>
      </c>
      <c r="K68" s="67"/>
      <c r="L68" s="194"/>
      <c r="M68" s="194">
        <v>0.84386695906432752</v>
      </c>
      <c r="N68" s="71">
        <v>1</v>
      </c>
      <c r="P68" s="69"/>
    </row>
    <row r="69" spans="2:16" ht="15.75" thickBot="1">
      <c r="B69" s="38" t="s">
        <v>163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L69" s="194"/>
      <c r="M69" s="194"/>
      <c r="N69" s="71">
        <v>1</v>
      </c>
      <c r="P69" s="69"/>
    </row>
    <row r="70" spans="2:16" ht="15.75" thickBot="1">
      <c r="B70" s="414" t="s">
        <v>161</v>
      </c>
      <c r="C70" s="65"/>
      <c r="D70" s="76"/>
      <c r="E70" s="76"/>
      <c r="F70" s="66">
        <v>4.8</v>
      </c>
      <c r="G70" s="282"/>
      <c r="H70" s="76"/>
      <c r="I70" s="76"/>
      <c r="J70" s="66">
        <v>4.8</v>
      </c>
      <c r="K70" s="67"/>
      <c r="L70" s="194"/>
      <c r="M70" s="194"/>
      <c r="N70" s="71">
        <v>1</v>
      </c>
      <c r="O70" s="74"/>
      <c r="P70" s="75"/>
    </row>
    <row r="71" spans="2:16" ht="15">
      <c r="D71" s="76"/>
      <c r="E71" s="76">
        <v>6.3115024469710663</v>
      </c>
      <c r="F71" s="341">
        <v>5.5</v>
      </c>
      <c r="H71" s="76"/>
      <c r="I71" s="76">
        <v>6.3654183077136706</v>
      </c>
      <c r="J71" s="341">
        <v>5.5</v>
      </c>
      <c r="L71" s="194"/>
      <c r="M71" s="194">
        <v>0.57830160611739556</v>
      </c>
      <c r="N71" s="386">
        <v>1</v>
      </c>
    </row>
  </sheetData>
  <mergeCells count="51">
    <mergeCell ref="M47:M48"/>
    <mergeCell ref="B60:F60"/>
    <mergeCell ref="G60:J60"/>
    <mergeCell ref="K60:N60"/>
    <mergeCell ref="G47:G48"/>
    <mergeCell ref="H47:H48"/>
    <mergeCell ref="I47:I48"/>
    <mergeCell ref="J47:J48"/>
    <mergeCell ref="K47:K48"/>
    <mergeCell ref="L47:L48"/>
    <mergeCell ref="F47:F48"/>
    <mergeCell ref="D42:E42"/>
    <mergeCell ref="B47:B48"/>
    <mergeCell ref="C47:C48"/>
    <mergeCell ref="D47:D48"/>
    <mergeCell ref="E47:E48"/>
    <mergeCell ref="B32:B41"/>
    <mergeCell ref="D32:E33"/>
    <mergeCell ref="J32:K32"/>
    <mergeCell ref="L33:N33"/>
    <mergeCell ref="D34:E35"/>
    <mergeCell ref="D36:E37"/>
    <mergeCell ref="D38:E39"/>
    <mergeCell ref="D40:E41"/>
    <mergeCell ref="I18:N18"/>
    <mergeCell ref="D19:E19"/>
    <mergeCell ref="B20:B31"/>
    <mergeCell ref="D20:E21"/>
    <mergeCell ref="D22:E23"/>
    <mergeCell ref="D24:E25"/>
    <mergeCell ref="D26:E27"/>
    <mergeCell ref="D28:E29"/>
    <mergeCell ref="D30:E31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2:B43">
    <cfRule type="cellIs" dxfId="3700" priority="133" operator="notBetween">
      <formula>#REF!</formula>
      <formula>#REF!</formula>
    </cfRule>
  </conditionalFormatting>
  <conditionalFormatting sqref="C46">
    <cfRule type="cellIs" dxfId="3699" priority="222" stopIfTrue="1" operator="lessThan">
      <formula>96</formula>
    </cfRule>
    <cfRule type="cellIs" dxfId="3698" priority="223" stopIfTrue="1" operator="greaterThan">
      <formula>100</formula>
    </cfRule>
  </conditionalFormatting>
  <conditionalFormatting sqref="C62:C63">
    <cfRule type="cellIs" dxfId="3697" priority="70" stopIfTrue="1" operator="lessThanOrEqual">
      <formula>0</formula>
    </cfRule>
    <cfRule type="cellIs" dxfId="3696" priority="69" stopIfTrue="1" operator="greaterThan">
      <formula>$F62</formula>
    </cfRule>
    <cfRule type="cellIs" dxfId="3695" priority="72" stopIfTrue="1" operator="lessThanOrEqual">
      <formula>0</formula>
    </cfRule>
    <cfRule type="cellIs" dxfId="3694" priority="71" stopIfTrue="1" operator="greaterThan">
      <formula>$F62</formula>
    </cfRule>
  </conditionalFormatting>
  <conditionalFormatting sqref="C64:C66 C68:C70">
    <cfRule type="cellIs" dxfId="3693" priority="103" stopIfTrue="1" operator="greaterThan">
      <formula>$F67</formula>
    </cfRule>
  </conditionalFormatting>
  <conditionalFormatting sqref="C64:C66">
    <cfRule type="cellIs" dxfId="3692" priority="104" stopIfTrue="1" operator="lessThanOrEqual">
      <formula>0</formula>
    </cfRule>
  </conditionalFormatting>
  <conditionalFormatting sqref="C68:C70">
    <cfRule type="cellIs" dxfId="3691" priority="105" stopIfTrue="1" operator="lessThanOrEqual">
      <formula>0</formula>
    </cfRule>
  </conditionalFormatting>
  <conditionalFormatting sqref="C73:C77">
    <cfRule type="cellIs" dxfId="3690" priority="214" stopIfTrue="1" operator="lessThanOrEqual">
      <formula>0</formula>
    </cfRule>
  </conditionalFormatting>
  <conditionalFormatting sqref="C74:C77">
    <cfRule type="cellIs" dxfId="3689" priority="213" stopIfTrue="1" operator="greaterThan">
      <formula>$F$73</formula>
    </cfRule>
  </conditionalFormatting>
  <conditionalFormatting sqref="C79">
    <cfRule type="cellIs" dxfId="3688" priority="215" stopIfTrue="1" operator="greaterThan">
      <formula>$F$73</formula>
    </cfRule>
    <cfRule type="cellIs" dxfId="3687" priority="216" stopIfTrue="1" operator="lessThanOrEqual">
      <formula>0</formula>
    </cfRule>
  </conditionalFormatting>
  <conditionalFormatting sqref="C67:D67">
    <cfRule type="cellIs" dxfId="3686" priority="68" stopIfTrue="1" operator="lessThanOrEqual">
      <formula>0</formula>
    </cfRule>
    <cfRule type="cellIs" dxfId="3685" priority="67" stopIfTrue="1" operator="greaterThan">
      <formula>$J67</formula>
    </cfRule>
  </conditionalFormatting>
  <conditionalFormatting sqref="C73:D73 D75:D81">
    <cfRule type="cellIs" dxfId="3684" priority="208" stopIfTrue="1" operator="greaterThan">
      <formula>4.5</formula>
    </cfRule>
  </conditionalFormatting>
  <conditionalFormatting sqref="D42:D43">
    <cfRule type="cellIs" dxfId="3683" priority="134" operator="notBetween">
      <formula>#REF!</formula>
      <formula>#REF!</formula>
    </cfRule>
  </conditionalFormatting>
  <conditionalFormatting sqref="D62:D66 D68:D69">
    <cfRule type="cellIs" dxfId="3682" priority="98" stopIfTrue="1" operator="lessThanOrEqual">
      <formula>0</formula>
    </cfRule>
  </conditionalFormatting>
  <conditionalFormatting sqref="D62:D66 D68:D71">
    <cfRule type="cellIs" dxfId="3681" priority="84" stopIfTrue="1" operator="greaterThan">
      <formula>$F62</formula>
    </cfRule>
    <cfRule type="cellIs" dxfId="3680" priority="82" stopIfTrue="1" operator="lessThanOrEqual">
      <formula>0</formula>
    </cfRule>
  </conditionalFormatting>
  <conditionalFormatting sqref="D70:D71">
    <cfRule type="cellIs" dxfId="3679" priority="86" stopIfTrue="1" operator="lessThanOrEqual">
      <formula>0</formula>
    </cfRule>
  </conditionalFormatting>
  <conditionalFormatting sqref="D71">
    <cfRule type="cellIs" dxfId="3678" priority="94" stopIfTrue="1" operator="lessThanOrEqual">
      <formula>0</formula>
    </cfRule>
  </conditionalFormatting>
  <conditionalFormatting sqref="D73 D75:D81">
    <cfRule type="cellIs" dxfId="3677" priority="209" stopIfTrue="1" operator="lessThanOrEqual">
      <formula>0</formula>
    </cfRule>
  </conditionalFormatting>
  <conditionalFormatting sqref="D74">
    <cfRule type="cellIs" dxfId="3676" priority="200" stopIfTrue="1" operator="greaterThan">
      <formula>$F$73</formula>
    </cfRule>
    <cfRule type="cellIs" dxfId="3675" priority="201" stopIfTrue="1" operator="lessThanOrEqual">
      <formula>0</formula>
    </cfRule>
  </conditionalFormatting>
  <conditionalFormatting sqref="E10:E17">
    <cfRule type="cellIs" dxfId="3674" priority="46" operator="lessThan">
      <formula>48</formula>
    </cfRule>
  </conditionalFormatting>
  <conditionalFormatting sqref="E45 E46:F46">
    <cfRule type="cellIs" dxfId="3673" priority="205" stopIfTrue="1" operator="greaterThan">
      <formula>100</formula>
    </cfRule>
  </conditionalFormatting>
  <conditionalFormatting sqref="E46">
    <cfRule type="cellIs" dxfId="3672" priority="202" stopIfTrue="1" operator="lessThan">
      <formula>96.8</formula>
    </cfRule>
    <cfRule type="cellIs" dxfId="3671" priority="203" stopIfTrue="1" operator="greaterThan">
      <formula>100</formula>
    </cfRule>
  </conditionalFormatting>
  <conditionalFormatting sqref="E62:E70">
    <cfRule type="cellIs" dxfId="3670" priority="9" stopIfTrue="1" operator="lessThanOrEqual">
      <formula>0</formula>
    </cfRule>
  </conditionalFormatting>
  <conditionalFormatting sqref="E62:E71">
    <cfRule type="cellIs" dxfId="3669" priority="10" stopIfTrue="1" operator="greaterThan">
      <formula>$F62</formula>
    </cfRule>
    <cfRule type="cellIs" dxfId="3668" priority="11" stopIfTrue="1" operator="lessThanOrEqual">
      <formula>0</formula>
    </cfRule>
  </conditionalFormatting>
  <conditionalFormatting sqref="E71">
    <cfRule type="cellIs" dxfId="3667" priority="12" stopIfTrue="1" operator="lessThanOrEqual">
      <formula>0</formula>
    </cfRule>
  </conditionalFormatting>
  <conditionalFormatting sqref="E73:E81">
    <cfRule type="cellIs" dxfId="3666" priority="195" stopIfTrue="1" operator="lessThanOrEqual">
      <formula>0</formula>
    </cfRule>
    <cfRule type="cellIs" dxfId="3665" priority="194" stopIfTrue="1" operator="greaterThan">
      <formula>4.5</formula>
    </cfRule>
  </conditionalFormatting>
  <conditionalFormatting sqref="E46:F46 E45">
    <cfRule type="cellIs" dxfId="3664" priority="204" stopIfTrue="1" operator="lessThan">
      <formula>96.5</formula>
    </cfRule>
  </conditionalFormatting>
  <conditionalFormatting sqref="F10:F14 F16:F17">
    <cfRule type="cellIs" dxfId="3663" priority="73" operator="greaterThan">
      <formula>60</formula>
    </cfRule>
  </conditionalFormatting>
  <conditionalFormatting sqref="F46">
    <cfRule type="cellIs" dxfId="3662" priority="220" stopIfTrue="1" operator="lessThan">
      <formula>96.8</formula>
    </cfRule>
    <cfRule type="cellIs" dxfId="3661" priority="221" stopIfTrue="1" operator="greaterThan">
      <formula>100</formula>
    </cfRule>
  </conditionalFormatting>
  <conditionalFormatting sqref="F71">
    <cfRule type="cellIs" dxfId="3660" priority="21" stopIfTrue="1" operator="lessThanOrEqual">
      <formula>0</formula>
    </cfRule>
    <cfRule type="cellIs" dxfId="3659" priority="20" stopIfTrue="1" operator="greaterThan">
      <formula>$F71</formula>
    </cfRule>
  </conditionalFormatting>
  <conditionalFormatting sqref="G15:G17">
    <cfRule type="expression" dxfId="3658" priority="64">
      <formula>IF(+(IF(G15&lt;S15,0,IF(G15&gt;T15,0,1)))=0,1)</formula>
    </cfRule>
  </conditionalFormatting>
  <conditionalFormatting sqref="G62:G63">
    <cfRule type="cellIs" dxfId="3657" priority="22" stopIfTrue="1" operator="greaterThan">
      <formula>$F62</formula>
    </cfRule>
    <cfRule type="cellIs" dxfId="3656" priority="23" stopIfTrue="1" operator="lessThanOrEqual">
      <formula>0</formula>
    </cfRule>
  </conditionalFormatting>
  <conditionalFormatting sqref="G62:G65">
    <cfRule type="cellIs" dxfId="3655" priority="4" stopIfTrue="1" operator="greaterThan">
      <formula>$F62</formula>
    </cfRule>
    <cfRule type="cellIs" dxfId="3654" priority="5" stopIfTrue="1" operator="lessThanOrEqual">
      <formula>0</formula>
    </cfRule>
  </conditionalFormatting>
  <conditionalFormatting sqref="G64">
    <cfRule type="cellIs" dxfId="3653" priority="3" stopIfTrue="1" operator="lessThanOrEqual">
      <formula>0</formula>
    </cfRule>
    <cfRule type="cellIs" dxfId="3652" priority="2" stopIfTrue="1" operator="greaterThan">
      <formula>$F64</formula>
    </cfRule>
  </conditionalFormatting>
  <conditionalFormatting sqref="G65">
    <cfRule type="cellIs" dxfId="3651" priority="17" stopIfTrue="1" operator="lessThanOrEqual">
      <formula>0</formula>
    </cfRule>
    <cfRule type="cellIs" dxfId="3650" priority="16" stopIfTrue="1" operator="greaterThan">
      <formula>$F65</formula>
    </cfRule>
  </conditionalFormatting>
  <conditionalFormatting sqref="G66:G70">
    <cfRule type="cellIs" dxfId="3649" priority="24" stopIfTrue="1" operator="greaterThan">
      <formula>$J66</formula>
    </cfRule>
    <cfRule type="cellIs" dxfId="3648" priority="25" stopIfTrue="1" operator="lessThanOrEqual">
      <formula>0</formula>
    </cfRule>
  </conditionalFormatting>
  <conditionalFormatting sqref="G75:G80 C78 C80">
    <cfRule type="cellIs" dxfId="3647" priority="217" stopIfTrue="1" operator="greaterThan">
      <formula>4.5</formula>
    </cfRule>
    <cfRule type="cellIs" dxfId="3646" priority="218" stopIfTrue="1" operator="lessThanOrEqual">
      <formula>0</formula>
    </cfRule>
  </conditionalFormatting>
  <conditionalFormatting sqref="G10:H14 M10:N17 H15:H17">
    <cfRule type="expression" dxfId="3645" priority="65">
      <formula>IF(+(IF(G10&lt;#REF!,0,IF(G10&gt;#REF!,0,1)))=0,1)</formula>
    </cfRule>
  </conditionalFormatting>
  <conditionalFormatting sqref="G74:H74">
    <cfRule type="cellIs" dxfId="3644" priority="198" stopIfTrue="1" operator="greaterThan">
      <formula>$F$73</formula>
    </cfRule>
    <cfRule type="cellIs" dxfId="3643" priority="199" stopIfTrue="1" operator="lessThanOrEqual">
      <formula>0</formula>
    </cfRule>
  </conditionalFormatting>
  <conditionalFormatting sqref="H31:H32 H45">
    <cfRule type="cellIs" dxfId="3642" priority="196" stopIfTrue="1" operator="greaterThan">
      <formula>0</formula>
    </cfRule>
  </conditionalFormatting>
  <conditionalFormatting sqref="H49">
    <cfRule type="cellIs" dxfId="3641" priority="50" stopIfTrue="1" operator="lessThanOrEqual">
      <formula>0</formula>
    </cfRule>
    <cfRule type="cellIs" dxfId="3640" priority="51" stopIfTrue="1" operator="greaterThan">
      <formula>$F$62</formula>
    </cfRule>
    <cfRule type="cellIs" dxfId="3639" priority="61" stopIfTrue="1" operator="greaterThan">
      <formula>$F$63</formula>
    </cfRule>
    <cfRule type="cellIs" dxfId="3638" priority="59" stopIfTrue="1" operator="greaterThan">
      <formula>$F$65</formula>
    </cfRule>
    <cfRule type="cellIs" dxfId="3637" priority="60" stopIfTrue="1" operator="lessThanOrEqual">
      <formula>0</formula>
    </cfRule>
  </conditionalFormatting>
  <conditionalFormatting sqref="H49:H51">
    <cfRule type="cellIs" dxfId="3636" priority="62" stopIfTrue="1" operator="lessThanOrEqual">
      <formula>0</formula>
    </cfRule>
  </conditionalFormatting>
  <conditionalFormatting sqref="H50:H51">
    <cfRule type="cellIs" dxfId="3635" priority="114" stopIfTrue="1" operator="greaterThan">
      <formula>$F$65</formula>
    </cfRule>
    <cfRule type="cellIs" dxfId="3634" priority="115" stopIfTrue="1" operator="lessThanOrEqual">
      <formula>0</formula>
    </cfRule>
    <cfRule type="cellIs" dxfId="3633" priority="116" stopIfTrue="1" operator="greaterThan">
      <formula>$F$63</formula>
    </cfRule>
    <cfRule type="cellIs" dxfId="3632" priority="106" stopIfTrue="1" operator="greaterThan">
      <formula>$F$62</formula>
    </cfRule>
  </conditionalFormatting>
  <conditionalFormatting sqref="H50:H53">
    <cfRule type="cellIs" dxfId="3631" priority="117" stopIfTrue="1" operator="lessThanOrEqual">
      <formula>0</formula>
    </cfRule>
  </conditionalFormatting>
  <conditionalFormatting sqref="H52:H53">
    <cfRule type="cellIs" dxfId="3630" priority="131" stopIfTrue="1" operator="lessThanOrEqual">
      <formula>0</formula>
    </cfRule>
    <cfRule type="cellIs" dxfId="3629" priority="120" stopIfTrue="1" operator="greaterThan">
      <formula>$F$62</formula>
    </cfRule>
    <cfRule type="cellIs" dxfId="3628" priority="129" stopIfTrue="1" operator="lessThanOrEqual">
      <formula>0</formula>
    </cfRule>
    <cfRule type="cellIs" dxfId="3627" priority="130" stopIfTrue="1" operator="greaterThan">
      <formula>$F$63</formula>
    </cfRule>
    <cfRule type="cellIs" dxfId="3626" priority="128" stopIfTrue="1" operator="greaterThan">
      <formula>$F$65</formula>
    </cfRule>
  </conditionalFormatting>
  <conditionalFormatting sqref="H54:H55">
    <cfRule type="cellIs" dxfId="3625" priority="159" stopIfTrue="1" operator="greaterThan">
      <formula>#REF!</formula>
    </cfRule>
    <cfRule type="cellIs" dxfId="3624" priority="169" stopIfTrue="1" operator="greaterThan">
      <formula>#REF!</formula>
    </cfRule>
    <cfRule type="cellIs" dxfId="3623" priority="168" stopIfTrue="1" operator="lessThanOrEqual">
      <formula>0</formula>
    </cfRule>
    <cfRule type="cellIs" dxfId="3622" priority="170" stopIfTrue="1" operator="lessThanOrEqual">
      <formula>0</formula>
    </cfRule>
    <cfRule type="cellIs" dxfId="3621" priority="158" stopIfTrue="1" operator="lessThanOrEqual">
      <formula>0</formula>
    </cfRule>
    <cfRule type="cellIs" dxfId="3620" priority="167" stopIfTrue="1" operator="greaterThan">
      <formula>$F$17</formula>
    </cfRule>
  </conditionalFormatting>
  <conditionalFormatting sqref="H56">
    <cfRule type="cellIs" dxfId="3619" priority="182" stopIfTrue="1" operator="lessThanOrEqual">
      <formula>0</formula>
    </cfRule>
    <cfRule type="cellIs" dxfId="3618" priority="173" stopIfTrue="1" operator="greaterThan">
      <formula>$F$30</formula>
    </cfRule>
    <cfRule type="cellIs" dxfId="3617" priority="181" stopIfTrue="1" operator="greaterThan">
      <formula>$F$33</formula>
    </cfRule>
    <cfRule type="cellIs" dxfId="3616" priority="184" stopIfTrue="1" operator="lessThanOrEqual">
      <formula>0</formula>
    </cfRule>
    <cfRule type="cellIs" dxfId="3615" priority="183" stopIfTrue="1" operator="greaterThan">
      <formula>$F$31</formula>
    </cfRule>
    <cfRule type="cellIs" dxfId="3614" priority="172" stopIfTrue="1" operator="lessThanOrEqual">
      <formula>0</formula>
    </cfRule>
  </conditionalFormatting>
  <conditionalFormatting sqref="H57:H58">
    <cfRule type="cellIs" dxfId="3613" priority="145" stopIfTrue="1" operator="greaterThan">
      <formula>#REF!</formula>
    </cfRule>
    <cfRule type="cellIs" dxfId="3612" priority="153" stopIfTrue="1" operator="greaterThan">
      <formula>$F$17</formula>
    </cfRule>
    <cfRule type="cellIs" dxfId="3611" priority="156" stopIfTrue="1" operator="lessThanOrEqual">
      <formula>0</formula>
    </cfRule>
    <cfRule type="cellIs" dxfId="3610" priority="155" stopIfTrue="1" operator="greaterThan">
      <formula>#REF!</formula>
    </cfRule>
    <cfRule type="cellIs" dxfId="3609" priority="144" stopIfTrue="1" operator="lessThanOrEqual">
      <formula>0</formula>
    </cfRule>
    <cfRule type="cellIs" dxfId="3608" priority="154" stopIfTrue="1" operator="lessThanOrEqual">
      <formula>0</formula>
    </cfRule>
  </conditionalFormatting>
  <conditionalFormatting sqref="H73 H75:H81">
    <cfRule type="cellIs" dxfId="3607" priority="211" stopIfTrue="1" operator="lessThanOrEqual">
      <formula>0</formula>
    </cfRule>
    <cfRule type="cellIs" dxfId="3606" priority="210" stopIfTrue="1" operator="greaterThan">
      <formula>4.5</formula>
    </cfRule>
  </conditionalFormatting>
  <conditionalFormatting sqref="H49:I49">
    <cfRule type="cellIs" dxfId="3605" priority="52" stopIfTrue="1" operator="lessThanOrEqual">
      <formula>0</formula>
    </cfRule>
  </conditionalFormatting>
  <conditionalFormatting sqref="H49:I53">
    <cfRule type="cellIs" dxfId="3604" priority="49" stopIfTrue="1" operator="greaterThan">
      <formula>$F$64</formula>
    </cfRule>
  </conditionalFormatting>
  <conditionalFormatting sqref="H50:I51">
    <cfRule type="cellIs" dxfId="3603" priority="107" stopIfTrue="1" operator="lessThanOrEqual">
      <formula>0</formula>
    </cfRule>
  </conditionalFormatting>
  <conditionalFormatting sqref="H52:I53">
    <cfRule type="cellIs" dxfId="3602" priority="121" stopIfTrue="1" operator="lessThanOrEqual">
      <formula>0</formula>
    </cfRule>
  </conditionalFormatting>
  <conditionalFormatting sqref="H54:I55">
    <cfRule type="cellIs" dxfId="3601" priority="157" stopIfTrue="1" operator="greaterThan">
      <formula>#REF!</formula>
    </cfRule>
    <cfRule type="cellIs" dxfId="3600" priority="160" stopIfTrue="1" operator="lessThanOrEqual">
      <formula>0</formula>
    </cfRule>
  </conditionalFormatting>
  <conditionalFormatting sqref="H56:I56">
    <cfRule type="cellIs" dxfId="3599" priority="174" stopIfTrue="1" operator="lessThanOrEqual">
      <formula>0</formula>
    </cfRule>
    <cfRule type="cellIs" dxfId="3598" priority="171" stopIfTrue="1" operator="greaterThan">
      <formula>$F$32</formula>
    </cfRule>
  </conditionalFormatting>
  <conditionalFormatting sqref="H57:I58">
    <cfRule type="cellIs" dxfId="3597" priority="143" stopIfTrue="1" operator="greaterThan">
      <formula>#REF!</formula>
    </cfRule>
    <cfRule type="cellIs" dxfId="3596" priority="146" stopIfTrue="1" operator="lessThanOrEqual">
      <formula>0</formula>
    </cfRule>
  </conditionalFormatting>
  <conditionalFormatting sqref="H62:I69">
    <cfRule type="cellIs" dxfId="3595" priority="8" stopIfTrue="1" operator="lessThanOrEqual">
      <formula>0</formula>
    </cfRule>
    <cfRule type="cellIs" dxfId="3594" priority="7" stopIfTrue="1" operator="greaterThan">
      <formula>$J62</formula>
    </cfRule>
  </conditionalFormatting>
  <conditionalFormatting sqref="H70:I70">
    <cfRule type="cellIs" dxfId="3593" priority="15" operator="greaterThan">
      <formula>5.3</formula>
    </cfRule>
  </conditionalFormatting>
  <conditionalFormatting sqref="H71:I71">
    <cfRule type="cellIs" dxfId="3592" priority="13" stopIfTrue="1" operator="greaterThan">
      <formula>$J71</formula>
    </cfRule>
    <cfRule type="cellIs" dxfId="3591" priority="14" stopIfTrue="1" operator="lessThanOrEqual">
      <formula>0</formula>
    </cfRule>
  </conditionalFormatting>
  <conditionalFormatting sqref="I49">
    <cfRule type="cellIs" dxfId="3590" priority="53" stopIfTrue="1" operator="greaterThan">
      <formula>$F$62</formula>
    </cfRule>
    <cfRule type="cellIs" dxfId="3589" priority="54" stopIfTrue="1" operator="lessThanOrEqual">
      <formula>0</formula>
    </cfRule>
    <cfRule type="cellIs" dxfId="3588" priority="55" stopIfTrue="1" operator="greaterThan">
      <formula>$F$64</formula>
    </cfRule>
    <cfRule type="cellIs" dxfId="3587" priority="58" stopIfTrue="1" operator="lessThanOrEqual">
      <formula>0</formula>
    </cfRule>
    <cfRule type="cellIs" dxfId="3586" priority="57" stopIfTrue="1" operator="greaterThan">
      <formula>$F$62</formula>
    </cfRule>
    <cfRule type="cellIs" dxfId="3585" priority="56" stopIfTrue="1" operator="lessThanOrEqual">
      <formula>0</formula>
    </cfRule>
  </conditionalFormatting>
  <conditionalFormatting sqref="I50:I51">
    <cfRule type="cellIs" dxfId="3584" priority="109" stopIfTrue="1" operator="lessThanOrEqual">
      <formula>0</formula>
    </cfRule>
    <cfRule type="cellIs" dxfId="3583" priority="111" stopIfTrue="1" operator="lessThanOrEqual">
      <formula>0</formula>
    </cfRule>
    <cfRule type="cellIs" dxfId="3582" priority="112" stopIfTrue="1" operator="greaterThan">
      <formula>$F$62</formula>
    </cfRule>
    <cfRule type="cellIs" dxfId="3581" priority="113" stopIfTrue="1" operator="lessThanOrEqual">
      <formula>0</formula>
    </cfRule>
    <cfRule type="cellIs" dxfId="3580" priority="108" stopIfTrue="1" operator="greaterThan">
      <formula>$F$62</formula>
    </cfRule>
    <cfRule type="cellIs" dxfId="3579" priority="110" stopIfTrue="1" operator="greaterThan">
      <formula>$F$64</formula>
    </cfRule>
  </conditionalFormatting>
  <conditionalFormatting sqref="I52:I53">
    <cfRule type="cellIs" dxfId="3578" priority="122" stopIfTrue="1" operator="greaterThan">
      <formula>$F$62</formula>
    </cfRule>
    <cfRule type="cellIs" dxfId="3577" priority="127" stopIfTrue="1" operator="lessThanOrEqual">
      <formula>0</formula>
    </cfRule>
    <cfRule type="cellIs" dxfId="3576" priority="126" stopIfTrue="1" operator="greaterThan">
      <formula>$F$62</formula>
    </cfRule>
    <cfRule type="cellIs" dxfId="3575" priority="125" stopIfTrue="1" operator="lessThanOrEqual">
      <formula>0</formula>
    </cfRule>
    <cfRule type="cellIs" dxfId="3574" priority="124" stopIfTrue="1" operator="greaterThan">
      <formula>$F$64</formula>
    </cfRule>
    <cfRule type="cellIs" dxfId="3573" priority="123" stopIfTrue="1" operator="lessThanOrEqual">
      <formula>0</formula>
    </cfRule>
  </conditionalFormatting>
  <conditionalFormatting sqref="I54:I55">
    <cfRule type="cellIs" dxfId="3572" priority="162" stopIfTrue="1" operator="lessThanOrEqual">
      <formula>0</formula>
    </cfRule>
    <cfRule type="cellIs" dxfId="3571" priority="163" stopIfTrue="1" operator="greaterThan">
      <formula>#REF!</formula>
    </cfRule>
    <cfRule type="cellIs" dxfId="3570" priority="166" stopIfTrue="1" operator="lessThanOrEqual">
      <formula>0</formula>
    </cfRule>
    <cfRule type="cellIs" dxfId="3569" priority="164" stopIfTrue="1" operator="lessThanOrEqual">
      <formula>0</formula>
    </cfRule>
    <cfRule type="cellIs" dxfId="3568" priority="165" stopIfTrue="1" operator="greaterThan">
      <formula>#REF!</formula>
    </cfRule>
    <cfRule type="cellIs" dxfId="3567" priority="161" stopIfTrue="1" operator="greaterThan">
      <formula>#REF!</formula>
    </cfRule>
  </conditionalFormatting>
  <conditionalFormatting sqref="I56">
    <cfRule type="cellIs" dxfId="3566" priority="175" stopIfTrue="1" operator="greaterThan">
      <formula>$F$30</formula>
    </cfRule>
    <cfRule type="cellIs" dxfId="3565" priority="176" stopIfTrue="1" operator="lessThanOrEqual">
      <formula>0</formula>
    </cfRule>
    <cfRule type="cellIs" dxfId="3564" priority="177" stopIfTrue="1" operator="greaterThan">
      <formula>$F$32</formula>
    </cfRule>
    <cfRule type="cellIs" dxfId="3563" priority="179" stopIfTrue="1" operator="greaterThan">
      <formula>$F$30</formula>
    </cfRule>
    <cfRule type="cellIs" dxfId="3562" priority="178" stopIfTrue="1" operator="lessThanOrEqual">
      <formula>0</formula>
    </cfRule>
    <cfRule type="cellIs" dxfId="3561" priority="180" stopIfTrue="1" operator="lessThanOrEqual">
      <formula>0</formula>
    </cfRule>
  </conditionalFormatting>
  <conditionalFormatting sqref="I57:I58">
    <cfRule type="cellIs" dxfId="3560" priority="147" stopIfTrue="1" operator="greaterThan">
      <formula>#REF!</formula>
    </cfRule>
    <cfRule type="cellIs" dxfId="3559" priority="152" stopIfTrue="1" operator="lessThanOrEqual">
      <formula>0</formula>
    </cfRule>
    <cfRule type="cellIs" dxfId="3558" priority="151" stopIfTrue="1" operator="greaterThan">
      <formula>#REF!</formula>
    </cfRule>
    <cfRule type="cellIs" dxfId="3557" priority="149" stopIfTrue="1" operator="greaterThan">
      <formula>#REF!</formula>
    </cfRule>
    <cfRule type="cellIs" dxfId="3556" priority="150" stopIfTrue="1" operator="lessThanOrEqual">
      <formula>0</formula>
    </cfRule>
    <cfRule type="cellIs" dxfId="3555" priority="148" stopIfTrue="1" operator="lessThanOrEqual">
      <formula>0</formula>
    </cfRule>
  </conditionalFormatting>
  <conditionalFormatting sqref="I73:I81">
    <cfRule type="cellIs" dxfId="3554" priority="207" stopIfTrue="1" operator="lessThanOrEqual">
      <formula>0</formula>
    </cfRule>
    <cfRule type="cellIs" dxfId="3553" priority="206" stopIfTrue="1" operator="greaterThan">
      <formula>4.5</formula>
    </cfRule>
  </conditionalFormatting>
  <conditionalFormatting sqref="I10:J17">
    <cfRule type="cellIs" dxfId="3552" priority="40" operator="lessThan">
      <formula>97.9</formula>
    </cfRule>
  </conditionalFormatting>
  <conditionalFormatting sqref="J20:J21">
    <cfRule type="cellIs" dxfId="3551" priority="119" operator="lessThan">
      <formula>97.95</formula>
    </cfRule>
  </conditionalFormatting>
  <conditionalFormatting sqref="J22">
    <cfRule type="cellIs" dxfId="3550" priority="186" stopIfTrue="1" operator="lessThan">
      <formula>96.8</formula>
    </cfRule>
    <cfRule type="cellIs" dxfId="3549" priority="187" stopIfTrue="1" operator="greaterThan">
      <formula>100</formula>
    </cfRule>
    <cfRule type="cellIs" dxfId="3548" priority="188" operator="lessThan">
      <formula>98</formula>
    </cfRule>
  </conditionalFormatting>
  <conditionalFormatting sqref="J22:J24">
    <cfRule type="cellIs" dxfId="3547" priority="185" operator="lessThan">
      <formula>97.4</formula>
    </cfRule>
  </conditionalFormatting>
  <conditionalFormatting sqref="J25:J26">
    <cfRule type="cellIs" dxfId="3546" priority="189" operator="lessThan">
      <formula>98</formula>
    </cfRule>
  </conditionalFormatting>
  <conditionalFormatting sqref="J27:J28">
    <cfRule type="cellIs" dxfId="3545" priority="190" stopIfTrue="1" operator="lessThan">
      <formula>96.8</formula>
    </cfRule>
    <cfRule type="cellIs" dxfId="3544" priority="191" stopIfTrue="1" operator="greaterThan">
      <formula>100</formula>
    </cfRule>
  </conditionalFormatting>
  <conditionalFormatting sqref="J27:J29">
    <cfRule type="cellIs" dxfId="3543" priority="192" operator="lessThan">
      <formula>98</formula>
    </cfRule>
  </conditionalFormatting>
  <conditionalFormatting sqref="J58">
    <cfRule type="cellIs" dxfId="3542" priority="142" stopIfTrue="1" operator="lessThanOrEqual">
      <formula>0</formula>
    </cfRule>
    <cfRule type="cellIs" dxfId="3541" priority="141" stopIfTrue="1" operator="greaterThan">
      <formula>#REF!</formula>
    </cfRule>
    <cfRule type="cellIs" dxfId="3540" priority="140" stopIfTrue="1" operator="lessThanOrEqual">
      <formula>0</formula>
    </cfRule>
    <cfRule type="cellIs" dxfId="3539" priority="138" stopIfTrue="1" operator="lessThanOrEqual">
      <formula>0</formula>
    </cfRule>
    <cfRule type="cellIs" dxfId="3538" priority="139" stopIfTrue="1" operator="greaterThan">
      <formula>#REF!</formula>
    </cfRule>
    <cfRule type="cellIs" dxfId="3537" priority="137" stopIfTrue="1" operator="greaterThan">
      <formula>#REF!</formula>
    </cfRule>
    <cfRule type="cellIs" dxfId="3536" priority="136" stopIfTrue="1" operator="lessThanOrEqual">
      <formula>0</formula>
    </cfRule>
    <cfRule type="cellIs" dxfId="3535" priority="135" stopIfTrue="1" operator="greaterThan">
      <formula>#REF!</formula>
    </cfRule>
  </conditionalFormatting>
  <conditionalFormatting sqref="J71">
    <cfRule type="cellIs" dxfId="3534" priority="18" stopIfTrue="1" operator="greaterThan">
      <formula>$F71</formula>
    </cfRule>
    <cfRule type="cellIs" dxfId="3533" priority="19" stopIfTrue="1" operator="lessThanOrEqual">
      <formula>0</formula>
    </cfRule>
  </conditionalFormatting>
  <conditionalFormatting sqref="K10:K17">
    <cfRule type="cellIs" dxfId="3532" priority="43" operator="greaterThan">
      <formula>6.4</formula>
    </cfRule>
    <cfRule type="cellIs" dxfId="3531" priority="42" operator="lessThan">
      <formula>4</formula>
    </cfRule>
    <cfRule type="cellIs" dxfId="3530" priority="41" operator="greaterThan">
      <formula>6</formula>
    </cfRule>
  </conditionalFormatting>
  <conditionalFormatting sqref="K49:K58">
    <cfRule type="cellIs" dxfId="3529" priority="118" stopIfTrue="1" operator="lessThan">
      <formula>100%</formula>
    </cfRule>
  </conditionalFormatting>
  <conditionalFormatting sqref="K62:K70">
    <cfRule type="cellIs" dxfId="3528" priority="6" stopIfTrue="1" operator="lessThan">
      <formula>100%</formula>
    </cfRule>
  </conditionalFormatting>
  <conditionalFormatting sqref="K73:K78">
    <cfRule type="cellIs" dxfId="3527" priority="212" stopIfTrue="1" operator="lessThan">
      <formula>100%</formula>
    </cfRule>
  </conditionalFormatting>
  <conditionalFormatting sqref="K80:K81">
    <cfRule type="cellIs" dxfId="3526" priority="219" stopIfTrue="1" operator="lessThan">
      <formula>100%</formula>
    </cfRule>
  </conditionalFormatting>
  <conditionalFormatting sqref="L10:L17">
    <cfRule type="cellIs" dxfId="3525" priority="45" operator="greaterThan">
      <formula>65</formula>
    </cfRule>
    <cfRule type="cellIs" dxfId="3524" priority="44" operator="between">
      <formula>61</formula>
      <formula>65</formula>
    </cfRule>
  </conditionalFormatting>
  <conditionalFormatting sqref="L20:M31">
    <cfRule type="cellIs" dxfId="3523" priority="132" operator="lessThan">
      <formula>97.95</formula>
    </cfRule>
  </conditionalFormatting>
  <conditionalFormatting sqref="L35:N35">
    <cfRule type="cellIs" dxfId="3522" priority="74" operator="notEqual">
      <formula>#REF!</formula>
    </cfRule>
  </conditionalFormatting>
  <conditionalFormatting sqref="L62:N71">
    <cfRule type="cellIs" dxfId="3521" priority="1" stopIfTrue="1" operator="lessThan">
      <formula>100%</formula>
    </cfRule>
  </conditionalFormatting>
  <conditionalFormatting sqref="L73:N81">
    <cfRule type="cellIs" dxfId="3520" priority="197" stopIfTrue="1" operator="lessThan">
      <formula>100%</formula>
    </cfRule>
  </conditionalFormatting>
  <conditionalFormatting sqref="N15">
    <cfRule type="expression" dxfId="3519" priority="63">
      <formula>IF(+(IF(N15&lt;W15,0,IF(N15&gt;X15,0,1)))=0,1)</formula>
    </cfRule>
  </conditionalFormatting>
  <conditionalFormatting sqref="P6">
    <cfRule type="cellIs" dxfId="3518" priority="193" operator="greaterThanOrEqual">
      <formula>19</formula>
    </cfRule>
  </conditionalFormatting>
  <dataValidations count="1">
    <dataValidation type="list" allowBlank="1" showInputMessage="1" showErrorMessage="1" sqref="R8" xr:uid="{8CAF284F-1531-4AC8-8D1C-4811299B8B1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20DB-5DC4-4F8C-8D93-152F1A4367B0}">
  <sheetPr>
    <pageSetUpPr fitToPage="1"/>
  </sheetPr>
  <dimension ref="A1:BE79"/>
  <sheetViews>
    <sheetView topLeftCell="A4" zoomScale="70" zoomScaleNormal="70" workbookViewId="0">
      <selection activeCell="C16" sqref="C16:C18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46174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[3]Brewhouse!$A444</f>
        <v>CA398</v>
      </c>
      <c r="D10" s="279">
        <f>[3]Brewhouse!$AF444</f>
        <v>51</v>
      </c>
      <c r="E10" s="279">
        <f>[3]Brewhouse!$AI444</f>
        <v>50</v>
      </c>
      <c r="F10" s="278">
        <f>[3]Brewhouse!$V444</f>
        <v>55</v>
      </c>
      <c r="G10" s="279">
        <f>[3]Brewhouse!AG444</f>
        <v>11.9</v>
      </c>
      <c r="H10" s="396">
        <v>11.8</v>
      </c>
      <c r="I10" s="368">
        <f>[3]Brewhouse!$AU444</f>
        <v>98.839319314550693</v>
      </c>
      <c r="J10" s="368">
        <f>[3]Brewhouse!$AV444</f>
        <v>99.699127412736502</v>
      </c>
      <c r="K10" s="281">
        <f>[3]Brewhouse!$Q444</f>
        <v>7.6296296296296253</v>
      </c>
      <c r="L10" s="276">
        <f>[3]Brewhouse!$P444</f>
        <v>61</v>
      </c>
      <c r="M10" s="397">
        <f>[3]Brewhouse!$U444-[3]Brewhouse!$T444</f>
        <v>0.10624999999999996</v>
      </c>
      <c r="N10" s="370">
        <f>[3]Brewhouse!$Z444</f>
        <v>0.24305555555555558</v>
      </c>
      <c r="O10" s="420" t="str">
        <f>[3]Brewhouse!$AX444</f>
        <v>K. Benjamin</v>
      </c>
      <c r="P10" s="418"/>
      <c r="R10" s="277" t="str">
        <f t="shared" ref="R10:R39" si="0">B10</f>
        <v>CARIB</v>
      </c>
      <c r="S10" s="472">
        <f t="shared" ref="S10:S39" si="1">VLOOKUP($B10,$R$3:$X$9,2,FALSE)</f>
        <v>11.6</v>
      </c>
      <c r="T10" s="472">
        <f t="shared" ref="T10:T39" si="2">VLOOKUP($B10,$R$3:$X$9,3,FALSE)</f>
        <v>12</v>
      </c>
      <c r="U10" s="297">
        <f t="shared" ref="U10:U39" si="3">VLOOKUP($B10,$R$3:$X$9,4,FALSE)</f>
        <v>0</v>
      </c>
      <c r="V10" s="297">
        <f t="shared" ref="V10:V39" si="4">VLOOKUP($B10,$R$3:$X$9,5,FALSE)</f>
        <v>0.118055555555556</v>
      </c>
      <c r="W10" s="297">
        <f t="shared" ref="W10:W39" si="5">VLOOKUP($B10,$R$3:$X$9,6,FALSE)</f>
        <v>0.22569444444444445</v>
      </c>
      <c r="X10" s="297">
        <f t="shared" ref="X10:X39" si="6">VLOOKUP($B10,$R$3:$X$9,7,FALSE)</f>
        <v>0.2638888888888889</v>
      </c>
      <c r="Y10" s="297">
        <f t="shared" ref="Y10:Y39" si="7">VLOOKUP($B10,$R$3:$Z$9,8,FALSE)</f>
        <v>0</v>
      </c>
      <c r="Z10" s="472">
        <f t="shared" ref="Z10:Z39" si="8">VLOOKUP($B10,$R$3:$Z$9,9,FALSE)</f>
        <v>60</v>
      </c>
    </row>
    <row r="11" spans="2:29" ht="15">
      <c r="B11" s="29" t="s">
        <v>6</v>
      </c>
      <c r="C11" s="366" t="str">
        <f>[3]Brewhouse!$A445</f>
        <v>CA399</v>
      </c>
      <c r="D11" s="279">
        <f>[3]Brewhouse!$AF445</f>
        <v>50.9</v>
      </c>
      <c r="E11" s="279">
        <f>[3]Brewhouse!$AI445</f>
        <v>50.5</v>
      </c>
      <c r="F11" s="278">
        <f>[3]Brewhouse!$V445</f>
        <v>61</v>
      </c>
      <c r="G11" s="279">
        <f>[3]Brewhouse!AG445</f>
        <v>11.9</v>
      </c>
      <c r="H11" s="396">
        <v>11.9</v>
      </c>
      <c r="I11" s="368">
        <f>[3]Brewhouse!$AU445</f>
        <v>99.827712507696191</v>
      </c>
      <c r="J11" s="368">
        <f>[3]Brewhouse!$AV445</f>
        <v>100.69611868686383</v>
      </c>
      <c r="K11" s="281">
        <f>[3]Brewhouse!$Q445</f>
        <v>7.8148148148148131</v>
      </c>
      <c r="L11" s="276">
        <f>[3]Brewhouse!$P445</f>
        <v>61</v>
      </c>
      <c r="M11" s="397">
        <f>[3]Brewhouse!$U445-[3]Brewhouse!$T445</f>
        <v>0.10625000000000001</v>
      </c>
      <c r="N11" s="370">
        <f>[3]Brewhouse!$Z445</f>
        <v>0.25833333333333336</v>
      </c>
      <c r="O11" s="420" t="str">
        <f>[3]Brewhouse!$AX445</f>
        <v>K. Benjamin</v>
      </c>
      <c r="P11" s="418"/>
      <c r="R11" s="277" t="str">
        <f t="shared" ref="R11:R24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[3]Brewhouse!$A446</f>
        <v>CA400</v>
      </c>
      <c r="D12" s="279">
        <f>[3]Brewhouse!$AF446</f>
        <v>52.1</v>
      </c>
      <c r="E12" s="279">
        <f>[3]Brewhouse!$AI446</f>
        <v>51.77</v>
      </c>
      <c r="F12" s="278">
        <f>[3]Brewhouse!$V446</f>
        <v>60</v>
      </c>
      <c r="G12" s="279">
        <f>[3]Brewhouse!AG446</f>
        <v>12</v>
      </c>
      <c r="H12" s="396">
        <v>11.9</v>
      </c>
      <c r="I12" s="368">
        <f>[3]Brewhouse!$AU446</f>
        <v>102.60534633351912</v>
      </c>
      <c r="J12" s="368">
        <f>[3]Brewhouse!$AV446</f>
        <v>103.49820781921714</v>
      </c>
      <c r="K12" s="281">
        <f>[3]Brewhouse!$Q446</f>
        <v>8.1700554528650677</v>
      </c>
      <c r="L12" s="276">
        <f>[3]Brewhouse!$P446</f>
        <v>61</v>
      </c>
      <c r="M12" s="397">
        <f>[3]Brewhouse!$U446-[3]Brewhouse!$T446</f>
        <v>0.1111111111111111</v>
      </c>
      <c r="N12" s="370">
        <f>[3]Brewhouse!$Z446</f>
        <v>0.2631944444444444</v>
      </c>
      <c r="O12" s="420" t="str">
        <f>[3]Brewhouse!$AX446</f>
        <v>K. Benjamin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366" t="str">
        <f>[3]Brewhouse!$A447</f>
        <v>CA401</v>
      </c>
      <c r="D13" s="279">
        <f>[3]Brewhouse!$AF447</f>
        <v>52.6</v>
      </c>
      <c r="E13" s="279">
        <f>[3]Brewhouse!$AI447</f>
        <v>53.3</v>
      </c>
      <c r="F13" s="278">
        <f>[3]Brewhouse!$V447</f>
        <v>65</v>
      </c>
      <c r="G13" s="279">
        <f>[3]Brewhouse!AG447</f>
        <v>11.6</v>
      </c>
      <c r="H13" s="396">
        <v>11.8</v>
      </c>
      <c r="I13" s="368">
        <f>[3]Brewhouse!$AU447</f>
        <v>101.06394965204404</v>
      </c>
      <c r="J13" s="368">
        <f>[3]Brewhouse!$AV447</f>
        <v>101.94379553152135</v>
      </c>
      <c r="K13" s="281">
        <f>[3]Brewhouse!$Q447</f>
        <v>6.5064695009242195</v>
      </c>
      <c r="L13" s="276">
        <f>[3]Brewhouse!$P447</f>
        <v>62</v>
      </c>
      <c r="M13" s="397">
        <f>[3]Brewhouse!$U447-[3]Brewhouse!$T447</f>
        <v>0.11388888888888893</v>
      </c>
      <c r="N13" s="370">
        <f>[3]Brewhouse!$Z447</f>
        <v>0.30625000000000002</v>
      </c>
      <c r="O13" s="420" t="str">
        <f>[3]Brewhouse!$AX447</f>
        <v>R. Regis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366" t="str">
        <f>[3]Brewhouse!$A448</f>
        <v>CA402</v>
      </c>
      <c r="D14" s="279">
        <f>[3]Brewhouse!$AF448</f>
        <v>50.9</v>
      </c>
      <c r="E14" s="279">
        <f>[3]Brewhouse!$AI448</f>
        <v>50.83</v>
      </c>
      <c r="F14" s="278">
        <f>[3]Brewhouse!$V448</f>
        <v>64</v>
      </c>
      <c r="G14" s="279">
        <f>[3]Brewhouse!AG448</f>
        <v>11.8</v>
      </c>
      <c r="H14" s="396">
        <v>11.7</v>
      </c>
      <c r="I14" s="368">
        <f>[3]Brewhouse!$AU448</f>
        <v>99.592276455198828</v>
      </c>
      <c r="J14" s="368">
        <f>[3]Brewhouse!$AV448</f>
        <v>100.45863456457052</v>
      </c>
      <c r="K14" s="281">
        <f>[3]Brewhouse!$Q448</f>
        <v>8.7245841035120115</v>
      </c>
      <c r="L14" s="276">
        <f>[3]Brewhouse!$P448</f>
        <v>59</v>
      </c>
      <c r="M14" s="397">
        <f>[3]Brewhouse!$U448-[3]Brewhouse!$T448</f>
        <v>0.10902777777777772</v>
      </c>
      <c r="N14" s="370">
        <f>[3]Brewhouse!$Z448</f>
        <v>0.27499999999999997</v>
      </c>
      <c r="O14" s="420" t="str">
        <f>[3]Brewhouse!$AX448</f>
        <v>R. Regis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9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>
      <c r="B16" s="34" t="s">
        <v>12</v>
      </c>
      <c r="C16" s="366" t="str">
        <f>[5]Brewhouse!$A62</f>
        <v>GU043</v>
      </c>
      <c r="D16" s="279">
        <f>[5]Brewhouse!$AF62</f>
        <v>49.9</v>
      </c>
      <c r="E16" s="279">
        <f>[5]Brewhouse!$AI62</f>
        <v>49</v>
      </c>
      <c r="F16" s="278">
        <f>[5]Brewhouse!$V62</f>
        <v>57</v>
      </c>
      <c r="G16" s="279">
        <f>[5]Brewhouse!$AG62</f>
        <v>17.399999999999999</v>
      </c>
      <c r="H16" s="396">
        <v>17.3</v>
      </c>
      <c r="I16" s="487">
        <f>[5]Brewhouse!$AU62</f>
        <v>93.161813188441059</v>
      </c>
      <c r="J16" s="487">
        <f>[5]Brewhouse!$AV62</f>
        <v>93.861712256503935</v>
      </c>
      <c r="K16" s="488">
        <f>[5]Brewhouse!$R62</f>
        <v>14.224598930481278</v>
      </c>
      <c r="L16" s="276">
        <f>[5]Brewhouse!$O62</f>
        <v>55</v>
      </c>
      <c r="M16" s="374">
        <f>[5]Brewhouse!$U62-[5]Brewhouse!$T62</f>
        <v>0.12013888888888891</v>
      </c>
      <c r="N16" s="370">
        <f>[5]Brewhouse!$Z62</f>
        <v>0.27777777777777779</v>
      </c>
      <c r="O16" s="420" t="str">
        <f>[5]Brewhouse!$AW62</f>
        <v>R. Sookram</v>
      </c>
      <c r="P16" s="418"/>
      <c r="R16" s="277" t="str">
        <f t="shared" si="9"/>
        <v>GUINNESS</v>
      </c>
      <c r="S16" s="472">
        <f t="shared" si="1"/>
        <v>17</v>
      </c>
      <c r="T16" s="472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472">
        <f t="shared" si="8"/>
        <v>60</v>
      </c>
    </row>
    <row r="17" spans="1:26" ht="15">
      <c r="B17" s="34" t="s">
        <v>12</v>
      </c>
      <c r="C17" s="366" t="str">
        <f>[5]Brewhouse!$A63</f>
        <v>GU044</v>
      </c>
      <c r="D17" s="279">
        <f>[5]Brewhouse!$AF63</f>
        <v>50.5</v>
      </c>
      <c r="E17" s="279">
        <f>[5]Brewhouse!$AI63</f>
        <v>49.4</v>
      </c>
      <c r="F17" s="278">
        <f>[5]Brewhouse!$V63</f>
        <v>59</v>
      </c>
      <c r="G17" s="279">
        <f>[5]Brewhouse!$AG63</f>
        <v>17.399999999999999</v>
      </c>
      <c r="H17" s="396">
        <v>17.7</v>
      </c>
      <c r="I17" s="487">
        <f>[5]Brewhouse!$AU63</f>
        <v>94.223463593248454</v>
      </c>
      <c r="J17" s="487">
        <f>[5]Brewhouse!$AV63</f>
        <v>94.930841314505514</v>
      </c>
      <c r="K17" s="488">
        <f>[5]Brewhouse!$R63</f>
        <v>12.285714285714278</v>
      </c>
      <c r="L17" s="276">
        <f>[5]Brewhouse!$O63</f>
        <v>58</v>
      </c>
      <c r="M17" s="374">
        <f>[5]Brewhouse!$U63-[5]Brewhouse!$T63</f>
        <v>0.11875000000000002</v>
      </c>
      <c r="N17" s="370">
        <f>[5]Brewhouse!$Z63</f>
        <v>0.27708333333333335</v>
      </c>
      <c r="O17" s="420" t="str">
        <f>[5]Brewhouse!$AW63</f>
        <v>R. Sookram</v>
      </c>
      <c r="P17" s="418"/>
      <c r="R17" s="277" t="str">
        <f t="shared" si="9"/>
        <v>GUINNESS</v>
      </c>
      <c r="S17" s="472">
        <f t="shared" si="1"/>
        <v>17</v>
      </c>
      <c r="T17" s="472">
        <f t="shared" si="2"/>
        <v>17.5</v>
      </c>
      <c r="U17" s="297">
        <f t="shared" si="3"/>
        <v>0</v>
      </c>
      <c r="V17" s="297">
        <f t="shared" si="4"/>
        <v>0.1076388888888889</v>
      </c>
      <c r="W17" s="297">
        <f t="shared" si="5"/>
        <v>0.24652777777777779</v>
      </c>
      <c r="X17" s="297">
        <f t="shared" si="6"/>
        <v>0.28472222222222221</v>
      </c>
      <c r="Y17" s="297">
        <f t="shared" si="7"/>
        <v>0</v>
      </c>
      <c r="Z17" s="472">
        <f t="shared" si="8"/>
        <v>60</v>
      </c>
    </row>
    <row r="18" spans="1:26" ht="15">
      <c r="B18" s="34" t="s">
        <v>12</v>
      </c>
      <c r="C18" s="366" t="str">
        <f>[5]Brewhouse!$A64</f>
        <v>GU045</v>
      </c>
      <c r="D18" s="279">
        <f>[5]Brewhouse!$AF64</f>
        <v>51.9</v>
      </c>
      <c r="E18" s="279">
        <f>[5]Brewhouse!$AI64</f>
        <v>50.7</v>
      </c>
      <c r="F18" s="278">
        <f>[5]Brewhouse!$V64</f>
        <v>55</v>
      </c>
      <c r="G18" s="279">
        <f>[5]Brewhouse!$AG64</f>
        <v>17.399999999999999</v>
      </c>
      <c r="H18" s="396">
        <v>17.399999999999999</v>
      </c>
      <c r="I18" s="487">
        <f>[5]Brewhouse!$AU64</f>
        <v>96.163448111596551</v>
      </c>
      <c r="J18" s="487">
        <f>[5]Brewhouse!$AV64</f>
        <v>96.886276120552466</v>
      </c>
      <c r="K18" s="488">
        <f>[5]Brewhouse!$R64</f>
        <v>12.821428571428569</v>
      </c>
      <c r="L18" s="276">
        <f>[5]Brewhouse!$O64</f>
        <v>61</v>
      </c>
      <c r="M18" s="374">
        <f>[5]Brewhouse!$U64-[5]Brewhouse!$T64</f>
        <v>0.1166666666666667</v>
      </c>
      <c r="N18" s="370">
        <f>[5]Brewhouse!$Z64</f>
        <v>0.27430555555555558</v>
      </c>
      <c r="O18" s="420" t="str">
        <f>[5]Brewhouse!$AW64</f>
        <v>R. Sookram</v>
      </c>
      <c r="P18" s="418"/>
      <c r="R18" s="277" t="str">
        <f t="shared" si="9"/>
        <v>GUINNESS</v>
      </c>
      <c r="S18" s="472">
        <f t="shared" si="1"/>
        <v>17</v>
      </c>
      <c r="T18" s="472">
        <f t="shared" si="2"/>
        <v>17.5</v>
      </c>
      <c r="U18" s="297">
        <f t="shared" si="3"/>
        <v>0</v>
      </c>
      <c r="V18" s="297">
        <f t="shared" si="4"/>
        <v>0.1076388888888889</v>
      </c>
      <c r="W18" s="297">
        <f t="shared" si="5"/>
        <v>0.24652777777777779</v>
      </c>
      <c r="X18" s="297">
        <f t="shared" si="6"/>
        <v>0.28472222222222221</v>
      </c>
      <c r="Y18" s="297">
        <f t="shared" si="7"/>
        <v>0</v>
      </c>
      <c r="Z18" s="472">
        <f t="shared" si="8"/>
        <v>60</v>
      </c>
    </row>
    <row r="19" spans="1:26" ht="15">
      <c r="B19" s="34"/>
      <c r="C19" s="366"/>
      <c r="D19" s="279"/>
      <c r="E19" s="279"/>
      <c r="F19" s="278"/>
      <c r="G19" s="279"/>
      <c r="H19" s="396"/>
      <c r="I19" s="487"/>
      <c r="J19" s="487"/>
      <c r="K19" s="488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>
      <c r="B20" s="34"/>
      <c r="C20" s="366"/>
      <c r="D20" s="279"/>
      <c r="E20" s="279"/>
      <c r="F20" s="278"/>
      <c r="G20" s="279"/>
      <c r="H20" s="396"/>
      <c r="I20" s="487"/>
      <c r="J20" s="487"/>
      <c r="K20" s="488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>
      <c r="B21" s="34"/>
      <c r="C21" s="366"/>
      <c r="D21" s="279"/>
      <c r="E21" s="279"/>
      <c r="F21" s="278"/>
      <c r="G21" s="279"/>
      <c r="H21" s="396"/>
      <c r="I21" s="487"/>
      <c r="J21" s="487"/>
      <c r="K21" s="488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8" hidden="1" customHeight="1">
      <c r="B22" s="34"/>
      <c r="C22" s="366"/>
      <c r="D22" s="279"/>
      <c r="E22" s="279"/>
      <c r="F22" s="278"/>
      <c r="G22" s="279"/>
      <c r="H22" s="396"/>
      <c r="I22" s="487"/>
      <c r="J22" s="487"/>
      <c r="K22" s="488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8" hidden="1" customHeight="1">
      <c r="B23" s="29"/>
      <c r="C23" s="366"/>
      <c r="D23" s="279"/>
      <c r="E23" s="279"/>
      <c r="F23" s="278"/>
      <c r="G23" s="279"/>
      <c r="H23" s="481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8" hidden="1" customHeight="1">
      <c r="B24" s="29"/>
      <c r="C24" s="366"/>
      <c r="D24" s="279"/>
      <c r="E24" s="279"/>
      <c r="F24" s="278"/>
      <c r="G24" s="279"/>
      <c r="H24" s="481"/>
      <c r="I24" s="368"/>
      <c r="J24" s="368"/>
      <c r="K24" s="281"/>
      <c r="L24" s="276"/>
      <c r="M24" s="374"/>
      <c r="N24" s="370"/>
      <c r="O24" s="371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6.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.75" customHeight="1" thickBot="1">
      <c r="B26" s="358"/>
      <c r="C26" s="358"/>
      <c r="D26" s="358"/>
      <c r="E26" s="358"/>
      <c r="F26" s="294"/>
      <c r="G26" s="294"/>
      <c r="H26" s="348"/>
      <c r="I26" s="544"/>
      <c r="J26" s="544"/>
      <c r="K26" s="544"/>
      <c r="L26" s="544"/>
      <c r="M26" s="544"/>
      <c r="N26" s="544"/>
      <c r="O26" s="1"/>
      <c r="P26" s="12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.75" customHeight="1" thickBot="1">
      <c r="B27" s="388" t="s">
        <v>162</v>
      </c>
      <c r="C27" s="388"/>
      <c r="D27" s="545" t="s">
        <v>35</v>
      </c>
      <c r="E27" s="546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0"/>
        <v xml:space="preserve">BRAND 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" customHeight="1">
      <c r="A28" s="28"/>
      <c r="B28" s="530"/>
      <c r="C28" s="362"/>
      <c r="D28" s="548"/>
      <c r="E28" s="549"/>
      <c r="F28" s="294"/>
      <c r="G28" s="294"/>
      <c r="H28" s="348"/>
      <c r="I28" s="29" t="s">
        <v>6</v>
      </c>
      <c r="J28" s="323">
        <f>AVERAGE(I10:I14)</f>
        <v>100.38572085260176</v>
      </c>
      <c r="K28" s="284">
        <f>COUNTA([3]Brewhouse!$A$441:$A$448)</f>
        <v>8</v>
      </c>
      <c r="L28" s="305">
        <f>AVERAGE([3]Brewhouse!$AU$441:$AU$448)</f>
        <v>99.348146788195805</v>
      </c>
      <c r="M28" s="305">
        <f>AVERAGE([3]Brewhouse!$AU$42:$AU$123,[3]Brewhouse!$AU$125:$AU$188,[3]Brewhouse!$AU$198:$AU$290,[3]Brewhouse!$AU$292:$AU$370,[3]Brewhouse!$AU$372:$AU$439,[3]Brewhouse!$AU$441:$AU$448)</f>
        <v>98.002582503921104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" customHeight="1">
      <c r="A29" s="28"/>
      <c r="B29" s="531"/>
      <c r="C29" s="362"/>
      <c r="D29" s="550"/>
      <c r="E29" s="536"/>
      <c r="F29" s="294"/>
      <c r="G29" s="294"/>
      <c r="H29" s="348"/>
      <c r="I29" s="33" t="s">
        <v>9</v>
      </c>
      <c r="J29" s="323"/>
      <c r="K29" s="284"/>
      <c r="L29" s="302"/>
      <c r="M29" s="302">
        <f>AVERAGE([4]Brewhouse!$AS$52:$AS$81,[4]Brewhouse!$AS$83:$AS$124,[4]Brewhouse!$AS$134:$AS$177,[4]Brewhouse!$AS$22:$AS$179,[4]Brewhouse!$AS$214:$AS$248)</f>
        <v>97.973401211175855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31"/>
      <c r="C30" s="362"/>
      <c r="D30" s="540"/>
      <c r="E30" s="541"/>
      <c r="F30" s="294"/>
      <c r="G30" s="294"/>
      <c r="H30" s="348"/>
      <c r="I30" s="34" t="s">
        <v>12</v>
      </c>
      <c r="J30" s="280">
        <f>AVERAGE(I16:I18)</f>
        <v>94.516241631095355</v>
      </c>
      <c r="K30" s="284">
        <f>COUNTA([5]Brewhouse!$A$62:$A$64)</f>
        <v>3</v>
      </c>
      <c r="L30" s="302">
        <f>AVERAGE([5]Brewhouse!$AU$62:$AU$64)</f>
        <v>94.516241631095355</v>
      </c>
      <c r="M30" s="302">
        <f>AVERAGE([5]Brewhouse!$AU$16:$AU$23,[5]Brewhouse!$AU$25:$AU$32,[5]Brewhouse!$AU$34:$AU$41,[5]Brewhouse!$AU$43:$AU$60,[5]Brewhouse!$AU$62:$AU$64)</f>
        <v>96.732619949325027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31"/>
      <c r="C31" s="362"/>
      <c r="D31" s="535"/>
      <c r="E31" s="536"/>
      <c r="F31" s="294"/>
      <c r="G31" s="294"/>
      <c r="H31" s="348"/>
      <c r="I31" s="22" t="s">
        <v>33</v>
      </c>
      <c r="J31" s="280"/>
      <c r="K31" s="284"/>
      <c r="L31" s="302"/>
      <c r="M31" s="302">
        <f>AVERAGE([6]Brewhouse!$AV$23:$AV$34,[6]Brewhouse!$AV$36,[6]Brewhouse!$AV$38:$AV$52,[6]Brewhouse!$AV$54:$AV$60,[6]Brewhouse!$AV$62:$AV$68)</f>
        <v>97.579195177204838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31"/>
      <c r="C32" s="362"/>
      <c r="D32" s="540"/>
      <c r="E32" s="541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31"/>
      <c r="C33" s="362"/>
      <c r="D33" s="535"/>
      <c r="E33" s="536"/>
      <c r="F33" s="417"/>
      <c r="G33" s="294"/>
      <c r="H33" s="348"/>
      <c r="I33" s="36" t="s">
        <v>15</v>
      </c>
      <c r="J33" s="323"/>
      <c r="K33" s="284"/>
      <c r="L33" s="302"/>
      <c r="M33" s="302">
        <f>AVERAGE([7]Brewhouse!$AT$4:$AT$11,[7]Brewhouse!$AT$13:$AT$16)</f>
        <v>91.538375374138752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31"/>
      <c r="C34" s="362"/>
      <c r="D34" s="540"/>
      <c r="E34" s="541"/>
      <c r="F34" s="417"/>
      <c r="G34" s="294"/>
      <c r="H34" s="348"/>
      <c r="I34" s="37" t="s">
        <v>16</v>
      </c>
      <c r="J34" s="323"/>
      <c r="K34" s="284"/>
      <c r="L34" s="302"/>
      <c r="M34" s="302">
        <f>AVERAGE([8]Brewhouse!$AY$5:$AY$14,[8]Brewhouse!$AY$16:$AY$23,[8]Brewhouse!$AY$42,[8]Brewhouse!$AY$44:$AY$51,[8]Brewhouse!$AY$53:$AY$64)</f>
        <v>97.359350085271998</v>
      </c>
      <c r="N34" s="30">
        <v>98</v>
      </c>
      <c r="O34" s="11"/>
      <c r="P34" s="31" t="s">
        <v>41</v>
      </c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31"/>
      <c r="C35" s="362"/>
      <c r="D35" s="535"/>
      <c r="E35" s="536"/>
      <c r="F35" s="294"/>
      <c r="G35" s="294"/>
      <c r="H35" s="348"/>
      <c r="I35" s="411" t="s">
        <v>158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56" ht="14.65" customHeight="1">
      <c r="A36" s="28"/>
      <c r="B36" s="531"/>
      <c r="C36" s="349"/>
      <c r="D36" s="540"/>
      <c r="E36" s="541"/>
      <c r="F36" s="294"/>
      <c r="G36" s="294"/>
      <c r="H36" s="348"/>
      <c r="I36" s="410" t="s">
        <v>157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31"/>
      <c r="C37" s="349"/>
      <c r="D37" s="535"/>
      <c r="E37" s="536"/>
      <c r="F37" s="294"/>
      <c r="G37" s="294"/>
      <c r="H37" s="348"/>
      <c r="I37" s="406" t="s">
        <v>156</v>
      </c>
      <c r="J37" s="327"/>
      <c r="K37" s="407"/>
      <c r="L37" s="408"/>
      <c r="M37" s="408"/>
      <c r="N37" s="409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customHeight="1" thickBot="1">
      <c r="A38" s="28"/>
      <c r="B38" s="531"/>
      <c r="C38" s="349"/>
      <c r="D38" s="548"/>
      <c r="E38" s="549"/>
      <c r="F38" s="294"/>
      <c r="G38" s="294"/>
      <c r="H38" s="348"/>
      <c r="I38" s="1"/>
      <c r="J38" s="39"/>
      <c r="K38" s="404">
        <f>SUM(K28:K37)</f>
        <v>11</v>
      </c>
      <c r="L38" s="405">
        <f>((L28*K28)+(L29*K29)+(L30*K30)+(L31*K31)+(L32*K32)+(K35*L35)+(L33*K33)+(L34*K34)+(L37*K37))/(K38)</f>
        <v>98.03035447262296</v>
      </c>
      <c r="M38" s="405">
        <f>AVERAGE('[9]Jan30th-31st'!$L$42,L38)</f>
        <v>97.929198104232213</v>
      </c>
      <c r="N38" s="4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547"/>
      <c r="C39" s="350"/>
      <c r="D39" s="550"/>
      <c r="E39" s="536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.75" thickBot="1">
      <c r="B40" s="530"/>
      <c r="C40" s="362"/>
      <c r="D40" s="533"/>
      <c r="E40" s="534"/>
      <c r="F40" s="294"/>
      <c r="G40" s="42"/>
      <c r="H40" s="41"/>
      <c r="I40" s="42"/>
      <c r="J40" s="537" t="s">
        <v>129</v>
      </c>
      <c r="K40" s="537"/>
      <c r="L40" s="294"/>
      <c r="M40" s="294"/>
      <c r="N40" s="294"/>
      <c r="O40" s="294"/>
      <c r="P40" s="12"/>
    </row>
    <row r="41" spans="1:56" ht="15.75" thickBot="1">
      <c r="B41" s="531"/>
      <c r="C41" s="362"/>
      <c r="D41" s="535"/>
      <c r="E41" s="536"/>
      <c r="F41" s="294"/>
      <c r="G41" s="42"/>
      <c r="H41" s="42"/>
      <c r="I41" s="42"/>
      <c r="J41" s="292" t="s">
        <v>17</v>
      </c>
      <c r="K41" s="293" t="s">
        <v>170</v>
      </c>
      <c r="L41" s="538" t="s">
        <v>136</v>
      </c>
      <c r="M41" s="538"/>
      <c r="N41" s="539"/>
      <c r="O41" s="294"/>
      <c r="P41" s="12"/>
    </row>
    <row r="42" spans="1:56" ht="15" customHeight="1" thickBot="1">
      <c r="B42" s="531"/>
      <c r="C42" s="349"/>
      <c r="D42" s="540"/>
      <c r="E42" s="541"/>
      <c r="F42" s="294"/>
      <c r="G42" s="42"/>
      <c r="H42" s="42"/>
      <c r="I42" s="42"/>
      <c r="J42" s="287" t="s">
        <v>6</v>
      </c>
      <c r="K42" s="324">
        <v>5</v>
      </c>
      <c r="L42" s="473" t="s">
        <v>37</v>
      </c>
      <c r="M42" s="474" t="s">
        <v>38</v>
      </c>
      <c r="N42" s="474" t="s">
        <v>84</v>
      </c>
      <c r="O42" s="294"/>
      <c r="P42" s="12"/>
    </row>
    <row r="43" spans="1:56" ht="15.75" customHeight="1" thickBot="1">
      <c r="B43" s="531"/>
      <c r="C43" s="349"/>
      <c r="D43" s="535"/>
      <c r="E43" s="536"/>
      <c r="F43" s="294"/>
      <c r="G43" s="42"/>
      <c r="H43" s="42"/>
      <c r="I43" s="42"/>
      <c r="J43" s="345" t="s">
        <v>9</v>
      </c>
      <c r="K43" s="324"/>
      <c r="L43" s="344">
        <f>AVERAGE('June 2nd'!K44,K52)</f>
        <v>5.5</v>
      </c>
      <c r="M43" s="325">
        <f>AVERAGE('[9]Jan30th-31st'!$L$47,L43,'[10]Feb 26th '!$L$39,'[11]Mar 31st'!$L$47,'[12]Apr 30th'!$L$46,'[13]May 29th '!$L$40)</f>
        <v>6.1879776021080373</v>
      </c>
      <c r="N43" s="416">
        <v>9.1999999999999993</v>
      </c>
      <c r="O43" s="294"/>
      <c r="P43" s="12"/>
    </row>
    <row r="44" spans="1:56" ht="15" customHeight="1">
      <c r="B44" s="531"/>
      <c r="C44" s="349"/>
      <c r="D44" s="540"/>
      <c r="E44" s="541"/>
      <c r="F44" s="294"/>
      <c r="G44" s="42"/>
      <c r="H44" s="42"/>
      <c r="I44" s="42"/>
      <c r="J44" s="288" t="s">
        <v>40</v>
      </c>
      <c r="K44" s="324">
        <v>3</v>
      </c>
      <c r="L44" s="294"/>
      <c r="M44" s="294"/>
      <c r="N44" s="294"/>
      <c r="O44" s="294"/>
      <c r="P44" s="12"/>
    </row>
    <row r="45" spans="1:56" ht="15" customHeight="1">
      <c r="B45" s="531"/>
      <c r="C45" s="349"/>
      <c r="D45" s="535"/>
      <c r="E45" s="536"/>
      <c r="F45" s="294"/>
      <c r="G45" s="42"/>
      <c r="H45" s="42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31"/>
      <c r="C46" s="349"/>
      <c r="D46" s="540"/>
      <c r="E46" s="541"/>
      <c r="F46" s="294"/>
      <c r="G46" s="42"/>
      <c r="H46" s="42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31"/>
      <c r="C47" s="349"/>
      <c r="D47" s="535"/>
      <c r="E47" s="536"/>
      <c r="F47" s="294"/>
      <c r="G47" s="42"/>
      <c r="H47" s="42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31"/>
      <c r="C48" s="349"/>
      <c r="D48" s="540"/>
      <c r="E48" s="541"/>
      <c r="F48" s="294"/>
      <c r="G48" s="42"/>
      <c r="H48" s="42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thickBot="1">
      <c r="B49" s="532"/>
      <c r="C49" s="350"/>
      <c r="D49" s="542"/>
      <c r="E49" s="543"/>
      <c r="F49" s="294" t="s">
        <v>166</v>
      </c>
      <c r="G49" s="42"/>
      <c r="H49" s="42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2:57" ht="17.649999999999999" customHeight="1" thickBot="1">
      <c r="B50" s="312" t="s">
        <v>139</v>
      </c>
      <c r="C50" s="313"/>
      <c r="D50" s="523"/>
      <c r="E50" s="524"/>
      <c r="F50" s="294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>
      <c r="B51" s="363"/>
      <c r="C51" s="364"/>
      <c r="D51" s="365"/>
      <c r="E51" s="365"/>
      <c r="F51" s="294"/>
      <c r="G51" s="42"/>
      <c r="H51" s="42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2"/>
      <c r="I52" s="42"/>
      <c r="J52" s="346" t="s">
        <v>130</v>
      </c>
      <c r="K52" s="324">
        <f>SUM(K42:K51)</f>
        <v>8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294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515" t="s">
        <v>17</v>
      </c>
      <c r="C55" s="515" t="s">
        <v>44</v>
      </c>
      <c r="D55" s="526" t="s">
        <v>45</v>
      </c>
      <c r="E55" s="528" t="s">
        <v>46</v>
      </c>
      <c r="F55" s="521" t="s">
        <v>47</v>
      </c>
      <c r="G55" s="513" t="s">
        <v>48</v>
      </c>
      <c r="H55" s="515" t="s">
        <v>49</v>
      </c>
      <c r="I55" s="515" t="s">
        <v>50</v>
      </c>
      <c r="J55" s="507" t="s">
        <v>28</v>
      </c>
      <c r="K55" s="517" t="s">
        <v>51</v>
      </c>
      <c r="L55" s="519" t="s">
        <v>52</v>
      </c>
      <c r="M55" s="507" t="s">
        <v>53</v>
      </c>
      <c r="N55" s="13"/>
      <c r="O55" s="13"/>
      <c r="P55" s="50"/>
    </row>
    <row r="56" spans="2:57" ht="28.5" customHeight="1" thickTop="1" thickBot="1">
      <c r="B56" s="516"/>
      <c r="C56" s="525"/>
      <c r="D56" s="527"/>
      <c r="E56" s="529"/>
      <c r="F56" s="522"/>
      <c r="G56" s="514"/>
      <c r="H56" s="516"/>
      <c r="I56" s="516"/>
      <c r="J56" s="508"/>
      <c r="K56" s="518"/>
      <c r="L56" s="520"/>
      <c r="M56" s="508"/>
      <c r="N56" s="13"/>
      <c r="O56" s="13"/>
      <c r="P56" s="50"/>
      <c r="Q56" s="355"/>
      <c r="AB56" s="475">
        <v>43474</v>
      </c>
      <c r="AC56" s="475">
        <v>43475</v>
      </c>
      <c r="AD56" s="475">
        <v>43476</v>
      </c>
      <c r="AE56" s="475">
        <v>43477</v>
      </c>
      <c r="AF56" s="475">
        <v>43478</v>
      </c>
      <c r="AG56" s="475">
        <v>43479</v>
      </c>
      <c r="AH56" s="475">
        <v>43480</v>
      </c>
      <c r="AI56" s="475">
        <v>43481</v>
      </c>
      <c r="AJ56" s="475">
        <v>43482</v>
      </c>
      <c r="AK56" s="475">
        <v>43483</v>
      </c>
      <c r="AL56" s="475">
        <v>43484</v>
      </c>
      <c r="AM56" s="475">
        <v>43485</v>
      </c>
      <c r="AN56" s="475">
        <v>43486</v>
      </c>
      <c r="AO56" s="475">
        <v>43487</v>
      </c>
      <c r="AP56" s="475">
        <v>43488</v>
      </c>
      <c r="AQ56" s="475">
        <v>43489</v>
      </c>
      <c r="AR56" s="475">
        <v>43490</v>
      </c>
      <c r="AS56" s="475">
        <v>43491</v>
      </c>
      <c r="AT56" s="475">
        <v>43492</v>
      </c>
      <c r="AU56" s="475">
        <v>43493</v>
      </c>
      <c r="AV56" s="475">
        <v>43494</v>
      </c>
      <c r="AW56" s="475">
        <v>43495</v>
      </c>
      <c r="AX56" s="475">
        <v>43496</v>
      </c>
    </row>
    <row r="57" spans="2:57" s="54" customFormat="1" ht="36.75" customHeight="1" thickBot="1">
      <c r="B57" s="484"/>
      <c r="C57" s="479"/>
      <c r="D57" s="445"/>
      <c r="E57" s="443"/>
      <c r="F57" s="444"/>
      <c r="G57" s="445"/>
      <c r="H57" s="458"/>
      <c r="I57" s="458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[16]January_2019!L5</f>
        <v>0</v>
      </c>
      <c r="AC57" s="57">
        <f>[16]January_2019!M5</f>
        <v>0</v>
      </c>
      <c r="AD57" s="57">
        <f>[16]January_2019!N5</f>
        <v>0</v>
      </c>
      <c r="AE57" s="57">
        <f>[16]January_2019!O5</f>
        <v>0</v>
      </c>
      <c r="AF57" s="57">
        <f>[16]January_2019!P5</f>
        <v>0</v>
      </c>
      <c r="AG57" s="57">
        <f>[16]January_2019!Q5</f>
        <v>0</v>
      </c>
      <c r="AH57" s="57">
        <f>[16]January_2019!R5</f>
        <v>0</v>
      </c>
      <c r="AI57" s="57">
        <f>[16]January_2019!S5</f>
        <v>0</v>
      </c>
      <c r="AJ57" s="57">
        <f>[16]January_2019!T5</f>
        <v>0</v>
      </c>
      <c r="AK57" s="57">
        <f>[16]January_2019!U5</f>
        <v>0</v>
      </c>
      <c r="AL57" s="57">
        <f>[16]January_2019!V5</f>
        <v>0</v>
      </c>
      <c r="AM57" s="57">
        <f>[16]January_2019!W5</f>
        <v>0</v>
      </c>
      <c r="AN57" s="57">
        <f>[16]January_2019!X5</f>
        <v>0</v>
      </c>
      <c r="AO57" s="57">
        <f>[16]January_2019!Y5</f>
        <v>0</v>
      </c>
      <c r="AP57" s="57">
        <f>[16]January_2019!Z5</f>
        <v>0</v>
      </c>
      <c r="AQ57" s="57">
        <f>[16]January_2019!AA5</f>
        <v>0</v>
      </c>
      <c r="AR57" s="57">
        <f>[16]January_2019!AB5</f>
        <v>0</v>
      </c>
      <c r="AS57" s="57">
        <f>[16]January_2019!AC5</f>
        <v>0</v>
      </c>
      <c r="AT57" s="57">
        <f>[16]January_2019!AD5</f>
        <v>0</v>
      </c>
      <c r="AU57" s="57">
        <f>[16]January_2019!AE5</f>
        <v>0</v>
      </c>
      <c r="AV57" s="57">
        <f>[16]January_2019!AF5</f>
        <v>0</v>
      </c>
      <c r="AW57" s="57">
        <f>[16]January_2019!AG5</f>
        <v>0</v>
      </c>
      <c r="AX57" s="277">
        <f>[16]January_2019!AH5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4.25" customHeight="1" thickBot="1">
      <c r="B58" s="480"/>
      <c r="C58" s="479"/>
      <c r="D58" s="442"/>
      <c r="E58" s="443"/>
      <c r="F58" s="444"/>
      <c r="G58" s="445"/>
      <c r="H58" s="458"/>
      <c r="I58" s="458"/>
      <c r="J58" s="476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[16]January_2019!L6</f>
        <v>0</v>
      </c>
      <c r="AC58" s="57">
        <f>[16]January_2019!M6</f>
        <v>0</v>
      </c>
      <c r="AD58" s="57">
        <f>[16]January_2019!N6</f>
        <v>0</v>
      </c>
      <c r="AE58" s="57">
        <f>[16]January_2019!O6</f>
        <v>0</v>
      </c>
      <c r="AF58" s="57">
        <f>[16]January_2019!P6</f>
        <v>0</v>
      </c>
      <c r="AG58" s="57">
        <f>[16]January_2019!Q6</f>
        <v>0</v>
      </c>
      <c r="AH58" s="57">
        <f>[16]January_2019!R6</f>
        <v>0</v>
      </c>
      <c r="AI58" s="57">
        <f>[16]January_2019!S6</f>
        <v>0</v>
      </c>
      <c r="AJ58" s="57">
        <f>[16]January_2019!T6</f>
        <v>0</v>
      </c>
      <c r="AK58" s="57">
        <f>[16]January_2019!U6</f>
        <v>0</v>
      </c>
      <c r="AL58" s="57">
        <f>[16]January_2019!V6</f>
        <v>0</v>
      </c>
      <c r="AM58" s="57">
        <f>[16]January_2019!W6</f>
        <v>0</v>
      </c>
      <c r="AN58" s="57">
        <f>[16]January_2019!X6</f>
        <v>0</v>
      </c>
      <c r="AO58" s="57">
        <f>[16]January_2019!Y6</f>
        <v>0</v>
      </c>
      <c r="AP58" s="57">
        <f>[16]January_2019!Z6</f>
        <v>0</v>
      </c>
      <c r="AQ58" s="57">
        <f>[16]January_2019!AA6</f>
        <v>0</v>
      </c>
      <c r="AR58" s="57">
        <f>[16]January_2019!AB6</f>
        <v>0</v>
      </c>
      <c r="AS58" s="57">
        <f>[16]January_2019!AC6</f>
        <v>0</v>
      </c>
      <c r="AT58" s="57">
        <f>[16]January_2019!AD6</f>
        <v>0</v>
      </c>
      <c r="AU58" s="57">
        <f>[16]January_2019!AE6</f>
        <v>0</v>
      </c>
      <c r="AV58" s="57">
        <f>[16]January_2019!AF6</f>
        <v>0</v>
      </c>
      <c r="AW58" s="57">
        <f>[16]January_2019!AG6</f>
        <v>0</v>
      </c>
      <c r="AX58" s="277">
        <f>[16]January_2019!AH6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0"/>
      <c r="C59" s="479"/>
      <c r="D59" s="442"/>
      <c r="E59" s="443"/>
      <c r="F59" s="444"/>
      <c r="G59" s="445"/>
      <c r="H59" s="458"/>
      <c r="I59" s="458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[16]January_2019!L7</f>
        <v>285.8</v>
      </c>
      <c r="AC59" s="57">
        <f>[16]January_2019!M7</f>
        <v>508.1</v>
      </c>
      <c r="AD59" s="57">
        <f>[16]January_2019!N7</f>
        <v>0</v>
      </c>
      <c r="AE59" s="57">
        <f>[16]January_2019!O7</f>
        <v>0</v>
      </c>
      <c r="AF59" s="57">
        <f>[16]January_2019!P7</f>
        <v>109.56666666666666</v>
      </c>
      <c r="AG59" s="57">
        <f>[16]January_2019!Q7</f>
        <v>297.64999999999998</v>
      </c>
      <c r="AH59" s="57">
        <f>[16]January_2019!R7</f>
        <v>122.3</v>
      </c>
      <c r="AI59" s="57">
        <f>[16]January_2019!S7</f>
        <v>0</v>
      </c>
      <c r="AJ59" s="57">
        <f>[16]January_2019!T7</f>
        <v>294.7</v>
      </c>
      <c r="AK59" s="57">
        <f>[16]January_2019!U7</f>
        <v>280.5</v>
      </c>
      <c r="AL59" s="57">
        <f>[16]January_2019!V7</f>
        <v>0</v>
      </c>
      <c r="AM59" s="57">
        <f>[16]January_2019!W7</f>
        <v>0</v>
      </c>
      <c r="AN59" s="57">
        <f>[16]January_2019!X7</f>
        <v>188.25</v>
      </c>
      <c r="AO59" s="57">
        <f>[16]January_2019!Y7</f>
        <v>295.7</v>
      </c>
      <c r="AP59" s="57">
        <f>[16]January_2019!Z7</f>
        <v>257.8</v>
      </c>
      <c r="AQ59" s="57">
        <f>[16]January_2019!AA7</f>
        <v>291.2</v>
      </c>
      <c r="AR59" s="57">
        <f>[16]January_2019!AB7</f>
        <v>187</v>
      </c>
      <c r="AS59" s="57">
        <f>[16]January_2019!AC7</f>
        <v>0</v>
      </c>
      <c r="AT59" s="57">
        <f>[16]January_2019!AD7</f>
        <v>0</v>
      </c>
      <c r="AU59" s="57">
        <f>[16]January_2019!AE7</f>
        <v>485.1</v>
      </c>
      <c r="AV59" s="57">
        <f>[16]January_2019!AF7</f>
        <v>171.55</v>
      </c>
      <c r="AW59" s="57">
        <f>[16]January_2019!AG7</f>
        <v>423.8</v>
      </c>
      <c r="AX59" s="277">
        <f>[16]January_2019!AH7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19.5" hidden="1" customHeight="1" thickBot="1">
      <c r="B60" s="478"/>
      <c r="C60" s="430"/>
      <c r="D60" s="431"/>
      <c r="E60" s="432"/>
      <c r="F60" s="433"/>
      <c r="G60" s="434"/>
      <c r="H60" s="458"/>
      <c r="I60" s="458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8.450000000000003" hidden="1" customHeight="1" thickBot="1">
      <c r="B61" s="480"/>
      <c r="C61" s="479"/>
      <c r="D61" s="442"/>
      <c r="E61" s="443"/>
      <c r="F61" s="444"/>
      <c r="G61" s="445"/>
      <c r="H61" s="458"/>
      <c r="I61" s="458"/>
      <c r="J61" s="448"/>
      <c r="K61" s="45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5" hidden="1">
      <c r="B62" s="453"/>
      <c r="C62" s="430"/>
      <c r="D62" s="431"/>
      <c r="E62" s="432"/>
      <c r="F62" s="433"/>
      <c r="G62" s="434"/>
      <c r="H62" s="435"/>
      <c r="I62" s="450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hidden="1" customHeight="1" thickBot="1">
      <c r="B63" s="484"/>
      <c r="C63" s="479"/>
      <c r="D63" s="442"/>
      <c r="E63" s="443"/>
      <c r="F63" s="444"/>
      <c r="G63" s="445"/>
      <c r="H63" s="446"/>
      <c r="I63" s="447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6.5" hidden="1" customHeight="1" thickBot="1">
      <c r="B64" s="437"/>
      <c r="C64" s="423"/>
      <c r="D64" s="424"/>
      <c r="E64" s="425"/>
      <c r="F64" s="426"/>
      <c r="G64" s="427"/>
      <c r="H64" s="428"/>
      <c r="I64" s="438"/>
      <c r="J64" s="439"/>
      <c r="K64" s="429"/>
      <c r="L64" s="440"/>
      <c r="M64" s="422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57" s="54" customFormat="1" ht="37.15" hidden="1" customHeight="1" thickBot="1">
      <c r="B65" s="456"/>
      <c r="C65" s="441"/>
      <c r="D65" s="442"/>
      <c r="E65" s="443"/>
      <c r="F65" s="444"/>
      <c r="G65" s="445"/>
      <c r="H65" s="446"/>
      <c r="I65" s="447"/>
      <c r="J65" s="448"/>
      <c r="K65" s="449"/>
      <c r="L65" s="457"/>
      <c r="M65" s="454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customHeight="1">
      <c r="B66" s="466"/>
      <c r="C66" s="430"/>
      <c r="D66" s="460"/>
      <c r="E66" s="461"/>
      <c r="F66" s="462"/>
      <c r="G66" s="460"/>
      <c r="H66" s="463"/>
      <c r="I66" s="463"/>
      <c r="J66" s="463"/>
      <c r="K66" s="464"/>
      <c r="L66" s="465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509" t="s">
        <v>55</v>
      </c>
      <c r="C68" s="510"/>
      <c r="D68" s="510"/>
      <c r="E68" s="510"/>
      <c r="F68" s="511"/>
      <c r="G68" s="509" t="s">
        <v>56</v>
      </c>
      <c r="H68" s="510"/>
      <c r="I68" s="510"/>
      <c r="J68" s="511"/>
      <c r="K68" s="509" t="s">
        <v>51</v>
      </c>
      <c r="L68" s="510"/>
      <c r="M68" s="510"/>
      <c r="N68" s="512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/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65"/>
      <c r="D70" s="76"/>
      <c r="E70" s="76">
        <v>6.5623673132836648</v>
      </c>
      <c r="F70" s="66">
        <v>4.8</v>
      </c>
      <c r="G70" s="65"/>
      <c r="H70" s="477"/>
      <c r="I70" s="477">
        <v>6.2688670205621344</v>
      </c>
      <c r="J70" s="66">
        <v>4.8</v>
      </c>
      <c r="K70" s="67"/>
      <c r="L70" s="194"/>
      <c r="M70" s="194">
        <v>0.51130548427310263</v>
      </c>
      <c r="N70" s="68">
        <v>1</v>
      </c>
      <c r="O70" s="56"/>
      <c r="P70" s="69"/>
    </row>
    <row r="71" spans="2:57" ht="15">
      <c r="B71" s="33" t="s">
        <v>9</v>
      </c>
      <c r="C71" s="65"/>
      <c r="D71" s="76"/>
      <c r="E71" s="76">
        <v>5.8230180888372871</v>
      </c>
      <c r="F71" s="66">
        <v>4.8</v>
      </c>
      <c r="G71" s="65"/>
      <c r="H71" s="76"/>
      <c r="I71" s="76">
        <v>5.4655642193228315</v>
      </c>
      <c r="J71" s="66">
        <v>4.8</v>
      </c>
      <c r="K71" s="67"/>
      <c r="L71" s="194"/>
      <c r="M71" s="194">
        <v>0.68713504693777017</v>
      </c>
      <c r="N71" s="68">
        <v>1</v>
      </c>
      <c r="P71" s="69"/>
    </row>
    <row r="72" spans="2:57" ht="15">
      <c r="B72" s="34" t="s">
        <v>40</v>
      </c>
      <c r="C72" s="65"/>
      <c r="D72" s="76"/>
      <c r="E72" s="76">
        <v>11.435860710768946</v>
      </c>
      <c r="F72" s="66">
        <v>5.5</v>
      </c>
      <c r="G72" s="65"/>
      <c r="H72" s="76"/>
      <c r="I72" s="76">
        <v>12.618851801260744</v>
      </c>
      <c r="J72" s="66">
        <v>5.5</v>
      </c>
      <c r="K72" s="67"/>
      <c r="L72" s="194"/>
      <c r="M72" s="194">
        <v>0.26444407894736843</v>
      </c>
      <c r="N72" s="68">
        <v>1</v>
      </c>
      <c r="P72" s="69"/>
    </row>
    <row r="73" spans="2:57" ht="15">
      <c r="B73" s="22" t="s">
        <v>33</v>
      </c>
      <c r="C73" s="65"/>
      <c r="D73" s="76"/>
      <c r="E73" s="76">
        <v>4.7166249493099075</v>
      </c>
      <c r="F73" s="66">
        <v>3.3</v>
      </c>
      <c r="G73" s="65"/>
      <c r="H73" s="76"/>
      <c r="I73" s="76">
        <v>4.7393662692065543</v>
      </c>
      <c r="J73" s="66">
        <v>3.3</v>
      </c>
      <c r="K73" s="67"/>
      <c r="L73" s="194"/>
      <c r="M73" s="194">
        <v>0.73604010025062649</v>
      </c>
      <c r="N73" s="68">
        <v>1</v>
      </c>
      <c r="P73" s="69"/>
    </row>
    <row r="74" spans="2:57" ht="15">
      <c r="B74" s="35" t="s">
        <v>164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K74" s="67"/>
      <c r="L74" s="194"/>
      <c r="M74" s="194"/>
      <c r="N74" s="68">
        <v>1</v>
      </c>
      <c r="P74" s="69"/>
    </row>
    <row r="75" spans="2:57" ht="15">
      <c r="B75" s="36" t="s">
        <v>15</v>
      </c>
      <c r="C75" s="76"/>
      <c r="D75" s="76"/>
      <c r="E75" s="76">
        <v>5.1541347251672045</v>
      </c>
      <c r="F75" s="483">
        <v>5.5</v>
      </c>
      <c r="G75" s="282"/>
      <c r="H75" s="76"/>
      <c r="I75" s="76">
        <v>7.4989046872874194</v>
      </c>
      <c r="J75" s="66">
        <v>5.5</v>
      </c>
      <c r="K75" s="67"/>
      <c r="L75" s="194"/>
      <c r="M75" s="194">
        <v>1.0201754385964912</v>
      </c>
      <c r="N75" s="68">
        <v>1</v>
      </c>
      <c r="P75" s="69"/>
    </row>
    <row r="76" spans="2:57" ht="15">
      <c r="B76" s="37" t="s">
        <v>16</v>
      </c>
      <c r="C76" s="485"/>
      <c r="D76" s="76"/>
      <c r="E76" s="76">
        <v>3.7333963207914191</v>
      </c>
      <c r="F76" s="66">
        <v>3.3</v>
      </c>
      <c r="G76" s="282"/>
      <c r="H76" s="76"/>
      <c r="I76" s="76">
        <v>4.8412394790618878</v>
      </c>
      <c r="J76" s="66">
        <v>3.3</v>
      </c>
      <c r="K76" s="67"/>
      <c r="L76" s="194"/>
      <c r="M76" s="194">
        <v>0.84386695906432752</v>
      </c>
      <c r="N76" s="71">
        <v>1</v>
      </c>
      <c r="P76" s="69"/>
    </row>
    <row r="77" spans="2:57" ht="15.75" thickBot="1">
      <c r="B77" s="38" t="s">
        <v>163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57" ht="15.75" thickBot="1">
      <c r="B78" s="414" t="s">
        <v>161</v>
      </c>
      <c r="C78" s="65"/>
      <c r="D78" s="76"/>
      <c r="E78" s="76"/>
      <c r="F78" s="66">
        <v>4.8</v>
      </c>
      <c r="G78" s="282"/>
      <c r="H78" s="76"/>
      <c r="I78" s="76"/>
      <c r="J78" s="66">
        <v>4.8</v>
      </c>
      <c r="K78" s="67"/>
      <c r="L78" s="194"/>
      <c r="M78" s="194"/>
      <c r="N78" s="71">
        <v>1</v>
      </c>
      <c r="O78" s="74"/>
      <c r="P78" s="75"/>
    </row>
    <row r="79" spans="2:57" ht="15">
      <c r="D79" s="76"/>
      <c r="E79" s="76">
        <v>6.3115024469710663</v>
      </c>
      <c r="F79" s="341">
        <v>5.5</v>
      </c>
      <c r="H79" s="76"/>
      <c r="I79" s="76">
        <v>6.3654183077136706</v>
      </c>
      <c r="J79" s="341">
        <v>5.5</v>
      </c>
      <c r="L79" s="194"/>
      <c r="M79" s="194">
        <v>0.57830160611739556</v>
      </c>
      <c r="N79" s="386">
        <v>1</v>
      </c>
    </row>
  </sheetData>
  <mergeCells count="51">
    <mergeCell ref="M55:M56"/>
    <mergeCell ref="B68:F68"/>
    <mergeCell ref="G68:J68"/>
    <mergeCell ref="K68:N68"/>
    <mergeCell ref="G55:G56"/>
    <mergeCell ref="H55:H56"/>
    <mergeCell ref="I55:I56"/>
    <mergeCell ref="J55:J56"/>
    <mergeCell ref="K55:K56"/>
    <mergeCell ref="L55:L56"/>
    <mergeCell ref="F55:F56"/>
    <mergeCell ref="D50:E50"/>
    <mergeCell ref="B55:B56"/>
    <mergeCell ref="C55:C56"/>
    <mergeCell ref="D55:D56"/>
    <mergeCell ref="E55:E56"/>
    <mergeCell ref="B40:B49"/>
    <mergeCell ref="D40:E41"/>
    <mergeCell ref="J40:K40"/>
    <mergeCell ref="L41:N41"/>
    <mergeCell ref="D42:E43"/>
    <mergeCell ref="D44:E45"/>
    <mergeCell ref="D46:E47"/>
    <mergeCell ref="D48:E4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0:B51">
    <cfRule type="cellIs" dxfId="3517" priority="106" operator="notBetween">
      <formula>#REF!</formula>
      <formula>#REF!</formula>
    </cfRule>
  </conditionalFormatting>
  <conditionalFormatting sqref="C54">
    <cfRule type="cellIs" dxfId="3516" priority="195" stopIfTrue="1" operator="lessThan">
      <formula>96</formula>
    </cfRule>
    <cfRule type="cellIs" dxfId="3515" priority="196" stopIfTrue="1" operator="greaterThan">
      <formula>100</formula>
    </cfRule>
  </conditionalFormatting>
  <conditionalFormatting sqref="C70:C71">
    <cfRule type="cellIs" dxfId="3514" priority="68" stopIfTrue="1" operator="lessThanOrEqual">
      <formula>0</formula>
    </cfRule>
    <cfRule type="cellIs" dxfId="3513" priority="67" stopIfTrue="1" operator="greaterThan">
      <formula>$F70</formula>
    </cfRule>
    <cfRule type="cellIs" dxfId="3512" priority="66" stopIfTrue="1" operator="lessThanOrEqual">
      <formula>0</formula>
    </cfRule>
    <cfRule type="cellIs" dxfId="3511" priority="65" stopIfTrue="1" operator="greaterThan">
      <formula>$F70</formula>
    </cfRule>
  </conditionalFormatting>
  <conditionalFormatting sqref="C72:C74 C76:C78">
    <cfRule type="cellIs" dxfId="3510" priority="76" stopIfTrue="1" operator="greaterThan">
      <formula>$F75</formula>
    </cfRule>
  </conditionalFormatting>
  <conditionalFormatting sqref="C72:C74">
    <cfRule type="cellIs" dxfId="3509" priority="77" stopIfTrue="1" operator="lessThanOrEqual">
      <formula>0</formula>
    </cfRule>
  </conditionalFormatting>
  <conditionalFormatting sqref="C76:C78">
    <cfRule type="cellIs" dxfId="3508" priority="78" stopIfTrue="1" operator="lessThanOrEqual">
      <formula>0</formula>
    </cfRule>
  </conditionalFormatting>
  <conditionalFormatting sqref="C81:C85">
    <cfRule type="cellIs" dxfId="3507" priority="187" stopIfTrue="1" operator="lessThanOrEqual">
      <formula>0</formula>
    </cfRule>
  </conditionalFormatting>
  <conditionalFormatting sqref="C82:C85">
    <cfRule type="cellIs" dxfId="3506" priority="186" stopIfTrue="1" operator="greaterThan">
      <formula>$F$81</formula>
    </cfRule>
  </conditionalFormatting>
  <conditionalFormatting sqref="C87">
    <cfRule type="cellIs" dxfId="3505" priority="189" stopIfTrue="1" operator="lessThanOrEqual">
      <formula>0</formula>
    </cfRule>
    <cfRule type="cellIs" dxfId="3504" priority="188" stopIfTrue="1" operator="greaterThan">
      <formula>$F$81</formula>
    </cfRule>
  </conditionalFormatting>
  <conditionalFormatting sqref="C75:D75">
    <cfRule type="cellIs" dxfId="3503" priority="63" stopIfTrue="1" operator="greaterThan">
      <formula>$J75</formula>
    </cfRule>
    <cfRule type="cellIs" dxfId="3502" priority="64" stopIfTrue="1" operator="lessThanOrEqual">
      <formula>0</formula>
    </cfRule>
  </conditionalFormatting>
  <conditionalFormatting sqref="C81:D81 D83:D89">
    <cfRule type="cellIs" dxfId="3501" priority="181" stopIfTrue="1" operator="greaterThan">
      <formula>4.5</formula>
    </cfRule>
  </conditionalFormatting>
  <conditionalFormatting sqref="D50:D51">
    <cfRule type="cellIs" dxfId="3500" priority="107" operator="notBetween">
      <formula>#REF!</formula>
      <formula>#REF!</formula>
    </cfRule>
  </conditionalFormatting>
  <conditionalFormatting sqref="D70:D74 D76:D77">
    <cfRule type="cellIs" dxfId="3499" priority="75" stopIfTrue="1" operator="lessThanOrEqual">
      <formula>0</formula>
    </cfRule>
  </conditionalFormatting>
  <conditionalFormatting sqref="D70:D74 D76:D79">
    <cfRule type="cellIs" dxfId="3498" priority="72" stopIfTrue="1" operator="greaterThan">
      <formula>$F70</formula>
    </cfRule>
    <cfRule type="cellIs" dxfId="3497" priority="71" stopIfTrue="1" operator="lessThanOrEqual">
      <formula>0</formula>
    </cfRule>
  </conditionalFormatting>
  <conditionalFormatting sqref="D78:D79">
    <cfRule type="cellIs" dxfId="3496" priority="73" stopIfTrue="1" operator="lessThanOrEqual">
      <formula>0</formula>
    </cfRule>
  </conditionalFormatting>
  <conditionalFormatting sqref="D79">
    <cfRule type="cellIs" dxfId="3495" priority="74" stopIfTrue="1" operator="lessThanOrEqual">
      <formula>0</formula>
    </cfRule>
  </conditionalFormatting>
  <conditionalFormatting sqref="D81 D83:D89">
    <cfRule type="cellIs" dxfId="3494" priority="182" stopIfTrue="1" operator="lessThanOrEqual">
      <formula>0</formula>
    </cfRule>
  </conditionalFormatting>
  <conditionalFormatting sqref="D82">
    <cfRule type="cellIs" dxfId="3493" priority="174" stopIfTrue="1" operator="lessThanOrEqual">
      <formula>0</formula>
    </cfRule>
    <cfRule type="cellIs" dxfId="3492" priority="173" stopIfTrue="1" operator="greaterThan">
      <formula>$F$81</formula>
    </cfRule>
  </conditionalFormatting>
  <conditionalFormatting sqref="E10:E25">
    <cfRule type="cellIs" dxfId="3491" priority="8" operator="lessThan">
      <formula>48</formula>
    </cfRule>
  </conditionalFormatting>
  <conditionalFormatting sqref="E53 E54:F54">
    <cfRule type="cellIs" dxfId="3490" priority="178" stopIfTrue="1" operator="greaterThan">
      <formula>100</formula>
    </cfRule>
  </conditionalFormatting>
  <conditionalFormatting sqref="E54">
    <cfRule type="cellIs" dxfId="3489" priority="176" stopIfTrue="1" operator="greaterThan">
      <formula>100</formula>
    </cfRule>
    <cfRule type="cellIs" dxfId="3488" priority="175" stopIfTrue="1" operator="lessThan">
      <formula>96.8</formula>
    </cfRule>
  </conditionalFormatting>
  <conditionalFormatting sqref="E70:E78">
    <cfRule type="cellIs" dxfId="3487" priority="22" stopIfTrue="1" operator="lessThanOrEqual">
      <formula>0</formula>
    </cfRule>
  </conditionalFormatting>
  <conditionalFormatting sqref="E70:E79">
    <cfRule type="cellIs" dxfId="3486" priority="23" stopIfTrue="1" operator="greaterThan">
      <formula>$F70</formula>
    </cfRule>
    <cfRule type="cellIs" dxfId="3485" priority="24" stopIfTrue="1" operator="lessThanOrEqual">
      <formula>0</formula>
    </cfRule>
  </conditionalFormatting>
  <conditionalFormatting sqref="E79">
    <cfRule type="cellIs" dxfId="3484" priority="25" stopIfTrue="1" operator="lessThanOrEqual">
      <formula>0</formula>
    </cfRule>
  </conditionalFormatting>
  <conditionalFormatting sqref="E81:E89">
    <cfRule type="cellIs" dxfId="3483" priority="168" stopIfTrue="1" operator="lessThanOrEqual">
      <formula>0</formula>
    </cfRule>
    <cfRule type="cellIs" dxfId="3482" priority="167" stopIfTrue="1" operator="greaterThan">
      <formula>4.5</formula>
    </cfRule>
  </conditionalFormatting>
  <conditionalFormatting sqref="E54:F54 E53">
    <cfRule type="cellIs" dxfId="3481" priority="177" stopIfTrue="1" operator="lessThan">
      <formula>96.5</formula>
    </cfRule>
  </conditionalFormatting>
  <conditionalFormatting sqref="F10:F25">
    <cfRule type="cellIs" dxfId="3480" priority="13" operator="greaterThan">
      <formula>60</formula>
    </cfRule>
  </conditionalFormatting>
  <conditionalFormatting sqref="F54">
    <cfRule type="cellIs" dxfId="3479" priority="194" stopIfTrue="1" operator="greaterThan">
      <formula>100</formula>
    </cfRule>
    <cfRule type="cellIs" dxfId="3478" priority="193" stopIfTrue="1" operator="lessThan">
      <formula>96.8</formula>
    </cfRule>
  </conditionalFormatting>
  <conditionalFormatting sqref="F79">
    <cfRule type="cellIs" dxfId="3477" priority="34" stopIfTrue="1" operator="lessThanOrEqual">
      <formula>0</formula>
    </cfRule>
    <cfRule type="cellIs" dxfId="3476" priority="33" stopIfTrue="1" operator="greaterThan">
      <formula>$F79</formula>
    </cfRule>
  </conditionalFormatting>
  <conditionalFormatting sqref="G16:G25">
    <cfRule type="expression" dxfId="3475" priority="10">
      <formula>IF(+(IF(G16&lt;S16,0,IF(G16&gt;T16,0,1)))=0,1)</formula>
    </cfRule>
  </conditionalFormatting>
  <conditionalFormatting sqref="G70:G71">
    <cfRule type="cellIs" dxfId="3474" priority="35" stopIfTrue="1" operator="greaterThan">
      <formula>$F70</formula>
    </cfRule>
    <cfRule type="cellIs" dxfId="3473" priority="36" stopIfTrue="1" operator="lessThanOrEqual">
      <formula>0</formula>
    </cfRule>
  </conditionalFormatting>
  <conditionalFormatting sqref="G70:G73">
    <cfRule type="cellIs" dxfId="3472" priority="17" stopIfTrue="1" operator="greaterThan">
      <formula>$F70</formula>
    </cfRule>
    <cfRule type="cellIs" dxfId="3471" priority="18" stopIfTrue="1" operator="lessThanOrEqual">
      <formula>0</formula>
    </cfRule>
  </conditionalFormatting>
  <conditionalFormatting sqref="G72">
    <cfRule type="cellIs" dxfId="3470" priority="16" stopIfTrue="1" operator="lessThanOrEqual">
      <formula>0</formula>
    </cfRule>
    <cfRule type="cellIs" dxfId="3469" priority="15" stopIfTrue="1" operator="greaterThan">
      <formula>$F72</formula>
    </cfRule>
  </conditionalFormatting>
  <conditionalFormatting sqref="G73">
    <cfRule type="cellIs" dxfId="3468" priority="30" stopIfTrue="1" operator="lessThanOrEqual">
      <formula>0</formula>
    </cfRule>
    <cfRule type="cellIs" dxfId="3467" priority="29" stopIfTrue="1" operator="greaterThan">
      <formula>$F73</formula>
    </cfRule>
  </conditionalFormatting>
  <conditionalFormatting sqref="G74:G78">
    <cfRule type="cellIs" dxfId="3466" priority="37" stopIfTrue="1" operator="greaterThan">
      <formula>$J74</formula>
    </cfRule>
    <cfRule type="cellIs" dxfId="3465" priority="38" stopIfTrue="1" operator="lessThanOrEqual">
      <formula>0</formula>
    </cfRule>
  </conditionalFormatting>
  <conditionalFormatting sqref="G83:G88 C86 C88">
    <cfRule type="cellIs" dxfId="3464" priority="190" stopIfTrue="1" operator="greaterThan">
      <formula>4.5</formula>
    </cfRule>
    <cfRule type="cellIs" dxfId="3463" priority="191" stopIfTrue="1" operator="lessThanOrEqual">
      <formula>0</formula>
    </cfRule>
  </conditionalFormatting>
  <conditionalFormatting sqref="G82:H82">
    <cfRule type="cellIs" dxfId="3462" priority="172" stopIfTrue="1" operator="lessThanOrEqual">
      <formula>0</formula>
    </cfRule>
    <cfRule type="cellIs" dxfId="3461" priority="171" stopIfTrue="1" operator="greaterThan">
      <formula>$F$81</formula>
    </cfRule>
  </conditionalFormatting>
  <conditionalFormatting sqref="H16:H25">
    <cfRule type="expression" dxfId="3460" priority="9">
      <formula>IF(+(IF(H16&lt;#REF!,0,IF(H16&gt;#REF!,0,1)))=0,1)</formula>
    </cfRule>
  </conditionalFormatting>
  <conditionalFormatting sqref="H39:H40 H53">
    <cfRule type="cellIs" dxfId="3459" priority="169" stopIfTrue="1" operator="greaterThan">
      <formula>0</formula>
    </cfRule>
  </conditionalFormatting>
  <conditionalFormatting sqref="H57">
    <cfRule type="cellIs" dxfId="3458" priority="57" stopIfTrue="1" operator="lessThanOrEqual">
      <formula>0</formula>
    </cfRule>
    <cfRule type="cellIs" dxfId="3457" priority="47" stopIfTrue="1" operator="lessThanOrEqual">
      <formula>0</formula>
    </cfRule>
    <cfRule type="cellIs" dxfId="3456" priority="48" stopIfTrue="1" operator="greaterThan">
      <formula>$F$70</formula>
    </cfRule>
    <cfRule type="cellIs" dxfId="3455" priority="58" stopIfTrue="1" operator="greaterThan">
      <formula>$F$71</formula>
    </cfRule>
    <cfRule type="cellIs" dxfId="3454" priority="56" stopIfTrue="1" operator="greaterThan">
      <formula>$F$73</formula>
    </cfRule>
  </conditionalFormatting>
  <conditionalFormatting sqref="H57:H59">
    <cfRule type="cellIs" dxfId="3453" priority="59" stopIfTrue="1" operator="lessThanOrEqual">
      <formula>0</formula>
    </cfRule>
  </conditionalFormatting>
  <conditionalFormatting sqref="H58:H59">
    <cfRule type="cellIs" dxfId="3452" priority="79" stopIfTrue="1" operator="greaterThan">
      <formula>$F$70</formula>
    </cfRule>
    <cfRule type="cellIs" dxfId="3451" priority="87" stopIfTrue="1" operator="greaterThan">
      <formula>$F$73</formula>
    </cfRule>
    <cfRule type="cellIs" dxfId="3450" priority="88" stopIfTrue="1" operator="lessThanOrEqual">
      <formula>0</formula>
    </cfRule>
    <cfRule type="cellIs" dxfId="3449" priority="89" stopIfTrue="1" operator="greaterThan">
      <formula>$F$71</formula>
    </cfRule>
  </conditionalFormatting>
  <conditionalFormatting sqref="H58:H61">
    <cfRule type="cellIs" dxfId="3448" priority="90" stopIfTrue="1" operator="lessThanOrEqual">
      <formula>0</formula>
    </cfRule>
  </conditionalFormatting>
  <conditionalFormatting sqref="H60:H61">
    <cfRule type="cellIs" dxfId="3447" priority="102" stopIfTrue="1" operator="lessThanOrEqual">
      <formula>0</formula>
    </cfRule>
    <cfRule type="cellIs" dxfId="3446" priority="103" stopIfTrue="1" operator="greaterThan">
      <formula>$F$71</formula>
    </cfRule>
    <cfRule type="cellIs" dxfId="3445" priority="101" stopIfTrue="1" operator="greaterThan">
      <formula>$F$73</formula>
    </cfRule>
    <cfRule type="cellIs" dxfId="3444" priority="104" stopIfTrue="1" operator="lessThanOrEqual">
      <formula>0</formula>
    </cfRule>
    <cfRule type="cellIs" dxfId="3443" priority="93" stopIfTrue="1" operator="greaterThan">
      <formula>$F$70</formula>
    </cfRule>
  </conditionalFormatting>
  <conditionalFormatting sqref="H62:H63">
    <cfRule type="cellIs" dxfId="3442" priority="131" stopIfTrue="1" operator="lessThanOrEqual">
      <formula>0</formula>
    </cfRule>
    <cfRule type="cellIs" dxfId="3441" priority="132" stopIfTrue="1" operator="greaterThan">
      <formula>#REF!</formula>
    </cfRule>
    <cfRule type="cellIs" dxfId="3440" priority="143" stopIfTrue="1" operator="lessThanOrEqual">
      <formula>0</formula>
    </cfRule>
    <cfRule type="cellIs" dxfId="3439" priority="142" stopIfTrue="1" operator="greaterThan">
      <formula>#REF!</formula>
    </cfRule>
    <cfRule type="cellIs" dxfId="3438" priority="141" stopIfTrue="1" operator="lessThanOrEqual">
      <formula>0</formula>
    </cfRule>
    <cfRule type="cellIs" dxfId="3437" priority="140" stopIfTrue="1" operator="greaterThan">
      <formula>$F$25</formula>
    </cfRule>
  </conditionalFormatting>
  <conditionalFormatting sqref="H64">
    <cfRule type="cellIs" dxfId="3436" priority="157" stopIfTrue="1" operator="lessThanOrEqual">
      <formula>0</formula>
    </cfRule>
    <cfRule type="cellIs" dxfId="3435" priority="156" stopIfTrue="1" operator="greaterThan">
      <formula>$F$39</formula>
    </cfRule>
    <cfRule type="cellIs" dxfId="3434" priority="154" stopIfTrue="1" operator="greaterThan">
      <formula>$F$41</formula>
    </cfRule>
    <cfRule type="cellIs" dxfId="3433" priority="146" stopIfTrue="1" operator="greaterThan">
      <formula>$F$38</formula>
    </cfRule>
    <cfRule type="cellIs" dxfId="3432" priority="145" stopIfTrue="1" operator="lessThanOrEqual">
      <formula>0</formula>
    </cfRule>
    <cfRule type="cellIs" dxfId="3431" priority="155" stopIfTrue="1" operator="lessThanOrEqual">
      <formula>0</formula>
    </cfRule>
  </conditionalFormatting>
  <conditionalFormatting sqref="H65:H66">
    <cfRule type="cellIs" dxfId="3430" priority="127" stopIfTrue="1" operator="lessThanOrEqual">
      <formula>0</formula>
    </cfRule>
    <cfRule type="cellIs" dxfId="3429" priority="117" stopIfTrue="1" operator="lessThanOrEqual">
      <formula>0</formula>
    </cfRule>
    <cfRule type="cellIs" dxfId="3428" priority="118" stopIfTrue="1" operator="greaterThan">
      <formula>#REF!</formula>
    </cfRule>
    <cfRule type="cellIs" dxfId="3427" priority="126" stopIfTrue="1" operator="greaterThan">
      <formula>$F$25</formula>
    </cfRule>
    <cfRule type="cellIs" dxfId="3426" priority="128" stopIfTrue="1" operator="greaterThan">
      <formula>#REF!</formula>
    </cfRule>
    <cfRule type="cellIs" dxfId="3425" priority="129" stopIfTrue="1" operator="lessThanOrEqual">
      <formula>0</formula>
    </cfRule>
  </conditionalFormatting>
  <conditionalFormatting sqref="H81 H83:H89">
    <cfRule type="cellIs" dxfId="3424" priority="184" stopIfTrue="1" operator="lessThanOrEqual">
      <formula>0</formula>
    </cfRule>
    <cfRule type="cellIs" dxfId="3423" priority="183" stopIfTrue="1" operator="greaterThan">
      <formula>4.5</formula>
    </cfRule>
  </conditionalFormatting>
  <conditionalFormatting sqref="H57:I57">
    <cfRule type="cellIs" dxfId="3422" priority="49" stopIfTrue="1" operator="lessThanOrEqual">
      <formula>0</formula>
    </cfRule>
  </conditionalFormatting>
  <conditionalFormatting sqref="H57:I61">
    <cfRule type="cellIs" dxfId="3421" priority="46" stopIfTrue="1" operator="greaterThan">
      <formula>$F$72</formula>
    </cfRule>
  </conditionalFormatting>
  <conditionalFormatting sqref="H58:I59">
    <cfRule type="cellIs" dxfId="3420" priority="80" stopIfTrue="1" operator="lessThanOrEqual">
      <formula>0</formula>
    </cfRule>
  </conditionalFormatting>
  <conditionalFormatting sqref="H60:I61">
    <cfRule type="cellIs" dxfId="3419" priority="94" stopIfTrue="1" operator="lessThanOrEqual">
      <formula>0</formula>
    </cfRule>
  </conditionalFormatting>
  <conditionalFormatting sqref="H62:I63">
    <cfRule type="cellIs" dxfId="3418" priority="133" stopIfTrue="1" operator="lessThanOrEqual">
      <formula>0</formula>
    </cfRule>
    <cfRule type="cellIs" dxfId="3417" priority="130" stopIfTrue="1" operator="greaterThan">
      <formula>#REF!</formula>
    </cfRule>
  </conditionalFormatting>
  <conditionalFormatting sqref="H64:I64">
    <cfRule type="cellIs" dxfId="3416" priority="144" stopIfTrue="1" operator="greaterThan">
      <formula>$F$40</formula>
    </cfRule>
    <cfRule type="cellIs" dxfId="3415" priority="147" stopIfTrue="1" operator="lessThanOrEqual">
      <formula>0</formula>
    </cfRule>
  </conditionalFormatting>
  <conditionalFormatting sqref="H65:I66">
    <cfRule type="cellIs" dxfId="3414" priority="116" stopIfTrue="1" operator="greaterThan">
      <formula>#REF!</formula>
    </cfRule>
    <cfRule type="cellIs" dxfId="3413" priority="119" stopIfTrue="1" operator="lessThanOrEqual">
      <formula>0</formula>
    </cfRule>
  </conditionalFormatting>
  <conditionalFormatting sqref="H70:I77">
    <cfRule type="cellIs" dxfId="3412" priority="20" stopIfTrue="1" operator="greaterThan">
      <formula>$J70</formula>
    </cfRule>
    <cfRule type="cellIs" dxfId="3411" priority="21" stopIfTrue="1" operator="lessThanOrEqual">
      <formula>0</formula>
    </cfRule>
  </conditionalFormatting>
  <conditionalFormatting sqref="H78:I78">
    <cfRule type="cellIs" dxfId="3410" priority="28" operator="greaterThan">
      <formula>5.3</formula>
    </cfRule>
  </conditionalFormatting>
  <conditionalFormatting sqref="H79:I79">
    <cfRule type="cellIs" dxfId="3409" priority="26" stopIfTrue="1" operator="greaterThan">
      <formula>$J79</formula>
    </cfRule>
    <cfRule type="cellIs" dxfId="3408" priority="27" stopIfTrue="1" operator="lessThanOrEqual">
      <formula>0</formula>
    </cfRule>
  </conditionalFormatting>
  <conditionalFormatting sqref="I57">
    <cfRule type="cellIs" dxfId="3407" priority="50" stopIfTrue="1" operator="greaterThan">
      <formula>$F$70</formula>
    </cfRule>
    <cfRule type="cellIs" dxfId="3406" priority="51" stopIfTrue="1" operator="lessThanOrEqual">
      <formula>0</formula>
    </cfRule>
    <cfRule type="cellIs" dxfId="3405" priority="52" stopIfTrue="1" operator="greaterThan">
      <formula>$F$72</formula>
    </cfRule>
    <cfRule type="cellIs" dxfId="3404" priority="54" stopIfTrue="1" operator="greaterThan">
      <formula>$F$70</formula>
    </cfRule>
    <cfRule type="cellIs" dxfId="3403" priority="53" stopIfTrue="1" operator="lessThanOrEqual">
      <formula>0</formula>
    </cfRule>
    <cfRule type="cellIs" dxfId="3402" priority="55" stopIfTrue="1" operator="lessThanOrEqual">
      <formula>0</formula>
    </cfRule>
  </conditionalFormatting>
  <conditionalFormatting sqref="I58:I59">
    <cfRule type="cellIs" dxfId="3401" priority="81" stopIfTrue="1" operator="greaterThan">
      <formula>$F$70</formula>
    </cfRule>
    <cfRule type="cellIs" dxfId="3400" priority="82" stopIfTrue="1" operator="lessThanOrEqual">
      <formula>0</formula>
    </cfRule>
    <cfRule type="cellIs" dxfId="3399" priority="86" stopIfTrue="1" operator="lessThanOrEqual">
      <formula>0</formula>
    </cfRule>
    <cfRule type="cellIs" dxfId="3398" priority="85" stopIfTrue="1" operator="greaterThan">
      <formula>$F$70</formula>
    </cfRule>
    <cfRule type="cellIs" dxfId="3397" priority="84" stopIfTrue="1" operator="lessThanOrEqual">
      <formula>0</formula>
    </cfRule>
    <cfRule type="cellIs" dxfId="3396" priority="83" stopIfTrue="1" operator="greaterThan">
      <formula>$F$72</formula>
    </cfRule>
  </conditionalFormatting>
  <conditionalFormatting sqref="I60:I61">
    <cfRule type="cellIs" dxfId="3395" priority="100" stopIfTrue="1" operator="lessThanOrEqual">
      <formula>0</formula>
    </cfRule>
    <cfRule type="cellIs" dxfId="3394" priority="98" stopIfTrue="1" operator="lessThanOrEqual">
      <formula>0</formula>
    </cfRule>
    <cfRule type="cellIs" dxfId="3393" priority="97" stopIfTrue="1" operator="greaterThan">
      <formula>$F$72</formula>
    </cfRule>
    <cfRule type="cellIs" dxfId="3392" priority="96" stopIfTrue="1" operator="lessThanOrEqual">
      <formula>0</formula>
    </cfRule>
    <cfRule type="cellIs" dxfId="3391" priority="95" stopIfTrue="1" operator="greaterThan">
      <formula>$F$70</formula>
    </cfRule>
    <cfRule type="cellIs" dxfId="3390" priority="99" stopIfTrue="1" operator="greaterThan">
      <formula>$F$70</formula>
    </cfRule>
  </conditionalFormatting>
  <conditionalFormatting sqref="I62:I63">
    <cfRule type="cellIs" dxfId="3389" priority="139" stopIfTrue="1" operator="lessThanOrEqual">
      <formula>0</formula>
    </cfRule>
    <cfRule type="cellIs" dxfId="3388" priority="134" stopIfTrue="1" operator="greaterThan">
      <formula>#REF!</formula>
    </cfRule>
    <cfRule type="cellIs" dxfId="3387" priority="135" stopIfTrue="1" operator="lessThanOrEqual">
      <formula>0</formula>
    </cfRule>
    <cfRule type="cellIs" dxfId="3386" priority="136" stopIfTrue="1" operator="greaterThan">
      <formula>#REF!</formula>
    </cfRule>
    <cfRule type="cellIs" dxfId="3385" priority="137" stopIfTrue="1" operator="lessThanOrEqual">
      <formula>0</formula>
    </cfRule>
    <cfRule type="cellIs" dxfId="3384" priority="138" stopIfTrue="1" operator="greaterThan">
      <formula>#REF!</formula>
    </cfRule>
  </conditionalFormatting>
  <conditionalFormatting sqref="I64">
    <cfRule type="cellIs" dxfId="3383" priority="151" stopIfTrue="1" operator="lessThanOrEqual">
      <formula>0</formula>
    </cfRule>
    <cfRule type="cellIs" dxfId="3382" priority="152" stopIfTrue="1" operator="greaterThan">
      <formula>$F$38</formula>
    </cfRule>
    <cfRule type="cellIs" dxfId="3381" priority="153" stopIfTrue="1" operator="lessThanOrEqual">
      <formula>0</formula>
    </cfRule>
    <cfRule type="cellIs" dxfId="3380" priority="148" stopIfTrue="1" operator="greaterThan">
      <formula>$F$38</formula>
    </cfRule>
    <cfRule type="cellIs" dxfId="3379" priority="149" stopIfTrue="1" operator="lessThanOrEqual">
      <formula>0</formula>
    </cfRule>
    <cfRule type="cellIs" dxfId="3378" priority="150" stopIfTrue="1" operator="greaterThan">
      <formula>$F$40</formula>
    </cfRule>
  </conditionalFormatting>
  <conditionalFormatting sqref="I65:I66">
    <cfRule type="cellIs" dxfId="3377" priority="123" stopIfTrue="1" operator="lessThanOrEqual">
      <formula>0</formula>
    </cfRule>
    <cfRule type="cellIs" dxfId="3376" priority="121" stopIfTrue="1" operator="lessThanOrEqual">
      <formula>0</formula>
    </cfRule>
    <cfRule type="cellIs" dxfId="3375" priority="122" stopIfTrue="1" operator="greaterThan">
      <formula>#REF!</formula>
    </cfRule>
    <cfRule type="cellIs" dxfId="3374" priority="125" stopIfTrue="1" operator="lessThanOrEqual">
      <formula>0</formula>
    </cfRule>
    <cfRule type="cellIs" dxfId="3373" priority="124" stopIfTrue="1" operator="greaterThan">
      <formula>#REF!</formula>
    </cfRule>
    <cfRule type="cellIs" dxfId="3372" priority="120" stopIfTrue="1" operator="greaterThan">
      <formula>#REF!</formula>
    </cfRule>
  </conditionalFormatting>
  <conditionalFormatting sqref="I81:I89">
    <cfRule type="cellIs" dxfId="3371" priority="179" stopIfTrue="1" operator="greaterThan">
      <formula>4.5</formula>
    </cfRule>
    <cfRule type="cellIs" dxfId="3370" priority="180" stopIfTrue="1" operator="lessThanOrEqual">
      <formula>0</formula>
    </cfRule>
  </conditionalFormatting>
  <conditionalFormatting sqref="I10:J25">
    <cfRule type="cellIs" dxfId="3369" priority="2" operator="lessThan">
      <formula>97.9</formula>
    </cfRule>
  </conditionalFormatting>
  <conditionalFormatting sqref="J28:J29">
    <cfRule type="cellIs" dxfId="3368" priority="92" operator="lessThan">
      <formula>97.95</formula>
    </cfRule>
  </conditionalFormatting>
  <conditionalFormatting sqref="J30">
    <cfRule type="cellIs" dxfId="3367" priority="161" operator="lessThan">
      <formula>98</formula>
    </cfRule>
    <cfRule type="cellIs" dxfId="3366" priority="159" stopIfTrue="1" operator="lessThan">
      <formula>96.8</formula>
    </cfRule>
    <cfRule type="cellIs" dxfId="3365" priority="160" stopIfTrue="1" operator="greaterThan">
      <formula>100</formula>
    </cfRule>
  </conditionalFormatting>
  <conditionalFormatting sqref="J30:J32">
    <cfRule type="cellIs" dxfId="3364" priority="158" operator="lessThan">
      <formula>97.4</formula>
    </cfRule>
  </conditionalFormatting>
  <conditionalFormatting sqref="J33:J34">
    <cfRule type="cellIs" dxfId="3363" priority="162" operator="lessThan">
      <formula>98</formula>
    </cfRule>
  </conditionalFormatting>
  <conditionalFormatting sqref="J35:J36">
    <cfRule type="cellIs" dxfId="3362" priority="163" stopIfTrue="1" operator="lessThan">
      <formula>96.8</formula>
    </cfRule>
    <cfRule type="cellIs" dxfId="3361" priority="164" stopIfTrue="1" operator="greaterThan">
      <formula>100</formula>
    </cfRule>
  </conditionalFormatting>
  <conditionalFormatting sqref="J35:J37">
    <cfRule type="cellIs" dxfId="3360" priority="165" operator="lessThan">
      <formula>98</formula>
    </cfRule>
  </conditionalFormatting>
  <conditionalFormatting sqref="J66">
    <cfRule type="cellIs" dxfId="3359" priority="113" stopIfTrue="1" operator="lessThanOrEqual">
      <formula>0</formula>
    </cfRule>
    <cfRule type="cellIs" dxfId="3358" priority="112" stopIfTrue="1" operator="greaterThan">
      <formula>#REF!</formula>
    </cfRule>
    <cfRule type="cellIs" dxfId="3357" priority="111" stopIfTrue="1" operator="lessThanOrEqual">
      <formula>0</formula>
    </cfRule>
    <cfRule type="cellIs" dxfId="3356" priority="108" stopIfTrue="1" operator="greaterThan">
      <formula>#REF!</formula>
    </cfRule>
    <cfRule type="cellIs" dxfId="3355" priority="110" stopIfTrue="1" operator="greaterThan">
      <formula>#REF!</formula>
    </cfRule>
    <cfRule type="cellIs" dxfId="3354" priority="109" stopIfTrue="1" operator="lessThanOrEqual">
      <formula>0</formula>
    </cfRule>
    <cfRule type="cellIs" dxfId="3353" priority="115" stopIfTrue="1" operator="lessThanOrEqual">
      <formula>0</formula>
    </cfRule>
    <cfRule type="cellIs" dxfId="3352" priority="114" stopIfTrue="1" operator="greaterThan">
      <formula>#REF!</formula>
    </cfRule>
  </conditionalFormatting>
  <conditionalFormatting sqref="J79">
    <cfRule type="cellIs" dxfId="3351" priority="32" stopIfTrue="1" operator="lessThanOrEqual">
      <formula>0</formula>
    </cfRule>
    <cfRule type="cellIs" dxfId="3350" priority="31" stopIfTrue="1" operator="greaterThan">
      <formula>$F79</formula>
    </cfRule>
  </conditionalFormatting>
  <conditionalFormatting sqref="K10:K25">
    <cfRule type="cellIs" dxfId="3349" priority="4" operator="lessThan">
      <formula>4</formula>
    </cfRule>
    <cfRule type="cellIs" dxfId="3348" priority="5" operator="greaterThan">
      <formula>6.4</formula>
    </cfRule>
    <cfRule type="cellIs" dxfId="3347" priority="3" operator="greaterThan">
      <formula>6</formula>
    </cfRule>
  </conditionalFormatting>
  <conditionalFormatting sqref="K57:K66">
    <cfRule type="cellIs" dxfId="3346" priority="91" stopIfTrue="1" operator="lessThan">
      <formula>100%</formula>
    </cfRule>
  </conditionalFormatting>
  <conditionalFormatting sqref="K70:K78">
    <cfRule type="cellIs" dxfId="3345" priority="19" stopIfTrue="1" operator="lessThan">
      <formula>100%</formula>
    </cfRule>
  </conditionalFormatting>
  <conditionalFormatting sqref="K81:K86">
    <cfRule type="cellIs" dxfId="3344" priority="185" stopIfTrue="1" operator="lessThan">
      <formula>100%</formula>
    </cfRule>
  </conditionalFormatting>
  <conditionalFormatting sqref="K88:K89">
    <cfRule type="cellIs" dxfId="3343" priority="192" stopIfTrue="1" operator="lessThan">
      <formula>100%</formula>
    </cfRule>
  </conditionalFormatting>
  <conditionalFormatting sqref="L10:L25">
    <cfRule type="cellIs" dxfId="3342" priority="7" operator="greaterThan">
      <formula>65</formula>
    </cfRule>
    <cfRule type="cellIs" dxfId="3341" priority="6" operator="between">
      <formula>61</formula>
      <formula>65</formula>
    </cfRule>
  </conditionalFormatting>
  <conditionalFormatting sqref="L28:M39">
    <cfRule type="cellIs" dxfId="3340" priority="105" operator="lessThan">
      <formula>97.95</formula>
    </cfRule>
  </conditionalFormatting>
  <conditionalFormatting sqref="L43:N43">
    <cfRule type="cellIs" dxfId="3339" priority="70" operator="notEqual">
      <formula>#REF!</formula>
    </cfRule>
  </conditionalFormatting>
  <conditionalFormatting sqref="L70:N79">
    <cfRule type="cellIs" dxfId="3338" priority="14" stopIfTrue="1" operator="lessThan">
      <formula>100%</formula>
    </cfRule>
  </conditionalFormatting>
  <conditionalFormatting sqref="L81:N89">
    <cfRule type="cellIs" dxfId="3337" priority="170" stopIfTrue="1" operator="lessThan">
      <formula>100%</formula>
    </cfRule>
  </conditionalFormatting>
  <conditionalFormatting sqref="M16:M22">
    <cfRule type="expression" dxfId="3336" priority="12">
      <formula>IF(+(IF(M16&lt;U16,0,IF(M16&gt;V16,0,1)))=0,1)</formula>
    </cfRule>
  </conditionalFormatting>
  <conditionalFormatting sqref="M10:N12 G10:H15 M13:M14 M15:N15 M23:N25">
    <cfRule type="expression" dxfId="3335" priority="62">
      <formula>IF(+(IF(G10&lt;#REF!,0,IF(G10&gt;#REF!,0,1)))=0,1)</formula>
    </cfRule>
  </conditionalFormatting>
  <conditionalFormatting sqref="N13:N14">
    <cfRule type="expression" dxfId="3334" priority="1">
      <formula>IF(+(IF(N13&lt;W13,0,IF(N13&gt;X13,0,1)))=0,1)</formula>
    </cfRule>
  </conditionalFormatting>
  <conditionalFormatting sqref="N16:N22">
    <cfRule type="expression" dxfId="3333" priority="11">
      <formula>IF(+(IF(N16&lt;W16,0,IF(N16&gt;X16,0,1)))=0,1)</formula>
    </cfRule>
  </conditionalFormatting>
  <conditionalFormatting sqref="P6">
    <cfRule type="cellIs" dxfId="3332" priority="166" operator="greaterThanOrEqual">
      <formula>19</formula>
    </cfRule>
  </conditionalFormatting>
  <dataValidations count="1">
    <dataValidation type="list" allowBlank="1" showInputMessage="1" showErrorMessage="1" sqref="R8" xr:uid="{93F561D5-AA26-4C00-8632-45AA528644E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987C-B92F-4AF9-99C2-6C8B009F19FA}">
  <sheetPr>
    <pageSetUpPr fitToPage="1"/>
  </sheetPr>
  <dimension ref="A1:BE74"/>
  <sheetViews>
    <sheetView topLeftCell="A33" zoomScale="70" zoomScaleNormal="70" workbookViewId="0">
      <selection activeCell="E10" sqref="E10:E14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46178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4" t="s">
        <v>12</v>
      </c>
      <c r="C10" s="366" t="str">
        <f>[5]Brewhouse!$A65</f>
        <v>GU046</v>
      </c>
      <c r="D10" s="279">
        <f>[5]Brewhouse!$AF65</f>
        <v>51.3</v>
      </c>
      <c r="E10" s="279">
        <f>[5]Brewhouse!$AI65</f>
        <v>50.3</v>
      </c>
      <c r="F10" s="278">
        <f>[5]Brewhouse!$V65</f>
        <v>60</v>
      </c>
      <c r="G10" s="279">
        <f>[5]Brewhouse!$AG65</f>
        <v>17.2</v>
      </c>
      <c r="H10" s="396">
        <v>17.5</v>
      </c>
      <c r="I10" s="487">
        <f>[5]Brewhouse!$AU65</f>
        <v>94.716056167153823</v>
      </c>
      <c r="J10" s="487">
        <f>[5]Brewhouse!$AV65</f>
        <v>95.389393314073445</v>
      </c>
      <c r="K10" s="488">
        <f>[5]Brewhouse!$R65</f>
        <v>12.464285714285708</v>
      </c>
      <c r="L10" s="276">
        <f>[5]Brewhouse!$O65</f>
        <v>60</v>
      </c>
      <c r="M10" s="374">
        <f>[5]Brewhouse!$U65-[5]Brewhouse!$T65</f>
        <v>0.11736111111111114</v>
      </c>
      <c r="N10" s="370">
        <f>[5]Brewhouse!$Z65</f>
        <v>0.27430555555555558</v>
      </c>
      <c r="O10" s="420" t="str">
        <f>[5]Brewhouse!$AW65</f>
        <v>K. Benjamin</v>
      </c>
      <c r="P10" s="418"/>
      <c r="R10" s="277" t="str">
        <f t="shared" ref="R10:R34" si="0">B10</f>
        <v>GUINNESS</v>
      </c>
      <c r="S10" s="472">
        <f t="shared" ref="S10:S34" si="1">VLOOKUP($B10,$R$3:$X$9,2,FALSE)</f>
        <v>17</v>
      </c>
      <c r="T10" s="472">
        <f t="shared" ref="T10:T34" si="2">VLOOKUP($B10,$R$3:$X$9,3,FALSE)</f>
        <v>17.5</v>
      </c>
      <c r="U10" s="297">
        <f t="shared" ref="U10:U34" si="3">VLOOKUP($B10,$R$3:$X$9,4,FALSE)</f>
        <v>0</v>
      </c>
      <c r="V10" s="297">
        <f t="shared" ref="V10:V34" si="4">VLOOKUP($B10,$R$3:$X$9,5,FALSE)</f>
        <v>0.1076388888888889</v>
      </c>
      <c r="W10" s="297">
        <f t="shared" ref="W10:W34" si="5">VLOOKUP($B10,$R$3:$X$9,6,FALSE)</f>
        <v>0.24652777777777779</v>
      </c>
      <c r="X10" s="297">
        <f t="shared" ref="X10:X34" si="6">VLOOKUP($B10,$R$3:$X$9,7,FALSE)</f>
        <v>0.28472222222222221</v>
      </c>
      <c r="Y10" s="297">
        <f t="shared" ref="Y10:Y34" si="7">VLOOKUP($B10,$R$3:$Z$9,8,FALSE)</f>
        <v>0</v>
      </c>
      <c r="Z10" s="472">
        <f t="shared" ref="Z10:Z34" si="8">VLOOKUP($B10,$R$3:$Z$9,9,FALSE)</f>
        <v>60</v>
      </c>
    </row>
    <row r="11" spans="2:29" ht="15">
      <c r="B11" s="34" t="s">
        <v>12</v>
      </c>
      <c r="C11" s="366" t="str">
        <f>[5]Brewhouse!$A66</f>
        <v>GU047</v>
      </c>
      <c r="D11" s="279">
        <f>[5]Brewhouse!$AF66</f>
        <v>51.4</v>
      </c>
      <c r="E11" s="279">
        <f>[5]Brewhouse!$AI66</f>
        <v>49.3</v>
      </c>
      <c r="F11" s="278">
        <f>[5]Brewhouse!$V66</f>
        <v>58</v>
      </c>
      <c r="G11" s="279">
        <f>[5]Brewhouse!$AG66</f>
        <v>17.5</v>
      </c>
      <c r="H11" s="396">
        <v>17.399999999999999</v>
      </c>
      <c r="I11" s="487">
        <f>[5]Brewhouse!$AU66</f>
        <v>94.701980871315456</v>
      </c>
      <c r="J11" s="487">
        <f>[5]Brewhouse!$AV66</f>
        <v>95.374980623159175</v>
      </c>
      <c r="K11" s="488">
        <f>[5]Brewhouse!$R66</f>
        <v>11.749999999999996</v>
      </c>
      <c r="L11" s="276">
        <f>[5]Brewhouse!$O66</f>
        <v>58</v>
      </c>
      <c r="M11" s="374">
        <f>[5]Brewhouse!$U66-[5]Brewhouse!$T66</f>
        <v>0.11111111111111116</v>
      </c>
      <c r="N11" s="370">
        <f>[5]Brewhouse!$Z66</f>
        <v>0.27361111111111114</v>
      </c>
      <c r="O11" s="420" t="str">
        <f>[5]Brewhouse!$AW66</f>
        <v>K. Benjamin</v>
      </c>
      <c r="P11" s="418"/>
      <c r="R11" s="277" t="str">
        <f t="shared" ref="R11:R24" si="9">B11</f>
        <v>GUINNESS</v>
      </c>
      <c r="S11" s="472">
        <f t="shared" si="1"/>
        <v>17</v>
      </c>
      <c r="T11" s="472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472">
        <f t="shared" si="8"/>
        <v>60</v>
      </c>
    </row>
    <row r="12" spans="2:29" ht="15">
      <c r="B12" s="34" t="s">
        <v>12</v>
      </c>
      <c r="C12" s="366" t="str">
        <f>[5]Brewhouse!$A67</f>
        <v>GU048</v>
      </c>
      <c r="D12" s="279">
        <f>[5]Brewhouse!$AF67</f>
        <v>52.9</v>
      </c>
      <c r="E12" s="279">
        <f>[5]Brewhouse!$AI67</f>
        <v>50.1</v>
      </c>
      <c r="F12" s="278">
        <f>[5]Brewhouse!$V67</f>
        <v>61</v>
      </c>
      <c r="G12" s="279">
        <f>[5]Brewhouse!$AG67</f>
        <v>17.3</v>
      </c>
      <c r="H12" s="396">
        <v>17.399999999999999</v>
      </c>
      <c r="I12" s="487">
        <f>[5]Brewhouse!$AU67</f>
        <v>95.107716330527765</v>
      </c>
      <c r="J12" s="487">
        <f>[5]Brewhouse!$AV67</f>
        <v>95.783599441946976</v>
      </c>
      <c r="K12" s="488">
        <f>[5]Brewhouse!$R67</f>
        <v>15.650623885918005</v>
      </c>
      <c r="L12" s="276">
        <f>[5]Brewhouse!$O67</f>
        <v>59</v>
      </c>
      <c r="M12" s="374">
        <f>[5]Brewhouse!$U67-[5]Brewhouse!$T67</f>
        <v>0.14166666666666672</v>
      </c>
      <c r="N12" s="370">
        <f>[5]Brewhouse!$Z67</f>
        <v>0.30208333333333337</v>
      </c>
      <c r="O12" s="420" t="str">
        <f>[5]Brewhouse!$AW67</f>
        <v>R. Regis</v>
      </c>
      <c r="P12" s="418"/>
      <c r="R12" s="277" t="str">
        <f t="shared" si="9"/>
        <v>GUINNESS</v>
      </c>
      <c r="S12" s="472">
        <f t="shared" si="1"/>
        <v>17</v>
      </c>
      <c r="T12" s="472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472">
        <f t="shared" si="8"/>
        <v>60</v>
      </c>
    </row>
    <row r="13" spans="2:29" ht="15">
      <c r="B13" s="34" t="s">
        <v>12</v>
      </c>
      <c r="C13" s="366" t="str">
        <f>[5]Brewhouse!$A68</f>
        <v>GU049</v>
      </c>
      <c r="D13" s="279">
        <f>[5]Brewhouse!$AF68</f>
        <v>54</v>
      </c>
      <c r="E13" s="279">
        <f>[5]Brewhouse!$AI68</f>
        <v>52.8</v>
      </c>
      <c r="F13" s="278">
        <f>[5]Brewhouse!$V68</f>
        <v>64</v>
      </c>
      <c r="G13" s="279">
        <f>[5]Brewhouse!$AG68</f>
        <v>17.2</v>
      </c>
      <c r="H13" s="396">
        <v>16.899999999999999</v>
      </c>
      <c r="I13" s="487">
        <f>[5]Brewhouse!$AU68</f>
        <v>99.423613630730074</v>
      </c>
      <c r="J13" s="487">
        <f>[5]Brewhouse!$AV68</f>
        <v>100.13041683862977</v>
      </c>
      <c r="K13" s="488">
        <f>[5]Brewhouse!$R68</f>
        <v>9.9465240641711201</v>
      </c>
      <c r="L13" s="276">
        <f>[5]Brewhouse!$O68</f>
        <v>58</v>
      </c>
      <c r="M13" s="374">
        <f>[5]Brewhouse!$U68-[5]Brewhouse!$T68</f>
        <v>0.1166666666666667</v>
      </c>
      <c r="N13" s="370">
        <f>[5]Brewhouse!$Z68</f>
        <v>0.29375000000000007</v>
      </c>
      <c r="O13" s="420" t="str">
        <f>[5]Brewhouse!$AW68</f>
        <v>R. Regis</v>
      </c>
      <c r="P13" s="418"/>
      <c r="R13" s="277" t="str">
        <f t="shared" si="9"/>
        <v>GUINNESS</v>
      </c>
      <c r="S13" s="472">
        <f t="shared" si="1"/>
        <v>17</v>
      </c>
      <c r="T13" s="472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472">
        <f t="shared" si="8"/>
        <v>60</v>
      </c>
    </row>
    <row r="14" spans="2:29" ht="15">
      <c r="B14" s="34" t="s">
        <v>12</v>
      </c>
      <c r="C14" s="366" t="str">
        <f>[5]Brewhouse!$A69</f>
        <v>GU050</v>
      </c>
      <c r="D14" s="279">
        <f>[5]Brewhouse!$AF69</f>
        <v>53.2</v>
      </c>
      <c r="E14" s="279">
        <f>[5]Brewhouse!$AI69</f>
        <v>52.5</v>
      </c>
      <c r="F14" s="278">
        <f>[5]Brewhouse!$V69</f>
        <v>63</v>
      </c>
      <c r="G14" s="279">
        <f>[5]Brewhouse!$AG69</f>
        <v>17.3</v>
      </c>
      <c r="H14" s="396">
        <v>17</v>
      </c>
      <c r="I14" s="487">
        <f>[5]Brewhouse!$AU69</f>
        <v>99.424512800846912</v>
      </c>
      <c r="J14" s="487">
        <f>[5]Brewhouse!$AV69</f>
        <v>100.1314466867703</v>
      </c>
      <c r="K14" s="488">
        <f>[5]Brewhouse!$R69</f>
        <v>11.729055258467019</v>
      </c>
      <c r="L14" s="276">
        <f>[5]Brewhouse!$O69</f>
        <v>56</v>
      </c>
      <c r="M14" s="374">
        <f>[5]Brewhouse!$U69-[5]Brewhouse!$T69</f>
        <v>0.11458333333333326</v>
      </c>
      <c r="N14" s="370">
        <f>[5]Brewhouse!$Z69</f>
        <v>0.26805555555555549</v>
      </c>
      <c r="O14" s="420" t="str">
        <f>[5]Brewhouse!$AW69</f>
        <v>R. Regis</v>
      </c>
      <c r="P14" s="418"/>
      <c r="R14" s="277" t="str">
        <f t="shared" si="9"/>
        <v>GUINNESS</v>
      </c>
      <c r="S14" s="472">
        <f t="shared" si="1"/>
        <v>17</v>
      </c>
      <c r="T14" s="472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472">
        <f t="shared" si="8"/>
        <v>60</v>
      </c>
    </row>
    <row r="15" spans="2:29" ht="15">
      <c r="B15" s="34"/>
      <c r="C15" s="366"/>
      <c r="D15" s="279"/>
      <c r="E15" s="279"/>
      <c r="F15" s="278"/>
      <c r="G15" s="279"/>
      <c r="H15" s="396"/>
      <c r="I15" s="487"/>
      <c r="J15" s="487"/>
      <c r="K15" s="488"/>
      <c r="L15" s="276"/>
      <c r="M15" s="374"/>
      <c r="N15" s="370"/>
      <c r="O15" s="420"/>
      <c r="P15" s="418"/>
      <c r="R15" s="277">
        <f t="shared" si="9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>
      <c r="B16" s="34"/>
      <c r="C16" s="366"/>
      <c r="D16" s="279"/>
      <c r="E16" s="279"/>
      <c r="F16" s="278"/>
      <c r="G16" s="279"/>
      <c r="H16" s="396"/>
      <c r="I16" s="487"/>
      <c r="J16" s="487"/>
      <c r="K16" s="488"/>
      <c r="L16" s="276"/>
      <c r="M16" s="374"/>
      <c r="N16" s="370"/>
      <c r="O16" s="420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8" hidden="1" customHeight="1">
      <c r="B17" s="34"/>
      <c r="C17" s="366"/>
      <c r="D17" s="279"/>
      <c r="E17" s="279"/>
      <c r="F17" s="278"/>
      <c r="G17" s="279"/>
      <c r="H17" s="396"/>
      <c r="I17" s="487"/>
      <c r="J17" s="487"/>
      <c r="K17" s="488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8" hidden="1" customHeight="1">
      <c r="B18" s="29"/>
      <c r="C18" s="366"/>
      <c r="D18" s="279"/>
      <c r="E18" s="279"/>
      <c r="F18" s="278"/>
      <c r="G18" s="279"/>
      <c r="H18" s="481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8" hidden="1" customHeight="1">
      <c r="B19" s="29"/>
      <c r="C19" s="366"/>
      <c r="D19" s="279"/>
      <c r="E19" s="279"/>
      <c r="F19" s="278"/>
      <c r="G19" s="279"/>
      <c r="H19" s="481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6.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44"/>
      <c r="J21" s="544"/>
      <c r="K21" s="544"/>
      <c r="L21" s="544"/>
      <c r="M21" s="544"/>
      <c r="N21" s="544"/>
      <c r="O21" s="1"/>
      <c r="P21" s="12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.75" customHeight="1" thickBot="1">
      <c r="B22" s="388" t="s">
        <v>162</v>
      </c>
      <c r="C22" s="388"/>
      <c r="D22" s="545" t="s">
        <v>35</v>
      </c>
      <c r="E22" s="546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9"/>
        <v xml:space="preserve">BRAND 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30"/>
      <c r="C23" s="362"/>
      <c r="D23" s="548"/>
      <c r="E23" s="549"/>
      <c r="F23" s="294"/>
      <c r="G23" s="294"/>
      <c r="H23" s="348"/>
      <c r="I23" s="29" t="s">
        <v>6</v>
      </c>
      <c r="J23" s="323"/>
      <c r="K23" s="284">
        <f>COUNTA([3]Brewhouse!$A$441:$A$448)</f>
        <v>8</v>
      </c>
      <c r="L23" s="305">
        <f>AVERAGE([3]Brewhouse!$AU$441:$AU$448)</f>
        <v>99.348146788195805</v>
      </c>
      <c r="M23" s="305">
        <f>AVERAGE([3]Brewhouse!$AU$42:$AU$123,[3]Brewhouse!$AU$125:$AU$188,[3]Brewhouse!$AU$198:$AU$290,[3]Brewhouse!$AU$292:$AU$370,[3]Brewhouse!$AU$372:$AU$439,[3]Brewhouse!$AU$441:$AU$448)</f>
        <v>98.002582503921104</v>
      </c>
      <c r="N23" s="30">
        <v>98</v>
      </c>
      <c r="O23" s="11"/>
      <c r="P23" s="31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" customHeight="1">
      <c r="A24" s="28"/>
      <c r="B24" s="531"/>
      <c r="C24" s="362"/>
      <c r="D24" s="550"/>
      <c r="E24" s="536"/>
      <c r="F24" s="294"/>
      <c r="G24" s="294"/>
      <c r="H24" s="348"/>
      <c r="I24" s="33" t="s">
        <v>9</v>
      </c>
      <c r="J24" s="323"/>
      <c r="K24" s="284"/>
      <c r="L24" s="302"/>
      <c r="M24" s="302">
        <f>AVERAGE([4]Brewhouse!$AS$52:$AS$81,[4]Brewhouse!$AS$83:$AS$124,[4]Brewhouse!$AS$134:$AS$177,[4]Brewhouse!$AS$22:$AS$179,[4]Brewhouse!$AS$214:$AS$248)</f>
        <v>97.973401211175855</v>
      </c>
      <c r="N24" s="30">
        <v>98</v>
      </c>
      <c r="O24" s="11"/>
      <c r="P24" s="31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31"/>
      <c r="C25" s="362"/>
      <c r="D25" s="540"/>
      <c r="E25" s="541"/>
      <c r="F25" s="294"/>
      <c r="G25" s="294"/>
      <c r="H25" s="348"/>
      <c r="I25" s="34" t="s">
        <v>12</v>
      </c>
      <c r="J25" s="280">
        <f>AVERAGE(I10:I14)</f>
        <v>96.6747759601148</v>
      </c>
      <c r="K25" s="284">
        <f>COUNTA([5]Brewhouse!$A$62:$A$69)</f>
        <v>8</v>
      </c>
      <c r="L25" s="302">
        <f>AVERAGE([5]Brewhouse!$AU$62:$AU$69)</f>
        <v>95.865325586732524</v>
      </c>
      <c r="M25" s="302">
        <f>AVERAGE([5]Brewhouse!$AU$16:$AU$23,[5]Brewhouse!$AU$25:$AU$32,[5]Brewhouse!$AU$34:$AU$41,[5]Brewhouse!$AU$43:$AU$60,[5]Brewhouse!$AU$62:$AU$69)</f>
        <v>96.726835550404019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1"/>
      <c r="C26" s="362"/>
      <c r="D26" s="535"/>
      <c r="E26" s="536"/>
      <c r="F26" s="294"/>
      <c r="G26" s="294"/>
      <c r="H26" s="348"/>
      <c r="I26" s="22" t="s">
        <v>33</v>
      </c>
      <c r="J26" s="280"/>
      <c r="K26" s="284"/>
      <c r="L26" s="302"/>
      <c r="M26" s="302">
        <f>AVERAGE([6]Brewhouse!$AV$23:$AV$34,[6]Brewhouse!$AV$36,[6]Brewhouse!$AV$38:$AV$52,[6]Brewhouse!$AV$54:$AV$60,[6]Brewhouse!$AV$62:$AV$68)</f>
        <v>97.579195177204838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31"/>
      <c r="C27" s="362"/>
      <c r="D27" s="540"/>
      <c r="E27" s="541"/>
      <c r="F27" s="417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31"/>
      <c r="C28" s="362"/>
      <c r="D28" s="535"/>
      <c r="E28" s="536"/>
      <c r="F28" s="417"/>
      <c r="G28" s="294"/>
      <c r="H28" s="348"/>
      <c r="I28" s="36" t="s">
        <v>15</v>
      </c>
      <c r="J28" s="323"/>
      <c r="K28" s="284"/>
      <c r="L28" s="302"/>
      <c r="M28" s="302">
        <f>AVERAGE([7]Brewhouse!$AT$4:$AT$11,[7]Brewhouse!$AT$13:$AT$16)</f>
        <v>91.538375374138752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31"/>
      <c r="C29" s="362"/>
      <c r="D29" s="540"/>
      <c r="E29" s="541"/>
      <c r="F29" s="417"/>
      <c r="G29" s="294"/>
      <c r="H29" s="348"/>
      <c r="I29" s="37" t="s">
        <v>16</v>
      </c>
      <c r="J29" s="323"/>
      <c r="K29" s="284"/>
      <c r="L29" s="302"/>
      <c r="M29" s="302">
        <f>AVERAGE([8]Brewhouse!$AY$5:$AY$14,[8]Brewhouse!$AY$16:$AY$23,[8]Brewhouse!$AY$42,[8]Brewhouse!$AY$44:$AY$51,[8]Brewhouse!$AY$53:$AY$64)</f>
        <v>97.359350085271998</v>
      </c>
      <c r="N29" s="30">
        <v>98</v>
      </c>
      <c r="O29" s="11"/>
      <c r="P29" s="31" t="s">
        <v>41</v>
      </c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31"/>
      <c r="C30" s="362"/>
      <c r="D30" s="535"/>
      <c r="E30" s="536"/>
      <c r="F30" s="294"/>
      <c r="G30" s="294"/>
      <c r="H30" s="348"/>
      <c r="I30" s="411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531"/>
      <c r="C31" s="349"/>
      <c r="D31" s="540"/>
      <c r="E31" s="541"/>
      <c r="F31" s="294"/>
      <c r="G31" s="294"/>
      <c r="H31" s="348"/>
      <c r="I31" s="410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31"/>
      <c r="C32" s="349"/>
      <c r="D32" s="535"/>
      <c r="E32" s="536"/>
      <c r="F32" s="294"/>
      <c r="G32" s="294"/>
      <c r="H32" s="348"/>
      <c r="I32" s="406" t="s">
        <v>156</v>
      </c>
      <c r="J32" s="327"/>
      <c r="K32" s="407"/>
      <c r="L32" s="408"/>
      <c r="M32" s="408"/>
      <c r="N32" s="409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31"/>
      <c r="C33" s="349"/>
      <c r="D33" s="548"/>
      <c r="E33" s="549"/>
      <c r="F33" s="294"/>
      <c r="G33" s="294"/>
      <c r="H33" s="348"/>
      <c r="I33" s="1"/>
      <c r="J33" s="39"/>
      <c r="K33" s="404">
        <f>SUM(K23:K32)</f>
        <v>16</v>
      </c>
      <c r="L33" s="405">
        <f>((L23*K23)+(L24*K24)+(L25*K25)+(L26*K26)+(L27*K27)+(K30*L30)+(L28*K28)+(L29*K29)+(L32*K32))/(K33)</f>
        <v>97.606736187464165</v>
      </c>
      <c r="M33" s="405">
        <f>AVERAGE('[9]Jan30th-31st'!$L$42,L33)</f>
        <v>97.717388961652816</v>
      </c>
      <c r="N33" s="4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.75" thickBot="1">
      <c r="B34" s="547"/>
      <c r="C34" s="350"/>
      <c r="D34" s="550"/>
      <c r="E34" s="536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30"/>
      <c r="C35" s="362"/>
      <c r="D35" s="533"/>
      <c r="E35" s="534"/>
      <c r="F35" s="294"/>
      <c r="G35" s="42"/>
      <c r="H35" s="41"/>
      <c r="I35" s="42"/>
      <c r="J35" s="537" t="s">
        <v>129</v>
      </c>
      <c r="K35" s="537"/>
      <c r="L35" s="294"/>
      <c r="M35" s="294"/>
      <c r="N35" s="294"/>
      <c r="O35" s="294"/>
      <c r="P35" s="12"/>
    </row>
    <row r="36" spans="1:56" ht="15.75" thickBot="1">
      <c r="B36" s="531"/>
      <c r="C36" s="362"/>
      <c r="D36" s="535"/>
      <c r="E36" s="536"/>
      <c r="F36" s="294"/>
      <c r="G36" s="42"/>
      <c r="H36" s="42"/>
      <c r="I36" s="42"/>
      <c r="J36" s="292" t="s">
        <v>17</v>
      </c>
      <c r="K36" s="293" t="s">
        <v>170</v>
      </c>
      <c r="L36" s="538" t="s">
        <v>136</v>
      </c>
      <c r="M36" s="538"/>
      <c r="N36" s="539"/>
      <c r="O36" s="294"/>
      <c r="P36" s="12"/>
    </row>
    <row r="37" spans="1:56" ht="15" customHeight="1" thickBot="1">
      <c r="B37" s="531"/>
      <c r="C37" s="349"/>
      <c r="D37" s="540"/>
      <c r="E37" s="541"/>
      <c r="F37" s="294"/>
      <c r="G37" s="42"/>
      <c r="H37" s="42"/>
      <c r="I37" s="42"/>
      <c r="J37" s="287" t="s">
        <v>6</v>
      </c>
      <c r="K37" s="324"/>
      <c r="L37" s="473" t="s">
        <v>37</v>
      </c>
      <c r="M37" s="474" t="s">
        <v>38</v>
      </c>
      <c r="N37" s="474" t="s">
        <v>84</v>
      </c>
      <c r="O37" s="294"/>
      <c r="P37" s="12"/>
    </row>
    <row r="38" spans="1:56" ht="15.75" customHeight="1" thickBot="1">
      <c r="B38" s="531"/>
      <c r="C38" s="349"/>
      <c r="D38" s="535"/>
      <c r="E38" s="536"/>
      <c r="F38" s="294"/>
      <c r="G38" s="42"/>
      <c r="H38" s="42"/>
      <c r="I38" s="42"/>
      <c r="J38" s="345" t="s">
        <v>9</v>
      </c>
      <c r="K38" s="324"/>
      <c r="L38" s="344">
        <f>AVERAGE('June 2nd'!K44,'June 3rd'!K52,K47)</f>
        <v>5.333333333333333</v>
      </c>
      <c r="M38" s="325">
        <f>AVERAGE('[9]Jan30th-31st'!$L$47,L38,'[10]Feb 26th '!$L$39,'[11]Mar 31st'!$L$47,'[12]Apr 30th'!$L$46,'[13]May 29th '!$L$40)</f>
        <v>6.1601998243302596</v>
      </c>
      <c r="N38" s="416">
        <v>9.1999999999999993</v>
      </c>
      <c r="O38" s="294"/>
      <c r="P38" s="12"/>
    </row>
    <row r="39" spans="1:56" ht="15" customHeight="1">
      <c r="B39" s="531"/>
      <c r="C39" s="349"/>
      <c r="D39" s="540"/>
      <c r="E39" s="541"/>
      <c r="F39" s="294"/>
      <c r="G39" s="42"/>
      <c r="H39" s="42"/>
      <c r="I39" s="42"/>
      <c r="J39" s="288" t="s">
        <v>40</v>
      </c>
      <c r="K39" s="324">
        <v>5</v>
      </c>
      <c r="L39" s="294"/>
      <c r="M39" s="294"/>
      <c r="N39" s="294"/>
      <c r="O39" s="294"/>
      <c r="P39" s="12"/>
    </row>
    <row r="40" spans="1:56" ht="15" customHeight="1">
      <c r="B40" s="531"/>
      <c r="C40" s="349"/>
      <c r="D40" s="535"/>
      <c r="E40" s="536"/>
      <c r="F40" s="294"/>
      <c r="G40" s="42"/>
      <c r="H40" s="42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31"/>
      <c r="C41" s="349"/>
      <c r="D41" s="540"/>
      <c r="E41" s="541"/>
      <c r="F41" s="294"/>
      <c r="G41" s="42"/>
      <c r="H41" s="42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31"/>
      <c r="C42" s="349"/>
      <c r="D42" s="535"/>
      <c r="E42" s="536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31"/>
      <c r="C43" s="349"/>
      <c r="D43" s="540"/>
      <c r="E43" s="541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32"/>
      <c r="C44" s="350"/>
      <c r="D44" s="542"/>
      <c r="E44" s="543"/>
      <c r="F44" s="294" t="s">
        <v>166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23"/>
      <c r="E45" s="524"/>
      <c r="F45" s="294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>
        <f>SUM(K37:K46)</f>
        <v>5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294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15" t="s">
        <v>17</v>
      </c>
      <c r="C50" s="515" t="s">
        <v>44</v>
      </c>
      <c r="D50" s="526" t="s">
        <v>45</v>
      </c>
      <c r="E50" s="528" t="s">
        <v>46</v>
      </c>
      <c r="F50" s="521" t="s">
        <v>47</v>
      </c>
      <c r="G50" s="513" t="s">
        <v>48</v>
      </c>
      <c r="H50" s="515" t="s">
        <v>49</v>
      </c>
      <c r="I50" s="515" t="s">
        <v>50</v>
      </c>
      <c r="J50" s="507" t="s">
        <v>28</v>
      </c>
      <c r="K50" s="517" t="s">
        <v>51</v>
      </c>
      <c r="L50" s="519" t="s">
        <v>52</v>
      </c>
      <c r="M50" s="507" t="s">
        <v>53</v>
      </c>
      <c r="N50" s="13"/>
      <c r="O50" s="13"/>
      <c r="P50" s="50"/>
    </row>
    <row r="51" spans="2:57" ht="28.5" customHeight="1" thickTop="1" thickBot="1">
      <c r="B51" s="516"/>
      <c r="C51" s="525"/>
      <c r="D51" s="527"/>
      <c r="E51" s="529"/>
      <c r="F51" s="522"/>
      <c r="G51" s="514"/>
      <c r="H51" s="516"/>
      <c r="I51" s="516"/>
      <c r="J51" s="508"/>
      <c r="K51" s="518"/>
      <c r="L51" s="520"/>
      <c r="M51" s="508"/>
      <c r="N51" s="13"/>
      <c r="O51" s="13"/>
      <c r="P51" s="50"/>
      <c r="Q51" s="355"/>
      <c r="AB51" s="475">
        <v>43474</v>
      </c>
      <c r="AC51" s="475">
        <v>43475</v>
      </c>
      <c r="AD51" s="475">
        <v>43476</v>
      </c>
      <c r="AE51" s="475">
        <v>43477</v>
      </c>
      <c r="AF51" s="475">
        <v>43478</v>
      </c>
      <c r="AG51" s="475">
        <v>43479</v>
      </c>
      <c r="AH51" s="475">
        <v>43480</v>
      </c>
      <c r="AI51" s="475">
        <v>43481</v>
      </c>
      <c r="AJ51" s="475">
        <v>43482</v>
      </c>
      <c r="AK51" s="475">
        <v>43483</v>
      </c>
      <c r="AL51" s="475">
        <v>43484</v>
      </c>
      <c r="AM51" s="475">
        <v>43485</v>
      </c>
      <c r="AN51" s="475">
        <v>43486</v>
      </c>
      <c r="AO51" s="475">
        <v>43487</v>
      </c>
      <c r="AP51" s="475">
        <v>43488</v>
      </c>
      <c r="AQ51" s="475">
        <v>43489</v>
      </c>
      <c r="AR51" s="475">
        <v>43490</v>
      </c>
      <c r="AS51" s="475">
        <v>43491</v>
      </c>
      <c r="AT51" s="475">
        <v>43492</v>
      </c>
      <c r="AU51" s="475">
        <v>43493</v>
      </c>
      <c r="AV51" s="475">
        <v>43494</v>
      </c>
      <c r="AW51" s="475">
        <v>43495</v>
      </c>
      <c r="AX51" s="475">
        <v>43496</v>
      </c>
    </row>
    <row r="52" spans="2:57" s="54" customFormat="1" ht="36.75" customHeight="1" thickBot="1">
      <c r="B52" s="484"/>
      <c r="C52" s="479"/>
      <c r="D52" s="445"/>
      <c r="E52" s="443"/>
      <c r="F52" s="444"/>
      <c r="G52" s="445"/>
      <c r="H52" s="458"/>
      <c r="I52" s="458"/>
      <c r="J52" s="448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[16]January_2019!L5</f>
        <v>0</v>
      </c>
      <c r="AC52" s="57">
        <f>[16]January_2019!M5</f>
        <v>0</v>
      </c>
      <c r="AD52" s="57">
        <f>[16]January_2019!N5</f>
        <v>0</v>
      </c>
      <c r="AE52" s="57">
        <f>[16]January_2019!O5</f>
        <v>0</v>
      </c>
      <c r="AF52" s="57">
        <f>[16]January_2019!P5</f>
        <v>0</v>
      </c>
      <c r="AG52" s="57">
        <f>[16]January_2019!Q5</f>
        <v>0</v>
      </c>
      <c r="AH52" s="57">
        <f>[16]January_2019!R5</f>
        <v>0</v>
      </c>
      <c r="AI52" s="57">
        <f>[16]January_2019!S5</f>
        <v>0</v>
      </c>
      <c r="AJ52" s="57">
        <f>[16]January_2019!T5</f>
        <v>0</v>
      </c>
      <c r="AK52" s="57">
        <f>[16]January_2019!U5</f>
        <v>0</v>
      </c>
      <c r="AL52" s="57">
        <f>[16]January_2019!V5</f>
        <v>0</v>
      </c>
      <c r="AM52" s="57">
        <f>[16]January_2019!W5</f>
        <v>0</v>
      </c>
      <c r="AN52" s="57">
        <f>[16]January_2019!X5</f>
        <v>0</v>
      </c>
      <c r="AO52" s="57">
        <f>[16]January_2019!Y5</f>
        <v>0</v>
      </c>
      <c r="AP52" s="57">
        <f>[16]January_2019!Z5</f>
        <v>0</v>
      </c>
      <c r="AQ52" s="57">
        <f>[16]January_2019!AA5</f>
        <v>0</v>
      </c>
      <c r="AR52" s="57">
        <f>[16]January_2019!AB5</f>
        <v>0</v>
      </c>
      <c r="AS52" s="57">
        <f>[16]January_2019!AC5</f>
        <v>0</v>
      </c>
      <c r="AT52" s="57">
        <f>[16]January_2019!AD5</f>
        <v>0</v>
      </c>
      <c r="AU52" s="57">
        <f>[16]January_2019!AE5</f>
        <v>0</v>
      </c>
      <c r="AV52" s="57">
        <f>[16]January_2019!AF5</f>
        <v>0</v>
      </c>
      <c r="AW52" s="57">
        <f>[16]January_2019!AG5</f>
        <v>0</v>
      </c>
      <c r="AX52" s="277">
        <f>[16]January_2019!AH5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4.25" customHeight="1" thickBot="1">
      <c r="B53" s="480"/>
      <c r="C53" s="479"/>
      <c r="D53" s="442"/>
      <c r="E53" s="443"/>
      <c r="F53" s="444"/>
      <c r="G53" s="445"/>
      <c r="H53" s="458"/>
      <c r="I53" s="458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[16]January_2019!L6</f>
        <v>0</v>
      </c>
      <c r="AC53" s="57">
        <f>[16]January_2019!M6</f>
        <v>0</v>
      </c>
      <c r="AD53" s="57">
        <f>[16]January_2019!N6</f>
        <v>0</v>
      </c>
      <c r="AE53" s="57">
        <f>[16]January_2019!O6</f>
        <v>0</v>
      </c>
      <c r="AF53" s="57">
        <f>[16]January_2019!P6</f>
        <v>0</v>
      </c>
      <c r="AG53" s="57">
        <f>[16]January_2019!Q6</f>
        <v>0</v>
      </c>
      <c r="AH53" s="57">
        <f>[16]January_2019!R6</f>
        <v>0</v>
      </c>
      <c r="AI53" s="57">
        <f>[16]January_2019!S6</f>
        <v>0</v>
      </c>
      <c r="AJ53" s="57">
        <f>[16]January_2019!T6</f>
        <v>0</v>
      </c>
      <c r="AK53" s="57">
        <f>[16]January_2019!U6</f>
        <v>0</v>
      </c>
      <c r="AL53" s="57">
        <f>[16]January_2019!V6</f>
        <v>0</v>
      </c>
      <c r="AM53" s="57">
        <f>[16]January_2019!W6</f>
        <v>0</v>
      </c>
      <c r="AN53" s="57">
        <f>[16]January_2019!X6</f>
        <v>0</v>
      </c>
      <c r="AO53" s="57">
        <f>[16]January_2019!Y6</f>
        <v>0</v>
      </c>
      <c r="AP53" s="57">
        <f>[16]January_2019!Z6</f>
        <v>0</v>
      </c>
      <c r="AQ53" s="57">
        <f>[16]January_2019!AA6</f>
        <v>0</v>
      </c>
      <c r="AR53" s="57">
        <f>[16]January_2019!AB6</f>
        <v>0</v>
      </c>
      <c r="AS53" s="57">
        <f>[16]January_2019!AC6</f>
        <v>0</v>
      </c>
      <c r="AT53" s="57">
        <f>[16]January_2019!AD6</f>
        <v>0</v>
      </c>
      <c r="AU53" s="57">
        <f>[16]January_2019!AE6</f>
        <v>0</v>
      </c>
      <c r="AV53" s="57">
        <f>[16]January_2019!AF6</f>
        <v>0</v>
      </c>
      <c r="AW53" s="57">
        <f>[16]January_2019!AG6</f>
        <v>0</v>
      </c>
      <c r="AX53" s="277">
        <f>[16]January_2019!AH6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37.15" hidden="1" customHeight="1" thickBot="1">
      <c r="B54" s="480"/>
      <c r="C54" s="479"/>
      <c r="D54" s="442"/>
      <c r="E54" s="443"/>
      <c r="F54" s="444"/>
      <c r="G54" s="445"/>
      <c r="H54" s="458"/>
      <c r="I54" s="458"/>
      <c r="J54" s="448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[16]January_2019!L7</f>
        <v>285.8</v>
      </c>
      <c r="AC54" s="57">
        <f>[16]January_2019!M7</f>
        <v>508.1</v>
      </c>
      <c r="AD54" s="57">
        <f>[16]January_2019!N7</f>
        <v>0</v>
      </c>
      <c r="AE54" s="57">
        <f>[16]January_2019!O7</f>
        <v>0</v>
      </c>
      <c r="AF54" s="57">
        <f>[16]January_2019!P7</f>
        <v>109.56666666666666</v>
      </c>
      <c r="AG54" s="57">
        <f>[16]January_2019!Q7</f>
        <v>297.64999999999998</v>
      </c>
      <c r="AH54" s="57">
        <f>[16]January_2019!R7</f>
        <v>122.3</v>
      </c>
      <c r="AI54" s="57">
        <f>[16]January_2019!S7</f>
        <v>0</v>
      </c>
      <c r="AJ54" s="57">
        <f>[16]January_2019!T7</f>
        <v>294.7</v>
      </c>
      <c r="AK54" s="57">
        <f>[16]January_2019!U7</f>
        <v>280.5</v>
      </c>
      <c r="AL54" s="57">
        <f>[16]January_2019!V7</f>
        <v>0</v>
      </c>
      <c r="AM54" s="57">
        <f>[16]January_2019!W7</f>
        <v>0</v>
      </c>
      <c r="AN54" s="57">
        <f>[16]January_2019!X7</f>
        <v>188.25</v>
      </c>
      <c r="AO54" s="57">
        <f>[16]January_2019!Y7</f>
        <v>295.7</v>
      </c>
      <c r="AP54" s="57">
        <f>[16]January_2019!Z7</f>
        <v>257.8</v>
      </c>
      <c r="AQ54" s="57">
        <f>[16]January_2019!AA7</f>
        <v>291.2</v>
      </c>
      <c r="AR54" s="57">
        <f>[16]January_2019!AB7</f>
        <v>187</v>
      </c>
      <c r="AS54" s="57">
        <f>[16]January_2019!AC7</f>
        <v>0</v>
      </c>
      <c r="AT54" s="57">
        <f>[16]January_2019!AD7</f>
        <v>0</v>
      </c>
      <c r="AU54" s="57">
        <f>[16]January_2019!AE7</f>
        <v>485.1</v>
      </c>
      <c r="AV54" s="57">
        <f>[16]January_2019!AF7</f>
        <v>171.55</v>
      </c>
      <c r="AW54" s="57">
        <f>[16]January_2019!AG7</f>
        <v>423.8</v>
      </c>
      <c r="AX54" s="277">
        <f>[16]January_2019!AH7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9.5" hidden="1" customHeight="1" thickBot="1">
      <c r="B55" s="478"/>
      <c r="C55" s="430"/>
      <c r="D55" s="431"/>
      <c r="E55" s="432"/>
      <c r="F55" s="433"/>
      <c r="G55" s="434"/>
      <c r="H55" s="458"/>
      <c r="I55" s="45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450000000000003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48"/>
      <c r="K56" s="45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84"/>
      <c r="C58" s="479"/>
      <c r="D58" s="442"/>
      <c r="E58" s="443"/>
      <c r="F58" s="444"/>
      <c r="G58" s="445"/>
      <c r="H58" s="446"/>
      <c r="I58" s="447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6"/>
      <c r="C61" s="430"/>
      <c r="D61" s="460"/>
      <c r="E61" s="461"/>
      <c r="F61" s="462"/>
      <c r="G61" s="460"/>
      <c r="H61" s="463"/>
      <c r="I61" s="463"/>
      <c r="J61" s="463"/>
      <c r="K61" s="464"/>
      <c r="L61" s="465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09" t="s">
        <v>55</v>
      </c>
      <c r="C63" s="510"/>
      <c r="D63" s="510"/>
      <c r="E63" s="510"/>
      <c r="F63" s="511"/>
      <c r="G63" s="509" t="s">
        <v>56</v>
      </c>
      <c r="H63" s="510"/>
      <c r="I63" s="510"/>
      <c r="J63" s="511"/>
      <c r="K63" s="509" t="s">
        <v>51</v>
      </c>
      <c r="L63" s="510"/>
      <c r="M63" s="510"/>
      <c r="N63" s="512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/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/>
      <c r="D65" s="76"/>
      <c r="E65" s="76">
        <v>6.5623673132836648</v>
      </c>
      <c r="F65" s="66">
        <v>4.8</v>
      </c>
      <c r="G65" s="65"/>
      <c r="H65" s="477"/>
      <c r="I65" s="477">
        <v>6.2688670205621344</v>
      </c>
      <c r="J65" s="66">
        <v>4.8</v>
      </c>
      <c r="K65" s="67"/>
      <c r="L65" s="194"/>
      <c r="M65" s="194">
        <v>0.51130548427310263</v>
      </c>
      <c r="N65" s="68">
        <v>1</v>
      </c>
      <c r="O65" s="56"/>
      <c r="P65" s="69"/>
    </row>
    <row r="66" spans="2:16" ht="15">
      <c r="B66" s="33" t="s">
        <v>9</v>
      </c>
      <c r="C66" s="65"/>
      <c r="D66" s="76"/>
      <c r="E66" s="76">
        <v>5.8230180888372871</v>
      </c>
      <c r="F66" s="66">
        <v>4.8</v>
      </c>
      <c r="G66" s="65"/>
      <c r="H66" s="76"/>
      <c r="I66" s="76">
        <v>5.4655642193228315</v>
      </c>
      <c r="J66" s="66">
        <v>4.8</v>
      </c>
      <c r="K66" s="67"/>
      <c r="L66" s="194"/>
      <c r="M66" s="194">
        <v>0.68713504693777017</v>
      </c>
      <c r="N66" s="68">
        <v>1</v>
      </c>
      <c r="P66" s="69"/>
    </row>
    <row r="67" spans="2:16" ht="15">
      <c r="B67" s="34" t="s">
        <v>40</v>
      </c>
      <c r="C67" s="65"/>
      <c r="D67" s="76"/>
      <c r="E67" s="76">
        <v>11.435860710768946</v>
      </c>
      <c r="F67" s="66">
        <v>5.5</v>
      </c>
      <c r="G67" s="65"/>
      <c r="H67" s="76"/>
      <c r="I67" s="76">
        <v>12.618851801260744</v>
      </c>
      <c r="J67" s="66">
        <v>5.5</v>
      </c>
      <c r="K67" s="67"/>
      <c r="L67" s="194"/>
      <c r="M67" s="194">
        <v>0.26444407894736843</v>
      </c>
      <c r="N67" s="68">
        <v>1</v>
      </c>
      <c r="P67" s="69"/>
    </row>
    <row r="68" spans="2:16" ht="15">
      <c r="B68" s="22" t="s">
        <v>33</v>
      </c>
      <c r="C68" s="65"/>
      <c r="D68" s="76"/>
      <c r="E68" s="76">
        <v>4.7166249493099075</v>
      </c>
      <c r="F68" s="66">
        <v>3.3</v>
      </c>
      <c r="G68" s="65"/>
      <c r="H68" s="76"/>
      <c r="I68" s="76">
        <v>4.7393662692065543</v>
      </c>
      <c r="J68" s="66">
        <v>3.3</v>
      </c>
      <c r="K68" s="67"/>
      <c r="L68" s="194"/>
      <c r="M68" s="194">
        <v>0.73604010025062649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76"/>
      <c r="D70" s="76"/>
      <c r="E70" s="76">
        <v>5.1541347251672045</v>
      </c>
      <c r="F70" s="483">
        <v>5.5</v>
      </c>
      <c r="G70" s="282"/>
      <c r="H70" s="76"/>
      <c r="I70" s="76">
        <v>7.4989046872874194</v>
      </c>
      <c r="J70" s="66">
        <v>5.5</v>
      </c>
      <c r="K70" s="67"/>
      <c r="L70" s="194"/>
      <c r="M70" s="194">
        <v>1.0201754385964912</v>
      </c>
      <c r="N70" s="68">
        <v>1</v>
      </c>
      <c r="P70" s="69"/>
    </row>
    <row r="71" spans="2:16" ht="15">
      <c r="B71" s="37" t="s">
        <v>16</v>
      </c>
      <c r="C71" s="485"/>
      <c r="D71" s="76"/>
      <c r="E71" s="76">
        <v>3.7333963207914191</v>
      </c>
      <c r="F71" s="66">
        <v>3.3</v>
      </c>
      <c r="G71" s="282"/>
      <c r="H71" s="76"/>
      <c r="I71" s="76">
        <v>4.8412394790618878</v>
      </c>
      <c r="J71" s="66">
        <v>3.3</v>
      </c>
      <c r="K71" s="67"/>
      <c r="L71" s="194"/>
      <c r="M71" s="194">
        <v>0.84386695906432752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/>
      <c r="E74" s="76">
        <v>6.3115024469710663</v>
      </c>
      <c r="F74" s="341">
        <v>5.5</v>
      </c>
      <c r="H74" s="76"/>
      <c r="I74" s="76">
        <v>6.3654183077136706</v>
      </c>
      <c r="J74" s="341">
        <v>5.5</v>
      </c>
      <c r="L74" s="194"/>
      <c r="M74" s="194">
        <v>0.57830160611739556</v>
      </c>
      <c r="N7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B35:B44"/>
    <mergeCell ref="D35:E36"/>
    <mergeCell ref="J35:K35"/>
    <mergeCell ref="L36:N36"/>
    <mergeCell ref="D37:E38"/>
    <mergeCell ref="D39:E40"/>
    <mergeCell ref="D41:E42"/>
    <mergeCell ref="D43:E44"/>
    <mergeCell ref="D45:E45"/>
    <mergeCell ref="B50:B51"/>
    <mergeCell ref="C50:C51"/>
    <mergeCell ref="D50:D51"/>
    <mergeCell ref="E50:E51"/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</mergeCells>
  <conditionalFormatting sqref="B45:B46">
    <cfRule type="cellIs" dxfId="3331" priority="96" operator="notBetween">
      <formula>#REF!</formula>
      <formula>#REF!</formula>
    </cfRule>
  </conditionalFormatting>
  <conditionalFormatting sqref="C49">
    <cfRule type="cellIs" dxfId="3330" priority="186" stopIfTrue="1" operator="greaterThan">
      <formula>100</formula>
    </cfRule>
    <cfRule type="cellIs" dxfId="3329" priority="185" stopIfTrue="1" operator="lessThan">
      <formula>96</formula>
    </cfRule>
  </conditionalFormatting>
  <conditionalFormatting sqref="C65:C66">
    <cfRule type="cellIs" dxfId="3328" priority="59" stopIfTrue="1" operator="lessThanOrEqual">
      <formula>0</formula>
    </cfRule>
    <cfRule type="cellIs" dxfId="3327" priority="58" stopIfTrue="1" operator="greaterThan">
      <formula>$F65</formula>
    </cfRule>
    <cfRule type="cellIs" dxfId="3326" priority="57" stopIfTrue="1" operator="lessThanOrEqual">
      <formula>0</formula>
    </cfRule>
    <cfRule type="cellIs" dxfId="3325" priority="56" stopIfTrue="1" operator="greaterThan">
      <formula>$F65</formula>
    </cfRule>
  </conditionalFormatting>
  <conditionalFormatting sqref="C67:C69 C71:C73">
    <cfRule type="cellIs" dxfId="3324" priority="66" stopIfTrue="1" operator="greaterThan">
      <formula>$F70</formula>
    </cfRule>
  </conditionalFormatting>
  <conditionalFormatting sqref="C67:C69">
    <cfRule type="cellIs" dxfId="3323" priority="67" stopIfTrue="1" operator="lessThanOrEqual">
      <formula>0</formula>
    </cfRule>
  </conditionalFormatting>
  <conditionalFormatting sqref="C71:C73">
    <cfRule type="cellIs" dxfId="3322" priority="68" stopIfTrue="1" operator="lessThanOrEqual">
      <formula>0</formula>
    </cfRule>
  </conditionalFormatting>
  <conditionalFormatting sqref="C76:C80">
    <cfRule type="cellIs" dxfId="3321" priority="177" stopIfTrue="1" operator="lessThanOrEqual">
      <formula>0</formula>
    </cfRule>
  </conditionalFormatting>
  <conditionalFormatting sqref="C77:C80">
    <cfRule type="cellIs" dxfId="3320" priority="176" stopIfTrue="1" operator="greaterThan">
      <formula>$F$76</formula>
    </cfRule>
  </conditionalFormatting>
  <conditionalFormatting sqref="C82">
    <cfRule type="cellIs" dxfId="3319" priority="178" stopIfTrue="1" operator="greaterThan">
      <formula>$F$76</formula>
    </cfRule>
    <cfRule type="cellIs" dxfId="3318" priority="179" stopIfTrue="1" operator="lessThanOrEqual">
      <formula>0</formula>
    </cfRule>
  </conditionalFormatting>
  <conditionalFormatting sqref="C70:D70">
    <cfRule type="cellIs" dxfId="3317" priority="55" stopIfTrue="1" operator="lessThanOrEqual">
      <formula>0</formula>
    </cfRule>
    <cfRule type="cellIs" dxfId="3316" priority="54" stopIfTrue="1" operator="greaterThan">
      <formula>$J70</formula>
    </cfRule>
  </conditionalFormatting>
  <conditionalFormatting sqref="C76:D76 D78:D84">
    <cfRule type="cellIs" dxfId="3315" priority="171" stopIfTrue="1" operator="greaterThan">
      <formula>4.5</formula>
    </cfRule>
  </conditionalFormatting>
  <conditionalFormatting sqref="D45:D46">
    <cfRule type="cellIs" dxfId="3314" priority="97" operator="notBetween">
      <formula>#REF!</formula>
      <formula>#REF!</formula>
    </cfRule>
  </conditionalFormatting>
  <conditionalFormatting sqref="D65:D69 D71:D72">
    <cfRule type="cellIs" dxfId="3313" priority="65" stopIfTrue="1" operator="lessThanOrEqual">
      <formula>0</formula>
    </cfRule>
  </conditionalFormatting>
  <conditionalFormatting sqref="D65:D69 D71:D74">
    <cfRule type="cellIs" dxfId="3312" priority="61" stopIfTrue="1" operator="lessThanOrEqual">
      <formula>0</formula>
    </cfRule>
    <cfRule type="cellIs" dxfId="3311" priority="62" stopIfTrue="1" operator="greaterThan">
      <formula>$F65</formula>
    </cfRule>
  </conditionalFormatting>
  <conditionalFormatting sqref="D73:D74">
    <cfRule type="cellIs" dxfId="3310" priority="63" stopIfTrue="1" operator="lessThanOrEqual">
      <formula>0</formula>
    </cfRule>
  </conditionalFormatting>
  <conditionalFormatting sqref="D74">
    <cfRule type="cellIs" dxfId="3309" priority="64" stopIfTrue="1" operator="lessThanOrEqual">
      <formula>0</formula>
    </cfRule>
  </conditionalFormatting>
  <conditionalFormatting sqref="D76 D78:D84">
    <cfRule type="cellIs" dxfId="3308" priority="172" stopIfTrue="1" operator="lessThanOrEqual">
      <formula>0</formula>
    </cfRule>
  </conditionalFormatting>
  <conditionalFormatting sqref="D77">
    <cfRule type="cellIs" dxfId="3307" priority="163" stopIfTrue="1" operator="greaterThan">
      <formula>$F$76</formula>
    </cfRule>
    <cfRule type="cellIs" dxfId="3306" priority="164" stopIfTrue="1" operator="lessThanOrEqual">
      <formula>0</formula>
    </cfRule>
  </conditionalFormatting>
  <conditionalFormatting sqref="E10:E20">
    <cfRule type="cellIs" dxfId="3305" priority="8" operator="lessThan">
      <formula>48</formula>
    </cfRule>
  </conditionalFormatting>
  <conditionalFormatting sqref="E48 E49:F49">
    <cfRule type="cellIs" dxfId="3304" priority="168" stopIfTrue="1" operator="greaterThan">
      <formula>100</formula>
    </cfRule>
  </conditionalFormatting>
  <conditionalFormatting sqref="E49">
    <cfRule type="cellIs" dxfId="3303" priority="165" stopIfTrue="1" operator="lessThan">
      <formula>96.8</formula>
    </cfRule>
    <cfRule type="cellIs" dxfId="3302" priority="166" stopIfTrue="1" operator="greaterThan">
      <formula>100</formula>
    </cfRule>
  </conditionalFormatting>
  <conditionalFormatting sqref="E65:E73">
    <cfRule type="cellIs" dxfId="3301" priority="22" stopIfTrue="1" operator="lessThanOrEqual">
      <formula>0</formula>
    </cfRule>
  </conditionalFormatting>
  <conditionalFormatting sqref="E65:E74">
    <cfRule type="cellIs" dxfId="3300" priority="23" stopIfTrue="1" operator="greaterThan">
      <formula>$F65</formula>
    </cfRule>
    <cfRule type="cellIs" dxfId="3299" priority="24" stopIfTrue="1" operator="lessThanOrEqual">
      <formula>0</formula>
    </cfRule>
  </conditionalFormatting>
  <conditionalFormatting sqref="E74">
    <cfRule type="cellIs" dxfId="3298" priority="25" stopIfTrue="1" operator="lessThanOrEqual">
      <formula>0</formula>
    </cfRule>
  </conditionalFormatting>
  <conditionalFormatting sqref="E76:E84">
    <cfRule type="cellIs" dxfId="3297" priority="157" stopIfTrue="1" operator="greaterThan">
      <formula>4.5</formula>
    </cfRule>
    <cfRule type="cellIs" dxfId="3296" priority="158" stopIfTrue="1" operator="lessThanOrEqual">
      <formula>0</formula>
    </cfRule>
  </conditionalFormatting>
  <conditionalFormatting sqref="E49:F49 E48">
    <cfRule type="cellIs" dxfId="3295" priority="167" stopIfTrue="1" operator="lessThan">
      <formula>96.5</formula>
    </cfRule>
  </conditionalFormatting>
  <conditionalFormatting sqref="F10:F20">
    <cfRule type="cellIs" dxfId="3294" priority="13" operator="greaterThan">
      <formula>60</formula>
    </cfRule>
  </conditionalFormatting>
  <conditionalFormatting sqref="F49">
    <cfRule type="cellIs" dxfId="3293" priority="183" stopIfTrue="1" operator="lessThan">
      <formula>96.8</formula>
    </cfRule>
    <cfRule type="cellIs" dxfId="3292" priority="184" stopIfTrue="1" operator="greaterThan">
      <formula>100</formula>
    </cfRule>
  </conditionalFormatting>
  <conditionalFormatting sqref="F74">
    <cfRule type="cellIs" dxfId="3291" priority="34" stopIfTrue="1" operator="lessThanOrEqual">
      <formula>0</formula>
    </cfRule>
    <cfRule type="cellIs" dxfId="3290" priority="33" stopIfTrue="1" operator="greaterThan">
      <formula>$F74</formula>
    </cfRule>
  </conditionalFormatting>
  <conditionalFormatting sqref="G10:G20">
    <cfRule type="expression" dxfId="3289" priority="10">
      <formula>IF(+(IF(G10&lt;S10,0,IF(G10&gt;T10,0,1)))=0,1)</formula>
    </cfRule>
  </conditionalFormatting>
  <conditionalFormatting sqref="G65:G66">
    <cfRule type="cellIs" dxfId="3288" priority="36" stopIfTrue="1" operator="lessThanOrEqual">
      <formula>0</formula>
    </cfRule>
    <cfRule type="cellIs" dxfId="3287" priority="35" stopIfTrue="1" operator="greaterThan">
      <formula>$F65</formula>
    </cfRule>
  </conditionalFormatting>
  <conditionalFormatting sqref="G65:G68">
    <cfRule type="cellIs" dxfId="3286" priority="17" stopIfTrue="1" operator="greaterThan">
      <formula>$F65</formula>
    </cfRule>
    <cfRule type="cellIs" dxfId="3285" priority="18" stopIfTrue="1" operator="lessThanOrEqual">
      <formula>0</formula>
    </cfRule>
  </conditionalFormatting>
  <conditionalFormatting sqref="G67">
    <cfRule type="cellIs" dxfId="3284" priority="15" stopIfTrue="1" operator="greaterThan">
      <formula>$F67</formula>
    </cfRule>
    <cfRule type="cellIs" dxfId="3283" priority="16" stopIfTrue="1" operator="lessThanOrEqual">
      <formula>0</formula>
    </cfRule>
  </conditionalFormatting>
  <conditionalFormatting sqref="G68">
    <cfRule type="cellIs" dxfId="3282" priority="29" stopIfTrue="1" operator="greaterThan">
      <formula>$F68</formula>
    </cfRule>
    <cfRule type="cellIs" dxfId="3281" priority="30" stopIfTrue="1" operator="lessThanOrEqual">
      <formula>0</formula>
    </cfRule>
  </conditionalFormatting>
  <conditionalFormatting sqref="G69:G73">
    <cfRule type="cellIs" dxfId="3280" priority="38" stopIfTrue="1" operator="lessThanOrEqual">
      <formula>0</formula>
    </cfRule>
    <cfRule type="cellIs" dxfId="3279" priority="37" stopIfTrue="1" operator="greaterThan">
      <formula>$J69</formula>
    </cfRule>
  </conditionalFormatting>
  <conditionalFormatting sqref="G78:G83 C81 C83">
    <cfRule type="cellIs" dxfId="3278" priority="181" stopIfTrue="1" operator="lessThanOrEqual">
      <formula>0</formula>
    </cfRule>
    <cfRule type="cellIs" dxfId="3277" priority="180" stopIfTrue="1" operator="greaterThan">
      <formula>4.5</formula>
    </cfRule>
  </conditionalFormatting>
  <conditionalFormatting sqref="G77:H77">
    <cfRule type="cellIs" dxfId="3276" priority="162" stopIfTrue="1" operator="lessThanOrEqual">
      <formula>0</formula>
    </cfRule>
    <cfRule type="cellIs" dxfId="3275" priority="161" stopIfTrue="1" operator="greaterThan">
      <formula>$F$76</formula>
    </cfRule>
  </conditionalFormatting>
  <conditionalFormatting sqref="H10:H20">
    <cfRule type="expression" dxfId="3274" priority="9">
      <formula>IF(+(IF(H10&lt;#REF!,0,IF(H10&gt;#REF!,0,1)))=0,1)</formula>
    </cfRule>
  </conditionalFormatting>
  <conditionalFormatting sqref="H34:H35 H48">
    <cfRule type="cellIs" dxfId="3273" priority="159" stopIfTrue="1" operator="greaterThan">
      <formula>0</formula>
    </cfRule>
  </conditionalFormatting>
  <conditionalFormatting sqref="H52">
    <cfRule type="cellIs" dxfId="3272" priority="40" stopIfTrue="1" operator="lessThanOrEqual">
      <formula>0</formula>
    </cfRule>
    <cfRule type="cellIs" dxfId="3271" priority="51" stopIfTrue="1" operator="greaterThan">
      <formula>$F$66</formula>
    </cfRule>
    <cfRule type="cellIs" dxfId="3270" priority="50" stopIfTrue="1" operator="lessThanOrEqual">
      <formula>0</formula>
    </cfRule>
    <cfRule type="cellIs" dxfId="3269" priority="49" stopIfTrue="1" operator="greaterThan">
      <formula>$F$68</formula>
    </cfRule>
    <cfRule type="cellIs" dxfId="3268" priority="41" stopIfTrue="1" operator="greaterThan">
      <formula>$F$65</formula>
    </cfRule>
  </conditionalFormatting>
  <conditionalFormatting sqref="H52:H54">
    <cfRule type="cellIs" dxfId="3267" priority="52" stopIfTrue="1" operator="lessThanOrEqual">
      <formula>0</formula>
    </cfRule>
  </conditionalFormatting>
  <conditionalFormatting sqref="H53:H54">
    <cfRule type="cellIs" dxfId="3266" priority="69" stopIfTrue="1" operator="greaterThan">
      <formula>$F$65</formula>
    </cfRule>
    <cfRule type="cellIs" dxfId="3265" priority="77" stopIfTrue="1" operator="greaterThan">
      <formula>$F$68</formula>
    </cfRule>
    <cfRule type="cellIs" dxfId="3264" priority="78" stopIfTrue="1" operator="lessThanOrEqual">
      <formula>0</formula>
    </cfRule>
    <cfRule type="cellIs" dxfId="3263" priority="79" stopIfTrue="1" operator="greaterThan">
      <formula>$F$66</formula>
    </cfRule>
  </conditionalFormatting>
  <conditionalFormatting sqref="H53:H56">
    <cfRule type="cellIs" dxfId="3262" priority="80" stopIfTrue="1" operator="lessThanOrEqual">
      <formula>0</formula>
    </cfRule>
  </conditionalFormatting>
  <conditionalFormatting sqref="H55:H56">
    <cfRule type="cellIs" dxfId="3261" priority="92" stopIfTrue="1" operator="lessThanOrEqual">
      <formula>0</formula>
    </cfRule>
    <cfRule type="cellIs" dxfId="3260" priority="93" stopIfTrue="1" operator="greaterThan">
      <formula>$F$66</formula>
    </cfRule>
    <cfRule type="cellIs" dxfId="3259" priority="94" stopIfTrue="1" operator="lessThanOrEqual">
      <formula>0</formula>
    </cfRule>
    <cfRule type="cellIs" dxfId="3258" priority="91" stopIfTrue="1" operator="greaterThan">
      <formula>$F$68</formula>
    </cfRule>
    <cfRule type="cellIs" dxfId="3257" priority="83" stopIfTrue="1" operator="greaterThan">
      <formula>$F$65</formula>
    </cfRule>
  </conditionalFormatting>
  <conditionalFormatting sqref="H57:H58">
    <cfRule type="cellIs" dxfId="3256" priority="133" stopIfTrue="1" operator="lessThanOrEqual">
      <formula>0</formula>
    </cfRule>
    <cfRule type="cellIs" dxfId="3255" priority="121" stopIfTrue="1" operator="lessThanOrEqual">
      <formula>0</formula>
    </cfRule>
    <cfRule type="cellIs" dxfId="3254" priority="132" stopIfTrue="1" operator="greaterThan">
      <formula>#REF!</formula>
    </cfRule>
    <cfRule type="cellIs" dxfId="3253" priority="131" stopIfTrue="1" operator="lessThanOrEqual">
      <formula>0</formula>
    </cfRule>
    <cfRule type="cellIs" dxfId="3252" priority="130" stopIfTrue="1" operator="greaterThan">
      <formula>$F$20</formula>
    </cfRule>
    <cfRule type="cellIs" dxfId="3251" priority="122" stopIfTrue="1" operator="greaterThan">
      <formula>#REF!</formula>
    </cfRule>
  </conditionalFormatting>
  <conditionalFormatting sqref="H59">
    <cfRule type="cellIs" dxfId="3250" priority="147" stopIfTrue="1" operator="lessThanOrEqual">
      <formula>0</formula>
    </cfRule>
    <cfRule type="cellIs" dxfId="3249" priority="146" stopIfTrue="1" operator="greaterThan">
      <formula>$F$34</formula>
    </cfRule>
    <cfRule type="cellIs" dxfId="3248" priority="145" stopIfTrue="1" operator="lessThanOrEqual">
      <formula>0</formula>
    </cfRule>
    <cfRule type="cellIs" dxfId="3247" priority="144" stopIfTrue="1" operator="greaterThan">
      <formula>$F$36</formula>
    </cfRule>
    <cfRule type="cellIs" dxfId="3246" priority="135" stopIfTrue="1" operator="lessThanOrEqual">
      <formula>0</formula>
    </cfRule>
    <cfRule type="cellIs" dxfId="3245" priority="136" stopIfTrue="1" operator="greaterThan">
      <formula>$F$33</formula>
    </cfRule>
  </conditionalFormatting>
  <conditionalFormatting sqref="H60:H61">
    <cfRule type="cellIs" dxfId="3244" priority="107" stopIfTrue="1" operator="lessThanOrEqual">
      <formula>0</formula>
    </cfRule>
    <cfRule type="cellIs" dxfId="3243" priority="108" stopIfTrue="1" operator="greaterThan">
      <formula>#REF!</formula>
    </cfRule>
    <cfRule type="cellIs" dxfId="3242" priority="116" stopIfTrue="1" operator="greaterThan">
      <formula>$F$20</formula>
    </cfRule>
    <cfRule type="cellIs" dxfId="3241" priority="118" stopIfTrue="1" operator="greaterThan">
      <formula>#REF!</formula>
    </cfRule>
    <cfRule type="cellIs" dxfId="3240" priority="119" stopIfTrue="1" operator="lessThanOrEqual">
      <formula>0</formula>
    </cfRule>
    <cfRule type="cellIs" dxfId="3239" priority="117" stopIfTrue="1" operator="lessThanOrEqual">
      <formula>0</formula>
    </cfRule>
  </conditionalFormatting>
  <conditionalFormatting sqref="H76 H78:H84">
    <cfRule type="cellIs" dxfId="3238" priority="174" stopIfTrue="1" operator="lessThanOrEqual">
      <formula>0</formula>
    </cfRule>
    <cfRule type="cellIs" dxfId="3237" priority="173" stopIfTrue="1" operator="greaterThan">
      <formula>4.5</formula>
    </cfRule>
  </conditionalFormatting>
  <conditionalFormatting sqref="H52:I52">
    <cfRule type="cellIs" dxfId="3236" priority="42" stopIfTrue="1" operator="lessThanOrEqual">
      <formula>0</formula>
    </cfRule>
  </conditionalFormatting>
  <conditionalFormatting sqref="H52:I56">
    <cfRule type="cellIs" dxfId="3235" priority="39" stopIfTrue="1" operator="greaterThan">
      <formula>$F$67</formula>
    </cfRule>
  </conditionalFormatting>
  <conditionalFormatting sqref="H53:I54">
    <cfRule type="cellIs" dxfId="3234" priority="70" stopIfTrue="1" operator="lessThanOrEqual">
      <formula>0</formula>
    </cfRule>
  </conditionalFormatting>
  <conditionalFormatting sqref="H55:I56">
    <cfRule type="cellIs" dxfId="3233" priority="84" stopIfTrue="1" operator="lessThanOrEqual">
      <formula>0</formula>
    </cfRule>
  </conditionalFormatting>
  <conditionalFormatting sqref="H57:I58">
    <cfRule type="cellIs" dxfId="3232" priority="123" stopIfTrue="1" operator="lessThanOrEqual">
      <formula>0</formula>
    </cfRule>
    <cfRule type="cellIs" dxfId="3231" priority="120" stopIfTrue="1" operator="greaterThan">
      <formula>#REF!</formula>
    </cfRule>
  </conditionalFormatting>
  <conditionalFormatting sqref="H59:I59">
    <cfRule type="cellIs" dxfId="3230" priority="137" stopIfTrue="1" operator="lessThanOrEqual">
      <formula>0</formula>
    </cfRule>
    <cfRule type="cellIs" dxfId="3229" priority="134" stopIfTrue="1" operator="greaterThan">
      <formula>$F$35</formula>
    </cfRule>
  </conditionalFormatting>
  <conditionalFormatting sqref="H60:I61">
    <cfRule type="cellIs" dxfId="3228" priority="106" stopIfTrue="1" operator="greaterThan">
      <formula>#REF!</formula>
    </cfRule>
    <cfRule type="cellIs" dxfId="3227" priority="109" stopIfTrue="1" operator="lessThanOrEqual">
      <formula>0</formula>
    </cfRule>
  </conditionalFormatting>
  <conditionalFormatting sqref="H65:I72">
    <cfRule type="cellIs" dxfId="3226" priority="20" stopIfTrue="1" operator="greaterThan">
      <formula>$J65</formula>
    </cfRule>
    <cfRule type="cellIs" dxfId="3225" priority="21" stopIfTrue="1" operator="lessThanOrEqual">
      <formula>0</formula>
    </cfRule>
  </conditionalFormatting>
  <conditionalFormatting sqref="H73:I73">
    <cfRule type="cellIs" dxfId="3224" priority="28" operator="greaterThan">
      <formula>5.3</formula>
    </cfRule>
  </conditionalFormatting>
  <conditionalFormatting sqref="H74:I74">
    <cfRule type="cellIs" dxfId="3223" priority="26" stopIfTrue="1" operator="greaterThan">
      <formula>$J74</formula>
    </cfRule>
    <cfRule type="cellIs" dxfId="3222" priority="27" stopIfTrue="1" operator="lessThanOrEqual">
      <formula>0</formula>
    </cfRule>
  </conditionalFormatting>
  <conditionalFormatting sqref="I52">
    <cfRule type="cellIs" dxfId="3221" priority="44" stopIfTrue="1" operator="lessThanOrEqual">
      <formula>0</formula>
    </cfRule>
    <cfRule type="cellIs" dxfId="3220" priority="45" stopIfTrue="1" operator="greaterThan">
      <formula>$F$67</formula>
    </cfRule>
    <cfRule type="cellIs" dxfId="3219" priority="48" stopIfTrue="1" operator="lessThanOrEqual">
      <formula>0</formula>
    </cfRule>
    <cfRule type="cellIs" dxfId="3218" priority="46" stopIfTrue="1" operator="lessThanOrEqual">
      <formula>0</formula>
    </cfRule>
    <cfRule type="cellIs" dxfId="3217" priority="47" stopIfTrue="1" operator="greaterThan">
      <formula>$F$65</formula>
    </cfRule>
    <cfRule type="cellIs" dxfId="3216" priority="43" stopIfTrue="1" operator="greaterThan">
      <formula>$F$65</formula>
    </cfRule>
  </conditionalFormatting>
  <conditionalFormatting sqref="I53:I54">
    <cfRule type="cellIs" dxfId="3215" priority="72" stopIfTrue="1" operator="lessThanOrEqual">
      <formula>0</formula>
    </cfRule>
    <cfRule type="cellIs" dxfId="3214" priority="71" stopIfTrue="1" operator="greaterThan">
      <formula>$F$65</formula>
    </cfRule>
    <cfRule type="cellIs" dxfId="3213" priority="75" stopIfTrue="1" operator="greaterThan">
      <formula>$F$65</formula>
    </cfRule>
    <cfRule type="cellIs" dxfId="3212" priority="76" stopIfTrue="1" operator="lessThanOrEqual">
      <formula>0</formula>
    </cfRule>
    <cfRule type="cellIs" dxfId="3211" priority="73" stopIfTrue="1" operator="greaterThan">
      <formula>$F$67</formula>
    </cfRule>
    <cfRule type="cellIs" dxfId="3210" priority="74" stopIfTrue="1" operator="lessThanOrEqual">
      <formula>0</formula>
    </cfRule>
  </conditionalFormatting>
  <conditionalFormatting sqref="I55:I56">
    <cfRule type="cellIs" dxfId="3209" priority="90" stopIfTrue="1" operator="lessThanOrEqual">
      <formula>0</formula>
    </cfRule>
    <cfRule type="cellIs" dxfId="3208" priority="88" stopIfTrue="1" operator="lessThanOrEqual">
      <formula>0</formula>
    </cfRule>
    <cfRule type="cellIs" dxfId="3207" priority="87" stopIfTrue="1" operator="greaterThan">
      <formula>$F$67</formula>
    </cfRule>
    <cfRule type="cellIs" dxfId="3206" priority="86" stopIfTrue="1" operator="lessThanOrEqual">
      <formula>0</formula>
    </cfRule>
    <cfRule type="cellIs" dxfId="3205" priority="85" stopIfTrue="1" operator="greaterThan">
      <formula>$F$65</formula>
    </cfRule>
    <cfRule type="cellIs" dxfId="3204" priority="89" stopIfTrue="1" operator="greaterThan">
      <formula>$F$65</formula>
    </cfRule>
  </conditionalFormatting>
  <conditionalFormatting sqref="I57:I58">
    <cfRule type="cellIs" dxfId="3203" priority="124" stopIfTrue="1" operator="greaterThan">
      <formula>#REF!</formula>
    </cfRule>
    <cfRule type="cellIs" dxfId="3202" priority="125" stopIfTrue="1" operator="lessThanOrEqual">
      <formula>0</formula>
    </cfRule>
    <cfRule type="cellIs" dxfId="3201" priority="126" stopIfTrue="1" operator="greaterThan">
      <formula>#REF!</formula>
    </cfRule>
    <cfRule type="cellIs" dxfId="3200" priority="127" stopIfTrue="1" operator="lessThanOrEqual">
      <formula>0</formula>
    </cfRule>
    <cfRule type="cellIs" dxfId="3199" priority="128" stopIfTrue="1" operator="greaterThan">
      <formula>#REF!</formula>
    </cfRule>
    <cfRule type="cellIs" dxfId="3198" priority="129" stopIfTrue="1" operator="lessThanOrEqual">
      <formula>0</formula>
    </cfRule>
  </conditionalFormatting>
  <conditionalFormatting sqref="I59">
    <cfRule type="cellIs" dxfId="3197" priority="142" stopIfTrue="1" operator="greaterThan">
      <formula>$F$33</formula>
    </cfRule>
    <cfRule type="cellIs" dxfId="3196" priority="143" stopIfTrue="1" operator="lessThanOrEqual">
      <formula>0</formula>
    </cfRule>
    <cfRule type="cellIs" dxfId="3195" priority="140" stopIfTrue="1" operator="greaterThan">
      <formula>$F$35</formula>
    </cfRule>
    <cfRule type="cellIs" dxfId="3194" priority="138" stopIfTrue="1" operator="greaterThan">
      <formula>$F$33</formula>
    </cfRule>
    <cfRule type="cellIs" dxfId="3193" priority="139" stopIfTrue="1" operator="lessThanOrEqual">
      <formula>0</formula>
    </cfRule>
    <cfRule type="cellIs" dxfId="3192" priority="141" stopIfTrue="1" operator="lessThanOrEqual">
      <formula>0</formula>
    </cfRule>
  </conditionalFormatting>
  <conditionalFormatting sqref="I60:I61">
    <cfRule type="cellIs" dxfId="3191" priority="111" stopIfTrue="1" operator="lessThanOrEqual">
      <formula>0</formula>
    </cfRule>
    <cfRule type="cellIs" dxfId="3190" priority="112" stopIfTrue="1" operator="greaterThan">
      <formula>#REF!</formula>
    </cfRule>
    <cfRule type="cellIs" dxfId="3189" priority="115" stopIfTrue="1" operator="lessThanOrEqual">
      <formula>0</formula>
    </cfRule>
    <cfRule type="cellIs" dxfId="3188" priority="114" stopIfTrue="1" operator="greaterThan">
      <formula>#REF!</formula>
    </cfRule>
    <cfRule type="cellIs" dxfId="3187" priority="110" stopIfTrue="1" operator="greaterThan">
      <formula>#REF!</formula>
    </cfRule>
    <cfRule type="cellIs" dxfId="3186" priority="113" stopIfTrue="1" operator="lessThanOrEqual">
      <formula>0</formula>
    </cfRule>
  </conditionalFormatting>
  <conditionalFormatting sqref="I76:I84">
    <cfRule type="cellIs" dxfId="3185" priority="169" stopIfTrue="1" operator="greaterThan">
      <formula>4.5</formula>
    </cfRule>
    <cfRule type="cellIs" dxfId="3184" priority="170" stopIfTrue="1" operator="lessThanOrEqual">
      <formula>0</formula>
    </cfRule>
  </conditionalFormatting>
  <conditionalFormatting sqref="I10:J20">
    <cfRule type="cellIs" dxfId="3183" priority="2" operator="lessThan">
      <formula>97.9</formula>
    </cfRule>
  </conditionalFormatting>
  <conditionalFormatting sqref="J23:J24">
    <cfRule type="cellIs" dxfId="3182" priority="82" operator="lessThan">
      <formula>97.95</formula>
    </cfRule>
  </conditionalFormatting>
  <conditionalFormatting sqref="J25">
    <cfRule type="cellIs" dxfId="3181" priority="149" stopIfTrue="1" operator="lessThan">
      <formula>96.8</formula>
    </cfRule>
    <cfRule type="cellIs" dxfId="3180" priority="150" stopIfTrue="1" operator="greaterThan">
      <formula>100</formula>
    </cfRule>
    <cfRule type="cellIs" dxfId="3179" priority="151" operator="lessThan">
      <formula>98</formula>
    </cfRule>
  </conditionalFormatting>
  <conditionalFormatting sqref="J25:J27">
    <cfRule type="cellIs" dxfId="3178" priority="148" operator="lessThan">
      <formula>97.4</formula>
    </cfRule>
  </conditionalFormatting>
  <conditionalFormatting sqref="J28:J29">
    <cfRule type="cellIs" dxfId="3177" priority="152" operator="lessThan">
      <formula>98</formula>
    </cfRule>
  </conditionalFormatting>
  <conditionalFormatting sqref="J30:J31">
    <cfRule type="cellIs" dxfId="3176" priority="153" stopIfTrue="1" operator="lessThan">
      <formula>96.8</formula>
    </cfRule>
    <cfRule type="cellIs" dxfId="3175" priority="154" stopIfTrue="1" operator="greaterThan">
      <formula>100</formula>
    </cfRule>
  </conditionalFormatting>
  <conditionalFormatting sqref="J30:J32">
    <cfRule type="cellIs" dxfId="3174" priority="155" operator="lessThan">
      <formula>98</formula>
    </cfRule>
  </conditionalFormatting>
  <conditionalFormatting sqref="J61">
    <cfRule type="cellIs" dxfId="3173" priority="102" stopIfTrue="1" operator="greaterThan">
      <formula>#REF!</formula>
    </cfRule>
    <cfRule type="cellIs" dxfId="3172" priority="101" stopIfTrue="1" operator="lessThanOrEqual">
      <formula>0</formula>
    </cfRule>
    <cfRule type="cellIs" dxfId="3171" priority="99" stopIfTrue="1" operator="lessThanOrEqual">
      <formula>0</formula>
    </cfRule>
    <cfRule type="cellIs" dxfId="3170" priority="100" stopIfTrue="1" operator="greaterThan">
      <formula>#REF!</formula>
    </cfRule>
    <cfRule type="cellIs" dxfId="3169" priority="98" stopIfTrue="1" operator="greaterThan">
      <formula>#REF!</formula>
    </cfRule>
    <cfRule type="cellIs" dxfId="3168" priority="105" stopIfTrue="1" operator="lessThanOrEqual">
      <formula>0</formula>
    </cfRule>
    <cfRule type="cellIs" dxfId="3167" priority="104" stopIfTrue="1" operator="greaterThan">
      <formula>#REF!</formula>
    </cfRule>
    <cfRule type="cellIs" dxfId="3166" priority="103" stopIfTrue="1" operator="lessThanOrEqual">
      <formula>0</formula>
    </cfRule>
  </conditionalFormatting>
  <conditionalFormatting sqref="J74">
    <cfRule type="cellIs" dxfId="3165" priority="32" stopIfTrue="1" operator="lessThanOrEqual">
      <formula>0</formula>
    </cfRule>
    <cfRule type="cellIs" dxfId="3164" priority="31" stopIfTrue="1" operator="greaterThan">
      <formula>$F74</formula>
    </cfRule>
  </conditionalFormatting>
  <conditionalFormatting sqref="K10:K20">
    <cfRule type="cellIs" dxfId="3163" priority="5" operator="greaterThan">
      <formula>6.4</formula>
    </cfRule>
    <cfRule type="cellIs" dxfId="3162" priority="4" operator="lessThan">
      <formula>4</formula>
    </cfRule>
    <cfRule type="cellIs" dxfId="3161" priority="3" operator="greaterThan">
      <formula>6</formula>
    </cfRule>
  </conditionalFormatting>
  <conditionalFormatting sqref="K52:K61">
    <cfRule type="cellIs" dxfId="3160" priority="81" stopIfTrue="1" operator="lessThan">
      <formula>100%</formula>
    </cfRule>
  </conditionalFormatting>
  <conditionalFormatting sqref="K65:K73">
    <cfRule type="cellIs" dxfId="3159" priority="19" stopIfTrue="1" operator="lessThan">
      <formula>100%</formula>
    </cfRule>
  </conditionalFormatting>
  <conditionalFormatting sqref="K76:K81">
    <cfRule type="cellIs" dxfId="3158" priority="175" stopIfTrue="1" operator="lessThan">
      <formula>100%</formula>
    </cfRule>
  </conditionalFormatting>
  <conditionalFormatting sqref="K83:K84">
    <cfRule type="cellIs" dxfId="3157" priority="182" stopIfTrue="1" operator="lessThan">
      <formula>100%</formula>
    </cfRule>
  </conditionalFormatting>
  <conditionalFormatting sqref="L10:L20">
    <cfRule type="cellIs" dxfId="3156" priority="6" operator="between">
      <formula>61</formula>
      <formula>65</formula>
    </cfRule>
    <cfRule type="cellIs" dxfId="3155" priority="7" operator="greaterThan">
      <formula>65</formula>
    </cfRule>
  </conditionalFormatting>
  <conditionalFormatting sqref="L23:M34">
    <cfRule type="cellIs" dxfId="3154" priority="95" operator="lessThan">
      <formula>97.95</formula>
    </cfRule>
  </conditionalFormatting>
  <conditionalFormatting sqref="L38:N38">
    <cfRule type="cellIs" dxfId="3153" priority="60" operator="notEqual">
      <formula>#REF!</formula>
    </cfRule>
  </conditionalFormatting>
  <conditionalFormatting sqref="L65:N74">
    <cfRule type="cellIs" dxfId="3152" priority="14" stopIfTrue="1" operator="lessThan">
      <formula>100%</formula>
    </cfRule>
  </conditionalFormatting>
  <conditionalFormatting sqref="L76:N84">
    <cfRule type="cellIs" dxfId="3151" priority="160" stopIfTrue="1" operator="lessThan">
      <formula>100%</formula>
    </cfRule>
  </conditionalFormatting>
  <conditionalFormatting sqref="M10:M17">
    <cfRule type="expression" dxfId="3150" priority="12">
      <formula>IF(+(IF(M10&lt;U10,0,IF(M10&gt;V10,0,1)))=0,1)</formula>
    </cfRule>
  </conditionalFormatting>
  <conditionalFormatting sqref="M18:N20">
    <cfRule type="expression" dxfId="3149" priority="53">
      <formula>IF(+(IF(M18&lt;#REF!,0,IF(M18&gt;#REF!,0,1)))=0,1)</formula>
    </cfRule>
  </conditionalFormatting>
  <conditionalFormatting sqref="N10:N17">
    <cfRule type="expression" dxfId="3148" priority="11">
      <formula>IF(+(IF(N10&lt;W10,0,IF(N10&gt;X10,0,1)))=0,1)</formula>
    </cfRule>
  </conditionalFormatting>
  <conditionalFormatting sqref="P6">
    <cfRule type="cellIs" dxfId="3147" priority="156" operator="greaterThanOrEqual">
      <formula>19</formula>
    </cfRule>
  </conditionalFormatting>
  <dataValidations count="1">
    <dataValidation type="list" allowBlank="1" showInputMessage="1" showErrorMessage="1" sqref="R8" xr:uid="{53C7B512-3D53-48FD-84F0-2ACEFB46FDE3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7A91-2056-412F-9CCB-0D2825453122}">
  <sheetPr>
    <pageSetUpPr fitToPage="1"/>
  </sheetPr>
  <dimension ref="A1:BE73"/>
  <sheetViews>
    <sheetView topLeftCell="A9" zoomScale="70" zoomScaleNormal="70" workbookViewId="0">
      <selection activeCell="G33" sqref="G33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46181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s="499" customFormat="1" ht="15">
      <c r="B10" s="489" t="s">
        <v>9</v>
      </c>
      <c r="C10" s="490" t="str">
        <f>[4]Brewhouse!$A251</f>
        <v>ST196</v>
      </c>
      <c r="D10" s="491">
        <f>[4]Brewhouse!$AB251</f>
        <v>53.1</v>
      </c>
      <c r="E10" s="491">
        <f>[4]Brewhouse!$AG251</f>
        <v>48.32</v>
      </c>
      <c r="F10" s="492">
        <f>[4]Brewhouse!$V251</f>
        <v>87</v>
      </c>
      <c r="G10" s="491">
        <f>[4]Brewhouse!$AE251</f>
        <v>11.9</v>
      </c>
      <c r="H10" s="491"/>
      <c r="I10" s="493">
        <f>[4]Brewhouse!$AS251</f>
        <v>96.358168532830376</v>
      </c>
      <c r="J10" s="493">
        <f>[4]Brewhouse!$AT251</f>
        <v>97.020451087425599</v>
      </c>
      <c r="K10" s="494">
        <f>[4]Brewhouse!$Q251</f>
        <v>11.064030131826742</v>
      </c>
      <c r="L10" s="495">
        <f>[4]Brewhouse!$P251</f>
        <v>62</v>
      </c>
      <c r="M10" s="496">
        <f>[4]Brewhouse!$U251-[4]Brewhouse!$T251</f>
        <v>0.13819444444444445</v>
      </c>
      <c r="N10" s="496">
        <f>[4]Brewhouse!$AW251</f>
        <v>0.28402777777777777</v>
      </c>
      <c r="O10" s="497" t="str">
        <f>[4]Brewhouse!$AV251</f>
        <v xml:space="preserve">R.Regis </v>
      </c>
      <c r="P10" s="498" t="s">
        <v>171</v>
      </c>
      <c r="R10" s="500" t="str">
        <f t="shared" ref="R10:R14" si="0">B10</f>
        <v>STAG</v>
      </c>
      <c r="S10" s="501">
        <f t="shared" ref="S10:S14" si="1">VLOOKUP($B10,$R$3:$X$9,2,FALSE)</f>
        <v>11.6</v>
      </c>
      <c r="T10" s="501">
        <f t="shared" ref="T10:T14" si="2">VLOOKUP($B10,$R$3:$X$9,3,FALSE)</f>
        <v>12</v>
      </c>
      <c r="U10" s="502">
        <f t="shared" ref="U10:U14" si="3">VLOOKUP($B10,$R$3:$X$9,4,FALSE)</f>
        <v>0</v>
      </c>
      <c r="V10" s="502">
        <f t="shared" ref="V10:V14" si="4">VLOOKUP($B10,$R$3:$X$9,5,FALSE)</f>
        <v>0.118055555555556</v>
      </c>
      <c r="W10" s="502">
        <f t="shared" ref="W10:W14" si="5">VLOOKUP($B10,$R$3:$X$9,6,FALSE)</f>
        <v>0.22569444444444445</v>
      </c>
      <c r="X10" s="502">
        <f t="shared" ref="X10:X14" si="6">VLOOKUP($B10,$R$3:$X$9,7,FALSE)</f>
        <v>0.2638888888888889</v>
      </c>
      <c r="Y10" s="502">
        <f t="shared" ref="Y10:Y14" si="7">VLOOKUP($B10,$R$3:$Z$9,8,FALSE)</f>
        <v>0</v>
      </c>
      <c r="Z10" s="501">
        <f t="shared" ref="Z10:Z14" si="8">VLOOKUP($B10,$R$3:$Z$9,9,FALSE)</f>
        <v>60</v>
      </c>
    </row>
    <row r="11" spans="2:29" ht="15">
      <c r="B11" s="33" t="s">
        <v>9</v>
      </c>
      <c r="C11" s="366" t="str">
        <f>[4]Brewhouse!$A252</f>
        <v>ST197</v>
      </c>
      <c r="D11" s="279">
        <f>[4]Brewhouse!$AB252</f>
        <v>53.1</v>
      </c>
      <c r="E11" s="279">
        <f>[4]Brewhouse!$AG252</f>
        <v>49</v>
      </c>
      <c r="F11" s="278">
        <f>[4]Brewhouse!$V252</f>
        <v>64</v>
      </c>
      <c r="G11" s="279">
        <f>[4]Brewhouse!$AE252</f>
        <v>12</v>
      </c>
      <c r="H11" s="396">
        <v>12.1</v>
      </c>
      <c r="I11" s="368">
        <f>[4]Brewhouse!$AS252</f>
        <v>99.198581391944401</v>
      </c>
      <c r="J11" s="368">
        <f>[4]Brewhouse!$AT252</f>
        <v>99.879263329087635</v>
      </c>
      <c r="K11" s="281">
        <f>[4]Brewhouse!$Q252</f>
        <v>16.337099811676076</v>
      </c>
      <c r="L11" s="276">
        <f>[4]Brewhouse!$P252</f>
        <v>61</v>
      </c>
      <c r="M11" s="374">
        <f>[4]Brewhouse!$U252-[4]Brewhouse!$T252</f>
        <v>0.16527777777777786</v>
      </c>
      <c r="N11" s="370">
        <f>[4]Brewhouse!$AW252</f>
        <v>0.30208333333333337</v>
      </c>
      <c r="O11" s="371" t="str">
        <f>[4]Brewhouse!$AV252</f>
        <v xml:space="preserve">R.Regis 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33" t="s">
        <v>9</v>
      </c>
      <c r="C12" s="366" t="str">
        <f>[4]Brewhouse!$A253</f>
        <v>ST198</v>
      </c>
      <c r="D12" s="279">
        <f>[4]Brewhouse!$AB253</f>
        <v>53.1</v>
      </c>
      <c r="E12" s="279">
        <f>[4]Brewhouse!$AG253</f>
        <v>50</v>
      </c>
      <c r="F12" s="278">
        <f>[4]Brewhouse!$V253</f>
        <v>66</v>
      </c>
      <c r="G12" s="279">
        <f>[4]Brewhouse!$AE253</f>
        <v>11.8</v>
      </c>
      <c r="H12" s="396">
        <v>11.8</v>
      </c>
      <c r="I12" s="368">
        <f>[4]Brewhouse!$AS253</f>
        <v>99.450027165653339</v>
      </c>
      <c r="J12" s="368">
        <f>[4]Brewhouse!$AT253</f>
        <v>100.13243447622362</v>
      </c>
      <c r="K12" s="281">
        <f>[4]Brewhouse!$Q253</f>
        <v>12.382297551789083</v>
      </c>
      <c r="L12" s="276">
        <f>[4]Brewhouse!$P253</f>
        <v>58</v>
      </c>
      <c r="M12" s="374">
        <f>[4]Brewhouse!$U253-[4]Brewhouse!$T253</f>
        <v>0.10277777777777775</v>
      </c>
      <c r="N12" s="370">
        <f>[4]Brewhouse!$AW253</f>
        <v>0.24097222222222225</v>
      </c>
      <c r="O12" s="371" t="str">
        <f>[4]Brewhouse!$AV253</f>
        <v>R.Sookram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33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18"/>
      <c r="R13" s="277">
        <f t="shared" si="0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5" hidden="1">
      <c r="B14" s="33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5" hidden="1">
      <c r="B15" s="33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ref="R15:R33" si="9">B15</f>
        <v>0</v>
      </c>
      <c r="S15" s="472" t="e">
        <f t="shared" ref="S15:S33" si="10">VLOOKUP($B15,$R$3:$X$9,2,FALSE)</f>
        <v>#N/A</v>
      </c>
      <c r="T15" s="472" t="e">
        <f t="shared" ref="T15:T33" si="11">VLOOKUP($B15,$R$3:$X$9,3,FALSE)</f>
        <v>#N/A</v>
      </c>
      <c r="U15" s="297" t="e">
        <f t="shared" ref="U15:U33" si="12">VLOOKUP($B15,$R$3:$X$9,4,FALSE)</f>
        <v>#N/A</v>
      </c>
      <c r="V15" s="297" t="e">
        <f t="shared" ref="V15:V33" si="13">VLOOKUP($B15,$R$3:$X$9,5,FALSE)</f>
        <v>#N/A</v>
      </c>
      <c r="W15" s="297" t="e">
        <f t="shared" ref="W15:W33" si="14">VLOOKUP($B15,$R$3:$X$9,6,FALSE)</f>
        <v>#N/A</v>
      </c>
      <c r="X15" s="297" t="e">
        <f t="shared" ref="X15:X33" si="15">VLOOKUP($B15,$R$3:$X$9,7,FALSE)</f>
        <v>#N/A</v>
      </c>
      <c r="Y15" s="297" t="e">
        <f t="shared" ref="Y15:Y33" si="16">VLOOKUP($B15,$R$3:$Z$9,8,FALSE)</f>
        <v>#N/A</v>
      </c>
      <c r="Z15" s="472" t="e">
        <f t="shared" ref="Z15:Z33" si="17">VLOOKUP($B15,$R$3:$Z$9,9,FALSE)</f>
        <v>#N/A</v>
      </c>
    </row>
    <row r="16" spans="2:29" ht="18" hidden="1" customHeight="1">
      <c r="B16" s="33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9"/>
        <v>0</v>
      </c>
      <c r="S16" s="472" t="e">
        <f t="shared" si="10"/>
        <v>#N/A</v>
      </c>
      <c r="T16" s="472" t="e">
        <f t="shared" si="11"/>
        <v>#N/A</v>
      </c>
      <c r="U16" s="297" t="e">
        <f t="shared" si="12"/>
        <v>#N/A</v>
      </c>
      <c r="V16" s="297" t="e">
        <f t="shared" si="13"/>
        <v>#N/A</v>
      </c>
      <c r="W16" s="297" t="e">
        <f t="shared" si="14"/>
        <v>#N/A</v>
      </c>
      <c r="X16" s="297" t="e">
        <f t="shared" si="15"/>
        <v>#N/A</v>
      </c>
      <c r="Y16" s="297" t="e">
        <f t="shared" si="16"/>
        <v>#N/A</v>
      </c>
      <c r="Z16" s="472" t="e">
        <f t="shared" si="17"/>
        <v>#N/A</v>
      </c>
    </row>
    <row r="17" spans="1:27" ht="18" hidden="1" customHeight="1">
      <c r="B17" s="29"/>
      <c r="C17" s="366"/>
      <c r="D17" s="279"/>
      <c r="E17" s="279"/>
      <c r="F17" s="278"/>
      <c r="G17" s="279"/>
      <c r="H17" s="481"/>
      <c r="I17" s="368"/>
      <c r="J17" s="368"/>
      <c r="K17" s="281"/>
      <c r="L17" s="276"/>
      <c r="M17" s="374"/>
      <c r="N17" s="370"/>
      <c r="O17" s="371"/>
      <c r="P17" s="418"/>
      <c r="R17" s="277">
        <f t="shared" si="9"/>
        <v>0</v>
      </c>
      <c r="S17" s="472" t="e">
        <f t="shared" si="10"/>
        <v>#N/A</v>
      </c>
      <c r="T17" s="472" t="e">
        <f t="shared" si="11"/>
        <v>#N/A</v>
      </c>
      <c r="U17" s="297" t="e">
        <f t="shared" si="12"/>
        <v>#N/A</v>
      </c>
      <c r="V17" s="297" t="e">
        <f t="shared" si="13"/>
        <v>#N/A</v>
      </c>
      <c r="W17" s="297" t="e">
        <f t="shared" si="14"/>
        <v>#N/A</v>
      </c>
      <c r="X17" s="297" t="e">
        <f t="shared" si="15"/>
        <v>#N/A</v>
      </c>
      <c r="Y17" s="297" t="e">
        <f t="shared" si="16"/>
        <v>#N/A</v>
      </c>
      <c r="Z17" s="472" t="e">
        <f t="shared" si="17"/>
        <v>#N/A</v>
      </c>
    </row>
    <row r="18" spans="1:27" ht="18" hidden="1" customHeight="1">
      <c r="B18" s="29"/>
      <c r="C18" s="366"/>
      <c r="D18" s="279"/>
      <c r="E18" s="279"/>
      <c r="F18" s="278"/>
      <c r="G18" s="279"/>
      <c r="H18" s="481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0"/>
        <v>#N/A</v>
      </c>
      <c r="T18" s="472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472" t="e">
        <f t="shared" si="17"/>
        <v>#N/A</v>
      </c>
    </row>
    <row r="19" spans="1:27" ht="16.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8"/>
      <c r="R19" s="277">
        <f t="shared" si="9"/>
        <v>0</v>
      </c>
      <c r="S19" s="472" t="e">
        <f t="shared" si="10"/>
        <v>#N/A</v>
      </c>
      <c r="T19" s="472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2" t="e">
        <f t="shared" si="17"/>
        <v>#N/A</v>
      </c>
    </row>
    <row r="20" spans="1:27" ht="15.75" customHeight="1" thickBot="1">
      <c r="B20" s="358"/>
      <c r="C20" s="358"/>
      <c r="D20" s="358"/>
      <c r="E20" s="358"/>
      <c r="F20" s="294"/>
      <c r="G20" s="294"/>
      <c r="H20" s="348"/>
      <c r="I20" s="544"/>
      <c r="J20" s="544"/>
      <c r="K20" s="544"/>
      <c r="L20" s="544"/>
      <c r="M20" s="544"/>
      <c r="N20" s="544"/>
      <c r="O20" s="1"/>
      <c r="P20" s="12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5.75" customHeight="1" thickBot="1">
      <c r="B21" s="388" t="s">
        <v>162</v>
      </c>
      <c r="C21" s="388"/>
      <c r="D21" s="545" t="s">
        <v>35</v>
      </c>
      <c r="E21" s="546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9"/>
        <v xml:space="preserve">BRAND 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5" customHeight="1">
      <c r="A22" s="28"/>
      <c r="B22" s="530"/>
      <c r="C22" s="362"/>
      <c r="D22" s="548"/>
      <c r="E22" s="549"/>
      <c r="F22" s="294"/>
      <c r="G22" s="294"/>
      <c r="H22" s="348"/>
      <c r="I22" s="29" t="s">
        <v>6</v>
      </c>
      <c r="J22" s="323"/>
      <c r="K22" s="284">
        <f>COUNTA([3]Brewhouse!$A$441:$A$448)</f>
        <v>8</v>
      </c>
      <c r="L22" s="305">
        <f>AVERAGE([3]Brewhouse!$AU$441:$AU$448)</f>
        <v>99.348146788195805</v>
      </c>
      <c r="M22" s="305">
        <f>AVERAGE([3]Brewhouse!$AU$42:$AU$123,[3]Brewhouse!$AU$125:$AU$188,[3]Brewhouse!$AU$198:$AU$290,[3]Brewhouse!$AU$292:$AU$370,[3]Brewhouse!$AU$372:$AU$439,[3]Brewhouse!$AU$441:$AU$448)</f>
        <v>98.002582503921104</v>
      </c>
      <c r="N22" s="30">
        <v>98</v>
      </c>
      <c r="O22" s="11"/>
      <c r="P22" s="31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5" customHeight="1">
      <c r="A23" s="28"/>
      <c r="B23" s="531"/>
      <c r="C23" s="362"/>
      <c r="D23" s="550"/>
      <c r="E23" s="536"/>
      <c r="F23" s="294"/>
      <c r="G23" s="294"/>
      <c r="H23" s="348"/>
      <c r="I23" s="33" t="s">
        <v>9</v>
      </c>
      <c r="J23" s="323">
        <f>AVERAGE(I11:I12)</f>
        <v>99.324304278798877</v>
      </c>
      <c r="K23" s="284">
        <f>COUNTA([4]Brewhouse!$A$252:$A$253)</f>
        <v>2</v>
      </c>
      <c r="L23" s="302">
        <f>AVERAGE([4]Brewhouse!$AS$252:$AS$253)</f>
        <v>99.324304278798877</v>
      </c>
      <c r="M23" s="302">
        <f>AVERAGE([4]Brewhouse!$AS$52:$AS$81,[4]Brewhouse!$AS$83:$AS$124,[4]Brewhouse!$AS$134:$AS$177,[4]Brewhouse!$AS$22:$AS$179,[4]Brewhouse!$AS$214:$AS$249,[4]Brewhouse!$AS$252:$AS$253)</f>
        <v>97.98561093222601</v>
      </c>
      <c r="N23" s="30">
        <v>98</v>
      </c>
      <c r="O23" s="11"/>
      <c r="P23" s="31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4.65" customHeight="1">
      <c r="A24" s="28"/>
      <c r="B24" s="531"/>
      <c r="C24" s="362"/>
      <c r="D24" s="540"/>
      <c r="E24" s="541"/>
      <c r="F24" s="294"/>
      <c r="G24" s="294"/>
      <c r="H24" s="348"/>
      <c r="I24" s="34" t="s">
        <v>12</v>
      </c>
      <c r="J24" s="280"/>
      <c r="K24" s="284">
        <f>COUNTA([5]Brewhouse!$A$62:$A$69)</f>
        <v>8</v>
      </c>
      <c r="L24" s="302">
        <f>AVERAGE([5]Brewhouse!$AU$62:$AU$69)</f>
        <v>95.865325586732524</v>
      </c>
      <c r="M24" s="302">
        <f>AVERAGE([5]Brewhouse!$AU$16:$AU$23,[5]Brewhouse!$AU$25:$AU$32,[5]Brewhouse!$AU$34:$AU$41,[5]Brewhouse!$AU$43:$AU$60,[5]Brewhouse!$AU$62:$AU$69)</f>
        <v>96.726835550404019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4.65" customHeight="1">
      <c r="A25" s="28"/>
      <c r="B25" s="531"/>
      <c r="C25" s="362"/>
      <c r="D25" s="535"/>
      <c r="E25" s="536"/>
      <c r="F25" s="294"/>
      <c r="G25" s="294"/>
      <c r="H25" s="348"/>
      <c r="I25" s="22" t="s">
        <v>33</v>
      </c>
      <c r="J25" s="280"/>
      <c r="K25" s="284"/>
      <c r="L25" s="302"/>
      <c r="M25" s="302">
        <f>AVERAGE([6]Brewhouse!$AV$23:$AV$34,[6]Brewhouse!$AV$36,[6]Brewhouse!$AV$38:$AV$52,[6]Brewhouse!$AV$54:$AV$60,[6]Brewhouse!$AV$62:$AV$68)</f>
        <v>97.579195177204838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1"/>
      <c r="C26" s="362"/>
      <c r="D26" s="540"/>
      <c r="E26" s="541"/>
      <c r="F26" s="417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1"/>
      <c r="C27" s="362"/>
      <c r="D27" s="535"/>
      <c r="E27" s="536"/>
      <c r="F27" s="417"/>
      <c r="G27" s="294"/>
      <c r="H27" s="348"/>
      <c r="I27" s="36" t="s">
        <v>15</v>
      </c>
      <c r="J27" s="323"/>
      <c r="K27" s="284"/>
      <c r="L27" s="302"/>
      <c r="M27" s="302">
        <f>AVERAGE([7]Brewhouse!$AT$4:$AT$11,[7]Brewhouse!$AT$13:$AT$16)</f>
        <v>91.538375374138752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1"/>
      <c r="C28" s="362"/>
      <c r="D28" s="540"/>
      <c r="E28" s="541"/>
      <c r="F28" s="417"/>
      <c r="G28" s="294"/>
      <c r="H28" s="348"/>
      <c r="I28" s="37" t="s">
        <v>16</v>
      </c>
      <c r="J28" s="323"/>
      <c r="K28" s="284"/>
      <c r="L28" s="302"/>
      <c r="M28" s="302">
        <f>AVERAGE([8]Brewhouse!$AY$5:$AY$14,[8]Brewhouse!$AY$16:$AY$23,[8]Brewhouse!$AY$42,[8]Brewhouse!$AY$44:$AY$51,[8]Brewhouse!$AY$53:$AY$64)</f>
        <v>97.359350085271998</v>
      </c>
      <c r="N28" s="30">
        <v>98</v>
      </c>
      <c r="O28" s="11"/>
      <c r="P28" s="31" t="s">
        <v>41</v>
      </c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1"/>
      <c r="C29" s="362"/>
      <c r="D29" s="535"/>
      <c r="E29" s="536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31"/>
      <c r="C30" s="349"/>
      <c r="D30" s="540"/>
      <c r="E30" s="541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  <c r="AA30" s="472"/>
    </row>
    <row r="31" spans="1:27" ht="15" customHeight="1" thickBot="1">
      <c r="A31" s="28"/>
      <c r="B31" s="531"/>
      <c r="C31" s="349"/>
      <c r="D31" s="535"/>
      <c r="E31" s="536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  <c r="AA31" s="472"/>
    </row>
    <row r="32" spans="1:27" ht="15" customHeight="1" thickBot="1">
      <c r="A32" s="28"/>
      <c r="B32" s="531"/>
      <c r="C32" s="349"/>
      <c r="D32" s="548"/>
      <c r="E32" s="549"/>
      <c r="F32" s="294"/>
      <c r="G32" s="294"/>
      <c r="H32" s="348"/>
      <c r="I32" s="1"/>
      <c r="J32" s="39"/>
      <c r="K32" s="404">
        <f>SUM(K22:K31)</f>
        <v>18</v>
      </c>
      <c r="L32" s="405">
        <f>((L22*K22)+(L23*K23)+(L24*K24)+(L25*K25)+(L26*K26)+(K29*L29)+(L27*K27)+(L28*K28)+(L31*K31))/(K32)</f>
        <v>97.797577086501349</v>
      </c>
      <c r="M32" s="405">
        <f>AVERAGE('[9]Jan30th-31st'!$L$42,L32)</f>
        <v>97.812809411171401</v>
      </c>
      <c r="N32" s="4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2:56" ht="15.75" thickBot="1">
      <c r="B33" s="547"/>
      <c r="C33" s="350"/>
      <c r="D33" s="550"/>
      <c r="E33" s="536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2:56" ht="15.75" thickBot="1">
      <c r="B34" s="530"/>
      <c r="C34" s="362"/>
      <c r="D34" s="533"/>
      <c r="E34" s="534"/>
      <c r="F34" s="294"/>
      <c r="G34" s="42"/>
      <c r="H34" s="41"/>
      <c r="I34" s="42"/>
      <c r="J34" s="537" t="s">
        <v>129</v>
      </c>
      <c r="K34" s="537"/>
      <c r="L34" s="294"/>
      <c r="M34" s="294"/>
      <c r="N34" s="294"/>
      <c r="O34" s="294"/>
      <c r="P34" s="12"/>
    </row>
    <row r="35" spans="2:56" ht="15.75" thickBot="1">
      <c r="B35" s="531"/>
      <c r="C35" s="362"/>
      <c r="D35" s="535"/>
      <c r="E35" s="536"/>
      <c r="F35" s="294"/>
      <c r="G35" s="42"/>
      <c r="H35" s="42"/>
      <c r="I35" s="42"/>
      <c r="J35" s="292" t="s">
        <v>17</v>
      </c>
      <c r="K35" s="293" t="s">
        <v>170</v>
      </c>
      <c r="L35" s="538" t="s">
        <v>136</v>
      </c>
      <c r="M35" s="538"/>
      <c r="N35" s="539"/>
      <c r="O35" s="294"/>
      <c r="P35" s="12"/>
    </row>
    <row r="36" spans="2:56" ht="15" customHeight="1" thickBot="1">
      <c r="B36" s="531"/>
      <c r="C36" s="349"/>
      <c r="D36" s="540"/>
      <c r="E36" s="541"/>
      <c r="F36" s="294"/>
      <c r="G36" s="42"/>
      <c r="H36" s="42"/>
      <c r="I36" s="42"/>
      <c r="J36" s="287" t="s">
        <v>6</v>
      </c>
      <c r="K36" s="324"/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31"/>
      <c r="C37" s="349"/>
      <c r="D37" s="535"/>
      <c r="E37" s="536"/>
      <c r="F37" s="294"/>
      <c r="G37" s="42"/>
      <c r="H37" s="42"/>
      <c r="I37" s="42"/>
      <c r="J37" s="345" t="s">
        <v>9</v>
      </c>
      <c r="K37" s="324">
        <v>2</v>
      </c>
      <c r="L37" s="344">
        <f>AVERAGE('June 2nd'!K44,'June 3rd'!K52,'June 4th'!K47,K46)</f>
        <v>4.5</v>
      </c>
      <c r="M37" s="325">
        <f>AVERAGE('[9]Jan30th-31st'!$L$47,L37,'[10]Feb 26th '!$L$39,'[11]Mar 31st'!$L$47,'[12]Apr 30th'!$L$46,'[13]May 29th '!$L$40)</f>
        <v>6.0213109354413703</v>
      </c>
      <c r="N37" s="416">
        <v>9.1999999999999993</v>
      </c>
      <c r="O37" s="294"/>
      <c r="P37" s="12"/>
    </row>
    <row r="38" spans="2:56" ht="15" customHeight="1">
      <c r="B38" s="531"/>
      <c r="C38" s="349"/>
      <c r="D38" s="540"/>
      <c r="E38" s="541"/>
      <c r="F38" s="294"/>
      <c r="G38" s="42"/>
      <c r="H38" s="42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31"/>
      <c r="C39" s="349"/>
      <c r="D39" s="535"/>
      <c r="E39" s="536"/>
      <c r="F39" s="294"/>
      <c r="G39" s="42"/>
      <c r="H39" s="42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5">
      <c r="B40" s="531"/>
      <c r="C40" s="349"/>
      <c r="D40" s="540"/>
      <c r="E40" s="541"/>
      <c r="F40" s="294"/>
      <c r="G40" s="42"/>
      <c r="H40" s="42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31"/>
      <c r="C41" s="349"/>
      <c r="D41" s="535"/>
      <c r="E41" s="536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31"/>
      <c r="C42" s="349"/>
      <c r="D42" s="540"/>
      <c r="E42" s="541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32"/>
      <c r="C43" s="350"/>
      <c r="D43" s="542"/>
      <c r="E43" s="543"/>
      <c r="F43" s="294" t="s">
        <v>166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23"/>
      <c r="E44" s="524"/>
      <c r="F44" s="294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2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294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15" t="s">
        <v>17</v>
      </c>
      <c r="C49" s="515" t="s">
        <v>44</v>
      </c>
      <c r="D49" s="526" t="s">
        <v>45</v>
      </c>
      <c r="E49" s="528" t="s">
        <v>46</v>
      </c>
      <c r="F49" s="521" t="s">
        <v>47</v>
      </c>
      <c r="G49" s="513" t="s">
        <v>48</v>
      </c>
      <c r="H49" s="515" t="s">
        <v>49</v>
      </c>
      <c r="I49" s="515" t="s">
        <v>50</v>
      </c>
      <c r="J49" s="507" t="s">
        <v>28</v>
      </c>
      <c r="K49" s="517" t="s">
        <v>51</v>
      </c>
      <c r="L49" s="519" t="s">
        <v>52</v>
      </c>
      <c r="M49" s="507" t="s">
        <v>53</v>
      </c>
      <c r="N49" s="13"/>
      <c r="O49" s="13"/>
      <c r="P49" s="50"/>
    </row>
    <row r="50" spans="2:57" ht="28.5" customHeight="1" thickTop="1" thickBot="1">
      <c r="B50" s="516"/>
      <c r="C50" s="525"/>
      <c r="D50" s="527"/>
      <c r="E50" s="529"/>
      <c r="F50" s="522"/>
      <c r="G50" s="514"/>
      <c r="H50" s="516"/>
      <c r="I50" s="516"/>
      <c r="J50" s="508"/>
      <c r="K50" s="518"/>
      <c r="L50" s="520"/>
      <c r="M50" s="508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2:57" s="54" customFormat="1" ht="36.75" customHeight="1" thickBot="1">
      <c r="B51" s="484"/>
      <c r="C51" s="479"/>
      <c r="D51" s="445"/>
      <c r="E51" s="443"/>
      <c r="F51" s="444"/>
      <c r="G51" s="445"/>
      <c r="H51" s="458"/>
      <c r="I51" s="458"/>
      <c r="J51" s="448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[16]January_2019!L5</f>
        <v>0</v>
      </c>
      <c r="AC51" s="57">
        <f>[16]January_2019!M5</f>
        <v>0</v>
      </c>
      <c r="AD51" s="57">
        <f>[16]January_2019!N5</f>
        <v>0</v>
      </c>
      <c r="AE51" s="57">
        <f>[16]January_2019!O5</f>
        <v>0</v>
      </c>
      <c r="AF51" s="57">
        <f>[16]January_2019!P5</f>
        <v>0</v>
      </c>
      <c r="AG51" s="57">
        <f>[16]January_2019!Q5</f>
        <v>0</v>
      </c>
      <c r="AH51" s="57">
        <f>[16]January_2019!R5</f>
        <v>0</v>
      </c>
      <c r="AI51" s="57">
        <f>[16]January_2019!S5</f>
        <v>0</v>
      </c>
      <c r="AJ51" s="57">
        <f>[16]January_2019!T5</f>
        <v>0</v>
      </c>
      <c r="AK51" s="57">
        <f>[16]January_2019!U5</f>
        <v>0</v>
      </c>
      <c r="AL51" s="57">
        <f>[16]January_2019!V5</f>
        <v>0</v>
      </c>
      <c r="AM51" s="57">
        <f>[16]January_2019!W5</f>
        <v>0</v>
      </c>
      <c r="AN51" s="57">
        <f>[16]January_2019!X5</f>
        <v>0</v>
      </c>
      <c r="AO51" s="57">
        <f>[16]January_2019!Y5</f>
        <v>0</v>
      </c>
      <c r="AP51" s="57">
        <f>[16]January_2019!Z5</f>
        <v>0</v>
      </c>
      <c r="AQ51" s="57">
        <f>[16]January_2019!AA5</f>
        <v>0</v>
      </c>
      <c r="AR51" s="57">
        <f>[16]January_2019!AB5</f>
        <v>0</v>
      </c>
      <c r="AS51" s="57">
        <f>[16]January_2019!AC5</f>
        <v>0</v>
      </c>
      <c r="AT51" s="57">
        <f>[16]January_2019!AD5</f>
        <v>0</v>
      </c>
      <c r="AU51" s="57">
        <f>[16]January_2019!AE5</f>
        <v>0</v>
      </c>
      <c r="AV51" s="57">
        <f>[16]January_2019!AF5</f>
        <v>0</v>
      </c>
      <c r="AW51" s="57">
        <f>[16]January_2019!AG5</f>
        <v>0</v>
      </c>
      <c r="AX51" s="277">
        <f>[16]January_2019!AH5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4.25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[16]January_2019!L6</f>
        <v>0</v>
      </c>
      <c r="AC52" s="57">
        <f>[16]January_2019!M6</f>
        <v>0</v>
      </c>
      <c r="AD52" s="57">
        <f>[16]January_2019!N6</f>
        <v>0</v>
      </c>
      <c r="AE52" s="57">
        <f>[16]January_2019!O6</f>
        <v>0</v>
      </c>
      <c r="AF52" s="57">
        <f>[16]January_2019!P6</f>
        <v>0</v>
      </c>
      <c r="AG52" s="57">
        <f>[16]January_2019!Q6</f>
        <v>0</v>
      </c>
      <c r="AH52" s="57">
        <f>[16]January_2019!R6</f>
        <v>0</v>
      </c>
      <c r="AI52" s="57">
        <f>[16]January_2019!S6</f>
        <v>0</v>
      </c>
      <c r="AJ52" s="57">
        <f>[16]January_2019!T6</f>
        <v>0</v>
      </c>
      <c r="AK52" s="57">
        <f>[16]January_2019!U6</f>
        <v>0</v>
      </c>
      <c r="AL52" s="57">
        <f>[16]January_2019!V6</f>
        <v>0</v>
      </c>
      <c r="AM52" s="57">
        <f>[16]January_2019!W6</f>
        <v>0</v>
      </c>
      <c r="AN52" s="57">
        <f>[16]January_2019!X6</f>
        <v>0</v>
      </c>
      <c r="AO52" s="57">
        <f>[16]January_2019!Y6</f>
        <v>0</v>
      </c>
      <c r="AP52" s="57">
        <f>[16]January_2019!Z6</f>
        <v>0</v>
      </c>
      <c r="AQ52" s="57">
        <f>[16]January_2019!AA6</f>
        <v>0</v>
      </c>
      <c r="AR52" s="57">
        <f>[16]January_2019!AB6</f>
        <v>0</v>
      </c>
      <c r="AS52" s="57">
        <f>[16]January_2019!AC6</f>
        <v>0</v>
      </c>
      <c r="AT52" s="57">
        <f>[16]January_2019!AD6</f>
        <v>0</v>
      </c>
      <c r="AU52" s="57">
        <f>[16]January_2019!AE6</f>
        <v>0</v>
      </c>
      <c r="AV52" s="57">
        <f>[16]January_2019!AF6</f>
        <v>0</v>
      </c>
      <c r="AW52" s="57">
        <f>[16]January_2019!AG6</f>
        <v>0</v>
      </c>
      <c r="AX52" s="277">
        <f>[16]January_2019!AH6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37.15" hidden="1" customHeight="1" thickBot="1">
      <c r="B53" s="480"/>
      <c r="C53" s="479"/>
      <c r="D53" s="442"/>
      <c r="E53" s="443"/>
      <c r="F53" s="444"/>
      <c r="G53" s="445"/>
      <c r="H53" s="458"/>
      <c r="I53" s="458"/>
      <c r="J53" s="448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[16]January_2019!L7</f>
        <v>285.8</v>
      </c>
      <c r="AC53" s="57">
        <f>[16]January_2019!M7</f>
        <v>508.1</v>
      </c>
      <c r="AD53" s="57">
        <f>[16]January_2019!N7</f>
        <v>0</v>
      </c>
      <c r="AE53" s="57">
        <f>[16]January_2019!O7</f>
        <v>0</v>
      </c>
      <c r="AF53" s="57">
        <f>[16]January_2019!P7</f>
        <v>109.56666666666666</v>
      </c>
      <c r="AG53" s="57">
        <f>[16]January_2019!Q7</f>
        <v>297.64999999999998</v>
      </c>
      <c r="AH53" s="57">
        <f>[16]January_2019!R7</f>
        <v>122.3</v>
      </c>
      <c r="AI53" s="57">
        <f>[16]January_2019!S7</f>
        <v>0</v>
      </c>
      <c r="AJ53" s="57">
        <f>[16]January_2019!T7</f>
        <v>294.7</v>
      </c>
      <c r="AK53" s="57">
        <f>[16]January_2019!U7</f>
        <v>280.5</v>
      </c>
      <c r="AL53" s="57">
        <f>[16]January_2019!V7</f>
        <v>0</v>
      </c>
      <c r="AM53" s="57">
        <f>[16]January_2019!W7</f>
        <v>0</v>
      </c>
      <c r="AN53" s="57">
        <f>[16]January_2019!X7</f>
        <v>188.25</v>
      </c>
      <c r="AO53" s="57">
        <f>[16]January_2019!Y7</f>
        <v>295.7</v>
      </c>
      <c r="AP53" s="57">
        <f>[16]January_2019!Z7</f>
        <v>257.8</v>
      </c>
      <c r="AQ53" s="57">
        <f>[16]January_2019!AA7</f>
        <v>291.2</v>
      </c>
      <c r="AR53" s="57">
        <f>[16]January_2019!AB7</f>
        <v>187</v>
      </c>
      <c r="AS53" s="57">
        <f>[16]January_2019!AC7</f>
        <v>0</v>
      </c>
      <c r="AT53" s="57">
        <f>[16]January_2019!AD7</f>
        <v>0</v>
      </c>
      <c r="AU53" s="57">
        <f>[16]January_2019!AE7</f>
        <v>485.1</v>
      </c>
      <c r="AV53" s="57">
        <f>[16]January_2019!AF7</f>
        <v>171.55</v>
      </c>
      <c r="AW53" s="57">
        <f>[16]January_2019!AG7</f>
        <v>423.8</v>
      </c>
      <c r="AX53" s="277">
        <f>[16]January_2019!AH7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9.5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450000000000003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48"/>
      <c r="K55" s="45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 hidden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84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s="54" customFormat="1" ht="37.15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509" t="s">
        <v>55</v>
      </c>
      <c r="C62" s="510"/>
      <c r="D62" s="510"/>
      <c r="E62" s="510"/>
      <c r="F62" s="511"/>
      <c r="G62" s="509" t="s">
        <v>56</v>
      </c>
      <c r="H62" s="510"/>
      <c r="I62" s="510"/>
      <c r="J62" s="511"/>
      <c r="K62" s="509" t="s">
        <v>51</v>
      </c>
      <c r="L62" s="510"/>
      <c r="M62" s="510"/>
      <c r="N62" s="512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/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/>
      <c r="D64" s="76"/>
      <c r="E64" s="76">
        <v>6.5623673132836648</v>
      </c>
      <c r="F64" s="66">
        <v>4.8</v>
      </c>
      <c r="G64" s="65"/>
      <c r="H64" s="477"/>
      <c r="I64" s="477">
        <v>6.2688670205621344</v>
      </c>
      <c r="J64" s="66">
        <v>4.8</v>
      </c>
      <c r="K64" s="67"/>
      <c r="L64" s="194"/>
      <c r="M64" s="194">
        <v>0.51130548427310263</v>
      </c>
      <c r="N64" s="68">
        <v>1</v>
      </c>
      <c r="O64" s="56"/>
      <c r="P64" s="69"/>
    </row>
    <row r="65" spans="2:16" ht="15">
      <c r="B65" s="33" t="s">
        <v>9</v>
      </c>
      <c r="C65" s="65"/>
      <c r="D65" s="76"/>
      <c r="E65" s="76">
        <v>5.8230180888372871</v>
      </c>
      <c r="F65" s="66">
        <v>4.8</v>
      </c>
      <c r="G65" s="65"/>
      <c r="H65" s="76"/>
      <c r="I65" s="76">
        <v>5.4655642193228315</v>
      </c>
      <c r="J65" s="66">
        <v>4.8</v>
      </c>
      <c r="K65" s="67"/>
      <c r="L65" s="194"/>
      <c r="M65" s="194">
        <v>0.68713504693777017</v>
      </c>
      <c r="N65" s="68">
        <v>1</v>
      </c>
      <c r="P65" s="69"/>
    </row>
    <row r="66" spans="2:16" ht="15">
      <c r="B66" s="34" t="s">
        <v>40</v>
      </c>
      <c r="C66" s="65"/>
      <c r="D66" s="76"/>
      <c r="E66" s="76">
        <v>11.435860710768946</v>
      </c>
      <c r="F66" s="66">
        <v>5.5</v>
      </c>
      <c r="G66" s="65"/>
      <c r="H66" s="76"/>
      <c r="I66" s="76">
        <v>12.618851801260744</v>
      </c>
      <c r="J66" s="66">
        <v>5.5</v>
      </c>
      <c r="K66" s="67"/>
      <c r="L66" s="194"/>
      <c r="M66" s="194">
        <v>0.26444407894736843</v>
      </c>
      <c r="N66" s="68">
        <v>1</v>
      </c>
      <c r="P66" s="69"/>
    </row>
    <row r="67" spans="2:16" ht="15">
      <c r="B67" s="22" t="s">
        <v>33</v>
      </c>
      <c r="C67" s="65"/>
      <c r="D67" s="76"/>
      <c r="E67" s="76">
        <v>4.7166249493099075</v>
      </c>
      <c r="F67" s="66">
        <v>3.3</v>
      </c>
      <c r="G67" s="65"/>
      <c r="H67" s="76"/>
      <c r="I67" s="76">
        <v>4.7393662692065543</v>
      </c>
      <c r="J67" s="66">
        <v>3.3</v>
      </c>
      <c r="K67" s="67"/>
      <c r="L67" s="194"/>
      <c r="M67" s="194">
        <v>0.73604010025062649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 ht="15">
      <c r="B69" s="36" t="s">
        <v>15</v>
      </c>
      <c r="C69" s="76"/>
      <c r="D69" s="76"/>
      <c r="E69" s="76">
        <v>5.1541347251672045</v>
      </c>
      <c r="F69" s="483">
        <v>5.5</v>
      </c>
      <c r="G69" s="282"/>
      <c r="H69" s="76"/>
      <c r="I69" s="76">
        <v>7.4989046872874194</v>
      </c>
      <c r="J69" s="66">
        <v>5.5</v>
      </c>
      <c r="K69" s="67"/>
      <c r="L69" s="194"/>
      <c r="M69" s="194">
        <v>1.0201754385964912</v>
      </c>
      <c r="N69" s="68">
        <v>1</v>
      </c>
      <c r="P69" s="69"/>
    </row>
    <row r="70" spans="2:16" ht="15">
      <c r="B70" s="37" t="s">
        <v>16</v>
      </c>
      <c r="C70" s="485"/>
      <c r="D70" s="76"/>
      <c r="E70" s="76">
        <v>3.7333963207914191</v>
      </c>
      <c r="F70" s="66">
        <v>3.3</v>
      </c>
      <c r="G70" s="282"/>
      <c r="H70" s="76"/>
      <c r="I70" s="76">
        <v>4.8412394790618878</v>
      </c>
      <c r="J70" s="66">
        <v>3.3</v>
      </c>
      <c r="K70" s="67"/>
      <c r="L70" s="194"/>
      <c r="M70" s="194">
        <v>0.84386695906432752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 ht="15">
      <c r="D73" s="76"/>
      <c r="E73" s="76">
        <v>6.3115024469710663</v>
      </c>
      <c r="F73" s="341">
        <v>5.5</v>
      </c>
      <c r="H73" s="76"/>
      <c r="I73" s="76">
        <v>6.3654183077136706</v>
      </c>
      <c r="J73" s="341">
        <v>5.5</v>
      </c>
      <c r="L73" s="194"/>
      <c r="M73" s="194">
        <v>0.57830160611739556</v>
      </c>
      <c r="N73" s="386">
        <v>1</v>
      </c>
    </row>
  </sheetData>
  <mergeCells count="51"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  <mergeCell ref="D44:E44"/>
    <mergeCell ref="B49:B50"/>
    <mergeCell ref="C49:C50"/>
    <mergeCell ref="D49:D50"/>
    <mergeCell ref="E49:E50"/>
    <mergeCell ref="B34:B43"/>
    <mergeCell ref="D34:E35"/>
    <mergeCell ref="J34:K34"/>
    <mergeCell ref="L35:N35"/>
    <mergeCell ref="D36:E37"/>
    <mergeCell ref="D38:E39"/>
    <mergeCell ref="D40:E41"/>
    <mergeCell ref="D42:E43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4:B45">
    <cfRule type="cellIs" dxfId="3146" priority="105" operator="notBetween">
      <formula>#REF!</formula>
      <formula>#REF!</formula>
    </cfRule>
  </conditionalFormatting>
  <conditionalFormatting sqref="C48">
    <cfRule type="cellIs" dxfId="3145" priority="195" stopIfTrue="1" operator="greaterThan">
      <formula>100</formula>
    </cfRule>
    <cfRule type="cellIs" dxfId="3144" priority="194" stopIfTrue="1" operator="lessThan">
      <formula>96</formula>
    </cfRule>
  </conditionalFormatting>
  <conditionalFormatting sqref="C64:C65">
    <cfRule type="cellIs" dxfId="3143" priority="65" stopIfTrue="1" operator="greaterThan">
      <formula>$F64</formula>
    </cfRule>
    <cfRule type="cellIs" dxfId="3142" priority="66" stopIfTrue="1" operator="lessThanOrEqual">
      <formula>0</formula>
    </cfRule>
    <cfRule type="cellIs" dxfId="3141" priority="67" stopIfTrue="1" operator="greaterThan">
      <formula>$F64</formula>
    </cfRule>
    <cfRule type="cellIs" dxfId="3140" priority="68" stopIfTrue="1" operator="lessThanOrEqual">
      <formula>0</formula>
    </cfRule>
  </conditionalFormatting>
  <conditionalFormatting sqref="C66:C68 C70:C72">
    <cfRule type="cellIs" dxfId="3139" priority="75" stopIfTrue="1" operator="greaterThan">
      <formula>$F69</formula>
    </cfRule>
  </conditionalFormatting>
  <conditionalFormatting sqref="C66:C68">
    <cfRule type="cellIs" dxfId="3138" priority="76" stopIfTrue="1" operator="lessThanOrEqual">
      <formula>0</formula>
    </cfRule>
  </conditionalFormatting>
  <conditionalFormatting sqref="C70:C72">
    <cfRule type="cellIs" dxfId="3137" priority="77" stopIfTrue="1" operator="lessThanOrEqual">
      <formula>0</formula>
    </cfRule>
  </conditionalFormatting>
  <conditionalFormatting sqref="C75:C79">
    <cfRule type="cellIs" dxfId="3136" priority="186" stopIfTrue="1" operator="lessThanOrEqual">
      <formula>0</formula>
    </cfRule>
  </conditionalFormatting>
  <conditionalFormatting sqref="C76:C79">
    <cfRule type="cellIs" dxfId="3135" priority="185" stopIfTrue="1" operator="greaterThan">
      <formula>$F$75</formula>
    </cfRule>
  </conditionalFormatting>
  <conditionalFormatting sqref="C81">
    <cfRule type="cellIs" dxfId="3134" priority="187" stopIfTrue="1" operator="greaterThan">
      <formula>$F$75</formula>
    </cfRule>
    <cfRule type="cellIs" dxfId="3133" priority="188" stopIfTrue="1" operator="lessThanOrEqual">
      <formula>0</formula>
    </cfRule>
  </conditionalFormatting>
  <conditionalFormatting sqref="C69:D69">
    <cfRule type="cellIs" dxfId="3132" priority="63" stopIfTrue="1" operator="greaterThan">
      <formula>$J69</formula>
    </cfRule>
    <cfRule type="cellIs" dxfId="3131" priority="64" stopIfTrue="1" operator="lessThanOrEqual">
      <formula>0</formula>
    </cfRule>
  </conditionalFormatting>
  <conditionalFormatting sqref="C75:D75 D77:D83">
    <cfRule type="cellIs" dxfId="3130" priority="180" stopIfTrue="1" operator="greaterThan">
      <formula>4.5</formula>
    </cfRule>
  </conditionalFormatting>
  <conditionalFormatting sqref="D44:D45">
    <cfRule type="cellIs" dxfId="3129" priority="106" operator="notBetween">
      <formula>#REF!</formula>
      <formula>#REF!</formula>
    </cfRule>
  </conditionalFormatting>
  <conditionalFormatting sqref="D64:D68 D70:D71">
    <cfRule type="cellIs" dxfId="3128" priority="74" stopIfTrue="1" operator="lessThanOrEqual">
      <formula>0</formula>
    </cfRule>
  </conditionalFormatting>
  <conditionalFormatting sqref="D64:D68 D70:D73">
    <cfRule type="cellIs" dxfId="3127" priority="71" stopIfTrue="1" operator="greaterThan">
      <formula>$F64</formula>
    </cfRule>
    <cfRule type="cellIs" dxfId="3126" priority="70" stopIfTrue="1" operator="lessThanOrEqual">
      <formula>0</formula>
    </cfRule>
  </conditionalFormatting>
  <conditionalFormatting sqref="D72:D73">
    <cfRule type="cellIs" dxfId="3125" priority="72" stopIfTrue="1" operator="lessThanOrEqual">
      <formula>0</formula>
    </cfRule>
  </conditionalFormatting>
  <conditionalFormatting sqref="D73">
    <cfRule type="cellIs" dxfId="3124" priority="73" stopIfTrue="1" operator="lessThanOrEqual">
      <formula>0</formula>
    </cfRule>
  </conditionalFormatting>
  <conditionalFormatting sqref="D75 D77:D83">
    <cfRule type="cellIs" dxfId="3123" priority="181" stopIfTrue="1" operator="lessThanOrEqual">
      <formula>0</formula>
    </cfRule>
  </conditionalFormatting>
  <conditionalFormatting sqref="D76">
    <cfRule type="cellIs" dxfId="3122" priority="173" stopIfTrue="1" operator="lessThanOrEqual">
      <formula>0</formula>
    </cfRule>
    <cfRule type="cellIs" dxfId="3121" priority="172" stopIfTrue="1" operator="greaterThan">
      <formula>$F$75</formula>
    </cfRule>
  </conditionalFormatting>
  <conditionalFormatting sqref="E10:E19">
    <cfRule type="cellIs" dxfId="3120" priority="17" operator="lessThan">
      <formula>48</formula>
    </cfRule>
  </conditionalFormatting>
  <conditionalFormatting sqref="E47 E48:F48">
    <cfRule type="cellIs" dxfId="3119" priority="177" stopIfTrue="1" operator="greaterThan">
      <formula>100</formula>
    </cfRule>
  </conditionalFormatting>
  <conditionalFormatting sqref="E48">
    <cfRule type="cellIs" dxfId="3118" priority="175" stopIfTrue="1" operator="greaterThan">
      <formula>100</formula>
    </cfRule>
    <cfRule type="cellIs" dxfId="3117" priority="174" stopIfTrue="1" operator="lessThan">
      <formula>96.8</formula>
    </cfRule>
  </conditionalFormatting>
  <conditionalFormatting sqref="E64:E72">
    <cfRule type="cellIs" dxfId="3116" priority="31" stopIfTrue="1" operator="lessThanOrEqual">
      <formula>0</formula>
    </cfRule>
  </conditionalFormatting>
  <conditionalFormatting sqref="E64:E73">
    <cfRule type="cellIs" dxfId="3115" priority="33" stopIfTrue="1" operator="lessThanOrEqual">
      <formula>0</formula>
    </cfRule>
    <cfRule type="cellIs" dxfId="3114" priority="32" stopIfTrue="1" operator="greaterThan">
      <formula>$F64</formula>
    </cfRule>
  </conditionalFormatting>
  <conditionalFormatting sqref="E73">
    <cfRule type="cellIs" dxfId="3113" priority="34" stopIfTrue="1" operator="lessThanOrEqual">
      <formula>0</formula>
    </cfRule>
  </conditionalFormatting>
  <conditionalFormatting sqref="E75:E83">
    <cfRule type="cellIs" dxfId="3112" priority="166" stopIfTrue="1" operator="greaterThan">
      <formula>4.5</formula>
    </cfRule>
    <cfRule type="cellIs" dxfId="3111" priority="167" stopIfTrue="1" operator="lessThanOrEqual">
      <formula>0</formula>
    </cfRule>
  </conditionalFormatting>
  <conditionalFormatting sqref="E48:F48 E47">
    <cfRule type="cellIs" dxfId="3110" priority="176" stopIfTrue="1" operator="lessThan">
      <formula>96.5</formula>
    </cfRule>
  </conditionalFormatting>
  <conditionalFormatting sqref="F17:F19">
    <cfRule type="cellIs" dxfId="3109" priority="22" operator="greaterThan">
      <formula>60</formula>
    </cfRule>
  </conditionalFormatting>
  <conditionalFormatting sqref="F48">
    <cfRule type="cellIs" dxfId="3108" priority="192" stopIfTrue="1" operator="lessThan">
      <formula>96.8</formula>
    </cfRule>
    <cfRule type="cellIs" dxfId="3107" priority="193" stopIfTrue="1" operator="greaterThan">
      <formula>100</formula>
    </cfRule>
  </conditionalFormatting>
  <conditionalFormatting sqref="F73">
    <cfRule type="cellIs" dxfId="3106" priority="42" stopIfTrue="1" operator="greaterThan">
      <formula>$F73</formula>
    </cfRule>
    <cfRule type="cellIs" dxfId="3105" priority="43" stopIfTrue="1" operator="lessThanOrEqual">
      <formula>0</formula>
    </cfRule>
  </conditionalFormatting>
  <conditionalFormatting sqref="G10:G19">
    <cfRule type="expression" dxfId="3104" priority="19">
      <formula>IF(+(IF(G10&lt;S10,0,IF(G10&gt;T10,0,1)))=0,1)</formula>
    </cfRule>
  </conditionalFormatting>
  <conditionalFormatting sqref="G64:G65">
    <cfRule type="cellIs" dxfId="3103" priority="44" stopIfTrue="1" operator="greaterThan">
      <formula>$F64</formula>
    </cfRule>
    <cfRule type="cellIs" dxfId="3102" priority="45" stopIfTrue="1" operator="lessThanOrEqual">
      <formula>0</formula>
    </cfRule>
  </conditionalFormatting>
  <conditionalFormatting sqref="G64:G67">
    <cfRule type="cellIs" dxfId="3101" priority="27" stopIfTrue="1" operator="lessThanOrEqual">
      <formula>0</formula>
    </cfRule>
    <cfRule type="cellIs" dxfId="3100" priority="26" stopIfTrue="1" operator="greaterThan">
      <formula>$F64</formula>
    </cfRule>
  </conditionalFormatting>
  <conditionalFormatting sqref="G66">
    <cfRule type="cellIs" dxfId="3099" priority="25" stopIfTrue="1" operator="lessThanOrEqual">
      <formula>0</formula>
    </cfRule>
    <cfRule type="cellIs" dxfId="3098" priority="24" stopIfTrue="1" operator="greaterThan">
      <formula>$F66</formula>
    </cfRule>
  </conditionalFormatting>
  <conditionalFormatting sqref="G67">
    <cfRule type="cellIs" dxfId="3097" priority="39" stopIfTrue="1" operator="lessThanOrEqual">
      <formula>0</formula>
    </cfRule>
    <cfRule type="cellIs" dxfId="3096" priority="38" stopIfTrue="1" operator="greaterThan">
      <formula>$F67</formula>
    </cfRule>
  </conditionalFormatting>
  <conditionalFormatting sqref="G68:G72">
    <cfRule type="cellIs" dxfId="3095" priority="46" stopIfTrue="1" operator="greaterThan">
      <formula>$J68</formula>
    </cfRule>
    <cfRule type="cellIs" dxfId="3094" priority="47" stopIfTrue="1" operator="lessThanOrEqual">
      <formula>0</formula>
    </cfRule>
  </conditionalFormatting>
  <conditionalFormatting sqref="G77:G82 C80 C82">
    <cfRule type="cellIs" dxfId="3093" priority="189" stopIfTrue="1" operator="greaterThan">
      <formula>4.5</formula>
    </cfRule>
    <cfRule type="cellIs" dxfId="3092" priority="190" stopIfTrue="1" operator="lessThanOrEqual">
      <formula>0</formula>
    </cfRule>
  </conditionalFormatting>
  <conditionalFormatting sqref="G76:H76">
    <cfRule type="cellIs" dxfId="3091" priority="171" stopIfTrue="1" operator="lessThanOrEqual">
      <formula>0</formula>
    </cfRule>
    <cfRule type="cellIs" dxfId="3090" priority="170" stopIfTrue="1" operator="greaterThan">
      <formula>$F$75</formula>
    </cfRule>
  </conditionalFormatting>
  <conditionalFormatting sqref="H10:H19 M10:N19">
    <cfRule type="expression" dxfId="3089" priority="18">
      <formula>IF(+(IF(H10&lt;#REF!,0,IF(H10&gt;#REF!,0,1)))=0,1)</formula>
    </cfRule>
  </conditionalFormatting>
  <conditionalFormatting sqref="H33:H34 H47">
    <cfRule type="cellIs" dxfId="3088" priority="168" stopIfTrue="1" operator="greaterThan">
      <formula>0</formula>
    </cfRule>
  </conditionalFormatting>
  <conditionalFormatting sqref="H51">
    <cfRule type="cellIs" dxfId="3087" priority="49" stopIfTrue="1" operator="lessThanOrEqual">
      <formula>0</formula>
    </cfRule>
    <cfRule type="cellIs" dxfId="3086" priority="60" stopIfTrue="1" operator="greaterThan">
      <formula>$F$65</formula>
    </cfRule>
    <cfRule type="cellIs" dxfId="3085" priority="59" stopIfTrue="1" operator="lessThanOrEqual">
      <formula>0</formula>
    </cfRule>
    <cfRule type="cellIs" dxfId="3084" priority="58" stopIfTrue="1" operator="greaterThan">
      <formula>$F$67</formula>
    </cfRule>
    <cfRule type="cellIs" dxfId="3083" priority="50" stopIfTrue="1" operator="greaterThan">
      <formula>$F$64</formula>
    </cfRule>
  </conditionalFormatting>
  <conditionalFormatting sqref="H51:H53">
    <cfRule type="cellIs" dxfId="3082" priority="61" stopIfTrue="1" operator="lessThanOrEqual">
      <formula>0</formula>
    </cfRule>
  </conditionalFormatting>
  <conditionalFormatting sqref="H52:H53">
    <cfRule type="cellIs" dxfId="3081" priority="87" stopIfTrue="1" operator="lessThanOrEqual">
      <formula>0</formula>
    </cfRule>
    <cfRule type="cellIs" dxfId="3080" priority="88" stopIfTrue="1" operator="greaterThan">
      <formula>$F$65</formula>
    </cfRule>
    <cfRule type="cellIs" dxfId="3079" priority="78" stopIfTrue="1" operator="greaterThan">
      <formula>$F$64</formula>
    </cfRule>
    <cfRule type="cellIs" dxfId="3078" priority="86" stopIfTrue="1" operator="greaterThan">
      <formula>$F$67</formula>
    </cfRule>
  </conditionalFormatting>
  <conditionalFormatting sqref="H52:H55">
    <cfRule type="cellIs" dxfId="3077" priority="89" stopIfTrue="1" operator="lessThanOrEqual">
      <formula>0</formula>
    </cfRule>
  </conditionalFormatting>
  <conditionalFormatting sqref="H54:H55">
    <cfRule type="cellIs" dxfId="3076" priority="102" stopIfTrue="1" operator="greaterThan">
      <formula>$F$65</formula>
    </cfRule>
    <cfRule type="cellIs" dxfId="3075" priority="103" stopIfTrue="1" operator="lessThanOrEqual">
      <formula>0</formula>
    </cfRule>
    <cfRule type="cellIs" dxfId="3074" priority="100" stopIfTrue="1" operator="greaterThan">
      <formula>$F$67</formula>
    </cfRule>
    <cfRule type="cellIs" dxfId="3073" priority="92" stopIfTrue="1" operator="greaterThan">
      <formula>$F$64</formula>
    </cfRule>
    <cfRule type="cellIs" dxfId="3072" priority="101" stopIfTrue="1" operator="lessThanOrEqual">
      <formula>0</formula>
    </cfRule>
  </conditionalFormatting>
  <conditionalFormatting sqref="H56:H57">
    <cfRule type="cellIs" dxfId="3071" priority="139" stopIfTrue="1" operator="greaterThan">
      <formula>$F$19</formula>
    </cfRule>
    <cfRule type="cellIs" dxfId="3070" priority="140" stopIfTrue="1" operator="lessThanOrEqual">
      <formula>0</formula>
    </cfRule>
    <cfRule type="cellIs" dxfId="3069" priority="131" stopIfTrue="1" operator="greaterThan">
      <formula>#REF!</formula>
    </cfRule>
    <cfRule type="cellIs" dxfId="3068" priority="130" stopIfTrue="1" operator="lessThanOrEqual">
      <formula>0</formula>
    </cfRule>
    <cfRule type="cellIs" dxfId="3067" priority="141" stopIfTrue="1" operator="greaterThan">
      <formula>#REF!</formula>
    </cfRule>
    <cfRule type="cellIs" dxfId="3066" priority="142" stopIfTrue="1" operator="lessThanOrEqual">
      <formula>0</formula>
    </cfRule>
  </conditionalFormatting>
  <conditionalFormatting sqref="H58">
    <cfRule type="cellIs" dxfId="3065" priority="153" stopIfTrue="1" operator="greaterThan">
      <formula>$F$35</formula>
    </cfRule>
    <cfRule type="cellIs" dxfId="3064" priority="145" stopIfTrue="1" operator="greaterThan">
      <formula>$F$32</formula>
    </cfRule>
    <cfRule type="cellIs" dxfId="3063" priority="144" stopIfTrue="1" operator="lessThanOrEqual">
      <formula>0</formula>
    </cfRule>
    <cfRule type="cellIs" dxfId="3062" priority="155" stopIfTrue="1" operator="greaterThan">
      <formula>$F$33</formula>
    </cfRule>
    <cfRule type="cellIs" dxfId="3061" priority="156" stopIfTrue="1" operator="lessThanOrEqual">
      <formula>0</formula>
    </cfRule>
    <cfRule type="cellIs" dxfId="3060" priority="154" stopIfTrue="1" operator="lessThanOrEqual">
      <formula>0</formula>
    </cfRule>
  </conditionalFormatting>
  <conditionalFormatting sqref="H59:H60">
    <cfRule type="cellIs" dxfId="3059" priority="127" stopIfTrue="1" operator="greaterThan">
      <formula>#REF!</formula>
    </cfRule>
    <cfRule type="cellIs" dxfId="3058" priority="126" stopIfTrue="1" operator="lessThanOrEqual">
      <formula>0</formula>
    </cfRule>
    <cfRule type="cellIs" dxfId="3057" priority="117" stopIfTrue="1" operator="greaterThan">
      <formula>#REF!</formula>
    </cfRule>
    <cfRule type="cellIs" dxfId="3056" priority="116" stopIfTrue="1" operator="lessThanOrEqual">
      <formula>0</formula>
    </cfRule>
    <cfRule type="cellIs" dxfId="3055" priority="125" stopIfTrue="1" operator="greaterThan">
      <formula>$F$19</formula>
    </cfRule>
    <cfRule type="cellIs" dxfId="3054" priority="128" stopIfTrue="1" operator="lessThanOrEqual">
      <formula>0</formula>
    </cfRule>
  </conditionalFormatting>
  <conditionalFormatting sqref="H75 H77:H83">
    <cfRule type="cellIs" dxfId="3053" priority="182" stopIfTrue="1" operator="greaterThan">
      <formula>4.5</formula>
    </cfRule>
    <cfRule type="cellIs" dxfId="3052" priority="183" stopIfTrue="1" operator="lessThanOrEqual">
      <formula>0</formula>
    </cfRule>
  </conditionalFormatting>
  <conditionalFormatting sqref="H51:I51">
    <cfRule type="cellIs" dxfId="3051" priority="51" stopIfTrue="1" operator="lessThanOrEqual">
      <formula>0</formula>
    </cfRule>
  </conditionalFormatting>
  <conditionalFormatting sqref="H51:I55">
    <cfRule type="cellIs" dxfId="3050" priority="48" stopIfTrue="1" operator="greaterThan">
      <formula>$F$66</formula>
    </cfRule>
  </conditionalFormatting>
  <conditionalFormatting sqref="H52:I53">
    <cfRule type="cellIs" dxfId="3049" priority="79" stopIfTrue="1" operator="lessThanOrEqual">
      <formula>0</formula>
    </cfRule>
  </conditionalFormatting>
  <conditionalFormatting sqref="H54:I55">
    <cfRule type="cellIs" dxfId="3048" priority="93" stopIfTrue="1" operator="lessThanOrEqual">
      <formula>0</formula>
    </cfRule>
  </conditionalFormatting>
  <conditionalFormatting sqref="H56:I57">
    <cfRule type="cellIs" dxfId="3047" priority="129" stopIfTrue="1" operator="greaterThan">
      <formula>#REF!</formula>
    </cfRule>
    <cfRule type="cellIs" dxfId="3046" priority="132" stopIfTrue="1" operator="lessThanOrEqual">
      <formula>0</formula>
    </cfRule>
  </conditionalFormatting>
  <conditionalFormatting sqref="H58:I58">
    <cfRule type="cellIs" dxfId="3045" priority="146" stopIfTrue="1" operator="lessThanOrEqual">
      <formula>0</formula>
    </cfRule>
    <cfRule type="cellIs" dxfId="3044" priority="143" stopIfTrue="1" operator="greaterThan">
      <formula>$F$34</formula>
    </cfRule>
  </conditionalFormatting>
  <conditionalFormatting sqref="H59:I60">
    <cfRule type="cellIs" dxfId="3043" priority="118" stopIfTrue="1" operator="lessThanOrEqual">
      <formula>0</formula>
    </cfRule>
    <cfRule type="cellIs" dxfId="3042" priority="115" stopIfTrue="1" operator="greaterThan">
      <formula>#REF!</formula>
    </cfRule>
  </conditionalFormatting>
  <conditionalFormatting sqref="H64:I71">
    <cfRule type="cellIs" dxfId="3041" priority="30" stopIfTrue="1" operator="lessThanOrEqual">
      <formula>0</formula>
    </cfRule>
    <cfRule type="cellIs" dxfId="3040" priority="29" stopIfTrue="1" operator="greaterThan">
      <formula>$J64</formula>
    </cfRule>
  </conditionalFormatting>
  <conditionalFormatting sqref="H72:I72">
    <cfRule type="cellIs" dxfId="3039" priority="37" operator="greaterThan">
      <formula>5.3</formula>
    </cfRule>
  </conditionalFormatting>
  <conditionalFormatting sqref="H73:I73">
    <cfRule type="cellIs" dxfId="3038" priority="35" stopIfTrue="1" operator="greaterThan">
      <formula>$J73</formula>
    </cfRule>
    <cfRule type="cellIs" dxfId="3037" priority="36" stopIfTrue="1" operator="lessThanOrEqual">
      <formula>0</formula>
    </cfRule>
  </conditionalFormatting>
  <conditionalFormatting sqref="I51">
    <cfRule type="cellIs" dxfId="3036" priority="52" stopIfTrue="1" operator="greaterThan">
      <formula>$F$64</formula>
    </cfRule>
    <cfRule type="cellIs" dxfId="3035" priority="53" stopIfTrue="1" operator="lessThanOrEqual">
      <formula>0</formula>
    </cfRule>
    <cfRule type="cellIs" dxfId="3034" priority="54" stopIfTrue="1" operator="greaterThan">
      <formula>$F$66</formula>
    </cfRule>
    <cfRule type="cellIs" dxfId="3033" priority="55" stopIfTrue="1" operator="lessThanOrEqual">
      <formula>0</formula>
    </cfRule>
    <cfRule type="cellIs" dxfId="3032" priority="57" stopIfTrue="1" operator="lessThanOrEqual">
      <formula>0</formula>
    </cfRule>
    <cfRule type="cellIs" dxfId="3031" priority="56" stopIfTrue="1" operator="greaterThan">
      <formula>$F$64</formula>
    </cfRule>
  </conditionalFormatting>
  <conditionalFormatting sqref="I52:I53">
    <cfRule type="cellIs" dxfId="3030" priority="84" stopIfTrue="1" operator="greaterThan">
      <formula>$F$64</formula>
    </cfRule>
    <cfRule type="cellIs" dxfId="3029" priority="83" stopIfTrue="1" operator="lessThanOrEqual">
      <formula>0</formula>
    </cfRule>
    <cfRule type="cellIs" dxfId="3028" priority="81" stopIfTrue="1" operator="lessThanOrEqual">
      <formula>0</formula>
    </cfRule>
    <cfRule type="cellIs" dxfId="3027" priority="80" stopIfTrue="1" operator="greaterThan">
      <formula>$F$64</formula>
    </cfRule>
    <cfRule type="cellIs" dxfId="3026" priority="85" stopIfTrue="1" operator="lessThanOrEqual">
      <formula>0</formula>
    </cfRule>
    <cfRule type="cellIs" dxfId="3025" priority="82" stopIfTrue="1" operator="greaterThan">
      <formula>$F$66</formula>
    </cfRule>
  </conditionalFormatting>
  <conditionalFormatting sqref="I54:I55">
    <cfRule type="cellIs" dxfId="3024" priority="94" stopIfTrue="1" operator="greaterThan">
      <formula>$F$64</formula>
    </cfRule>
    <cfRule type="cellIs" dxfId="3023" priority="95" stopIfTrue="1" operator="lessThanOrEqual">
      <formula>0</formula>
    </cfRule>
    <cfRule type="cellIs" dxfId="3022" priority="99" stopIfTrue="1" operator="lessThanOrEqual">
      <formula>0</formula>
    </cfRule>
    <cfRule type="cellIs" dxfId="3021" priority="96" stopIfTrue="1" operator="greaterThan">
      <formula>$F$66</formula>
    </cfRule>
    <cfRule type="cellIs" dxfId="3020" priority="97" stopIfTrue="1" operator="lessThanOrEqual">
      <formula>0</formula>
    </cfRule>
    <cfRule type="cellIs" dxfId="3019" priority="98" stopIfTrue="1" operator="greaterThan">
      <formula>$F$64</formula>
    </cfRule>
  </conditionalFormatting>
  <conditionalFormatting sqref="I56:I57">
    <cfRule type="cellIs" dxfId="3018" priority="133" stopIfTrue="1" operator="greaterThan">
      <formula>#REF!</formula>
    </cfRule>
    <cfRule type="cellIs" dxfId="3017" priority="134" stopIfTrue="1" operator="lessThanOrEqual">
      <formula>0</formula>
    </cfRule>
    <cfRule type="cellIs" dxfId="3016" priority="135" stopIfTrue="1" operator="greaterThan">
      <formula>#REF!</formula>
    </cfRule>
    <cfRule type="cellIs" dxfId="3015" priority="136" stopIfTrue="1" operator="lessThanOrEqual">
      <formula>0</formula>
    </cfRule>
    <cfRule type="cellIs" dxfId="3014" priority="137" stopIfTrue="1" operator="greaterThan">
      <formula>#REF!</formula>
    </cfRule>
    <cfRule type="cellIs" dxfId="3013" priority="138" stopIfTrue="1" operator="lessThanOrEqual">
      <formula>0</formula>
    </cfRule>
  </conditionalFormatting>
  <conditionalFormatting sqref="I58">
    <cfRule type="cellIs" dxfId="3012" priority="151" stopIfTrue="1" operator="greaterThan">
      <formula>$F$32</formula>
    </cfRule>
    <cfRule type="cellIs" dxfId="3011" priority="147" stopIfTrue="1" operator="greaterThan">
      <formula>$F$32</formula>
    </cfRule>
    <cfRule type="cellIs" dxfId="3010" priority="148" stopIfTrue="1" operator="lessThanOrEqual">
      <formula>0</formula>
    </cfRule>
    <cfRule type="cellIs" dxfId="3009" priority="149" stopIfTrue="1" operator="greaterThan">
      <formula>$F$34</formula>
    </cfRule>
    <cfRule type="cellIs" dxfId="3008" priority="150" stopIfTrue="1" operator="lessThanOrEqual">
      <formula>0</formula>
    </cfRule>
    <cfRule type="cellIs" dxfId="3007" priority="152" stopIfTrue="1" operator="lessThanOrEqual">
      <formula>0</formula>
    </cfRule>
  </conditionalFormatting>
  <conditionalFormatting sqref="I59:I60">
    <cfRule type="cellIs" dxfId="3006" priority="121" stopIfTrue="1" operator="greaterThan">
      <formula>#REF!</formula>
    </cfRule>
    <cfRule type="cellIs" dxfId="3005" priority="123" stopIfTrue="1" operator="greaterThan">
      <formula>#REF!</formula>
    </cfRule>
    <cfRule type="cellIs" dxfId="3004" priority="124" stopIfTrue="1" operator="lessThanOrEqual">
      <formula>0</formula>
    </cfRule>
    <cfRule type="cellIs" dxfId="3003" priority="122" stopIfTrue="1" operator="lessThanOrEqual">
      <formula>0</formula>
    </cfRule>
    <cfRule type="cellIs" dxfId="3002" priority="119" stopIfTrue="1" operator="greaterThan">
      <formula>#REF!</formula>
    </cfRule>
    <cfRule type="cellIs" dxfId="3001" priority="120" stopIfTrue="1" operator="lessThanOrEqual">
      <formula>0</formula>
    </cfRule>
  </conditionalFormatting>
  <conditionalFormatting sqref="I75:I83">
    <cfRule type="cellIs" dxfId="3000" priority="179" stopIfTrue="1" operator="lessThanOrEqual">
      <formula>0</formula>
    </cfRule>
    <cfRule type="cellIs" dxfId="2999" priority="178" stopIfTrue="1" operator="greaterThan">
      <formula>4.5</formula>
    </cfRule>
  </conditionalFormatting>
  <conditionalFormatting sqref="I10:J19">
    <cfRule type="cellIs" dxfId="2998" priority="11" operator="lessThan">
      <formula>97.9</formula>
    </cfRule>
  </conditionalFormatting>
  <conditionalFormatting sqref="J22:J23">
    <cfRule type="cellIs" dxfId="2997" priority="91" operator="lessThan">
      <formula>97.95</formula>
    </cfRule>
  </conditionalFormatting>
  <conditionalFormatting sqref="J24">
    <cfRule type="cellIs" dxfId="2996" priority="158" stopIfTrue="1" operator="lessThan">
      <formula>96.8</formula>
    </cfRule>
    <cfRule type="cellIs" dxfId="2995" priority="160" operator="lessThan">
      <formula>98</formula>
    </cfRule>
    <cfRule type="cellIs" dxfId="2994" priority="159" stopIfTrue="1" operator="greaterThan">
      <formula>100</formula>
    </cfRule>
  </conditionalFormatting>
  <conditionalFormatting sqref="J24:J26">
    <cfRule type="cellIs" dxfId="2993" priority="157" operator="lessThan">
      <formula>97.4</formula>
    </cfRule>
  </conditionalFormatting>
  <conditionalFormatting sqref="J27:J28">
    <cfRule type="cellIs" dxfId="2992" priority="161" operator="lessThan">
      <formula>98</formula>
    </cfRule>
  </conditionalFormatting>
  <conditionalFormatting sqref="J29:J30">
    <cfRule type="cellIs" dxfId="2991" priority="162" stopIfTrue="1" operator="lessThan">
      <formula>96.8</formula>
    </cfRule>
    <cfRule type="cellIs" dxfId="2990" priority="163" stopIfTrue="1" operator="greaterThan">
      <formula>100</formula>
    </cfRule>
  </conditionalFormatting>
  <conditionalFormatting sqref="J29:J31">
    <cfRule type="cellIs" dxfId="2989" priority="164" operator="lessThan">
      <formula>98</formula>
    </cfRule>
  </conditionalFormatting>
  <conditionalFormatting sqref="J60">
    <cfRule type="cellIs" dxfId="2988" priority="108" stopIfTrue="1" operator="lessThanOrEqual">
      <formula>0</formula>
    </cfRule>
    <cfRule type="cellIs" dxfId="2987" priority="110" stopIfTrue="1" operator="lessThanOrEqual">
      <formula>0</formula>
    </cfRule>
    <cfRule type="cellIs" dxfId="2986" priority="111" stopIfTrue="1" operator="greaterThan">
      <formula>#REF!</formula>
    </cfRule>
    <cfRule type="cellIs" dxfId="2985" priority="114" stopIfTrue="1" operator="lessThanOrEqual">
      <formula>0</formula>
    </cfRule>
    <cfRule type="cellIs" dxfId="2984" priority="113" stopIfTrue="1" operator="greaterThan">
      <formula>#REF!</formula>
    </cfRule>
    <cfRule type="cellIs" dxfId="2983" priority="109" stopIfTrue="1" operator="greaterThan">
      <formula>#REF!</formula>
    </cfRule>
    <cfRule type="cellIs" dxfId="2982" priority="107" stopIfTrue="1" operator="greaterThan">
      <formula>#REF!</formula>
    </cfRule>
    <cfRule type="cellIs" dxfId="2981" priority="112" stopIfTrue="1" operator="lessThanOrEqual">
      <formula>0</formula>
    </cfRule>
  </conditionalFormatting>
  <conditionalFormatting sqref="J73">
    <cfRule type="cellIs" dxfId="2980" priority="41" stopIfTrue="1" operator="lessThanOrEqual">
      <formula>0</formula>
    </cfRule>
    <cfRule type="cellIs" dxfId="2979" priority="40" stopIfTrue="1" operator="greaterThan">
      <formula>$F73</formula>
    </cfRule>
  </conditionalFormatting>
  <conditionalFormatting sqref="K10:K19">
    <cfRule type="cellIs" dxfId="2978" priority="14" operator="greaterThan">
      <formula>6.4</formula>
    </cfRule>
    <cfRule type="cellIs" dxfId="2977" priority="12" operator="greaterThan">
      <formula>6</formula>
    </cfRule>
    <cfRule type="cellIs" dxfId="2976" priority="13" operator="lessThan">
      <formula>4</formula>
    </cfRule>
  </conditionalFormatting>
  <conditionalFormatting sqref="K51:K60">
    <cfRule type="cellIs" dxfId="2975" priority="90" stopIfTrue="1" operator="lessThan">
      <formula>100%</formula>
    </cfRule>
  </conditionalFormatting>
  <conditionalFormatting sqref="K64:K72">
    <cfRule type="cellIs" dxfId="2974" priority="28" stopIfTrue="1" operator="lessThan">
      <formula>100%</formula>
    </cfRule>
  </conditionalFormatting>
  <conditionalFormatting sqref="K75:K80">
    <cfRule type="cellIs" dxfId="2973" priority="184" stopIfTrue="1" operator="lessThan">
      <formula>100%</formula>
    </cfRule>
  </conditionalFormatting>
  <conditionalFormatting sqref="K82:K83">
    <cfRule type="cellIs" dxfId="2972" priority="191" stopIfTrue="1" operator="lessThan">
      <formula>100%</formula>
    </cfRule>
  </conditionalFormatting>
  <conditionalFormatting sqref="L10:L19">
    <cfRule type="cellIs" dxfId="2971" priority="16" operator="greaterThan">
      <formula>65</formula>
    </cfRule>
    <cfRule type="cellIs" dxfId="2970" priority="15" operator="between">
      <formula>61</formula>
      <formula>65</formula>
    </cfRule>
  </conditionalFormatting>
  <conditionalFormatting sqref="L22:M33">
    <cfRule type="cellIs" dxfId="2969" priority="104" operator="lessThan">
      <formula>97.95</formula>
    </cfRule>
  </conditionalFormatting>
  <conditionalFormatting sqref="L37:N37">
    <cfRule type="cellIs" dxfId="2968" priority="69" operator="notEqual">
      <formula>#REF!</formula>
    </cfRule>
  </conditionalFormatting>
  <conditionalFormatting sqref="L64:N73">
    <cfRule type="cellIs" dxfId="2967" priority="23" stopIfTrue="1" operator="lessThan">
      <formula>100%</formula>
    </cfRule>
  </conditionalFormatting>
  <conditionalFormatting sqref="L75:N83">
    <cfRule type="cellIs" dxfId="2966" priority="169" stopIfTrue="1" operator="lessThan">
      <formula>100%</formula>
    </cfRule>
  </conditionalFormatting>
  <conditionalFormatting sqref="N10:N16">
    <cfRule type="expression" dxfId="2965" priority="1">
      <formula>IF(+(IF(N10&lt;W10,0,IF(N10&gt;X10,0,1)))=0,1)</formula>
    </cfRule>
  </conditionalFormatting>
  <conditionalFormatting sqref="P6">
    <cfRule type="cellIs" dxfId="2964" priority="165" operator="greaterThanOrEqual">
      <formula>19</formula>
    </cfRule>
  </conditionalFormatting>
  <dataValidations count="1">
    <dataValidation type="list" allowBlank="1" showInputMessage="1" showErrorMessage="1" sqref="R8" xr:uid="{2F74CBAD-2CA1-49CE-B970-5AEEF893595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9166-5C22-444C-A810-460F45491FF9}">
  <sheetPr>
    <pageSetUpPr fitToPage="1"/>
  </sheetPr>
  <dimension ref="A1:BE75"/>
  <sheetViews>
    <sheetView topLeftCell="A7" zoomScale="70" zoomScaleNormal="70" workbookViewId="0">
      <selection activeCell="B17" sqref="B17:O1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46182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3" t="s">
        <v>9</v>
      </c>
      <c r="C10" s="366" t="str">
        <f>[4]Brewhouse!$A254</f>
        <v>ST199</v>
      </c>
      <c r="D10" s="279">
        <f>[4]Brewhouse!$AB254</f>
        <v>53.1</v>
      </c>
      <c r="E10" s="279">
        <f>[4]Brewhouse!$AG254</f>
        <v>48.2</v>
      </c>
      <c r="F10" s="278">
        <f>[4]Brewhouse!$V254</f>
        <v>54</v>
      </c>
      <c r="G10" s="279">
        <f>[4]Brewhouse!$AE254</f>
        <v>11.8</v>
      </c>
      <c r="H10" s="396">
        <v>11.8</v>
      </c>
      <c r="I10" s="368">
        <f>[4]Brewhouse!$AS254</f>
        <v>95.749181793212287</v>
      </c>
      <c r="J10" s="368">
        <f>[4]Brewhouse!$AT254</f>
        <v>96.406412510809474</v>
      </c>
      <c r="K10" s="281">
        <f>[4]Brewhouse!$Q254</f>
        <v>12.570621468926548</v>
      </c>
      <c r="L10" s="276">
        <f>[4]Brewhouse!$P254</f>
        <v>58</v>
      </c>
      <c r="M10" s="374">
        <f>[4]Brewhouse!$U254-[4]Brewhouse!$T254</f>
        <v>0.11736111111111114</v>
      </c>
      <c r="N10" s="370">
        <f>[4]Brewhouse!$AW254</f>
        <v>0.26527777777777778</v>
      </c>
      <c r="O10" s="371" t="str">
        <f>[4]Brewhouse!$AV254</f>
        <v>R.Sookram</v>
      </c>
      <c r="P10" s="418"/>
      <c r="R10" s="277" t="str">
        <f t="shared" ref="R10:R35" si="0">B10</f>
        <v>STAG</v>
      </c>
      <c r="S10" s="472">
        <f t="shared" ref="S10:S35" si="1">VLOOKUP($B10,$R$3:$X$9,2,FALSE)</f>
        <v>11.6</v>
      </c>
      <c r="T10" s="472">
        <f t="shared" ref="T10:T35" si="2">VLOOKUP($B10,$R$3:$X$9,3,FALSE)</f>
        <v>12</v>
      </c>
      <c r="U10" s="297">
        <f t="shared" ref="U10:U35" si="3">VLOOKUP($B10,$R$3:$X$9,4,FALSE)</f>
        <v>0</v>
      </c>
      <c r="V10" s="297">
        <f t="shared" ref="V10:V35" si="4">VLOOKUP($B10,$R$3:$X$9,5,FALSE)</f>
        <v>0.118055555555556</v>
      </c>
      <c r="W10" s="297">
        <f t="shared" ref="W10:W35" si="5">VLOOKUP($B10,$R$3:$X$9,6,FALSE)</f>
        <v>0.22569444444444445</v>
      </c>
      <c r="X10" s="297">
        <f t="shared" ref="X10:X35" si="6">VLOOKUP($B10,$R$3:$X$9,7,FALSE)</f>
        <v>0.2638888888888889</v>
      </c>
      <c r="Y10" s="297">
        <f t="shared" ref="Y10:Y35" si="7">VLOOKUP($B10,$R$3:$Z$9,8,FALSE)</f>
        <v>0</v>
      </c>
      <c r="Z10" s="472">
        <f t="shared" ref="Z10:Z35" si="8">VLOOKUP($B10,$R$3:$Z$9,9,FALSE)</f>
        <v>60</v>
      </c>
    </row>
    <row r="11" spans="2:29" ht="17.25" customHeight="1">
      <c r="B11" s="33" t="s">
        <v>9</v>
      </c>
      <c r="C11" s="366" t="str">
        <f>[4]Brewhouse!$A255</f>
        <v>ST200</v>
      </c>
      <c r="D11" s="279">
        <f>[4]Brewhouse!$AB255</f>
        <v>53</v>
      </c>
      <c r="E11" s="279">
        <f>[4]Brewhouse!$AG255</f>
        <v>47.38</v>
      </c>
      <c r="F11" s="278">
        <f>[4]Brewhouse!$V255</f>
        <v>53</v>
      </c>
      <c r="G11" s="279">
        <f>[4]Brewhouse!$AE255</f>
        <v>12</v>
      </c>
      <c r="H11" s="396">
        <v>12.1</v>
      </c>
      <c r="I11" s="368">
        <f>[4]Brewhouse!$AS255</f>
        <v>96.404836914851714</v>
      </c>
      <c r="J11" s="368">
        <f>[4]Brewhouse!$AT255</f>
        <v>97.065465552222236</v>
      </c>
      <c r="K11" s="281">
        <f>[4]Brewhouse!$Q255</f>
        <v>12.028301886792454</v>
      </c>
      <c r="L11" s="276">
        <f>[4]Brewhouse!$P255</f>
        <v>62</v>
      </c>
      <c r="M11" s="374">
        <f>[4]Brewhouse!$U255-[4]Brewhouse!$T255</f>
        <v>0.12361111111111112</v>
      </c>
      <c r="N11" s="370">
        <f>[4]Brewhouse!$AW255</f>
        <v>0.29374999999999996</v>
      </c>
      <c r="O11" s="371" t="str">
        <f>[4]Brewhouse!$AV255</f>
        <v>R.Sookram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33" t="s">
        <v>9</v>
      </c>
      <c r="C12" s="366" t="str">
        <f>[4]Brewhouse!$A256</f>
        <v>ST201</v>
      </c>
      <c r="D12" s="279">
        <f>[4]Brewhouse!$AB256</f>
        <v>53</v>
      </c>
      <c r="E12" s="279">
        <f>[4]Brewhouse!$AG256</f>
        <v>48.2</v>
      </c>
      <c r="F12" s="278">
        <f>[4]Brewhouse!$V256</f>
        <v>59</v>
      </c>
      <c r="G12" s="279">
        <f>[4]Brewhouse!$AE256</f>
        <v>11.9</v>
      </c>
      <c r="H12" s="396">
        <v>11.9</v>
      </c>
      <c r="I12" s="368">
        <f>[4]Brewhouse!$AS256</f>
        <v>97.214381663218518</v>
      </c>
      <c r="J12" s="368">
        <f>[4]Brewhouse!$AT256</f>
        <v>97.88055782767502</v>
      </c>
      <c r="K12" s="281">
        <f>[4]Brewhouse!$Q256</f>
        <v>10.141509433962264</v>
      </c>
      <c r="L12" s="276">
        <f>[4]Brewhouse!$P256</f>
        <v>60</v>
      </c>
      <c r="M12" s="374">
        <f>[4]Brewhouse!$U256-[4]Brewhouse!$T256</f>
        <v>0.11111111111111105</v>
      </c>
      <c r="N12" s="370">
        <f>[4]Brewhouse!$AW256</f>
        <v>0.27430555555555552</v>
      </c>
      <c r="O12" s="371" t="str">
        <f>[4]Brewhouse!$AV256</f>
        <v>R.Sookram</v>
      </c>
      <c r="P12" s="418"/>
      <c r="R12" s="277" t="str">
        <f t="shared" ref="R12:R21" si="9">B12</f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33" t="s">
        <v>9</v>
      </c>
      <c r="C13" s="366" t="str">
        <f>[4]Brewhouse!$A257</f>
        <v>ST202</v>
      </c>
      <c r="D13" s="279">
        <f>[4]Brewhouse!$AB257</f>
        <v>53</v>
      </c>
      <c r="E13" s="279">
        <f>[4]Brewhouse!$AG257</f>
        <v>49.8</v>
      </c>
      <c r="F13" s="278">
        <f>[4]Brewhouse!$V257</f>
        <v>60</v>
      </c>
      <c r="G13" s="279">
        <f>[4]Brewhouse!$AE257</f>
        <v>11.9</v>
      </c>
      <c r="H13" s="396">
        <v>12.1</v>
      </c>
      <c r="I13" s="368">
        <f>[4]Brewhouse!$AS257</f>
        <v>99.683984036787066</v>
      </c>
      <c r="J13" s="368">
        <f>[4]Brewhouse!$AT257</f>
        <v>100.36844987444104</v>
      </c>
      <c r="K13" s="281">
        <f>[4]Brewhouse!$Q257</f>
        <v>11.839622641509431</v>
      </c>
      <c r="L13" s="276">
        <f>[4]Brewhouse!$P257</f>
        <v>62</v>
      </c>
      <c r="M13" s="374">
        <f>[4]Brewhouse!$U257-[4]Brewhouse!$T257</f>
        <v>0.12013888888888891</v>
      </c>
      <c r="N13" s="370">
        <f>[4]Brewhouse!$AW257</f>
        <v>0.2729166666666667</v>
      </c>
      <c r="O13" s="371" t="str">
        <f>[4]Brewhouse!$AV257</f>
        <v>K. Benjamin</v>
      </c>
      <c r="P13" s="418"/>
      <c r="R13" s="277" t="str">
        <f t="shared" si="9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33" t="s">
        <v>9</v>
      </c>
      <c r="C14" s="366" t="str">
        <f>[4]Brewhouse!$A258</f>
        <v>ST203</v>
      </c>
      <c r="D14" s="279">
        <f>[4]Brewhouse!$AB258</f>
        <v>53.1</v>
      </c>
      <c r="E14" s="279">
        <f>[4]Brewhouse!$AG258</f>
        <v>50.6</v>
      </c>
      <c r="F14" s="278">
        <f>[4]Brewhouse!$V258</f>
        <v>60</v>
      </c>
      <c r="G14" s="279">
        <f>[4]Brewhouse!$AE258</f>
        <v>11.7</v>
      </c>
      <c r="H14" s="396">
        <v>11.7</v>
      </c>
      <c r="I14" s="368">
        <f>[4]Brewhouse!$AS258</f>
        <v>99.370659448462092</v>
      </c>
      <c r="J14" s="368">
        <f>[4]Brewhouse!$AT258</f>
        <v>100.05319890596252</v>
      </c>
      <c r="K14" s="281">
        <f>[4]Brewhouse!$Q258</f>
        <v>9.5574387947269361</v>
      </c>
      <c r="L14" s="276">
        <f>[4]Brewhouse!$P258</f>
        <v>61</v>
      </c>
      <c r="M14" s="374">
        <f>[4]Brewhouse!$U258-[4]Brewhouse!$T258</f>
        <v>0.11388888888888893</v>
      </c>
      <c r="N14" s="370">
        <f>[4]Brewhouse!$AW258</f>
        <v>0.26388888888888884</v>
      </c>
      <c r="O14" s="371" t="str">
        <f>[4]Brewhouse!$AV258</f>
        <v>K. Benjamin</v>
      </c>
      <c r="P14" s="418" t="s">
        <v>173</v>
      </c>
      <c r="R14" s="277" t="str">
        <f t="shared" si="9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33" t="s">
        <v>9</v>
      </c>
      <c r="C15" s="366" t="str">
        <f>[4]Brewhouse!$A259</f>
        <v>ST204</v>
      </c>
      <c r="D15" s="279">
        <f>[4]Brewhouse!$AB259</f>
        <v>53.1</v>
      </c>
      <c r="E15" s="279">
        <f>[4]Brewhouse!$AG259</f>
        <v>50</v>
      </c>
      <c r="F15" s="278">
        <f>[4]Brewhouse!$V259</f>
        <v>57</v>
      </c>
      <c r="G15" s="279">
        <f>[4]Brewhouse!$AE259</f>
        <v>12</v>
      </c>
      <c r="H15" s="396">
        <v>11.9</v>
      </c>
      <c r="I15" s="368">
        <f>[4]Brewhouse!$AS259</f>
        <v>100.46353523213787</v>
      </c>
      <c r="J15" s="368">
        <f>[4]Brewhouse!$AT259</f>
        <v>101.15426031140436</v>
      </c>
      <c r="K15" s="281">
        <f>[4]Brewhouse!$Q259</f>
        <v>8.6158192090395538</v>
      </c>
      <c r="L15" s="276">
        <f>[4]Brewhouse!$P259</f>
        <v>61</v>
      </c>
      <c r="M15" s="374">
        <f>[4]Brewhouse!$U259-[4]Brewhouse!$T259</f>
        <v>0.17777777777777781</v>
      </c>
      <c r="N15" s="370">
        <f>[4]Brewhouse!$AW259</f>
        <v>0.26249999999999996</v>
      </c>
      <c r="O15" s="371" t="str">
        <f>[4]Brewhouse!$AV259</f>
        <v xml:space="preserve">R.Regis </v>
      </c>
      <c r="P15" s="418" t="s">
        <v>172</v>
      </c>
      <c r="R15" s="277" t="str">
        <f t="shared" si="9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33" t="s">
        <v>9</v>
      </c>
      <c r="C16" s="366" t="str">
        <f>[4]Brewhouse!$A260</f>
        <v>ST205</v>
      </c>
      <c r="D16" s="279">
        <f>[4]Brewhouse!$AB260</f>
        <v>53.1</v>
      </c>
      <c r="E16" s="279">
        <f>[4]Brewhouse!$AG260</f>
        <v>50.4</v>
      </c>
      <c r="F16" s="278">
        <f>[4]Brewhouse!$V260</f>
        <v>63</v>
      </c>
      <c r="G16" s="279">
        <f>[4]Brewhouse!$AE260</f>
        <v>11.7</v>
      </c>
      <c r="H16" s="396">
        <v>11.8</v>
      </c>
      <c r="I16" s="368">
        <f>[4]Brewhouse!$AS260</f>
        <v>98.730026427379045</v>
      </c>
      <c r="J16" s="368">
        <f>[4]Brewhouse!$AT260</f>
        <v>99.408611077888466</v>
      </c>
      <c r="K16" s="281">
        <f>[4]Brewhouse!$Q260</f>
        <v>9.7457627118644012</v>
      </c>
      <c r="L16" s="276">
        <f>[4]Brewhouse!$P260</f>
        <v>61</v>
      </c>
      <c r="M16" s="374">
        <f>[4]Brewhouse!$U260-[4]Brewhouse!$T260</f>
        <v>0.1333333333333333</v>
      </c>
      <c r="N16" s="370">
        <f>[4]Brewhouse!$AW260</f>
        <v>0.29652777777777772</v>
      </c>
      <c r="O16" s="371" t="str">
        <f>[4]Brewhouse!$AV260</f>
        <v xml:space="preserve">R.Regis </v>
      </c>
      <c r="P16" s="418" t="s">
        <v>172</v>
      </c>
      <c r="R16" s="277" t="str">
        <f t="shared" si="9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7.25" customHeight="1">
      <c r="B17" s="33" t="s">
        <v>9</v>
      </c>
      <c r="C17" s="366" t="str">
        <f>[4]Brewhouse!$A261</f>
        <v>ST206</v>
      </c>
      <c r="D17" s="279">
        <f>[4]Brewhouse!$AB261</f>
        <v>53.1</v>
      </c>
      <c r="E17" s="279">
        <f>[4]Brewhouse!$AG261</f>
        <v>50.4</v>
      </c>
      <c r="F17" s="278">
        <f>[4]Brewhouse!$V261</f>
        <v>58</v>
      </c>
      <c r="G17" s="279">
        <f>[4]Brewhouse!$AE261</f>
        <v>11.8</v>
      </c>
      <c r="H17" s="396">
        <v>11.8</v>
      </c>
      <c r="I17" s="368">
        <f>[4]Brewhouse!$AS261</f>
        <v>100.24562738297855</v>
      </c>
      <c r="J17" s="368">
        <f>[4]Brewhouse!$AT261</f>
        <v>100.93349395203339</v>
      </c>
      <c r="K17" s="281">
        <f>[4]Brewhouse!$Q261</f>
        <v>10.12241054613936</v>
      </c>
      <c r="L17" s="276">
        <f>[4]Brewhouse!$P261</f>
        <v>59</v>
      </c>
      <c r="M17" s="374">
        <f>[4]Brewhouse!$U261-[4]Brewhouse!$T261</f>
        <v>0.10694444444444429</v>
      </c>
      <c r="N17" s="370">
        <f>[4]Brewhouse!$AW261</f>
        <v>0.2451388888888888</v>
      </c>
      <c r="O17" s="371" t="str">
        <f>[4]Brewhouse!$AV261</f>
        <v xml:space="preserve">R.Regis </v>
      </c>
      <c r="P17" s="418"/>
      <c r="R17" s="277" t="str">
        <f t="shared" si="9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7.2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7.25" customHeight="1">
      <c r="B19" s="29"/>
      <c r="C19" s="366"/>
      <c r="D19" s="279"/>
      <c r="E19" s="279"/>
      <c r="F19" s="278"/>
      <c r="G19" s="279"/>
      <c r="H19" s="481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>
      <c r="B20" s="29"/>
      <c r="C20" s="366"/>
      <c r="D20" s="279"/>
      <c r="E20" s="279"/>
      <c r="F20" s="278"/>
      <c r="G20" s="279"/>
      <c r="H20" s="481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44"/>
      <c r="J22" s="544"/>
      <c r="K22" s="544"/>
      <c r="L22" s="544"/>
      <c r="M22" s="544"/>
      <c r="N22" s="544"/>
      <c r="O22" s="1"/>
      <c r="P22" s="12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7.25" customHeight="1" thickBot="1">
      <c r="B23" s="388" t="s">
        <v>162</v>
      </c>
      <c r="C23" s="388"/>
      <c r="D23" s="545" t="s">
        <v>35</v>
      </c>
      <c r="E23" s="546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7.25" customHeight="1">
      <c r="A24" s="28"/>
      <c r="B24" s="530"/>
      <c r="C24" s="362"/>
      <c r="D24" s="548"/>
      <c r="E24" s="549"/>
      <c r="F24" s="294"/>
      <c r="G24" s="294"/>
      <c r="H24" s="348"/>
      <c r="I24" s="29" t="s">
        <v>6</v>
      </c>
      <c r="J24" s="323"/>
      <c r="K24" s="284">
        <f>COUNTA([3]Brewhouse!$A$441:$A$448)</f>
        <v>8</v>
      </c>
      <c r="L24" s="305">
        <f>AVERAGE([3]Brewhouse!$AU$441:$AU$448)</f>
        <v>99.348146788195805</v>
      </c>
      <c r="M24" s="305">
        <f>AVERAGE([3]Brewhouse!$AU$42:$AU$123,[3]Brewhouse!$AU$125:$AU$188,[3]Brewhouse!$AU$198:$AU$290,[3]Brewhouse!$AU$292:$AU$370,[3]Brewhouse!$AU$372:$AU$439,[3]Brewhouse!$AU$441:$AU$448)</f>
        <v>98.002582503921104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" customHeight="1">
      <c r="A25" s="28"/>
      <c r="B25" s="531"/>
      <c r="C25" s="362"/>
      <c r="D25" s="550"/>
      <c r="E25" s="536"/>
      <c r="F25" s="294"/>
      <c r="G25" s="294"/>
      <c r="H25" s="348"/>
      <c r="I25" s="33" t="s">
        <v>9</v>
      </c>
      <c r="J25" s="323">
        <f>AVERAGE(I10:I17)</f>
        <v>98.482779112378395</v>
      </c>
      <c r="K25" s="284">
        <f>COUNTA([4]Brewhouse!$A$252:$A$261)</f>
        <v>10</v>
      </c>
      <c r="L25" s="302">
        <f>AVERAGE([4]Brewhouse!$AS$252:$AS$261)</f>
        <v>98.651084145662495</v>
      </c>
      <c r="M25" s="302">
        <f>AVERAGE([4]Brewhouse!$AS$52:$AS$81,[4]Brewhouse!$AS$83:$AS$124,[4]Brewhouse!$AS$134:$AS$177,[4]Brewhouse!$AS$22:$AS$179,[4]Brewhouse!$AS$214:$AS$249,[4]Brewhouse!$AS$252:$AS$261)</f>
        <v>97.998040136729827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1"/>
      <c r="C26" s="362"/>
      <c r="D26" s="540"/>
      <c r="E26" s="541"/>
      <c r="F26" s="294"/>
      <c r="G26" s="294"/>
      <c r="H26" s="348"/>
      <c r="I26" s="34" t="s">
        <v>12</v>
      </c>
      <c r="J26" s="280"/>
      <c r="K26" s="284">
        <f>COUNTA([5]Brewhouse!$A$62:$A$69)</f>
        <v>8</v>
      </c>
      <c r="L26" s="302">
        <f>AVERAGE([5]Brewhouse!$AU$62:$AU$69)</f>
        <v>95.865325586732524</v>
      </c>
      <c r="M26" s="302">
        <f>AVERAGE([5]Brewhouse!$AU$16:$AU$23,[5]Brewhouse!$AU$25:$AU$32,[5]Brewhouse!$AU$34:$AU$41,[5]Brewhouse!$AU$43:$AU$60,[5]Brewhouse!$AU$62:$AU$69)</f>
        <v>96.726835550404019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31"/>
      <c r="C27" s="362"/>
      <c r="D27" s="535"/>
      <c r="E27" s="536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AVERAGE([6]Brewhouse!$AV$23:$AV$34,[6]Brewhouse!$AV$36,[6]Brewhouse!$AV$38:$AV$52,[6]Brewhouse!$AV$54:$AV$60,[6]Brewhouse!$AV$62:$AV$68)</f>
        <v>97.579195177204838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31"/>
      <c r="C28" s="362"/>
      <c r="D28" s="540"/>
      <c r="E28" s="541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31"/>
      <c r="C29" s="362"/>
      <c r="D29" s="535"/>
      <c r="E29" s="536"/>
      <c r="F29" s="417"/>
      <c r="G29" s="294"/>
      <c r="H29" s="348"/>
      <c r="I29" s="36" t="s">
        <v>15</v>
      </c>
      <c r="J29" s="323"/>
      <c r="K29" s="284"/>
      <c r="L29" s="302"/>
      <c r="M29" s="302">
        <f>AVERAGE([7]Brewhouse!$AT$4:$AT$11,[7]Brewhouse!$AT$13:$AT$16)</f>
        <v>91.538375374138752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31"/>
      <c r="C30" s="362"/>
      <c r="D30" s="540"/>
      <c r="E30" s="541"/>
      <c r="F30" s="417"/>
      <c r="G30" s="294"/>
      <c r="H30" s="348"/>
      <c r="I30" s="37" t="s">
        <v>16</v>
      </c>
      <c r="J30" s="323"/>
      <c r="K30" s="284"/>
      <c r="L30" s="302"/>
      <c r="M30" s="302">
        <f>AVERAGE([8]Brewhouse!$AY$5:$AY$14,[8]Brewhouse!$AY$16:$AY$23,[8]Brewhouse!$AY$42,[8]Brewhouse!$AY$44:$AY$51,[8]Brewhouse!$AY$53:$AY$64)</f>
        <v>97.359350085271998</v>
      </c>
      <c r="N30" s="30">
        <v>98</v>
      </c>
      <c r="O30" s="11"/>
      <c r="P30" s="31" t="s">
        <v>41</v>
      </c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531"/>
      <c r="C31" s="362"/>
      <c r="D31" s="535"/>
      <c r="E31" s="536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7" ht="14.65" customHeight="1">
      <c r="A32" s="28"/>
      <c r="B32" s="531"/>
      <c r="C32" s="349"/>
      <c r="D32" s="540"/>
      <c r="E32" s="541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31"/>
      <c r="C33" s="349"/>
      <c r="D33" s="535"/>
      <c r="E33" s="536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31"/>
      <c r="C34" s="349"/>
      <c r="D34" s="548"/>
      <c r="E34" s="549"/>
      <c r="F34" s="294"/>
      <c r="G34" s="294"/>
      <c r="H34" s="348"/>
      <c r="I34" s="1"/>
      <c r="J34" s="39"/>
      <c r="K34" s="404">
        <f>SUM(K24:K33)</f>
        <v>26</v>
      </c>
      <c r="L34" s="405">
        <f>((L24*K24)+(L25*K25)+(L26*K26)+(L27*K27)+(L28*K28)+(K31*L31)+(L29*K29)+(L30*K30)+(L33*K33))/(K34)</f>
        <v>98.008408479078909</v>
      </c>
      <c r="M34" s="405">
        <f>AVERAGE('[9]Jan30th-31st'!$L$42,L34)</f>
        <v>97.918225107460188</v>
      </c>
      <c r="N34" s="40">
        <v>98</v>
      </c>
      <c r="O34" s="11"/>
      <c r="P34" s="31">
        <f>565.3+167.88+63</f>
        <v>796.18</v>
      </c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47"/>
      <c r="C35" s="350"/>
      <c r="D35" s="550"/>
      <c r="E35" s="536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30"/>
      <c r="C36" s="362"/>
      <c r="D36" s="533"/>
      <c r="E36" s="534"/>
      <c r="F36" s="294"/>
      <c r="G36" s="42"/>
      <c r="H36" s="41"/>
      <c r="I36" s="42"/>
      <c r="J36" s="537" t="s">
        <v>129</v>
      </c>
      <c r="K36" s="537"/>
      <c r="L36" s="294"/>
      <c r="M36" s="294"/>
      <c r="N36" s="294"/>
      <c r="O36" s="294"/>
      <c r="P36" s="12"/>
    </row>
    <row r="37" spans="1:56" ht="15.75" thickBot="1">
      <c r="B37" s="531"/>
      <c r="C37" s="362"/>
      <c r="D37" s="535"/>
      <c r="E37" s="536"/>
      <c r="F37" s="294"/>
      <c r="G37" s="42"/>
      <c r="H37" s="42"/>
      <c r="I37" s="42"/>
      <c r="J37" s="292" t="s">
        <v>17</v>
      </c>
      <c r="K37" s="293" t="s">
        <v>170</v>
      </c>
      <c r="L37" s="538" t="s">
        <v>136</v>
      </c>
      <c r="M37" s="538"/>
      <c r="N37" s="539"/>
      <c r="O37" s="294"/>
      <c r="P37" s="12"/>
    </row>
    <row r="38" spans="1:56" ht="15" customHeight="1" thickBot="1">
      <c r="B38" s="531"/>
      <c r="C38" s="349"/>
      <c r="D38" s="540"/>
      <c r="E38" s="541"/>
      <c r="F38" s="294"/>
      <c r="G38" s="42"/>
      <c r="H38" s="42"/>
      <c r="I38" s="42"/>
      <c r="J38" s="287" t="s">
        <v>6</v>
      </c>
      <c r="K38" s="324"/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31"/>
      <c r="C39" s="349"/>
      <c r="D39" s="535"/>
      <c r="E39" s="536"/>
      <c r="F39" s="294"/>
      <c r="G39" s="42"/>
      <c r="H39" s="42"/>
      <c r="I39" s="42"/>
      <c r="J39" s="345" t="s">
        <v>9</v>
      </c>
      <c r="K39" s="324">
        <v>8</v>
      </c>
      <c r="L39" s="344">
        <f>AVERAGE('June 2nd'!K44,'June 3rd'!K52,'June 4th'!K47,'June 5th'!K46,K48)</f>
        <v>5.2</v>
      </c>
      <c r="M39" s="325">
        <f>AVERAGE('[9]Jan30th-31st'!$L$47,L39,'[10]Feb 26th '!$L$39,'[11]Mar 31st'!$L$47,'[12]Apr 30th'!$L$46,'[13]May 29th '!$L$40)</f>
        <v>6.1379776021080374</v>
      </c>
      <c r="N39" s="416">
        <v>9.1999999999999993</v>
      </c>
      <c r="O39" s="294"/>
      <c r="P39" s="12"/>
    </row>
    <row r="40" spans="1:56" ht="15" customHeight="1">
      <c r="B40" s="531"/>
      <c r="C40" s="349"/>
      <c r="D40" s="540"/>
      <c r="E40" s="541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31"/>
      <c r="C41" s="349"/>
      <c r="D41" s="535"/>
      <c r="E41" s="536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31"/>
      <c r="C42" s="349"/>
      <c r="D42" s="540"/>
      <c r="E42" s="541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31"/>
      <c r="C43" s="349"/>
      <c r="D43" s="535"/>
      <c r="E43" s="536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31"/>
      <c r="C44" s="349"/>
      <c r="D44" s="540"/>
      <c r="E44" s="541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32"/>
      <c r="C45" s="350"/>
      <c r="D45" s="542"/>
      <c r="E45" s="543"/>
      <c r="F45" s="294" t="s">
        <v>166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23"/>
      <c r="E46" s="524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8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15" t="s">
        <v>17</v>
      </c>
      <c r="C51" s="515" t="s">
        <v>44</v>
      </c>
      <c r="D51" s="526" t="s">
        <v>45</v>
      </c>
      <c r="E51" s="528" t="s">
        <v>46</v>
      </c>
      <c r="F51" s="521" t="s">
        <v>47</v>
      </c>
      <c r="G51" s="513" t="s">
        <v>48</v>
      </c>
      <c r="H51" s="515" t="s">
        <v>49</v>
      </c>
      <c r="I51" s="515" t="s">
        <v>50</v>
      </c>
      <c r="J51" s="507" t="s">
        <v>28</v>
      </c>
      <c r="K51" s="517" t="s">
        <v>51</v>
      </c>
      <c r="L51" s="519" t="s">
        <v>52</v>
      </c>
      <c r="M51" s="507" t="s">
        <v>53</v>
      </c>
      <c r="N51" s="13"/>
      <c r="O51" s="13"/>
      <c r="P51" s="50"/>
    </row>
    <row r="52" spans="2:57" ht="28.5" customHeight="1" thickTop="1" thickBot="1">
      <c r="B52" s="516"/>
      <c r="C52" s="525"/>
      <c r="D52" s="527"/>
      <c r="E52" s="529"/>
      <c r="F52" s="522"/>
      <c r="G52" s="514"/>
      <c r="H52" s="516"/>
      <c r="I52" s="516"/>
      <c r="J52" s="508"/>
      <c r="K52" s="518"/>
      <c r="L52" s="520"/>
      <c r="M52" s="508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84"/>
      <c r="C53" s="479"/>
      <c r="D53" s="445"/>
      <c r="E53" s="443"/>
      <c r="F53" s="444"/>
      <c r="G53" s="445"/>
      <c r="H53" s="458"/>
      <c r="I53" s="458"/>
      <c r="J53" s="448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[16]January_2019!L5</f>
        <v>0</v>
      </c>
      <c r="AC53" s="57">
        <f>[16]January_2019!M5</f>
        <v>0</v>
      </c>
      <c r="AD53" s="57">
        <f>[16]January_2019!N5</f>
        <v>0</v>
      </c>
      <c r="AE53" s="57">
        <f>[16]January_2019!O5</f>
        <v>0</v>
      </c>
      <c r="AF53" s="57">
        <f>[16]January_2019!P5</f>
        <v>0</v>
      </c>
      <c r="AG53" s="57">
        <f>[16]January_2019!Q5</f>
        <v>0</v>
      </c>
      <c r="AH53" s="57">
        <f>[16]January_2019!R5</f>
        <v>0</v>
      </c>
      <c r="AI53" s="57">
        <f>[16]January_2019!S5</f>
        <v>0</v>
      </c>
      <c r="AJ53" s="57">
        <f>[16]January_2019!T5</f>
        <v>0</v>
      </c>
      <c r="AK53" s="57">
        <f>[16]January_2019!U5</f>
        <v>0</v>
      </c>
      <c r="AL53" s="57">
        <f>[16]January_2019!V5</f>
        <v>0</v>
      </c>
      <c r="AM53" s="57">
        <f>[16]January_2019!W5</f>
        <v>0</v>
      </c>
      <c r="AN53" s="57">
        <f>[16]January_2019!X5</f>
        <v>0</v>
      </c>
      <c r="AO53" s="57">
        <f>[16]January_2019!Y5</f>
        <v>0</v>
      </c>
      <c r="AP53" s="57">
        <f>[16]January_2019!Z5</f>
        <v>0</v>
      </c>
      <c r="AQ53" s="57">
        <f>[16]January_2019!AA5</f>
        <v>0</v>
      </c>
      <c r="AR53" s="57">
        <f>[16]January_2019!AB5</f>
        <v>0</v>
      </c>
      <c r="AS53" s="57">
        <f>[16]January_2019!AC5</f>
        <v>0</v>
      </c>
      <c r="AT53" s="57">
        <f>[16]January_2019!AD5</f>
        <v>0</v>
      </c>
      <c r="AU53" s="57">
        <f>[16]January_2019!AE5</f>
        <v>0</v>
      </c>
      <c r="AV53" s="57">
        <f>[16]January_2019!AF5</f>
        <v>0</v>
      </c>
      <c r="AW53" s="57">
        <f>[16]January_2019!AG5</f>
        <v>0</v>
      </c>
      <c r="AX53" s="277">
        <f>[16]January_2019!AH5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[16]January_2019!L6</f>
        <v>0</v>
      </c>
      <c r="AC54" s="57">
        <f>[16]January_2019!M6</f>
        <v>0</v>
      </c>
      <c r="AD54" s="57">
        <f>[16]January_2019!N6</f>
        <v>0</v>
      </c>
      <c r="AE54" s="57">
        <f>[16]January_2019!O6</f>
        <v>0</v>
      </c>
      <c r="AF54" s="57">
        <f>[16]January_2019!P6</f>
        <v>0</v>
      </c>
      <c r="AG54" s="57">
        <f>[16]January_2019!Q6</f>
        <v>0</v>
      </c>
      <c r="AH54" s="57">
        <f>[16]January_2019!R6</f>
        <v>0</v>
      </c>
      <c r="AI54" s="57">
        <f>[16]January_2019!S6</f>
        <v>0</v>
      </c>
      <c r="AJ54" s="57">
        <f>[16]January_2019!T6</f>
        <v>0</v>
      </c>
      <c r="AK54" s="57">
        <f>[16]January_2019!U6</f>
        <v>0</v>
      </c>
      <c r="AL54" s="57">
        <f>[16]January_2019!V6</f>
        <v>0</v>
      </c>
      <c r="AM54" s="57">
        <f>[16]January_2019!W6</f>
        <v>0</v>
      </c>
      <c r="AN54" s="57">
        <f>[16]January_2019!X6</f>
        <v>0</v>
      </c>
      <c r="AO54" s="57">
        <f>[16]January_2019!Y6</f>
        <v>0</v>
      </c>
      <c r="AP54" s="57">
        <f>[16]January_2019!Z6</f>
        <v>0</v>
      </c>
      <c r="AQ54" s="57">
        <f>[16]January_2019!AA6</f>
        <v>0</v>
      </c>
      <c r="AR54" s="57">
        <f>[16]January_2019!AB6</f>
        <v>0</v>
      </c>
      <c r="AS54" s="57">
        <f>[16]January_2019!AC6</f>
        <v>0</v>
      </c>
      <c r="AT54" s="57">
        <f>[16]January_2019!AD6</f>
        <v>0</v>
      </c>
      <c r="AU54" s="57">
        <f>[16]January_2019!AE6</f>
        <v>0</v>
      </c>
      <c r="AV54" s="57">
        <f>[16]January_2019!AF6</f>
        <v>0</v>
      </c>
      <c r="AW54" s="57">
        <f>[16]January_2019!AG6</f>
        <v>0</v>
      </c>
      <c r="AX54" s="277">
        <f>[16]January_2019!AH6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[16]January_2019!L7</f>
        <v>285.8</v>
      </c>
      <c r="AC55" s="57">
        <f>[16]January_2019!M7</f>
        <v>508.1</v>
      </c>
      <c r="AD55" s="57">
        <f>[16]January_2019!N7</f>
        <v>0</v>
      </c>
      <c r="AE55" s="57">
        <f>[16]January_2019!O7</f>
        <v>0</v>
      </c>
      <c r="AF55" s="57">
        <f>[16]January_2019!P7</f>
        <v>109.56666666666666</v>
      </c>
      <c r="AG55" s="57">
        <f>[16]January_2019!Q7</f>
        <v>297.64999999999998</v>
      </c>
      <c r="AH55" s="57">
        <f>[16]January_2019!R7</f>
        <v>122.3</v>
      </c>
      <c r="AI55" s="57">
        <f>[16]January_2019!S7</f>
        <v>0</v>
      </c>
      <c r="AJ55" s="57">
        <f>[16]January_2019!T7</f>
        <v>294.7</v>
      </c>
      <c r="AK55" s="57">
        <f>[16]January_2019!U7</f>
        <v>280.5</v>
      </c>
      <c r="AL55" s="57">
        <f>[16]January_2019!V7</f>
        <v>0</v>
      </c>
      <c r="AM55" s="57">
        <f>[16]January_2019!W7</f>
        <v>0</v>
      </c>
      <c r="AN55" s="57">
        <f>[16]January_2019!X7</f>
        <v>188.25</v>
      </c>
      <c r="AO55" s="57">
        <f>[16]January_2019!Y7</f>
        <v>295.7</v>
      </c>
      <c r="AP55" s="57">
        <f>[16]January_2019!Z7</f>
        <v>257.8</v>
      </c>
      <c r="AQ55" s="57">
        <f>[16]January_2019!AA7</f>
        <v>291.2</v>
      </c>
      <c r="AR55" s="57">
        <f>[16]January_2019!AB7</f>
        <v>187</v>
      </c>
      <c r="AS55" s="57">
        <f>[16]January_2019!AC7</f>
        <v>0</v>
      </c>
      <c r="AT55" s="57">
        <f>[16]January_2019!AD7</f>
        <v>0</v>
      </c>
      <c r="AU55" s="57">
        <f>[16]January_2019!AE7</f>
        <v>485.1</v>
      </c>
      <c r="AV55" s="57">
        <f>[16]January_2019!AF7</f>
        <v>171.55</v>
      </c>
      <c r="AW55" s="57">
        <f>[16]January_2019!AG7</f>
        <v>423.8</v>
      </c>
      <c r="AX55" s="277">
        <f>[16]January_2019!AH7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9.5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450000000000003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4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09" t="s">
        <v>55</v>
      </c>
      <c r="C64" s="510"/>
      <c r="D64" s="510"/>
      <c r="E64" s="510"/>
      <c r="F64" s="511"/>
      <c r="G64" s="509" t="s">
        <v>56</v>
      </c>
      <c r="H64" s="510"/>
      <c r="I64" s="510"/>
      <c r="J64" s="511"/>
      <c r="K64" s="509" t="s">
        <v>51</v>
      </c>
      <c r="L64" s="510"/>
      <c r="M64" s="510"/>
      <c r="N64" s="512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/>
      <c r="D66" s="76"/>
      <c r="E66" s="76">
        <v>6.5623673132836648</v>
      </c>
      <c r="F66" s="66">
        <v>4.8</v>
      </c>
      <c r="G66" s="65"/>
      <c r="H66" s="477"/>
      <c r="I66" s="477">
        <v>6.2688670205621344</v>
      </c>
      <c r="J66" s="66">
        <v>4.8</v>
      </c>
      <c r="K66" s="67"/>
      <c r="L66" s="194"/>
      <c r="M66" s="194">
        <v>0.51130548427310263</v>
      </c>
      <c r="N66" s="68">
        <v>1</v>
      </c>
      <c r="O66" s="56"/>
      <c r="P66" s="69"/>
    </row>
    <row r="67" spans="2:16" ht="15">
      <c r="B67" s="33" t="s">
        <v>9</v>
      </c>
      <c r="C67" s="65"/>
      <c r="D67" s="76"/>
      <c r="E67" s="76">
        <v>5.8230180888372871</v>
      </c>
      <c r="F67" s="66">
        <v>4.8</v>
      </c>
      <c r="G67" s="65"/>
      <c r="H67" s="76"/>
      <c r="I67" s="76">
        <v>5.4655642193228315</v>
      </c>
      <c r="J67" s="66">
        <v>4.8</v>
      </c>
      <c r="K67" s="67"/>
      <c r="L67" s="194"/>
      <c r="M67" s="194">
        <v>0.68713504693777017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11.435860710768946</v>
      </c>
      <c r="F68" s="66">
        <v>5.5</v>
      </c>
      <c r="G68" s="65"/>
      <c r="H68" s="76"/>
      <c r="I68" s="76">
        <v>12.618851801260744</v>
      </c>
      <c r="J68" s="66">
        <v>5.5</v>
      </c>
      <c r="K68" s="67"/>
      <c r="L68" s="194"/>
      <c r="M68" s="194">
        <v>0.26444407894736843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4.7166249493099075</v>
      </c>
      <c r="F69" s="66">
        <v>3.3</v>
      </c>
      <c r="G69" s="65"/>
      <c r="H69" s="76"/>
      <c r="I69" s="76">
        <v>4.7393662692065543</v>
      </c>
      <c r="J69" s="66">
        <v>3.3</v>
      </c>
      <c r="K69" s="67"/>
      <c r="L69" s="194"/>
      <c r="M69" s="194">
        <v>0.73604010025062649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76"/>
      <c r="D71" s="76"/>
      <c r="E71" s="76">
        <v>5.1541347251672045</v>
      </c>
      <c r="F71" s="483">
        <v>5.5</v>
      </c>
      <c r="G71" s="282"/>
      <c r="H71" s="76"/>
      <c r="I71" s="76">
        <v>7.4989046872874194</v>
      </c>
      <c r="J71" s="66">
        <v>5.5</v>
      </c>
      <c r="K71" s="67"/>
      <c r="L71" s="194"/>
      <c r="M71" s="194">
        <v>1.0201754385964912</v>
      </c>
      <c r="N71" s="68">
        <v>1</v>
      </c>
      <c r="P71" s="69"/>
    </row>
    <row r="72" spans="2:16" ht="15">
      <c r="B72" s="37" t="s">
        <v>16</v>
      </c>
      <c r="C72" s="485"/>
      <c r="D72" s="76"/>
      <c r="E72" s="76">
        <v>3.7333963207914191</v>
      </c>
      <c r="F72" s="66">
        <v>3.3</v>
      </c>
      <c r="G72" s="282"/>
      <c r="H72" s="76"/>
      <c r="I72" s="76">
        <v>4.8412394790618878</v>
      </c>
      <c r="J72" s="66">
        <v>3.3</v>
      </c>
      <c r="K72" s="67"/>
      <c r="L72" s="194"/>
      <c r="M72" s="194">
        <v>0.84386695906432752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/>
      <c r="E75" s="76">
        <v>6.3115024469710663</v>
      </c>
      <c r="F75" s="341">
        <v>5.5</v>
      </c>
      <c r="H75" s="76"/>
      <c r="I75" s="76">
        <v>6.3654183077136706</v>
      </c>
      <c r="J75" s="341">
        <v>5.5</v>
      </c>
      <c r="L75" s="194"/>
      <c r="M75" s="194">
        <v>0.57830160611739556</v>
      </c>
      <c r="N75" s="386">
        <v>1</v>
      </c>
    </row>
  </sheetData>
  <mergeCells count="51"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2963" priority="93" operator="notBetween">
      <formula>#REF!</formula>
      <formula>#REF!</formula>
    </cfRule>
  </conditionalFormatting>
  <conditionalFormatting sqref="C50">
    <cfRule type="cellIs" dxfId="2962" priority="183" stopIfTrue="1" operator="greaterThan">
      <formula>100</formula>
    </cfRule>
    <cfRule type="cellIs" dxfId="2961" priority="182" stopIfTrue="1" operator="lessThan">
      <formula>96</formula>
    </cfRule>
  </conditionalFormatting>
  <conditionalFormatting sqref="C66:C67">
    <cfRule type="cellIs" dxfId="2960" priority="53" stopIfTrue="1" operator="greaterThan">
      <formula>$F66</formula>
    </cfRule>
    <cfRule type="cellIs" dxfId="2959" priority="54" stopIfTrue="1" operator="lessThanOrEqual">
      <formula>0</formula>
    </cfRule>
    <cfRule type="cellIs" dxfId="2958" priority="55" stopIfTrue="1" operator="greaterThan">
      <formula>$F66</formula>
    </cfRule>
    <cfRule type="cellIs" dxfId="2957" priority="56" stopIfTrue="1" operator="lessThanOrEqual">
      <formula>0</formula>
    </cfRule>
  </conditionalFormatting>
  <conditionalFormatting sqref="C68:C70 C72:C74">
    <cfRule type="cellIs" dxfId="2956" priority="63" stopIfTrue="1" operator="greaterThan">
      <formula>$F71</formula>
    </cfRule>
  </conditionalFormatting>
  <conditionalFormatting sqref="C68:C70">
    <cfRule type="cellIs" dxfId="2955" priority="64" stopIfTrue="1" operator="lessThanOrEqual">
      <formula>0</formula>
    </cfRule>
  </conditionalFormatting>
  <conditionalFormatting sqref="C72:C74">
    <cfRule type="cellIs" dxfId="2954" priority="65" stopIfTrue="1" operator="lessThanOrEqual">
      <formula>0</formula>
    </cfRule>
  </conditionalFormatting>
  <conditionalFormatting sqref="C77:C81">
    <cfRule type="cellIs" dxfId="2953" priority="174" stopIfTrue="1" operator="lessThanOrEqual">
      <formula>0</formula>
    </cfRule>
  </conditionalFormatting>
  <conditionalFormatting sqref="C78:C81">
    <cfRule type="cellIs" dxfId="2952" priority="173" stopIfTrue="1" operator="greaterThan">
      <formula>$F$77</formula>
    </cfRule>
  </conditionalFormatting>
  <conditionalFormatting sqref="C83">
    <cfRule type="cellIs" dxfId="2951" priority="175" stopIfTrue="1" operator="greaterThan">
      <formula>$F$77</formula>
    </cfRule>
    <cfRule type="cellIs" dxfId="2950" priority="176" stopIfTrue="1" operator="lessThanOrEqual">
      <formula>0</formula>
    </cfRule>
  </conditionalFormatting>
  <conditionalFormatting sqref="C71:D71">
    <cfRule type="cellIs" dxfId="2949" priority="51" stopIfTrue="1" operator="greaterThan">
      <formula>$J71</formula>
    </cfRule>
    <cfRule type="cellIs" dxfId="2948" priority="52" stopIfTrue="1" operator="lessThanOrEqual">
      <formula>0</formula>
    </cfRule>
  </conditionalFormatting>
  <conditionalFormatting sqref="C77:D77 D79:D85">
    <cfRule type="cellIs" dxfId="2947" priority="168" stopIfTrue="1" operator="greaterThan">
      <formula>4.5</formula>
    </cfRule>
  </conditionalFormatting>
  <conditionalFormatting sqref="D46:D47">
    <cfRule type="cellIs" dxfId="2946" priority="94" operator="notBetween">
      <formula>#REF!</formula>
      <formula>#REF!</formula>
    </cfRule>
  </conditionalFormatting>
  <conditionalFormatting sqref="D66:D70 D72:D73">
    <cfRule type="cellIs" dxfId="2945" priority="62" stopIfTrue="1" operator="lessThanOrEqual">
      <formula>0</formula>
    </cfRule>
  </conditionalFormatting>
  <conditionalFormatting sqref="D66:D70 D72:D75">
    <cfRule type="cellIs" dxfId="2944" priority="59" stopIfTrue="1" operator="greaterThan">
      <formula>$F66</formula>
    </cfRule>
    <cfRule type="cellIs" dxfId="2943" priority="58" stopIfTrue="1" operator="lessThanOrEqual">
      <formula>0</formula>
    </cfRule>
  </conditionalFormatting>
  <conditionalFormatting sqref="D74:D75">
    <cfRule type="cellIs" dxfId="2942" priority="60" stopIfTrue="1" operator="lessThanOrEqual">
      <formula>0</formula>
    </cfRule>
  </conditionalFormatting>
  <conditionalFormatting sqref="D75">
    <cfRule type="cellIs" dxfId="2941" priority="61" stopIfTrue="1" operator="lessThanOrEqual">
      <formula>0</formula>
    </cfRule>
  </conditionalFormatting>
  <conditionalFormatting sqref="D77 D79:D85">
    <cfRule type="cellIs" dxfId="2940" priority="169" stopIfTrue="1" operator="lessThanOrEqual">
      <formula>0</formula>
    </cfRule>
  </conditionalFormatting>
  <conditionalFormatting sqref="D78">
    <cfRule type="cellIs" dxfId="2939" priority="161" stopIfTrue="1" operator="lessThanOrEqual">
      <formula>0</formula>
    </cfRule>
    <cfRule type="cellIs" dxfId="2938" priority="160" stopIfTrue="1" operator="greaterThan">
      <formula>$F$77</formula>
    </cfRule>
  </conditionalFormatting>
  <conditionalFormatting sqref="E10:E21">
    <cfRule type="cellIs" dxfId="2937" priority="8" operator="lessThan">
      <formula>48</formula>
    </cfRule>
  </conditionalFormatting>
  <conditionalFormatting sqref="E49 E50:F50">
    <cfRule type="cellIs" dxfId="2936" priority="165" stopIfTrue="1" operator="greaterThan">
      <formula>100</formula>
    </cfRule>
  </conditionalFormatting>
  <conditionalFormatting sqref="E50">
    <cfRule type="cellIs" dxfId="2935" priority="163" stopIfTrue="1" operator="greaterThan">
      <formula>100</formula>
    </cfRule>
    <cfRule type="cellIs" dxfId="2934" priority="162" stopIfTrue="1" operator="lessThan">
      <formula>96.8</formula>
    </cfRule>
  </conditionalFormatting>
  <conditionalFormatting sqref="E66:E74">
    <cfRule type="cellIs" dxfId="2933" priority="20" stopIfTrue="1" operator="lessThanOrEqual">
      <formula>0</formula>
    </cfRule>
  </conditionalFormatting>
  <conditionalFormatting sqref="E66:E75">
    <cfRule type="cellIs" dxfId="2932" priority="22" stopIfTrue="1" operator="lessThanOrEqual">
      <formula>0</formula>
    </cfRule>
    <cfRule type="cellIs" dxfId="2931" priority="21" stopIfTrue="1" operator="greaterThan">
      <formula>$F66</formula>
    </cfRule>
  </conditionalFormatting>
  <conditionalFormatting sqref="E75">
    <cfRule type="cellIs" dxfId="2930" priority="23" stopIfTrue="1" operator="lessThanOrEqual">
      <formula>0</formula>
    </cfRule>
  </conditionalFormatting>
  <conditionalFormatting sqref="E77:E85">
    <cfRule type="cellIs" dxfId="2929" priority="154" stopIfTrue="1" operator="greaterThan">
      <formula>4.5</formula>
    </cfRule>
    <cfRule type="cellIs" dxfId="2928" priority="155" stopIfTrue="1" operator="lessThanOrEqual">
      <formula>0</formula>
    </cfRule>
  </conditionalFormatting>
  <conditionalFormatting sqref="E50:F50 E49">
    <cfRule type="cellIs" dxfId="2927" priority="164" stopIfTrue="1" operator="lessThan">
      <formula>96.5</formula>
    </cfRule>
  </conditionalFormatting>
  <conditionalFormatting sqref="F19:F21">
    <cfRule type="cellIs" dxfId="2926" priority="11" operator="greaterThan">
      <formula>60</formula>
    </cfRule>
  </conditionalFormatting>
  <conditionalFormatting sqref="F50">
    <cfRule type="cellIs" dxfId="2925" priority="180" stopIfTrue="1" operator="lessThan">
      <formula>96.8</formula>
    </cfRule>
    <cfRule type="cellIs" dxfId="2924" priority="181" stopIfTrue="1" operator="greaterThan">
      <formula>100</formula>
    </cfRule>
  </conditionalFormatting>
  <conditionalFormatting sqref="F75">
    <cfRule type="cellIs" dxfId="2923" priority="31" stopIfTrue="1" operator="greaterThan">
      <formula>$F75</formula>
    </cfRule>
    <cfRule type="cellIs" dxfId="2922" priority="32" stopIfTrue="1" operator="lessThanOrEqual">
      <formula>0</formula>
    </cfRule>
  </conditionalFormatting>
  <conditionalFormatting sqref="G10:G21">
    <cfRule type="expression" dxfId="2921" priority="10">
      <formula>IF(+(IF(G10&lt;S10,0,IF(G10&gt;T10,0,1)))=0,1)</formula>
    </cfRule>
  </conditionalFormatting>
  <conditionalFormatting sqref="G66:G67">
    <cfRule type="cellIs" dxfId="2920" priority="33" stopIfTrue="1" operator="greaterThan">
      <formula>$F66</formula>
    </cfRule>
    <cfRule type="cellIs" dxfId="2919" priority="34" stopIfTrue="1" operator="lessThanOrEqual">
      <formula>0</formula>
    </cfRule>
  </conditionalFormatting>
  <conditionalFormatting sqref="G66:G69">
    <cfRule type="cellIs" dxfId="2918" priority="16" stopIfTrue="1" operator="lessThanOrEqual">
      <formula>0</formula>
    </cfRule>
    <cfRule type="cellIs" dxfId="2917" priority="15" stopIfTrue="1" operator="greaterThan">
      <formula>$F66</formula>
    </cfRule>
  </conditionalFormatting>
  <conditionalFormatting sqref="G68">
    <cfRule type="cellIs" dxfId="2916" priority="14" stopIfTrue="1" operator="lessThanOrEqual">
      <formula>0</formula>
    </cfRule>
    <cfRule type="cellIs" dxfId="2915" priority="13" stopIfTrue="1" operator="greaterThan">
      <formula>$F68</formula>
    </cfRule>
  </conditionalFormatting>
  <conditionalFormatting sqref="G69">
    <cfRule type="cellIs" dxfId="2914" priority="28" stopIfTrue="1" operator="lessThanOrEqual">
      <formula>0</formula>
    </cfRule>
    <cfRule type="cellIs" dxfId="2913" priority="27" stopIfTrue="1" operator="greaterThan">
      <formula>$F69</formula>
    </cfRule>
  </conditionalFormatting>
  <conditionalFormatting sqref="G70:G74">
    <cfRule type="cellIs" dxfId="2912" priority="35" stopIfTrue="1" operator="greaterThan">
      <formula>$J70</formula>
    </cfRule>
    <cfRule type="cellIs" dxfId="2911" priority="36" stopIfTrue="1" operator="lessThanOrEqual">
      <formula>0</formula>
    </cfRule>
  </conditionalFormatting>
  <conditionalFormatting sqref="G79:G84 C82 C84">
    <cfRule type="cellIs" dxfId="2910" priority="177" stopIfTrue="1" operator="greaterThan">
      <formula>4.5</formula>
    </cfRule>
    <cfRule type="cellIs" dxfId="2909" priority="178" stopIfTrue="1" operator="lessThanOrEqual">
      <formula>0</formula>
    </cfRule>
  </conditionalFormatting>
  <conditionalFormatting sqref="G78:H78">
    <cfRule type="cellIs" dxfId="2908" priority="159" stopIfTrue="1" operator="lessThanOrEqual">
      <formula>0</formula>
    </cfRule>
    <cfRule type="cellIs" dxfId="2907" priority="158" stopIfTrue="1" operator="greaterThan">
      <formula>$F$77</formula>
    </cfRule>
  </conditionalFormatting>
  <conditionalFormatting sqref="H10:H21 M10:N21">
    <cfRule type="expression" dxfId="2906" priority="9">
      <formula>IF(+(IF(H10&lt;#REF!,0,IF(H10&gt;#REF!,0,1)))=0,1)</formula>
    </cfRule>
  </conditionalFormatting>
  <conditionalFormatting sqref="H35:H36 H49">
    <cfRule type="cellIs" dxfId="2905" priority="156" stopIfTrue="1" operator="greaterThan">
      <formula>0</formula>
    </cfRule>
  </conditionalFormatting>
  <conditionalFormatting sqref="H53">
    <cfRule type="cellIs" dxfId="2904" priority="38" stopIfTrue="1" operator="lessThanOrEqual">
      <formula>0</formula>
    </cfRule>
    <cfRule type="cellIs" dxfId="2903" priority="49" stopIfTrue="1" operator="greaterThan">
      <formula>$F$67</formula>
    </cfRule>
    <cfRule type="cellIs" dxfId="2902" priority="48" stopIfTrue="1" operator="lessThanOrEqual">
      <formula>0</formula>
    </cfRule>
    <cfRule type="cellIs" dxfId="2901" priority="47" stopIfTrue="1" operator="greaterThan">
      <formula>$F$69</formula>
    </cfRule>
    <cfRule type="cellIs" dxfId="2900" priority="39" stopIfTrue="1" operator="greaterThan">
      <formula>$F$66</formula>
    </cfRule>
  </conditionalFormatting>
  <conditionalFormatting sqref="H53:H55">
    <cfRule type="cellIs" dxfId="2899" priority="50" stopIfTrue="1" operator="lessThanOrEqual">
      <formula>0</formula>
    </cfRule>
  </conditionalFormatting>
  <conditionalFormatting sqref="H54:H55">
    <cfRule type="cellIs" dxfId="2898" priority="75" stopIfTrue="1" operator="lessThanOrEqual">
      <formula>0</formula>
    </cfRule>
    <cfRule type="cellIs" dxfId="2897" priority="76" stopIfTrue="1" operator="greaterThan">
      <formula>$F$67</formula>
    </cfRule>
    <cfRule type="cellIs" dxfId="2896" priority="66" stopIfTrue="1" operator="greaterThan">
      <formula>$F$66</formula>
    </cfRule>
    <cfRule type="cellIs" dxfId="2895" priority="74" stopIfTrue="1" operator="greaterThan">
      <formula>$F$69</formula>
    </cfRule>
  </conditionalFormatting>
  <conditionalFormatting sqref="H54:H57">
    <cfRule type="cellIs" dxfId="2894" priority="77" stopIfTrue="1" operator="lessThanOrEqual">
      <formula>0</formula>
    </cfRule>
  </conditionalFormatting>
  <conditionalFormatting sqref="H56:H57">
    <cfRule type="cellIs" dxfId="2893" priority="90" stopIfTrue="1" operator="greaterThan">
      <formula>$F$67</formula>
    </cfRule>
    <cfRule type="cellIs" dxfId="2892" priority="91" stopIfTrue="1" operator="lessThanOrEqual">
      <formula>0</formula>
    </cfRule>
    <cfRule type="cellIs" dxfId="2891" priority="88" stopIfTrue="1" operator="greaterThan">
      <formula>$F$69</formula>
    </cfRule>
    <cfRule type="cellIs" dxfId="2890" priority="80" stopIfTrue="1" operator="greaterThan">
      <formula>$F$66</formula>
    </cfRule>
    <cfRule type="cellIs" dxfId="2889" priority="89" stopIfTrue="1" operator="lessThanOrEqual">
      <formula>0</formula>
    </cfRule>
  </conditionalFormatting>
  <conditionalFormatting sqref="H58:H59">
    <cfRule type="cellIs" dxfId="2888" priority="127" stopIfTrue="1" operator="greaterThan">
      <formula>$F$21</formula>
    </cfRule>
    <cfRule type="cellIs" dxfId="2887" priority="128" stopIfTrue="1" operator="lessThanOrEqual">
      <formula>0</formula>
    </cfRule>
    <cfRule type="cellIs" dxfId="2886" priority="119" stopIfTrue="1" operator="greaterThan">
      <formula>#REF!</formula>
    </cfRule>
    <cfRule type="cellIs" dxfId="2885" priority="118" stopIfTrue="1" operator="lessThanOrEqual">
      <formula>0</formula>
    </cfRule>
    <cfRule type="cellIs" dxfId="2884" priority="129" stopIfTrue="1" operator="greaterThan">
      <formula>#REF!</formula>
    </cfRule>
    <cfRule type="cellIs" dxfId="2883" priority="130" stopIfTrue="1" operator="lessThanOrEqual">
      <formula>0</formula>
    </cfRule>
  </conditionalFormatting>
  <conditionalFormatting sqref="H60">
    <cfRule type="cellIs" dxfId="2882" priority="141" stopIfTrue="1" operator="greaterThan">
      <formula>$F$37</formula>
    </cfRule>
    <cfRule type="cellIs" dxfId="2881" priority="133" stopIfTrue="1" operator="greaterThan">
      <formula>$F$34</formula>
    </cfRule>
    <cfRule type="cellIs" dxfId="2880" priority="132" stopIfTrue="1" operator="lessThanOrEqual">
      <formula>0</formula>
    </cfRule>
    <cfRule type="cellIs" dxfId="2879" priority="143" stopIfTrue="1" operator="greaterThan">
      <formula>$F$35</formula>
    </cfRule>
    <cfRule type="cellIs" dxfId="2878" priority="144" stopIfTrue="1" operator="lessThanOrEqual">
      <formula>0</formula>
    </cfRule>
    <cfRule type="cellIs" dxfId="2877" priority="142" stopIfTrue="1" operator="lessThanOrEqual">
      <formula>0</formula>
    </cfRule>
  </conditionalFormatting>
  <conditionalFormatting sqref="H61:H62">
    <cfRule type="cellIs" dxfId="2876" priority="115" stopIfTrue="1" operator="greaterThan">
      <formula>#REF!</formula>
    </cfRule>
    <cfRule type="cellIs" dxfId="2875" priority="114" stopIfTrue="1" operator="lessThanOrEqual">
      <formula>0</formula>
    </cfRule>
    <cfRule type="cellIs" dxfId="2874" priority="105" stopIfTrue="1" operator="greaterThan">
      <formula>#REF!</formula>
    </cfRule>
    <cfRule type="cellIs" dxfId="2873" priority="104" stopIfTrue="1" operator="lessThanOrEqual">
      <formula>0</formula>
    </cfRule>
    <cfRule type="cellIs" dxfId="2872" priority="113" stopIfTrue="1" operator="greaterThan">
      <formula>$F$21</formula>
    </cfRule>
    <cfRule type="cellIs" dxfId="2871" priority="116" stopIfTrue="1" operator="lessThanOrEqual">
      <formula>0</formula>
    </cfRule>
  </conditionalFormatting>
  <conditionalFormatting sqref="H77 H79:H85">
    <cfRule type="cellIs" dxfId="2870" priority="170" stopIfTrue="1" operator="greaterThan">
      <formula>4.5</formula>
    </cfRule>
    <cfRule type="cellIs" dxfId="2869" priority="171" stopIfTrue="1" operator="lessThanOrEqual">
      <formula>0</formula>
    </cfRule>
  </conditionalFormatting>
  <conditionalFormatting sqref="H53:I53">
    <cfRule type="cellIs" dxfId="2868" priority="40" stopIfTrue="1" operator="lessThanOrEqual">
      <formula>0</formula>
    </cfRule>
  </conditionalFormatting>
  <conditionalFormatting sqref="H53:I57">
    <cfRule type="cellIs" dxfId="2867" priority="37" stopIfTrue="1" operator="greaterThan">
      <formula>$F$68</formula>
    </cfRule>
  </conditionalFormatting>
  <conditionalFormatting sqref="H54:I55">
    <cfRule type="cellIs" dxfId="2866" priority="67" stopIfTrue="1" operator="lessThanOrEqual">
      <formula>0</formula>
    </cfRule>
  </conditionalFormatting>
  <conditionalFormatting sqref="H56:I57">
    <cfRule type="cellIs" dxfId="2865" priority="81" stopIfTrue="1" operator="lessThanOrEqual">
      <formula>0</formula>
    </cfRule>
  </conditionalFormatting>
  <conditionalFormatting sqref="H58:I59">
    <cfRule type="cellIs" dxfId="2864" priority="117" stopIfTrue="1" operator="greaterThan">
      <formula>#REF!</formula>
    </cfRule>
    <cfRule type="cellIs" dxfId="2863" priority="120" stopIfTrue="1" operator="lessThanOrEqual">
      <formula>0</formula>
    </cfRule>
  </conditionalFormatting>
  <conditionalFormatting sqref="H60:I60">
    <cfRule type="cellIs" dxfId="2862" priority="134" stopIfTrue="1" operator="lessThanOrEqual">
      <formula>0</formula>
    </cfRule>
    <cfRule type="cellIs" dxfId="2861" priority="131" stopIfTrue="1" operator="greaterThan">
      <formula>$F$36</formula>
    </cfRule>
  </conditionalFormatting>
  <conditionalFormatting sqref="H61:I62">
    <cfRule type="cellIs" dxfId="2860" priority="106" stopIfTrue="1" operator="lessThanOrEqual">
      <formula>0</formula>
    </cfRule>
    <cfRule type="cellIs" dxfId="2859" priority="103" stopIfTrue="1" operator="greaterThan">
      <formula>#REF!</formula>
    </cfRule>
  </conditionalFormatting>
  <conditionalFormatting sqref="H66:I73">
    <cfRule type="cellIs" dxfId="2858" priority="19" stopIfTrue="1" operator="lessThanOrEqual">
      <formula>0</formula>
    </cfRule>
    <cfRule type="cellIs" dxfId="2857" priority="18" stopIfTrue="1" operator="greaterThan">
      <formula>$J66</formula>
    </cfRule>
  </conditionalFormatting>
  <conditionalFormatting sqref="H74:I74">
    <cfRule type="cellIs" dxfId="2856" priority="26" operator="greaterThan">
      <formula>5.3</formula>
    </cfRule>
  </conditionalFormatting>
  <conditionalFormatting sqref="H75:I75">
    <cfRule type="cellIs" dxfId="2855" priority="24" stopIfTrue="1" operator="greaterThan">
      <formula>$J75</formula>
    </cfRule>
    <cfRule type="cellIs" dxfId="2854" priority="25" stopIfTrue="1" operator="lessThanOrEqual">
      <formula>0</formula>
    </cfRule>
  </conditionalFormatting>
  <conditionalFormatting sqref="I53">
    <cfRule type="cellIs" dxfId="2853" priority="41" stopIfTrue="1" operator="greaterThan">
      <formula>$F$66</formula>
    </cfRule>
    <cfRule type="cellIs" dxfId="2852" priority="42" stopIfTrue="1" operator="lessThanOrEqual">
      <formula>0</formula>
    </cfRule>
    <cfRule type="cellIs" dxfId="2851" priority="43" stopIfTrue="1" operator="greaterThan">
      <formula>$F$68</formula>
    </cfRule>
    <cfRule type="cellIs" dxfId="2850" priority="44" stopIfTrue="1" operator="lessThanOrEqual">
      <formula>0</formula>
    </cfRule>
    <cfRule type="cellIs" dxfId="2849" priority="46" stopIfTrue="1" operator="lessThanOrEqual">
      <formula>0</formula>
    </cfRule>
    <cfRule type="cellIs" dxfId="2848" priority="45" stopIfTrue="1" operator="greaterThan">
      <formula>$F$66</formula>
    </cfRule>
  </conditionalFormatting>
  <conditionalFormatting sqref="I54:I55">
    <cfRule type="cellIs" dxfId="2847" priority="72" stopIfTrue="1" operator="greaterThan">
      <formula>$F$66</formula>
    </cfRule>
    <cfRule type="cellIs" dxfId="2846" priority="71" stopIfTrue="1" operator="lessThanOrEqual">
      <formula>0</formula>
    </cfRule>
    <cfRule type="cellIs" dxfId="2845" priority="69" stopIfTrue="1" operator="lessThanOrEqual">
      <formula>0</formula>
    </cfRule>
    <cfRule type="cellIs" dxfId="2844" priority="68" stopIfTrue="1" operator="greaterThan">
      <formula>$F$66</formula>
    </cfRule>
    <cfRule type="cellIs" dxfId="2843" priority="73" stopIfTrue="1" operator="lessThanOrEqual">
      <formula>0</formula>
    </cfRule>
    <cfRule type="cellIs" dxfId="2842" priority="70" stopIfTrue="1" operator="greaterThan">
      <formula>$F$68</formula>
    </cfRule>
  </conditionalFormatting>
  <conditionalFormatting sqref="I56:I57">
    <cfRule type="cellIs" dxfId="2841" priority="82" stopIfTrue="1" operator="greaterThan">
      <formula>$F$66</formula>
    </cfRule>
    <cfRule type="cellIs" dxfId="2840" priority="83" stopIfTrue="1" operator="lessThanOrEqual">
      <formula>0</formula>
    </cfRule>
    <cfRule type="cellIs" dxfId="2839" priority="87" stopIfTrue="1" operator="lessThanOrEqual">
      <formula>0</formula>
    </cfRule>
    <cfRule type="cellIs" dxfId="2838" priority="84" stopIfTrue="1" operator="greaterThan">
      <formula>$F$68</formula>
    </cfRule>
    <cfRule type="cellIs" dxfId="2837" priority="85" stopIfTrue="1" operator="lessThanOrEqual">
      <formula>0</formula>
    </cfRule>
    <cfRule type="cellIs" dxfId="2836" priority="86" stopIfTrue="1" operator="greaterThan">
      <formula>$F$66</formula>
    </cfRule>
  </conditionalFormatting>
  <conditionalFormatting sqref="I58:I59">
    <cfRule type="cellIs" dxfId="2835" priority="121" stopIfTrue="1" operator="greaterThan">
      <formula>#REF!</formula>
    </cfRule>
    <cfRule type="cellIs" dxfId="2834" priority="122" stopIfTrue="1" operator="lessThanOrEqual">
      <formula>0</formula>
    </cfRule>
    <cfRule type="cellIs" dxfId="2833" priority="123" stopIfTrue="1" operator="greaterThan">
      <formula>#REF!</formula>
    </cfRule>
    <cfRule type="cellIs" dxfId="2832" priority="124" stopIfTrue="1" operator="lessThanOrEqual">
      <formula>0</formula>
    </cfRule>
    <cfRule type="cellIs" dxfId="2831" priority="125" stopIfTrue="1" operator="greaterThan">
      <formula>#REF!</formula>
    </cfRule>
    <cfRule type="cellIs" dxfId="2830" priority="126" stopIfTrue="1" operator="lessThanOrEqual">
      <formula>0</formula>
    </cfRule>
  </conditionalFormatting>
  <conditionalFormatting sqref="I60">
    <cfRule type="cellIs" dxfId="2829" priority="139" stopIfTrue="1" operator="greaterThan">
      <formula>$F$34</formula>
    </cfRule>
    <cfRule type="cellIs" dxfId="2828" priority="135" stopIfTrue="1" operator="greaterThan">
      <formula>$F$34</formula>
    </cfRule>
    <cfRule type="cellIs" dxfId="2827" priority="136" stopIfTrue="1" operator="lessThanOrEqual">
      <formula>0</formula>
    </cfRule>
    <cfRule type="cellIs" dxfId="2826" priority="137" stopIfTrue="1" operator="greaterThan">
      <formula>$F$36</formula>
    </cfRule>
    <cfRule type="cellIs" dxfId="2825" priority="138" stopIfTrue="1" operator="lessThanOrEqual">
      <formula>0</formula>
    </cfRule>
    <cfRule type="cellIs" dxfId="2824" priority="140" stopIfTrue="1" operator="lessThanOrEqual">
      <formula>0</formula>
    </cfRule>
  </conditionalFormatting>
  <conditionalFormatting sqref="I61:I62">
    <cfRule type="cellIs" dxfId="2823" priority="109" stopIfTrue="1" operator="greaterThan">
      <formula>#REF!</formula>
    </cfRule>
    <cfRule type="cellIs" dxfId="2822" priority="111" stopIfTrue="1" operator="greaterThan">
      <formula>#REF!</formula>
    </cfRule>
    <cfRule type="cellIs" dxfId="2821" priority="112" stopIfTrue="1" operator="lessThanOrEqual">
      <formula>0</formula>
    </cfRule>
    <cfRule type="cellIs" dxfId="2820" priority="110" stopIfTrue="1" operator="lessThanOrEqual">
      <formula>0</formula>
    </cfRule>
    <cfRule type="cellIs" dxfId="2819" priority="107" stopIfTrue="1" operator="greaterThan">
      <formula>#REF!</formula>
    </cfRule>
    <cfRule type="cellIs" dxfId="2818" priority="108" stopIfTrue="1" operator="lessThanOrEqual">
      <formula>0</formula>
    </cfRule>
  </conditionalFormatting>
  <conditionalFormatting sqref="I77:I85">
    <cfRule type="cellIs" dxfId="2817" priority="167" stopIfTrue="1" operator="lessThanOrEqual">
      <formula>0</formula>
    </cfRule>
    <cfRule type="cellIs" dxfId="2816" priority="166" stopIfTrue="1" operator="greaterThan">
      <formula>4.5</formula>
    </cfRule>
  </conditionalFormatting>
  <conditionalFormatting sqref="I10:J21">
    <cfRule type="cellIs" dxfId="2815" priority="2" operator="lessThan">
      <formula>97.9</formula>
    </cfRule>
  </conditionalFormatting>
  <conditionalFormatting sqref="J24:J25">
    <cfRule type="cellIs" dxfId="2814" priority="79" operator="lessThan">
      <formula>97.95</formula>
    </cfRule>
  </conditionalFormatting>
  <conditionalFormatting sqref="J26">
    <cfRule type="cellIs" dxfId="2813" priority="146" stopIfTrue="1" operator="lessThan">
      <formula>96.8</formula>
    </cfRule>
    <cfRule type="cellIs" dxfId="2812" priority="148" operator="lessThan">
      <formula>98</formula>
    </cfRule>
    <cfRule type="cellIs" dxfId="2811" priority="147" stopIfTrue="1" operator="greaterThan">
      <formula>100</formula>
    </cfRule>
  </conditionalFormatting>
  <conditionalFormatting sqref="J26:J28">
    <cfRule type="cellIs" dxfId="2810" priority="145" operator="lessThan">
      <formula>97.4</formula>
    </cfRule>
  </conditionalFormatting>
  <conditionalFormatting sqref="J29:J30">
    <cfRule type="cellIs" dxfId="2809" priority="149" operator="lessThan">
      <formula>98</formula>
    </cfRule>
  </conditionalFormatting>
  <conditionalFormatting sqref="J31:J32">
    <cfRule type="cellIs" dxfId="2808" priority="150" stopIfTrue="1" operator="lessThan">
      <formula>96.8</formula>
    </cfRule>
    <cfRule type="cellIs" dxfId="2807" priority="151" stopIfTrue="1" operator="greaterThan">
      <formula>100</formula>
    </cfRule>
  </conditionalFormatting>
  <conditionalFormatting sqref="J31:J33">
    <cfRule type="cellIs" dxfId="2806" priority="152" operator="lessThan">
      <formula>98</formula>
    </cfRule>
  </conditionalFormatting>
  <conditionalFormatting sqref="J62">
    <cfRule type="cellIs" dxfId="2805" priority="96" stopIfTrue="1" operator="lessThanOrEqual">
      <formula>0</formula>
    </cfRule>
    <cfRule type="cellIs" dxfId="2804" priority="98" stopIfTrue="1" operator="lessThanOrEqual">
      <formula>0</formula>
    </cfRule>
    <cfRule type="cellIs" dxfId="2803" priority="99" stopIfTrue="1" operator="greaterThan">
      <formula>#REF!</formula>
    </cfRule>
    <cfRule type="cellIs" dxfId="2802" priority="102" stopIfTrue="1" operator="lessThanOrEqual">
      <formula>0</formula>
    </cfRule>
    <cfRule type="cellIs" dxfId="2801" priority="101" stopIfTrue="1" operator="greaterThan">
      <formula>#REF!</formula>
    </cfRule>
    <cfRule type="cellIs" dxfId="2800" priority="97" stopIfTrue="1" operator="greaterThan">
      <formula>#REF!</formula>
    </cfRule>
    <cfRule type="cellIs" dxfId="2799" priority="95" stopIfTrue="1" operator="greaterThan">
      <formula>#REF!</formula>
    </cfRule>
    <cfRule type="cellIs" dxfId="2798" priority="100" stopIfTrue="1" operator="lessThanOrEqual">
      <formula>0</formula>
    </cfRule>
  </conditionalFormatting>
  <conditionalFormatting sqref="J75">
    <cfRule type="cellIs" dxfId="2797" priority="30" stopIfTrue="1" operator="lessThanOrEqual">
      <formula>0</formula>
    </cfRule>
    <cfRule type="cellIs" dxfId="2796" priority="29" stopIfTrue="1" operator="greaterThan">
      <formula>$F75</formula>
    </cfRule>
  </conditionalFormatting>
  <conditionalFormatting sqref="K10:K21">
    <cfRule type="cellIs" dxfId="2795" priority="5" operator="greaterThan">
      <formula>6.4</formula>
    </cfRule>
    <cfRule type="cellIs" dxfId="2794" priority="3" operator="greaterThan">
      <formula>6</formula>
    </cfRule>
    <cfRule type="cellIs" dxfId="2793" priority="4" operator="lessThan">
      <formula>4</formula>
    </cfRule>
  </conditionalFormatting>
  <conditionalFormatting sqref="K53:K62">
    <cfRule type="cellIs" dxfId="2792" priority="78" stopIfTrue="1" operator="lessThan">
      <formula>100%</formula>
    </cfRule>
  </conditionalFormatting>
  <conditionalFormatting sqref="K66:K74">
    <cfRule type="cellIs" dxfId="2791" priority="17" stopIfTrue="1" operator="lessThan">
      <formula>100%</formula>
    </cfRule>
  </conditionalFormatting>
  <conditionalFormatting sqref="K77:K82">
    <cfRule type="cellIs" dxfId="2790" priority="172" stopIfTrue="1" operator="lessThan">
      <formula>100%</formula>
    </cfRule>
  </conditionalFormatting>
  <conditionalFormatting sqref="K84:K85">
    <cfRule type="cellIs" dxfId="2789" priority="179" stopIfTrue="1" operator="lessThan">
      <formula>100%</formula>
    </cfRule>
  </conditionalFormatting>
  <conditionalFormatting sqref="L10:L21">
    <cfRule type="cellIs" dxfId="2788" priority="7" operator="greaterThan">
      <formula>65</formula>
    </cfRule>
    <cfRule type="cellIs" dxfId="2787" priority="6" operator="between">
      <formula>61</formula>
      <formula>65</formula>
    </cfRule>
  </conditionalFormatting>
  <conditionalFormatting sqref="L24:M35">
    <cfRule type="cellIs" dxfId="2786" priority="92" operator="lessThan">
      <formula>97.95</formula>
    </cfRule>
  </conditionalFormatting>
  <conditionalFormatting sqref="L39:N39">
    <cfRule type="cellIs" dxfId="2785" priority="57" operator="notEqual">
      <formula>#REF!</formula>
    </cfRule>
  </conditionalFormatting>
  <conditionalFormatting sqref="L66:N75">
    <cfRule type="cellIs" dxfId="2784" priority="12" stopIfTrue="1" operator="lessThan">
      <formula>100%</formula>
    </cfRule>
  </conditionalFormatting>
  <conditionalFormatting sqref="L77:N85">
    <cfRule type="cellIs" dxfId="2783" priority="157" stopIfTrue="1" operator="lessThan">
      <formula>100%</formula>
    </cfRule>
  </conditionalFormatting>
  <conditionalFormatting sqref="N10:N18">
    <cfRule type="expression" dxfId="2782" priority="1">
      <formula>IF(+(IF(N10&lt;W10,0,IF(N10&gt;X10,0,1)))=0,1)</formula>
    </cfRule>
  </conditionalFormatting>
  <conditionalFormatting sqref="P6">
    <cfRule type="cellIs" dxfId="2781" priority="153" operator="greaterThanOrEqual">
      <formula>19</formula>
    </cfRule>
  </conditionalFormatting>
  <dataValidations count="1">
    <dataValidation type="list" allowBlank="1" showInputMessage="1" showErrorMessage="1" sqref="R8" xr:uid="{EB34297D-BB80-4567-BE8C-3B7E0C00E5A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8D07-46F6-438F-8EDF-D09E942BD81A}">
  <sheetPr>
    <pageSetUpPr fitToPage="1"/>
  </sheetPr>
  <dimension ref="A1:BE83"/>
  <sheetViews>
    <sheetView topLeftCell="A30" zoomScale="70" zoomScaleNormal="70" workbookViewId="0">
      <selection activeCell="B25" sqref="B25:O25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46183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hidden="1" customHeight="1">
      <c r="B10" s="29" t="s">
        <v>6</v>
      </c>
      <c r="C10" s="366" t="str">
        <f>[3]Brewhouse!$A441</f>
        <v>CA395</v>
      </c>
      <c r="D10" s="279">
        <f>[3]Brewhouse!$AF441</f>
        <v>47.9</v>
      </c>
      <c r="E10" s="279">
        <f>[3]Brewhouse!$AI441</f>
        <v>47.9</v>
      </c>
      <c r="F10" s="278">
        <f>[3]Brewhouse!$V441</f>
        <v>60</v>
      </c>
      <c r="G10" s="279">
        <f>[3]Brewhouse!AG441</f>
        <v>12</v>
      </c>
      <c r="H10" s="396"/>
      <c r="I10" s="368">
        <f>[3]Brewhouse!$AU441</f>
        <v>94.35299110982487</v>
      </c>
      <c r="J10" s="368">
        <f>[3]Brewhouse!$AV441</f>
        <v>95.174307131157988</v>
      </c>
      <c r="K10" s="281">
        <f>[3]Brewhouse!$Q441</f>
        <v>12.62962962962963</v>
      </c>
      <c r="L10" s="276">
        <f>[3]Brewhouse!$P441</f>
        <v>57</v>
      </c>
      <c r="M10" s="397">
        <f>[3]Brewhouse!$U441-[3]Brewhouse!$T441</f>
        <v>0.12708333333333333</v>
      </c>
      <c r="N10" s="370">
        <f>[3]Brewhouse!$Z441</f>
        <v>0.32847222222222217</v>
      </c>
      <c r="O10" s="420" t="str">
        <f>[3]Brewhouse!$AX441</f>
        <v>R. Regis</v>
      </c>
      <c r="P10" s="418"/>
      <c r="R10" s="277" t="str">
        <f t="shared" ref="R10:R43" si="0">B10</f>
        <v>CARIB</v>
      </c>
      <c r="S10" s="472">
        <f t="shared" ref="S10:S43" si="1">VLOOKUP($B10,$R$3:$X$9,2,FALSE)</f>
        <v>11.6</v>
      </c>
      <c r="T10" s="472">
        <f t="shared" ref="T10:T43" si="2">VLOOKUP($B10,$R$3:$X$9,3,FALSE)</f>
        <v>12</v>
      </c>
      <c r="U10" s="297">
        <f t="shared" ref="U10:U43" si="3">VLOOKUP($B10,$R$3:$X$9,4,FALSE)</f>
        <v>0</v>
      </c>
      <c r="V10" s="297">
        <f t="shared" ref="V10:V43" si="4">VLOOKUP($B10,$R$3:$X$9,5,FALSE)</f>
        <v>0.118055555555556</v>
      </c>
      <c r="W10" s="297">
        <f t="shared" ref="W10:W43" si="5">VLOOKUP($B10,$R$3:$X$9,6,FALSE)</f>
        <v>0.22569444444444445</v>
      </c>
      <c r="X10" s="297">
        <f t="shared" ref="X10:X43" si="6">VLOOKUP($B10,$R$3:$X$9,7,FALSE)</f>
        <v>0.2638888888888889</v>
      </c>
      <c r="Y10" s="297">
        <f t="shared" ref="Y10:Y43" si="7">VLOOKUP($B10,$R$3:$Z$9,8,FALSE)</f>
        <v>0</v>
      </c>
      <c r="Z10" s="472">
        <f t="shared" ref="Z10:Z43" si="8">VLOOKUP($B10,$R$3:$Z$9,9,FALSE)</f>
        <v>60</v>
      </c>
    </row>
    <row r="11" spans="2:29" ht="17.25" hidden="1" customHeight="1">
      <c r="B11" s="29" t="s">
        <v>6</v>
      </c>
      <c r="C11" s="366" t="str">
        <f>[3]Brewhouse!$A442</f>
        <v>CA396</v>
      </c>
      <c r="D11" s="279">
        <f>[3]Brewhouse!$AF442</f>
        <v>50.4</v>
      </c>
      <c r="E11" s="279">
        <f>[3]Brewhouse!$AI442</f>
        <v>50.1</v>
      </c>
      <c r="F11" s="278">
        <f>[3]Brewhouse!$V442</f>
        <v>47</v>
      </c>
      <c r="G11" s="279">
        <f>[3]Brewhouse!AG442</f>
        <v>12</v>
      </c>
      <c r="H11" s="396"/>
      <c r="I11" s="368">
        <f>[3]Brewhouse!$AU442</f>
        <v>99.78810647611833</v>
      </c>
      <c r="J11" s="368">
        <f>[3]Brewhouse!$AV442</f>
        <v>100.65622530286895</v>
      </c>
      <c r="K11" s="281">
        <f>[3]Brewhouse!$Q442</f>
        <v>9.6487985212569285</v>
      </c>
      <c r="L11" s="276">
        <f>[3]Brewhouse!$P442</f>
        <v>60</v>
      </c>
      <c r="M11" s="397">
        <f>[3]Brewhouse!$U442-[3]Brewhouse!$T442</f>
        <v>0.10555555555555562</v>
      </c>
      <c r="N11" s="370">
        <f>[3]Brewhouse!$Z442</f>
        <v>0.26527777777777783</v>
      </c>
      <c r="O11" s="420" t="str">
        <f>[3]Brewhouse!$AX442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hidden="1" customHeight="1">
      <c r="B12" s="29" t="s">
        <v>6</v>
      </c>
      <c r="C12" s="366" t="str">
        <f>[3]Brewhouse!$A443</f>
        <v>CA397</v>
      </c>
      <c r="D12" s="279">
        <f>[3]Brewhouse!$AF443</f>
        <v>49.8</v>
      </c>
      <c r="E12" s="279">
        <f>[3]Brewhouse!$AI443</f>
        <v>49.5</v>
      </c>
      <c r="F12" s="278">
        <f>[3]Brewhouse!$V443</f>
        <v>50</v>
      </c>
      <c r="G12" s="279">
        <f>[3]Brewhouse!AG443</f>
        <v>12</v>
      </c>
      <c r="H12" s="396"/>
      <c r="I12" s="368">
        <f>[3]Brewhouse!$AU443</f>
        <v>98.715472456614393</v>
      </c>
      <c r="J12" s="368">
        <f>[3]Brewhouse!$AV443</f>
        <v>99.574203204894033</v>
      </c>
      <c r="K12" s="281">
        <f>[3]Brewhouse!$Q443</f>
        <v>11.333333333333329</v>
      </c>
      <c r="L12" s="276">
        <f>[3]Brewhouse!$P443</f>
        <v>60</v>
      </c>
      <c r="M12" s="397">
        <f>[3]Brewhouse!$U443-[3]Brewhouse!$T443</f>
        <v>0.10069444444444442</v>
      </c>
      <c r="N12" s="370">
        <f>[3]Brewhouse!$Z443</f>
        <v>0.25694444444444442</v>
      </c>
      <c r="O12" s="420" t="str">
        <f>[3]Brewhouse!$AX443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hidden="1" customHeight="1">
      <c r="B13" s="29" t="s">
        <v>6</v>
      </c>
      <c r="C13" s="366" t="str">
        <f>[3]Brewhouse!$A444</f>
        <v>CA398</v>
      </c>
      <c r="D13" s="279">
        <f>[3]Brewhouse!$AF444</f>
        <v>51</v>
      </c>
      <c r="E13" s="279">
        <f>[3]Brewhouse!$AI444</f>
        <v>50</v>
      </c>
      <c r="F13" s="278">
        <f>[3]Brewhouse!$V444</f>
        <v>55</v>
      </c>
      <c r="G13" s="279">
        <f>[3]Brewhouse!AG444</f>
        <v>11.9</v>
      </c>
      <c r="H13" s="396"/>
      <c r="I13" s="368">
        <f>[3]Brewhouse!$AU444</f>
        <v>98.839319314550693</v>
      </c>
      <c r="J13" s="368">
        <f>[3]Brewhouse!$AV444</f>
        <v>99.699127412736502</v>
      </c>
      <c r="K13" s="281">
        <f>[3]Brewhouse!$Q444</f>
        <v>7.6296296296296253</v>
      </c>
      <c r="L13" s="276">
        <f>[3]Brewhouse!$P444</f>
        <v>61</v>
      </c>
      <c r="M13" s="397">
        <f>[3]Brewhouse!$U444-[3]Brewhouse!$T444</f>
        <v>0.10624999999999996</v>
      </c>
      <c r="N13" s="370">
        <f>[3]Brewhouse!$Z444</f>
        <v>0.24305555555555558</v>
      </c>
      <c r="O13" s="420" t="str">
        <f>[3]Brewhouse!$AX444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hidden="1" customHeight="1">
      <c r="B14" s="29" t="s">
        <v>6</v>
      </c>
      <c r="C14" s="366" t="str">
        <f>[3]Brewhouse!$A445</f>
        <v>CA399</v>
      </c>
      <c r="D14" s="279">
        <f>[3]Brewhouse!$AF445</f>
        <v>50.9</v>
      </c>
      <c r="E14" s="279">
        <f>[3]Brewhouse!$AI445</f>
        <v>50.5</v>
      </c>
      <c r="F14" s="278">
        <f>[3]Brewhouse!$V445</f>
        <v>61</v>
      </c>
      <c r="G14" s="279">
        <f>[3]Brewhouse!AG445</f>
        <v>11.9</v>
      </c>
      <c r="H14" s="396"/>
      <c r="I14" s="368">
        <f>[3]Brewhouse!$AU445</f>
        <v>99.827712507696191</v>
      </c>
      <c r="J14" s="368">
        <f>[3]Brewhouse!$AV445</f>
        <v>100.69611868686383</v>
      </c>
      <c r="K14" s="281">
        <f>[3]Brewhouse!$Q445</f>
        <v>7.8148148148148131</v>
      </c>
      <c r="L14" s="276">
        <f>[3]Brewhouse!$P445</f>
        <v>61</v>
      </c>
      <c r="M14" s="397">
        <f>[3]Brewhouse!$U445-[3]Brewhouse!$T445</f>
        <v>0.10625000000000001</v>
      </c>
      <c r="N14" s="370">
        <f>[3]Brewhouse!$Z445</f>
        <v>0.25833333333333336</v>
      </c>
      <c r="O14" s="420" t="str">
        <f>[3]Brewhouse!$AX445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hidden="1" customHeight="1">
      <c r="B15" s="29" t="s">
        <v>6</v>
      </c>
      <c r="C15" s="366" t="str">
        <f>[3]Brewhouse!$A446</f>
        <v>CA400</v>
      </c>
      <c r="D15" s="279">
        <f>[3]Brewhouse!$AF446</f>
        <v>52.1</v>
      </c>
      <c r="E15" s="279">
        <f>[3]Brewhouse!$AI446</f>
        <v>51.77</v>
      </c>
      <c r="F15" s="278">
        <f>[3]Brewhouse!$V446</f>
        <v>60</v>
      </c>
      <c r="G15" s="279">
        <f>[3]Brewhouse!AG446</f>
        <v>12</v>
      </c>
      <c r="H15" s="396"/>
      <c r="I15" s="368">
        <f>[3]Brewhouse!$AU446</f>
        <v>102.60534633351912</v>
      </c>
      <c r="J15" s="368">
        <f>[3]Brewhouse!$AV446</f>
        <v>103.49820781921714</v>
      </c>
      <c r="K15" s="281">
        <f>[3]Brewhouse!$Q446</f>
        <v>8.1700554528650677</v>
      </c>
      <c r="L15" s="276">
        <f>[3]Brewhouse!$P446</f>
        <v>61</v>
      </c>
      <c r="M15" s="397">
        <f>[3]Brewhouse!$U446-[3]Brewhouse!$T446</f>
        <v>0.1111111111111111</v>
      </c>
      <c r="N15" s="370">
        <f>[3]Brewhouse!$Z446</f>
        <v>0.2631944444444444</v>
      </c>
      <c r="O15" s="420" t="str">
        <f>[3]Brewhouse!$AX446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hidden="1" customHeight="1">
      <c r="B16" s="29" t="s">
        <v>6</v>
      </c>
      <c r="C16" s="366" t="str">
        <f>[3]Brewhouse!$A447</f>
        <v>CA401</v>
      </c>
      <c r="D16" s="279">
        <f>[3]Brewhouse!$AF447</f>
        <v>52.6</v>
      </c>
      <c r="E16" s="279">
        <f>[3]Brewhouse!$AI447</f>
        <v>53.3</v>
      </c>
      <c r="F16" s="278">
        <f>[3]Brewhouse!$V447</f>
        <v>65</v>
      </c>
      <c r="G16" s="279">
        <f>[3]Brewhouse!AG447</f>
        <v>11.6</v>
      </c>
      <c r="H16" s="396"/>
      <c r="I16" s="368">
        <f>[3]Brewhouse!$AU447</f>
        <v>101.06394965204404</v>
      </c>
      <c r="J16" s="368">
        <f>[3]Brewhouse!$AV447</f>
        <v>101.94379553152135</v>
      </c>
      <c r="K16" s="281">
        <f>[3]Brewhouse!$Q447</f>
        <v>6.5064695009242195</v>
      </c>
      <c r="L16" s="276">
        <f>[3]Brewhouse!$P447</f>
        <v>62</v>
      </c>
      <c r="M16" s="397">
        <f>[3]Brewhouse!$U447-[3]Brewhouse!$T447</f>
        <v>0.11388888888888893</v>
      </c>
      <c r="N16" s="370">
        <f>[3]Brewhouse!$Z447</f>
        <v>0.30625000000000002</v>
      </c>
      <c r="O16" s="420" t="str">
        <f>[3]Brewhouse!$AX447</f>
        <v>R. Regis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hidden="1" customHeight="1">
      <c r="B17" s="29" t="s">
        <v>6</v>
      </c>
      <c r="C17" s="366" t="str">
        <f>[3]Brewhouse!$A448</f>
        <v>CA402</v>
      </c>
      <c r="D17" s="279">
        <f>[3]Brewhouse!$AF448</f>
        <v>50.9</v>
      </c>
      <c r="E17" s="279">
        <f>[3]Brewhouse!$AI448</f>
        <v>50.83</v>
      </c>
      <c r="F17" s="278">
        <f>[3]Brewhouse!$V448</f>
        <v>64</v>
      </c>
      <c r="G17" s="279">
        <f>[3]Brewhouse!AG448</f>
        <v>11.8</v>
      </c>
      <c r="H17" s="396"/>
      <c r="I17" s="368">
        <f>[3]Brewhouse!$AU448</f>
        <v>99.592276455198828</v>
      </c>
      <c r="J17" s="368">
        <f>[3]Brewhouse!$AV448</f>
        <v>100.45863456457052</v>
      </c>
      <c r="K17" s="281">
        <f>[3]Brewhouse!$Q448</f>
        <v>8.7245841035120115</v>
      </c>
      <c r="L17" s="276">
        <f>[3]Brewhouse!$P448</f>
        <v>59</v>
      </c>
      <c r="M17" s="397">
        <f>[3]Brewhouse!$U448-[3]Brewhouse!$T448</f>
        <v>0.10902777777777772</v>
      </c>
      <c r="N17" s="370">
        <f>[3]Brewhouse!$Z448</f>
        <v>0.27499999999999997</v>
      </c>
      <c r="O17" s="420" t="str">
        <f>[3]Brewhouse!$AX448</f>
        <v>R. Regis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7.25" customHeight="1">
      <c r="B18" s="29" t="s">
        <v>6</v>
      </c>
      <c r="C18" s="366" t="str">
        <f>[3]Brewhouse!$A449</f>
        <v>CA403</v>
      </c>
      <c r="D18" s="279">
        <f>[3]Brewhouse!$AF449</f>
        <v>49.8</v>
      </c>
      <c r="E18" s="279">
        <f>[3]Brewhouse!$AI449</f>
        <v>49.1</v>
      </c>
      <c r="F18" s="278">
        <f>[3]Brewhouse!$V449</f>
        <v>56</v>
      </c>
      <c r="G18" s="279">
        <f>[3]Brewhouse!AG449</f>
        <v>12</v>
      </c>
      <c r="H18" s="396">
        <v>12</v>
      </c>
      <c r="I18" s="368">
        <f>[3]Brewhouse!$AU449</f>
        <v>98.084548863306736</v>
      </c>
      <c r="J18" s="368">
        <f>[3]Brewhouse!$AV449</f>
        <v>98.892311690113686</v>
      </c>
      <c r="K18" s="281">
        <f>[3]Brewhouse!$Q449</f>
        <v>9.2791127541589713</v>
      </c>
      <c r="L18" s="276">
        <f>[3]Brewhouse!$P449</f>
        <v>58</v>
      </c>
      <c r="M18" s="397">
        <f>[3]Brewhouse!$U449-[3]Brewhouse!$T449</f>
        <v>0.13333333333333333</v>
      </c>
      <c r="N18" s="370">
        <f>[3]Brewhouse!$Z449</f>
        <v>0.27847222222222223</v>
      </c>
      <c r="O18" s="420" t="str">
        <f>[3]Brewhouse!$AX449</f>
        <v>R. Sookram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7.25" customHeight="1">
      <c r="B19" s="29" t="s">
        <v>6</v>
      </c>
      <c r="C19" s="366" t="str">
        <f>[3]Brewhouse!$A450</f>
        <v>CA404</v>
      </c>
      <c r="D19" s="279">
        <f>[3]Brewhouse!$AF450</f>
        <v>47.8</v>
      </c>
      <c r="E19" s="279">
        <f>[3]Brewhouse!$AI450</f>
        <v>48</v>
      </c>
      <c r="F19" s="278">
        <f>[3]Brewhouse!$V450</f>
        <v>74</v>
      </c>
      <c r="G19" s="279">
        <f>[3]Brewhouse!AG450</f>
        <v>12</v>
      </c>
      <c r="H19" s="396">
        <v>12.4</v>
      </c>
      <c r="I19" s="368">
        <f>[3]Brewhouse!$AU450</f>
        <v>96.00650184159764</v>
      </c>
      <c r="J19" s="368">
        <f>[3]Brewhouse!$AV450</f>
        <v>96.797098830647101</v>
      </c>
      <c r="K19" s="281">
        <f>[3]Brewhouse!$Q450</f>
        <v>12.975970425138639</v>
      </c>
      <c r="L19" s="276">
        <f>[3]Brewhouse!$P450</f>
        <v>60</v>
      </c>
      <c r="M19" s="397">
        <f>[3]Brewhouse!$U450-[3]Brewhouse!$T450</f>
        <v>0.14027777777777778</v>
      </c>
      <c r="N19" s="370">
        <f>[3]Brewhouse!$Z450</f>
        <v>0.29583333333333339</v>
      </c>
      <c r="O19" s="420" t="str">
        <f>[3]Brewhouse!$AX450</f>
        <v>R. Sookram</v>
      </c>
      <c r="P19" s="418"/>
      <c r="R19" s="277" t="str">
        <f t="shared" ref="R19:R31" si="9">B19</f>
        <v>CARIB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1:26" ht="17.25" customHeight="1">
      <c r="B20" s="29" t="s">
        <v>6</v>
      </c>
      <c r="C20" s="366" t="str">
        <f>[3]Brewhouse!$A451</f>
        <v>CA405</v>
      </c>
      <c r="D20" s="279">
        <f>[3]Brewhouse!$AF451</f>
        <v>48</v>
      </c>
      <c r="E20" s="279">
        <f>[3]Brewhouse!$AI451</f>
        <v>47.2</v>
      </c>
      <c r="F20" s="278">
        <f>[3]Brewhouse!$V451</f>
        <v>55</v>
      </c>
      <c r="G20" s="279">
        <f>[3]Brewhouse!AG451</f>
        <v>12</v>
      </c>
      <c r="H20" s="396">
        <v>12</v>
      </c>
      <c r="I20" s="368">
        <f>[3]Brewhouse!$AU451</f>
        <v>94.406393477571029</v>
      </c>
      <c r="J20" s="368">
        <f>[3]Brewhouse!$AV451</f>
        <v>95.183813850136332</v>
      </c>
      <c r="K20" s="281">
        <f>[3]Brewhouse!$Q451</f>
        <v>12.444444444444443</v>
      </c>
      <c r="L20" s="276">
        <f>[3]Brewhouse!$P451</f>
        <v>60</v>
      </c>
      <c r="M20" s="397">
        <f>[3]Brewhouse!$U451-[3]Brewhouse!$T451</f>
        <v>0.12847222222222227</v>
      </c>
      <c r="N20" s="370">
        <f>[3]Brewhouse!$Z451</f>
        <v>0.28472222222222227</v>
      </c>
      <c r="O20" s="420" t="str">
        <f>[3]Brewhouse!$AX451</f>
        <v>R. Sookram</v>
      </c>
      <c r="P20" s="418"/>
      <c r="R20" s="277" t="str">
        <f t="shared" si="9"/>
        <v>CARIB</v>
      </c>
      <c r="S20" s="472">
        <f t="shared" si="1"/>
        <v>11.6</v>
      </c>
      <c r="T20" s="472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2">
        <f t="shared" si="8"/>
        <v>60</v>
      </c>
    </row>
    <row r="21" spans="1:26" ht="17.25" customHeight="1">
      <c r="B21" s="29" t="s">
        <v>6</v>
      </c>
      <c r="C21" s="366" t="str">
        <f>[3]Brewhouse!$A452</f>
        <v>CA406</v>
      </c>
      <c r="D21" s="279">
        <f>[3]Brewhouse!$AF452</f>
        <v>49.2</v>
      </c>
      <c r="E21" s="279">
        <f>[3]Brewhouse!$AI452</f>
        <v>48.7</v>
      </c>
      <c r="F21" s="278">
        <f>[3]Brewhouse!$V452</f>
        <v>55</v>
      </c>
      <c r="G21" s="279">
        <f>[3]Brewhouse!AG452</f>
        <v>11.9</v>
      </c>
      <c r="H21" s="396">
        <v>11.9</v>
      </c>
      <c r="I21" s="368">
        <f>[3]Brewhouse!$AU452</f>
        <v>96.433466803831749</v>
      </c>
      <c r="J21" s="368">
        <f>[3]Brewhouse!$AV452</f>
        <v>97.227632354338738</v>
      </c>
      <c r="K21" s="281">
        <f>[3]Brewhouse!$Q452</f>
        <v>10.222222222222214</v>
      </c>
      <c r="L21" s="276">
        <f>[3]Brewhouse!$P452</f>
        <v>60</v>
      </c>
      <c r="M21" s="397">
        <f>[3]Brewhouse!$U452-[3]Brewhouse!$T452</f>
        <v>0.10833333333333339</v>
      </c>
      <c r="N21" s="370">
        <f>[3]Brewhouse!$Z452</f>
        <v>0.2416666666666667</v>
      </c>
      <c r="O21" s="420" t="str">
        <f>[3]Brewhouse!$AX452</f>
        <v>K. Benjamin</v>
      </c>
      <c r="P21" s="418"/>
      <c r="R21" s="277" t="str">
        <f t="shared" si="9"/>
        <v>CARIB</v>
      </c>
      <c r="S21" s="472">
        <f t="shared" si="1"/>
        <v>11.6</v>
      </c>
      <c r="T21" s="472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472">
        <f t="shared" si="8"/>
        <v>60</v>
      </c>
    </row>
    <row r="22" spans="1:26" ht="17.25" customHeight="1">
      <c r="B22" s="29" t="s">
        <v>6</v>
      </c>
      <c r="C22" s="366" t="str">
        <f>[3]Brewhouse!$A453</f>
        <v>CA407</v>
      </c>
      <c r="D22" s="279">
        <f>[3]Brewhouse!$AF453</f>
        <v>49.9</v>
      </c>
      <c r="E22" s="279">
        <f>[3]Brewhouse!$AI453</f>
        <v>50.3</v>
      </c>
      <c r="F22" s="278">
        <f>[3]Brewhouse!$V453</f>
        <v>58</v>
      </c>
      <c r="G22" s="279">
        <f>[3]Brewhouse!AG453</f>
        <v>11.6</v>
      </c>
      <c r="H22" s="396">
        <v>11.9</v>
      </c>
      <c r="I22" s="368">
        <f>[3]Brewhouse!$AU453</f>
        <v>97.324682978378192</v>
      </c>
      <c r="J22" s="368">
        <f>[3]Brewhouse!$AV453</f>
        <v>98.126028435578576</v>
      </c>
      <c r="K22" s="281">
        <f>[3]Brewhouse!$Q453</f>
        <v>10.573012939001845</v>
      </c>
      <c r="L22" s="276">
        <f>[3]Brewhouse!$P453</f>
        <v>61</v>
      </c>
      <c r="M22" s="397">
        <f>[3]Brewhouse!$U453-[3]Brewhouse!$T453</f>
        <v>0.1069444444444444</v>
      </c>
      <c r="N22" s="370">
        <f>[3]Brewhouse!$Z453</f>
        <v>0.24652777777777779</v>
      </c>
      <c r="O22" s="420" t="str">
        <f>[3]Brewhouse!$AX453</f>
        <v>K. Benjamin</v>
      </c>
      <c r="P22" s="418"/>
      <c r="R22" s="277" t="str">
        <f t="shared" si="9"/>
        <v>CARIB</v>
      </c>
      <c r="S22" s="472">
        <f t="shared" si="1"/>
        <v>11.6</v>
      </c>
      <c r="T22" s="472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472">
        <f t="shared" si="8"/>
        <v>60</v>
      </c>
    </row>
    <row r="23" spans="1:26" ht="17.25" customHeight="1">
      <c r="B23" s="29" t="s">
        <v>6</v>
      </c>
      <c r="C23" s="366" t="str">
        <f>[3]Brewhouse!$A454</f>
        <v>CA408</v>
      </c>
      <c r="D23" s="279">
        <f>[3]Brewhouse!$AF454</f>
        <v>50</v>
      </c>
      <c r="E23" s="279">
        <f>[3]Brewhouse!$AI454</f>
        <v>50.5</v>
      </c>
      <c r="F23" s="278">
        <f>[3]Brewhouse!$V454</f>
        <v>58</v>
      </c>
      <c r="G23" s="279">
        <f>[3]Brewhouse!AG454</f>
        <v>11.7</v>
      </c>
      <c r="H23" s="396">
        <v>11.9</v>
      </c>
      <c r="I23" s="368">
        <f>[3]Brewhouse!$AU454</f>
        <v>98.352998332832939</v>
      </c>
      <c r="J23" s="368">
        <f>[3]Brewhouse!$AV454</f>
        <v>99.162918315900527</v>
      </c>
      <c r="K23" s="281">
        <f>[3]Brewhouse!$Q454</f>
        <v>8.9094269870609999</v>
      </c>
      <c r="L23" s="276">
        <f>[3]Brewhouse!$P454</f>
        <v>60</v>
      </c>
      <c r="M23" s="397">
        <f>[3]Brewhouse!$U454-[3]Brewhouse!$T454</f>
        <v>0.11250000000000004</v>
      </c>
      <c r="N23" s="370">
        <f>[3]Brewhouse!$Z454</f>
        <v>0.29513888888888895</v>
      </c>
      <c r="O23" s="420" t="str">
        <f>[3]Brewhouse!$AX454</f>
        <v>K. Benjamin</v>
      </c>
      <c r="P23" s="418"/>
      <c r="R23" s="277" t="str">
        <f t="shared" si="9"/>
        <v>CARIB</v>
      </c>
      <c r="S23" s="472">
        <f t="shared" si="1"/>
        <v>11.6</v>
      </c>
      <c r="T23" s="472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472">
        <f t="shared" si="8"/>
        <v>60</v>
      </c>
    </row>
    <row r="24" spans="1:26" ht="17.25" customHeight="1">
      <c r="B24" s="29" t="s">
        <v>6</v>
      </c>
      <c r="C24" s="366" t="str">
        <f>[3]Brewhouse!$A455</f>
        <v>CA409</v>
      </c>
      <c r="D24" s="279">
        <f>[3]Brewhouse!$AF455</f>
        <v>49.4</v>
      </c>
      <c r="E24" s="279">
        <f>[3]Brewhouse!$AI455</f>
        <v>50</v>
      </c>
      <c r="F24" s="278">
        <f>[3]Brewhouse!$V455</f>
        <v>61</v>
      </c>
      <c r="G24" s="279">
        <f>[3]Brewhouse!AG455</f>
        <v>11.7</v>
      </c>
      <c r="H24" s="396">
        <v>11.8</v>
      </c>
      <c r="I24" s="368">
        <f>[3]Brewhouse!$AU455</f>
        <v>97.74424129612386</v>
      </c>
      <c r="J24" s="368">
        <f>[3]Brewhouse!$AV455</f>
        <v>98.54898759134322</v>
      </c>
      <c r="K24" s="281">
        <f>[3]Brewhouse!$Q455</f>
        <v>10.018484288354902</v>
      </c>
      <c r="L24" s="276">
        <f>[3]Brewhouse!$P455</f>
        <v>60</v>
      </c>
      <c r="M24" s="397">
        <f>[3]Brewhouse!$U455-[3]Brewhouse!$T455</f>
        <v>0.11666666666666659</v>
      </c>
      <c r="N24" s="370">
        <f>[3]Brewhouse!$Z455</f>
        <v>0.26111111111111107</v>
      </c>
      <c r="O24" s="420" t="str">
        <f>[3]Brewhouse!$AX455</f>
        <v>R. Regis</v>
      </c>
      <c r="P24" s="418"/>
      <c r="R24" s="277" t="str">
        <f t="shared" si="9"/>
        <v>CARIB</v>
      </c>
      <c r="S24" s="472">
        <f t="shared" si="1"/>
        <v>11.6</v>
      </c>
      <c r="T24" s="472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2">
        <f t="shared" si="8"/>
        <v>60</v>
      </c>
    </row>
    <row r="25" spans="1:26" ht="17.25" customHeight="1">
      <c r="B25" s="29" t="s">
        <v>6</v>
      </c>
      <c r="C25" s="366" t="str">
        <f>[3]Brewhouse!$A456</f>
        <v>CA410</v>
      </c>
      <c r="D25" s="279">
        <f>[3]Brewhouse!$AF456</f>
        <v>50.2</v>
      </c>
      <c r="E25" s="279">
        <f>[3]Brewhouse!$AI456</f>
        <v>50.9</v>
      </c>
      <c r="F25" s="278">
        <f>[3]Brewhouse!$V456</f>
        <v>59</v>
      </c>
      <c r="G25" s="279">
        <f>[3]Brewhouse!AG456</f>
        <v>11.8</v>
      </c>
      <c r="H25" s="367"/>
      <c r="I25" s="368">
        <f>[3]Brewhouse!$AU456</f>
        <v>100.27330624637854</v>
      </c>
      <c r="J25" s="368">
        <f>[3]Brewhouse!$AV456</f>
        <v>101.09892988038358</v>
      </c>
      <c r="K25" s="281">
        <f>[3]Brewhouse!$Q456</f>
        <v>10.018484288354902</v>
      </c>
      <c r="L25" s="276">
        <f>[3]Brewhouse!$P456</f>
        <v>61</v>
      </c>
      <c r="M25" s="397">
        <f>[3]Brewhouse!$U456-[3]Brewhouse!$T456</f>
        <v>0.10486111111111107</v>
      </c>
      <c r="N25" s="370">
        <f>[3]Brewhouse!$Z456</f>
        <v>0.23888888888888893</v>
      </c>
      <c r="O25" s="420" t="str">
        <f>[3]Brewhouse!$AX456</f>
        <v>R. Regis</v>
      </c>
      <c r="P25" s="418"/>
      <c r="R25" s="277" t="str">
        <f t="shared" si="9"/>
        <v>CARIB</v>
      </c>
      <c r="S25" s="472">
        <f t="shared" si="1"/>
        <v>11.6</v>
      </c>
      <c r="T25" s="472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472">
        <f t="shared" si="8"/>
        <v>60</v>
      </c>
    </row>
    <row r="26" spans="1:26" ht="17.2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0"/>
      <c r="P26" s="418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0"/>
      <c r="P27" s="418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7.25" customHeight="1">
      <c r="B28" s="29"/>
      <c r="C28" s="366"/>
      <c r="D28" s="279"/>
      <c r="E28" s="279"/>
      <c r="F28" s="278"/>
      <c r="G28" s="279"/>
      <c r="H28" s="481"/>
      <c r="I28" s="368"/>
      <c r="J28" s="368"/>
      <c r="K28" s="281"/>
      <c r="L28" s="276"/>
      <c r="M28" s="374"/>
      <c r="N28" s="370"/>
      <c r="O28" s="371"/>
      <c r="P28" s="418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7.25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8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7.25" customHeight="1" thickBot="1">
      <c r="B30" s="358"/>
      <c r="C30" s="358"/>
      <c r="D30" s="358"/>
      <c r="E30" s="358"/>
      <c r="F30" s="294"/>
      <c r="G30" s="294"/>
      <c r="H30" s="348"/>
      <c r="I30" s="544"/>
      <c r="J30" s="544"/>
      <c r="K30" s="544"/>
      <c r="L30" s="544"/>
      <c r="M30" s="544"/>
      <c r="N30" s="544"/>
      <c r="O30" s="1"/>
      <c r="P30" s="12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7.25" customHeight="1" thickBot="1">
      <c r="B31" s="388" t="s">
        <v>162</v>
      </c>
      <c r="C31" s="388"/>
      <c r="D31" s="545" t="s">
        <v>35</v>
      </c>
      <c r="E31" s="546"/>
      <c r="F31" s="294"/>
      <c r="G31" s="294"/>
      <c r="H31" s="348"/>
      <c r="I31" s="24" t="s">
        <v>17</v>
      </c>
      <c r="J31" s="25"/>
      <c r="K31" s="26" t="s">
        <v>138</v>
      </c>
      <c r="L31" s="25" t="s">
        <v>37</v>
      </c>
      <c r="M31" s="25" t="s">
        <v>38</v>
      </c>
      <c r="N31" s="27" t="s">
        <v>39</v>
      </c>
      <c r="O31" s="294"/>
      <c r="P31" s="12"/>
      <c r="R31" s="277" t="str">
        <f t="shared" si="9"/>
        <v xml:space="preserve">BRAND 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7.25" customHeight="1">
      <c r="A32" s="28"/>
      <c r="B32" s="530"/>
      <c r="C32" s="362"/>
      <c r="D32" s="548"/>
      <c r="E32" s="549"/>
      <c r="F32" s="294"/>
      <c r="G32" s="294"/>
      <c r="H32" s="348"/>
      <c r="I32" s="29" t="s">
        <v>6</v>
      </c>
      <c r="J32" s="323">
        <f>AVERAGE(I18:I25)</f>
        <v>97.32826748000258</v>
      </c>
      <c r="K32" s="284">
        <f>COUNTA([3]Brewhouse!$A$441:$A$456)</f>
        <v>16</v>
      </c>
      <c r="L32" s="305">
        <f>AVERAGE([3]Brewhouse!$AU$441:$AU$456)</f>
        <v>98.338207134099193</v>
      </c>
      <c r="M32" s="305">
        <f>AVERAGE([3]Brewhouse!$AU$42:$AU$123,[3]Brewhouse!$AU$125:$AU$188,[3]Brewhouse!$AU$198:$AU$290,[3]Brewhouse!$AU$292:$AU$370,[3]Brewhouse!$AU$372:$AU$439,[3]Brewhouse!$AU$441:$AU$456)</f>
        <v>97.989129835114738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5" customHeight="1">
      <c r="A33" s="28"/>
      <c r="B33" s="531"/>
      <c r="C33" s="362"/>
      <c r="D33" s="550"/>
      <c r="E33" s="536"/>
      <c r="F33" s="294"/>
      <c r="G33" s="294"/>
      <c r="H33" s="348"/>
      <c r="I33" s="33" t="s">
        <v>9</v>
      </c>
      <c r="J33" s="323"/>
      <c r="K33" s="284">
        <f>COUNTA([4]Brewhouse!$A$252:$A$261)</f>
        <v>10</v>
      </c>
      <c r="L33" s="302">
        <f>AVERAGE([4]Brewhouse!$AS$252:$AS$261)</f>
        <v>98.651084145662495</v>
      </c>
      <c r="M33" s="302">
        <f>AVERAGE([4]Brewhouse!$AS$52:$AS$81,[4]Brewhouse!$AS$83:$AS$124,[4]Brewhouse!$AS$134:$AS$177,[4]Brewhouse!$AS$22:$AS$179,[4]Brewhouse!$AS$214:$AS$249,[4]Brewhouse!$AS$252:$AS$261)</f>
        <v>97.998040136729827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65" customHeight="1">
      <c r="A34" s="28"/>
      <c r="B34" s="531"/>
      <c r="C34" s="362"/>
      <c r="D34" s="540"/>
      <c r="E34" s="541"/>
      <c r="F34" s="294"/>
      <c r="G34" s="294"/>
      <c r="H34" s="348"/>
      <c r="I34" s="34" t="s">
        <v>12</v>
      </c>
      <c r="J34" s="280"/>
      <c r="K34" s="284">
        <f>COUNTA([5]Brewhouse!$A$62:$A$69)</f>
        <v>8</v>
      </c>
      <c r="L34" s="302">
        <f>AVERAGE([5]Brewhouse!$AU$62:$AU$69)</f>
        <v>95.865325586732524</v>
      </c>
      <c r="M34" s="302">
        <f>AVERAGE([5]Brewhouse!$AU$16:$AU$23,[5]Brewhouse!$AU$25:$AU$32,[5]Brewhouse!$AU$34:$AU$41,[5]Brewhouse!$AU$43:$AU$60,[5]Brewhouse!$AU$62:$AU$69)</f>
        <v>96.726835550404019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31"/>
      <c r="C35" s="362"/>
      <c r="D35" s="535"/>
      <c r="E35" s="536"/>
      <c r="F35" s="294"/>
      <c r="G35" s="294"/>
      <c r="H35" s="348"/>
      <c r="I35" s="22" t="s">
        <v>33</v>
      </c>
      <c r="J35" s="280"/>
      <c r="K35" s="284"/>
      <c r="L35" s="302"/>
      <c r="M35" s="302">
        <f>AVERAGE([6]Brewhouse!$AV$23:$AV$34,[6]Brewhouse!$AV$36,[6]Brewhouse!$AV$38:$AV$52,[6]Brewhouse!$AV$54:$AV$60,[6]Brewhouse!$AV$62:$AV$68)</f>
        <v>97.579195177204838</v>
      </c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31"/>
      <c r="C36" s="362"/>
      <c r="D36" s="540"/>
      <c r="E36" s="541"/>
      <c r="F36" s="417"/>
      <c r="G36" s="294"/>
      <c r="H36" s="348"/>
      <c r="I36" s="35" t="s">
        <v>29</v>
      </c>
      <c r="J36" s="280"/>
      <c r="K36" s="284"/>
      <c r="L36" s="302"/>
      <c r="M36" s="302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31"/>
      <c r="C37" s="362"/>
      <c r="D37" s="535"/>
      <c r="E37" s="536"/>
      <c r="F37" s="417"/>
      <c r="G37" s="294"/>
      <c r="H37" s="348"/>
      <c r="I37" s="36" t="s">
        <v>15</v>
      </c>
      <c r="J37" s="323"/>
      <c r="K37" s="284"/>
      <c r="L37" s="302"/>
      <c r="M37" s="302">
        <f>AVERAGE([7]Brewhouse!$AT$4:$AT$11,[7]Brewhouse!$AT$13:$AT$16)</f>
        <v>91.538375374138752</v>
      </c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31"/>
      <c r="C38" s="362"/>
      <c r="D38" s="540"/>
      <c r="E38" s="541"/>
      <c r="F38" s="417"/>
      <c r="G38" s="294"/>
      <c r="H38" s="348"/>
      <c r="I38" s="37" t="s">
        <v>16</v>
      </c>
      <c r="J38" s="323"/>
      <c r="K38" s="284"/>
      <c r="L38" s="302"/>
      <c r="M38" s="302">
        <f>AVERAGE([8]Brewhouse!$AY$5:$AY$14,[8]Brewhouse!$AY$16:$AY$23,[8]Brewhouse!$AY$42,[8]Brewhouse!$AY$44:$AY$51,[8]Brewhouse!$AY$53:$AY$64)</f>
        <v>97.359350085271998</v>
      </c>
      <c r="N38" s="30">
        <v>98</v>
      </c>
      <c r="O38" s="11"/>
      <c r="P38" s="31" t="s">
        <v>41</v>
      </c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31"/>
      <c r="C39" s="362"/>
      <c r="D39" s="535"/>
      <c r="E39" s="536"/>
      <c r="F39" s="294"/>
      <c r="G39" s="294"/>
      <c r="H39" s="348"/>
      <c r="I39" s="411" t="s">
        <v>158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</row>
    <row r="40" spans="1:27" ht="14.65" customHeight="1">
      <c r="A40" s="28"/>
      <c r="B40" s="531"/>
      <c r="C40" s="349"/>
      <c r="D40" s="540"/>
      <c r="E40" s="541"/>
      <c r="F40" s="294"/>
      <c r="G40" s="294"/>
      <c r="H40" s="348"/>
      <c r="I40" s="410" t="s">
        <v>157</v>
      </c>
      <c r="J40" s="326"/>
      <c r="K40" s="284"/>
      <c r="L40" s="305"/>
      <c r="M40" s="305"/>
      <c r="N40" s="30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531"/>
      <c r="C41" s="349"/>
      <c r="D41" s="535"/>
      <c r="E41" s="536"/>
      <c r="F41" s="294"/>
      <c r="G41" s="294"/>
      <c r="H41" s="348"/>
      <c r="I41" s="406" t="s">
        <v>156</v>
      </c>
      <c r="J41" s="327"/>
      <c r="K41" s="407"/>
      <c r="L41" s="408"/>
      <c r="M41" s="408"/>
      <c r="N41" s="409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" customHeight="1" thickBot="1">
      <c r="A42" s="28"/>
      <c r="B42" s="531"/>
      <c r="C42" s="349"/>
      <c r="D42" s="548"/>
      <c r="E42" s="549"/>
      <c r="F42" s="294"/>
      <c r="G42" s="294"/>
      <c r="H42" s="348"/>
      <c r="I42" s="1"/>
      <c r="J42" s="39"/>
      <c r="K42" s="404">
        <f>SUM(K32:K41)</f>
        <v>34</v>
      </c>
      <c r="L42" s="405">
        <f>((L32*K32)+(L33*K33)+(L34*K34)+(L35*K35)+(L36*K36)+(K39*L39)+(L37*K37)+(L38*K38)+(L41*K41))/(K42)</f>
        <v>97.848375302825659</v>
      </c>
      <c r="M42" s="405">
        <f>AVERAGE('[9]Jan30th-31st'!$L$42,L42)</f>
        <v>97.838208519333563</v>
      </c>
      <c r="N42" s="40">
        <v>98</v>
      </c>
      <c r="O42" s="11"/>
      <c r="P42" s="31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.75" thickBot="1">
      <c r="B43" s="547"/>
      <c r="C43" s="350"/>
      <c r="D43" s="550"/>
      <c r="E43" s="536"/>
      <c r="F43" s="294"/>
      <c r="G43" s="42"/>
      <c r="H43" s="41"/>
      <c r="I43" s="42"/>
      <c r="J43" s="42"/>
      <c r="K43" s="351"/>
      <c r="L43" s="348"/>
      <c r="M43" s="348"/>
      <c r="N43" s="11"/>
      <c r="O43" s="294"/>
      <c r="P43" s="12"/>
      <c r="R43" s="277">
        <f t="shared" si="0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  <c r="AA43" s="472"/>
    </row>
    <row r="44" spans="1:27" ht="15.75" thickBot="1">
      <c r="B44" s="530"/>
      <c r="C44" s="362"/>
      <c r="D44" s="533"/>
      <c r="E44" s="534"/>
      <c r="F44" s="294"/>
      <c r="G44" s="42"/>
      <c r="H44" s="41"/>
      <c r="I44" s="42"/>
      <c r="J44" s="537" t="s">
        <v>129</v>
      </c>
      <c r="K44" s="537"/>
      <c r="L44" s="294"/>
      <c r="M44" s="294"/>
      <c r="N44" s="294"/>
      <c r="O44" s="294"/>
      <c r="P44" s="12"/>
    </row>
    <row r="45" spans="1:27" ht="15.75" thickBot="1">
      <c r="B45" s="531"/>
      <c r="C45" s="362"/>
      <c r="D45" s="535"/>
      <c r="E45" s="536"/>
      <c r="F45" s="294"/>
      <c r="G45" s="42"/>
      <c r="H45" s="42"/>
      <c r="I45" s="42"/>
      <c r="J45" s="292" t="s">
        <v>17</v>
      </c>
      <c r="K45" s="293" t="s">
        <v>170</v>
      </c>
      <c r="L45" s="538" t="s">
        <v>136</v>
      </c>
      <c r="M45" s="538"/>
      <c r="N45" s="539"/>
      <c r="O45" s="294"/>
      <c r="P45" s="12"/>
    </row>
    <row r="46" spans="1:27" ht="15" customHeight="1" thickBot="1">
      <c r="B46" s="531"/>
      <c r="C46" s="349"/>
      <c r="D46" s="540"/>
      <c r="E46" s="541"/>
      <c r="F46" s="294"/>
      <c r="G46" s="42"/>
      <c r="H46" s="42"/>
      <c r="I46" s="42"/>
      <c r="J46" s="287" t="s">
        <v>6</v>
      </c>
      <c r="K46" s="324">
        <v>8</v>
      </c>
      <c r="L46" s="473" t="s">
        <v>37</v>
      </c>
      <c r="M46" s="474" t="s">
        <v>38</v>
      </c>
      <c r="N46" s="474" t="s">
        <v>84</v>
      </c>
      <c r="O46" s="294"/>
      <c r="P46" s="12"/>
    </row>
    <row r="47" spans="1:27" ht="15.75" customHeight="1" thickBot="1">
      <c r="B47" s="531"/>
      <c r="C47" s="349"/>
      <c r="D47" s="535"/>
      <c r="E47" s="536"/>
      <c r="F47" s="294"/>
      <c r="G47" s="42"/>
      <c r="H47" s="42"/>
      <c r="I47" s="42"/>
      <c r="J47" s="345" t="s">
        <v>9</v>
      </c>
      <c r="K47" s="324"/>
      <c r="L47" s="344">
        <f>AVERAGE('June 2nd'!K44,'June 3rd'!K52,'June 4th'!K47,'June 5th'!K46,'June 8th'!K48,K56)</f>
        <v>5.666666666666667</v>
      </c>
      <c r="M47" s="325">
        <f>AVERAGE('[9]Jan30th-31st'!$L$47,L47,'[10]Feb 26th '!$L$39,'[11]Mar 31st'!$L$47,'[12]Apr 30th'!$L$46,'[13]May 29th '!$L$40)</f>
        <v>6.2157553798858158</v>
      </c>
      <c r="N47" s="416">
        <v>9.1999999999999993</v>
      </c>
      <c r="O47" s="294"/>
      <c r="P47" s="12"/>
    </row>
    <row r="48" spans="1:27" ht="15" customHeight="1">
      <c r="B48" s="531"/>
      <c r="C48" s="349"/>
      <c r="D48" s="540"/>
      <c r="E48" s="541"/>
      <c r="F48" s="294"/>
      <c r="G48" s="42"/>
      <c r="H48" s="42"/>
      <c r="I48" s="42"/>
      <c r="J48" s="288" t="s">
        <v>40</v>
      </c>
      <c r="K48" s="324"/>
      <c r="L48" s="294"/>
      <c r="M48" s="294"/>
      <c r="N48" s="294"/>
      <c r="O48" s="294"/>
      <c r="P48" s="12"/>
    </row>
    <row r="49" spans="2:57" ht="15" customHeight="1">
      <c r="B49" s="531"/>
      <c r="C49" s="349"/>
      <c r="D49" s="535"/>
      <c r="E49" s="536"/>
      <c r="F49" s="294"/>
      <c r="G49" s="42"/>
      <c r="H49" s="42"/>
      <c r="I49" s="42"/>
      <c r="J49" s="289" t="s">
        <v>33</v>
      </c>
      <c r="K49" s="324"/>
      <c r="L49" s="294"/>
      <c r="M49" s="294"/>
      <c r="N49" s="294"/>
      <c r="O49" s="294"/>
      <c r="P49" s="12"/>
    </row>
    <row r="50" spans="2:57" ht="15">
      <c r="B50" s="531"/>
      <c r="C50" s="349"/>
      <c r="D50" s="540"/>
      <c r="E50" s="541"/>
      <c r="F50" s="294"/>
      <c r="G50" s="42"/>
      <c r="H50" s="42"/>
      <c r="I50" s="42"/>
      <c r="J50" s="290" t="s">
        <v>16</v>
      </c>
      <c r="K50" s="324"/>
      <c r="L50" s="294"/>
      <c r="M50" s="294"/>
      <c r="N50" s="294"/>
      <c r="O50" s="294"/>
      <c r="P50" s="12"/>
      <c r="BC50" s="44"/>
      <c r="BD50" s="44"/>
    </row>
    <row r="51" spans="2:57" ht="15">
      <c r="B51" s="531"/>
      <c r="C51" s="349"/>
      <c r="D51" s="535"/>
      <c r="E51" s="536"/>
      <c r="F51" s="294"/>
      <c r="G51" s="42"/>
      <c r="H51" s="42"/>
      <c r="I51" s="42"/>
      <c r="J51" s="291" t="s">
        <v>15</v>
      </c>
      <c r="K51" s="324"/>
      <c r="L51" s="294"/>
      <c r="M51" s="294"/>
      <c r="N51" s="294"/>
      <c r="O51" s="294"/>
      <c r="P51" s="12"/>
      <c r="BC51" s="44"/>
      <c r="BD51" s="44"/>
    </row>
    <row r="52" spans="2:57" ht="15">
      <c r="B52" s="531"/>
      <c r="C52" s="349"/>
      <c r="D52" s="540"/>
      <c r="E52" s="541"/>
      <c r="F52" s="294"/>
      <c r="G52" s="42"/>
      <c r="H52" s="42"/>
      <c r="I52" s="42"/>
      <c r="J52" s="291" t="s">
        <v>149</v>
      </c>
      <c r="K52" s="324"/>
      <c r="L52" s="294"/>
      <c r="M52" s="294"/>
      <c r="N52" s="294"/>
      <c r="O52" s="294"/>
      <c r="P52" s="12"/>
      <c r="BC52" s="44"/>
      <c r="BD52" s="44"/>
    </row>
    <row r="53" spans="2:57" ht="15.75" thickBot="1">
      <c r="B53" s="532"/>
      <c r="C53" s="350"/>
      <c r="D53" s="542"/>
      <c r="E53" s="543"/>
      <c r="F53" s="294" t="s">
        <v>166</v>
      </c>
      <c r="G53" s="42"/>
      <c r="H53" s="42"/>
      <c r="I53" s="42"/>
      <c r="J53" s="291" t="s">
        <v>148</v>
      </c>
      <c r="K53" s="324"/>
      <c r="L53" s="294"/>
      <c r="M53" s="294"/>
      <c r="N53" s="294" t="s">
        <v>41</v>
      </c>
      <c r="O53" s="294"/>
      <c r="P53" s="12"/>
      <c r="BC53" s="44"/>
      <c r="BD53" s="44"/>
    </row>
    <row r="54" spans="2:57" ht="17.649999999999999" customHeight="1" thickBot="1">
      <c r="B54" s="312" t="s">
        <v>139</v>
      </c>
      <c r="C54" s="313"/>
      <c r="D54" s="523"/>
      <c r="E54" s="524"/>
      <c r="F54" s="294"/>
      <c r="J54" s="295" t="s">
        <v>134</v>
      </c>
      <c r="K54" s="324"/>
      <c r="L54" s="294"/>
      <c r="M54" s="294"/>
      <c r="N54" s="294"/>
      <c r="O54" s="294"/>
      <c r="P54" s="12"/>
      <c r="BC54" s="44"/>
      <c r="BD54" s="44"/>
    </row>
    <row r="55" spans="2:57" ht="17.649999999999999" customHeight="1">
      <c r="B55" s="363"/>
      <c r="C55" s="364"/>
      <c r="D55" s="365"/>
      <c r="E55" s="365"/>
      <c r="F55" s="294"/>
      <c r="G55" s="42"/>
      <c r="H55" s="42"/>
      <c r="I55" s="42"/>
      <c r="J55" s="295" t="s">
        <v>131</v>
      </c>
      <c r="K55" s="324"/>
      <c r="L55" s="294"/>
      <c r="M55" s="294"/>
      <c r="N55" s="294"/>
      <c r="O55" s="294"/>
      <c r="P55" s="12"/>
      <c r="BC55" s="44"/>
      <c r="BD55" s="44"/>
    </row>
    <row r="56" spans="2:57" ht="15.6" customHeight="1">
      <c r="B56" s="45"/>
      <c r="C56" s="11"/>
      <c r="D56" s="11"/>
      <c r="E56" s="46"/>
      <c r="F56" s="294"/>
      <c r="G56" s="42"/>
      <c r="H56" s="42"/>
      <c r="I56" s="42"/>
      <c r="J56" s="346" t="s">
        <v>130</v>
      </c>
      <c r="K56" s="324">
        <f>SUM(K46:K55)</f>
        <v>8</v>
      </c>
      <c r="L56" s="294"/>
      <c r="M56" s="294"/>
      <c r="N56" s="294"/>
      <c r="O56" s="294"/>
      <c r="P56" s="12"/>
    </row>
    <row r="57" spans="2:57" ht="20.25" customHeight="1">
      <c r="B57" s="15" t="s">
        <v>42</v>
      </c>
      <c r="C57" s="1" t="s">
        <v>43</v>
      </c>
      <c r="D57" s="1"/>
      <c r="E57" s="1"/>
      <c r="F57" s="294"/>
      <c r="G57" s="42"/>
      <c r="H57" s="41"/>
      <c r="I57" s="42"/>
      <c r="L57" s="294"/>
      <c r="N57" s="315"/>
      <c r="P57" s="334"/>
    </row>
    <row r="58" spans="2:57" ht="15" customHeight="1" thickBot="1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1"/>
      <c r="O58" s="48"/>
      <c r="P58" s="49"/>
    </row>
    <row r="59" spans="2:57" ht="15" customHeight="1" thickBot="1">
      <c r="B59" s="515" t="s">
        <v>17</v>
      </c>
      <c r="C59" s="515" t="s">
        <v>44</v>
      </c>
      <c r="D59" s="526" t="s">
        <v>45</v>
      </c>
      <c r="E59" s="528" t="s">
        <v>46</v>
      </c>
      <c r="F59" s="521" t="s">
        <v>47</v>
      </c>
      <c r="G59" s="513" t="s">
        <v>48</v>
      </c>
      <c r="H59" s="515" t="s">
        <v>49</v>
      </c>
      <c r="I59" s="515" t="s">
        <v>50</v>
      </c>
      <c r="J59" s="507" t="s">
        <v>28</v>
      </c>
      <c r="K59" s="517" t="s">
        <v>51</v>
      </c>
      <c r="L59" s="519" t="s">
        <v>52</v>
      </c>
      <c r="M59" s="507" t="s">
        <v>53</v>
      </c>
      <c r="N59" s="13"/>
      <c r="O59" s="13"/>
      <c r="P59" s="50"/>
    </row>
    <row r="60" spans="2:57" ht="28.5" customHeight="1" thickTop="1" thickBot="1">
      <c r="B60" s="516"/>
      <c r="C60" s="525"/>
      <c r="D60" s="527"/>
      <c r="E60" s="529"/>
      <c r="F60" s="522"/>
      <c r="G60" s="514"/>
      <c r="H60" s="516"/>
      <c r="I60" s="516"/>
      <c r="J60" s="508"/>
      <c r="K60" s="518"/>
      <c r="L60" s="520"/>
      <c r="M60" s="508"/>
      <c r="N60" s="13"/>
      <c r="O60" s="13"/>
      <c r="P60" s="50"/>
      <c r="Q60" s="355"/>
      <c r="AB60" s="475">
        <v>43474</v>
      </c>
      <c r="AC60" s="475">
        <v>43475</v>
      </c>
      <c r="AD60" s="475">
        <v>43476</v>
      </c>
      <c r="AE60" s="475">
        <v>43477</v>
      </c>
      <c r="AF60" s="475">
        <v>43478</v>
      </c>
      <c r="AG60" s="475">
        <v>43479</v>
      </c>
      <c r="AH60" s="475">
        <v>43480</v>
      </c>
      <c r="AI60" s="475">
        <v>43481</v>
      </c>
      <c r="AJ60" s="475">
        <v>43482</v>
      </c>
      <c r="AK60" s="475">
        <v>43483</v>
      </c>
      <c r="AL60" s="475">
        <v>43484</v>
      </c>
      <c r="AM60" s="475">
        <v>43485</v>
      </c>
      <c r="AN60" s="475">
        <v>43486</v>
      </c>
      <c r="AO60" s="475">
        <v>43487</v>
      </c>
      <c r="AP60" s="475">
        <v>43488</v>
      </c>
      <c r="AQ60" s="475">
        <v>43489</v>
      </c>
      <c r="AR60" s="475">
        <v>43490</v>
      </c>
      <c r="AS60" s="475">
        <v>43491</v>
      </c>
      <c r="AT60" s="475">
        <v>43492</v>
      </c>
      <c r="AU60" s="475">
        <v>43493</v>
      </c>
      <c r="AV60" s="475">
        <v>43494</v>
      </c>
      <c r="AW60" s="475">
        <v>43495</v>
      </c>
      <c r="AX60" s="475">
        <v>43496</v>
      </c>
    </row>
    <row r="61" spans="2:57" s="54" customFormat="1" ht="36.75" customHeight="1" thickBot="1">
      <c r="B61" s="484"/>
      <c r="C61" s="479"/>
      <c r="D61" s="445"/>
      <c r="E61" s="443"/>
      <c r="F61" s="444"/>
      <c r="G61" s="445"/>
      <c r="H61" s="458"/>
      <c r="I61" s="458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[16]January_2019!L5</f>
        <v>0</v>
      </c>
      <c r="AC61" s="57">
        <f>[16]January_2019!M5</f>
        <v>0</v>
      </c>
      <c r="AD61" s="57">
        <f>[16]January_2019!N5</f>
        <v>0</v>
      </c>
      <c r="AE61" s="57">
        <f>[16]January_2019!O5</f>
        <v>0</v>
      </c>
      <c r="AF61" s="57">
        <f>[16]January_2019!P5</f>
        <v>0</v>
      </c>
      <c r="AG61" s="57">
        <f>[16]January_2019!Q5</f>
        <v>0</v>
      </c>
      <c r="AH61" s="57">
        <f>[16]January_2019!R5</f>
        <v>0</v>
      </c>
      <c r="AI61" s="57">
        <f>[16]January_2019!S5</f>
        <v>0</v>
      </c>
      <c r="AJ61" s="57">
        <f>[16]January_2019!T5</f>
        <v>0</v>
      </c>
      <c r="AK61" s="57">
        <f>[16]January_2019!U5</f>
        <v>0</v>
      </c>
      <c r="AL61" s="57">
        <f>[16]January_2019!V5</f>
        <v>0</v>
      </c>
      <c r="AM61" s="57">
        <f>[16]January_2019!W5</f>
        <v>0</v>
      </c>
      <c r="AN61" s="57">
        <f>[16]January_2019!X5</f>
        <v>0</v>
      </c>
      <c r="AO61" s="57">
        <f>[16]January_2019!Y5</f>
        <v>0</v>
      </c>
      <c r="AP61" s="57">
        <f>[16]January_2019!Z5</f>
        <v>0</v>
      </c>
      <c r="AQ61" s="57">
        <f>[16]January_2019!AA5</f>
        <v>0</v>
      </c>
      <c r="AR61" s="57">
        <f>[16]January_2019!AB5</f>
        <v>0</v>
      </c>
      <c r="AS61" s="57">
        <f>[16]January_2019!AC5</f>
        <v>0</v>
      </c>
      <c r="AT61" s="57">
        <f>[16]January_2019!AD5</f>
        <v>0</v>
      </c>
      <c r="AU61" s="57">
        <f>[16]January_2019!AE5</f>
        <v>0</v>
      </c>
      <c r="AV61" s="57">
        <f>[16]January_2019!AF5</f>
        <v>0</v>
      </c>
      <c r="AW61" s="57">
        <f>[16]January_2019!AG5</f>
        <v>0</v>
      </c>
      <c r="AX61" s="277">
        <f>[16]January_2019!AH5</f>
        <v>0</v>
      </c>
      <c r="AY61" s="277"/>
      <c r="AZ61" s="277"/>
      <c r="BA61" s="277"/>
      <c r="BB61" s="277"/>
      <c r="BC61" s="277"/>
      <c r="BD61" s="277"/>
      <c r="BE61" s="277"/>
    </row>
    <row r="62" spans="2:57" s="54" customFormat="1" ht="14.25" customHeight="1" thickBot="1">
      <c r="B62" s="480"/>
      <c r="C62" s="479"/>
      <c r="D62" s="442"/>
      <c r="E62" s="443"/>
      <c r="F62" s="444"/>
      <c r="G62" s="445"/>
      <c r="H62" s="458"/>
      <c r="I62" s="458"/>
      <c r="J62" s="476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[16]January_2019!L6</f>
        <v>0</v>
      </c>
      <c r="AC62" s="57">
        <f>[16]January_2019!M6</f>
        <v>0</v>
      </c>
      <c r="AD62" s="57">
        <f>[16]January_2019!N6</f>
        <v>0</v>
      </c>
      <c r="AE62" s="57">
        <f>[16]January_2019!O6</f>
        <v>0</v>
      </c>
      <c r="AF62" s="57">
        <f>[16]January_2019!P6</f>
        <v>0</v>
      </c>
      <c r="AG62" s="57">
        <f>[16]January_2019!Q6</f>
        <v>0</v>
      </c>
      <c r="AH62" s="57">
        <f>[16]January_2019!R6</f>
        <v>0</v>
      </c>
      <c r="AI62" s="57">
        <f>[16]January_2019!S6</f>
        <v>0</v>
      </c>
      <c r="AJ62" s="57">
        <f>[16]January_2019!T6</f>
        <v>0</v>
      </c>
      <c r="AK62" s="57">
        <f>[16]January_2019!U6</f>
        <v>0</v>
      </c>
      <c r="AL62" s="57">
        <f>[16]January_2019!V6</f>
        <v>0</v>
      </c>
      <c r="AM62" s="57">
        <f>[16]January_2019!W6</f>
        <v>0</v>
      </c>
      <c r="AN62" s="57">
        <f>[16]January_2019!X6</f>
        <v>0</v>
      </c>
      <c r="AO62" s="57">
        <f>[16]January_2019!Y6</f>
        <v>0</v>
      </c>
      <c r="AP62" s="57">
        <f>[16]January_2019!Z6</f>
        <v>0</v>
      </c>
      <c r="AQ62" s="57">
        <f>[16]January_2019!AA6</f>
        <v>0</v>
      </c>
      <c r="AR62" s="57">
        <f>[16]January_2019!AB6</f>
        <v>0</v>
      </c>
      <c r="AS62" s="57">
        <f>[16]January_2019!AC6</f>
        <v>0</v>
      </c>
      <c r="AT62" s="57">
        <f>[16]January_2019!AD6</f>
        <v>0</v>
      </c>
      <c r="AU62" s="57">
        <f>[16]January_2019!AE6</f>
        <v>0</v>
      </c>
      <c r="AV62" s="57">
        <f>[16]January_2019!AF6</f>
        <v>0</v>
      </c>
      <c r="AW62" s="57">
        <f>[16]January_2019!AG6</f>
        <v>0</v>
      </c>
      <c r="AX62" s="277">
        <f>[16]January_2019!AH6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37.15" hidden="1" customHeight="1" thickBot="1">
      <c r="B63" s="480"/>
      <c r="C63" s="479"/>
      <c r="D63" s="442"/>
      <c r="E63" s="443"/>
      <c r="F63" s="444"/>
      <c r="G63" s="445"/>
      <c r="H63" s="458"/>
      <c r="I63" s="458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[16]January_2019!L7</f>
        <v>285.8</v>
      </c>
      <c r="AC63" s="57">
        <f>[16]January_2019!M7</f>
        <v>508.1</v>
      </c>
      <c r="AD63" s="57">
        <f>[16]January_2019!N7</f>
        <v>0</v>
      </c>
      <c r="AE63" s="57">
        <f>[16]January_2019!O7</f>
        <v>0</v>
      </c>
      <c r="AF63" s="57">
        <f>[16]January_2019!P7</f>
        <v>109.56666666666666</v>
      </c>
      <c r="AG63" s="57">
        <f>[16]January_2019!Q7</f>
        <v>297.64999999999998</v>
      </c>
      <c r="AH63" s="57">
        <f>[16]January_2019!R7</f>
        <v>122.3</v>
      </c>
      <c r="AI63" s="57">
        <f>[16]January_2019!S7</f>
        <v>0</v>
      </c>
      <c r="AJ63" s="57">
        <f>[16]January_2019!T7</f>
        <v>294.7</v>
      </c>
      <c r="AK63" s="57">
        <f>[16]January_2019!U7</f>
        <v>280.5</v>
      </c>
      <c r="AL63" s="57">
        <f>[16]January_2019!V7</f>
        <v>0</v>
      </c>
      <c r="AM63" s="57">
        <f>[16]January_2019!W7</f>
        <v>0</v>
      </c>
      <c r="AN63" s="57">
        <f>[16]January_2019!X7</f>
        <v>188.25</v>
      </c>
      <c r="AO63" s="57">
        <f>[16]January_2019!Y7</f>
        <v>295.7</v>
      </c>
      <c r="AP63" s="57">
        <f>[16]January_2019!Z7</f>
        <v>257.8</v>
      </c>
      <c r="AQ63" s="57">
        <f>[16]January_2019!AA7</f>
        <v>291.2</v>
      </c>
      <c r="AR63" s="57">
        <f>[16]January_2019!AB7</f>
        <v>187</v>
      </c>
      <c r="AS63" s="57">
        <f>[16]January_2019!AC7</f>
        <v>0</v>
      </c>
      <c r="AT63" s="57">
        <f>[16]January_2019!AD7</f>
        <v>0</v>
      </c>
      <c r="AU63" s="57">
        <f>[16]January_2019!AE7</f>
        <v>485.1</v>
      </c>
      <c r="AV63" s="57">
        <f>[16]January_2019!AF7</f>
        <v>171.55</v>
      </c>
      <c r="AW63" s="57">
        <f>[16]January_2019!AG7</f>
        <v>423.8</v>
      </c>
      <c r="AX63" s="277">
        <f>[16]January_2019!AH7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19.5" hidden="1" customHeight="1" thickBot="1">
      <c r="B64" s="478"/>
      <c r="C64" s="430"/>
      <c r="D64" s="431"/>
      <c r="E64" s="432"/>
      <c r="F64" s="433"/>
      <c r="G64" s="434"/>
      <c r="H64" s="458"/>
      <c r="I64" s="458"/>
      <c r="J64" s="451"/>
      <c r="K64" s="436"/>
      <c r="L64" s="452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8.450000000000003" hidden="1" customHeight="1" thickBot="1">
      <c r="B65" s="480"/>
      <c r="C65" s="479"/>
      <c r="D65" s="442"/>
      <c r="E65" s="443"/>
      <c r="F65" s="444"/>
      <c r="G65" s="445"/>
      <c r="H65" s="458"/>
      <c r="I65" s="458"/>
      <c r="J65" s="448"/>
      <c r="K65" s="45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5" hidden="1">
      <c r="B66" s="453"/>
      <c r="C66" s="430"/>
      <c r="D66" s="431"/>
      <c r="E66" s="432"/>
      <c r="F66" s="433"/>
      <c r="G66" s="434"/>
      <c r="H66" s="435"/>
      <c r="I66" s="450"/>
      <c r="J66" s="451"/>
      <c r="K66" s="436"/>
      <c r="L66" s="452"/>
      <c r="M66" s="421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15" hidden="1" customHeight="1" thickBot="1">
      <c r="B67" s="484"/>
      <c r="C67" s="479"/>
      <c r="D67" s="442"/>
      <c r="E67" s="443"/>
      <c r="F67" s="444"/>
      <c r="G67" s="445"/>
      <c r="H67" s="446"/>
      <c r="I67" s="447"/>
      <c r="J67" s="448"/>
      <c r="K67" s="449"/>
      <c r="L67" s="457"/>
      <c r="M67" s="455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16.5" hidden="1" customHeight="1" thickBot="1">
      <c r="B68" s="437"/>
      <c r="C68" s="423"/>
      <c r="D68" s="424"/>
      <c r="E68" s="425"/>
      <c r="F68" s="426"/>
      <c r="G68" s="427"/>
      <c r="H68" s="428"/>
      <c r="I68" s="438"/>
      <c r="J68" s="439"/>
      <c r="K68" s="429"/>
      <c r="L68" s="440"/>
      <c r="M68" s="422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415"/>
      <c r="AN68" s="415"/>
      <c r="AO68" s="415"/>
      <c r="AP68" s="415"/>
      <c r="AQ68" s="415"/>
      <c r="AR68" s="415"/>
      <c r="AS68" s="415"/>
      <c r="AT68" s="415"/>
      <c r="AU68" s="415"/>
      <c r="AV68" s="415"/>
      <c r="AW68" s="415"/>
    </row>
    <row r="69" spans="2:57" s="54" customFormat="1" ht="37.15" hidden="1" customHeight="1" thickBot="1">
      <c r="B69" s="456"/>
      <c r="C69" s="441"/>
      <c r="D69" s="442"/>
      <c r="E69" s="443"/>
      <c r="F69" s="444"/>
      <c r="G69" s="445"/>
      <c r="H69" s="446"/>
      <c r="I69" s="447"/>
      <c r="J69" s="448"/>
      <c r="K69" s="449"/>
      <c r="L69" s="457"/>
      <c r="M69" s="454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37.15" customHeight="1">
      <c r="B70" s="466"/>
      <c r="C70" s="430"/>
      <c r="D70" s="460"/>
      <c r="E70" s="461"/>
      <c r="F70" s="462"/>
      <c r="G70" s="460"/>
      <c r="H70" s="463"/>
      <c r="I70" s="463"/>
      <c r="J70" s="463"/>
      <c r="K70" s="464"/>
      <c r="L70" s="465"/>
      <c r="M70" s="50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ht="18" customHeight="1" thickBot="1">
      <c r="B71" s="59"/>
      <c r="C71" s="30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 t="s">
        <v>41</v>
      </c>
      <c r="O71" s="56"/>
      <c r="P71" s="60"/>
    </row>
    <row r="72" spans="2:57" ht="15.75" thickBot="1">
      <c r="B72" s="509" t="s">
        <v>55</v>
      </c>
      <c r="C72" s="510"/>
      <c r="D72" s="510"/>
      <c r="E72" s="510"/>
      <c r="F72" s="511"/>
      <c r="G72" s="509" t="s">
        <v>56</v>
      </c>
      <c r="H72" s="510"/>
      <c r="I72" s="510"/>
      <c r="J72" s="511"/>
      <c r="K72" s="509" t="s">
        <v>51</v>
      </c>
      <c r="L72" s="510"/>
      <c r="M72" s="510"/>
      <c r="N72" s="512"/>
      <c r="O72" s="56"/>
      <c r="P72" s="50"/>
    </row>
    <row r="73" spans="2:57" ht="15">
      <c r="B73" s="61" t="s">
        <v>17</v>
      </c>
      <c r="C73" s="62" t="s">
        <v>36</v>
      </c>
      <c r="D73" s="62" t="s">
        <v>37</v>
      </c>
      <c r="E73" s="62" t="s">
        <v>38</v>
      </c>
      <c r="F73" s="63" t="s">
        <v>39</v>
      </c>
      <c r="G73" s="62" t="s">
        <v>36</v>
      </c>
      <c r="H73" s="62" t="s">
        <v>37</v>
      </c>
      <c r="I73" s="62" t="s">
        <v>38</v>
      </c>
      <c r="J73" s="63" t="s">
        <v>39</v>
      </c>
      <c r="K73" s="62"/>
      <c r="L73" s="62" t="s">
        <v>37</v>
      </c>
      <c r="M73" s="62" t="s">
        <v>38</v>
      </c>
      <c r="N73" s="63" t="s">
        <v>39</v>
      </c>
      <c r="O73" s="56"/>
      <c r="P73" s="64"/>
    </row>
    <row r="74" spans="2:57" ht="15">
      <c r="B74" s="29" t="s">
        <v>6</v>
      </c>
      <c r="C74" s="65"/>
      <c r="D74" s="76"/>
      <c r="E74" s="76">
        <v>6.5623673132836648</v>
      </c>
      <c r="F74" s="66">
        <v>4.8</v>
      </c>
      <c r="G74" s="65"/>
      <c r="H74" s="477"/>
      <c r="I74" s="477">
        <v>6.2688670205621344</v>
      </c>
      <c r="J74" s="66">
        <v>4.8</v>
      </c>
      <c r="K74" s="67"/>
      <c r="L74" s="194"/>
      <c r="M74" s="194">
        <v>0.51130548427310263</v>
      </c>
      <c r="N74" s="68">
        <v>1</v>
      </c>
      <c r="O74" s="56"/>
      <c r="P74" s="69"/>
    </row>
    <row r="75" spans="2:57" ht="15">
      <c r="B75" s="33" t="s">
        <v>9</v>
      </c>
      <c r="C75" s="65"/>
      <c r="D75" s="76"/>
      <c r="E75" s="76">
        <v>5.8230180888372871</v>
      </c>
      <c r="F75" s="66">
        <v>4.8</v>
      </c>
      <c r="G75" s="65"/>
      <c r="H75" s="76"/>
      <c r="I75" s="76">
        <v>5.4655642193228315</v>
      </c>
      <c r="J75" s="66">
        <v>4.8</v>
      </c>
      <c r="K75" s="67"/>
      <c r="L75" s="194"/>
      <c r="M75" s="194">
        <v>0.68713504693777017</v>
      </c>
      <c r="N75" s="68">
        <v>1</v>
      </c>
      <c r="P75" s="69"/>
    </row>
    <row r="76" spans="2:57" ht="15">
      <c r="B76" s="34" t="s">
        <v>40</v>
      </c>
      <c r="C76" s="65"/>
      <c r="D76" s="76"/>
      <c r="E76" s="76">
        <v>11.435860710768946</v>
      </c>
      <c r="F76" s="66">
        <v>5.5</v>
      </c>
      <c r="G76" s="65"/>
      <c r="H76" s="76"/>
      <c r="I76" s="76">
        <v>12.618851801260744</v>
      </c>
      <c r="J76" s="66">
        <v>5.5</v>
      </c>
      <c r="K76" s="67"/>
      <c r="L76" s="194"/>
      <c r="M76" s="194">
        <v>0.26444407894736843</v>
      </c>
      <c r="N76" s="68">
        <v>1</v>
      </c>
      <c r="P76" s="69"/>
    </row>
    <row r="77" spans="2:57" ht="15">
      <c r="B77" s="22" t="s">
        <v>33</v>
      </c>
      <c r="C77" s="65"/>
      <c r="D77" s="76"/>
      <c r="E77" s="76">
        <v>4.7166249493099075</v>
      </c>
      <c r="F77" s="66">
        <v>3.3</v>
      </c>
      <c r="G77" s="65"/>
      <c r="H77" s="76"/>
      <c r="I77" s="76">
        <v>4.7393662692065543</v>
      </c>
      <c r="J77" s="66">
        <v>3.3</v>
      </c>
      <c r="K77" s="67"/>
      <c r="L77" s="194"/>
      <c r="M77" s="194">
        <v>0.73604010025062649</v>
      </c>
      <c r="N77" s="68">
        <v>1</v>
      </c>
      <c r="P77" s="69"/>
    </row>
    <row r="78" spans="2:57" ht="15">
      <c r="B78" s="35" t="s">
        <v>164</v>
      </c>
      <c r="C78" s="65"/>
      <c r="D78" s="76"/>
      <c r="E78" s="76"/>
      <c r="F78" s="66">
        <v>3.3</v>
      </c>
      <c r="G78" s="282"/>
      <c r="H78" s="76"/>
      <c r="I78" s="76"/>
      <c r="J78" s="66">
        <v>3</v>
      </c>
      <c r="K78" s="67"/>
      <c r="L78" s="194"/>
      <c r="M78" s="194"/>
      <c r="N78" s="68">
        <v>1</v>
      </c>
      <c r="P78" s="69"/>
    </row>
    <row r="79" spans="2:57" ht="15">
      <c r="B79" s="36" t="s">
        <v>15</v>
      </c>
      <c r="C79" s="76"/>
      <c r="D79" s="76"/>
      <c r="E79" s="76">
        <v>5.1541347251672045</v>
      </c>
      <c r="F79" s="483">
        <v>5.5</v>
      </c>
      <c r="G79" s="282"/>
      <c r="H79" s="76"/>
      <c r="I79" s="76">
        <v>7.4989046872874194</v>
      </c>
      <c r="J79" s="66">
        <v>5.5</v>
      </c>
      <c r="K79" s="67"/>
      <c r="L79" s="194"/>
      <c r="M79" s="194">
        <v>1.0201754385964912</v>
      </c>
      <c r="N79" s="68">
        <v>1</v>
      </c>
      <c r="P79" s="69"/>
    </row>
    <row r="80" spans="2:57" ht="15">
      <c r="B80" s="37" t="s">
        <v>16</v>
      </c>
      <c r="C80" s="485"/>
      <c r="D80" s="76"/>
      <c r="E80" s="76">
        <v>3.7333963207914191</v>
      </c>
      <c r="F80" s="66">
        <v>3.3</v>
      </c>
      <c r="G80" s="282"/>
      <c r="H80" s="76"/>
      <c r="I80" s="76">
        <v>4.8412394790618878</v>
      </c>
      <c r="J80" s="66">
        <v>3.3</v>
      </c>
      <c r="K80" s="67"/>
      <c r="L80" s="194"/>
      <c r="M80" s="194">
        <v>0.84386695906432752</v>
      </c>
      <c r="N80" s="71">
        <v>1</v>
      </c>
      <c r="P80" s="69"/>
    </row>
    <row r="81" spans="2:16" ht="15.75" thickBot="1">
      <c r="B81" s="38" t="s">
        <v>163</v>
      </c>
      <c r="C81" s="65"/>
      <c r="D81" s="76"/>
      <c r="E81" s="76"/>
      <c r="F81" s="66">
        <v>7.5</v>
      </c>
      <c r="G81" s="282"/>
      <c r="H81" s="76"/>
      <c r="I81" s="76"/>
      <c r="J81" s="66">
        <v>7.5</v>
      </c>
      <c r="K81" s="67"/>
      <c r="L81" s="194"/>
      <c r="M81" s="194"/>
      <c r="N81" s="71">
        <v>1</v>
      </c>
      <c r="P81" s="69"/>
    </row>
    <row r="82" spans="2:16" ht="15.75" thickBot="1">
      <c r="B82" s="414" t="s">
        <v>161</v>
      </c>
      <c r="C82" s="65"/>
      <c r="D82" s="76"/>
      <c r="E82" s="76"/>
      <c r="F82" s="66">
        <v>4.8</v>
      </c>
      <c r="G82" s="282"/>
      <c r="H82" s="76"/>
      <c r="I82" s="76"/>
      <c r="J82" s="66">
        <v>4.8</v>
      </c>
      <c r="K82" s="67"/>
      <c r="L82" s="194"/>
      <c r="M82" s="194"/>
      <c r="N82" s="71">
        <v>1</v>
      </c>
      <c r="O82" s="74"/>
      <c r="P82" s="75"/>
    </row>
    <row r="83" spans="2:16" ht="15">
      <c r="D83" s="76"/>
      <c r="E83" s="76">
        <v>6.3115024469710663</v>
      </c>
      <c r="F83" s="341">
        <v>5.5</v>
      </c>
      <c r="H83" s="76"/>
      <c r="I83" s="76">
        <v>6.3654183077136706</v>
      </c>
      <c r="J83" s="341">
        <v>5.5</v>
      </c>
      <c r="L83" s="194"/>
      <c r="M83" s="194">
        <v>0.57830160611739556</v>
      </c>
      <c r="N8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0:N30"/>
    <mergeCell ref="D31:E31"/>
    <mergeCell ref="B32:B43"/>
    <mergeCell ref="D32:E33"/>
    <mergeCell ref="D34:E35"/>
    <mergeCell ref="D36:E37"/>
    <mergeCell ref="D38:E39"/>
    <mergeCell ref="D40:E41"/>
    <mergeCell ref="D42:E43"/>
    <mergeCell ref="B44:B53"/>
    <mergeCell ref="D44:E45"/>
    <mergeCell ref="J44:K44"/>
    <mergeCell ref="L45:N45"/>
    <mergeCell ref="D46:E47"/>
    <mergeCell ref="D48:E49"/>
    <mergeCell ref="D50:E51"/>
    <mergeCell ref="D52:E53"/>
    <mergeCell ref="D54:E54"/>
    <mergeCell ref="B59:B60"/>
    <mergeCell ref="C59:C60"/>
    <mergeCell ref="D59:D60"/>
    <mergeCell ref="E59:E60"/>
    <mergeCell ref="M59:M60"/>
    <mergeCell ref="B72:F72"/>
    <mergeCell ref="G72:J72"/>
    <mergeCell ref="K72:N72"/>
    <mergeCell ref="G59:G60"/>
    <mergeCell ref="H59:H60"/>
    <mergeCell ref="I59:I60"/>
    <mergeCell ref="J59:J60"/>
    <mergeCell ref="K59:K60"/>
    <mergeCell ref="L59:L60"/>
    <mergeCell ref="F59:F60"/>
  </mergeCells>
  <conditionalFormatting sqref="B54:B55">
    <cfRule type="cellIs" dxfId="2780" priority="106" operator="notBetween">
      <formula>#REF!</formula>
      <formula>#REF!</formula>
    </cfRule>
  </conditionalFormatting>
  <conditionalFormatting sqref="C58">
    <cfRule type="cellIs" dxfId="2779" priority="195" stopIfTrue="1" operator="lessThan">
      <formula>96</formula>
    </cfRule>
    <cfRule type="cellIs" dxfId="2778" priority="196" stopIfTrue="1" operator="greaterThan">
      <formula>100</formula>
    </cfRule>
  </conditionalFormatting>
  <conditionalFormatting sqref="C74:C75">
    <cfRule type="cellIs" dxfId="2777" priority="66" stopIfTrue="1" operator="greaterThan">
      <formula>$F74</formula>
    </cfRule>
    <cfRule type="cellIs" dxfId="2776" priority="69" stopIfTrue="1" operator="lessThanOrEqual">
      <formula>0</formula>
    </cfRule>
    <cfRule type="cellIs" dxfId="2775" priority="68" stopIfTrue="1" operator="greaterThan">
      <formula>$F74</formula>
    </cfRule>
    <cfRule type="cellIs" dxfId="2774" priority="67" stopIfTrue="1" operator="lessThanOrEqual">
      <formula>0</formula>
    </cfRule>
  </conditionalFormatting>
  <conditionalFormatting sqref="C76:C78 C80:C82">
    <cfRule type="cellIs" dxfId="2773" priority="76" stopIfTrue="1" operator="greaterThan">
      <formula>$F79</formula>
    </cfRule>
  </conditionalFormatting>
  <conditionalFormatting sqref="C76:C78">
    <cfRule type="cellIs" dxfId="2772" priority="77" stopIfTrue="1" operator="lessThanOrEqual">
      <formula>0</formula>
    </cfRule>
  </conditionalFormatting>
  <conditionalFormatting sqref="C80:C82">
    <cfRule type="cellIs" dxfId="2771" priority="78" stopIfTrue="1" operator="lessThanOrEqual">
      <formula>0</formula>
    </cfRule>
  </conditionalFormatting>
  <conditionalFormatting sqref="C85:C89">
    <cfRule type="cellIs" dxfId="2770" priority="187" stopIfTrue="1" operator="lessThanOrEqual">
      <formula>0</formula>
    </cfRule>
  </conditionalFormatting>
  <conditionalFormatting sqref="C86:C89">
    <cfRule type="cellIs" dxfId="2769" priority="186" stopIfTrue="1" operator="greaterThan">
      <formula>$F$85</formula>
    </cfRule>
  </conditionalFormatting>
  <conditionalFormatting sqref="C91">
    <cfRule type="cellIs" dxfId="2768" priority="189" stopIfTrue="1" operator="lessThanOrEqual">
      <formula>0</formula>
    </cfRule>
    <cfRule type="cellIs" dxfId="2767" priority="188" stopIfTrue="1" operator="greaterThan">
      <formula>$F$85</formula>
    </cfRule>
  </conditionalFormatting>
  <conditionalFormatting sqref="C79:D79">
    <cfRule type="cellIs" dxfId="2766" priority="65" stopIfTrue="1" operator="lessThanOrEqual">
      <formula>0</formula>
    </cfRule>
    <cfRule type="cellIs" dxfId="2765" priority="64" stopIfTrue="1" operator="greaterThan">
      <formula>$J79</formula>
    </cfRule>
  </conditionalFormatting>
  <conditionalFormatting sqref="C85:D85 D87:D93">
    <cfRule type="cellIs" dxfId="2764" priority="181" stopIfTrue="1" operator="greaterThan">
      <formula>4.5</formula>
    </cfRule>
  </conditionalFormatting>
  <conditionalFormatting sqref="D54:D55">
    <cfRule type="cellIs" dxfId="2763" priority="107" operator="notBetween">
      <formula>#REF!</formula>
      <formula>#REF!</formula>
    </cfRule>
  </conditionalFormatting>
  <conditionalFormatting sqref="D74:D78 D80:D81">
    <cfRule type="cellIs" dxfId="2762" priority="75" stopIfTrue="1" operator="lessThanOrEqual">
      <formula>0</formula>
    </cfRule>
  </conditionalFormatting>
  <conditionalFormatting sqref="D74:D78 D80:D83">
    <cfRule type="cellIs" dxfId="2761" priority="72" stopIfTrue="1" operator="greaterThan">
      <formula>$F74</formula>
    </cfRule>
    <cfRule type="cellIs" dxfId="2760" priority="71" stopIfTrue="1" operator="lessThanOrEqual">
      <formula>0</formula>
    </cfRule>
  </conditionalFormatting>
  <conditionalFormatting sqref="D82:D83">
    <cfRule type="cellIs" dxfId="2759" priority="73" stopIfTrue="1" operator="lessThanOrEqual">
      <formula>0</formula>
    </cfRule>
  </conditionalFormatting>
  <conditionalFormatting sqref="D83">
    <cfRule type="cellIs" dxfId="2758" priority="74" stopIfTrue="1" operator="lessThanOrEqual">
      <formula>0</formula>
    </cfRule>
  </conditionalFormatting>
  <conditionalFormatting sqref="D85 D87:D93">
    <cfRule type="cellIs" dxfId="2757" priority="182" stopIfTrue="1" operator="lessThanOrEqual">
      <formula>0</formula>
    </cfRule>
  </conditionalFormatting>
  <conditionalFormatting sqref="D86">
    <cfRule type="cellIs" dxfId="2756" priority="174" stopIfTrue="1" operator="lessThanOrEqual">
      <formula>0</formula>
    </cfRule>
    <cfRule type="cellIs" dxfId="2755" priority="173" stopIfTrue="1" operator="greaterThan">
      <formula>$F$85</formula>
    </cfRule>
  </conditionalFormatting>
  <conditionalFormatting sqref="E10:E29">
    <cfRule type="cellIs" dxfId="2754" priority="11" operator="lessThan">
      <formula>48</formula>
    </cfRule>
  </conditionalFormatting>
  <conditionalFormatting sqref="E57 E58:F58">
    <cfRule type="cellIs" dxfId="2753" priority="178" stopIfTrue="1" operator="greaterThan">
      <formula>100</formula>
    </cfRule>
  </conditionalFormatting>
  <conditionalFormatting sqref="E58">
    <cfRule type="cellIs" dxfId="2752" priority="176" stopIfTrue="1" operator="greaterThan">
      <formula>100</formula>
    </cfRule>
    <cfRule type="cellIs" dxfId="2751" priority="175" stopIfTrue="1" operator="lessThan">
      <formula>96.8</formula>
    </cfRule>
  </conditionalFormatting>
  <conditionalFormatting sqref="E74:E82">
    <cfRule type="cellIs" dxfId="2750" priority="33" stopIfTrue="1" operator="lessThanOrEqual">
      <formula>0</formula>
    </cfRule>
  </conditionalFormatting>
  <conditionalFormatting sqref="E74:E83">
    <cfRule type="cellIs" dxfId="2749" priority="35" stopIfTrue="1" operator="lessThanOrEqual">
      <formula>0</formula>
    </cfRule>
    <cfRule type="cellIs" dxfId="2748" priority="34" stopIfTrue="1" operator="greaterThan">
      <formula>$F74</formula>
    </cfRule>
  </conditionalFormatting>
  <conditionalFormatting sqref="E83">
    <cfRule type="cellIs" dxfId="2747" priority="36" stopIfTrue="1" operator="lessThanOrEqual">
      <formula>0</formula>
    </cfRule>
  </conditionalFormatting>
  <conditionalFormatting sqref="E85:E93">
    <cfRule type="cellIs" dxfId="2746" priority="167" stopIfTrue="1" operator="greaterThan">
      <formula>4.5</formula>
    </cfRule>
    <cfRule type="cellIs" dxfId="2745" priority="168" stopIfTrue="1" operator="lessThanOrEqual">
      <formula>0</formula>
    </cfRule>
  </conditionalFormatting>
  <conditionalFormatting sqref="E58:F58 E57">
    <cfRule type="cellIs" dxfId="2744" priority="177" stopIfTrue="1" operator="lessThan">
      <formula>96.5</formula>
    </cfRule>
  </conditionalFormatting>
  <conditionalFormatting sqref="F10:F29">
    <cfRule type="cellIs" dxfId="2743" priority="13" operator="greaterThan">
      <formula>60</formula>
    </cfRule>
  </conditionalFormatting>
  <conditionalFormatting sqref="F58">
    <cfRule type="cellIs" dxfId="2742" priority="194" stopIfTrue="1" operator="greaterThan">
      <formula>100</formula>
    </cfRule>
    <cfRule type="cellIs" dxfId="2741" priority="193" stopIfTrue="1" operator="lessThan">
      <formula>96.8</formula>
    </cfRule>
  </conditionalFormatting>
  <conditionalFormatting sqref="F83">
    <cfRule type="cellIs" dxfId="2740" priority="45" stopIfTrue="1" operator="lessThanOrEqual">
      <formula>0</formula>
    </cfRule>
    <cfRule type="cellIs" dxfId="2739" priority="44" stopIfTrue="1" operator="greaterThan">
      <formula>$F83</formula>
    </cfRule>
  </conditionalFormatting>
  <conditionalFormatting sqref="G28:G29">
    <cfRule type="expression" dxfId="2738" priority="23">
      <formula>IF(+(IF(G28&lt;S28,0,IF(G28&gt;T28,0,1)))=0,1)</formula>
    </cfRule>
  </conditionalFormatting>
  <conditionalFormatting sqref="G74:G75">
    <cfRule type="cellIs" dxfId="2737" priority="47" stopIfTrue="1" operator="lessThanOrEqual">
      <formula>0</formula>
    </cfRule>
    <cfRule type="cellIs" dxfId="2736" priority="46" stopIfTrue="1" operator="greaterThan">
      <formula>$F74</formula>
    </cfRule>
  </conditionalFormatting>
  <conditionalFormatting sqref="G74:G77">
    <cfRule type="cellIs" dxfId="2735" priority="28" stopIfTrue="1" operator="greaterThan">
      <formula>$F74</formula>
    </cfRule>
    <cfRule type="cellIs" dxfId="2734" priority="29" stopIfTrue="1" operator="lessThanOrEqual">
      <formula>0</formula>
    </cfRule>
  </conditionalFormatting>
  <conditionalFormatting sqref="G76">
    <cfRule type="cellIs" dxfId="2733" priority="26" stopIfTrue="1" operator="greaterThan">
      <formula>$F76</formula>
    </cfRule>
    <cfRule type="cellIs" dxfId="2732" priority="27" stopIfTrue="1" operator="lessThanOrEqual">
      <formula>0</formula>
    </cfRule>
  </conditionalFormatting>
  <conditionalFormatting sqref="G77">
    <cfRule type="cellIs" dxfId="2731" priority="40" stopIfTrue="1" operator="greaterThan">
      <formula>$F77</formula>
    </cfRule>
    <cfRule type="cellIs" dxfId="2730" priority="41" stopIfTrue="1" operator="lessThanOrEqual">
      <formula>0</formula>
    </cfRule>
  </conditionalFormatting>
  <conditionalFormatting sqref="G78:G82">
    <cfRule type="cellIs" dxfId="2729" priority="48" stopIfTrue="1" operator="greaterThan">
      <formula>$J78</formula>
    </cfRule>
    <cfRule type="cellIs" dxfId="2728" priority="49" stopIfTrue="1" operator="lessThanOrEqual">
      <formula>0</formula>
    </cfRule>
  </conditionalFormatting>
  <conditionalFormatting sqref="G87:G92 C90 C92">
    <cfRule type="cellIs" dxfId="2727" priority="191" stopIfTrue="1" operator="lessThanOrEqual">
      <formula>0</formula>
    </cfRule>
    <cfRule type="cellIs" dxfId="2726" priority="190" stopIfTrue="1" operator="greaterThan">
      <formula>4.5</formula>
    </cfRule>
  </conditionalFormatting>
  <conditionalFormatting sqref="G10:H27">
    <cfRule type="expression" dxfId="2725" priority="12">
      <formula>IF(+(IF(G10&lt;#REF!,0,IF(G10&gt;#REF!,0,1)))=0,1)</formula>
    </cfRule>
  </conditionalFormatting>
  <conditionalFormatting sqref="G86:H86">
    <cfRule type="cellIs" dxfId="2724" priority="172" stopIfTrue="1" operator="lessThanOrEqual">
      <formula>0</formula>
    </cfRule>
    <cfRule type="cellIs" dxfId="2723" priority="171" stopIfTrue="1" operator="greaterThan">
      <formula>$F$85</formula>
    </cfRule>
  </conditionalFormatting>
  <conditionalFormatting sqref="H28:H29">
    <cfRule type="expression" dxfId="2722" priority="22">
      <formula>IF(+(IF(H28&lt;#REF!,0,IF(H28&gt;#REF!,0,1)))=0,1)</formula>
    </cfRule>
  </conditionalFormatting>
  <conditionalFormatting sqref="H43:H44 H57">
    <cfRule type="cellIs" dxfId="2721" priority="169" stopIfTrue="1" operator="greaterThan">
      <formula>0</formula>
    </cfRule>
  </conditionalFormatting>
  <conditionalFormatting sqref="H61">
    <cfRule type="cellIs" dxfId="2720" priority="52" stopIfTrue="1" operator="greaterThan">
      <formula>$F$74</formula>
    </cfRule>
    <cfRule type="cellIs" dxfId="2719" priority="62" stopIfTrue="1" operator="greaterThan">
      <formula>$F$75</formula>
    </cfRule>
    <cfRule type="cellIs" dxfId="2718" priority="61" stopIfTrue="1" operator="lessThanOrEqual">
      <formula>0</formula>
    </cfRule>
    <cfRule type="cellIs" dxfId="2717" priority="60" stopIfTrue="1" operator="greaterThan">
      <formula>$F$77</formula>
    </cfRule>
    <cfRule type="cellIs" dxfId="2716" priority="51" stopIfTrue="1" operator="lessThanOrEqual">
      <formula>0</formula>
    </cfRule>
  </conditionalFormatting>
  <conditionalFormatting sqref="H61:H63">
    <cfRule type="cellIs" dxfId="2715" priority="63" stopIfTrue="1" operator="lessThanOrEqual">
      <formula>0</formula>
    </cfRule>
  </conditionalFormatting>
  <conditionalFormatting sqref="H62:H63">
    <cfRule type="cellIs" dxfId="2714" priority="79" stopIfTrue="1" operator="greaterThan">
      <formula>$F$74</formula>
    </cfRule>
    <cfRule type="cellIs" dxfId="2713" priority="87" stopIfTrue="1" operator="greaterThan">
      <formula>$F$77</formula>
    </cfRule>
    <cfRule type="cellIs" dxfId="2712" priority="88" stopIfTrue="1" operator="lessThanOrEqual">
      <formula>0</formula>
    </cfRule>
    <cfRule type="cellIs" dxfId="2711" priority="89" stopIfTrue="1" operator="greaterThan">
      <formula>$F$75</formula>
    </cfRule>
  </conditionalFormatting>
  <conditionalFormatting sqref="H62:H65">
    <cfRule type="cellIs" dxfId="2710" priority="90" stopIfTrue="1" operator="lessThanOrEqual">
      <formula>0</formula>
    </cfRule>
  </conditionalFormatting>
  <conditionalFormatting sqref="H64:H65">
    <cfRule type="cellIs" dxfId="2709" priority="102" stopIfTrue="1" operator="lessThanOrEqual">
      <formula>0</formula>
    </cfRule>
    <cfRule type="cellIs" dxfId="2708" priority="103" stopIfTrue="1" operator="greaterThan">
      <formula>$F$75</formula>
    </cfRule>
    <cfRule type="cellIs" dxfId="2707" priority="104" stopIfTrue="1" operator="lessThanOrEqual">
      <formula>0</formula>
    </cfRule>
    <cfRule type="cellIs" dxfId="2706" priority="101" stopIfTrue="1" operator="greaterThan">
      <formula>$F$77</formula>
    </cfRule>
    <cfRule type="cellIs" dxfId="2705" priority="93" stopIfTrue="1" operator="greaterThan">
      <formula>$F$74</formula>
    </cfRule>
  </conditionalFormatting>
  <conditionalFormatting sqref="H66:H67">
    <cfRule type="cellIs" dxfId="2704" priority="143" stopIfTrue="1" operator="lessThanOrEqual">
      <formula>0</formula>
    </cfRule>
    <cfRule type="cellIs" dxfId="2703" priority="131" stopIfTrue="1" operator="lessThanOrEqual">
      <formula>0</formula>
    </cfRule>
    <cfRule type="cellIs" dxfId="2702" priority="142" stopIfTrue="1" operator="greaterThan">
      <formula>#REF!</formula>
    </cfRule>
    <cfRule type="cellIs" dxfId="2701" priority="141" stopIfTrue="1" operator="lessThanOrEqual">
      <formula>0</formula>
    </cfRule>
    <cfRule type="cellIs" dxfId="2700" priority="140" stopIfTrue="1" operator="greaterThan">
      <formula>$F$29</formula>
    </cfRule>
    <cfRule type="cellIs" dxfId="2699" priority="132" stopIfTrue="1" operator="greaterThan">
      <formula>#REF!</formula>
    </cfRule>
  </conditionalFormatting>
  <conditionalFormatting sqref="H68">
    <cfRule type="cellIs" dxfId="2698" priority="157" stopIfTrue="1" operator="lessThanOrEqual">
      <formula>0</formula>
    </cfRule>
    <cfRule type="cellIs" dxfId="2697" priority="156" stopIfTrue="1" operator="greaterThan">
      <formula>$F$43</formula>
    </cfRule>
    <cfRule type="cellIs" dxfId="2696" priority="155" stopIfTrue="1" operator="lessThanOrEqual">
      <formula>0</formula>
    </cfRule>
    <cfRule type="cellIs" dxfId="2695" priority="154" stopIfTrue="1" operator="greaterThan">
      <formula>$F$45</formula>
    </cfRule>
    <cfRule type="cellIs" dxfId="2694" priority="145" stopIfTrue="1" operator="lessThanOrEqual">
      <formula>0</formula>
    </cfRule>
    <cfRule type="cellIs" dxfId="2693" priority="146" stopIfTrue="1" operator="greaterThan">
      <formula>$F$42</formula>
    </cfRule>
  </conditionalFormatting>
  <conditionalFormatting sqref="H69:H70">
    <cfRule type="cellIs" dxfId="2692" priority="117" stopIfTrue="1" operator="lessThanOrEqual">
      <formula>0</formula>
    </cfRule>
    <cfRule type="cellIs" dxfId="2691" priority="118" stopIfTrue="1" operator="greaterThan">
      <formula>#REF!</formula>
    </cfRule>
    <cfRule type="cellIs" dxfId="2690" priority="126" stopIfTrue="1" operator="greaterThan">
      <formula>$F$29</formula>
    </cfRule>
    <cfRule type="cellIs" dxfId="2689" priority="128" stopIfTrue="1" operator="greaterThan">
      <formula>#REF!</formula>
    </cfRule>
    <cfRule type="cellIs" dxfId="2688" priority="129" stopIfTrue="1" operator="lessThanOrEqual">
      <formula>0</formula>
    </cfRule>
    <cfRule type="cellIs" dxfId="2687" priority="127" stopIfTrue="1" operator="lessThanOrEqual">
      <formula>0</formula>
    </cfRule>
  </conditionalFormatting>
  <conditionalFormatting sqref="H85 H87:H93">
    <cfRule type="cellIs" dxfId="2686" priority="184" stopIfTrue="1" operator="lessThanOrEqual">
      <formula>0</formula>
    </cfRule>
    <cfRule type="cellIs" dxfId="2685" priority="183" stopIfTrue="1" operator="greaterThan">
      <formula>4.5</formula>
    </cfRule>
  </conditionalFormatting>
  <conditionalFormatting sqref="H61:I61">
    <cfRule type="cellIs" dxfId="2684" priority="53" stopIfTrue="1" operator="lessThanOrEqual">
      <formula>0</formula>
    </cfRule>
  </conditionalFormatting>
  <conditionalFormatting sqref="H61:I65">
    <cfRule type="cellIs" dxfId="2683" priority="50" stopIfTrue="1" operator="greaterThan">
      <formula>$F$76</formula>
    </cfRule>
  </conditionalFormatting>
  <conditionalFormatting sqref="H62:I63">
    <cfRule type="cellIs" dxfId="2682" priority="80" stopIfTrue="1" operator="lessThanOrEqual">
      <formula>0</formula>
    </cfRule>
  </conditionalFormatting>
  <conditionalFormatting sqref="H64:I65">
    <cfRule type="cellIs" dxfId="2681" priority="94" stopIfTrue="1" operator="lessThanOrEqual">
      <formula>0</formula>
    </cfRule>
  </conditionalFormatting>
  <conditionalFormatting sqref="H66:I67">
    <cfRule type="cellIs" dxfId="2680" priority="133" stopIfTrue="1" operator="lessThanOrEqual">
      <formula>0</formula>
    </cfRule>
    <cfRule type="cellIs" dxfId="2679" priority="130" stopIfTrue="1" operator="greaterThan">
      <formula>#REF!</formula>
    </cfRule>
  </conditionalFormatting>
  <conditionalFormatting sqref="H68:I68">
    <cfRule type="cellIs" dxfId="2678" priority="147" stopIfTrue="1" operator="lessThanOrEqual">
      <formula>0</formula>
    </cfRule>
    <cfRule type="cellIs" dxfId="2677" priority="144" stopIfTrue="1" operator="greaterThan">
      <formula>$F$44</formula>
    </cfRule>
  </conditionalFormatting>
  <conditionalFormatting sqref="H69:I70">
    <cfRule type="cellIs" dxfId="2676" priority="116" stopIfTrue="1" operator="greaterThan">
      <formula>#REF!</formula>
    </cfRule>
    <cfRule type="cellIs" dxfId="2675" priority="119" stopIfTrue="1" operator="lessThanOrEqual">
      <formula>0</formula>
    </cfRule>
  </conditionalFormatting>
  <conditionalFormatting sqref="H74:I81">
    <cfRule type="cellIs" dxfId="2674" priority="31" stopIfTrue="1" operator="greaterThan">
      <formula>$J74</formula>
    </cfRule>
    <cfRule type="cellIs" dxfId="2673" priority="32" stopIfTrue="1" operator="lessThanOrEqual">
      <formula>0</formula>
    </cfRule>
  </conditionalFormatting>
  <conditionalFormatting sqref="H82:I82">
    <cfRule type="cellIs" dxfId="2672" priority="39" operator="greaterThan">
      <formula>5.3</formula>
    </cfRule>
  </conditionalFormatting>
  <conditionalFormatting sqref="H83:I83">
    <cfRule type="cellIs" dxfId="2671" priority="37" stopIfTrue="1" operator="greaterThan">
      <formula>$J83</formula>
    </cfRule>
    <cfRule type="cellIs" dxfId="2670" priority="38" stopIfTrue="1" operator="lessThanOrEqual">
      <formula>0</formula>
    </cfRule>
  </conditionalFormatting>
  <conditionalFormatting sqref="I61">
    <cfRule type="cellIs" dxfId="2669" priority="55" stopIfTrue="1" operator="lessThanOrEqual">
      <formula>0</formula>
    </cfRule>
    <cfRule type="cellIs" dxfId="2668" priority="57" stopIfTrue="1" operator="lessThanOrEqual">
      <formula>0</formula>
    </cfRule>
    <cfRule type="cellIs" dxfId="2667" priority="56" stopIfTrue="1" operator="greaterThan">
      <formula>$F$76</formula>
    </cfRule>
    <cfRule type="cellIs" dxfId="2666" priority="58" stopIfTrue="1" operator="greaterThan">
      <formula>$F$74</formula>
    </cfRule>
    <cfRule type="cellIs" dxfId="2665" priority="59" stopIfTrue="1" operator="lessThanOrEqual">
      <formula>0</formula>
    </cfRule>
    <cfRule type="cellIs" dxfId="2664" priority="54" stopIfTrue="1" operator="greaterThan">
      <formula>$F$74</formula>
    </cfRule>
  </conditionalFormatting>
  <conditionalFormatting sqref="I62:I63">
    <cfRule type="cellIs" dxfId="2663" priority="82" stopIfTrue="1" operator="lessThanOrEqual">
      <formula>0</formula>
    </cfRule>
    <cfRule type="cellIs" dxfId="2662" priority="81" stopIfTrue="1" operator="greaterThan">
      <formula>$F$74</formula>
    </cfRule>
    <cfRule type="cellIs" dxfId="2661" priority="85" stopIfTrue="1" operator="greaterThan">
      <formula>$F$74</formula>
    </cfRule>
    <cfRule type="cellIs" dxfId="2660" priority="86" stopIfTrue="1" operator="lessThanOrEqual">
      <formula>0</formula>
    </cfRule>
    <cfRule type="cellIs" dxfId="2659" priority="83" stopIfTrue="1" operator="greaterThan">
      <formula>$F$76</formula>
    </cfRule>
    <cfRule type="cellIs" dxfId="2658" priority="84" stopIfTrue="1" operator="lessThanOrEqual">
      <formula>0</formula>
    </cfRule>
  </conditionalFormatting>
  <conditionalFormatting sqref="I64:I65">
    <cfRule type="cellIs" dxfId="2657" priority="100" stopIfTrue="1" operator="lessThanOrEqual">
      <formula>0</formula>
    </cfRule>
    <cfRule type="cellIs" dxfId="2656" priority="98" stopIfTrue="1" operator="lessThanOrEqual">
      <formula>0</formula>
    </cfRule>
    <cfRule type="cellIs" dxfId="2655" priority="97" stopIfTrue="1" operator="greaterThan">
      <formula>$F$76</formula>
    </cfRule>
    <cfRule type="cellIs" dxfId="2654" priority="96" stopIfTrue="1" operator="lessThanOrEqual">
      <formula>0</formula>
    </cfRule>
    <cfRule type="cellIs" dxfId="2653" priority="95" stopIfTrue="1" operator="greaterThan">
      <formula>$F$74</formula>
    </cfRule>
    <cfRule type="cellIs" dxfId="2652" priority="99" stopIfTrue="1" operator="greaterThan">
      <formula>$F$74</formula>
    </cfRule>
  </conditionalFormatting>
  <conditionalFormatting sqref="I66:I67">
    <cfRule type="cellIs" dxfId="2651" priority="134" stopIfTrue="1" operator="greaterThan">
      <formula>#REF!</formula>
    </cfRule>
    <cfRule type="cellIs" dxfId="2650" priority="135" stopIfTrue="1" operator="lessThanOrEqual">
      <formula>0</formula>
    </cfRule>
    <cfRule type="cellIs" dxfId="2649" priority="136" stopIfTrue="1" operator="greaterThan">
      <formula>#REF!</formula>
    </cfRule>
    <cfRule type="cellIs" dxfId="2648" priority="137" stopIfTrue="1" operator="lessThanOrEqual">
      <formula>0</formula>
    </cfRule>
    <cfRule type="cellIs" dxfId="2647" priority="138" stopIfTrue="1" operator="greaterThan">
      <formula>#REF!</formula>
    </cfRule>
    <cfRule type="cellIs" dxfId="2646" priority="139" stopIfTrue="1" operator="lessThanOrEqual">
      <formula>0</formula>
    </cfRule>
  </conditionalFormatting>
  <conditionalFormatting sqref="I68">
    <cfRule type="cellIs" dxfId="2645" priority="152" stopIfTrue="1" operator="greaterThan">
      <formula>$F$42</formula>
    </cfRule>
    <cfRule type="cellIs" dxfId="2644" priority="153" stopIfTrue="1" operator="lessThanOrEqual">
      <formula>0</formula>
    </cfRule>
    <cfRule type="cellIs" dxfId="2643" priority="150" stopIfTrue="1" operator="greaterThan">
      <formula>$F$44</formula>
    </cfRule>
    <cfRule type="cellIs" dxfId="2642" priority="148" stopIfTrue="1" operator="greaterThan">
      <formula>$F$42</formula>
    </cfRule>
    <cfRule type="cellIs" dxfId="2641" priority="149" stopIfTrue="1" operator="lessThanOrEqual">
      <formula>0</formula>
    </cfRule>
    <cfRule type="cellIs" dxfId="2640" priority="151" stopIfTrue="1" operator="lessThanOrEqual">
      <formula>0</formula>
    </cfRule>
  </conditionalFormatting>
  <conditionalFormatting sqref="I69:I70">
    <cfRule type="cellIs" dxfId="2639" priority="120" stopIfTrue="1" operator="greaterThan">
      <formula>#REF!</formula>
    </cfRule>
    <cfRule type="cellIs" dxfId="2638" priority="121" stopIfTrue="1" operator="lessThanOrEqual">
      <formula>0</formula>
    </cfRule>
    <cfRule type="cellIs" dxfId="2637" priority="122" stopIfTrue="1" operator="greaterThan">
      <formula>#REF!</formula>
    </cfRule>
    <cfRule type="cellIs" dxfId="2636" priority="124" stopIfTrue="1" operator="greaterThan">
      <formula>#REF!</formula>
    </cfRule>
    <cfRule type="cellIs" dxfId="2635" priority="123" stopIfTrue="1" operator="lessThanOrEqual">
      <formula>0</formula>
    </cfRule>
    <cfRule type="cellIs" dxfId="2634" priority="125" stopIfTrue="1" operator="lessThanOrEqual">
      <formula>0</formula>
    </cfRule>
  </conditionalFormatting>
  <conditionalFormatting sqref="I85:I93">
    <cfRule type="cellIs" dxfId="2633" priority="180" stopIfTrue="1" operator="lessThanOrEqual">
      <formula>0</formula>
    </cfRule>
    <cfRule type="cellIs" dxfId="2632" priority="179" stopIfTrue="1" operator="greaterThan">
      <formula>4.5</formula>
    </cfRule>
  </conditionalFormatting>
  <conditionalFormatting sqref="I10:J29">
    <cfRule type="cellIs" dxfId="2631" priority="5" operator="lessThan">
      <formula>97.9</formula>
    </cfRule>
  </conditionalFormatting>
  <conditionalFormatting sqref="J32:J33">
    <cfRule type="cellIs" dxfId="2630" priority="92" operator="lessThan">
      <formula>97.95</formula>
    </cfRule>
  </conditionalFormatting>
  <conditionalFormatting sqref="J34">
    <cfRule type="cellIs" dxfId="2629" priority="159" stopIfTrue="1" operator="lessThan">
      <formula>96.8</formula>
    </cfRule>
    <cfRule type="cellIs" dxfId="2628" priority="160" stopIfTrue="1" operator="greaterThan">
      <formula>100</formula>
    </cfRule>
    <cfRule type="cellIs" dxfId="2627" priority="161" operator="lessThan">
      <formula>98</formula>
    </cfRule>
  </conditionalFormatting>
  <conditionalFormatting sqref="J34:J36">
    <cfRule type="cellIs" dxfId="2626" priority="158" operator="lessThan">
      <formula>97.4</formula>
    </cfRule>
  </conditionalFormatting>
  <conditionalFormatting sqref="J37:J38">
    <cfRule type="cellIs" dxfId="2625" priority="162" operator="lessThan">
      <formula>98</formula>
    </cfRule>
  </conditionalFormatting>
  <conditionalFormatting sqref="J39:J40">
    <cfRule type="cellIs" dxfId="2624" priority="163" stopIfTrue="1" operator="lessThan">
      <formula>96.8</formula>
    </cfRule>
    <cfRule type="cellIs" dxfId="2623" priority="164" stopIfTrue="1" operator="greaterThan">
      <formula>100</formula>
    </cfRule>
  </conditionalFormatting>
  <conditionalFormatting sqref="J39:J41">
    <cfRule type="cellIs" dxfId="2622" priority="165" operator="lessThan">
      <formula>98</formula>
    </cfRule>
  </conditionalFormatting>
  <conditionalFormatting sqref="J70">
    <cfRule type="cellIs" dxfId="2621" priority="112" stopIfTrue="1" operator="greaterThan">
      <formula>#REF!</formula>
    </cfRule>
    <cfRule type="cellIs" dxfId="2620" priority="109" stopIfTrue="1" operator="lessThanOrEqual">
      <formula>0</formula>
    </cfRule>
    <cfRule type="cellIs" dxfId="2619" priority="111" stopIfTrue="1" operator="lessThanOrEqual">
      <formula>0</formula>
    </cfRule>
    <cfRule type="cellIs" dxfId="2618" priority="110" stopIfTrue="1" operator="greaterThan">
      <formula>#REF!</formula>
    </cfRule>
    <cfRule type="cellIs" dxfId="2617" priority="108" stopIfTrue="1" operator="greaterThan">
      <formula>#REF!</formula>
    </cfRule>
    <cfRule type="cellIs" dxfId="2616" priority="115" stopIfTrue="1" operator="lessThanOrEqual">
      <formula>0</formula>
    </cfRule>
    <cfRule type="cellIs" dxfId="2615" priority="114" stopIfTrue="1" operator="greaterThan">
      <formula>#REF!</formula>
    </cfRule>
    <cfRule type="cellIs" dxfId="2614" priority="113" stopIfTrue="1" operator="lessThanOrEqual">
      <formula>0</formula>
    </cfRule>
  </conditionalFormatting>
  <conditionalFormatting sqref="J83">
    <cfRule type="cellIs" dxfId="2613" priority="42" stopIfTrue="1" operator="greaterThan">
      <formula>$F83</formula>
    </cfRule>
    <cfRule type="cellIs" dxfId="2612" priority="43" stopIfTrue="1" operator="lessThanOrEqual">
      <formula>0</formula>
    </cfRule>
  </conditionalFormatting>
  <conditionalFormatting sqref="K10:K29">
    <cfRule type="cellIs" dxfId="2611" priority="6" operator="greaterThan">
      <formula>6</formula>
    </cfRule>
    <cfRule type="cellIs" dxfId="2610" priority="7" operator="lessThan">
      <formula>4</formula>
    </cfRule>
    <cfRule type="cellIs" dxfId="2609" priority="8" operator="greaterThan">
      <formula>6.4</formula>
    </cfRule>
  </conditionalFormatting>
  <conditionalFormatting sqref="K61:K70">
    <cfRule type="cellIs" dxfId="2608" priority="91" stopIfTrue="1" operator="lessThan">
      <formula>100%</formula>
    </cfRule>
  </conditionalFormatting>
  <conditionalFormatting sqref="K74:K82">
    <cfRule type="cellIs" dxfId="2607" priority="30" stopIfTrue="1" operator="lessThan">
      <formula>100%</formula>
    </cfRule>
  </conditionalFormatting>
  <conditionalFormatting sqref="K85:K90">
    <cfRule type="cellIs" dxfId="2606" priority="185" stopIfTrue="1" operator="lessThan">
      <formula>100%</formula>
    </cfRule>
  </conditionalFormatting>
  <conditionalFormatting sqref="K92:K93">
    <cfRule type="cellIs" dxfId="2605" priority="192" stopIfTrue="1" operator="lessThan">
      <formula>100%</formula>
    </cfRule>
  </conditionalFormatting>
  <conditionalFormatting sqref="L10:L29">
    <cfRule type="cellIs" dxfId="2604" priority="10" operator="greaterThan">
      <formula>65</formula>
    </cfRule>
    <cfRule type="cellIs" dxfId="2603" priority="9" operator="between">
      <formula>61</formula>
      <formula>65</formula>
    </cfRule>
  </conditionalFormatting>
  <conditionalFormatting sqref="L32:M43">
    <cfRule type="cellIs" dxfId="2602" priority="105" operator="lessThan">
      <formula>97.95</formula>
    </cfRule>
  </conditionalFormatting>
  <conditionalFormatting sqref="L47:N47">
    <cfRule type="cellIs" dxfId="2601" priority="70" operator="notEqual">
      <formula>#REF!</formula>
    </cfRule>
  </conditionalFormatting>
  <conditionalFormatting sqref="L74:N83">
    <cfRule type="cellIs" dxfId="2600" priority="25" stopIfTrue="1" operator="lessThan">
      <formula>100%</formula>
    </cfRule>
  </conditionalFormatting>
  <conditionalFormatting sqref="L85:N93">
    <cfRule type="cellIs" dxfId="2599" priority="170" stopIfTrue="1" operator="lessThan">
      <formula>100%</formula>
    </cfRule>
  </conditionalFormatting>
  <conditionalFormatting sqref="M10:N29">
    <cfRule type="expression" dxfId="2598" priority="2">
      <formula>IF(+(IF(M10&lt;#REF!,0,IF(M10&gt;#REF!,0,1)))=0,1)</formula>
    </cfRule>
  </conditionalFormatting>
  <conditionalFormatting sqref="N18:N20">
    <cfRule type="expression" dxfId="2597" priority="3">
      <formula>IF(+(IF(N18&lt;W18,0,IF(N18&gt;X18,0,1)))=0,1)</formula>
    </cfRule>
  </conditionalFormatting>
  <conditionalFormatting sqref="N23">
    <cfRule type="expression" dxfId="2596" priority="1">
      <formula>IF(+(IF(N23&lt;W23,0,IF(N23&gt;X23,0,1)))=0,1)</formula>
    </cfRule>
  </conditionalFormatting>
  <conditionalFormatting sqref="P6">
    <cfRule type="cellIs" dxfId="2595" priority="166" operator="greaterThanOrEqual">
      <formula>19</formula>
    </cfRule>
  </conditionalFormatting>
  <dataValidations count="1">
    <dataValidation type="list" allowBlank="1" showInputMessage="1" showErrorMessage="1" sqref="R8" xr:uid="{E29B2A7C-7397-488F-86F7-54F31B275C8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7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6627-5329-45A2-B3F3-69825239943C}">
  <sheetPr>
    <pageSetUpPr fitToPage="1"/>
  </sheetPr>
  <dimension ref="A1:BE83"/>
  <sheetViews>
    <sheetView topLeftCell="A25" zoomScale="70" zoomScaleNormal="70" workbookViewId="0">
      <selection activeCell="L61" sqref="L61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46188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hidden="1" customHeight="1">
      <c r="B10" s="29" t="s">
        <v>6</v>
      </c>
      <c r="C10" s="366" t="str">
        <f>[3]Brewhouse!$A441</f>
        <v>CA395</v>
      </c>
      <c r="D10" s="279">
        <f>[3]Brewhouse!$AF441</f>
        <v>47.9</v>
      </c>
      <c r="E10" s="279">
        <f>[3]Brewhouse!$AI441</f>
        <v>47.9</v>
      </c>
      <c r="F10" s="278">
        <f>[3]Brewhouse!$V441</f>
        <v>60</v>
      </c>
      <c r="G10" s="279">
        <f>[3]Brewhouse!AG441</f>
        <v>12</v>
      </c>
      <c r="H10" s="396"/>
      <c r="I10" s="368">
        <f>[3]Brewhouse!$AU441</f>
        <v>94.35299110982487</v>
      </c>
      <c r="J10" s="368">
        <f>[3]Brewhouse!$AV441</f>
        <v>95.174307131157988</v>
      </c>
      <c r="K10" s="281">
        <f>[3]Brewhouse!$Q441</f>
        <v>12.62962962962963</v>
      </c>
      <c r="L10" s="276">
        <f>[3]Brewhouse!$P441</f>
        <v>57</v>
      </c>
      <c r="M10" s="397">
        <f>[3]Brewhouse!$U441-[3]Brewhouse!$T441</f>
        <v>0.12708333333333333</v>
      </c>
      <c r="N10" s="370">
        <f>[3]Brewhouse!$Z441</f>
        <v>0.32847222222222217</v>
      </c>
      <c r="O10" s="420" t="str">
        <f>[3]Brewhouse!$AX441</f>
        <v>R. Regis</v>
      </c>
      <c r="P10" s="418"/>
      <c r="R10" s="277" t="str">
        <f t="shared" ref="R10:R43" si="0">B10</f>
        <v>CARIB</v>
      </c>
      <c r="S10" s="472">
        <f t="shared" ref="S10:S43" si="1">VLOOKUP($B10,$R$3:$X$9,2,FALSE)</f>
        <v>11.6</v>
      </c>
      <c r="T10" s="472">
        <f t="shared" ref="T10:T43" si="2">VLOOKUP($B10,$R$3:$X$9,3,FALSE)</f>
        <v>12</v>
      </c>
      <c r="U10" s="297">
        <f t="shared" ref="U10:U43" si="3">VLOOKUP($B10,$R$3:$X$9,4,FALSE)</f>
        <v>0</v>
      </c>
      <c r="V10" s="297">
        <f t="shared" ref="V10:V43" si="4">VLOOKUP($B10,$R$3:$X$9,5,FALSE)</f>
        <v>0.118055555555556</v>
      </c>
      <c r="W10" s="297">
        <f t="shared" ref="W10:W43" si="5">VLOOKUP($B10,$R$3:$X$9,6,FALSE)</f>
        <v>0.22569444444444445</v>
      </c>
      <c r="X10" s="297">
        <f t="shared" ref="X10:X43" si="6">VLOOKUP($B10,$R$3:$X$9,7,FALSE)</f>
        <v>0.2638888888888889</v>
      </c>
      <c r="Y10" s="297">
        <f t="shared" ref="Y10:Y43" si="7">VLOOKUP($B10,$R$3:$Z$9,8,FALSE)</f>
        <v>0</v>
      </c>
      <c r="Z10" s="472">
        <f t="shared" ref="Z10:Z43" si="8">VLOOKUP($B10,$R$3:$Z$9,9,FALSE)</f>
        <v>60</v>
      </c>
    </row>
    <row r="11" spans="2:29" ht="17.25" hidden="1" customHeight="1">
      <c r="B11" s="29" t="s">
        <v>6</v>
      </c>
      <c r="C11" s="366" t="str">
        <f>[3]Brewhouse!$A442</f>
        <v>CA396</v>
      </c>
      <c r="D11" s="279">
        <f>[3]Brewhouse!$AF442</f>
        <v>50.4</v>
      </c>
      <c r="E11" s="279">
        <f>[3]Brewhouse!$AI442</f>
        <v>50.1</v>
      </c>
      <c r="F11" s="278">
        <f>[3]Brewhouse!$V442</f>
        <v>47</v>
      </c>
      <c r="G11" s="279">
        <f>[3]Brewhouse!AG442</f>
        <v>12</v>
      </c>
      <c r="H11" s="396"/>
      <c r="I11" s="368">
        <f>[3]Brewhouse!$AU442</f>
        <v>99.78810647611833</v>
      </c>
      <c r="J11" s="368">
        <f>[3]Brewhouse!$AV442</f>
        <v>100.65622530286895</v>
      </c>
      <c r="K11" s="281">
        <f>[3]Brewhouse!$Q442</f>
        <v>9.6487985212569285</v>
      </c>
      <c r="L11" s="276">
        <f>[3]Brewhouse!$P442</f>
        <v>60</v>
      </c>
      <c r="M11" s="397">
        <f>[3]Brewhouse!$U442-[3]Brewhouse!$T442</f>
        <v>0.10555555555555562</v>
      </c>
      <c r="N11" s="370">
        <f>[3]Brewhouse!$Z442</f>
        <v>0.26527777777777783</v>
      </c>
      <c r="O11" s="420" t="str">
        <f>[3]Brewhouse!$AX442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hidden="1" customHeight="1">
      <c r="B12" s="29" t="s">
        <v>6</v>
      </c>
      <c r="C12" s="366" t="str">
        <f>[3]Brewhouse!$A443</f>
        <v>CA397</v>
      </c>
      <c r="D12" s="279">
        <f>[3]Brewhouse!$AF443</f>
        <v>49.8</v>
      </c>
      <c r="E12" s="279">
        <f>[3]Brewhouse!$AI443</f>
        <v>49.5</v>
      </c>
      <c r="F12" s="278">
        <f>[3]Brewhouse!$V443</f>
        <v>50</v>
      </c>
      <c r="G12" s="279">
        <f>[3]Brewhouse!AG443</f>
        <v>12</v>
      </c>
      <c r="H12" s="396"/>
      <c r="I12" s="368">
        <f>[3]Brewhouse!$AU443</f>
        <v>98.715472456614393</v>
      </c>
      <c r="J12" s="368">
        <f>[3]Brewhouse!$AV443</f>
        <v>99.574203204894033</v>
      </c>
      <c r="K12" s="281">
        <f>[3]Brewhouse!$Q443</f>
        <v>11.333333333333329</v>
      </c>
      <c r="L12" s="276">
        <f>[3]Brewhouse!$P443</f>
        <v>60</v>
      </c>
      <c r="M12" s="397">
        <f>[3]Brewhouse!$U443-[3]Brewhouse!$T443</f>
        <v>0.10069444444444442</v>
      </c>
      <c r="N12" s="370">
        <f>[3]Brewhouse!$Z443</f>
        <v>0.25694444444444442</v>
      </c>
      <c r="O12" s="420" t="str">
        <f>[3]Brewhouse!$AX443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hidden="1" customHeight="1">
      <c r="B13" s="29" t="s">
        <v>6</v>
      </c>
      <c r="C13" s="366" t="str">
        <f>[3]Brewhouse!$A444</f>
        <v>CA398</v>
      </c>
      <c r="D13" s="279">
        <f>[3]Brewhouse!$AF444</f>
        <v>51</v>
      </c>
      <c r="E13" s="279">
        <f>[3]Brewhouse!$AI444</f>
        <v>50</v>
      </c>
      <c r="F13" s="278">
        <f>[3]Brewhouse!$V444</f>
        <v>55</v>
      </c>
      <c r="G13" s="279">
        <f>[3]Brewhouse!AG444</f>
        <v>11.9</v>
      </c>
      <c r="H13" s="396"/>
      <c r="I13" s="368">
        <f>[3]Brewhouse!$AU444</f>
        <v>98.839319314550693</v>
      </c>
      <c r="J13" s="368">
        <f>[3]Brewhouse!$AV444</f>
        <v>99.699127412736502</v>
      </c>
      <c r="K13" s="281">
        <f>[3]Brewhouse!$Q444</f>
        <v>7.6296296296296253</v>
      </c>
      <c r="L13" s="276">
        <f>[3]Brewhouse!$P444</f>
        <v>61</v>
      </c>
      <c r="M13" s="397">
        <f>[3]Brewhouse!$U444-[3]Brewhouse!$T444</f>
        <v>0.10624999999999996</v>
      </c>
      <c r="N13" s="370">
        <f>[3]Brewhouse!$Z444</f>
        <v>0.24305555555555558</v>
      </c>
      <c r="O13" s="420" t="str">
        <f>[3]Brewhouse!$AX444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hidden="1" customHeight="1">
      <c r="B14" s="29" t="s">
        <v>6</v>
      </c>
      <c r="C14" s="366" t="str">
        <f>[3]Brewhouse!$A445</f>
        <v>CA399</v>
      </c>
      <c r="D14" s="279">
        <f>[3]Brewhouse!$AF445</f>
        <v>50.9</v>
      </c>
      <c r="E14" s="279">
        <f>[3]Brewhouse!$AI445</f>
        <v>50.5</v>
      </c>
      <c r="F14" s="278">
        <f>[3]Brewhouse!$V445</f>
        <v>61</v>
      </c>
      <c r="G14" s="279">
        <f>[3]Brewhouse!AG445</f>
        <v>11.9</v>
      </c>
      <c r="H14" s="396"/>
      <c r="I14" s="368">
        <f>[3]Brewhouse!$AU445</f>
        <v>99.827712507696191</v>
      </c>
      <c r="J14" s="368">
        <f>[3]Brewhouse!$AV445</f>
        <v>100.69611868686383</v>
      </c>
      <c r="K14" s="281">
        <f>[3]Brewhouse!$Q445</f>
        <v>7.8148148148148131</v>
      </c>
      <c r="L14" s="276">
        <f>[3]Brewhouse!$P445</f>
        <v>61</v>
      </c>
      <c r="M14" s="397">
        <f>[3]Brewhouse!$U445-[3]Brewhouse!$T445</f>
        <v>0.10625000000000001</v>
      </c>
      <c r="N14" s="370">
        <f>[3]Brewhouse!$Z445</f>
        <v>0.25833333333333336</v>
      </c>
      <c r="O14" s="420" t="str">
        <f>[3]Brewhouse!$AX445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hidden="1" customHeight="1">
      <c r="B15" s="29" t="s">
        <v>6</v>
      </c>
      <c r="C15" s="366" t="str">
        <f>[3]Brewhouse!$A446</f>
        <v>CA400</v>
      </c>
      <c r="D15" s="279">
        <f>[3]Brewhouse!$AF446</f>
        <v>52.1</v>
      </c>
      <c r="E15" s="279">
        <f>[3]Brewhouse!$AI446</f>
        <v>51.77</v>
      </c>
      <c r="F15" s="278">
        <f>[3]Brewhouse!$V446</f>
        <v>60</v>
      </c>
      <c r="G15" s="279">
        <f>[3]Brewhouse!AG446</f>
        <v>12</v>
      </c>
      <c r="H15" s="396"/>
      <c r="I15" s="368">
        <f>[3]Brewhouse!$AU446</f>
        <v>102.60534633351912</v>
      </c>
      <c r="J15" s="368">
        <f>[3]Brewhouse!$AV446</f>
        <v>103.49820781921714</v>
      </c>
      <c r="K15" s="281">
        <f>[3]Brewhouse!$Q446</f>
        <v>8.1700554528650677</v>
      </c>
      <c r="L15" s="276">
        <f>[3]Brewhouse!$P446</f>
        <v>61</v>
      </c>
      <c r="M15" s="397">
        <f>[3]Brewhouse!$U446-[3]Brewhouse!$T446</f>
        <v>0.1111111111111111</v>
      </c>
      <c r="N15" s="370">
        <f>[3]Brewhouse!$Z446</f>
        <v>0.2631944444444444</v>
      </c>
      <c r="O15" s="420" t="str">
        <f>[3]Brewhouse!$AX446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hidden="1" customHeight="1">
      <c r="B16" s="29" t="s">
        <v>6</v>
      </c>
      <c r="C16" s="366" t="str">
        <f>[3]Brewhouse!$A447</f>
        <v>CA401</v>
      </c>
      <c r="D16" s="279">
        <f>[3]Brewhouse!$AF447</f>
        <v>52.6</v>
      </c>
      <c r="E16" s="279">
        <f>[3]Brewhouse!$AI447</f>
        <v>53.3</v>
      </c>
      <c r="F16" s="278">
        <f>[3]Brewhouse!$V447</f>
        <v>65</v>
      </c>
      <c r="G16" s="279">
        <f>[3]Brewhouse!AG447</f>
        <v>11.6</v>
      </c>
      <c r="H16" s="396"/>
      <c r="I16" s="368">
        <f>[3]Brewhouse!$AU447</f>
        <v>101.06394965204404</v>
      </c>
      <c r="J16" s="368">
        <f>[3]Brewhouse!$AV447</f>
        <v>101.94379553152135</v>
      </c>
      <c r="K16" s="281">
        <f>[3]Brewhouse!$Q447</f>
        <v>6.5064695009242195</v>
      </c>
      <c r="L16" s="276">
        <f>[3]Brewhouse!$P447</f>
        <v>62</v>
      </c>
      <c r="M16" s="397">
        <f>[3]Brewhouse!$U447-[3]Brewhouse!$T447</f>
        <v>0.11388888888888893</v>
      </c>
      <c r="N16" s="370">
        <f>[3]Brewhouse!$Z447</f>
        <v>0.30625000000000002</v>
      </c>
      <c r="O16" s="420" t="str">
        <f>[3]Brewhouse!$AX447</f>
        <v>R. Regis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hidden="1" customHeight="1">
      <c r="B17" s="29" t="s">
        <v>6</v>
      </c>
      <c r="C17" s="366" t="str">
        <f>[3]Brewhouse!$A448</f>
        <v>CA402</v>
      </c>
      <c r="D17" s="279">
        <f>[3]Brewhouse!$AF448</f>
        <v>50.9</v>
      </c>
      <c r="E17" s="279">
        <f>[3]Brewhouse!$AI448</f>
        <v>50.83</v>
      </c>
      <c r="F17" s="278">
        <f>[3]Brewhouse!$V448</f>
        <v>64</v>
      </c>
      <c r="G17" s="279">
        <f>[3]Brewhouse!AG448</f>
        <v>11.8</v>
      </c>
      <c r="H17" s="396"/>
      <c r="I17" s="368">
        <f>[3]Brewhouse!$AU448</f>
        <v>99.592276455198828</v>
      </c>
      <c r="J17" s="368">
        <f>[3]Brewhouse!$AV448</f>
        <v>100.45863456457052</v>
      </c>
      <c r="K17" s="281">
        <f>[3]Brewhouse!$Q448</f>
        <v>8.7245841035120115</v>
      </c>
      <c r="L17" s="276">
        <f>[3]Brewhouse!$P448</f>
        <v>59</v>
      </c>
      <c r="M17" s="397">
        <f>[3]Brewhouse!$U448-[3]Brewhouse!$T448</f>
        <v>0.10902777777777772</v>
      </c>
      <c r="N17" s="370">
        <f>[3]Brewhouse!$Z448</f>
        <v>0.27499999999999997</v>
      </c>
      <c r="O17" s="420" t="str">
        <f>[3]Brewhouse!$AX448</f>
        <v>R. Regis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7.2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7.2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7.2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7.2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7.2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0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0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7.25" customHeight="1">
      <c r="B28" s="29"/>
      <c r="C28" s="366"/>
      <c r="D28" s="279"/>
      <c r="E28" s="279"/>
      <c r="F28" s="278"/>
      <c r="G28" s="279"/>
      <c r="H28" s="481"/>
      <c r="I28" s="368"/>
      <c r="J28" s="368"/>
      <c r="K28" s="281"/>
      <c r="L28" s="276"/>
      <c r="M28" s="374"/>
      <c r="N28" s="370"/>
      <c r="O28" s="371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7.25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8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7.25" customHeight="1" thickBot="1">
      <c r="B30" s="358"/>
      <c r="C30" s="358"/>
      <c r="D30" s="358"/>
      <c r="E30" s="358"/>
      <c r="F30" s="294"/>
      <c r="G30" s="294"/>
      <c r="H30" s="348"/>
      <c r="I30" s="544"/>
      <c r="J30" s="544"/>
      <c r="K30" s="544"/>
      <c r="L30" s="544"/>
      <c r="M30" s="544"/>
      <c r="N30" s="544"/>
      <c r="O30" s="1"/>
      <c r="P30" s="12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7.25" customHeight="1" thickBot="1">
      <c r="B31" s="388" t="s">
        <v>162</v>
      </c>
      <c r="C31" s="388"/>
      <c r="D31" s="545" t="s">
        <v>35</v>
      </c>
      <c r="E31" s="546"/>
      <c r="F31" s="294"/>
      <c r="G31" s="294"/>
      <c r="H31" s="348"/>
      <c r="I31" s="24" t="s">
        <v>17</v>
      </c>
      <c r="J31" s="25"/>
      <c r="K31" s="26" t="s">
        <v>138</v>
      </c>
      <c r="L31" s="25" t="s">
        <v>37</v>
      </c>
      <c r="M31" s="25" t="s">
        <v>38</v>
      </c>
      <c r="N31" s="27" t="s">
        <v>39</v>
      </c>
      <c r="O31" s="294"/>
      <c r="P31" s="12"/>
      <c r="R31" s="277" t="str">
        <f t="shared" si="0"/>
        <v xml:space="preserve">BRAND 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7.25" customHeight="1">
      <c r="A32" s="28"/>
      <c r="B32" s="530"/>
      <c r="C32" s="362"/>
      <c r="D32" s="548"/>
      <c r="E32" s="549"/>
      <c r="F32" s="294"/>
      <c r="G32" s="294"/>
      <c r="H32" s="348"/>
      <c r="I32" s="29" t="s">
        <v>6</v>
      </c>
      <c r="J32" s="323"/>
      <c r="K32" s="284">
        <f>COUNTA([3]Brewhouse!$A$441:$A$456)</f>
        <v>16</v>
      </c>
      <c r="L32" s="305">
        <f>AVERAGE([3]Brewhouse!$AU$441:$AU$456)</f>
        <v>98.338207134099193</v>
      </c>
      <c r="M32" s="305">
        <f>AVERAGE([3]Brewhouse!$AU$42:$AU$123,[3]Brewhouse!$AU$125:$AU$188,[3]Brewhouse!$AU$198:$AU$290,[3]Brewhouse!$AU$292:$AU$370,[3]Brewhouse!$AU$372:$AU$439,[3]Brewhouse!$AU$441:$AU$456)</f>
        <v>97.989129835114738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5" customHeight="1">
      <c r="A33" s="28"/>
      <c r="B33" s="531"/>
      <c r="C33" s="362"/>
      <c r="D33" s="550"/>
      <c r="E33" s="536"/>
      <c r="F33" s="294"/>
      <c r="G33" s="294"/>
      <c r="H33" s="348"/>
      <c r="I33" s="33" t="s">
        <v>9</v>
      </c>
      <c r="J33" s="323"/>
      <c r="K33" s="284">
        <f>COUNTA([4]Brewhouse!$A$252:$A$261)</f>
        <v>10</v>
      </c>
      <c r="L33" s="302">
        <f>AVERAGE([4]Brewhouse!$AS$252:$AS$261)</f>
        <v>98.651084145662495</v>
      </c>
      <c r="M33" s="302">
        <f>AVERAGE([4]Brewhouse!$AS$52:$AS$81,[4]Brewhouse!$AS$83:$AS$124,[4]Brewhouse!$AS$134:$AS$177,[4]Brewhouse!$AS$22:$AS$179,[4]Brewhouse!$AS$214:$AS$249,[4]Brewhouse!$AS$252:$AS$261)</f>
        <v>97.998040136729827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65" customHeight="1">
      <c r="A34" s="28"/>
      <c r="B34" s="531"/>
      <c r="C34" s="362"/>
      <c r="D34" s="540"/>
      <c r="E34" s="541"/>
      <c r="F34" s="294"/>
      <c r="G34" s="294"/>
      <c r="H34" s="348"/>
      <c r="I34" s="34" t="s">
        <v>12</v>
      </c>
      <c r="J34" s="280"/>
      <c r="K34" s="284">
        <f>COUNTA([5]Brewhouse!$A$62:$A$69)</f>
        <v>8</v>
      </c>
      <c r="L34" s="302">
        <f>AVERAGE([5]Brewhouse!$AU$62:$AU$69)</f>
        <v>95.865325586732524</v>
      </c>
      <c r="M34" s="302">
        <f>AVERAGE([5]Brewhouse!$AU$16:$AU$23,[5]Brewhouse!$AU$25:$AU$32,[5]Brewhouse!$AU$34:$AU$41,[5]Brewhouse!$AU$43:$AU$60,[5]Brewhouse!$AU$62:$AU$69)</f>
        <v>96.726835550404019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31"/>
      <c r="C35" s="362"/>
      <c r="D35" s="535"/>
      <c r="E35" s="536"/>
      <c r="F35" s="294"/>
      <c r="G35" s="294"/>
      <c r="H35" s="348"/>
      <c r="I35" s="22" t="s">
        <v>33</v>
      </c>
      <c r="J35" s="280"/>
      <c r="K35" s="284"/>
      <c r="L35" s="302"/>
      <c r="M35" s="302">
        <f>AVERAGE([6]Brewhouse!$AV$23:$AV$34,[6]Brewhouse!$AV$36,[6]Brewhouse!$AV$38:$AV$52,[6]Brewhouse!$AV$54:$AV$60,[6]Brewhouse!$AV$62:$AV$68)</f>
        <v>97.579195177204838</v>
      </c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31"/>
      <c r="C36" s="362"/>
      <c r="D36" s="540"/>
      <c r="E36" s="541"/>
      <c r="F36" s="417"/>
      <c r="G36" s="294"/>
      <c r="H36" s="348"/>
      <c r="I36" s="35" t="s">
        <v>29</v>
      </c>
      <c r="J36" s="280"/>
      <c r="K36" s="284"/>
      <c r="L36" s="302"/>
      <c r="M36" s="302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31"/>
      <c r="C37" s="362"/>
      <c r="D37" s="535"/>
      <c r="E37" s="536"/>
      <c r="F37" s="417"/>
      <c r="G37" s="294"/>
      <c r="H37" s="348"/>
      <c r="I37" s="36" t="s">
        <v>15</v>
      </c>
      <c r="J37" s="323"/>
      <c r="K37" s="284"/>
      <c r="L37" s="302"/>
      <c r="M37" s="302">
        <f>AVERAGE([7]Brewhouse!$AT$4:$AT$11,[7]Brewhouse!$AT$13:$AT$16)</f>
        <v>91.538375374138752</v>
      </c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31"/>
      <c r="C38" s="362"/>
      <c r="D38" s="540"/>
      <c r="E38" s="541"/>
      <c r="F38" s="417"/>
      <c r="G38" s="294"/>
      <c r="H38" s="348"/>
      <c r="I38" s="37" t="s">
        <v>16</v>
      </c>
      <c r="J38" s="323"/>
      <c r="K38" s="284"/>
      <c r="L38" s="302"/>
      <c r="M38" s="302">
        <f>AVERAGE([8]Brewhouse!$AY$5:$AY$14,[8]Brewhouse!$AY$16:$AY$23,[8]Brewhouse!$AY$42,[8]Brewhouse!$AY$44:$AY$51,[8]Brewhouse!$AY$53:$AY$64)</f>
        <v>97.359350085271998</v>
      </c>
      <c r="N38" s="30">
        <v>98</v>
      </c>
      <c r="O38" s="11"/>
      <c r="P38" s="31" t="s">
        <v>41</v>
      </c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31"/>
      <c r="C39" s="362"/>
      <c r="D39" s="535"/>
      <c r="E39" s="536"/>
      <c r="F39" s="294"/>
      <c r="G39" s="294"/>
      <c r="H39" s="348"/>
      <c r="I39" s="411" t="s">
        <v>158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</row>
    <row r="40" spans="1:27" ht="14.65" customHeight="1">
      <c r="A40" s="28"/>
      <c r="B40" s="531"/>
      <c r="C40" s="349"/>
      <c r="D40" s="540"/>
      <c r="E40" s="541"/>
      <c r="F40" s="294"/>
      <c r="G40" s="294"/>
      <c r="H40" s="348"/>
      <c r="I40" s="410" t="s">
        <v>157</v>
      </c>
      <c r="J40" s="326"/>
      <c r="K40" s="284"/>
      <c r="L40" s="305"/>
      <c r="M40" s="305"/>
      <c r="N40" s="30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531"/>
      <c r="C41" s="349"/>
      <c r="D41" s="535"/>
      <c r="E41" s="536"/>
      <c r="F41" s="294"/>
      <c r="G41" s="294"/>
      <c r="H41" s="348"/>
      <c r="I41" s="406" t="s">
        <v>156</v>
      </c>
      <c r="J41" s="327"/>
      <c r="K41" s="407"/>
      <c r="L41" s="408"/>
      <c r="M41" s="408"/>
      <c r="N41" s="409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" customHeight="1" thickBot="1">
      <c r="A42" s="28"/>
      <c r="B42" s="531"/>
      <c r="C42" s="349"/>
      <c r="D42" s="548"/>
      <c r="E42" s="549"/>
      <c r="F42" s="294"/>
      <c r="G42" s="294"/>
      <c r="H42" s="348"/>
      <c r="I42" s="1"/>
      <c r="J42" s="39"/>
      <c r="K42" s="404">
        <f>SUM(K32:K41)</f>
        <v>34</v>
      </c>
      <c r="L42" s="405">
        <f>((L32*K32)+(L33*K33)+(L34*K34)+(L35*K35)+(L36*K36)+(K39*L39)+(L37*K37)+(L38*K38)+(L41*K41))/(K42)</f>
        <v>97.848375302825659</v>
      </c>
      <c r="M42" s="405">
        <f>AVERAGE('[9]Jan30th-31st'!$L$42,L42)</f>
        <v>97.838208519333563</v>
      </c>
      <c r="N42" s="40">
        <v>98</v>
      </c>
      <c r="O42" s="11"/>
      <c r="P42" s="31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.75" thickBot="1">
      <c r="B43" s="547"/>
      <c r="C43" s="350"/>
      <c r="D43" s="550"/>
      <c r="E43" s="536"/>
      <c r="F43" s="294"/>
      <c r="G43" s="42"/>
      <c r="H43" s="41"/>
      <c r="I43" s="42"/>
      <c r="J43" s="42"/>
      <c r="K43" s="351"/>
      <c r="L43" s="348"/>
      <c r="M43" s="348"/>
      <c r="N43" s="11"/>
      <c r="O43" s="294"/>
      <c r="P43" s="12"/>
      <c r="R43" s="277">
        <f t="shared" si="0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  <c r="AA43" s="472"/>
    </row>
    <row r="44" spans="1:27" ht="15.75" thickBot="1">
      <c r="B44" s="530"/>
      <c r="C44" s="362"/>
      <c r="D44" s="533"/>
      <c r="E44" s="534"/>
      <c r="F44" s="294"/>
      <c r="G44" s="42"/>
      <c r="H44" s="41"/>
      <c r="I44" s="42"/>
      <c r="J44" s="537" t="s">
        <v>129</v>
      </c>
      <c r="K44" s="537"/>
      <c r="L44" s="294"/>
      <c r="M44" s="294"/>
      <c r="N44" s="294"/>
      <c r="O44" s="294"/>
      <c r="P44" s="12"/>
    </row>
    <row r="45" spans="1:27" ht="15.75" thickBot="1">
      <c r="B45" s="531"/>
      <c r="C45" s="362"/>
      <c r="D45" s="535"/>
      <c r="E45" s="536"/>
      <c r="F45" s="294"/>
      <c r="G45" s="42"/>
      <c r="H45" s="42"/>
      <c r="I45" s="42"/>
      <c r="J45" s="292" t="s">
        <v>17</v>
      </c>
      <c r="K45" s="293" t="s">
        <v>170</v>
      </c>
      <c r="L45" s="538" t="s">
        <v>136</v>
      </c>
      <c r="M45" s="538"/>
      <c r="N45" s="539"/>
      <c r="O45" s="294"/>
      <c r="P45" s="12"/>
    </row>
    <row r="46" spans="1:27" ht="15" customHeight="1" thickBot="1">
      <c r="B46" s="531"/>
      <c r="C46" s="349"/>
      <c r="D46" s="540"/>
      <c r="E46" s="541"/>
      <c r="F46" s="294"/>
      <c r="G46" s="42"/>
      <c r="H46" s="42"/>
      <c r="I46" s="42"/>
      <c r="J46" s="287" t="s">
        <v>6</v>
      </c>
      <c r="K46" s="324"/>
      <c r="L46" s="473" t="s">
        <v>37</v>
      </c>
      <c r="M46" s="474" t="s">
        <v>38</v>
      </c>
      <c r="N46" s="474" t="s">
        <v>84</v>
      </c>
      <c r="O46" s="294"/>
      <c r="P46" s="12"/>
    </row>
    <row r="47" spans="1:27" ht="15.75" customHeight="1" thickBot="1">
      <c r="B47" s="531"/>
      <c r="C47" s="349"/>
      <c r="D47" s="535"/>
      <c r="E47" s="536"/>
      <c r="F47" s="294"/>
      <c r="G47" s="42"/>
      <c r="H47" s="42"/>
      <c r="I47" s="42"/>
      <c r="J47" s="345" t="s">
        <v>9</v>
      </c>
      <c r="K47" s="324"/>
      <c r="L47" s="344">
        <f>AVERAGE('June 2nd'!K44,'June 3rd'!K52,'June 4th'!K47,'June 5th'!K46,'June 8th'!K48,'June 9th'!K56,K56)</f>
        <v>5.666666666666667</v>
      </c>
      <c r="M47" s="325">
        <f>AVERAGE('[9]Jan30th-31st'!$L$47,L47,'[10]Feb 26th '!$L$39,'[11]Mar 31st'!$L$47,'[12]Apr 30th'!$L$46,'[13]May 29th '!$L$40)</f>
        <v>6.2157553798858158</v>
      </c>
      <c r="N47" s="416">
        <v>9.1999999999999993</v>
      </c>
      <c r="O47" s="294"/>
      <c r="P47" s="12"/>
    </row>
    <row r="48" spans="1:27" ht="15" customHeight="1">
      <c r="B48" s="531"/>
      <c r="C48" s="349"/>
      <c r="D48" s="540"/>
      <c r="E48" s="541"/>
      <c r="F48" s="294"/>
      <c r="G48" s="42"/>
      <c r="H48" s="42"/>
      <c r="I48" s="42"/>
      <c r="J48" s="288" t="s">
        <v>40</v>
      </c>
      <c r="K48" s="324"/>
      <c r="L48" s="294"/>
      <c r="M48" s="294"/>
      <c r="N48" s="294"/>
      <c r="O48" s="294"/>
      <c r="P48" s="12"/>
    </row>
    <row r="49" spans="2:57" ht="15" customHeight="1">
      <c r="B49" s="531"/>
      <c r="C49" s="349"/>
      <c r="D49" s="535"/>
      <c r="E49" s="536"/>
      <c r="F49" s="294"/>
      <c r="G49" s="42"/>
      <c r="H49" s="42"/>
      <c r="I49" s="42"/>
      <c r="J49" s="289" t="s">
        <v>33</v>
      </c>
      <c r="K49" s="324"/>
      <c r="L49" s="294"/>
      <c r="M49" s="294"/>
      <c r="N49" s="294"/>
      <c r="O49" s="294"/>
      <c r="P49" s="12"/>
    </row>
    <row r="50" spans="2:57" ht="15">
      <c r="B50" s="531"/>
      <c r="C50" s="349"/>
      <c r="D50" s="540"/>
      <c r="E50" s="541"/>
      <c r="F50" s="294"/>
      <c r="G50" s="42"/>
      <c r="H50" s="42"/>
      <c r="I50" s="42"/>
      <c r="J50" s="290" t="s">
        <v>16</v>
      </c>
      <c r="K50" s="324"/>
      <c r="L50" s="294"/>
      <c r="M50" s="294"/>
      <c r="N50" s="294"/>
      <c r="O50" s="294"/>
      <c r="P50" s="12"/>
      <c r="BC50" s="44"/>
      <c r="BD50" s="44"/>
    </row>
    <row r="51" spans="2:57" ht="15">
      <c r="B51" s="531"/>
      <c r="C51" s="349"/>
      <c r="D51" s="535"/>
      <c r="E51" s="536"/>
      <c r="F51" s="294"/>
      <c r="G51" s="42"/>
      <c r="H51" s="42"/>
      <c r="I51" s="42"/>
      <c r="J51" s="291" t="s">
        <v>15</v>
      </c>
      <c r="K51" s="324"/>
      <c r="L51" s="294"/>
      <c r="M51" s="294"/>
      <c r="N51" s="294"/>
      <c r="O51" s="294"/>
      <c r="P51" s="12"/>
      <c r="BC51" s="44"/>
      <c r="BD51" s="44"/>
    </row>
    <row r="52" spans="2:57" ht="15">
      <c r="B52" s="531"/>
      <c r="C52" s="349"/>
      <c r="D52" s="540"/>
      <c r="E52" s="541"/>
      <c r="F52" s="294"/>
      <c r="G52" s="42"/>
      <c r="H52" s="42"/>
      <c r="I52" s="42"/>
      <c r="J52" s="291" t="s">
        <v>149</v>
      </c>
      <c r="K52" s="324"/>
      <c r="L52" s="294"/>
      <c r="M52" s="294"/>
      <c r="N52" s="294"/>
      <c r="O52" s="294"/>
      <c r="P52" s="12"/>
      <c r="BC52" s="44"/>
      <c r="BD52" s="44"/>
    </row>
    <row r="53" spans="2:57" ht="15.75" thickBot="1">
      <c r="B53" s="532"/>
      <c r="C53" s="350"/>
      <c r="D53" s="542"/>
      <c r="E53" s="543"/>
      <c r="F53" s="294" t="s">
        <v>166</v>
      </c>
      <c r="G53" s="42"/>
      <c r="H53" s="42"/>
      <c r="I53" s="42"/>
      <c r="J53" s="291" t="s">
        <v>148</v>
      </c>
      <c r="K53" s="324"/>
      <c r="L53" s="294"/>
      <c r="M53" s="294"/>
      <c r="N53" s="294" t="s">
        <v>41</v>
      </c>
      <c r="O53" s="294"/>
      <c r="P53" s="12"/>
      <c r="BC53" s="44"/>
      <c r="BD53" s="44"/>
    </row>
    <row r="54" spans="2:57" ht="17.649999999999999" customHeight="1" thickBot="1">
      <c r="B54" s="312" t="s">
        <v>139</v>
      </c>
      <c r="C54" s="313"/>
      <c r="D54" s="523"/>
      <c r="E54" s="524"/>
      <c r="F54" s="294"/>
      <c r="J54" s="295" t="s">
        <v>134</v>
      </c>
      <c r="K54" s="324"/>
      <c r="L54" s="294"/>
      <c r="M54" s="294"/>
      <c r="N54" s="294"/>
      <c r="O54" s="294"/>
      <c r="P54" s="12"/>
      <c r="BC54" s="44"/>
      <c r="BD54" s="44"/>
    </row>
    <row r="55" spans="2:57" ht="17.649999999999999" customHeight="1">
      <c r="B55" s="363"/>
      <c r="C55" s="364"/>
      <c r="D55" s="365"/>
      <c r="E55" s="365"/>
      <c r="F55" s="294"/>
      <c r="G55" s="42"/>
      <c r="H55" s="42"/>
      <c r="I55" s="42"/>
      <c r="J55" s="295" t="s">
        <v>131</v>
      </c>
      <c r="K55" s="324"/>
      <c r="L55" s="294"/>
      <c r="M55" s="294"/>
      <c r="N55" s="294"/>
      <c r="O55" s="294"/>
      <c r="P55" s="12"/>
      <c r="BC55" s="44"/>
      <c r="BD55" s="44"/>
    </row>
    <row r="56" spans="2:57" ht="15.6" customHeight="1">
      <c r="B56" s="45"/>
      <c r="C56" s="11"/>
      <c r="D56" s="11"/>
      <c r="E56" s="46"/>
      <c r="F56" s="294"/>
      <c r="G56" s="42"/>
      <c r="H56" s="42"/>
      <c r="I56" s="42"/>
      <c r="J56" s="346" t="s">
        <v>130</v>
      </c>
      <c r="K56" s="324"/>
      <c r="L56" s="294"/>
      <c r="M56" s="294"/>
      <c r="N56" s="294"/>
      <c r="O56" s="294"/>
      <c r="P56" s="12"/>
    </row>
    <row r="57" spans="2:57" ht="20.25" customHeight="1">
      <c r="B57" s="15" t="s">
        <v>42</v>
      </c>
      <c r="C57" s="1" t="s">
        <v>43</v>
      </c>
      <c r="D57" s="1"/>
      <c r="E57" s="1"/>
      <c r="F57" s="294"/>
      <c r="G57" s="42"/>
      <c r="H57" s="41"/>
      <c r="I57" s="42"/>
      <c r="L57" s="294"/>
      <c r="N57" s="315"/>
      <c r="P57" s="334"/>
    </row>
    <row r="58" spans="2:57" ht="15" customHeight="1" thickBot="1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1"/>
      <c r="O58" s="48"/>
      <c r="P58" s="49"/>
    </row>
    <row r="59" spans="2:57" ht="15" customHeight="1" thickBot="1">
      <c r="B59" s="515" t="s">
        <v>17</v>
      </c>
      <c r="C59" s="515" t="s">
        <v>44</v>
      </c>
      <c r="D59" s="526" t="s">
        <v>45</v>
      </c>
      <c r="E59" s="528" t="s">
        <v>46</v>
      </c>
      <c r="F59" s="521" t="s">
        <v>47</v>
      </c>
      <c r="G59" s="513" t="s">
        <v>48</v>
      </c>
      <c r="H59" s="515" t="s">
        <v>49</v>
      </c>
      <c r="I59" s="515" t="s">
        <v>50</v>
      </c>
      <c r="J59" s="507" t="s">
        <v>28</v>
      </c>
      <c r="K59" s="517" t="s">
        <v>51</v>
      </c>
      <c r="L59" s="519" t="s">
        <v>52</v>
      </c>
      <c r="M59" s="507" t="s">
        <v>53</v>
      </c>
      <c r="N59" s="13"/>
      <c r="O59" s="13"/>
      <c r="P59" s="50"/>
    </row>
    <row r="60" spans="2:57" ht="28.5" customHeight="1" thickTop="1" thickBot="1">
      <c r="B60" s="516"/>
      <c r="C60" s="525"/>
      <c r="D60" s="527"/>
      <c r="E60" s="529"/>
      <c r="F60" s="522"/>
      <c r="G60" s="514"/>
      <c r="H60" s="516"/>
      <c r="I60" s="516"/>
      <c r="J60" s="508"/>
      <c r="K60" s="518"/>
      <c r="L60" s="520"/>
      <c r="M60" s="508"/>
      <c r="N60" s="13"/>
      <c r="O60" s="13"/>
      <c r="P60" s="50"/>
      <c r="Q60" s="355"/>
      <c r="AB60" s="475">
        <v>43474</v>
      </c>
      <c r="AC60" s="475">
        <v>43475</v>
      </c>
      <c r="AD60" s="475">
        <v>43476</v>
      </c>
      <c r="AE60" s="475">
        <v>43477</v>
      </c>
      <c r="AF60" s="475">
        <v>43478</v>
      </c>
      <c r="AG60" s="475">
        <v>43479</v>
      </c>
      <c r="AH60" s="475">
        <v>43480</v>
      </c>
      <c r="AI60" s="475">
        <v>43481</v>
      </c>
      <c r="AJ60" s="475">
        <v>43482</v>
      </c>
      <c r="AK60" s="475">
        <v>43483</v>
      </c>
      <c r="AL60" s="475">
        <v>43484</v>
      </c>
      <c r="AM60" s="475">
        <v>43485</v>
      </c>
      <c r="AN60" s="475">
        <v>43486</v>
      </c>
      <c r="AO60" s="475">
        <v>43487</v>
      </c>
      <c r="AP60" s="475">
        <v>43488</v>
      </c>
      <c r="AQ60" s="475">
        <v>43489</v>
      </c>
      <c r="AR60" s="475">
        <v>43490</v>
      </c>
      <c r="AS60" s="475">
        <v>43491</v>
      </c>
      <c r="AT60" s="475">
        <v>43492</v>
      </c>
      <c r="AU60" s="475">
        <v>43493</v>
      </c>
      <c r="AV60" s="475">
        <v>43494</v>
      </c>
      <c r="AW60" s="475">
        <v>43495</v>
      </c>
      <c r="AX60" s="475">
        <v>43496</v>
      </c>
    </row>
    <row r="61" spans="2:57" s="54" customFormat="1" ht="36.75" customHeight="1" thickBot="1">
      <c r="B61" s="503" t="str">
        <f>J47</f>
        <v>STAG</v>
      </c>
      <c r="C61" s="479">
        <v>46185</v>
      </c>
      <c r="D61" s="445">
        <f>[14]June_2026!$O$13</f>
        <v>395.98</v>
      </c>
      <c r="E61" s="443"/>
      <c r="F61" s="444"/>
      <c r="G61" s="445">
        <f>[14]June_2026!$O$17</f>
        <v>377.1</v>
      </c>
      <c r="H61" s="458"/>
      <c r="I61" s="458"/>
      <c r="J61" s="448" t="s">
        <v>174</v>
      </c>
      <c r="K61" s="449">
        <f>[15]June_2026!$O$25</f>
        <v>1.3231578947368421</v>
      </c>
      <c r="L61" s="457">
        <f>(((D61+E61)-G61)/(D61+E61))*100</f>
        <v>4.7679175715945235</v>
      </c>
      <c r="M61" s="455" t="s">
        <v>175</v>
      </c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[16]January_2019!L5</f>
        <v>0</v>
      </c>
      <c r="AC61" s="57">
        <f>[16]January_2019!M5</f>
        <v>0</v>
      </c>
      <c r="AD61" s="57">
        <f>[16]January_2019!N5</f>
        <v>0</v>
      </c>
      <c r="AE61" s="57">
        <f>[16]January_2019!O5</f>
        <v>0</v>
      </c>
      <c r="AF61" s="57">
        <f>[16]January_2019!P5</f>
        <v>0</v>
      </c>
      <c r="AG61" s="57">
        <f>[16]January_2019!Q5</f>
        <v>0</v>
      </c>
      <c r="AH61" s="57">
        <f>[16]January_2019!R5</f>
        <v>0</v>
      </c>
      <c r="AI61" s="57">
        <f>[16]January_2019!S5</f>
        <v>0</v>
      </c>
      <c r="AJ61" s="57">
        <f>[16]January_2019!T5</f>
        <v>0</v>
      </c>
      <c r="AK61" s="57">
        <f>[16]January_2019!U5</f>
        <v>0</v>
      </c>
      <c r="AL61" s="57">
        <f>[16]January_2019!V5</f>
        <v>0</v>
      </c>
      <c r="AM61" s="57">
        <f>[16]January_2019!W5</f>
        <v>0</v>
      </c>
      <c r="AN61" s="57">
        <f>[16]January_2019!X5</f>
        <v>0</v>
      </c>
      <c r="AO61" s="57">
        <f>[16]January_2019!Y5</f>
        <v>0</v>
      </c>
      <c r="AP61" s="57">
        <f>[16]January_2019!Z5</f>
        <v>0</v>
      </c>
      <c r="AQ61" s="57">
        <f>[16]January_2019!AA5</f>
        <v>0</v>
      </c>
      <c r="AR61" s="57">
        <f>[16]January_2019!AB5</f>
        <v>0</v>
      </c>
      <c r="AS61" s="57">
        <f>[16]January_2019!AC5</f>
        <v>0</v>
      </c>
      <c r="AT61" s="57">
        <f>[16]January_2019!AD5</f>
        <v>0</v>
      </c>
      <c r="AU61" s="57">
        <f>[16]January_2019!AE5</f>
        <v>0</v>
      </c>
      <c r="AV61" s="57">
        <f>[16]January_2019!AF5</f>
        <v>0</v>
      </c>
      <c r="AW61" s="57">
        <f>[16]January_2019!AG5</f>
        <v>0</v>
      </c>
      <c r="AX61" s="277">
        <f>[16]January_2019!AH5</f>
        <v>0</v>
      </c>
      <c r="AY61" s="277"/>
      <c r="AZ61" s="277"/>
      <c r="BA61" s="277"/>
      <c r="BB61" s="277"/>
      <c r="BC61" s="277"/>
      <c r="BD61" s="277"/>
      <c r="BE61" s="277"/>
    </row>
    <row r="62" spans="2:57" s="54" customFormat="1" ht="14.25" customHeight="1" thickBot="1">
      <c r="B62" s="480"/>
      <c r="C62" s="479"/>
      <c r="D62" s="442"/>
      <c r="E62" s="443"/>
      <c r="F62" s="444"/>
      <c r="G62" s="445"/>
      <c r="H62" s="458"/>
      <c r="I62" s="458"/>
      <c r="J62" s="476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[16]January_2019!L6</f>
        <v>0</v>
      </c>
      <c r="AC62" s="57">
        <f>[16]January_2019!M6</f>
        <v>0</v>
      </c>
      <c r="AD62" s="57">
        <f>[16]January_2019!N6</f>
        <v>0</v>
      </c>
      <c r="AE62" s="57">
        <f>[16]January_2019!O6</f>
        <v>0</v>
      </c>
      <c r="AF62" s="57">
        <f>[16]January_2019!P6</f>
        <v>0</v>
      </c>
      <c r="AG62" s="57">
        <f>[16]January_2019!Q6</f>
        <v>0</v>
      </c>
      <c r="AH62" s="57">
        <f>[16]January_2019!R6</f>
        <v>0</v>
      </c>
      <c r="AI62" s="57">
        <f>[16]January_2019!S6</f>
        <v>0</v>
      </c>
      <c r="AJ62" s="57">
        <f>[16]January_2019!T6</f>
        <v>0</v>
      </c>
      <c r="AK62" s="57">
        <f>[16]January_2019!U6</f>
        <v>0</v>
      </c>
      <c r="AL62" s="57">
        <f>[16]January_2019!V6</f>
        <v>0</v>
      </c>
      <c r="AM62" s="57">
        <f>[16]January_2019!W6</f>
        <v>0</v>
      </c>
      <c r="AN62" s="57">
        <f>[16]January_2019!X6</f>
        <v>0</v>
      </c>
      <c r="AO62" s="57">
        <f>[16]January_2019!Y6</f>
        <v>0</v>
      </c>
      <c r="AP62" s="57">
        <f>[16]January_2019!Z6</f>
        <v>0</v>
      </c>
      <c r="AQ62" s="57">
        <f>[16]January_2019!AA6</f>
        <v>0</v>
      </c>
      <c r="AR62" s="57">
        <f>[16]January_2019!AB6</f>
        <v>0</v>
      </c>
      <c r="AS62" s="57">
        <f>[16]January_2019!AC6</f>
        <v>0</v>
      </c>
      <c r="AT62" s="57">
        <f>[16]January_2019!AD6</f>
        <v>0</v>
      </c>
      <c r="AU62" s="57">
        <f>[16]January_2019!AE6</f>
        <v>0</v>
      </c>
      <c r="AV62" s="57">
        <f>[16]January_2019!AF6</f>
        <v>0</v>
      </c>
      <c r="AW62" s="57">
        <f>[16]January_2019!AG6</f>
        <v>0</v>
      </c>
      <c r="AX62" s="277">
        <f>[16]January_2019!AH6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37.15" hidden="1" customHeight="1" thickBot="1">
      <c r="B63" s="480"/>
      <c r="C63" s="479"/>
      <c r="D63" s="442"/>
      <c r="E63" s="443"/>
      <c r="F63" s="444"/>
      <c r="G63" s="445"/>
      <c r="H63" s="458"/>
      <c r="I63" s="458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[16]January_2019!L7</f>
        <v>285.8</v>
      </c>
      <c r="AC63" s="57">
        <f>[16]January_2019!M7</f>
        <v>508.1</v>
      </c>
      <c r="AD63" s="57">
        <f>[16]January_2019!N7</f>
        <v>0</v>
      </c>
      <c r="AE63" s="57">
        <f>[16]January_2019!O7</f>
        <v>0</v>
      </c>
      <c r="AF63" s="57">
        <f>[16]January_2019!P7</f>
        <v>109.56666666666666</v>
      </c>
      <c r="AG63" s="57">
        <f>[16]January_2019!Q7</f>
        <v>297.64999999999998</v>
      </c>
      <c r="AH63" s="57">
        <f>[16]January_2019!R7</f>
        <v>122.3</v>
      </c>
      <c r="AI63" s="57">
        <f>[16]January_2019!S7</f>
        <v>0</v>
      </c>
      <c r="AJ63" s="57">
        <f>[16]January_2019!T7</f>
        <v>294.7</v>
      </c>
      <c r="AK63" s="57">
        <f>[16]January_2019!U7</f>
        <v>280.5</v>
      </c>
      <c r="AL63" s="57">
        <f>[16]January_2019!V7</f>
        <v>0</v>
      </c>
      <c r="AM63" s="57">
        <f>[16]January_2019!W7</f>
        <v>0</v>
      </c>
      <c r="AN63" s="57">
        <f>[16]January_2019!X7</f>
        <v>188.25</v>
      </c>
      <c r="AO63" s="57">
        <f>[16]January_2019!Y7</f>
        <v>295.7</v>
      </c>
      <c r="AP63" s="57">
        <f>[16]January_2019!Z7</f>
        <v>257.8</v>
      </c>
      <c r="AQ63" s="57">
        <f>[16]January_2019!AA7</f>
        <v>291.2</v>
      </c>
      <c r="AR63" s="57">
        <f>[16]January_2019!AB7</f>
        <v>187</v>
      </c>
      <c r="AS63" s="57">
        <f>[16]January_2019!AC7</f>
        <v>0</v>
      </c>
      <c r="AT63" s="57">
        <f>[16]January_2019!AD7</f>
        <v>0</v>
      </c>
      <c r="AU63" s="57">
        <f>[16]January_2019!AE7</f>
        <v>485.1</v>
      </c>
      <c r="AV63" s="57">
        <f>[16]January_2019!AF7</f>
        <v>171.55</v>
      </c>
      <c r="AW63" s="57">
        <f>[16]January_2019!AG7</f>
        <v>423.8</v>
      </c>
      <c r="AX63" s="277">
        <f>[16]January_2019!AH7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19.5" hidden="1" customHeight="1" thickBot="1">
      <c r="B64" s="478"/>
      <c r="C64" s="430"/>
      <c r="D64" s="431"/>
      <c r="E64" s="432"/>
      <c r="F64" s="433"/>
      <c r="G64" s="434"/>
      <c r="H64" s="458"/>
      <c r="I64" s="458"/>
      <c r="J64" s="451"/>
      <c r="K64" s="436"/>
      <c r="L64" s="452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8.450000000000003" hidden="1" customHeight="1" thickBot="1">
      <c r="B65" s="480"/>
      <c r="C65" s="479"/>
      <c r="D65" s="442"/>
      <c r="E65" s="443"/>
      <c r="F65" s="444"/>
      <c r="G65" s="445"/>
      <c r="H65" s="458"/>
      <c r="I65" s="458"/>
      <c r="J65" s="448"/>
      <c r="K65" s="45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5" hidden="1">
      <c r="B66" s="453"/>
      <c r="C66" s="430"/>
      <c r="D66" s="431"/>
      <c r="E66" s="432"/>
      <c r="F66" s="433"/>
      <c r="G66" s="434"/>
      <c r="H66" s="435"/>
      <c r="I66" s="450"/>
      <c r="J66" s="451"/>
      <c r="K66" s="436"/>
      <c r="L66" s="452"/>
      <c r="M66" s="421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15" hidden="1" customHeight="1" thickBot="1">
      <c r="B67" s="484"/>
      <c r="C67" s="479"/>
      <c r="D67" s="442"/>
      <c r="E67" s="443"/>
      <c r="F67" s="444"/>
      <c r="G67" s="445"/>
      <c r="H67" s="446"/>
      <c r="I67" s="447"/>
      <c r="J67" s="448"/>
      <c r="K67" s="449"/>
      <c r="L67" s="457"/>
      <c r="M67" s="455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16.5" hidden="1" customHeight="1" thickBot="1">
      <c r="B68" s="437"/>
      <c r="C68" s="423"/>
      <c r="D68" s="424"/>
      <c r="E68" s="425"/>
      <c r="F68" s="426"/>
      <c r="G68" s="427"/>
      <c r="H68" s="428"/>
      <c r="I68" s="438"/>
      <c r="J68" s="439"/>
      <c r="K68" s="429"/>
      <c r="L68" s="440"/>
      <c r="M68" s="422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415"/>
      <c r="AN68" s="415"/>
      <c r="AO68" s="415"/>
      <c r="AP68" s="415"/>
      <c r="AQ68" s="415"/>
      <c r="AR68" s="415"/>
      <c r="AS68" s="415"/>
      <c r="AT68" s="415"/>
      <c r="AU68" s="415"/>
      <c r="AV68" s="415"/>
      <c r="AW68" s="415"/>
    </row>
    <row r="69" spans="2:57" s="54" customFormat="1" ht="37.15" hidden="1" customHeight="1" thickBot="1">
      <c r="B69" s="456"/>
      <c r="C69" s="441"/>
      <c r="D69" s="442"/>
      <c r="E69" s="443"/>
      <c r="F69" s="444"/>
      <c r="G69" s="445"/>
      <c r="H69" s="446"/>
      <c r="I69" s="447"/>
      <c r="J69" s="448"/>
      <c r="K69" s="449"/>
      <c r="L69" s="457"/>
      <c r="M69" s="454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37.15" customHeight="1">
      <c r="B70" s="466"/>
      <c r="C70" s="430"/>
      <c r="D70" s="460"/>
      <c r="E70" s="461"/>
      <c r="F70" s="462"/>
      <c r="G70" s="460"/>
      <c r="H70" s="463"/>
      <c r="I70" s="463"/>
      <c r="J70" s="463"/>
      <c r="K70" s="464"/>
      <c r="L70" s="465"/>
      <c r="M70" s="50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ht="18" customHeight="1" thickBot="1">
      <c r="B71" s="59"/>
      <c r="C71" s="30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 t="s">
        <v>41</v>
      </c>
      <c r="O71" s="56"/>
      <c r="P71" s="60"/>
    </row>
    <row r="72" spans="2:57" ht="15.75" thickBot="1">
      <c r="B72" s="509" t="s">
        <v>55</v>
      </c>
      <c r="C72" s="510"/>
      <c r="D72" s="510"/>
      <c r="E72" s="510"/>
      <c r="F72" s="511"/>
      <c r="G72" s="509" t="s">
        <v>56</v>
      </c>
      <c r="H72" s="510"/>
      <c r="I72" s="510"/>
      <c r="J72" s="511"/>
      <c r="K72" s="509" t="s">
        <v>51</v>
      </c>
      <c r="L72" s="510"/>
      <c r="M72" s="510"/>
      <c r="N72" s="512"/>
      <c r="O72" s="56"/>
      <c r="P72" s="50"/>
    </row>
    <row r="73" spans="2:57" ht="15">
      <c r="B73" s="61" t="s">
        <v>17</v>
      </c>
      <c r="C73" s="62" t="s">
        <v>36</v>
      </c>
      <c r="D73" s="62" t="s">
        <v>37</v>
      </c>
      <c r="E73" s="62" t="s">
        <v>38</v>
      </c>
      <c r="F73" s="63" t="s">
        <v>39</v>
      </c>
      <c r="G73" s="62" t="s">
        <v>36</v>
      </c>
      <c r="H73" s="62" t="s">
        <v>37</v>
      </c>
      <c r="I73" s="62" t="s">
        <v>38</v>
      </c>
      <c r="J73" s="63" t="s">
        <v>39</v>
      </c>
      <c r="K73" s="62"/>
      <c r="L73" s="62" t="s">
        <v>37</v>
      </c>
      <c r="M73" s="62" t="s">
        <v>38</v>
      </c>
      <c r="N73" s="63" t="s">
        <v>39</v>
      </c>
      <c r="O73" s="56"/>
      <c r="P73" s="64"/>
    </row>
    <row r="74" spans="2:57" ht="15">
      <c r="B74" s="29" t="s">
        <v>6</v>
      </c>
      <c r="C74" s="65"/>
      <c r="D74" s="76"/>
      <c r="E74" s="76">
        <v>6.5623673132836648</v>
      </c>
      <c r="F74" s="66">
        <v>4.8</v>
      </c>
      <c r="G74" s="65"/>
      <c r="H74" s="477"/>
      <c r="I74" s="477">
        <v>6.3197775649714227</v>
      </c>
      <c r="J74" s="66">
        <v>4.8</v>
      </c>
      <c r="K74" s="67"/>
      <c r="L74" s="194"/>
      <c r="M74" s="194">
        <v>0.51116477369802427</v>
      </c>
      <c r="N74" s="68">
        <v>1</v>
      </c>
      <c r="O74" s="56"/>
      <c r="P74" s="69"/>
    </row>
    <row r="75" spans="2:57" ht="15">
      <c r="B75" s="33" t="s">
        <v>9</v>
      </c>
      <c r="C75" s="65">
        <f>L61</f>
        <v>4.7679175715945235</v>
      </c>
      <c r="D75" s="76">
        <v>4.2115423694371028</v>
      </c>
      <c r="E75" s="76">
        <v>5.7607151029355022</v>
      </c>
      <c r="F75" s="66">
        <v>4.8</v>
      </c>
      <c r="G75" s="65">
        <f>[14]June_2026!$O$21</f>
        <v>3.6848557080708271</v>
      </c>
      <c r="H75" s="76">
        <v>2.7270556688003218</v>
      </c>
      <c r="I75" s="76">
        <v>5.3607389964117944</v>
      </c>
      <c r="J75" s="66">
        <v>4.8</v>
      </c>
      <c r="K75" s="67">
        <f>K61</f>
        <v>1.3231578947368421</v>
      </c>
      <c r="L75" s="194">
        <v>1.3231578947368421</v>
      </c>
      <c r="M75" s="194">
        <v>0.71292696983194792</v>
      </c>
      <c r="N75" s="68">
        <v>1</v>
      </c>
      <c r="P75" s="69"/>
    </row>
    <row r="76" spans="2:57" ht="15">
      <c r="B76" s="34" t="s">
        <v>40</v>
      </c>
      <c r="C76" s="65"/>
      <c r="D76" s="76"/>
      <c r="E76" s="76">
        <v>11.435860710768935</v>
      </c>
      <c r="F76" s="66">
        <v>5.5</v>
      </c>
      <c r="G76" s="65"/>
      <c r="H76" s="76"/>
      <c r="I76" s="76">
        <v>12.618851801260744</v>
      </c>
      <c r="J76" s="66">
        <v>5.5</v>
      </c>
      <c r="K76" s="67"/>
      <c r="L76" s="194"/>
      <c r="M76" s="194">
        <v>0.26444407894736838</v>
      </c>
      <c r="N76" s="68">
        <v>1</v>
      </c>
      <c r="P76" s="69"/>
    </row>
    <row r="77" spans="2:57" ht="15">
      <c r="B77" s="22" t="s">
        <v>33</v>
      </c>
      <c r="C77" s="65"/>
      <c r="D77" s="76"/>
      <c r="E77" s="76">
        <v>4.7166249493098773</v>
      </c>
      <c r="F77" s="66">
        <v>3.3</v>
      </c>
      <c r="G77" s="65"/>
      <c r="H77" s="76"/>
      <c r="I77" s="76">
        <v>4.7393662692065543</v>
      </c>
      <c r="J77" s="66">
        <v>3.3</v>
      </c>
      <c r="K77" s="67"/>
      <c r="L77" s="194"/>
      <c r="M77" s="194">
        <v>0.73604010025062661</v>
      </c>
      <c r="N77" s="68">
        <v>1</v>
      </c>
      <c r="P77" s="69"/>
    </row>
    <row r="78" spans="2:57" ht="15">
      <c r="B78" s="35" t="s">
        <v>164</v>
      </c>
      <c r="C78" s="65"/>
      <c r="D78" s="76"/>
      <c r="E78" s="76"/>
      <c r="F78" s="66">
        <v>3.3</v>
      </c>
      <c r="G78" s="282"/>
      <c r="H78" s="76"/>
      <c r="I78" s="76"/>
      <c r="J78" s="66">
        <v>3</v>
      </c>
      <c r="K78" s="67"/>
      <c r="L78" s="194"/>
      <c r="M78" s="194"/>
      <c r="N78" s="68">
        <v>1</v>
      </c>
      <c r="P78" s="69"/>
    </row>
    <row r="79" spans="2:57" ht="15">
      <c r="B79" s="36" t="s">
        <v>15</v>
      </c>
      <c r="C79" s="76"/>
      <c r="D79" s="76"/>
      <c r="E79" s="76">
        <v>5.1541347251672045</v>
      </c>
      <c r="F79" s="483">
        <v>5.5</v>
      </c>
      <c r="G79" s="282"/>
      <c r="H79" s="76"/>
      <c r="I79" s="76">
        <v>7.4989046872874194</v>
      </c>
      <c r="J79" s="66">
        <v>5.5</v>
      </c>
      <c r="K79" s="67"/>
      <c r="L79" s="194"/>
      <c r="M79" s="194">
        <v>1.0201754385964912</v>
      </c>
      <c r="N79" s="68">
        <v>1</v>
      </c>
      <c r="P79" s="69"/>
    </row>
    <row r="80" spans="2:57" ht="15">
      <c r="B80" s="37" t="s">
        <v>16</v>
      </c>
      <c r="C80" s="485"/>
      <c r="D80" s="76"/>
      <c r="E80" s="76">
        <v>3.7333963207914036</v>
      </c>
      <c r="F80" s="66">
        <v>3.3</v>
      </c>
      <c r="G80" s="282"/>
      <c r="H80" s="76"/>
      <c r="I80" s="76">
        <v>4.8412394790618878</v>
      </c>
      <c r="J80" s="66">
        <v>3.3</v>
      </c>
      <c r="K80" s="67"/>
      <c r="L80" s="194"/>
      <c r="M80" s="194">
        <v>0.84386695906432752</v>
      </c>
      <c r="N80" s="71">
        <v>1</v>
      </c>
      <c r="P80" s="69"/>
    </row>
    <row r="81" spans="2:16" ht="15.75" thickBot="1">
      <c r="B81" s="38" t="s">
        <v>163</v>
      </c>
      <c r="C81" s="65"/>
      <c r="D81" s="76"/>
      <c r="E81" s="76"/>
      <c r="F81" s="66">
        <v>7.5</v>
      </c>
      <c r="G81" s="282"/>
      <c r="H81" s="76"/>
      <c r="I81" s="76"/>
      <c r="J81" s="66">
        <v>7.5</v>
      </c>
      <c r="K81" s="67"/>
      <c r="L81" s="194"/>
      <c r="M81" s="194"/>
      <c r="N81" s="71">
        <v>1</v>
      </c>
      <c r="P81" s="69"/>
    </row>
    <row r="82" spans="2:16" ht="15.75" thickBot="1">
      <c r="B82" s="414" t="s">
        <v>161</v>
      </c>
      <c r="C82" s="65"/>
      <c r="D82" s="76"/>
      <c r="E82" s="76"/>
      <c r="F82" s="66">
        <v>4.8</v>
      </c>
      <c r="G82" s="282"/>
      <c r="H82" s="76"/>
      <c r="I82" s="76"/>
      <c r="J82" s="66">
        <v>4.8</v>
      </c>
      <c r="K82" s="67"/>
      <c r="L82" s="194"/>
      <c r="M82" s="194"/>
      <c r="N82" s="71">
        <v>1</v>
      </c>
      <c r="O82" s="74"/>
      <c r="P82" s="75"/>
    </row>
    <row r="83" spans="2:16" ht="15">
      <c r="D83" s="76">
        <v>4.2115423694371028</v>
      </c>
      <c r="E83" s="76">
        <v>6.289475247812315</v>
      </c>
      <c r="F83" s="341">
        <v>5.5</v>
      </c>
      <c r="H83" s="76">
        <v>2.7270556688003218</v>
      </c>
      <c r="I83" s="76">
        <v>6.3550093782153594</v>
      </c>
      <c r="J83" s="341">
        <v>5.5</v>
      </c>
      <c r="L83" s="194">
        <v>1.3231578947368421</v>
      </c>
      <c r="M83" s="194">
        <v>0.58487378789234989</v>
      </c>
      <c r="N83" s="386">
        <v>1</v>
      </c>
    </row>
  </sheetData>
  <mergeCells count="51">
    <mergeCell ref="M59:M60"/>
    <mergeCell ref="B72:F72"/>
    <mergeCell ref="G72:J72"/>
    <mergeCell ref="K72:N72"/>
    <mergeCell ref="G59:G60"/>
    <mergeCell ref="H59:H60"/>
    <mergeCell ref="I59:I60"/>
    <mergeCell ref="J59:J60"/>
    <mergeCell ref="K59:K60"/>
    <mergeCell ref="L59:L60"/>
    <mergeCell ref="F59:F60"/>
    <mergeCell ref="D54:E54"/>
    <mergeCell ref="B59:B60"/>
    <mergeCell ref="C59:C60"/>
    <mergeCell ref="D59:D60"/>
    <mergeCell ref="E59:E60"/>
    <mergeCell ref="B44:B53"/>
    <mergeCell ref="D44:E45"/>
    <mergeCell ref="J44:K44"/>
    <mergeCell ref="L45:N45"/>
    <mergeCell ref="D46:E47"/>
    <mergeCell ref="D48:E49"/>
    <mergeCell ref="D50:E51"/>
    <mergeCell ref="D52:E53"/>
    <mergeCell ref="I30:N30"/>
    <mergeCell ref="D31:E31"/>
    <mergeCell ref="B32:B43"/>
    <mergeCell ref="D32:E33"/>
    <mergeCell ref="D34:E35"/>
    <mergeCell ref="D36:E37"/>
    <mergeCell ref="D38:E39"/>
    <mergeCell ref="D40:E41"/>
    <mergeCell ref="D42:E43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4:B55">
    <cfRule type="cellIs" dxfId="2594" priority="96" operator="notBetween">
      <formula>#REF!</formula>
      <formula>#REF!</formula>
    </cfRule>
  </conditionalFormatting>
  <conditionalFormatting sqref="C58">
    <cfRule type="cellIs" dxfId="2593" priority="185" stopIfTrue="1" operator="lessThan">
      <formula>96</formula>
    </cfRule>
    <cfRule type="cellIs" dxfId="2592" priority="186" stopIfTrue="1" operator="greaterThan">
      <formula>100</formula>
    </cfRule>
  </conditionalFormatting>
  <conditionalFormatting sqref="C74:C75">
    <cfRule type="cellIs" dxfId="2591" priority="57" stopIfTrue="1" operator="lessThanOrEqual">
      <formula>0</formula>
    </cfRule>
    <cfRule type="cellIs" dxfId="2590" priority="59" stopIfTrue="1" operator="lessThanOrEqual">
      <formula>0</formula>
    </cfRule>
    <cfRule type="cellIs" dxfId="2589" priority="58" stopIfTrue="1" operator="greaterThan">
      <formula>$F74</formula>
    </cfRule>
    <cfRule type="cellIs" dxfId="2588" priority="56" stopIfTrue="1" operator="greaterThan">
      <formula>$F74</formula>
    </cfRule>
  </conditionalFormatting>
  <conditionalFormatting sqref="C76:C78 C80:C82">
    <cfRule type="cellIs" dxfId="2587" priority="66" stopIfTrue="1" operator="greaterThan">
      <formula>$F79</formula>
    </cfRule>
  </conditionalFormatting>
  <conditionalFormatting sqref="C76:C78">
    <cfRule type="cellIs" dxfId="2586" priority="67" stopIfTrue="1" operator="lessThanOrEqual">
      <formula>0</formula>
    </cfRule>
  </conditionalFormatting>
  <conditionalFormatting sqref="C80:C82">
    <cfRule type="cellIs" dxfId="2585" priority="68" stopIfTrue="1" operator="lessThanOrEqual">
      <formula>0</formula>
    </cfRule>
  </conditionalFormatting>
  <conditionalFormatting sqref="C85:C89">
    <cfRule type="cellIs" dxfId="2584" priority="177" stopIfTrue="1" operator="lessThanOrEqual">
      <formula>0</formula>
    </cfRule>
  </conditionalFormatting>
  <conditionalFormatting sqref="C86:C89">
    <cfRule type="cellIs" dxfId="2583" priority="176" stopIfTrue="1" operator="greaterThan">
      <formula>$F$85</formula>
    </cfRule>
  </conditionalFormatting>
  <conditionalFormatting sqref="C91">
    <cfRule type="cellIs" dxfId="2582" priority="179" stopIfTrue="1" operator="lessThanOrEqual">
      <formula>0</formula>
    </cfRule>
    <cfRule type="cellIs" dxfId="2581" priority="178" stopIfTrue="1" operator="greaterThan">
      <formula>$F$85</formula>
    </cfRule>
  </conditionalFormatting>
  <conditionalFormatting sqref="C79:D79">
    <cfRule type="cellIs" dxfId="2580" priority="55" stopIfTrue="1" operator="lessThanOrEqual">
      <formula>0</formula>
    </cfRule>
    <cfRule type="cellIs" dxfId="2579" priority="54" stopIfTrue="1" operator="greaterThan">
      <formula>$J79</formula>
    </cfRule>
  </conditionalFormatting>
  <conditionalFormatting sqref="C85:D85 D87:D93">
    <cfRule type="cellIs" dxfId="2578" priority="171" stopIfTrue="1" operator="greaterThan">
      <formula>4.5</formula>
    </cfRule>
  </conditionalFormatting>
  <conditionalFormatting sqref="D54:D55">
    <cfRule type="cellIs" dxfId="2577" priority="97" operator="notBetween">
      <formula>#REF!</formula>
      <formula>#REF!</formula>
    </cfRule>
  </conditionalFormatting>
  <conditionalFormatting sqref="D74:D78 D80:D81">
    <cfRule type="cellIs" dxfId="2576" priority="65" stopIfTrue="1" operator="lessThanOrEqual">
      <formula>0</formula>
    </cfRule>
  </conditionalFormatting>
  <conditionalFormatting sqref="D74:D78 D80:D83">
    <cfRule type="cellIs" dxfId="2575" priority="62" stopIfTrue="1" operator="greaterThan">
      <formula>$F74</formula>
    </cfRule>
    <cfRule type="cellIs" dxfId="2574" priority="61" stopIfTrue="1" operator="lessThanOrEqual">
      <formula>0</formula>
    </cfRule>
  </conditionalFormatting>
  <conditionalFormatting sqref="D82:D83">
    <cfRule type="cellIs" dxfId="2573" priority="63" stopIfTrue="1" operator="lessThanOrEqual">
      <formula>0</formula>
    </cfRule>
  </conditionalFormatting>
  <conditionalFormatting sqref="D83">
    <cfRule type="cellIs" dxfId="2572" priority="64" stopIfTrue="1" operator="lessThanOrEqual">
      <formula>0</formula>
    </cfRule>
  </conditionalFormatting>
  <conditionalFormatting sqref="D85 D87:D93">
    <cfRule type="cellIs" dxfId="2571" priority="172" stopIfTrue="1" operator="lessThanOrEqual">
      <formula>0</formula>
    </cfRule>
  </conditionalFormatting>
  <conditionalFormatting sqref="D86">
    <cfRule type="cellIs" dxfId="2570" priority="164" stopIfTrue="1" operator="lessThanOrEqual">
      <formula>0</formula>
    </cfRule>
    <cfRule type="cellIs" dxfId="2569" priority="163" stopIfTrue="1" operator="greaterThan">
      <formula>$F$85</formula>
    </cfRule>
  </conditionalFormatting>
  <conditionalFormatting sqref="E10:E29">
    <cfRule type="cellIs" dxfId="2568" priority="10" operator="lessThan">
      <formula>48</formula>
    </cfRule>
  </conditionalFormatting>
  <conditionalFormatting sqref="E57 E58:F58">
    <cfRule type="cellIs" dxfId="2567" priority="168" stopIfTrue="1" operator="greaterThan">
      <formula>100</formula>
    </cfRule>
  </conditionalFormatting>
  <conditionalFormatting sqref="E58">
    <cfRule type="cellIs" dxfId="2566" priority="166" stopIfTrue="1" operator="greaterThan">
      <formula>100</formula>
    </cfRule>
    <cfRule type="cellIs" dxfId="2565" priority="165" stopIfTrue="1" operator="lessThan">
      <formula>96.8</formula>
    </cfRule>
  </conditionalFormatting>
  <conditionalFormatting sqref="E74:E82">
    <cfRule type="cellIs" dxfId="2564" priority="23" stopIfTrue="1" operator="lessThanOrEqual">
      <formula>0</formula>
    </cfRule>
  </conditionalFormatting>
  <conditionalFormatting sqref="E74:E83">
    <cfRule type="cellIs" dxfId="2563" priority="25" stopIfTrue="1" operator="lessThanOrEqual">
      <formula>0</formula>
    </cfRule>
    <cfRule type="cellIs" dxfId="2562" priority="24" stopIfTrue="1" operator="greaterThan">
      <formula>$F74</formula>
    </cfRule>
  </conditionalFormatting>
  <conditionalFormatting sqref="E83">
    <cfRule type="cellIs" dxfId="2561" priority="26" stopIfTrue="1" operator="lessThanOrEqual">
      <formula>0</formula>
    </cfRule>
  </conditionalFormatting>
  <conditionalFormatting sqref="E85:E93">
    <cfRule type="cellIs" dxfId="2560" priority="157" stopIfTrue="1" operator="greaterThan">
      <formula>4.5</formula>
    </cfRule>
    <cfRule type="cellIs" dxfId="2559" priority="158" stopIfTrue="1" operator="lessThanOrEqual">
      <formula>0</formula>
    </cfRule>
  </conditionalFormatting>
  <conditionalFormatting sqref="E58:F58 E57">
    <cfRule type="cellIs" dxfId="2558" priority="167" stopIfTrue="1" operator="lessThan">
      <formula>96.5</formula>
    </cfRule>
  </conditionalFormatting>
  <conditionalFormatting sqref="F10:F29">
    <cfRule type="cellIs" dxfId="2557" priority="12" operator="greaterThan">
      <formula>60</formula>
    </cfRule>
  </conditionalFormatting>
  <conditionalFormatting sqref="F58">
    <cfRule type="cellIs" dxfId="2556" priority="184" stopIfTrue="1" operator="greaterThan">
      <formula>100</formula>
    </cfRule>
    <cfRule type="cellIs" dxfId="2555" priority="183" stopIfTrue="1" operator="lessThan">
      <formula>96.8</formula>
    </cfRule>
  </conditionalFormatting>
  <conditionalFormatting sqref="F83">
    <cfRule type="cellIs" dxfId="2554" priority="35" stopIfTrue="1" operator="lessThanOrEqual">
      <formula>0</formula>
    </cfRule>
    <cfRule type="cellIs" dxfId="2553" priority="34" stopIfTrue="1" operator="greaterThan">
      <formula>$F83</formula>
    </cfRule>
  </conditionalFormatting>
  <conditionalFormatting sqref="G28:G29">
    <cfRule type="expression" dxfId="2552" priority="14">
      <formula>IF(+(IF(G28&lt;S28,0,IF(G28&gt;T28,0,1)))=0,1)</formula>
    </cfRule>
  </conditionalFormatting>
  <conditionalFormatting sqref="G74:G75">
    <cfRule type="cellIs" dxfId="2551" priority="36" stopIfTrue="1" operator="greaterThan">
      <formula>$F74</formula>
    </cfRule>
    <cfRule type="cellIs" dxfId="2550" priority="37" stopIfTrue="1" operator="lessThanOrEqual">
      <formula>0</formula>
    </cfRule>
  </conditionalFormatting>
  <conditionalFormatting sqref="G74:G77">
    <cfRule type="cellIs" dxfId="2549" priority="18" stopIfTrue="1" operator="greaterThan">
      <formula>$F74</formula>
    </cfRule>
    <cfRule type="cellIs" dxfId="2548" priority="19" stopIfTrue="1" operator="lessThanOrEqual">
      <formula>0</formula>
    </cfRule>
  </conditionalFormatting>
  <conditionalFormatting sqref="G76">
    <cfRule type="cellIs" dxfId="2547" priority="16" stopIfTrue="1" operator="greaterThan">
      <formula>$F76</formula>
    </cfRule>
    <cfRule type="cellIs" dxfId="2546" priority="17" stopIfTrue="1" operator="lessThanOrEqual">
      <formula>0</formula>
    </cfRule>
  </conditionalFormatting>
  <conditionalFormatting sqref="G77">
    <cfRule type="cellIs" dxfId="2545" priority="30" stopIfTrue="1" operator="greaterThan">
      <formula>$F77</formula>
    </cfRule>
    <cfRule type="cellIs" dxfId="2544" priority="31" stopIfTrue="1" operator="lessThanOrEqual">
      <formula>0</formula>
    </cfRule>
  </conditionalFormatting>
  <conditionalFormatting sqref="G78:G82">
    <cfRule type="cellIs" dxfId="2543" priority="39" stopIfTrue="1" operator="lessThanOrEqual">
      <formula>0</formula>
    </cfRule>
    <cfRule type="cellIs" dxfId="2542" priority="38" stopIfTrue="1" operator="greaterThan">
      <formula>$J78</formula>
    </cfRule>
  </conditionalFormatting>
  <conditionalFormatting sqref="G87:G92 C90 C92">
    <cfRule type="cellIs" dxfId="2541" priority="181" stopIfTrue="1" operator="lessThanOrEqual">
      <formula>0</formula>
    </cfRule>
    <cfRule type="cellIs" dxfId="2540" priority="180" stopIfTrue="1" operator="greaterThan">
      <formula>4.5</formula>
    </cfRule>
  </conditionalFormatting>
  <conditionalFormatting sqref="G10:H27">
    <cfRule type="expression" dxfId="2539" priority="11">
      <formula>IF(+(IF(G10&lt;#REF!,0,IF(G10&gt;#REF!,0,1)))=0,1)</formula>
    </cfRule>
  </conditionalFormatting>
  <conditionalFormatting sqref="G86:H86">
    <cfRule type="cellIs" dxfId="2538" priority="161" stopIfTrue="1" operator="greaterThan">
      <formula>$F$85</formula>
    </cfRule>
    <cfRule type="cellIs" dxfId="2537" priority="162" stopIfTrue="1" operator="lessThanOrEqual">
      <formula>0</formula>
    </cfRule>
  </conditionalFormatting>
  <conditionalFormatting sqref="H28:H29">
    <cfRule type="expression" dxfId="2536" priority="13">
      <formula>IF(+(IF(H28&lt;#REF!,0,IF(H28&gt;#REF!,0,1)))=0,1)</formula>
    </cfRule>
  </conditionalFormatting>
  <conditionalFormatting sqref="H43:H44 H57">
    <cfRule type="cellIs" dxfId="2535" priority="159" stopIfTrue="1" operator="greaterThan">
      <formula>0</formula>
    </cfRule>
  </conditionalFormatting>
  <conditionalFormatting sqref="H61">
    <cfRule type="cellIs" dxfId="2534" priority="41" stopIfTrue="1" operator="lessThanOrEqual">
      <formula>0</formula>
    </cfRule>
    <cfRule type="cellIs" dxfId="2533" priority="42" stopIfTrue="1" operator="greaterThan">
      <formula>$F$74</formula>
    </cfRule>
    <cfRule type="cellIs" dxfId="2532" priority="52" stopIfTrue="1" operator="greaterThan">
      <formula>$F$75</formula>
    </cfRule>
    <cfRule type="cellIs" dxfId="2531" priority="51" stopIfTrue="1" operator="lessThanOrEqual">
      <formula>0</formula>
    </cfRule>
    <cfRule type="cellIs" dxfId="2530" priority="50" stopIfTrue="1" operator="greaterThan">
      <formula>$F$77</formula>
    </cfRule>
  </conditionalFormatting>
  <conditionalFormatting sqref="H61:H63">
    <cfRule type="cellIs" dxfId="2529" priority="53" stopIfTrue="1" operator="lessThanOrEqual">
      <formula>0</formula>
    </cfRule>
  </conditionalFormatting>
  <conditionalFormatting sqref="H62:H63">
    <cfRule type="cellIs" dxfId="2528" priority="69" stopIfTrue="1" operator="greaterThan">
      <formula>$F$74</formula>
    </cfRule>
    <cfRule type="cellIs" dxfId="2527" priority="77" stopIfTrue="1" operator="greaterThan">
      <formula>$F$77</formula>
    </cfRule>
    <cfRule type="cellIs" dxfId="2526" priority="79" stopIfTrue="1" operator="greaterThan">
      <formula>$F$75</formula>
    </cfRule>
    <cfRule type="cellIs" dxfId="2525" priority="78" stopIfTrue="1" operator="lessThanOrEqual">
      <formula>0</formula>
    </cfRule>
  </conditionalFormatting>
  <conditionalFormatting sqref="H62:H65">
    <cfRule type="cellIs" dxfId="2524" priority="80" stopIfTrue="1" operator="lessThanOrEqual">
      <formula>0</formula>
    </cfRule>
  </conditionalFormatting>
  <conditionalFormatting sqref="H64:H65">
    <cfRule type="cellIs" dxfId="2523" priority="92" stopIfTrue="1" operator="lessThanOrEqual">
      <formula>0</formula>
    </cfRule>
    <cfRule type="cellIs" dxfId="2522" priority="93" stopIfTrue="1" operator="greaterThan">
      <formula>$F$75</formula>
    </cfRule>
    <cfRule type="cellIs" dxfId="2521" priority="91" stopIfTrue="1" operator="greaterThan">
      <formula>$F$77</formula>
    </cfRule>
    <cfRule type="cellIs" dxfId="2520" priority="94" stopIfTrue="1" operator="lessThanOrEqual">
      <formula>0</formula>
    </cfRule>
    <cfRule type="cellIs" dxfId="2519" priority="83" stopIfTrue="1" operator="greaterThan">
      <formula>$F$74</formula>
    </cfRule>
  </conditionalFormatting>
  <conditionalFormatting sqref="H66:H67">
    <cfRule type="cellIs" dxfId="2518" priority="133" stopIfTrue="1" operator="lessThanOrEqual">
      <formula>0</formula>
    </cfRule>
    <cfRule type="cellIs" dxfId="2517" priority="132" stopIfTrue="1" operator="greaterThan">
      <formula>#REF!</formula>
    </cfRule>
    <cfRule type="cellIs" dxfId="2516" priority="131" stopIfTrue="1" operator="lessThanOrEqual">
      <formula>0</formula>
    </cfRule>
    <cfRule type="cellIs" dxfId="2515" priority="130" stopIfTrue="1" operator="greaterThan">
      <formula>$F$29</formula>
    </cfRule>
    <cfRule type="cellIs" dxfId="2514" priority="122" stopIfTrue="1" operator="greaterThan">
      <formula>#REF!</formula>
    </cfRule>
    <cfRule type="cellIs" dxfId="2513" priority="121" stopIfTrue="1" operator="lessThanOrEqual">
      <formula>0</formula>
    </cfRule>
  </conditionalFormatting>
  <conditionalFormatting sqref="H68">
    <cfRule type="cellIs" dxfId="2512" priority="147" stopIfTrue="1" operator="lessThanOrEqual">
      <formula>0</formula>
    </cfRule>
    <cfRule type="cellIs" dxfId="2511" priority="146" stopIfTrue="1" operator="greaterThan">
      <formula>$F$43</formula>
    </cfRule>
    <cfRule type="cellIs" dxfId="2510" priority="145" stopIfTrue="1" operator="lessThanOrEqual">
      <formula>0</formula>
    </cfRule>
    <cfRule type="cellIs" dxfId="2509" priority="144" stopIfTrue="1" operator="greaterThan">
      <formula>$F$45</formula>
    </cfRule>
    <cfRule type="cellIs" dxfId="2508" priority="136" stopIfTrue="1" operator="greaterThan">
      <formula>$F$42</formula>
    </cfRule>
    <cfRule type="cellIs" dxfId="2507" priority="135" stopIfTrue="1" operator="lessThanOrEqual">
      <formula>0</formula>
    </cfRule>
  </conditionalFormatting>
  <conditionalFormatting sqref="H69:H70">
    <cfRule type="cellIs" dxfId="2506" priority="108" stopIfTrue="1" operator="greaterThan">
      <formula>#REF!</formula>
    </cfRule>
    <cfRule type="cellIs" dxfId="2505" priority="116" stopIfTrue="1" operator="greaterThan">
      <formula>$F$29</formula>
    </cfRule>
    <cfRule type="cellIs" dxfId="2504" priority="118" stopIfTrue="1" operator="greaterThan">
      <formula>#REF!</formula>
    </cfRule>
    <cfRule type="cellIs" dxfId="2503" priority="119" stopIfTrue="1" operator="lessThanOrEqual">
      <formula>0</formula>
    </cfRule>
    <cfRule type="cellIs" dxfId="2502" priority="117" stopIfTrue="1" operator="lessThanOrEqual">
      <formula>0</formula>
    </cfRule>
    <cfRule type="cellIs" dxfId="2501" priority="107" stopIfTrue="1" operator="lessThanOrEqual">
      <formula>0</formula>
    </cfRule>
  </conditionalFormatting>
  <conditionalFormatting sqref="H85 H87:H93">
    <cfRule type="cellIs" dxfId="2500" priority="174" stopIfTrue="1" operator="lessThanOrEqual">
      <formula>0</formula>
    </cfRule>
    <cfRule type="cellIs" dxfId="2499" priority="173" stopIfTrue="1" operator="greaterThan">
      <formula>4.5</formula>
    </cfRule>
  </conditionalFormatting>
  <conditionalFormatting sqref="H61:I61">
    <cfRule type="cellIs" dxfId="2498" priority="43" stopIfTrue="1" operator="lessThanOrEqual">
      <formula>0</formula>
    </cfRule>
  </conditionalFormatting>
  <conditionalFormatting sqref="H61:I65">
    <cfRule type="cellIs" dxfId="2497" priority="40" stopIfTrue="1" operator="greaterThan">
      <formula>$F$76</formula>
    </cfRule>
  </conditionalFormatting>
  <conditionalFormatting sqref="H62:I63">
    <cfRule type="cellIs" dxfId="2496" priority="70" stopIfTrue="1" operator="lessThanOrEqual">
      <formula>0</formula>
    </cfRule>
  </conditionalFormatting>
  <conditionalFormatting sqref="H64:I65">
    <cfRule type="cellIs" dxfId="2495" priority="84" stopIfTrue="1" operator="lessThanOrEqual">
      <formula>0</formula>
    </cfRule>
  </conditionalFormatting>
  <conditionalFormatting sqref="H66:I67">
    <cfRule type="cellIs" dxfId="2494" priority="120" stopIfTrue="1" operator="greaterThan">
      <formula>#REF!</formula>
    </cfRule>
    <cfRule type="cellIs" dxfId="2493" priority="123" stopIfTrue="1" operator="lessThanOrEqual">
      <formula>0</formula>
    </cfRule>
  </conditionalFormatting>
  <conditionalFormatting sqref="H68:I68">
    <cfRule type="cellIs" dxfId="2492" priority="137" stopIfTrue="1" operator="lessThanOrEqual">
      <formula>0</formula>
    </cfRule>
    <cfRule type="cellIs" dxfId="2491" priority="134" stopIfTrue="1" operator="greaterThan">
      <formula>$F$44</formula>
    </cfRule>
  </conditionalFormatting>
  <conditionalFormatting sqref="H69:I70">
    <cfRule type="cellIs" dxfId="2490" priority="106" stopIfTrue="1" operator="greaterThan">
      <formula>#REF!</formula>
    </cfRule>
    <cfRule type="cellIs" dxfId="2489" priority="109" stopIfTrue="1" operator="lessThanOrEqual">
      <formula>0</formula>
    </cfRule>
  </conditionalFormatting>
  <conditionalFormatting sqref="H74:I81">
    <cfRule type="cellIs" dxfId="2488" priority="21" stopIfTrue="1" operator="greaterThan">
      <formula>$J74</formula>
    </cfRule>
    <cfRule type="cellIs" dxfId="2487" priority="22" stopIfTrue="1" operator="lessThanOrEqual">
      <formula>0</formula>
    </cfRule>
  </conditionalFormatting>
  <conditionalFormatting sqref="H82:I82">
    <cfRule type="cellIs" dxfId="2486" priority="29" operator="greaterThan">
      <formula>5.3</formula>
    </cfRule>
  </conditionalFormatting>
  <conditionalFormatting sqref="H83:I83">
    <cfRule type="cellIs" dxfId="2485" priority="27" stopIfTrue="1" operator="greaterThan">
      <formula>$J83</formula>
    </cfRule>
    <cfRule type="cellIs" dxfId="2484" priority="28" stopIfTrue="1" operator="lessThanOrEqual">
      <formula>0</formula>
    </cfRule>
  </conditionalFormatting>
  <conditionalFormatting sqref="I61">
    <cfRule type="cellIs" dxfId="2483" priority="49" stopIfTrue="1" operator="lessThanOrEqual">
      <formula>0</formula>
    </cfRule>
    <cfRule type="cellIs" dxfId="2482" priority="44" stopIfTrue="1" operator="greaterThan">
      <formula>$F$74</formula>
    </cfRule>
    <cfRule type="cellIs" dxfId="2481" priority="45" stopIfTrue="1" operator="lessThanOrEqual">
      <formula>0</formula>
    </cfRule>
    <cfRule type="cellIs" dxfId="2480" priority="48" stopIfTrue="1" operator="greaterThan">
      <formula>$F$74</formula>
    </cfRule>
    <cfRule type="cellIs" dxfId="2479" priority="46" stopIfTrue="1" operator="greaterThan">
      <formula>$F$76</formula>
    </cfRule>
    <cfRule type="cellIs" dxfId="2478" priority="47" stopIfTrue="1" operator="lessThanOrEqual">
      <formula>0</formula>
    </cfRule>
  </conditionalFormatting>
  <conditionalFormatting sqref="I62:I63">
    <cfRule type="cellIs" dxfId="2477" priority="75" stopIfTrue="1" operator="greaterThan">
      <formula>$F$74</formula>
    </cfRule>
    <cfRule type="cellIs" dxfId="2476" priority="76" stopIfTrue="1" operator="lessThanOrEqual">
      <formula>0</formula>
    </cfRule>
    <cfRule type="cellIs" dxfId="2475" priority="71" stopIfTrue="1" operator="greaterThan">
      <formula>$F$74</formula>
    </cfRule>
    <cfRule type="cellIs" dxfId="2474" priority="73" stopIfTrue="1" operator="greaterThan">
      <formula>$F$76</formula>
    </cfRule>
    <cfRule type="cellIs" dxfId="2473" priority="72" stopIfTrue="1" operator="lessThanOrEqual">
      <formula>0</formula>
    </cfRule>
    <cfRule type="cellIs" dxfId="2472" priority="74" stopIfTrue="1" operator="lessThanOrEqual">
      <formula>0</formula>
    </cfRule>
  </conditionalFormatting>
  <conditionalFormatting sqref="I64:I65">
    <cfRule type="cellIs" dxfId="2471" priority="86" stopIfTrue="1" operator="lessThanOrEqual">
      <formula>0</formula>
    </cfRule>
    <cfRule type="cellIs" dxfId="2470" priority="85" stopIfTrue="1" operator="greaterThan">
      <formula>$F$74</formula>
    </cfRule>
    <cfRule type="cellIs" dxfId="2469" priority="88" stopIfTrue="1" operator="lessThanOrEqual">
      <formula>0</formula>
    </cfRule>
    <cfRule type="cellIs" dxfId="2468" priority="87" stopIfTrue="1" operator="greaterThan">
      <formula>$F$76</formula>
    </cfRule>
    <cfRule type="cellIs" dxfId="2467" priority="90" stopIfTrue="1" operator="lessThanOrEqual">
      <formula>0</formula>
    </cfRule>
    <cfRule type="cellIs" dxfId="2466" priority="89" stopIfTrue="1" operator="greaterThan">
      <formula>$F$74</formula>
    </cfRule>
  </conditionalFormatting>
  <conditionalFormatting sqref="I66:I67">
    <cfRule type="cellIs" dxfId="2465" priority="125" stopIfTrue="1" operator="lessThanOrEqual">
      <formula>0</formula>
    </cfRule>
    <cfRule type="cellIs" dxfId="2464" priority="126" stopIfTrue="1" operator="greaterThan">
      <formula>#REF!</formula>
    </cfRule>
    <cfRule type="cellIs" dxfId="2463" priority="127" stopIfTrue="1" operator="lessThanOrEqual">
      <formula>0</formula>
    </cfRule>
    <cfRule type="cellIs" dxfId="2462" priority="128" stopIfTrue="1" operator="greaterThan">
      <formula>#REF!</formula>
    </cfRule>
    <cfRule type="cellIs" dxfId="2461" priority="129" stopIfTrue="1" operator="lessThanOrEqual">
      <formula>0</formula>
    </cfRule>
    <cfRule type="cellIs" dxfId="2460" priority="124" stopIfTrue="1" operator="greaterThan">
      <formula>#REF!</formula>
    </cfRule>
  </conditionalFormatting>
  <conditionalFormatting sqref="I68">
    <cfRule type="cellIs" dxfId="2459" priority="143" stopIfTrue="1" operator="lessThanOrEqual">
      <formula>0</formula>
    </cfRule>
    <cfRule type="cellIs" dxfId="2458" priority="141" stopIfTrue="1" operator="lessThanOrEqual">
      <formula>0</formula>
    </cfRule>
    <cfRule type="cellIs" dxfId="2457" priority="138" stopIfTrue="1" operator="greaterThan">
      <formula>$F$42</formula>
    </cfRule>
    <cfRule type="cellIs" dxfId="2456" priority="139" stopIfTrue="1" operator="lessThanOrEqual">
      <formula>0</formula>
    </cfRule>
    <cfRule type="cellIs" dxfId="2455" priority="140" stopIfTrue="1" operator="greaterThan">
      <formula>$F$44</formula>
    </cfRule>
    <cfRule type="cellIs" dxfId="2454" priority="142" stopIfTrue="1" operator="greaterThan">
      <formula>$F$42</formula>
    </cfRule>
  </conditionalFormatting>
  <conditionalFormatting sqref="I69:I70">
    <cfRule type="cellIs" dxfId="2453" priority="115" stopIfTrue="1" operator="lessThanOrEqual">
      <formula>0</formula>
    </cfRule>
    <cfRule type="cellIs" dxfId="2452" priority="110" stopIfTrue="1" operator="greaterThan">
      <formula>#REF!</formula>
    </cfRule>
    <cfRule type="cellIs" dxfId="2451" priority="114" stopIfTrue="1" operator="greaterThan">
      <formula>#REF!</formula>
    </cfRule>
    <cfRule type="cellIs" dxfId="2450" priority="113" stopIfTrue="1" operator="lessThanOrEqual">
      <formula>0</formula>
    </cfRule>
    <cfRule type="cellIs" dxfId="2449" priority="112" stopIfTrue="1" operator="greaterThan">
      <formula>#REF!</formula>
    </cfRule>
    <cfRule type="cellIs" dxfId="2448" priority="111" stopIfTrue="1" operator="lessThanOrEqual">
      <formula>0</formula>
    </cfRule>
  </conditionalFormatting>
  <conditionalFormatting sqref="I85:I93">
    <cfRule type="cellIs" dxfId="2447" priority="169" stopIfTrue="1" operator="greaterThan">
      <formula>4.5</formula>
    </cfRule>
    <cfRule type="cellIs" dxfId="2446" priority="170" stopIfTrue="1" operator="lessThanOrEqual">
      <formula>0</formula>
    </cfRule>
  </conditionalFormatting>
  <conditionalFormatting sqref="I10:J29">
    <cfRule type="cellIs" dxfId="2445" priority="4" operator="lessThan">
      <formula>97.9</formula>
    </cfRule>
  </conditionalFormatting>
  <conditionalFormatting sqref="J32:J33">
    <cfRule type="cellIs" dxfId="2444" priority="82" operator="lessThan">
      <formula>97.95</formula>
    </cfRule>
  </conditionalFormatting>
  <conditionalFormatting sqref="J34">
    <cfRule type="cellIs" dxfId="2443" priority="149" stopIfTrue="1" operator="lessThan">
      <formula>96.8</formula>
    </cfRule>
    <cfRule type="cellIs" dxfId="2442" priority="150" stopIfTrue="1" operator="greaterThan">
      <formula>100</formula>
    </cfRule>
    <cfRule type="cellIs" dxfId="2441" priority="151" operator="lessThan">
      <formula>98</formula>
    </cfRule>
  </conditionalFormatting>
  <conditionalFormatting sqref="J34:J36">
    <cfRule type="cellIs" dxfId="2440" priority="148" operator="lessThan">
      <formula>97.4</formula>
    </cfRule>
  </conditionalFormatting>
  <conditionalFormatting sqref="J37:J38">
    <cfRule type="cellIs" dxfId="2439" priority="152" operator="lessThan">
      <formula>98</formula>
    </cfRule>
  </conditionalFormatting>
  <conditionalFormatting sqref="J39:J40">
    <cfRule type="cellIs" dxfId="2438" priority="154" stopIfTrue="1" operator="greaterThan">
      <formula>100</formula>
    </cfRule>
    <cfRule type="cellIs" dxfId="2437" priority="153" stopIfTrue="1" operator="lessThan">
      <formula>96.8</formula>
    </cfRule>
  </conditionalFormatting>
  <conditionalFormatting sqref="J39:J41">
    <cfRule type="cellIs" dxfId="2436" priority="155" operator="lessThan">
      <formula>98</formula>
    </cfRule>
  </conditionalFormatting>
  <conditionalFormatting sqref="J70">
    <cfRule type="cellIs" dxfId="2435" priority="99" stopIfTrue="1" operator="lessThanOrEqual">
      <formula>0</formula>
    </cfRule>
    <cfRule type="cellIs" dxfId="2434" priority="98" stopIfTrue="1" operator="greaterThan">
      <formula>#REF!</formula>
    </cfRule>
    <cfRule type="cellIs" dxfId="2433" priority="105" stopIfTrue="1" operator="lessThanOrEqual">
      <formula>0</formula>
    </cfRule>
    <cfRule type="cellIs" dxfId="2432" priority="104" stopIfTrue="1" operator="greaterThan">
      <formula>#REF!</formula>
    </cfRule>
    <cfRule type="cellIs" dxfId="2431" priority="103" stopIfTrue="1" operator="lessThanOrEqual">
      <formula>0</formula>
    </cfRule>
    <cfRule type="cellIs" dxfId="2430" priority="102" stopIfTrue="1" operator="greaterThan">
      <formula>#REF!</formula>
    </cfRule>
    <cfRule type="cellIs" dxfId="2429" priority="101" stopIfTrue="1" operator="lessThanOrEqual">
      <formula>0</formula>
    </cfRule>
    <cfRule type="cellIs" dxfId="2428" priority="100" stopIfTrue="1" operator="greaterThan">
      <formula>#REF!</formula>
    </cfRule>
  </conditionalFormatting>
  <conditionalFormatting sqref="J83">
    <cfRule type="cellIs" dxfId="2427" priority="33" stopIfTrue="1" operator="lessThanOrEqual">
      <formula>0</formula>
    </cfRule>
    <cfRule type="cellIs" dxfId="2426" priority="32" stopIfTrue="1" operator="greaterThan">
      <formula>$F83</formula>
    </cfRule>
  </conditionalFormatting>
  <conditionalFormatting sqref="K10:K29">
    <cfRule type="cellIs" dxfId="2425" priority="6" operator="lessThan">
      <formula>4</formula>
    </cfRule>
    <cfRule type="cellIs" dxfId="2424" priority="5" operator="greaterThan">
      <formula>6</formula>
    </cfRule>
    <cfRule type="cellIs" dxfId="2423" priority="7" operator="greaterThan">
      <formula>6.4</formula>
    </cfRule>
  </conditionalFormatting>
  <conditionalFormatting sqref="K61:K70">
    <cfRule type="cellIs" dxfId="2422" priority="81" stopIfTrue="1" operator="lessThan">
      <formula>100%</formula>
    </cfRule>
  </conditionalFormatting>
  <conditionalFormatting sqref="K74:K82">
    <cfRule type="cellIs" dxfId="2421" priority="20" stopIfTrue="1" operator="lessThan">
      <formula>100%</formula>
    </cfRule>
  </conditionalFormatting>
  <conditionalFormatting sqref="K85:K90">
    <cfRule type="cellIs" dxfId="2420" priority="175" stopIfTrue="1" operator="lessThan">
      <formula>100%</formula>
    </cfRule>
  </conditionalFormatting>
  <conditionalFormatting sqref="K92:K93">
    <cfRule type="cellIs" dxfId="2419" priority="182" stopIfTrue="1" operator="lessThan">
      <formula>100%</formula>
    </cfRule>
  </conditionalFormatting>
  <conditionalFormatting sqref="L10:L29">
    <cfRule type="cellIs" dxfId="2418" priority="9" operator="greaterThan">
      <formula>65</formula>
    </cfRule>
    <cfRule type="cellIs" dxfId="2417" priority="8" operator="between">
      <formula>61</formula>
      <formula>65</formula>
    </cfRule>
  </conditionalFormatting>
  <conditionalFormatting sqref="L32:M43">
    <cfRule type="cellIs" dxfId="2416" priority="95" operator="lessThan">
      <formula>97.95</formula>
    </cfRule>
  </conditionalFormatting>
  <conditionalFormatting sqref="L47:N47">
    <cfRule type="cellIs" dxfId="2415" priority="60" operator="notEqual">
      <formula>#REF!</formula>
    </cfRule>
  </conditionalFormatting>
  <conditionalFormatting sqref="L74:N83">
    <cfRule type="cellIs" dxfId="2414" priority="15" stopIfTrue="1" operator="lessThan">
      <formula>100%</formula>
    </cfRule>
  </conditionalFormatting>
  <conditionalFormatting sqref="L85:N93">
    <cfRule type="cellIs" dxfId="2413" priority="160" stopIfTrue="1" operator="lessThan">
      <formula>100%</formula>
    </cfRule>
  </conditionalFormatting>
  <conditionalFormatting sqref="M10:N29">
    <cfRule type="expression" dxfId="2412" priority="2">
      <formula>IF(+(IF(M10&lt;#REF!,0,IF(M10&gt;#REF!,0,1)))=0,1)</formula>
    </cfRule>
  </conditionalFormatting>
  <conditionalFormatting sqref="N18:N27">
    <cfRule type="expression" dxfId="2411" priority="3">
      <formula>IF(+(IF(N18&lt;W18,0,IF(N18&gt;X18,0,1)))=0,1)</formula>
    </cfRule>
  </conditionalFormatting>
  <conditionalFormatting sqref="P6">
    <cfRule type="cellIs" dxfId="2410" priority="156" operator="greaterThanOrEqual">
      <formula>19</formula>
    </cfRule>
  </conditionalFormatting>
  <dataValidations count="1">
    <dataValidation type="list" allowBlank="1" showInputMessage="1" showErrorMessage="1" sqref="R8" xr:uid="{FE459173-9FDC-4FB3-82B7-AAE54C46092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7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46E7-3398-4A49-896A-643F8EA0EE26}">
  <sheetPr>
    <pageSetUpPr fitToPage="1"/>
  </sheetPr>
  <dimension ref="A1:BE83"/>
  <sheetViews>
    <sheetView topLeftCell="A6" zoomScale="70" zoomScaleNormal="70" workbookViewId="0">
      <selection activeCell="E18" sqref="E18:E24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46188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hidden="1" customHeight="1">
      <c r="B10" s="29" t="s">
        <v>6</v>
      </c>
      <c r="C10" s="366" t="str">
        <f>[3]Brewhouse!$A441</f>
        <v>CA395</v>
      </c>
      <c r="D10" s="279">
        <f>[3]Brewhouse!$AF441</f>
        <v>47.9</v>
      </c>
      <c r="E10" s="279">
        <f>[3]Brewhouse!$AI441</f>
        <v>47.9</v>
      </c>
      <c r="F10" s="278">
        <f>[3]Brewhouse!$V441</f>
        <v>60</v>
      </c>
      <c r="G10" s="279">
        <f>[3]Brewhouse!AG441</f>
        <v>12</v>
      </c>
      <c r="H10" s="396"/>
      <c r="I10" s="368">
        <f>[3]Brewhouse!$AU441</f>
        <v>94.35299110982487</v>
      </c>
      <c r="J10" s="368">
        <f>[3]Brewhouse!$AV441</f>
        <v>95.174307131157988</v>
      </c>
      <c r="K10" s="281">
        <f>[3]Brewhouse!$Q441</f>
        <v>12.62962962962963</v>
      </c>
      <c r="L10" s="276">
        <f>[3]Brewhouse!$P441</f>
        <v>57</v>
      </c>
      <c r="M10" s="397">
        <f>[3]Brewhouse!$U441-[3]Brewhouse!$T441</f>
        <v>0.12708333333333333</v>
      </c>
      <c r="N10" s="370">
        <f>[3]Brewhouse!$Z441</f>
        <v>0.32847222222222217</v>
      </c>
      <c r="O10" s="420" t="str">
        <f>[3]Brewhouse!$AX441</f>
        <v>R. Regis</v>
      </c>
      <c r="P10" s="418"/>
      <c r="R10" s="277" t="str">
        <f t="shared" ref="R10:R43" si="0">B10</f>
        <v>CARIB</v>
      </c>
      <c r="S10" s="472">
        <f t="shared" ref="S10:S43" si="1">VLOOKUP($B10,$R$3:$X$9,2,FALSE)</f>
        <v>11.6</v>
      </c>
      <c r="T10" s="472">
        <f t="shared" ref="T10:T43" si="2">VLOOKUP($B10,$R$3:$X$9,3,FALSE)</f>
        <v>12</v>
      </c>
      <c r="U10" s="297">
        <f t="shared" ref="U10:U43" si="3">VLOOKUP($B10,$R$3:$X$9,4,FALSE)</f>
        <v>0</v>
      </c>
      <c r="V10" s="297">
        <f t="shared" ref="V10:V43" si="4">VLOOKUP($B10,$R$3:$X$9,5,FALSE)</f>
        <v>0.118055555555556</v>
      </c>
      <c r="W10" s="297">
        <f t="shared" ref="W10:W43" si="5">VLOOKUP($B10,$R$3:$X$9,6,FALSE)</f>
        <v>0.22569444444444445</v>
      </c>
      <c r="X10" s="297">
        <f t="shared" ref="X10:X43" si="6">VLOOKUP($B10,$R$3:$X$9,7,FALSE)</f>
        <v>0.2638888888888889</v>
      </c>
      <c r="Y10" s="297">
        <f t="shared" ref="Y10:Y43" si="7">VLOOKUP($B10,$R$3:$Z$9,8,FALSE)</f>
        <v>0</v>
      </c>
      <c r="Z10" s="472">
        <f t="shared" ref="Z10:Z43" si="8">VLOOKUP($B10,$R$3:$Z$9,9,FALSE)</f>
        <v>60</v>
      </c>
    </row>
    <row r="11" spans="2:29" ht="17.25" hidden="1" customHeight="1">
      <c r="B11" s="29" t="s">
        <v>6</v>
      </c>
      <c r="C11" s="366" t="str">
        <f>[3]Brewhouse!$A442</f>
        <v>CA396</v>
      </c>
      <c r="D11" s="279">
        <f>[3]Brewhouse!$AF442</f>
        <v>50.4</v>
      </c>
      <c r="E11" s="279">
        <f>[3]Brewhouse!$AI442</f>
        <v>50.1</v>
      </c>
      <c r="F11" s="278">
        <f>[3]Brewhouse!$V442</f>
        <v>47</v>
      </c>
      <c r="G11" s="279">
        <f>[3]Brewhouse!AG442</f>
        <v>12</v>
      </c>
      <c r="H11" s="396"/>
      <c r="I11" s="368">
        <f>[3]Brewhouse!$AU442</f>
        <v>99.78810647611833</v>
      </c>
      <c r="J11" s="368">
        <f>[3]Brewhouse!$AV442</f>
        <v>100.65622530286895</v>
      </c>
      <c r="K11" s="281">
        <f>[3]Brewhouse!$Q442</f>
        <v>9.6487985212569285</v>
      </c>
      <c r="L11" s="276">
        <f>[3]Brewhouse!$P442</f>
        <v>60</v>
      </c>
      <c r="M11" s="397">
        <f>[3]Brewhouse!$U442-[3]Brewhouse!$T442</f>
        <v>0.10555555555555562</v>
      </c>
      <c r="N11" s="370">
        <f>[3]Brewhouse!$Z442</f>
        <v>0.26527777777777783</v>
      </c>
      <c r="O11" s="420" t="str">
        <f>[3]Brewhouse!$AX442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hidden="1" customHeight="1">
      <c r="B12" s="29" t="s">
        <v>6</v>
      </c>
      <c r="C12" s="366" t="str">
        <f>[3]Brewhouse!$A443</f>
        <v>CA397</v>
      </c>
      <c r="D12" s="279">
        <f>[3]Brewhouse!$AF443</f>
        <v>49.8</v>
      </c>
      <c r="E12" s="279">
        <f>[3]Brewhouse!$AI443</f>
        <v>49.5</v>
      </c>
      <c r="F12" s="278">
        <f>[3]Brewhouse!$V443</f>
        <v>50</v>
      </c>
      <c r="G12" s="279">
        <f>[3]Brewhouse!AG443</f>
        <v>12</v>
      </c>
      <c r="H12" s="396"/>
      <c r="I12" s="368">
        <f>[3]Brewhouse!$AU443</f>
        <v>98.715472456614393</v>
      </c>
      <c r="J12" s="368">
        <f>[3]Brewhouse!$AV443</f>
        <v>99.574203204894033</v>
      </c>
      <c r="K12" s="281">
        <f>[3]Brewhouse!$Q443</f>
        <v>11.333333333333329</v>
      </c>
      <c r="L12" s="276">
        <f>[3]Brewhouse!$P443</f>
        <v>60</v>
      </c>
      <c r="M12" s="397">
        <f>[3]Brewhouse!$U443-[3]Brewhouse!$T443</f>
        <v>0.10069444444444442</v>
      </c>
      <c r="N12" s="370">
        <f>[3]Brewhouse!$Z443</f>
        <v>0.25694444444444442</v>
      </c>
      <c r="O12" s="420" t="str">
        <f>[3]Brewhouse!$AX443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hidden="1" customHeight="1">
      <c r="B13" s="29" t="s">
        <v>6</v>
      </c>
      <c r="C13" s="366" t="str">
        <f>[3]Brewhouse!$A444</f>
        <v>CA398</v>
      </c>
      <c r="D13" s="279">
        <f>[3]Brewhouse!$AF444</f>
        <v>51</v>
      </c>
      <c r="E13" s="279">
        <f>[3]Brewhouse!$AI444</f>
        <v>50</v>
      </c>
      <c r="F13" s="278">
        <f>[3]Brewhouse!$V444</f>
        <v>55</v>
      </c>
      <c r="G13" s="279">
        <f>[3]Brewhouse!AG444</f>
        <v>11.9</v>
      </c>
      <c r="H13" s="396"/>
      <c r="I13" s="368">
        <f>[3]Brewhouse!$AU444</f>
        <v>98.839319314550693</v>
      </c>
      <c r="J13" s="368">
        <f>[3]Brewhouse!$AV444</f>
        <v>99.699127412736502</v>
      </c>
      <c r="K13" s="281">
        <f>[3]Brewhouse!$Q444</f>
        <v>7.6296296296296253</v>
      </c>
      <c r="L13" s="276">
        <f>[3]Brewhouse!$P444</f>
        <v>61</v>
      </c>
      <c r="M13" s="397">
        <f>[3]Brewhouse!$U444-[3]Brewhouse!$T444</f>
        <v>0.10624999999999996</v>
      </c>
      <c r="N13" s="370">
        <f>[3]Brewhouse!$Z444</f>
        <v>0.24305555555555558</v>
      </c>
      <c r="O13" s="420" t="str">
        <f>[3]Brewhouse!$AX444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hidden="1" customHeight="1">
      <c r="B14" s="29" t="s">
        <v>6</v>
      </c>
      <c r="C14" s="366" t="str">
        <f>[3]Brewhouse!$A445</f>
        <v>CA399</v>
      </c>
      <c r="D14" s="279">
        <f>[3]Brewhouse!$AF445</f>
        <v>50.9</v>
      </c>
      <c r="E14" s="279">
        <f>[3]Brewhouse!$AI445</f>
        <v>50.5</v>
      </c>
      <c r="F14" s="278">
        <f>[3]Brewhouse!$V445</f>
        <v>61</v>
      </c>
      <c r="G14" s="279">
        <f>[3]Brewhouse!AG445</f>
        <v>11.9</v>
      </c>
      <c r="H14" s="396"/>
      <c r="I14" s="368">
        <f>[3]Brewhouse!$AU445</f>
        <v>99.827712507696191</v>
      </c>
      <c r="J14" s="368">
        <f>[3]Brewhouse!$AV445</f>
        <v>100.69611868686383</v>
      </c>
      <c r="K14" s="281">
        <f>[3]Brewhouse!$Q445</f>
        <v>7.8148148148148131</v>
      </c>
      <c r="L14" s="276">
        <f>[3]Brewhouse!$P445</f>
        <v>61</v>
      </c>
      <c r="M14" s="397">
        <f>[3]Brewhouse!$U445-[3]Brewhouse!$T445</f>
        <v>0.10625000000000001</v>
      </c>
      <c r="N14" s="370">
        <f>[3]Brewhouse!$Z445</f>
        <v>0.25833333333333336</v>
      </c>
      <c r="O14" s="420" t="str">
        <f>[3]Brewhouse!$AX445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hidden="1" customHeight="1">
      <c r="B15" s="29" t="s">
        <v>6</v>
      </c>
      <c r="C15" s="366" t="str">
        <f>[3]Brewhouse!$A446</f>
        <v>CA400</v>
      </c>
      <c r="D15" s="279">
        <f>[3]Brewhouse!$AF446</f>
        <v>52.1</v>
      </c>
      <c r="E15" s="279">
        <f>[3]Brewhouse!$AI446</f>
        <v>51.77</v>
      </c>
      <c r="F15" s="278">
        <f>[3]Brewhouse!$V446</f>
        <v>60</v>
      </c>
      <c r="G15" s="279">
        <f>[3]Brewhouse!AG446</f>
        <v>12</v>
      </c>
      <c r="H15" s="396"/>
      <c r="I15" s="368">
        <f>[3]Brewhouse!$AU446</f>
        <v>102.60534633351912</v>
      </c>
      <c r="J15" s="368">
        <f>[3]Brewhouse!$AV446</f>
        <v>103.49820781921714</v>
      </c>
      <c r="K15" s="281">
        <f>[3]Brewhouse!$Q446</f>
        <v>8.1700554528650677</v>
      </c>
      <c r="L15" s="276">
        <f>[3]Brewhouse!$P446</f>
        <v>61</v>
      </c>
      <c r="M15" s="397">
        <f>[3]Brewhouse!$U446-[3]Brewhouse!$T446</f>
        <v>0.1111111111111111</v>
      </c>
      <c r="N15" s="370">
        <f>[3]Brewhouse!$Z446</f>
        <v>0.2631944444444444</v>
      </c>
      <c r="O15" s="420" t="str">
        <f>[3]Brewhouse!$AX446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hidden="1" customHeight="1">
      <c r="B16" s="29" t="s">
        <v>6</v>
      </c>
      <c r="C16" s="366" t="str">
        <f>[3]Brewhouse!$A447</f>
        <v>CA401</v>
      </c>
      <c r="D16" s="279">
        <f>[3]Brewhouse!$AF447</f>
        <v>52.6</v>
      </c>
      <c r="E16" s="279">
        <f>[3]Brewhouse!$AI447</f>
        <v>53.3</v>
      </c>
      <c r="F16" s="278">
        <f>[3]Brewhouse!$V447</f>
        <v>65</v>
      </c>
      <c r="G16" s="279">
        <f>[3]Brewhouse!AG447</f>
        <v>11.6</v>
      </c>
      <c r="H16" s="396"/>
      <c r="I16" s="368">
        <f>[3]Brewhouse!$AU447</f>
        <v>101.06394965204404</v>
      </c>
      <c r="J16" s="368">
        <f>[3]Brewhouse!$AV447</f>
        <v>101.94379553152135</v>
      </c>
      <c r="K16" s="281">
        <f>[3]Brewhouse!$Q447</f>
        <v>6.5064695009242195</v>
      </c>
      <c r="L16" s="276">
        <f>[3]Brewhouse!$P447</f>
        <v>62</v>
      </c>
      <c r="M16" s="397">
        <f>[3]Brewhouse!$U447-[3]Brewhouse!$T447</f>
        <v>0.11388888888888893</v>
      </c>
      <c r="N16" s="370">
        <f>[3]Brewhouse!$Z447</f>
        <v>0.30625000000000002</v>
      </c>
      <c r="O16" s="420" t="str">
        <f>[3]Brewhouse!$AX447</f>
        <v>R. Regis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hidden="1" customHeight="1">
      <c r="B17" s="29" t="s">
        <v>6</v>
      </c>
      <c r="C17" s="366" t="str">
        <f>[3]Brewhouse!$A448</f>
        <v>CA402</v>
      </c>
      <c r="D17" s="279">
        <f>[3]Brewhouse!$AF448</f>
        <v>50.9</v>
      </c>
      <c r="E17" s="279">
        <f>[3]Brewhouse!$AI448</f>
        <v>50.83</v>
      </c>
      <c r="F17" s="278">
        <f>[3]Brewhouse!$V448</f>
        <v>64</v>
      </c>
      <c r="G17" s="279">
        <f>[3]Brewhouse!AG448</f>
        <v>11.8</v>
      </c>
      <c r="H17" s="396"/>
      <c r="I17" s="368">
        <f>[3]Brewhouse!$AU448</f>
        <v>99.592276455198828</v>
      </c>
      <c r="J17" s="368">
        <f>[3]Brewhouse!$AV448</f>
        <v>100.45863456457052</v>
      </c>
      <c r="K17" s="281">
        <f>[3]Brewhouse!$Q448</f>
        <v>8.7245841035120115</v>
      </c>
      <c r="L17" s="276">
        <f>[3]Brewhouse!$P448</f>
        <v>59</v>
      </c>
      <c r="M17" s="397">
        <f>[3]Brewhouse!$U448-[3]Brewhouse!$T448</f>
        <v>0.10902777777777772</v>
      </c>
      <c r="N17" s="370">
        <f>[3]Brewhouse!$Z448</f>
        <v>0.27499999999999997</v>
      </c>
      <c r="O17" s="420" t="str">
        <f>[3]Brewhouse!$AX448</f>
        <v>R. Regis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7.25" customHeight="1">
      <c r="B18" s="37" t="s">
        <v>16</v>
      </c>
      <c r="C18" s="366" t="str">
        <f>[8]Brewhouse!$A66</f>
        <v>SM057</v>
      </c>
      <c r="D18" s="279">
        <f>[8]Brewhouse!$AH66</f>
        <v>53.1</v>
      </c>
      <c r="E18" s="279">
        <f>[8]Brewhouse!$AM66</f>
        <v>48.5</v>
      </c>
      <c r="F18" s="278">
        <f>[8]Brewhouse!$Z66</f>
        <v>83</v>
      </c>
      <c r="G18" s="279">
        <f>[8]Brewhouse!$AK66</f>
        <v>17.899999999999999</v>
      </c>
      <c r="H18" s="396">
        <v>17.8</v>
      </c>
      <c r="I18" s="368">
        <f>[8]Brewhouse!$AY66</f>
        <v>96.052076380873814</v>
      </c>
      <c r="J18" s="368">
        <f>[8]Brewhouse!$AZ66</f>
        <v>96.436285164364548</v>
      </c>
      <c r="K18" s="281">
        <f>[8]Brewhouse!$U66</f>
        <v>14.839924670433149</v>
      </c>
      <c r="L18" s="276">
        <f>[8]Brewhouse!$T66</f>
        <v>61</v>
      </c>
      <c r="M18" s="374">
        <f>[8]Brewhouse!$Y66-[8]Brewhouse!$X66</f>
        <v>0.12847222222222221</v>
      </c>
      <c r="N18" s="370">
        <f>[8]Brewhouse!$AD66</f>
        <v>0.33680555555555552</v>
      </c>
      <c r="O18" s="371" t="str">
        <f>[8]Brewhouse!$BC66</f>
        <v>R. Regis</v>
      </c>
      <c r="P18" s="418" t="s">
        <v>176</v>
      </c>
      <c r="R18" s="277" t="str">
        <f t="shared" si="0"/>
        <v>STARMALT</v>
      </c>
      <c r="S18" s="472">
        <f t="shared" si="1"/>
        <v>17</v>
      </c>
      <c r="T18" s="472">
        <f t="shared" si="2"/>
        <v>17.399999999999999</v>
      </c>
      <c r="U18" s="297">
        <f t="shared" si="3"/>
        <v>0</v>
      </c>
      <c r="V18" s="297">
        <f t="shared" si="4"/>
        <v>0.13605324074074074</v>
      </c>
      <c r="W18" s="297">
        <f t="shared" si="5"/>
        <v>0.27430555555555552</v>
      </c>
      <c r="X18" s="297">
        <f t="shared" si="6"/>
        <v>0.30902777777777779</v>
      </c>
      <c r="Y18" s="297">
        <f t="shared" si="7"/>
        <v>0</v>
      </c>
      <c r="Z18" s="472">
        <f t="shared" si="8"/>
        <v>85</v>
      </c>
    </row>
    <row r="19" spans="1:26" ht="17.25" customHeight="1">
      <c r="B19" s="37" t="s">
        <v>16</v>
      </c>
      <c r="C19" s="366" t="str">
        <f>[8]Brewhouse!$A67</f>
        <v>SM058</v>
      </c>
      <c r="D19" s="279">
        <f>[8]Brewhouse!$AH67</f>
        <v>53.1</v>
      </c>
      <c r="E19" s="279">
        <f>[8]Brewhouse!$AM67</f>
        <v>52</v>
      </c>
      <c r="F19" s="278">
        <f>[8]Brewhouse!$Z67</f>
        <v>91</v>
      </c>
      <c r="G19" s="279">
        <f>[8]Brewhouse!$AK67</f>
        <v>16.899999999999999</v>
      </c>
      <c r="H19" s="396">
        <v>17</v>
      </c>
      <c r="I19" s="368">
        <f>[8]Brewhouse!$AY67</f>
        <v>96.965481413861383</v>
      </c>
      <c r="J19" s="368">
        <f>[8]Brewhouse!$AZ67</f>
        <v>97.352614459099868</v>
      </c>
      <c r="K19" s="281">
        <f>[8]Brewhouse!$U67</f>
        <v>14.463276836158204</v>
      </c>
      <c r="L19" s="276">
        <f>[8]Brewhouse!$T67</f>
        <v>61</v>
      </c>
      <c r="M19" s="374">
        <f>[8]Brewhouse!$Y67-[8]Brewhouse!$X67</f>
        <v>0.15416666666666667</v>
      </c>
      <c r="N19" s="370">
        <f>[8]Brewhouse!$AD67</f>
        <v>0.36111111111111116</v>
      </c>
      <c r="O19" s="371" t="str">
        <f>[8]Brewhouse!$BC67</f>
        <v>R. Regis</v>
      </c>
      <c r="P19" s="418" t="s">
        <v>177</v>
      </c>
      <c r="R19" s="277" t="str">
        <f t="shared" si="0"/>
        <v>STARMALT</v>
      </c>
      <c r="S19" s="472">
        <f t="shared" si="1"/>
        <v>17</v>
      </c>
      <c r="T19" s="472">
        <f t="shared" si="2"/>
        <v>17.399999999999999</v>
      </c>
      <c r="U19" s="297">
        <f t="shared" si="3"/>
        <v>0</v>
      </c>
      <c r="V19" s="297">
        <f t="shared" si="4"/>
        <v>0.13605324074074074</v>
      </c>
      <c r="W19" s="297">
        <f t="shared" si="5"/>
        <v>0.27430555555555552</v>
      </c>
      <c r="X19" s="297">
        <f t="shared" si="6"/>
        <v>0.30902777777777779</v>
      </c>
      <c r="Y19" s="297">
        <f t="shared" si="7"/>
        <v>0</v>
      </c>
      <c r="Z19" s="472">
        <f t="shared" si="8"/>
        <v>85</v>
      </c>
    </row>
    <row r="20" spans="1:26" ht="17.25" customHeight="1">
      <c r="B20" s="37" t="s">
        <v>16</v>
      </c>
      <c r="C20" s="366" t="str">
        <f>[8]Brewhouse!$A68</f>
        <v>SM059</v>
      </c>
      <c r="D20" s="279">
        <f>[8]Brewhouse!$AH68</f>
        <v>53.1</v>
      </c>
      <c r="E20" s="279">
        <f>[8]Brewhouse!$AM68</f>
        <v>51.4</v>
      </c>
      <c r="F20" s="278">
        <f>[8]Brewhouse!$Z68</f>
        <v>91</v>
      </c>
      <c r="G20" s="279">
        <f>[8]Brewhouse!$AK68</f>
        <v>17.399999999999999</v>
      </c>
      <c r="H20" s="396">
        <v>17.2</v>
      </c>
      <c r="I20" s="368">
        <f>[8]Brewhouse!$AY68</f>
        <v>98.929902201837479</v>
      </c>
      <c r="J20" s="368">
        <f>[8]Brewhouse!$AZ68</f>
        <v>99.324878163861314</v>
      </c>
      <c r="K20" s="281">
        <f>[8]Brewhouse!$U68</f>
        <v>14.086629001883248</v>
      </c>
      <c r="L20" s="276">
        <f>[8]Brewhouse!$T68</f>
        <v>60</v>
      </c>
      <c r="M20" s="374">
        <f>[8]Brewhouse!$Y68-[8]Brewhouse!$X68</f>
        <v>0.14652777777777781</v>
      </c>
      <c r="N20" s="370">
        <f>[8]Brewhouse!$AD68</f>
        <v>0.30902777777777779</v>
      </c>
      <c r="O20" s="371" t="str">
        <f>[8]Brewhouse!$BC68</f>
        <v>D. Gomaz</v>
      </c>
      <c r="P20" s="418"/>
      <c r="R20" s="277" t="str">
        <f t="shared" si="0"/>
        <v>STARMALT</v>
      </c>
      <c r="S20" s="472">
        <f t="shared" si="1"/>
        <v>17</v>
      </c>
      <c r="T20" s="472">
        <f t="shared" si="2"/>
        <v>17.399999999999999</v>
      </c>
      <c r="U20" s="297">
        <f t="shared" si="3"/>
        <v>0</v>
      </c>
      <c r="V20" s="297">
        <f t="shared" si="4"/>
        <v>0.13605324074074074</v>
      </c>
      <c r="W20" s="297">
        <f t="shared" si="5"/>
        <v>0.27430555555555552</v>
      </c>
      <c r="X20" s="297">
        <f t="shared" si="6"/>
        <v>0.30902777777777779</v>
      </c>
      <c r="Y20" s="297">
        <f t="shared" si="7"/>
        <v>0</v>
      </c>
      <c r="Z20" s="472">
        <f t="shared" si="8"/>
        <v>85</v>
      </c>
    </row>
    <row r="21" spans="1:26" ht="17.25" customHeight="1">
      <c r="B21" s="37" t="s">
        <v>16</v>
      </c>
      <c r="C21" s="366" t="str">
        <f>[8]Brewhouse!$A69</f>
        <v>SM060</v>
      </c>
      <c r="D21" s="279">
        <f>[8]Brewhouse!$AH69</f>
        <v>53.1</v>
      </c>
      <c r="E21" s="279">
        <f>[8]Brewhouse!$AM69</f>
        <v>51.3</v>
      </c>
      <c r="F21" s="278">
        <f>[8]Brewhouse!$Z69</f>
        <v>69</v>
      </c>
      <c r="G21" s="279">
        <f>[8]Brewhouse!$AK69</f>
        <v>17.399999999999999</v>
      </c>
      <c r="H21" s="396">
        <v>17.100000000000001</v>
      </c>
      <c r="I21" s="368">
        <f>[8]Brewhouse!$AY69</f>
        <v>98.81732361471613</v>
      </c>
      <c r="J21" s="368">
        <f>[8]Brewhouse!$AZ69</f>
        <v>99.211477564552879</v>
      </c>
      <c r="K21" s="281">
        <f>[8]Brewhouse!$U69</f>
        <v>15.028248587570628</v>
      </c>
      <c r="L21" s="276">
        <f>[8]Brewhouse!$T69</f>
        <v>60</v>
      </c>
      <c r="M21" s="374">
        <f>[8]Brewhouse!$Y69-[8]Brewhouse!$X69</f>
        <v>0.13333333333333341</v>
      </c>
      <c r="N21" s="370">
        <f>[8]Brewhouse!$AD69</f>
        <v>0.30000000000000004</v>
      </c>
      <c r="O21" s="371" t="str">
        <f>[8]Brewhouse!$BC69</f>
        <v>D. Gomaz</v>
      </c>
      <c r="P21" s="418"/>
      <c r="R21" s="277" t="str">
        <f t="shared" si="0"/>
        <v>STARMALT</v>
      </c>
      <c r="S21" s="472">
        <f t="shared" si="1"/>
        <v>17</v>
      </c>
      <c r="T21" s="472">
        <f t="shared" si="2"/>
        <v>17.399999999999999</v>
      </c>
      <c r="U21" s="297">
        <f t="shared" si="3"/>
        <v>0</v>
      </c>
      <c r="V21" s="297">
        <f t="shared" si="4"/>
        <v>0.13605324074074074</v>
      </c>
      <c r="W21" s="297">
        <f t="shared" si="5"/>
        <v>0.27430555555555552</v>
      </c>
      <c r="X21" s="297">
        <f t="shared" si="6"/>
        <v>0.30902777777777779</v>
      </c>
      <c r="Y21" s="297">
        <f t="shared" si="7"/>
        <v>0</v>
      </c>
      <c r="Z21" s="472">
        <f t="shared" si="8"/>
        <v>85</v>
      </c>
    </row>
    <row r="22" spans="1:26" ht="17.25" customHeight="1">
      <c r="B22" s="37" t="s">
        <v>16</v>
      </c>
      <c r="C22" s="366" t="str">
        <f>[8]Brewhouse!$A70</f>
        <v>SM061</v>
      </c>
      <c r="D22" s="279">
        <f>[8]Brewhouse!$AH70</f>
        <v>53</v>
      </c>
      <c r="E22" s="279">
        <f>[8]Brewhouse!$AM70</f>
        <v>51.17</v>
      </c>
      <c r="F22" s="278">
        <f>[8]Brewhouse!$Z70</f>
        <v>65</v>
      </c>
      <c r="G22" s="279">
        <f>[8]Brewhouse!$AK70</f>
        <v>16.600000000000001</v>
      </c>
      <c r="H22" s="396">
        <v>16.600000000000001</v>
      </c>
      <c r="I22" s="368">
        <f>[8]Brewhouse!$AY70</f>
        <v>93.747141074419659</v>
      </c>
      <c r="J22" s="368">
        <f>[8]Brewhouse!$AZ70</f>
        <v>94.121071520911556</v>
      </c>
      <c r="K22" s="281">
        <f>[8]Brewhouse!$U70</f>
        <v>15.245283018867934</v>
      </c>
      <c r="L22" s="276">
        <f>[8]Brewhouse!$T70</f>
        <v>60</v>
      </c>
      <c r="M22" s="374">
        <f>[8]Brewhouse!$Y70-[8]Brewhouse!$X70</f>
        <v>0.14027777777777783</v>
      </c>
      <c r="N22" s="370">
        <f>[8]Brewhouse!$AD70</f>
        <v>0.30486111111111114</v>
      </c>
      <c r="O22" s="371" t="str">
        <f>[8]Brewhouse!$BC70</f>
        <v>D. Gomaz</v>
      </c>
      <c r="P22" s="418" t="s">
        <v>179</v>
      </c>
      <c r="R22" s="277" t="str">
        <f t="shared" si="0"/>
        <v>STARMALT</v>
      </c>
      <c r="S22" s="472">
        <f t="shared" si="1"/>
        <v>17</v>
      </c>
      <c r="T22" s="472">
        <f t="shared" si="2"/>
        <v>17.399999999999999</v>
      </c>
      <c r="U22" s="297">
        <f t="shared" si="3"/>
        <v>0</v>
      </c>
      <c r="V22" s="297">
        <f t="shared" si="4"/>
        <v>0.13605324074074074</v>
      </c>
      <c r="W22" s="297">
        <f t="shared" si="5"/>
        <v>0.27430555555555552</v>
      </c>
      <c r="X22" s="297">
        <f t="shared" si="6"/>
        <v>0.30902777777777779</v>
      </c>
      <c r="Y22" s="297">
        <f t="shared" si="7"/>
        <v>0</v>
      </c>
      <c r="Z22" s="472">
        <f t="shared" si="8"/>
        <v>85</v>
      </c>
    </row>
    <row r="23" spans="1:26" ht="17.25" customHeight="1">
      <c r="B23" s="37" t="s">
        <v>16</v>
      </c>
      <c r="C23" s="366" t="str">
        <f>[8]Brewhouse!$A71</f>
        <v>SM062</v>
      </c>
      <c r="D23" s="279">
        <f>[8]Brewhouse!$AH71</f>
        <v>53</v>
      </c>
      <c r="E23" s="279">
        <f>[8]Brewhouse!$AM71</f>
        <v>51.7</v>
      </c>
      <c r="F23" s="278">
        <f>[8]Brewhouse!$Z71</f>
        <v>67</v>
      </c>
      <c r="G23" s="279">
        <f>[8]Brewhouse!$AK71</f>
        <v>17.5</v>
      </c>
      <c r="H23" s="396">
        <v>17.5</v>
      </c>
      <c r="I23" s="368">
        <f>[8]Brewhouse!$AY71</f>
        <v>100.25759492531388</v>
      </c>
      <c r="J23" s="368">
        <f>[8]Brewhouse!$AZ71</f>
        <v>100.65711512088642</v>
      </c>
      <c r="K23" s="281">
        <f>[8]Brewhouse!$U71</f>
        <v>14.490566037735849</v>
      </c>
      <c r="L23" s="276">
        <f>[8]Brewhouse!$T71</f>
        <v>61</v>
      </c>
      <c r="M23" s="374">
        <f>[8]Brewhouse!$Y71-[8]Brewhouse!$X71</f>
        <v>0.19305555555555554</v>
      </c>
      <c r="N23" s="370">
        <f>[8]Brewhouse!$AD71</f>
        <v>0.36458333333333326</v>
      </c>
      <c r="O23" s="371" t="str">
        <f>[8]Brewhouse!$BC71</f>
        <v>K. Benjamin</v>
      </c>
      <c r="P23" s="418" t="s">
        <v>178</v>
      </c>
      <c r="R23" s="277" t="str">
        <f t="shared" si="0"/>
        <v>STARMALT</v>
      </c>
      <c r="S23" s="472">
        <f t="shared" si="1"/>
        <v>17</v>
      </c>
      <c r="T23" s="472">
        <f t="shared" si="2"/>
        <v>17.399999999999999</v>
      </c>
      <c r="U23" s="297">
        <f t="shared" si="3"/>
        <v>0</v>
      </c>
      <c r="V23" s="297">
        <f t="shared" si="4"/>
        <v>0.13605324074074074</v>
      </c>
      <c r="W23" s="297">
        <f t="shared" si="5"/>
        <v>0.27430555555555552</v>
      </c>
      <c r="X23" s="297">
        <f t="shared" si="6"/>
        <v>0.30902777777777779</v>
      </c>
      <c r="Y23" s="297">
        <f t="shared" si="7"/>
        <v>0</v>
      </c>
      <c r="Z23" s="472">
        <f t="shared" si="8"/>
        <v>85</v>
      </c>
    </row>
    <row r="24" spans="1:26" ht="17.25" customHeight="1">
      <c r="B24" s="37" t="s">
        <v>16</v>
      </c>
      <c r="C24" s="366" t="str">
        <f>[8]Brewhouse!$A72</f>
        <v>SM063</v>
      </c>
      <c r="D24" s="279">
        <f>[8]Brewhouse!$AH72</f>
        <v>53.1</v>
      </c>
      <c r="E24" s="279">
        <f>[8]Brewhouse!$AM72</f>
        <v>52.8</v>
      </c>
      <c r="F24" s="278">
        <f>[8]Brewhouse!$Z72</f>
        <v>70</v>
      </c>
      <c r="G24" s="279">
        <f>[8]Brewhouse!$AK72</f>
        <v>17.100000000000001</v>
      </c>
      <c r="H24" s="396">
        <v>17.2</v>
      </c>
      <c r="I24" s="368">
        <f>[8]Brewhouse!$AY72</f>
        <v>99.848562971423902</v>
      </c>
      <c r="J24" s="368">
        <f>[8]Brewhouse!$AZ72</f>
        <v>100.24683023915679</v>
      </c>
      <c r="K24" s="281">
        <f>[8]Brewhouse!$U72</f>
        <v>12.39171374764596</v>
      </c>
      <c r="L24" s="276">
        <f>[8]Brewhouse!$T72</f>
        <v>61</v>
      </c>
      <c r="M24" s="374">
        <f>[8]Brewhouse!$Y72-[8]Brewhouse!$X72</f>
        <v>0.14097222222222228</v>
      </c>
      <c r="N24" s="370">
        <f>[8]Brewhouse!$AD72</f>
        <v>0.33750000000000002</v>
      </c>
      <c r="O24" s="371" t="str">
        <f>[8]Brewhouse!$BC72</f>
        <v>K. Benjamin</v>
      </c>
      <c r="P24" s="418" t="s">
        <v>180</v>
      </c>
      <c r="R24" s="277" t="str">
        <f t="shared" si="0"/>
        <v>STARMALT</v>
      </c>
      <c r="S24" s="472">
        <f t="shared" si="1"/>
        <v>17</v>
      </c>
      <c r="T24" s="472">
        <f t="shared" si="2"/>
        <v>17.399999999999999</v>
      </c>
      <c r="U24" s="297">
        <f t="shared" si="3"/>
        <v>0</v>
      </c>
      <c r="V24" s="297">
        <f t="shared" si="4"/>
        <v>0.13605324074074074</v>
      </c>
      <c r="W24" s="297">
        <f t="shared" si="5"/>
        <v>0.27430555555555552</v>
      </c>
      <c r="X24" s="297">
        <f t="shared" si="6"/>
        <v>0.30902777777777779</v>
      </c>
      <c r="Y24" s="297">
        <f t="shared" si="7"/>
        <v>0</v>
      </c>
      <c r="Z24" s="472">
        <f t="shared" si="8"/>
        <v>85</v>
      </c>
    </row>
    <row r="25" spans="1:26" ht="17.25" customHeight="1">
      <c r="B25" s="37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0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0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7.25" customHeight="1">
      <c r="B28" s="29"/>
      <c r="C28" s="366"/>
      <c r="D28" s="279"/>
      <c r="E28" s="279"/>
      <c r="F28" s="278"/>
      <c r="G28" s="279"/>
      <c r="H28" s="481"/>
      <c r="I28" s="368"/>
      <c r="J28" s="368"/>
      <c r="K28" s="281"/>
      <c r="L28" s="276"/>
      <c r="M28" s="374"/>
      <c r="N28" s="370"/>
      <c r="O28" s="371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7.25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8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7.25" customHeight="1" thickBot="1">
      <c r="B30" s="358"/>
      <c r="C30" s="358"/>
      <c r="D30" s="358"/>
      <c r="E30" s="358"/>
      <c r="F30" s="294"/>
      <c r="G30" s="294"/>
      <c r="H30" s="348"/>
      <c r="I30" s="544"/>
      <c r="J30" s="544"/>
      <c r="K30" s="544"/>
      <c r="L30" s="544"/>
      <c r="M30" s="544"/>
      <c r="N30" s="544"/>
      <c r="O30" s="1"/>
      <c r="P30" s="12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7.25" customHeight="1" thickBot="1">
      <c r="B31" s="388" t="s">
        <v>162</v>
      </c>
      <c r="C31" s="388"/>
      <c r="D31" s="545" t="s">
        <v>35</v>
      </c>
      <c r="E31" s="546"/>
      <c r="F31" s="294"/>
      <c r="G31" s="294"/>
      <c r="H31" s="348"/>
      <c r="I31" s="24" t="s">
        <v>17</v>
      </c>
      <c r="J31" s="25"/>
      <c r="K31" s="26" t="s">
        <v>138</v>
      </c>
      <c r="L31" s="25" t="s">
        <v>37</v>
      </c>
      <c r="M31" s="25" t="s">
        <v>38</v>
      </c>
      <c r="N31" s="27" t="s">
        <v>39</v>
      </c>
      <c r="O31" s="294"/>
      <c r="P31" s="12"/>
      <c r="R31" s="277" t="str">
        <f t="shared" si="0"/>
        <v xml:space="preserve">BRAND 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7.25" customHeight="1">
      <c r="A32" s="28"/>
      <c r="B32" s="530"/>
      <c r="C32" s="362"/>
      <c r="D32" s="548"/>
      <c r="E32" s="549"/>
      <c r="F32" s="294"/>
      <c r="G32" s="294"/>
      <c r="H32" s="348"/>
      <c r="I32" s="29" t="s">
        <v>6</v>
      </c>
      <c r="J32" s="323"/>
      <c r="K32" s="284">
        <f>COUNTA([3]Brewhouse!$A$441:$A$456)</f>
        <v>16</v>
      </c>
      <c r="L32" s="305">
        <f>AVERAGE([3]Brewhouse!$AU$441:$AU$456)</f>
        <v>98.338207134099193</v>
      </c>
      <c r="M32" s="305">
        <f>AVERAGE([3]Brewhouse!$AU$42:$AU$123,[3]Brewhouse!$AU$125:$AU$188,[3]Brewhouse!$AU$198:$AU$290,[3]Brewhouse!$AU$292:$AU$370,[3]Brewhouse!$AU$372:$AU$439,[3]Brewhouse!$AU$441:$AU$456)</f>
        <v>97.989129835114738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5" customHeight="1">
      <c r="A33" s="28"/>
      <c r="B33" s="531"/>
      <c r="C33" s="362"/>
      <c r="D33" s="550"/>
      <c r="E33" s="536"/>
      <c r="F33" s="294"/>
      <c r="G33" s="294"/>
      <c r="H33" s="348"/>
      <c r="I33" s="33" t="s">
        <v>9</v>
      </c>
      <c r="J33" s="323"/>
      <c r="K33" s="284">
        <f>COUNTA([4]Brewhouse!$A$252:$A$261)</f>
        <v>10</v>
      </c>
      <c r="L33" s="302">
        <f>AVERAGE([4]Brewhouse!$AS$252:$AS$261)</f>
        <v>98.651084145662495</v>
      </c>
      <c r="M33" s="302">
        <f>AVERAGE([4]Brewhouse!$AS$52:$AS$81,[4]Brewhouse!$AS$83:$AS$124,[4]Brewhouse!$AS$134:$AS$177,[4]Brewhouse!$AS$22:$AS$179,[4]Brewhouse!$AS$214:$AS$249,[4]Brewhouse!$AS$252:$AS$261)</f>
        <v>97.998040136729827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65" customHeight="1">
      <c r="A34" s="28"/>
      <c r="B34" s="531"/>
      <c r="C34" s="362"/>
      <c r="D34" s="540"/>
      <c r="E34" s="541"/>
      <c r="F34" s="294"/>
      <c r="G34" s="294"/>
      <c r="H34" s="348"/>
      <c r="I34" s="34" t="s">
        <v>12</v>
      </c>
      <c r="J34" s="280"/>
      <c r="K34" s="284">
        <f>COUNTA([5]Brewhouse!$A$62:$A$69)</f>
        <v>8</v>
      </c>
      <c r="L34" s="302">
        <f>AVERAGE([5]Brewhouse!$AU$62:$AU$69)</f>
        <v>95.865325586732524</v>
      </c>
      <c r="M34" s="302">
        <f>AVERAGE([5]Brewhouse!$AU$16:$AU$23,[5]Brewhouse!$AU$25:$AU$32,[5]Brewhouse!$AU$34:$AU$41,[5]Brewhouse!$AU$43:$AU$60,[5]Brewhouse!$AU$62:$AU$69)</f>
        <v>96.726835550404019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31"/>
      <c r="C35" s="362"/>
      <c r="D35" s="535"/>
      <c r="E35" s="536"/>
      <c r="F35" s="294"/>
      <c r="G35" s="294"/>
      <c r="H35" s="348"/>
      <c r="I35" s="22" t="s">
        <v>33</v>
      </c>
      <c r="J35" s="280"/>
      <c r="K35" s="284"/>
      <c r="L35" s="302"/>
      <c r="M35" s="302">
        <f>AVERAGE([6]Brewhouse!$AV$23:$AV$34,[6]Brewhouse!$AV$36,[6]Brewhouse!$AV$38:$AV$52,[6]Brewhouse!$AV$54:$AV$60,[6]Brewhouse!$AV$62:$AV$68)</f>
        <v>97.579195177204838</v>
      </c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31"/>
      <c r="C36" s="362"/>
      <c r="D36" s="540"/>
      <c r="E36" s="541"/>
      <c r="F36" s="417"/>
      <c r="G36" s="294"/>
      <c r="H36" s="348"/>
      <c r="I36" s="35" t="s">
        <v>29</v>
      </c>
      <c r="J36" s="280"/>
      <c r="K36" s="284"/>
      <c r="L36" s="302"/>
      <c r="M36" s="302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31"/>
      <c r="C37" s="362"/>
      <c r="D37" s="535"/>
      <c r="E37" s="536"/>
      <c r="F37" s="417"/>
      <c r="G37" s="294"/>
      <c r="H37" s="348"/>
      <c r="I37" s="36" t="s">
        <v>15</v>
      </c>
      <c r="J37" s="323"/>
      <c r="K37" s="284"/>
      <c r="L37" s="302"/>
      <c r="M37" s="302">
        <f>AVERAGE([7]Brewhouse!$AT$4:$AT$11,[7]Brewhouse!$AT$13:$AT$16)</f>
        <v>91.538375374138752</v>
      </c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31"/>
      <c r="C38" s="362"/>
      <c r="D38" s="540"/>
      <c r="E38" s="541"/>
      <c r="F38" s="417"/>
      <c r="G38" s="294"/>
      <c r="H38" s="348"/>
      <c r="I38" s="37" t="s">
        <v>16</v>
      </c>
      <c r="J38" s="323">
        <f>AVERAGE(I18:I24)</f>
        <v>97.80258322606376</v>
      </c>
      <c r="K38" s="284">
        <f>COUNTA([8]Brewhouse!$A$66:$A$72)</f>
        <v>7</v>
      </c>
      <c r="L38" s="302">
        <f>AVERAGE([8]Brewhouse!$AY$66:$AY$72)</f>
        <v>97.80258322606376</v>
      </c>
      <c r="M38" s="302">
        <f>AVERAGE([8]Brewhouse!$AY$5:$AY$14,[8]Brewhouse!$AY$16:$AY$23,[8]Brewhouse!$AY$42,[8]Brewhouse!$AY$44:$AY$51,[8]Brewhouse!$AY$53:$AY$64,[8]Brewhouse!$AY$66:$AY$72)</f>
        <v>97.426798606696835</v>
      </c>
      <c r="N38" s="30">
        <v>98</v>
      </c>
      <c r="O38" s="11"/>
      <c r="P38" s="31" t="s">
        <v>41</v>
      </c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31"/>
      <c r="C39" s="362"/>
      <c r="D39" s="535"/>
      <c r="E39" s="536"/>
      <c r="F39" s="294"/>
      <c r="G39" s="294"/>
      <c r="H39" s="348"/>
      <c r="I39" s="411" t="s">
        <v>158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</row>
    <row r="40" spans="1:27" ht="14.65" customHeight="1">
      <c r="A40" s="28"/>
      <c r="B40" s="531"/>
      <c r="C40" s="349"/>
      <c r="D40" s="540"/>
      <c r="E40" s="541"/>
      <c r="F40" s="294"/>
      <c r="G40" s="294"/>
      <c r="H40" s="348"/>
      <c r="I40" s="410" t="s">
        <v>157</v>
      </c>
      <c r="J40" s="326"/>
      <c r="K40" s="284"/>
      <c r="L40" s="305"/>
      <c r="M40" s="305"/>
      <c r="N40" s="30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531"/>
      <c r="C41" s="349"/>
      <c r="D41" s="535"/>
      <c r="E41" s="536"/>
      <c r="F41" s="294"/>
      <c r="G41" s="294"/>
      <c r="H41" s="348"/>
      <c r="I41" s="406" t="s">
        <v>156</v>
      </c>
      <c r="J41" s="327"/>
      <c r="K41" s="407"/>
      <c r="L41" s="408"/>
      <c r="M41" s="408"/>
      <c r="N41" s="409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" customHeight="1" thickBot="1">
      <c r="A42" s="28"/>
      <c r="B42" s="531"/>
      <c r="C42" s="349"/>
      <c r="D42" s="548"/>
      <c r="E42" s="549"/>
      <c r="F42" s="294"/>
      <c r="G42" s="294"/>
      <c r="H42" s="348"/>
      <c r="I42" s="1"/>
      <c r="J42" s="39"/>
      <c r="K42" s="404">
        <f>SUM(K32:K41)</f>
        <v>41</v>
      </c>
      <c r="L42" s="405">
        <f>((L32*K32)+(L33*K33)+(L34*K34)+(L35*K35)+(L36*K36)+(K39*L39)+(L37*K37)+(L38*K38)+(L41*K41))/(K42)</f>
        <v>97.840557143378504</v>
      </c>
      <c r="M42" s="405">
        <f>AVERAGE('[9]Jan30th-31st'!$L$42,L42)</f>
        <v>97.834299439609993</v>
      </c>
      <c r="N42" s="40">
        <v>98</v>
      </c>
      <c r="O42" s="11"/>
      <c r="P42" s="31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.75" thickBot="1">
      <c r="B43" s="547"/>
      <c r="C43" s="350"/>
      <c r="D43" s="550"/>
      <c r="E43" s="536"/>
      <c r="F43" s="294"/>
      <c r="G43" s="42"/>
      <c r="H43" s="41"/>
      <c r="I43" s="42"/>
      <c r="J43" s="42"/>
      <c r="K43" s="351"/>
      <c r="L43" s="348"/>
      <c r="M43" s="348"/>
      <c r="N43" s="11"/>
      <c r="O43" s="294"/>
      <c r="P43" s="12"/>
      <c r="R43" s="277">
        <f t="shared" si="0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  <c r="AA43" s="472"/>
    </row>
    <row r="44" spans="1:27" ht="15.75" thickBot="1">
      <c r="B44" s="530"/>
      <c r="C44" s="362"/>
      <c r="D44" s="533"/>
      <c r="E44" s="534"/>
      <c r="F44" s="294"/>
      <c r="G44" s="42"/>
      <c r="H44" s="41"/>
      <c r="I44" s="42"/>
      <c r="J44" s="537" t="s">
        <v>129</v>
      </c>
      <c r="K44" s="537"/>
      <c r="L44" s="294"/>
      <c r="M44" s="294"/>
      <c r="N44" s="294"/>
      <c r="O44" s="294"/>
      <c r="P44" s="12"/>
    </row>
    <row r="45" spans="1:27" ht="15.75" thickBot="1">
      <c r="B45" s="531"/>
      <c r="C45" s="362"/>
      <c r="D45" s="535"/>
      <c r="E45" s="536"/>
      <c r="F45" s="294"/>
      <c r="G45" s="42"/>
      <c r="H45" s="42"/>
      <c r="I45" s="42"/>
      <c r="J45" s="292" t="s">
        <v>17</v>
      </c>
      <c r="K45" s="293" t="s">
        <v>170</v>
      </c>
      <c r="L45" s="538" t="s">
        <v>136</v>
      </c>
      <c r="M45" s="538"/>
      <c r="N45" s="539"/>
      <c r="O45" s="294"/>
      <c r="P45" s="12"/>
    </row>
    <row r="46" spans="1:27" ht="15" customHeight="1" thickBot="1">
      <c r="B46" s="531"/>
      <c r="C46" s="349"/>
      <c r="D46" s="540"/>
      <c r="E46" s="541"/>
      <c r="F46" s="294"/>
      <c r="G46" s="42"/>
      <c r="H46" s="42"/>
      <c r="I46" s="42"/>
      <c r="J46" s="287" t="s">
        <v>6</v>
      </c>
      <c r="K46" s="324"/>
      <c r="L46" s="473" t="s">
        <v>37</v>
      </c>
      <c r="M46" s="474" t="s">
        <v>38</v>
      </c>
      <c r="N46" s="474" t="s">
        <v>84</v>
      </c>
      <c r="O46" s="294"/>
      <c r="P46" s="12"/>
    </row>
    <row r="47" spans="1:27" ht="15.75" customHeight="1" thickBot="1">
      <c r="B47" s="531"/>
      <c r="C47" s="349"/>
      <c r="D47" s="535"/>
      <c r="E47" s="536"/>
      <c r="F47" s="294"/>
      <c r="G47" s="42"/>
      <c r="H47" s="42"/>
      <c r="I47" s="42"/>
      <c r="J47" s="345" t="s">
        <v>9</v>
      </c>
      <c r="K47" s="324"/>
      <c r="L47" s="344">
        <f>AVERAGE('June 2nd'!K44,'June 3rd'!K52,'June 4th'!K47,'June 5th'!K46,'June 8th'!K48,'June 9th'!K56,K56)</f>
        <v>5.8571428571428568</v>
      </c>
      <c r="M47" s="325">
        <f>AVERAGE('[9]Jan30th-31st'!$L$47,L47,'[10]Feb 26th '!$L$39,'[11]Mar 31st'!$L$47,'[12]Apr 30th'!$L$46,'[13]May 29th '!$L$40)</f>
        <v>6.2475014116318475</v>
      </c>
      <c r="N47" s="416">
        <v>9.1999999999999993</v>
      </c>
      <c r="O47" s="294"/>
      <c r="P47" s="12"/>
    </row>
    <row r="48" spans="1:27" ht="15" customHeight="1">
      <c r="B48" s="531"/>
      <c r="C48" s="349"/>
      <c r="D48" s="540"/>
      <c r="E48" s="541"/>
      <c r="F48" s="294"/>
      <c r="G48" s="42"/>
      <c r="H48" s="42"/>
      <c r="I48" s="42"/>
      <c r="J48" s="288" t="s">
        <v>40</v>
      </c>
      <c r="K48" s="324"/>
      <c r="L48" s="294"/>
      <c r="M48" s="294"/>
      <c r="N48" s="294"/>
      <c r="O48" s="294"/>
      <c r="P48" s="12"/>
    </row>
    <row r="49" spans="2:57" ht="15" customHeight="1">
      <c r="B49" s="531"/>
      <c r="C49" s="349"/>
      <c r="D49" s="535"/>
      <c r="E49" s="536"/>
      <c r="F49" s="294"/>
      <c r="G49" s="42"/>
      <c r="H49" s="42"/>
      <c r="I49" s="42"/>
      <c r="J49" s="289" t="s">
        <v>33</v>
      </c>
      <c r="K49" s="324"/>
      <c r="L49" s="294"/>
      <c r="M49" s="294"/>
      <c r="N49" s="294"/>
      <c r="O49" s="294"/>
      <c r="P49" s="12"/>
    </row>
    <row r="50" spans="2:57" ht="15">
      <c r="B50" s="531"/>
      <c r="C50" s="349"/>
      <c r="D50" s="540"/>
      <c r="E50" s="541"/>
      <c r="F50" s="294"/>
      <c r="G50" s="42"/>
      <c r="H50" s="42"/>
      <c r="I50" s="42"/>
      <c r="J50" s="290" t="s">
        <v>16</v>
      </c>
      <c r="K50" s="324">
        <v>7</v>
      </c>
      <c r="L50" s="294"/>
      <c r="M50" s="294"/>
      <c r="N50" s="294"/>
      <c r="O50" s="294"/>
      <c r="P50" s="12"/>
      <c r="BC50" s="44"/>
      <c r="BD50" s="44"/>
    </row>
    <row r="51" spans="2:57" ht="15">
      <c r="B51" s="531"/>
      <c r="C51" s="349"/>
      <c r="D51" s="535"/>
      <c r="E51" s="536"/>
      <c r="F51" s="294"/>
      <c r="G51" s="42"/>
      <c r="H51" s="42"/>
      <c r="I51" s="42"/>
      <c r="J51" s="291" t="s">
        <v>15</v>
      </c>
      <c r="K51" s="324"/>
      <c r="L51" s="294"/>
      <c r="M51" s="294"/>
      <c r="N51" s="294"/>
      <c r="O51" s="294"/>
      <c r="P51" s="12"/>
      <c r="BC51" s="44"/>
      <c r="BD51" s="44"/>
    </row>
    <row r="52" spans="2:57" ht="15">
      <c r="B52" s="531"/>
      <c r="C52" s="349"/>
      <c r="D52" s="540"/>
      <c r="E52" s="541"/>
      <c r="F52" s="294"/>
      <c r="G52" s="42"/>
      <c r="H52" s="42"/>
      <c r="I52" s="42"/>
      <c r="J52" s="291" t="s">
        <v>149</v>
      </c>
      <c r="K52" s="324"/>
      <c r="L52" s="294"/>
      <c r="M52" s="294"/>
      <c r="N52" s="294"/>
      <c r="O52" s="294"/>
      <c r="P52" s="12"/>
      <c r="BC52" s="44"/>
      <c r="BD52" s="44"/>
    </row>
    <row r="53" spans="2:57" ht="15.75" thickBot="1">
      <c r="B53" s="532"/>
      <c r="C53" s="350"/>
      <c r="D53" s="542"/>
      <c r="E53" s="543"/>
      <c r="F53" s="294" t="s">
        <v>166</v>
      </c>
      <c r="G53" s="42"/>
      <c r="H53" s="42"/>
      <c r="I53" s="42"/>
      <c r="J53" s="291" t="s">
        <v>148</v>
      </c>
      <c r="K53" s="324"/>
      <c r="L53" s="294"/>
      <c r="M53" s="294"/>
      <c r="N53" s="294" t="s">
        <v>41</v>
      </c>
      <c r="O53" s="294"/>
      <c r="P53" s="12"/>
      <c r="BC53" s="44"/>
      <c r="BD53" s="44"/>
    </row>
    <row r="54" spans="2:57" ht="17.649999999999999" customHeight="1" thickBot="1">
      <c r="B54" s="312" t="s">
        <v>139</v>
      </c>
      <c r="C54" s="313"/>
      <c r="D54" s="523"/>
      <c r="E54" s="524"/>
      <c r="F54" s="294"/>
      <c r="J54" s="295" t="s">
        <v>134</v>
      </c>
      <c r="K54" s="324"/>
      <c r="L54" s="294"/>
      <c r="M54" s="294"/>
      <c r="N54" s="294"/>
      <c r="O54" s="294"/>
      <c r="P54" s="12"/>
      <c r="BC54" s="44"/>
      <c r="BD54" s="44"/>
    </row>
    <row r="55" spans="2:57" ht="17.649999999999999" customHeight="1">
      <c r="B55" s="363"/>
      <c r="C55" s="364"/>
      <c r="D55" s="365"/>
      <c r="E55" s="365"/>
      <c r="F55" s="294"/>
      <c r="G55" s="42"/>
      <c r="H55" s="42"/>
      <c r="I55" s="42"/>
      <c r="J55" s="295" t="s">
        <v>131</v>
      </c>
      <c r="K55" s="324"/>
      <c r="L55" s="294"/>
      <c r="M55" s="294"/>
      <c r="N55" s="294"/>
      <c r="O55" s="294"/>
      <c r="P55" s="12"/>
      <c r="BC55" s="44"/>
      <c r="BD55" s="44"/>
    </row>
    <row r="56" spans="2:57" ht="15.6" customHeight="1">
      <c r="B56" s="45"/>
      <c r="C56" s="11"/>
      <c r="D56" s="11"/>
      <c r="E56" s="46"/>
      <c r="F56" s="294"/>
      <c r="G56" s="42"/>
      <c r="H56" s="42"/>
      <c r="I56" s="42"/>
      <c r="J56" s="346" t="s">
        <v>130</v>
      </c>
      <c r="K56" s="324">
        <f>SUM(K46:K55)</f>
        <v>7</v>
      </c>
      <c r="L56" s="294"/>
      <c r="M56" s="294"/>
      <c r="N56" s="294"/>
      <c r="O56" s="294"/>
      <c r="P56" s="12"/>
    </row>
    <row r="57" spans="2:57" ht="20.25" customHeight="1">
      <c r="B57" s="15" t="s">
        <v>42</v>
      </c>
      <c r="C57" s="1" t="s">
        <v>43</v>
      </c>
      <c r="D57" s="1"/>
      <c r="E57" s="1"/>
      <c r="F57" s="294"/>
      <c r="G57" s="42"/>
      <c r="H57" s="41"/>
      <c r="I57" s="42"/>
      <c r="L57" s="294"/>
      <c r="N57" s="315"/>
      <c r="P57" s="334"/>
    </row>
    <row r="58" spans="2:57" ht="15" customHeight="1" thickBot="1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1"/>
      <c r="O58" s="48"/>
      <c r="P58" s="49"/>
    </row>
    <row r="59" spans="2:57" ht="15" customHeight="1" thickBot="1">
      <c r="B59" s="515" t="s">
        <v>17</v>
      </c>
      <c r="C59" s="515" t="s">
        <v>44</v>
      </c>
      <c r="D59" s="526" t="s">
        <v>45</v>
      </c>
      <c r="E59" s="528" t="s">
        <v>46</v>
      </c>
      <c r="F59" s="521" t="s">
        <v>47</v>
      </c>
      <c r="G59" s="513" t="s">
        <v>48</v>
      </c>
      <c r="H59" s="515" t="s">
        <v>49</v>
      </c>
      <c r="I59" s="515" t="s">
        <v>50</v>
      </c>
      <c r="J59" s="507" t="s">
        <v>28</v>
      </c>
      <c r="K59" s="517" t="s">
        <v>51</v>
      </c>
      <c r="L59" s="519" t="s">
        <v>52</v>
      </c>
      <c r="M59" s="507" t="s">
        <v>53</v>
      </c>
      <c r="N59" s="13"/>
      <c r="O59" s="13"/>
      <c r="P59" s="50"/>
    </row>
    <row r="60" spans="2:57" ht="28.5" customHeight="1" thickTop="1" thickBot="1">
      <c r="B60" s="516"/>
      <c r="C60" s="525"/>
      <c r="D60" s="527"/>
      <c r="E60" s="529"/>
      <c r="F60" s="522"/>
      <c r="G60" s="514"/>
      <c r="H60" s="516"/>
      <c r="I60" s="516"/>
      <c r="J60" s="508"/>
      <c r="K60" s="518"/>
      <c r="L60" s="520"/>
      <c r="M60" s="508"/>
      <c r="N60" s="13"/>
      <c r="O60" s="13"/>
      <c r="P60" s="50"/>
      <c r="Q60" s="355"/>
      <c r="AB60" s="475">
        <v>43474</v>
      </c>
      <c r="AC60" s="475">
        <v>43475</v>
      </c>
      <c r="AD60" s="475">
        <v>43476</v>
      </c>
      <c r="AE60" s="475">
        <v>43477</v>
      </c>
      <c r="AF60" s="475">
        <v>43478</v>
      </c>
      <c r="AG60" s="475">
        <v>43479</v>
      </c>
      <c r="AH60" s="475">
        <v>43480</v>
      </c>
      <c r="AI60" s="475">
        <v>43481</v>
      </c>
      <c r="AJ60" s="475">
        <v>43482</v>
      </c>
      <c r="AK60" s="475">
        <v>43483</v>
      </c>
      <c r="AL60" s="475">
        <v>43484</v>
      </c>
      <c r="AM60" s="475">
        <v>43485</v>
      </c>
      <c r="AN60" s="475">
        <v>43486</v>
      </c>
      <c r="AO60" s="475">
        <v>43487</v>
      </c>
      <c r="AP60" s="475">
        <v>43488</v>
      </c>
      <c r="AQ60" s="475">
        <v>43489</v>
      </c>
      <c r="AR60" s="475">
        <v>43490</v>
      </c>
      <c r="AS60" s="475">
        <v>43491</v>
      </c>
      <c r="AT60" s="475">
        <v>43492</v>
      </c>
      <c r="AU60" s="475">
        <v>43493</v>
      </c>
      <c r="AV60" s="475">
        <v>43494</v>
      </c>
      <c r="AW60" s="475">
        <v>43495</v>
      </c>
      <c r="AX60" s="475">
        <v>43496</v>
      </c>
    </row>
    <row r="61" spans="2:57" s="54" customFormat="1" ht="36.75" customHeight="1" thickBot="1">
      <c r="B61" s="503"/>
      <c r="C61" s="479"/>
      <c r="D61" s="445"/>
      <c r="E61" s="443"/>
      <c r="F61" s="444"/>
      <c r="G61" s="445"/>
      <c r="H61" s="458"/>
      <c r="I61" s="458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[16]January_2019!L5</f>
        <v>0</v>
      </c>
      <c r="AC61" s="57">
        <f>[16]January_2019!M5</f>
        <v>0</v>
      </c>
      <c r="AD61" s="57">
        <f>[16]January_2019!N5</f>
        <v>0</v>
      </c>
      <c r="AE61" s="57">
        <f>[16]January_2019!O5</f>
        <v>0</v>
      </c>
      <c r="AF61" s="57">
        <f>[16]January_2019!P5</f>
        <v>0</v>
      </c>
      <c r="AG61" s="57">
        <f>[16]January_2019!Q5</f>
        <v>0</v>
      </c>
      <c r="AH61" s="57">
        <f>[16]January_2019!R5</f>
        <v>0</v>
      </c>
      <c r="AI61" s="57">
        <f>[16]January_2019!S5</f>
        <v>0</v>
      </c>
      <c r="AJ61" s="57">
        <f>[16]January_2019!T5</f>
        <v>0</v>
      </c>
      <c r="AK61" s="57">
        <f>[16]January_2019!U5</f>
        <v>0</v>
      </c>
      <c r="AL61" s="57">
        <f>[16]January_2019!V5</f>
        <v>0</v>
      </c>
      <c r="AM61" s="57">
        <f>[16]January_2019!W5</f>
        <v>0</v>
      </c>
      <c r="AN61" s="57">
        <f>[16]January_2019!X5</f>
        <v>0</v>
      </c>
      <c r="AO61" s="57">
        <f>[16]January_2019!Y5</f>
        <v>0</v>
      </c>
      <c r="AP61" s="57">
        <f>[16]January_2019!Z5</f>
        <v>0</v>
      </c>
      <c r="AQ61" s="57">
        <f>[16]January_2019!AA5</f>
        <v>0</v>
      </c>
      <c r="AR61" s="57">
        <f>[16]January_2019!AB5</f>
        <v>0</v>
      </c>
      <c r="AS61" s="57">
        <f>[16]January_2019!AC5</f>
        <v>0</v>
      </c>
      <c r="AT61" s="57">
        <f>[16]January_2019!AD5</f>
        <v>0</v>
      </c>
      <c r="AU61" s="57">
        <f>[16]January_2019!AE5</f>
        <v>0</v>
      </c>
      <c r="AV61" s="57">
        <f>[16]January_2019!AF5</f>
        <v>0</v>
      </c>
      <c r="AW61" s="57">
        <f>[16]January_2019!AG5</f>
        <v>0</v>
      </c>
      <c r="AX61" s="277">
        <f>[16]January_2019!AH5</f>
        <v>0</v>
      </c>
      <c r="AY61" s="277"/>
      <c r="AZ61" s="277"/>
      <c r="BA61" s="277"/>
      <c r="BB61" s="277"/>
      <c r="BC61" s="277"/>
      <c r="BD61" s="277"/>
      <c r="BE61" s="277"/>
    </row>
    <row r="62" spans="2:57" s="54" customFormat="1" ht="14.25" customHeight="1" thickBot="1">
      <c r="B62" s="480"/>
      <c r="C62" s="479"/>
      <c r="D62" s="442"/>
      <c r="E62" s="443"/>
      <c r="F62" s="444"/>
      <c r="G62" s="445"/>
      <c r="H62" s="458"/>
      <c r="I62" s="458"/>
      <c r="J62" s="476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[16]January_2019!L6</f>
        <v>0</v>
      </c>
      <c r="AC62" s="57">
        <f>[16]January_2019!M6</f>
        <v>0</v>
      </c>
      <c r="AD62" s="57">
        <f>[16]January_2019!N6</f>
        <v>0</v>
      </c>
      <c r="AE62" s="57">
        <f>[16]January_2019!O6</f>
        <v>0</v>
      </c>
      <c r="AF62" s="57">
        <f>[16]January_2019!P6</f>
        <v>0</v>
      </c>
      <c r="AG62" s="57">
        <f>[16]January_2019!Q6</f>
        <v>0</v>
      </c>
      <c r="AH62" s="57">
        <f>[16]January_2019!R6</f>
        <v>0</v>
      </c>
      <c r="AI62" s="57">
        <f>[16]January_2019!S6</f>
        <v>0</v>
      </c>
      <c r="AJ62" s="57">
        <f>[16]January_2019!T6</f>
        <v>0</v>
      </c>
      <c r="AK62" s="57">
        <f>[16]January_2019!U6</f>
        <v>0</v>
      </c>
      <c r="AL62" s="57">
        <f>[16]January_2019!V6</f>
        <v>0</v>
      </c>
      <c r="AM62" s="57">
        <f>[16]January_2019!W6</f>
        <v>0</v>
      </c>
      <c r="AN62" s="57">
        <f>[16]January_2019!X6</f>
        <v>0</v>
      </c>
      <c r="AO62" s="57">
        <f>[16]January_2019!Y6</f>
        <v>0</v>
      </c>
      <c r="AP62" s="57">
        <f>[16]January_2019!Z6</f>
        <v>0</v>
      </c>
      <c r="AQ62" s="57">
        <f>[16]January_2019!AA6</f>
        <v>0</v>
      </c>
      <c r="AR62" s="57">
        <f>[16]January_2019!AB6</f>
        <v>0</v>
      </c>
      <c r="AS62" s="57">
        <f>[16]January_2019!AC6</f>
        <v>0</v>
      </c>
      <c r="AT62" s="57">
        <f>[16]January_2019!AD6</f>
        <v>0</v>
      </c>
      <c r="AU62" s="57">
        <f>[16]January_2019!AE6</f>
        <v>0</v>
      </c>
      <c r="AV62" s="57">
        <f>[16]January_2019!AF6</f>
        <v>0</v>
      </c>
      <c r="AW62" s="57">
        <f>[16]January_2019!AG6</f>
        <v>0</v>
      </c>
      <c r="AX62" s="277">
        <f>[16]January_2019!AH6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37.15" hidden="1" customHeight="1" thickBot="1">
      <c r="B63" s="480"/>
      <c r="C63" s="479"/>
      <c r="D63" s="442"/>
      <c r="E63" s="443"/>
      <c r="F63" s="444"/>
      <c r="G63" s="445"/>
      <c r="H63" s="458"/>
      <c r="I63" s="458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[16]January_2019!L7</f>
        <v>285.8</v>
      </c>
      <c r="AC63" s="57">
        <f>[16]January_2019!M7</f>
        <v>508.1</v>
      </c>
      <c r="AD63" s="57">
        <f>[16]January_2019!N7</f>
        <v>0</v>
      </c>
      <c r="AE63" s="57">
        <f>[16]January_2019!O7</f>
        <v>0</v>
      </c>
      <c r="AF63" s="57">
        <f>[16]January_2019!P7</f>
        <v>109.56666666666666</v>
      </c>
      <c r="AG63" s="57">
        <f>[16]January_2019!Q7</f>
        <v>297.64999999999998</v>
      </c>
      <c r="AH63" s="57">
        <f>[16]January_2019!R7</f>
        <v>122.3</v>
      </c>
      <c r="AI63" s="57">
        <f>[16]January_2019!S7</f>
        <v>0</v>
      </c>
      <c r="AJ63" s="57">
        <f>[16]January_2019!T7</f>
        <v>294.7</v>
      </c>
      <c r="AK63" s="57">
        <f>[16]January_2019!U7</f>
        <v>280.5</v>
      </c>
      <c r="AL63" s="57">
        <f>[16]January_2019!V7</f>
        <v>0</v>
      </c>
      <c r="AM63" s="57">
        <f>[16]January_2019!W7</f>
        <v>0</v>
      </c>
      <c r="AN63" s="57">
        <f>[16]January_2019!X7</f>
        <v>188.25</v>
      </c>
      <c r="AO63" s="57">
        <f>[16]January_2019!Y7</f>
        <v>295.7</v>
      </c>
      <c r="AP63" s="57">
        <f>[16]January_2019!Z7</f>
        <v>257.8</v>
      </c>
      <c r="AQ63" s="57">
        <f>[16]January_2019!AA7</f>
        <v>291.2</v>
      </c>
      <c r="AR63" s="57">
        <f>[16]January_2019!AB7</f>
        <v>187</v>
      </c>
      <c r="AS63" s="57">
        <f>[16]January_2019!AC7</f>
        <v>0</v>
      </c>
      <c r="AT63" s="57">
        <f>[16]January_2019!AD7</f>
        <v>0</v>
      </c>
      <c r="AU63" s="57">
        <f>[16]January_2019!AE7</f>
        <v>485.1</v>
      </c>
      <c r="AV63" s="57">
        <f>[16]January_2019!AF7</f>
        <v>171.55</v>
      </c>
      <c r="AW63" s="57">
        <f>[16]January_2019!AG7</f>
        <v>423.8</v>
      </c>
      <c r="AX63" s="277">
        <f>[16]January_2019!AH7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19.5" hidden="1" customHeight="1" thickBot="1">
      <c r="B64" s="478"/>
      <c r="C64" s="430"/>
      <c r="D64" s="431"/>
      <c r="E64" s="432"/>
      <c r="F64" s="433"/>
      <c r="G64" s="434"/>
      <c r="H64" s="458"/>
      <c r="I64" s="458"/>
      <c r="J64" s="451"/>
      <c r="K64" s="436"/>
      <c r="L64" s="452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8.450000000000003" hidden="1" customHeight="1" thickBot="1">
      <c r="B65" s="480"/>
      <c r="C65" s="479"/>
      <c r="D65" s="442"/>
      <c r="E65" s="443"/>
      <c r="F65" s="444"/>
      <c r="G65" s="445"/>
      <c r="H65" s="458"/>
      <c r="I65" s="458"/>
      <c r="J65" s="448"/>
      <c r="K65" s="45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5" hidden="1">
      <c r="B66" s="453"/>
      <c r="C66" s="430"/>
      <c r="D66" s="431"/>
      <c r="E66" s="432"/>
      <c r="F66" s="433"/>
      <c r="G66" s="434"/>
      <c r="H66" s="435"/>
      <c r="I66" s="450"/>
      <c r="J66" s="451"/>
      <c r="K66" s="436"/>
      <c r="L66" s="452"/>
      <c r="M66" s="421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15" hidden="1" customHeight="1" thickBot="1">
      <c r="B67" s="484"/>
      <c r="C67" s="479"/>
      <c r="D67" s="442"/>
      <c r="E67" s="443"/>
      <c r="F67" s="444"/>
      <c r="G67" s="445"/>
      <c r="H67" s="446"/>
      <c r="I67" s="447"/>
      <c r="J67" s="448"/>
      <c r="K67" s="449"/>
      <c r="L67" s="457"/>
      <c r="M67" s="455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16.5" hidden="1" customHeight="1" thickBot="1">
      <c r="B68" s="437"/>
      <c r="C68" s="423"/>
      <c r="D68" s="424"/>
      <c r="E68" s="425"/>
      <c r="F68" s="426"/>
      <c r="G68" s="427"/>
      <c r="H68" s="428"/>
      <c r="I68" s="438"/>
      <c r="J68" s="439"/>
      <c r="K68" s="429"/>
      <c r="L68" s="440"/>
      <c r="M68" s="422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415"/>
      <c r="AN68" s="415"/>
      <c r="AO68" s="415"/>
      <c r="AP68" s="415"/>
      <c r="AQ68" s="415"/>
      <c r="AR68" s="415"/>
      <c r="AS68" s="415"/>
      <c r="AT68" s="415"/>
      <c r="AU68" s="415"/>
      <c r="AV68" s="415"/>
      <c r="AW68" s="415"/>
    </row>
    <row r="69" spans="2:57" s="54" customFormat="1" ht="37.15" hidden="1" customHeight="1" thickBot="1">
      <c r="B69" s="456"/>
      <c r="C69" s="441"/>
      <c r="D69" s="442"/>
      <c r="E69" s="443"/>
      <c r="F69" s="444"/>
      <c r="G69" s="445"/>
      <c r="H69" s="446"/>
      <c r="I69" s="447"/>
      <c r="J69" s="448"/>
      <c r="K69" s="449"/>
      <c r="L69" s="457"/>
      <c r="M69" s="454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37.15" customHeight="1">
      <c r="B70" s="466"/>
      <c r="C70" s="430"/>
      <c r="D70" s="460"/>
      <c r="E70" s="461"/>
      <c r="F70" s="462"/>
      <c r="G70" s="460"/>
      <c r="H70" s="463"/>
      <c r="I70" s="463"/>
      <c r="J70" s="463"/>
      <c r="K70" s="464"/>
      <c r="L70" s="465"/>
      <c r="M70" s="50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ht="18" customHeight="1" thickBot="1">
      <c r="B71" s="59"/>
      <c r="C71" s="30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 t="s">
        <v>41</v>
      </c>
      <c r="O71" s="56"/>
      <c r="P71" s="60"/>
    </row>
    <row r="72" spans="2:57" ht="15.75" thickBot="1">
      <c r="B72" s="509" t="s">
        <v>55</v>
      </c>
      <c r="C72" s="510"/>
      <c r="D72" s="510"/>
      <c r="E72" s="510"/>
      <c r="F72" s="511"/>
      <c r="G72" s="509" t="s">
        <v>56</v>
      </c>
      <c r="H72" s="510"/>
      <c r="I72" s="510"/>
      <c r="J72" s="511"/>
      <c r="K72" s="509" t="s">
        <v>51</v>
      </c>
      <c r="L72" s="510"/>
      <c r="M72" s="510"/>
      <c r="N72" s="512"/>
      <c r="O72" s="56"/>
      <c r="P72" s="50"/>
    </row>
    <row r="73" spans="2:57" ht="15">
      <c r="B73" s="61" t="s">
        <v>17</v>
      </c>
      <c r="C73" s="62" t="s">
        <v>36</v>
      </c>
      <c r="D73" s="62" t="s">
        <v>37</v>
      </c>
      <c r="E73" s="62" t="s">
        <v>38</v>
      </c>
      <c r="F73" s="63" t="s">
        <v>39</v>
      </c>
      <c r="G73" s="62" t="s">
        <v>36</v>
      </c>
      <c r="H73" s="62" t="s">
        <v>37</v>
      </c>
      <c r="I73" s="62" t="s">
        <v>38</v>
      </c>
      <c r="J73" s="63" t="s">
        <v>39</v>
      </c>
      <c r="K73" s="62"/>
      <c r="L73" s="62" t="s">
        <v>37</v>
      </c>
      <c r="M73" s="62" t="s">
        <v>38</v>
      </c>
      <c r="N73" s="63" t="s">
        <v>39</v>
      </c>
      <c r="O73" s="56"/>
      <c r="P73" s="64"/>
    </row>
    <row r="74" spans="2:57" ht="15">
      <c r="B74" s="29" t="s">
        <v>6</v>
      </c>
      <c r="C74" s="65"/>
      <c r="D74" s="76"/>
      <c r="E74" s="76">
        <v>6.5623673132836648</v>
      </c>
      <c r="F74" s="66">
        <v>4.8</v>
      </c>
      <c r="G74" s="65"/>
      <c r="H74" s="477"/>
      <c r="I74" s="477">
        <v>6.3197775649714227</v>
      </c>
      <c r="J74" s="66">
        <v>4.8</v>
      </c>
      <c r="K74" s="67"/>
      <c r="L74" s="194"/>
      <c r="M74" s="194">
        <v>0.51116477369802427</v>
      </c>
      <c r="N74" s="68">
        <v>1</v>
      </c>
      <c r="O74" s="56"/>
      <c r="P74" s="69"/>
    </row>
    <row r="75" spans="2:57" ht="15">
      <c r="B75" s="33" t="s">
        <v>9</v>
      </c>
      <c r="C75" s="65"/>
      <c r="D75" s="76">
        <v>4.2115423694371028</v>
      </c>
      <c r="E75" s="76">
        <v>5.7607151029355022</v>
      </c>
      <c r="F75" s="66">
        <v>4.8</v>
      </c>
      <c r="G75" s="65">
        <f>[14]June_2026!$O$21</f>
        <v>3.6848557080708271</v>
      </c>
      <c r="H75" s="76">
        <v>2.7270556688003218</v>
      </c>
      <c r="I75" s="76">
        <v>5.3607389964117944</v>
      </c>
      <c r="J75" s="66">
        <v>4.8</v>
      </c>
      <c r="K75" s="67">
        <f>K61</f>
        <v>0</v>
      </c>
      <c r="L75" s="194">
        <v>1.3231578947368421</v>
      </c>
      <c r="M75" s="194">
        <v>0.71292696983194792</v>
      </c>
      <c r="N75" s="68">
        <v>1</v>
      </c>
      <c r="P75" s="69"/>
    </row>
    <row r="76" spans="2:57" ht="15">
      <c r="B76" s="34" t="s">
        <v>40</v>
      </c>
      <c r="C76" s="65"/>
      <c r="D76" s="76"/>
      <c r="E76" s="76">
        <v>11.435860710768935</v>
      </c>
      <c r="F76" s="66">
        <v>5.5</v>
      </c>
      <c r="G76" s="65"/>
      <c r="H76" s="76"/>
      <c r="I76" s="76">
        <v>12.618851801260744</v>
      </c>
      <c r="J76" s="66">
        <v>5.5</v>
      </c>
      <c r="K76" s="67"/>
      <c r="L76" s="194"/>
      <c r="M76" s="194">
        <v>0.26444407894736838</v>
      </c>
      <c r="N76" s="68">
        <v>1</v>
      </c>
      <c r="P76" s="69"/>
    </row>
    <row r="77" spans="2:57" ht="15">
      <c r="B77" s="22" t="s">
        <v>33</v>
      </c>
      <c r="C77" s="65"/>
      <c r="D77" s="76"/>
      <c r="E77" s="76">
        <v>4.7166249493098773</v>
      </c>
      <c r="F77" s="66">
        <v>3.3</v>
      </c>
      <c r="G77" s="65"/>
      <c r="H77" s="76"/>
      <c r="I77" s="76">
        <v>4.7393662692065543</v>
      </c>
      <c r="J77" s="66">
        <v>3.3</v>
      </c>
      <c r="K77" s="67"/>
      <c r="L77" s="194"/>
      <c r="M77" s="194">
        <v>0.73604010025062661</v>
      </c>
      <c r="N77" s="68">
        <v>1</v>
      </c>
      <c r="P77" s="69"/>
    </row>
    <row r="78" spans="2:57" ht="15">
      <c r="B78" s="35" t="s">
        <v>164</v>
      </c>
      <c r="C78" s="65"/>
      <c r="D78" s="76"/>
      <c r="E78" s="76"/>
      <c r="F78" s="66">
        <v>3.3</v>
      </c>
      <c r="G78" s="282"/>
      <c r="H78" s="76"/>
      <c r="I78" s="76"/>
      <c r="J78" s="66">
        <v>3</v>
      </c>
      <c r="K78" s="67"/>
      <c r="L78" s="194"/>
      <c r="M78" s="194"/>
      <c r="N78" s="68">
        <v>1</v>
      </c>
      <c r="P78" s="69"/>
    </row>
    <row r="79" spans="2:57" ht="15">
      <c r="B79" s="36" t="s">
        <v>15</v>
      </c>
      <c r="C79" s="76"/>
      <c r="D79" s="76"/>
      <c r="E79" s="76">
        <v>5.1541347251672045</v>
      </c>
      <c r="F79" s="483">
        <v>5.5</v>
      </c>
      <c r="G79" s="282"/>
      <c r="H79" s="76"/>
      <c r="I79" s="76">
        <v>7.4989046872874194</v>
      </c>
      <c r="J79" s="66">
        <v>5.5</v>
      </c>
      <c r="K79" s="67"/>
      <c r="L79" s="194"/>
      <c r="M79" s="194">
        <v>1.0201754385964912</v>
      </c>
      <c r="N79" s="68">
        <v>1</v>
      </c>
      <c r="P79" s="69"/>
    </row>
    <row r="80" spans="2:57" ht="15">
      <c r="B80" s="37" t="s">
        <v>16</v>
      </c>
      <c r="C80" s="485"/>
      <c r="D80" s="76"/>
      <c r="E80" s="76">
        <v>3.7333963207914036</v>
      </c>
      <c r="F80" s="66">
        <v>3.3</v>
      </c>
      <c r="G80" s="282"/>
      <c r="H80" s="76"/>
      <c r="I80" s="76">
        <v>4.8412394790618878</v>
      </c>
      <c r="J80" s="66">
        <v>3.3</v>
      </c>
      <c r="K80" s="67"/>
      <c r="L80" s="194"/>
      <c r="M80" s="194">
        <v>0.84386695906432752</v>
      </c>
      <c r="N80" s="71">
        <v>1</v>
      </c>
      <c r="P80" s="69"/>
    </row>
    <row r="81" spans="2:16" ht="15.75" thickBot="1">
      <c r="B81" s="38" t="s">
        <v>163</v>
      </c>
      <c r="C81" s="65"/>
      <c r="D81" s="76"/>
      <c r="E81" s="76"/>
      <c r="F81" s="66">
        <v>7.5</v>
      </c>
      <c r="G81" s="282"/>
      <c r="H81" s="76"/>
      <c r="I81" s="76"/>
      <c r="J81" s="66">
        <v>7.5</v>
      </c>
      <c r="K81" s="67"/>
      <c r="L81" s="194"/>
      <c r="M81" s="194"/>
      <c r="N81" s="71">
        <v>1</v>
      </c>
      <c r="P81" s="69"/>
    </row>
    <row r="82" spans="2:16" ht="15.75" thickBot="1">
      <c r="B82" s="414" t="s">
        <v>161</v>
      </c>
      <c r="C82" s="65"/>
      <c r="D82" s="76"/>
      <c r="E82" s="76"/>
      <c r="F82" s="66">
        <v>4.8</v>
      </c>
      <c r="G82" s="282"/>
      <c r="H82" s="76"/>
      <c r="I82" s="76"/>
      <c r="J82" s="66">
        <v>4.8</v>
      </c>
      <c r="K82" s="67"/>
      <c r="L82" s="194"/>
      <c r="M82" s="194"/>
      <c r="N82" s="71">
        <v>1</v>
      </c>
      <c r="O82" s="74"/>
      <c r="P82" s="75"/>
    </row>
    <row r="83" spans="2:16" ht="15">
      <c r="D83" s="76">
        <v>4.2115423694371028</v>
      </c>
      <c r="E83" s="76">
        <v>6.289475247812315</v>
      </c>
      <c r="F83" s="341">
        <v>5.5</v>
      </c>
      <c r="H83" s="76">
        <v>2.7270556688003218</v>
      </c>
      <c r="I83" s="76">
        <v>6.3550093782153594</v>
      </c>
      <c r="J83" s="341">
        <v>5.5</v>
      </c>
      <c r="L83" s="194">
        <v>1.3231578947368421</v>
      </c>
      <c r="M83" s="194">
        <v>0.58487378789234989</v>
      </c>
      <c r="N8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0:N30"/>
    <mergeCell ref="D31:E31"/>
    <mergeCell ref="B32:B43"/>
    <mergeCell ref="D32:E33"/>
    <mergeCell ref="D34:E35"/>
    <mergeCell ref="D36:E37"/>
    <mergeCell ref="D38:E39"/>
    <mergeCell ref="D40:E41"/>
    <mergeCell ref="D42:E43"/>
    <mergeCell ref="B44:B53"/>
    <mergeCell ref="D44:E45"/>
    <mergeCell ref="J44:K44"/>
    <mergeCell ref="L45:N45"/>
    <mergeCell ref="D46:E47"/>
    <mergeCell ref="D48:E49"/>
    <mergeCell ref="D50:E51"/>
    <mergeCell ref="D52:E53"/>
    <mergeCell ref="D54:E54"/>
    <mergeCell ref="B59:B60"/>
    <mergeCell ref="C59:C60"/>
    <mergeCell ref="D59:D60"/>
    <mergeCell ref="E59:E60"/>
    <mergeCell ref="M59:M60"/>
    <mergeCell ref="B72:F72"/>
    <mergeCell ref="G72:J72"/>
    <mergeCell ref="K72:N72"/>
    <mergeCell ref="G59:G60"/>
    <mergeCell ref="H59:H60"/>
    <mergeCell ref="I59:I60"/>
    <mergeCell ref="J59:J60"/>
    <mergeCell ref="K59:K60"/>
    <mergeCell ref="L59:L60"/>
    <mergeCell ref="F59:F60"/>
  </mergeCells>
  <conditionalFormatting sqref="B54:B55">
    <cfRule type="cellIs" dxfId="2409" priority="106" operator="notBetween">
      <formula>#REF!</formula>
      <formula>#REF!</formula>
    </cfRule>
  </conditionalFormatting>
  <conditionalFormatting sqref="C58">
    <cfRule type="cellIs" dxfId="2408" priority="195" stopIfTrue="1" operator="lessThan">
      <formula>96</formula>
    </cfRule>
    <cfRule type="cellIs" dxfId="2407" priority="196" stopIfTrue="1" operator="greaterThan">
      <formula>100</formula>
    </cfRule>
  </conditionalFormatting>
  <conditionalFormatting sqref="C74:C75">
    <cfRule type="cellIs" dxfId="2406" priority="68" stopIfTrue="1" operator="greaterThan">
      <formula>$F74</formula>
    </cfRule>
    <cfRule type="cellIs" dxfId="2405" priority="67" stopIfTrue="1" operator="lessThanOrEqual">
      <formula>0</formula>
    </cfRule>
    <cfRule type="cellIs" dxfId="2404" priority="66" stopIfTrue="1" operator="greaterThan">
      <formula>$F74</formula>
    </cfRule>
    <cfRule type="cellIs" dxfId="2403" priority="69" stopIfTrue="1" operator="lessThanOrEqual">
      <formula>0</formula>
    </cfRule>
  </conditionalFormatting>
  <conditionalFormatting sqref="C76:C78 C80:C82">
    <cfRule type="cellIs" dxfId="2402" priority="76" stopIfTrue="1" operator="greaterThan">
      <formula>$F79</formula>
    </cfRule>
  </conditionalFormatting>
  <conditionalFormatting sqref="C76:C78">
    <cfRule type="cellIs" dxfId="2401" priority="77" stopIfTrue="1" operator="lessThanOrEqual">
      <formula>0</formula>
    </cfRule>
  </conditionalFormatting>
  <conditionalFormatting sqref="C80:C82">
    <cfRule type="cellIs" dxfId="2400" priority="78" stopIfTrue="1" operator="lessThanOrEqual">
      <formula>0</formula>
    </cfRule>
  </conditionalFormatting>
  <conditionalFormatting sqref="C85:C89">
    <cfRule type="cellIs" dxfId="2399" priority="187" stopIfTrue="1" operator="lessThanOrEqual">
      <formula>0</formula>
    </cfRule>
  </conditionalFormatting>
  <conditionalFormatting sqref="C86:C89">
    <cfRule type="cellIs" dxfId="2398" priority="186" stopIfTrue="1" operator="greaterThan">
      <formula>$F$85</formula>
    </cfRule>
  </conditionalFormatting>
  <conditionalFormatting sqref="C91">
    <cfRule type="cellIs" dxfId="2397" priority="188" stopIfTrue="1" operator="greaterThan">
      <formula>$F$85</formula>
    </cfRule>
    <cfRule type="cellIs" dxfId="2396" priority="189" stopIfTrue="1" operator="lessThanOrEqual">
      <formula>0</formula>
    </cfRule>
  </conditionalFormatting>
  <conditionalFormatting sqref="C79:D79">
    <cfRule type="cellIs" dxfId="2395" priority="65" stopIfTrue="1" operator="lessThanOrEqual">
      <formula>0</formula>
    </cfRule>
    <cfRule type="cellIs" dxfId="2394" priority="64" stopIfTrue="1" operator="greaterThan">
      <formula>$J79</formula>
    </cfRule>
  </conditionalFormatting>
  <conditionalFormatting sqref="C85:D85 D87:D93">
    <cfRule type="cellIs" dxfId="2393" priority="181" stopIfTrue="1" operator="greaterThan">
      <formula>4.5</formula>
    </cfRule>
  </conditionalFormatting>
  <conditionalFormatting sqref="D54:D55">
    <cfRule type="cellIs" dxfId="2392" priority="107" operator="notBetween">
      <formula>#REF!</formula>
      <formula>#REF!</formula>
    </cfRule>
  </conditionalFormatting>
  <conditionalFormatting sqref="D74:D78 D80:D81">
    <cfRule type="cellIs" dxfId="2391" priority="75" stopIfTrue="1" operator="lessThanOrEqual">
      <formula>0</formula>
    </cfRule>
  </conditionalFormatting>
  <conditionalFormatting sqref="D74:D78 D80:D83">
    <cfRule type="cellIs" dxfId="2390" priority="71" stopIfTrue="1" operator="lessThanOrEqual">
      <formula>0</formula>
    </cfRule>
    <cfRule type="cellIs" dxfId="2389" priority="72" stopIfTrue="1" operator="greaterThan">
      <formula>$F74</formula>
    </cfRule>
  </conditionalFormatting>
  <conditionalFormatting sqref="D82:D83">
    <cfRule type="cellIs" dxfId="2388" priority="73" stopIfTrue="1" operator="lessThanOrEqual">
      <formula>0</formula>
    </cfRule>
  </conditionalFormatting>
  <conditionalFormatting sqref="D83">
    <cfRule type="cellIs" dxfId="2387" priority="74" stopIfTrue="1" operator="lessThanOrEqual">
      <formula>0</formula>
    </cfRule>
  </conditionalFormatting>
  <conditionalFormatting sqref="D85 D87:D93">
    <cfRule type="cellIs" dxfId="2386" priority="182" stopIfTrue="1" operator="lessThanOrEqual">
      <formula>0</formula>
    </cfRule>
  </conditionalFormatting>
  <conditionalFormatting sqref="D86">
    <cfRule type="cellIs" dxfId="2385" priority="173" stopIfTrue="1" operator="greaterThan">
      <formula>$F$85</formula>
    </cfRule>
    <cfRule type="cellIs" dxfId="2384" priority="174" stopIfTrue="1" operator="lessThanOrEqual">
      <formula>0</formula>
    </cfRule>
  </conditionalFormatting>
  <conditionalFormatting sqref="E10:E29">
    <cfRule type="cellIs" dxfId="2383" priority="9" operator="lessThan">
      <formula>48</formula>
    </cfRule>
  </conditionalFormatting>
  <conditionalFormatting sqref="E57 E58:F58">
    <cfRule type="cellIs" dxfId="2382" priority="178" stopIfTrue="1" operator="greaterThan">
      <formula>100</formula>
    </cfRule>
  </conditionalFormatting>
  <conditionalFormatting sqref="E58">
    <cfRule type="cellIs" dxfId="2381" priority="176" stopIfTrue="1" operator="greaterThan">
      <formula>100</formula>
    </cfRule>
    <cfRule type="cellIs" dxfId="2380" priority="175" stopIfTrue="1" operator="lessThan">
      <formula>96.8</formula>
    </cfRule>
  </conditionalFormatting>
  <conditionalFormatting sqref="E74:E82">
    <cfRule type="cellIs" dxfId="2379" priority="33" stopIfTrue="1" operator="lessThanOrEqual">
      <formula>0</formula>
    </cfRule>
  </conditionalFormatting>
  <conditionalFormatting sqref="E74:E83">
    <cfRule type="cellIs" dxfId="2378" priority="34" stopIfTrue="1" operator="greaterThan">
      <formula>$F74</formula>
    </cfRule>
    <cfRule type="cellIs" dxfId="2377" priority="35" stopIfTrue="1" operator="lessThanOrEqual">
      <formula>0</formula>
    </cfRule>
  </conditionalFormatting>
  <conditionalFormatting sqref="E83">
    <cfRule type="cellIs" dxfId="2376" priority="36" stopIfTrue="1" operator="lessThanOrEqual">
      <formula>0</formula>
    </cfRule>
  </conditionalFormatting>
  <conditionalFormatting sqref="E85:E93">
    <cfRule type="cellIs" dxfId="2375" priority="168" stopIfTrue="1" operator="lessThanOrEqual">
      <formula>0</formula>
    </cfRule>
    <cfRule type="cellIs" dxfId="2374" priority="167" stopIfTrue="1" operator="greaterThan">
      <formula>4.5</formula>
    </cfRule>
  </conditionalFormatting>
  <conditionalFormatting sqref="E58:F58 E57">
    <cfRule type="cellIs" dxfId="2373" priority="177" stopIfTrue="1" operator="lessThan">
      <formula>96.5</formula>
    </cfRule>
  </conditionalFormatting>
  <conditionalFormatting sqref="F10:F17 F26:F29">
    <cfRule type="cellIs" dxfId="2372" priority="22" operator="greaterThan">
      <formula>60</formula>
    </cfRule>
  </conditionalFormatting>
  <conditionalFormatting sqref="F58">
    <cfRule type="cellIs" dxfId="2371" priority="194" stopIfTrue="1" operator="greaterThan">
      <formula>100</formula>
    </cfRule>
    <cfRule type="cellIs" dxfId="2370" priority="193" stopIfTrue="1" operator="lessThan">
      <formula>96.8</formula>
    </cfRule>
  </conditionalFormatting>
  <conditionalFormatting sqref="F83">
    <cfRule type="cellIs" dxfId="2369" priority="44" stopIfTrue="1" operator="greaterThan">
      <formula>$F83</formula>
    </cfRule>
    <cfRule type="cellIs" dxfId="2368" priority="45" stopIfTrue="1" operator="lessThanOrEqual">
      <formula>0</formula>
    </cfRule>
  </conditionalFormatting>
  <conditionalFormatting sqref="G18:G25">
    <cfRule type="expression" dxfId="2367" priority="10">
      <formula>IF(+(IF(G18&lt;S18,0,IF(G18&gt;T18,0,1)))=0,1)</formula>
    </cfRule>
  </conditionalFormatting>
  <conditionalFormatting sqref="G28:G29">
    <cfRule type="expression" dxfId="2366" priority="24">
      <formula>IF(+(IF(G28&lt;S28,0,IF(G28&gt;T28,0,1)))=0,1)</formula>
    </cfRule>
  </conditionalFormatting>
  <conditionalFormatting sqref="G74:G75">
    <cfRule type="cellIs" dxfId="2365" priority="46" stopIfTrue="1" operator="greaterThan">
      <formula>$F74</formula>
    </cfRule>
    <cfRule type="cellIs" dxfId="2364" priority="47" stopIfTrue="1" operator="lessThanOrEqual">
      <formula>0</formula>
    </cfRule>
  </conditionalFormatting>
  <conditionalFormatting sqref="G74:G77">
    <cfRule type="cellIs" dxfId="2363" priority="29" stopIfTrue="1" operator="lessThanOrEqual">
      <formula>0</formula>
    </cfRule>
    <cfRule type="cellIs" dxfId="2362" priority="28" stopIfTrue="1" operator="greaterThan">
      <formula>$F74</formula>
    </cfRule>
  </conditionalFormatting>
  <conditionalFormatting sqref="G76">
    <cfRule type="cellIs" dxfId="2361" priority="26" stopIfTrue="1" operator="greaterThan">
      <formula>$F76</formula>
    </cfRule>
    <cfRule type="cellIs" dxfId="2360" priority="27" stopIfTrue="1" operator="lessThanOrEqual">
      <formula>0</formula>
    </cfRule>
  </conditionalFormatting>
  <conditionalFormatting sqref="G77">
    <cfRule type="cellIs" dxfId="2359" priority="40" stopIfTrue="1" operator="greaterThan">
      <formula>$F77</formula>
    </cfRule>
    <cfRule type="cellIs" dxfId="2358" priority="41" stopIfTrue="1" operator="lessThanOrEqual">
      <formula>0</formula>
    </cfRule>
  </conditionalFormatting>
  <conditionalFormatting sqref="G78:G82">
    <cfRule type="cellIs" dxfId="2357" priority="48" stopIfTrue="1" operator="greaterThan">
      <formula>$J78</formula>
    </cfRule>
    <cfRule type="cellIs" dxfId="2356" priority="49" stopIfTrue="1" operator="lessThanOrEqual">
      <formula>0</formula>
    </cfRule>
  </conditionalFormatting>
  <conditionalFormatting sqref="G87:G92 C90 C92">
    <cfRule type="cellIs" dxfId="2355" priority="191" stopIfTrue="1" operator="lessThanOrEqual">
      <formula>0</formula>
    </cfRule>
    <cfRule type="cellIs" dxfId="2354" priority="190" stopIfTrue="1" operator="greaterThan">
      <formula>4.5</formula>
    </cfRule>
  </conditionalFormatting>
  <conditionalFormatting sqref="G10:H17 G26:H27">
    <cfRule type="expression" dxfId="2353" priority="21">
      <formula>IF(+(IF(G10&lt;#REF!,0,IF(G10&gt;#REF!,0,1)))=0,1)</formula>
    </cfRule>
  </conditionalFormatting>
  <conditionalFormatting sqref="G86:H86">
    <cfRule type="cellIs" dxfId="2352" priority="171" stopIfTrue="1" operator="greaterThan">
      <formula>$F$85</formula>
    </cfRule>
    <cfRule type="cellIs" dxfId="2351" priority="172" stopIfTrue="1" operator="lessThanOrEqual">
      <formula>0</formula>
    </cfRule>
  </conditionalFormatting>
  <conditionalFormatting sqref="H18:H25">
    <cfRule type="expression" dxfId="2350" priority="11">
      <formula>IF(+(IF(H18&lt;#REF!,0,IF(H18&gt;#REF!,0,1)))=0,1)</formula>
    </cfRule>
  </conditionalFormatting>
  <conditionalFormatting sqref="H28:H29">
    <cfRule type="expression" dxfId="2349" priority="23">
      <formula>IF(+(IF(H28&lt;#REF!,0,IF(H28&gt;#REF!,0,1)))=0,1)</formula>
    </cfRule>
  </conditionalFormatting>
  <conditionalFormatting sqref="H43:H44 H57">
    <cfRule type="cellIs" dxfId="2348" priority="169" stopIfTrue="1" operator="greaterThan">
      <formula>0</formula>
    </cfRule>
  </conditionalFormatting>
  <conditionalFormatting sqref="H61">
    <cfRule type="cellIs" dxfId="2347" priority="52" stopIfTrue="1" operator="greaterThan">
      <formula>$F$74</formula>
    </cfRule>
    <cfRule type="cellIs" dxfId="2346" priority="51" stopIfTrue="1" operator="lessThanOrEqual">
      <formula>0</formula>
    </cfRule>
    <cfRule type="cellIs" dxfId="2345" priority="60" stopIfTrue="1" operator="greaterThan">
      <formula>$F$77</formula>
    </cfRule>
    <cfRule type="cellIs" dxfId="2344" priority="61" stopIfTrue="1" operator="lessThanOrEqual">
      <formula>0</formula>
    </cfRule>
    <cfRule type="cellIs" dxfId="2343" priority="62" stopIfTrue="1" operator="greaterThan">
      <formula>$F$75</formula>
    </cfRule>
  </conditionalFormatting>
  <conditionalFormatting sqref="H61:H63">
    <cfRule type="cellIs" dxfId="2342" priority="63" stopIfTrue="1" operator="lessThanOrEqual">
      <formula>0</formula>
    </cfRule>
  </conditionalFormatting>
  <conditionalFormatting sqref="H62:H63">
    <cfRule type="cellIs" dxfId="2341" priority="79" stopIfTrue="1" operator="greaterThan">
      <formula>$F$74</formula>
    </cfRule>
    <cfRule type="cellIs" dxfId="2340" priority="89" stopIfTrue="1" operator="greaterThan">
      <formula>$F$75</formula>
    </cfRule>
    <cfRule type="cellIs" dxfId="2339" priority="88" stopIfTrue="1" operator="lessThanOrEqual">
      <formula>0</formula>
    </cfRule>
    <cfRule type="cellIs" dxfId="2338" priority="87" stopIfTrue="1" operator="greaterThan">
      <formula>$F$77</formula>
    </cfRule>
  </conditionalFormatting>
  <conditionalFormatting sqref="H62:H65">
    <cfRule type="cellIs" dxfId="2337" priority="90" stopIfTrue="1" operator="lessThanOrEqual">
      <formula>0</formula>
    </cfRule>
  </conditionalFormatting>
  <conditionalFormatting sqref="H64:H65">
    <cfRule type="cellIs" dxfId="2336" priority="103" stopIfTrue="1" operator="greaterThan">
      <formula>$F$75</formula>
    </cfRule>
    <cfRule type="cellIs" dxfId="2335" priority="104" stopIfTrue="1" operator="lessThanOrEqual">
      <formula>0</formula>
    </cfRule>
    <cfRule type="cellIs" dxfId="2334" priority="102" stopIfTrue="1" operator="lessThanOrEqual">
      <formula>0</formula>
    </cfRule>
    <cfRule type="cellIs" dxfId="2333" priority="101" stopIfTrue="1" operator="greaterThan">
      <formula>$F$77</formula>
    </cfRule>
    <cfRule type="cellIs" dxfId="2332" priority="93" stopIfTrue="1" operator="greaterThan">
      <formula>$F$74</formula>
    </cfRule>
  </conditionalFormatting>
  <conditionalFormatting sqref="H66:H67">
    <cfRule type="cellIs" dxfId="2331" priority="143" stopIfTrue="1" operator="lessThanOrEqual">
      <formula>0</formula>
    </cfRule>
    <cfRule type="cellIs" dxfId="2330" priority="142" stopIfTrue="1" operator="greaterThan">
      <formula>#REF!</formula>
    </cfRule>
    <cfRule type="cellIs" dxfId="2329" priority="141" stopIfTrue="1" operator="lessThanOrEqual">
      <formula>0</formula>
    </cfRule>
    <cfRule type="cellIs" dxfId="2328" priority="140" stopIfTrue="1" operator="greaterThan">
      <formula>$F$29</formula>
    </cfRule>
    <cfRule type="cellIs" dxfId="2327" priority="132" stopIfTrue="1" operator="greaterThan">
      <formula>#REF!</formula>
    </cfRule>
    <cfRule type="cellIs" dxfId="2326" priority="131" stopIfTrue="1" operator="lessThanOrEqual">
      <formula>0</formula>
    </cfRule>
  </conditionalFormatting>
  <conditionalFormatting sqref="H68">
    <cfRule type="cellIs" dxfId="2325" priority="157" stopIfTrue="1" operator="lessThanOrEqual">
      <formula>0</formula>
    </cfRule>
    <cfRule type="cellIs" dxfId="2324" priority="154" stopIfTrue="1" operator="greaterThan">
      <formula>$F$45</formula>
    </cfRule>
    <cfRule type="cellIs" dxfId="2323" priority="156" stopIfTrue="1" operator="greaterThan">
      <formula>$F$43</formula>
    </cfRule>
    <cfRule type="cellIs" dxfId="2322" priority="146" stopIfTrue="1" operator="greaterThan">
      <formula>$F$42</formula>
    </cfRule>
    <cfRule type="cellIs" dxfId="2321" priority="145" stopIfTrue="1" operator="lessThanOrEqual">
      <formula>0</formula>
    </cfRule>
    <cfRule type="cellIs" dxfId="2320" priority="155" stopIfTrue="1" operator="lessThanOrEqual">
      <formula>0</formula>
    </cfRule>
  </conditionalFormatting>
  <conditionalFormatting sqref="H69:H70">
    <cfRule type="cellIs" dxfId="2319" priority="118" stopIfTrue="1" operator="greaterThan">
      <formula>#REF!</formula>
    </cfRule>
    <cfRule type="cellIs" dxfId="2318" priority="127" stopIfTrue="1" operator="lessThanOrEqual">
      <formula>0</formula>
    </cfRule>
    <cfRule type="cellIs" dxfId="2317" priority="128" stopIfTrue="1" operator="greaterThan">
      <formula>#REF!</formula>
    </cfRule>
    <cfRule type="cellIs" dxfId="2316" priority="129" stopIfTrue="1" operator="lessThanOrEqual">
      <formula>0</formula>
    </cfRule>
    <cfRule type="cellIs" dxfId="2315" priority="126" stopIfTrue="1" operator="greaterThan">
      <formula>$F$29</formula>
    </cfRule>
    <cfRule type="cellIs" dxfId="2314" priority="117" stopIfTrue="1" operator="lessThanOrEqual">
      <formula>0</formula>
    </cfRule>
  </conditionalFormatting>
  <conditionalFormatting sqref="H85 H87:H93">
    <cfRule type="cellIs" dxfId="2313" priority="184" stopIfTrue="1" operator="lessThanOrEqual">
      <formula>0</formula>
    </cfRule>
    <cfRule type="cellIs" dxfId="2312" priority="183" stopIfTrue="1" operator="greaterThan">
      <formula>4.5</formula>
    </cfRule>
  </conditionalFormatting>
  <conditionalFormatting sqref="H61:I61">
    <cfRule type="cellIs" dxfId="2311" priority="53" stopIfTrue="1" operator="lessThanOrEqual">
      <formula>0</formula>
    </cfRule>
  </conditionalFormatting>
  <conditionalFormatting sqref="H61:I65">
    <cfRule type="cellIs" dxfId="2310" priority="50" stopIfTrue="1" operator="greaterThan">
      <formula>$F$76</formula>
    </cfRule>
  </conditionalFormatting>
  <conditionalFormatting sqref="H62:I63">
    <cfRule type="cellIs" dxfId="2309" priority="80" stopIfTrue="1" operator="lessThanOrEqual">
      <formula>0</formula>
    </cfRule>
  </conditionalFormatting>
  <conditionalFormatting sqref="H64:I65">
    <cfRule type="cellIs" dxfId="2308" priority="94" stopIfTrue="1" operator="lessThanOrEqual">
      <formula>0</formula>
    </cfRule>
  </conditionalFormatting>
  <conditionalFormatting sqref="H66:I67">
    <cfRule type="cellIs" dxfId="2307" priority="133" stopIfTrue="1" operator="lessThanOrEqual">
      <formula>0</formula>
    </cfRule>
    <cfRule type="cellIs" dxfId="2306" priority="130" stopIfTrue="1" operator="greaterThan">
      <formula>#REF!</formula>
    </cfRule>
  </conditionalFormatting>
  <conditionalFormatting sqref="H68:I68">
    <cfRule type="cellIs" dxfId="2305" priority="147" stopIfTrue="1" operator="lessThanOrEqual">
      <formula>0</formula>
    </cfRule>
    <cfRule type="cellIs" dxfId="2304" priority="144" stopIfTrue="1" operator="greaterThan">
      <formula>$F$44</formula>
    </cfRule>
  </conditionalFormatting>
  <conditionalFormatting sqref="H69:I70">
    <cfRule type="cellIs" dxfId="2303" priority="116" stopIfTrue="1" operator="greaterThan">
      <formula>#REF!</formula>
    </cfRule>
    <cfRule type="cellIs" dxfId="2302" priority="119" stopIfTrue="1" operator="lessThanOrEqual">
      <formula>0</formula>
    </cfRule>
  </conditionalFormatting>
  <conditionalFormatting sqref="H74:I81">
    <cfRule type="cellIs" dxfId="2301" priority="31" stopIfTrue="1" operator="greaterThan">
      <formula>$J74</formula>
    </cfRule>
    <cfRule type="cellIs" dxfId="2300" priority="32" stopIfTrue="1" operator="lessThanOrEqual">
      <formula>0</formula>
    </cfRule>
  </conditionalFormatting>
  <conditionalFormatting sqref="H82:I82">
    <cfRule type="cellIs" dxfId="2299" priority="39" operator="greaterThan">
      <formula>5.3</formula>
    </cfRule>
  </conditionalFormatting>
  <conditionalFormatting sqref="H83:I83">
    <cfRule type="cellIs" dxfId="2298" priority="37" stopIfTrue="1" operator="greaterThan">
      <formula>$J83</formula>
    </cfRule>
    <cfRule type="cellIs" dxfId="2297" priority="38" stopIfTrue="1" operator="lessThanOrEqual">
      <formula>0</formula>
    </cfRule>
  </conditionalFormatting>
  <conditionalFormatting sqref="I61">
    <cfRule type="cellIs" dxfId="2296" priority="56" stopIfTrue="1" operator="greaterThan">
      <formula>$F$76</formula>
    </cfRule>
    <cfRule type="cellIs" dxfId="2295" priority="57" stopIfTrue="1" operator="lessThanOrEqual">
      <formula>0</formula>
    </cfRule>
    <cfRule type="cellIs" dxfId="2294" priority="58" stopIfTrue="1" operator="greaterThan">
      <formula>$F$74</formula>
    </cfRule>
    <cfRule type="cellIs" dxfId="2293" priority="59" stopIfTrue="1" operator="lessThanOrEqual">
      <formula>0</formula>
    </cfRule>
    <cfRule type="cellIs" dxfId="2292" priority="54" stopIfTrue="1" operator="greaterThan">
      <formula>$F$74</formula>
    </cfRule>
    <cfRule type="cellIs" dxfId="2291" priority="55" stopIfTrue="1" operator="lessThanOrEqual">
      <formula>0</formula>
    </cfRule>
  </conditionalFormatting>
  <conditionalFormatting sqref="I62:I63">
    <cfRule type="cellIs" dxfId="2290" priority="81" stopIfTrue="1" operator="greaterThan">
      <formula>$F$74</formula>
    </cfRule>
    <cfRule type="cellIs" dxfId="2289" priority="84" stopIfTrue="1" operator="lessThanOrEqual">
      <formula>0</formula>
    </cfRule>
    <cfRule type="cellIs" dxfId="2288" priority="85" stopIfTrue="1" operator="greaterThan">
      <formula>$F$74</formula>
    </cfRule>
    <cfRule type="cellIs" dxfId="2287" priority="82" stopIfTrue="1" operator="lessThanOrEqual">
      <formula>0</formula>
    </cfRule>
    <cfRule type="cellIs" dxfId="2286" priority="83" stopIfTrue="1" operator="greaterThan">
      <formula>$F$76</formula>
    </cfRule>
    <cfRule type="cellIs" dxfId="2285" priority="86" stopIfTrue="1" operator="lessThanOrEqual">
      <formula>0</formula>
    </cfRule>
  </conditionalFormatting>
  <conditionalFormatting sqref="I64:I65">
    <cfRule type="cellIs" dxfId="2284" priority="98" stopIfTrue="1" operator="lessThanOrEqual">
      <formula>0</formula>
    </cfRule>
    <cfRule type="cellIs" dxfId="2283" priority="97" stopIfTrue="1" operator="greaterThan">
      <formula>$F$76</formula>
    </cfRule>
    <cfRule type="cellIs" dxfId="2282" priority="96" stopIfTrue="1" operator="lessThanOrEqual">
      <formula>0</formula>
    </cfRule>
    <cfRule type="cellIs" dxfId="2281" priority="95" stopIfTrue="1" operator="greaterThan">
      <formula>$F$74</formula>
    </cfRule>
    <cfRule type="cellIs" dxfId="2280" priority="100" stopIfTrue="1" operator="lessThanOrEqual">
      <formula>0</formula>
    </cfRule>
    <cfRule type="cellIs" dxfId="2279" priority="99" stopIfTrue="1" operator="greaterThan">
      <formula>$F$74</formula>
    </cfRule>
  </conditionalFormatting>
  <conditionalFormatting sqref="I66:I67">
    <cfRule type="cellIs" dxfId="2278" priority="134" stopIfTrue="1" operator="greaterThan">
      <formula>#REF!</formula>
    </cfRule>
    <cfRule type="cellIs" dxfId="2277" priority="135" stopIfTrue="1" operator="lessThanOrEqual">
      <formula>0</formula>
    </cfRule>
    <cfRule type="cellIs" dxfId="2276" priority="136" stopIfTrue="1" operator="greaterThan">
      <formula>#REF!</formula>
    </cfRule>
    <cfRule type="cellIs" dxfId="2275" priority="137" stopIfTrue="1" operator="lessThanOrEqual">
      <formula>0</formula>
    </cfRule>
    <cfRule type="cellIs" dxfId="2274" priority="138" stopIfTrue="1" operator="greaterThan">
      <formula>#REF!</formula>
    </cfRule>
    <cfRule type="cellIs" dxfId="2273" priority="139" stopIfTrue="1" operator="lessThanOrEqual">
      <formula>0</formula>
    </cfRule>
  </conditionalFormatting>
  <conditionalFormatting sqref="I68">
    <cfRule type="cellIs" dxfId="2272" priority="152" stopIfTrue="1" operator="greaterThan">
      <formula>$F$42</formula>
    </cfRule>
    <cfRule type="cellIs" dxfId="2271" priority="153" stopIfTrue="1" operator="lessThanOrEqual">
      <formula>0</formula>
    </cfRule>
    <cfRule type="cellIs" dxfId="2270" priority="150" stopIfTrue="1" operator="greaterThan">
      <formula>$F$44</formula>
    </cfRule>
    <cfRule type="cellIs" dxfId="2269" priority="148" stopIfTrue="1" operator="greaterThan">
      <formula>$F$42</formula>
    </cfRule>
    <cfRule type="cellIs" dxfId="2268" priority="149" stopIfTrue="1" operator="lessThanOrEqual">
      <formula>0</formula>
    </cfRule>
    <cfRule type="cellIs" dxfId="2267" priority="151" stopIfTrue="1" operator="lessThanOrEqual">
      <formula>0</formula>
    </cfRule>
  </conditionalFormatting>
  <conditionalFormatting sqref="I69:I70">
    <cfRule type="cellIs" dxfId="2266" priority="124" stopIfTrue="1" operator="greaterThan">
      <formula>#REF!</formula>
    </cfRule>
    <cfRule type="cellIs" dxfId="2265" priority="123" stopIfTrue="1" operator="lessThanOrEqual">
      <formula>0</formula>
    </cfRule>
    <cfRule type="cellIs" dxfId="2264" priority="125" stopIfTrue="1" operator="lessThanOrEqual">
      <formula>0</formula>
    </cfRule>
    <cfRule type="cellIs" dxfId="2263" priority="120" stopIfTrue="1" operator="greaterThan">
      <formula>#REF!</formula>
    </cfRule>
    <cfRule type="cellIs" dxfId="2262" priority="121" stopIfTrue="1" operator="lessThanOrEqual">
      <formula>0</formula>
    </cfRule>
    <cfRule type="cellIs" dxfId="2261" priority="122" stopIfTrue="1" operator="greaterThan">
      <formula>#REF!</formula>
    </cfRule>
  </conditionalFormatting>
  <conditionalFormatting sqref="I85:I93">
    <cfRule type="cellIs" dxfId="2260" priority="179" stopIfTrue="1" operator="greaterThan">
      <formula>4.5</formula>
    </cfRule>
    <cfRule type="cellIs" dxfId="2259" priority="180" stopIfTrue="1" operator="lessThanOrEqual">
      <formula>0</formula>
    </cfRule>
  </conditionalFormatting>
  <conditionalFormatting sqref="I10:J29">
    <cfRule type="cellIs" dxfId="2258" priority="3" operator="lessThan">
      <formula>97.9</formula>
    </cfRule>
  </conditionalFormatting>
  <conditionalFormatting sqref="J32:J33">
    <cfRule type="cellIs" dxfId="2257" priority="92" operator="lessThan">
      <formula>97.95</formula>
    </cfRule>
  </conditionalFormatting>
  <conditionalFormatting sqref="J34">
    <cfRule type="cellIs" dxfId="2256" priority="159" stopIfTrue="1" operator="lessThan">
      <formula>96.8</formula>
    </cfRule>
    <cfRule type="cellIs" dxfId="2255" priority="160" stopIfTrue="1" operator="greaterThan">
      <formula>100</formula>
    </cfRule>
    <cfRule type="cellIs" dxfId="2254" priority="161" operator="lessThan">
      <formula>98</formula>
    </cfRule>
  </conditionalFormatting>
  <conditionalFormatting sqref="J34:J36">
    <cfRule type="cellIs" dxfId="2253" priority="158" operator="lessThan">
      <formula>97.4</formula>
    </cfRule>
  </conditionalFormatting>
  <conditionalFormatting sqref="J37:J38">
    <cfRule type="cellIs" dxfId="2252" priority="162" operator="lessThan">
      <formula>98</formula>
    </cfRule>
  </conditionalFormatting>
  <conditionalFormatting sqref="J39:J40">
    <cfRule type="cellIs" dxfId="2251" priority="164" stopIfTrue="1" operator="greaterThan">
      <formula>100</formula>
    </cfRule>
    <cfRule type="cellIs" dxfId="2250" priority="163" stopIfTrue="1" operator="lessThan">
      <formula>96.8</formula>
    </cfRule>
  </conditionalFormatting>
  <conditionalFormatting sqref="J39:J41">
    <cfRule type="cellIs" dxfId="2249" priority="165" operator="lessThan">
      <formula>98</formula>
    </cfRule>
  </conditionalFormatting>
  <conditionalFormatting sqref="J70">
    <cfRule type="cellIs" dxfId="2248" priority="108" stopIfTrue="1" operator="greaterThan">
      <formula>#REF!</formula>
    </cfRule>
    <cfRule type="cellIs" dxfId="2247" priority="115" stopIfTrue="1" operator="lessThanOrEqual">
      <formula>0</formula>
    </cfRule>
    <cfRule type="cellIs" dxfId="2246" priority="114" stopIfTrue="1" operator="greaterThan">
      <formula>#REF!</formula>
    </cfRule>
    <cfRule type="cellIs" dxfId="2245" priority="113" stopIfTrue="1" operator="lessThanOrEqual">
      <formula>0</formula>
    </cfRule>
    <cfRule type="cellIs" dxfId="2244" priority="112" stopIfTrue="1" operator="greaterThan">
      <formula>#REF!</formula>
    </cfRule>
    <cfRule type="cellIs" dxfId="2243" priority="111" stopIfTrue="1" operator="lessThanOrEqual">
      <formula>0</formula>
    </cfRule>
    <cfRule type="cellIs" dxfId="2242" priority="110" stopIfTrue="1" operator="greaterThan">
      <formula>#REF!</formula>
    </cfRule>
    <cfRule type="cellIs" dxfId="2241" priority="109" stopIfTrue="1" operator="lessThanOrEqual">
      <formula>0</formula>
    </cfRule>
  </conditionalFormatting>
  <conditionalFormatting sqref="J83">
    <cfRule type="cellIs" dxfId="2240" priority="42" stopIfTrue="1" operator="greaterThan">
      <formula>$F83</formula>
    </cfRule>
    <cfRule type="cellIs" dxfId="2239" priority="43" stopIfTrue="1" operator="lessThanOrEqual">
      <formula>0</formula>
    </cfRule>
  </conditionalFormatting>
  <conditionalFormatting sqref="K10:K29">
    <cfRule type="cellIs" dxfId="2238" priority="4" operator="greaterThan">
      <formula>6</formula>
    </cfRule>
    <cfRule type="cellIs" dxfId="2237" priority="6" operator="greaterThan">
      <formula>6.4</formula>
    </cfRule>
    <cfRule type="cellIs" dxfId="2236" priority="5" operator="lessThan">
      <formula>4</formula>
    </cfRule>
  </conditionalFormatting>
  <conditionalFormatting sqref="K61:K70">
    <cfRule type="cellIs" dxfId="2235" priority="91" stopIfTrue="1" operator="lessThan">
      <formula>100%</formula>
    </cfRule>
  </conditionalFormatting>
  <conditionalFormatting sqref="K74:K82">
    <cfRule type="cellIs" dxfId="2234" priority="30" stopIfTrue="1" operator="lessThan">
      <formula>100%</formula>
    </cfRule>
  </conditionalFormatting>
  <conditionalFormatting sqref="K85:K90">
    <cfRule type="cellIs" dxfId="2233" priority="185" stopIfTrue="1" operator="lessThan">
      <formula>100%</formula>
    </cfRule>
  </conditionalFormatting>
  <conditionalFormatting sqref="K92:K93">
    <cfRule type="cellIs" dxfId="2232" priority="192" stopIfTrue="1" operator="lessThan">
      <formula>100%</formula>
    </cfRule>
  </conditionalFormatting>
  <conditionalFormatting sqref="L10:L29">
    <cfRule type="cellIs" dxfId="2231" priority="7" operator="between">
      <formula>61</formula>
      <formula>65</formula>
    </cfRule>
    <cfRule type="cellIs" dxfId="2230" priority="8" operator="greaterThan">
      <formula>65</formula>
    </cfRule>
  </conditionalFormatting>
  <conditionalFormatting sqref="L32:M43">
    <cfRule type="cellIs" dxfId="2229" priority="105" operator="lessThan">
      <formula>97.95</formula>
    </cfRule>
  </conditionalFormatting>
  <conditionalFormatting sqref="L47:N47">
    <cfRule type="cellIs" dxfId="2228" priority="70" operator="notEqual">
      <formula>#REF!</formula>
    </cfRule>
  </conditionalFormatting>
  <conditionalFormatting sqref="L74:N83">
    <cfRule type="cellIs" dxfId="2227" priority="25" stopIfTrue="1" operator="lessThan">
      <formula>100%</formula>
    </cfRule>
  </conditionalFormatting>
  <conditionalFormatting sqref="L85:N93">
    <cfRule type="cellIs" dxfId="2226" priority="170" stopIfTrue="1" operator="lessThan">
      <formula>100%</formula>
    </cfRule>
  </conditionalFormatting>
  <conditionalFormatting sqref="M18:M25">
    <cfRule type="expression" dxfId="2225" priority="1">
      <formula>IF(+(IF(M18&lt;U18,0,IF(M18&gt;V18,0,1)))=0,1)</formula>
    </cfRule>
  </conditionalFormatting>
  <conditionalFormatting sqref="M10:N17 M26:N29">
    <cfRule type="expression" dxfId="2224" priority="12">
      <formula>IF(+(IF(M10&lt;#REF!,0,IF(M10&gt;#REF!,0,1)))=0,1)</formula>
    </cfRule>
  </conditionalFormatting>
  <conditionalFormatting sqref="N18:N27">
    <cfRule type="expression" dxfId="2223" priority="2">
      <formula>IF(+(IF(N18&lt;W18,0,IF(N18&gt;X18,0,1)))=0,1)</formula>
    </cfRule>
  </conditionalFormatting>
  <conditionalFormatting sqref="P6">
    <cfRule type="cellIs" dxfId="2222" priority="166" operator="greaterThanOrEqual">
      <formula>19</formula>
    </cfRule>
  </conditionalFormatting>
  <dataValidations count="1">
    <dataValidation type="list" allowBlank="1" showInputMessage="1" showErrorMessage="1" sqref="R8" xr:uid="{59717719-46AA-4BD4-92EE-7E58F5CC056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7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7F7A-A54D-4847-BA87-EAA92D66D297}">
  <sheetPr>
    <pageSetUpPr fitToPage="1"/>
  </sheetPr>
  <dimension ref="A1:BE77"/>
  <sheetViews>
    <sheetView topLeftCell="A9" zoomScale="70" zoomScaleNormal="70" workbookViewId="0">
      <selection activeCell="G29" sqref="G29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46190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7" t="s">
        <v>16</v>
      </c>
      <c r="C10" s="366" t="str">
        <f>[8]Brewhouse!$A73</f>
        <v>SM064</v>
      </c>
      <c r="D10" s="279">
        <f>[8]Brewhouse!$AH73</f>
        <v>53.1</v>
      </c>
      <c r="E10" s="279">
        <f>[8]Brewhouse!$AM73</f>
        <v>52.8</v>
      </c>
      <c r="F10" s="278">
        <f>[8]Brewhouse!$Z73</f>
        <v>71</v>
      </c>
      <c r="G10" s="279">
        <f>[8]Brewhouse!$AK73</f>
        <v>17.3</v>
      </c>
      <c r="H10" s="396"/>
      <c r="I10" s="368">
        <f>[8]Brewhouse!$AY73</f>
        <v>101.18742532014767</v>
      </c>
      <c r="J10" s="368">
        <f>[8]Brewhouse!$AZ73</f>
        <v>101.59065083122742</v>
      </c>
      <c r="K10" s="281">
        <f>[8]Brewhouse!$U73</f>
        <v>12.39171374764596</v>
      </c>
      <c r="L10" s="276">
        <f>[8]Brewhouse!$T73</f>
        <v>61</v>
      </c>
      <c r="M10" s="374">
        <f>[8]Brewhouse!$Y73-[8]Brewhouse!$X73</f>
        <v>0.14027777777777795</v>
      </c>
      <c r="N10" s="370">
        <f>[8]Brewhouse!$AD73</f>
        <v>0.29791666666666683</v>
      </c>
      <c r="O10" s="371" t="str">
        <f>[8]Brewhouse!$BC73</f>
        <v>R. Regis</v>
      </c>
      <c r="P10" s="418"/>
      <c r="R10" s="277" t="str">
        <f t="shared" ref="R10" si="0">B10</f>
        <v>STARMALT</v>
      </c>
      <c r="S10" s="472">
        <f t="shared" ref="S10:S37" si="1">VLOOKUP($B10,$R$3:$X$9,2,FALSE)</f>
        <v>17</v>
      </c>
      <c r="T10" s="472">
        <f t="shared" ref="T10:T37" si="2">VLOOKUP($B10,$R$3:$X$9,3,FALSE)</f>
        <v>17.399999999999999</v>
      </c>
      <c r="U10" s="297">
        <f t="shared" ref="U10:U37" si="3">VLOOKUP($B10,$R$3:$X$9,4,FALSE)</f>
        <v>0</v>
      </c>
      <c r="V10" s="297">
        <f t="shared" ref="V10:V37" si="4">VLOOKUP($B10,$R$3:$X$9,5,FALSE)</f>
        <v>0.13605324074074074</v>
      </c>
      <c r="W10" s="297">
        <f t="shared" ref="W10:W37" si="5">VLOOKUP($B10,$R$3:$X$9,6,FALSE)</f>
        <v>0.27430555555555552</v>
      </c>
      <c r="X10" s="297">
        <f t="shared" ref="X10:X37" si="6">VLOOKUP($B10,$R$3:$X$9,7,FALSE)</f>
        <v>0.30902777777777779</v>
      </c>
      <c r="Y10" s="297">
        <f t="shared" ref="Y10:Y37" si="7">VLOOKUP($B10,$R$3:$Z$9,8,FALSE)</f>
        <v>0</v>
      </c>
      <c r="Z10" s="472">
        <f t="shared" ref="Z10:Z37" si="8">VLOOKUP($B10,$R$3:$Z$9,9,FALSE)</f>
        <v>85</v>
      </c>
    </row>
    <row r="11" spans="2:29" ht="17.2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420"/>
      <c r="P11" s="418"/>
      <c r="R11" s="277">
        <f t="shared" ref="R11:R37" si="9">B11</f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7.25" customHeight="1">
      <c r="B12" s="33" t="s">
        <v>9</v>
      </c>
      <c r="C12" s="366" t="str">
        <f>[4]Brewhouse!$A262</f>
        <v>ST207</v>
      </c>
      <c r="D12" s="279">
        <f>[4]Brewhouse!$AB262</f>
        <v>0</v>
      </c>
      <c r="E12" s="279">
        <f>[4]Brewhouse!$AG262</f>
        <v>50</v>
      </c>
      <c r="F12" s="278">
        <f>[4]Brewhouse!$V262</f>
        <v>55</v>
      </c>
      <c r="G12" s="279">
        <f>[4]Brewhouse!$AE262</f>
        <v>11.9</v>
      </c>
      <c r="H12" s="396">
        <v>11.9</v>
      </c>
      <c r="I12" s="368">
        <f>[4]Brewhouse!$AS262</f>
        <v>99.335232031479649</v>
      </c>
      <c r="J12" s="368">
        <f>[4]Brewhouse!$AT262</f>
        <v>100.01864443935861</v>
      </c>
      <c r="K12" s="392"/>
      <c r="L12" s="276">
        <f>[4]Brewhouse!$P262</f>
        <v>60</v>
      </c>
      <c r="M12" s="374">
        <f>[4]Brewhouse!$U262-[4]Brewhouse!$T262</f>
        <v>0.13333333333333341</v>
      </c>
      <c r="N12" s="370">
        <f>[4]Brewhouse!$AW262</f>
        <v>0.5229166666666667</v>
      </c>
      <c r="O12" s="371" t="str">
        <f>[4]Brewhouse!$AV262</f>
        <v>D. Gomaz</v>
      </c>
      <c r="P12" s="418" t="s">
        <v>181</v>
      </c>
      <c r="R12" s="277" t="str">
        <f t="shared" si="9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33" t="s">
        <v>9</v>
      </c>
      <c r="C13" s="366" t="str">
        <f>[4]Brewhouse!$A263</f>
        <v>ST208</v>
      </c>
      <c r="D13" s="279">
        <f>[4]Brewhouse!$AB263</f>
        <v>53</v>
      </c>
      <c r="E13" s="279">
        <f>[4]Brewhouse!$AG263</f>
        <v>50</v>
      </c>
      <c r="F13" s="278">
        <f>[4]Brewhouse!$V263</f>
        <v>52</v>
      </c>
      <c r="G13" s="279">
        <f>[4]Brewhouse!$AE263</f>
        <v>12</v>
      </c>
      <c r="H13" s="396">
        <v>12</v>
      </c>
      <c r="I13" s="368">
        <f>[4]Brewhouse!$AS263</f>
        <v>100.58932724044769</v>
      </c>
      <c r="J13" s="368">
        <f>[4]Brewhouse!$AT263</f>
        <v>101.28069111363216</v>
      </c>
      <c r="K13" s="281">
        <f>[4]Brewhouse!$Q263</f>
        <v>12.594339622641504</v>
      </c>
      <c r="L13" s="276">
        <f>[4]Brewhouse!$P263</f>
        <v>60</v>
      </c>
      <c r="M13" s="374">
        <f>[4]Brewhouse!$U263-[4]Brewhouse!$T263</f>
        <v>0.11597222222222225</v>
      </c>
      <c r="N13" s="370">
        <f>[4]Brewhouse!$AW263</f>
        <v>0.25625000000000009</v>
      </c>
      <c r="O13" s="371" t="str">
        <f>[4]Brewhouse!$AV263</f>
        <v>K. Benjamin</v>
      </c>
      <c r="P13" s="418"/>
      <c r="R13" s="277" t="str">
        <f t="shared" si="9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33" t="s">
        <v>9</v>
      </c>
      <c r="C14" s="366" t="str">
        <f>[4]Brewhouse!$A264</f>
        <v>ST209</v>
      </c>
      <c r="D14" s="279">
        <f>[4]Brewhouse!$AB264</f>
        <v>53</v>
      </c>
      <c r="E14" s="279">
        <f>[4]Brewhouse!$AG264</f>
        <v>50.6</v>
      </c>
      <c r="F14" s="278">
        <f>[4]Brewhouse!$V264</f>
        <v>59</v>
      </c>
      <c r="G14" s="279">
        <f>[4]Brewhouse!$AE264</f>
        <v>11.9</v>
      </c>
      <c r="H14" s="396">
        <v>11.9</v>
      </c>
      <c r="I14" s="368">
        <f>[4]Brewhouse!$AS264</f>
        <v>101.15819379667646</v>
      </c>
      <c r="J14" s="368">
        <f>[4]Brewhouse!$AT264</f>
        <v>101.85301115120467</v>
      </c>
      <c r="K14" s="281">
        <f>[4]Brewhouse!$Q264</f>
        <v>10.896226415094338</v>
      </c>
      <c r="L14" s="276">
        <f>[4]Brewhouse!$P264</f>
        <v>62</v>
      </c>
      <c r="M14" s="374">
        <f>[4]Brewhouse!$U264-[4]Brewhouse!$T264</f>
        <v>0.11250000000000004</v>
      </c>
      <c r="N14" s="370">
        <f>[4]Brewhouse!$AW264</f>
        <v>0.24652777777777779</v>
      </c>
      <c r="O14" s="371" t="str">
        <f>[4]Brewhouse!$AV264</f>
        <v>K. Benjamin</v>
      </c>
      <c r="P14" s="418"/>
      <c r="R14" s="277" t="str">
        <f t="shared" si="9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33" t="s">
        <v>9</v>
      </c>
      <c r="C15" s="366" t="str">
        <f>[4]Brewhouse!$A265</f>
        <v>ST210</v>
      </c>
      <c r="D15" s="279">
        <f>[4]Brewhouse!$AB265</f>
        <v>53.1</v>
      </c>
      <c r="E15" s="279">
        <f>[4]Brewhouse!$AG265</f>
        <v>50.9</v>
      </c>
      <c r="F15" s="278">
        <f>[4]Brewhouse!$V265</f>
        <v>53</v>
      </c>
      <c r="G15" s="279">
        <f>[4]Brewhouse!$AE265</f>
        <v>11.7</v>
      </c>
      <c r="H15" s="396">
        <v>11.8</v>
      </c>
      <c r="I15" s="368">
        <f>[4]Brewhouse!$AS265</f>
        <v>100.84592825413714</v>
      </c>
      <c r="J15" s="368">
        <f>[4]Brewhouse!$AT265</f>
        <v>101.53699013753352</v>
      </c>
      <c r="K15" s="281">
        <f>[4]Brewhouse!$Q265</f>
        <v>10.875706214689263</v>
      </c>
      <c r="L15" s="276">
        <f>[4]Brewhouse!$P265</f>
        <v>62</v>
      </c>
      <c r="M15" s="374">
        <f>[4]Brewhouse!$U265-[4]Brewhouse!$T265</f>
        <v>0.1201388888888888</v>
      </c>
      <c r="N15" s="370">
        <f>[4]Brewhouse!$AW265</f>
        <v>0.27083333333333326</v>
      </c>
      <c r="O15" s="371" t="str">
        <f>[4]Brewhouse!$AV265</f>
        <v>K. Benjamin</v>
      </c>
      <c r="P15" s="418" t="s">
        <v>182</v>
      </c>
      <c r="R15" s="277" t="str">
        <f t="shared" si="9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33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6" ht="17.25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7.2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7.25" hidden="1" customHeight="1">
      <c r="B19" s="3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7.2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7.2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7.25" hidden="1" customHeight="1">
      <c r="B22" s="29"/>
      <c r="C22" s="366"/>
      <c r="D22" s="279"/>
      <c r="E22" s="279"/>
      <c r="F22" s="278"/>
      <c r="G22" s="279"/>
      <c r="H22" s="481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customHeight="1" thickBot="1">
      <c r="B24" s="358"/>
      <c r="C24" s="358"/>
      <c r="D24" s="358"/>
      <c r="E24" s="358"/>
      <c r="F24" s="294"/>
      <c r="G24" s="294"/>
      <c r="H24" s="348"/>
      <c r="I24" s="544"/>
      <c r="J24" s="544"/>
      <c r="K24" s="544"/>
      <c r="L24" s="544"/>
      <c r="M24" s="544"/>
      <c r="N24" s="544"/>
      <c r="O24" s="1"/>
      <c r="P24" s="12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388" t="s">
        <v>162</v>
      </c>
      <c r="C25" s="388"/>
      <c r="D25" s="545" t="s">
        <v>35</v>
      </c>
      <c r="E25" s="546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>
      <c r="A26" s="28"/>
      <c r="B26" s="530"/>
      <c r="C26" s="362"/>
      <c r="D26" s="548"/>
      <c r="E26" s="549"/>
      <c r="F26" s="294"/>
      <c r="G26" s="294"/>
      <c r="H26" s="348"/>
      <c r="I26" s="29" t="s">
        <v>6</v>
      </c>
      <c r="J26" s="323"/>
      <c r="K26" s="284">
        <f>COUNTA([3]Brewhouse!$A$441:$A$456)</f>
        <v>16</v>
      </c>
      <c r="L26" s="305">
        <f>AVERAGE([3]Brewhouse!$AU$441:$AU$456)</f>
        <v>98.338207134099193</v>
      </c>
      <c r="M26" s="305">
        <f>AVERAGE([3]Brewhouse!$AU$42:$AU$123,[3]Brewhouse!$AU$125:$AU$188,[3]Brewhouse!$AU$198:$AU$290,[3]Brewhouse!$AU$292:$AU$370,[3]Brewhouse!$AU$372:$AU$439,[3]Brewhouse!$AU$441:$AU$456)</f>
        <v>97.989129835114738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customHeight="1">
      <c r="A27" s="28"/>
      <c r="B27" s="531"/>
      <c r="C27" s="362"/>
      <c r="D27" s="550"/>
      <c r="E27" s="536"/>
      <c r="F27" s="294"/>
      <c r="G27" s="294"/>
      <c r="H27" s="348"/>
      <c r="I27" s="33" t="s">
        <v>9</v>
      </c>
      <c r="J27" s="323">
        <f>AVERAGE(I12:I15)</f>
        <v>100.48217033068522</v>
      </c>
      <c r="K27" s="284">
        <f>COUNTA([4]Brewhouse!$A$252:$A$265)</f>
        <v>14</v>
      </c>
      <c r="L27" s="302">
        <f>AVERAGE([4]Brewhouse!$AS$252:$AS$265)</f>
        <v>99.174251627097561</v>
      </c>
      <c r="M27" s="302">
        <f>AVERAGE([4]Brewhouse!$AS$52:$AS$81,[4]Brewhouse!$AS$83:$AS$124,[4]Brewhouse!$AS$134:$AS$177,[4]Brewhouse!$AS$22:$AS$179,[4]Brewhouse!$AS$214:$AS$249,[4]Brewhouse!$AS$252:$AS$265)</f>
        <v>98.028708410729266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31"/>
      <c r="C28" s="362"/>
      <c r="D28" s="540"/>
      <c r="E28" s="541"/>
      <c r="F28" s="294"/>
      <c r="G28" s="294"/>
      <c r="H28" s="348"/>
      <c r="I28" s="34" t="s">
        <v>12</v>
      </c>
      <c r="J28" s="280"/>
      <c r="K28" s="284">
        <f>COUNTA([5]Brewhouse!$A$62:$A$69)</f>
        <v>8</v>
      </c>
      <c r="L28" s="302">
        <f>AVERAGE([5]Brewhouse!$AU$62:$AU$69)</f>
        <v>95.865325586732524</v>
      </c>
      <c r="M28" s="302">
        <f>AVERAGE([5]Brewhouse!$AU$16:$AU$23,[5]Brewhouse!$AU$25:$AU$32,[5]Brewhouse!$AU$34:$AU$41,[5]Brewhouse!$AU$43:$AU$60,[5]Brewhouse!$AU$62:$AU$69)</f>
        <v>96.726835550404019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31"/>
      <c r="C29" s="362"/>
      <c r="D29" s="535"/>
      <c r="E29" s="536"/>
      <c r="F29" s="294"/>
      <c r="G29" s="294"/>
      <c r="H29" s="348"/>
      <c r="I29" s="22" t="s">
        <v>33</v>
      </c>
      <c r="J29" s="280"/>
      <c r="K29" s="284"/>
      <c r="L29" s="302"/>
      <c r="M29" s="302">
        <f>AVERAGE([6]Brewhouse!$AV$23:$AV$34,[6]Brewhouse!$AV$36,[6]Brewhouse!$AV$38:$AV$52,[6]Brewhouse!$AV$54:$AV$60,[6]Brewhouse!$AV$62:$AV$68)</f>
        <v>97.579195177204838</v>
      </c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31"/>
      <c r="C30" s="362"/>
      <c r="D30" s="540"/>
      <c r="E30" s="541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31"/>
      <c r="C31" s="362"/>
      <c r="D31" s="535"/>
      <c r="E31" s="536"/>
      <c r="F31" s="417"/>
      <c r="G31" s="294"/>
      <c r="H31" s="348"/>
      <c r="I31" s="36" t="s">
        <v>15</v>
      </c>
      <c r="J31" s="323"/>
      <c r="K31" s="284"/>
      <c r="L31" s="302"/>
      <c r="M31" s="302">
        <f>AVERAGE([7]Brewhouse!$AT$4:$AT$11,[7]Brewhouse!$AT$13:$AT$16)</f>
        <v>91.538375374138752</v>
      </c>
      <c r="N31" s="30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31"/>
      <c r="C32" s="362"/>
      <c r="D32" s="540"/>
      <c r="E32" s="541"/>
      <c r="F32" s="417"/>
      <c r="G32" s="294"/>
      <c r="H32" s="348"/>
      <c r="I32" s="37" t="s">
        <v>16</v>
      </c>
      <c r="J32" s="323"/>
      <c r="K32" s="284">
        <f>COUNTA([8]Brewhouse!$A$66:$A$73)</f>
        <v>8</v>
      </c>
      <c r="L32" s="302">
        <f>AVERAGE([8]Brewhouse!$AY$66:$AY$73)</f>
        <v>98.225688487824243</v>
      </c>
      <c r="M32" s="302">
        <f>AVERAGE([8]Brewhouse!$AY$5:$AY$14,[8]Brewhouse!$AY$16:$AY$23,[8]Brewhouse!$AY$42,[8]Brewhouse!$AY$44:$AY$51,[8]Brewhouse!$AY$53:$AY$64,[8]Brewhouse!$AY$66:$AY$73)</f>
        <v>97.506811941025575</v>
      </c>
      <c r="N32" s="30">
        <v>98</v>
      </c>
      <c r="O32" s="11"/>
      <c r="P32" s="31" t="s">
        <v>41</v>
      </c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31"/>
      <c r="C33" s="362"/>
      <c r="D33" s="535"/>
      <c r="E33" s="536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31"/>
      <c r="C34" s="349"/>
      <c r="D34" s="540"/>
      <c r="E34" s="541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9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31"/>
      <c r="C35" s="349"/>
      <c r="D35" s="535"/>
      <c r="E35" s="536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9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31"/>
      <c r="C36" s="349"/>
      <c r="D36" s="548"/>
      <c r="E36" s="549"/>
      <c r="F36" s="294"/>
      <c r="G36" s="294"/>
      <c r="H36" s="348"/>
      <c r="I36" s="1"/>
      <c r="J36" s="39"/>
      <c r="K36" s="404">
        <f>SUM(K26:K35)</f>
        <v>46</v>
      </c>
      <c r="L36" s="405">
        <f>((L26*K26)+(L27*K27)+(L28*K28)+(L29*K29)+(L30*K30)+(K33*L33)+(L31*K31)+(L32*K32)+(L35*K35))/(K36)</f>
        <v>98.143020641769709</v>
      </c>
      <c r="M36" s="405">
        <f>AVERAGE('[9]Jan30th-31st'!$L$42,L36)</f>
        <v>97.985531188805595</v>
      </c>
      <c r="N36" s="40">
        <v>98</v>
      </c>
      <c r="O36" s="11"/>
      <c r="P36" s="31"/>
      <c r="R36" s="277">
        <f t="shared" si="9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47"/>
      <c r="C37" s="350"/>
      <c r="D37" s="550"/>
      <c r="E37" s="536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9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30"/>
      <c r="C38" s="362"/>
      <c r="D38" s="533"/>
      <c r="E38" s="534"/>
      <c r="F38" s="294"/>
      <c r="G38" s="42"/>
      <c r="H38" s="41"/>
      <c r="I38" s="42"/>
      <c r="J38" s="537" t="s">
        <v>129</v>
      </c>
      <c r="K38" s="537"/>
      <c r="L38" s="294"/>
      <c r="M38" s="294"/>
      <c r="N38" s="294"/>
      <c r="O38" s="294"/>
      <c r="P38" s="12"/>
    </row>
    <row r="39" spans="1:56" ht="15.75" thickBot="1">
      <c r="B39" s="531"/>
      <c r="C39" s="362"/>
      <c r="D39" s="535"/>
      <c r="E39" s="536"/>
      <c r="F39" s="294"/>
      <c r="G39" s="42"/>
      <c r="H39" s="42"/>
      <c r="I39" s="42"/>
      <c r="J39" s="292" t="s">
        <v>17</v>
      </c>
      <c r="K39" s="293" t="s">
        <v>170</v>
      </c>
      <c r="L39" s="538" t="s">
        <v>136</v>
      </c>
      <c r="M39" s="538"/>
      <c r="N39" s="539"/>
      <c r="O39" s="294"/>
      <c r="P39" s="12"/>
    </row>
    <row r="40" spans="1:56" ht="15" customHeight="1" thickBot="1">
      <c r="B40" s="531"/>
      <c r="C40" s="349"/>
      <c r="D40" s="540"/>
      <c r="E40" s="541"/>
      <c r="F40" s="294"/>
      <c r="G40" s="42"/>
      <c r="H40" s="42"/>
      <c r="I40" s="42"/>
      <c r="J40" s="287" t="s">
        <v>6</v>
      </c>
      <c r="K40" s="324"/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31"/>
      <c r="C41" s="349"/>
      <c r="D41" s="535"/>
      <c r="E41" s="536"/>
      <c r="F41" s="294"/>
      <c r="G41" s="42"/>
      <c r="H41" s="42"/>
      <c r="I41" s="42"/>
      <c r="J41" s="345" t="s">
        <v>9</v>
      </c>
      <c r="K41" s="324">
        <v>4</v>
      </c>
      <c r="L41" s="344">
        <f>AVERAGE('June 2nd'!K44,'June 3rd'!K52,'June 4th'!K47,'June 5th'!K46,'June 8th'!K48,'June 9th'!K56,'June 15th '!K56,K50)</f>
        <v>5.75</v>
      </c>
      <c r="M41" s="325">
        <f>AVERAGE('[9]Jan30th-31st'!$L$47,L41,'[10]Feb 26th '!$L$39,'[11]Mar 31st'!$L$47,'[12]Apr 30th'!$L$46,'[13]May 29th '!$L$40)</f>
        <v>6.2296442687747033</v>
      </c>
      <c r="N41" s="416">
        <v>9.1999999999999993</v>
      </c>
      <c r="O41" s="294"/>
      <c r="P41" s="12"/>
    </row>
    <row r="42" spans="1:56" ht="15" customHeight="1">
      <c r="B42" s="531"/>
      <c r="C42" s="349"/>
      <c r="D42" s="540"/>
      <c r="E42" s="541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31"/>
      <c r="C43" s="349"/>
      <c r="D43" s="535"/>
      <c r="E43" s="536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31"/>
      <c r="C44" s="349"/>
      <c r="D44" s="540"/>
      <c r="E44" s="541"/>
      <c r="F44" s="294"/>
      <c r="G44" s="42"/>
      <c r="H44" s="42"/>
      <c r="I44" s="42"/>
      <c r="J44" s="290" t="s">
        <v>16</v>
      </c>
      <c r="K44" s="324">
        <v>1</v>
      </c>
      <c r="L44" s="294"/>
      <c r="M44" s="294"/>
      <c r="N44" s="294"/>
      <c r="O44" s="294"/>
      <c r="P44" s="12"/>
      <c r="BC44" s="44"/>
      <c r="BD44" s="44"/>
    </row>
    <row r="45" spans="1:56" ht="15">
      <c r="B45" s="531"/>
      <c r="C45" s="349"/>
      <c r="D45" s="535"/>
      <c r="E45" s="536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31"/>
      <c r="C46" s="349"/>
      <c r="D46" s="540"/>
      <c r="E46" s="541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32"/>
      <c r="C47" s="350"/>
      <c r="D47" s="542"/>
      <c r="E47" s="543"/>
      <c r="F47" s="294" t="s">
        <v>166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23"/>
      <c r="E48" s="524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5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15" t="s">
        <v>17</v>
      </c>
      <c r="C53" s="515" t="s">
        <v>44</v>
      </c>
      <c r="D53" s="526" t="s">
        <v>45</v>
      </c>
      <c r="E53" s="528" t="s">
        <v>46</v>
      </c>
      <c r="F53" s="521" t="s">
        <v>47</v>
      </c>
      <c r="G53" s="513" t="s">
        <v>48</v>
      </c>
      <c r="H53" s="515" t="s">
        <v>49</v>
      </c>
      <c r="I53" s="515" t="s">
        <v>50</v>
      </c>
      <c r="J53" s="507" t="s">
        <v>28</v>
      </c>
      <c r="K53" s="517" t="s">
        <v>51</v>
      </c>
      <c r="L53" s="519" t="s">
        <v>52</v>
      </c>
      <c r="M53" s="507" t="s">
        <v>53</v>
      </c>
      <c r="N53" s="13"/>
      <c r="O53" s="13"/>
      <c r="P53" s="50"/>
    </row>
    <row r="54" spans="2:57" ht="28.5" customHeight="1" thickTop="1" thickBot="1">
      <c r="B54" s="516"/>
      <c r="C54" s="525"/>
      <c r="D54" s="527"/>
      <c r="E54" s="529"/>
      <c r="F54" s="522"/>
      <c r="G54" s="514"/>
      <c r="H54" s="516"/>
      <c r="I54" s="516"/>
      <c r="J54" s="508"/>
      <c r="K54" s="518"/>
      <c r="L54" s="520"/>
      <c r="M54" s="508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2:57" s="54" customFormat="1" ht="36.75" customHeight="1" thickBot="1">
      <c r="B55" s="503"/>
      <c r="C55" s="479"/>
      <c r="D55" s="445"/>
      <c r="E55" s="443"/>
      <c r="F55" s="444"/>
      <c r="G55" s="445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[16]January_2019!L5</f>
        <v>0</v>
      </c>
      <c r="AC55" s="57">
        <f>[16]January_2019!M5</f>
        <v>0</v>
      </c>
      <c r="AD55" s="57">
        <f>[16]January_2019!N5</f>
        <v>0</v>
      </c>
      <c r="AE55" s="57">
        <f>[16]January_2019!O5</f>
        <v>0</v>
      </c>
      <c r="AF55" s="57">
        <f>[16]January_2019!P5</f>
        <v>0</v>
      </c>
      <c r="AG55" s="57">
        <f>[16]January_2019!Q5</f>
        <v>0</v>
      </c>
      <c r="AH55" s="57">
        <f>[16]January_2019!R5</f>
        <v>0</v>
      </c>
      <c r="AI55" s="57">
        <f>[16]January_2019!S5</f>
        <v>0</v>
      </c>
      <c r="AJ55" s="57">
        <f>[16]January_2019!T5</f>
        <v>0</v>
      </c>
      <c r="AK55" s="57">
        <f>[16]January_2019!U5</f>
        <v>0</v>
      </c>
      <c r="AL55" s="57">
        <f>[16]January_2019!V5</f>
        <v>0</v>
      </c>
      <c r="AM55" s="57">
        <f>[16]January_2019!W5</f>
        <v>0</v>
      </c>
      <c r="AN55" s="57">
        <f>[16]January_2019!X5</f>
        <v>0</v>
      </c>
      <c r="AO55" s="57">
        <f>[16]January_2019!Y5</f>
        <v>0</v>
      </c>
      <c r="AP55" s="57">
        <f>[16]January_2019!Z5</f>
        <v>0</v>
      </c>
      <c r="AQ55" s="57">
        <f>[16]January_2019!AA5</f>
        <v>0</v>
      </c>
      <c r="AR55" s="57">
        <f>[16]January_2019!AB5</f>
        <v>0</v>
      </c>
      <c r="AS55" s="57">
        <f>[16]January_2019!AC5</f>
        <v>0</v>
      </c>
      <c r="AT55" s="57">
        <f>[16]January_2019!AD5</f>
        <v>0</v>
      </c>
      <c r="AU55" s="57">
        <f>[16]January_2019!AE5</f>
        <v>0</v>
      </c>
      <c r="AV55" s="57">
        <f>[16]January_2019!AF5</f>
        <v>0</v>
      </c>
      <c r="AW55" s="57">
        <f>[16]January_2019!AG5</f>
        <v>0</v>
      </c>
      <c r="AX55" s="277">
        <f>[16]January_2019!AH5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4.25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[16]January_2019!L6</f>
        <v>0</v>
      </c>
      <c r="AC56" s="57">
        <f>[16]January_2019!M6</f>
        <v>0</v>
      </c>
      <c r="AD56" s="57">
        <f>[16]January_2019!N6</f>
        <v>0</v>
      </c>
      <c r="AE56" s="57">
        <f>[16]January_2019!O6</f>
        <v>0</v>
      </c>
      <c r="AF56" s="57">
        <f>[16]January_2019!P6</f>
        <v>0</v>
      </c>
      <c r="AG56" s="57">
        <f>[16]January_2019!Q6</f>
        <v>0</v>
      </c>
      <c r="AH56" s="57">
        <f>[16]January_2019!R6</f>
        <v>0</v>
      </c>
      <c r="AI56" s="57">
        <f>[16]January_2019!S6</f>
        <v>0</v>
      </c>
      <c r="AJ56" s="57">
        <f>[16]January_2019!T6</f>
        <v>0</v>
      </c>
      <c r="AK56" s="57">
        <f>[16]January_2019!U6</f>
        <v>0</v>
      </c>
      <c r="AL56" s="57">
        <f>[16]January_2019!V6</f>
        <v>0</v>
      </c>
      <c r="AM56" s="57">
        <f>[16]January_2019!W6</f>
        <v>0</v>
      </c>
      <c r="AN56" s="57">
        <f>[16]January_2019!X6</f>
        <v>0</v>
      </c>
      <c r="AO56" s="57">
        <f>[16]January_2019!Y6</f>
        <v>0</v>
      </c>
      <c r="AP56" s="57">
        <f>[16]January_2019!Z6</f>
        <v>0</v>
      </c>
      <c r="AQ56" s="57">
        <f>[16]January_2019!AA6</f>
        <v>0</v>
      </c>
      <c r="AR56" s="57">
        <f>[16]January_2019!AB6</f>
        <v>0</v>
      </c>
      <c r="AS56" s="57">
        <f>[16]January_2019!AC6</f>
        <v>0</v>
      </c>
      <c r="AT56" s="57">
        <f>[16]January_2019!AD6</f>
        <v>0</v>
      </c>
      <c r="AU56" s="57">
        <f>[16]January_2019!AE6</f>
        <v>0</v>
      </c>
      <c r="AV56" s="57">
        <f>[16]January_2019!AF6</f>
        <v>0</v>
      </c>
      <c r="AW56" s="57">
        <f>[16]January_2019!AG6</f>
        <v>0</v>
      </c>
      <c r="AX56" s="277">
        <f>[16]January_2019!AH6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[16]January_2019!L7</f>
        <v>285.8</v>
      </c>
      <c r="AC57" s="57">
        <f>[16]January_2019!M7</f>
        <v>508.1</v>
      </c>
      <c r="AD57" s="57">
        <f>[16]January_2019!N7</f>
        <v>0</v>
      </c>
      <c r="AE57" s="57">
        <f>[16]January_2019!O7</f>
        <v>0</v>
      </c>
      <c r="AF57" s="57">
        <f>[16]January_2019!P7</f>
        <v>109.56666666666666</v>
      </c>
      <c r="AG57" s="57">
        <f>[16]January_2019!Q7</f>
        <v>297.64999999999998</v>
      </c>
      <c r="AH57" s="57">
        <f>[16]January_2019!R7</f>
        <v>122.3</v>
      </c>
      <c r="AI57" s="57">
        <f>[16]January_2019!S7</f>
        <v>0</v>
      </c>
      <c r="AJ57" s="57">
        <f>[16]January_2019!T7</f>
        <v>294.7</v>
      </c>
      <c r="AK57" s="57">
        <f>[16]January_2019!U7</f>
        <v>280.5</v>
      </c>
      <c r="AL57" s="57">
        <f>[16]January_2019!V7</f>
        <v>0</v>
      </c>
      <c r="AM57" s="57">
        <f>[16]January_2019!W7</f>
        <v>0</v>
      </c>
      <c r="AN57" s="57">
        <f>[16]January_2019!X7</f>
        <v>188.25</v>
      </c>
      <c r="AO57" s="57">
        <f>[16]January_2019!Y7</f>
        <v>295.7</v>
      </c>
      <c r="AP57" s="57">
        <f>[16]January_2019!Z7</f>
        <v>257.8</v>
      </c>
      <c r="AQ57" s="57">
        <f>[16]January_2019!AA7</f>
        <v>291.2</v>
      </c>
      <c r="AR57" s="57">
        <f>[16]January_2019!AB7</f>
        <v>187</v>
      </c>
      <c r="AS57" s="57">
        <f>[16]January_2019!AC7</f>
        <v>0</v>
      </c>
      <c r="AT57" s="57">
        <f>[16]January_2019!AD7</f>
        <v>0</v>
      </c>
      <c r="AU57" s="57">
        <f>[16]January_2019!AE7</f>
        <v>485.1</v>
      </c>
      <c r="AV57" s="57">
        <f>[16]January_2019!AF7</f>
        <v>171.55</v>
      </c>
      <c r="AW57" s="57">
        <f>[16]January_2019!AG7</f>
        <v>423.8</v>
      </c>
      <c r="AX57" s="277">
        <f>[16]January_2019!AH7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9.5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450000000000003" hidden="1" customHeight="1" thickBot="1">
      <c r="B59" s="480"/>
      <c r="C59" s="479"/>
      <c r="D59" s="442"/>
      <c r="E59" s="443"/>
      <c r="F59" s="444"/>
      <c r="G59" s="445"/>
      <c r="H59" s="458"/>
      <c r="I59" s="458"/>
      <c r="J59" s="448"/>
      <c r="K59" s="45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hidden="1" customHeight="1" thickBot="1">
      <c r="B61" s="484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09" t="s">
        <v>55</v>
      </c>
      <c r="C66" s="510"/>
      <c r="D66" s="510"/>
      <c r="E66" s="510"/>
      <c r="F66" s="511"/>
      <c r="G66" s="509" t="s">
        <v>56</v>
      </c>
      <c r="H66" s="510"/>
      <c r="I66" s="510"/>
      <c r="J66" s="511"/>
      <c r="K66" s="509" t="s">
        <v>51</v>
      </c>
      <c r="L66" s="510"/>
      <c r="M66" s="510"/>
      <c r="N66" s="512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/>
      <c r="D68" s="76"/>
      <c r="E68" s="76">
        <v>6.5623673132836648</v>
      </c>
      <c r="F68" s="66">
        <v>4.8</v>
      </c>
      <c r="G68" s="65"/>
      <c r="H68" s="477"/>
      <c r="I68" s="477">
        <v>6.3197775649714227</v>
      </c>
      <c r="J68" s="66">
        <v>4.8</v>
      </c>
      <c r="K68" s="67"/>
      <c r="L68" s="194"/>
      <c r="M68" s="194">
        <v>0.51116477369802427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4.2115423694371028</v>
      </c>
      <c r="E69" s="76">
        <v>5.7607151029355022</v>
      </c>
      <c r="F69" s="66">
        <v>4.8</v>
      </c>
      <c r="G69" s="65">
        <f>[14]June_2026!$O$21</f>
        <v>3.6848557080708271</v>
      </c>
      <c r="H69" s="76">
        <v>2.7270556688003218</v>
      </c>
      <c r="I69" s="76">
        <v>5.3607389964117944</v>
      </c>
      <c r="J69" s="66">
        <v>4.8</v>
      </c>
      <c r="K69" s="67">
        <f>K55</f>
        <v>0</v>
      </c>
      <c r="L69" s="194">
        <v>1.3231578947368421</v>
      </c>
      <c r="M69" s="194">
        <v>0.71292696983194792</v>
      </c>
      <c r="N69" s="68">
        <v>1</v>
      </c>
      <c r="P69" s="69"/>
    </row>
    <row r="70" spans="2:16" ht="15">
      <c r="B70" s="34" t="s">
        <v>40</v>
      </c>
      <c r="C70" s="65"/>
      <c r="D70" s="76"/>
      <c r="E70" s="76">
        <v>11.435860710768935</v>
      </c>
      <c r="F70" s="66">
        <v>5.5</v>
      </c>
      <c r="G70" s="65"/>
      <c r="H70" s="76"/>
      <c r="I70" s="76">
        <v>12.618851801260744</v>
      </c>
      <c r="J70" s="66">
        <v>5.5</v>
      </c>
      <c r="K70" s="67"/>
      <c r="L70" s="194"/>
      <c r="M70" s="194">
        <v>0.26444407894736838</v>
      </c>
      <c r="N70" s="68">
        <v>1</v>
      </c>
      <c r="P70" s="69"/>
    </row>
    <row r="71" spans="2:16" ht="15">
      <c r="B71" s="22" t="s">
        <v>33</v>
      </c>
      <c r="C71" s="65"/>
      <c r="D71" s="76"/>
      <c r="E71" s="76">
        <v>4.7166249493098773</v>
      </c>
      <c r="F71" s="66">
        <v>3.3</v>
      </c>
      <c r="G71" s="65"/>
      <c r="H71" s="76"/>
      <c r="I71" s="76">
        <v>4.7393662692065543</v>
      </c>
      <c r="J71" s="66">
        <v>3.3</v>
      </c>
      <c r="K71" s="67"/>
      <c r="L71" s="194"/>
      <c r="M71" s="194">
        <v>0.73604010025062661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76"/>
      <c r="D73" s="76"/>
      <c r="E73" s="76">
        <v>5.1541347251672045</v>
      </c>
      <c r="F73" s="483">
        <v>5.5</v>
      </c>
      <c r="G73" s="282"/>
      <c r="H73" s="76"/>
      <c r="I73" s="76">
        <v>7.4989046872874194</v>
      </c>
      <c r="J73" s="66">
        <v>5.5</v>
      </c>
      <c r="K73" s="67"/>
      <c r="L73" s="194"/>
      <c r="M73" s="194">
        <v>1.0201754385964912</v>
      </c>
      <c r="N73" s="68">
        <v>1</v>
      </c>
      <c r="P73" s="69"/>
    </row>
    <row r="74" spans="2:16" ht="15">
      <c r="B74" s="37" t="s">
        <v>16</v>
      </c>
      <c r="C74" s="485"/>
      <c r="D74" s="76"/>
      <c r="E74" s="76">
        <v>3.7333963207914036</v>
      </c>
      <c r="F74" s="66">
        <v>3.3</v>
      </c>
      <c r="G74" s="282"/>
      <c r="H74" s="76"/>
      <c r="I74" s="76">
        <v>4.8412394790618878</v>
      </c>
      <c r="J74" s="66">
        <v>3.3</v>
      </c>
      <c r="K74" s="67"/>
      <c r="L74" s="194"/>
      <c r="M74" s="194">
        <v>0.84386695906432752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4.2115423694371028</v>
      </c>
      <c r="E77" s="76">
        <v>6.289475247812315</v>
      </c>
      <c r="F77" s="341">
        <v>5.5</v>
      </c>
      <c r="H77" s="76">
        <v>2.7270556688003218</v>
      </c>
      <c r="I77" s="76">
        <v>6.3550093782153594</v>
      </c>
      <c r="J77" s="341">
        <v>5.5</v>
      </c>
      <c r="L77" s="194">
        <v>1.3231578947368421</v>
      </c>
      <c r="M77" s="194">
        <v>0.58487378789234989</v>
      </c>
      <c r="N77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2221" priority="119" operator="notBetween">
      <formula>#REF!</formula>
      <formula>#REF!</formula>
    </cfRule>
  </conditionalFormatting>
  <conditionalFormatting sqref="C52">
    <cfRule type="cellIs" dxfId="2220" priority="209" stopIfTrue="1" operator="greaterThan">
      <formula>100</formula>
    </cfRule>
    <cfRule type="cellIs" dxfId="2219" priority="208" stopIfTrue="1" operator="lessThan">
      <formula>96</formula>
    </cfRule>
  </conditionalFormatting>
  <conditionalFormatting sqref="C68:C69">
    <cfRule type="cellIs" dxfId="2218" priority="81" stopIfTrue="1" operator="greaterThan">
      <formula>$F68</formula>
    </cfRule>
    <cfRule type="cellIs" dxfId="2217" priority="80" stopIfTrue="1" operator="lessThanOrEqual">
      <formula>0</formula>
    </cfRule>
    <cfRule type="cellIs" dxfId="2216" priority="79" stopIfTrue="1" operator="greaterThan">
      <formula>$F68</formula>
    </cfRule>
    <cfRule type="cellIs" dxfId="2215" priority="82" stopIfTrue="1" operator="lessThanOrEqual">
      <formula>0</formula>
    </cfRule>
  </conditionalFormatting>
  <conditionalFormatting sqref="C70:C72 C74:C76">
    <cfRule type="cellIs" dxfId="2214" priority="89" stopIfTrue="1" operator="greaterThan">
      <formula>$F73</formula>
    </cfRule>
  </conditionalFormatting>
  <conditionalFormatting sqref="C70:C72">
    <cfRule type="cellIs" dxfId="2213" priority="90" stopIfTrue="1" operator="lessThanOrEqual">
      <formula>0</formula>
    </cfRule>
  </conditionalFormatting>
  <conditionalFormatting sqref="C74:C76">
    <cfRule type="cellIs" dxfId="2212" priority="91" stopIfTrue="1" operator="lessThanOrEqual">
      <formula>0</formula>
    </cfRule>
  </conditionalFormatting>
  <conditionalFormatting sqref="C79:C83">
    <cfRule type="cellIs" dxfId="2211" priority="200" stopIfTrue="1" operator="lessThanOrEqual">
      <formula>0</formula>
    </cfRule>
  </conditionalFormatting>
  <conditionalFormatting sqref="C80:C83">
    <cfRule type="cellIs" dxfId="2210" priority="199" stopIfTrue="1" operator="greaterThan">
      <formula>$F$79</formula>
    </cfRule>
  </conditionalFormatting>
  <conditionalFormatting sqref="C85">
    <cfRule type="cellIs" dxfId="2209" priority="201" stopIfTrue="1" operator="greaterThan">
      <formula>$F$79</formula>
    </cfRule>
    <cfRule type="cellIs" dxfId="2208" priority="202" stopIfTrue="1" operator="lessThanOrEqual">
      <formula>0</formula>
    </cfRule>
  </conditionalFormatting>
  <conditionalFormatting sqref="C73:D73">
    <cfRule type="cellIs" dxfId="2207" priority="78" stopIfTrue="1" operator="lessThanOrEqual">
      <formula>0</formula>
    </cfRule>
    <cfRule type="cellIs" dxfId="2206" priority="77" stopIfTrue="1" operator="greaterThan">
      <formula>$J73</formula>
    </cfRule>
  </conditionalFormatting>
  <conditionalFormatting sqref="C79:D79 D81:D87">
    <cfRule type="cellIs" dxfId="2205" priority="194" stopIfTrue="1" operator="greaterThan">
      <formula>4.5</formula>
    </cfRule>
  </conditionalFormatting>
  <conditionalFormatting sqref="D48:D49">
    <cfRule type="cellIs" dxfId="2204" priority="120" operator="notBetween">
      <formula>#REF!</formula>
      <formula>#REF!</formula>
    </cfRule>
  </conditionalFormatting>
  <conditionalFormatting sqref="D68:D72 D74:D75">
    <cfRule type="cellIs" dxfId="2203" priority="88" stopIfTrue="1" operator="lessThanOrEqual">
      <formula>0</formula>
    </cfRule>
  </conditionalFormatting>
  <conditionalFormatting sqref="D68:D72 D74:D77">
    <cfRule type="cellIs" dxfId="2202" priority="85" stopIfTrue="1" operator="greaterThan">
      <formula>$F68</formula>
    </cfRule>
    <cfRule type="cellIs" dxfId="2201" priority="84" stopIfTrue="1" operator="lessThanOrEqual">
      <formula>0</formula>
    </cfRule>
  </conditionalFormatting>
  <conditionalFormatting sqref="D76:D77">
    <cfRule type="cellIs" dxfId="2200" priority="86" stopIfTrue="1" operator="lessThanOrEqual">
      <formula>0</formula>
    </cfRule>
  </conditionalFormatting>
  <conditionalFormatting sqref="D77">
    <cfRule type="cellIs" dxfId="2199" priority="87" stopIfTrue="1" operator="lessThanOrEqual">
      <formula>0</formula>
    </cfRule>
  </conditionalFormatting>
  <conditionalFormatting sqref="D79 D81:D87">
    <cfRule type="cellIs" dxfId="2198" priority="195" stopIfTrue="1" operator="lessThanOrEqual">
      <formula>0</formula>
    </cfRule>
  </conditionalFormatting>
  <conditionalFormatting sqref="D80">
    <cfRule type="cellIs" dxfId="2197" priority="187" stopIfTrue="1" operator="lessThanOrEqual">
      <formula>0</formula>
    </cfRule>
    <cfRule type="cellIs" dxfId="2196" priority="186" stopIfTrue="1" operator="greaterThan">
      <formula>$F$79</formula>
    </cfRule>
  </conditionalFormatting>
  <conditionalFormatting sqref="E10:E23">
    <cfRule type="cellIs" dxfId="2195" priority="9" operator="lessThan">
      <formula>48</formula>
    </cfRule>
  </conditionalFormatting>
  <conditionalFormatting sqref="E51 E52:F52">
    <cfRule type="cellIs" dxfId="2194" priority="191" stopIfTrue="1" operator="greaterThan">
      <formula>100</formula>
    </cfRule>
  </conditionalFormatting>
  <conditionalFormatting sqref="E52">
    <cfRule type="cellIs" dxfId="2193" priority="189" stopIfTrue="1" operator="greaterThan">
      <formula>100</formula>
    </cfRule>
    <cfRule type="cellIs" dxfId="2192" priority="188" stopIfTrue="1" operator="lessThan">
      <formula>96.8</formula>
    </cfRule>
  </conditionalFormatting>
  <conditionalFormatting sqref="E68:E76">
    <cfRule type="cellIs" dxfId="2191" priority="46" stopIfTrue="1" operator="lessThanOrEqual">
      <formula>0</formula>
    </cfRule>
  </conditionalFormatting>
  <conditionalFormatting sqref="E68:E77">
    <cfRule type="cellIs" dxfId="2190" priority="47" stopIfTrue="1" operator="greaterThan">
      <formula>$F68</formula>
    </cfRule>
    <cfRule type="cellIs" dxfId="2189" priority="48" stopIfTrue="1" operator="lessThanOrEqual">
      <formula>0</formula>
    </cfRule>
  </conditionalFormatting>
  <conditionalFormatting sqref="E77">
    <cfRule type="cellIs" dxfId="2188" priority="49" stopIfTrue="1" operator="lessThanOrEqual">
      <formula>0</formula>
    </cfRule>
  </conditionalFormatting>
  <conditionalFormatting sqref="E79:E87">
    <cfRule type="cellIs" dxfId="2187" priority="181" stopIfTrue="1" operator="lessThanOrEqual">
      <formula>0</formula>
    </cfRule>
    <cfRule type="cellIs" dxfId="2186" priority="180" stopIfTrue="1" operator="greaterThan">
      <formula>4.5</formula>
    </cfRule>
  </conditionalFormatting>
  <conditionalFormatting sqref="E52:F52 E51">
    <cfRule type="cellIs" dxfId="2185" priority="190" stopIfTrue="1" operator="lessThan">
      <formula>96.5</formula>
    </cfRule>
  </conditionalFormatting>
  <conditionalFormatting sqref="F11 F20:F23">
    <cfRule type="cellIs" dxfId="2184" priority="35" operator="greaterThan">
      <formula>60</formula>
    </cfRule>
  </conditionalFormatting>
  <conditionalFormatting sqref="F52">
    <cfRule type="cellIs" dxfId="2183" priority="207" stopIfTrue="1" operator="greaterThan">
      <formula>100</formula>
    </cfRule>
    <cfRule type="cellIs" dxfId="2182" priority="206" stopIfTrue="1" operator="lessThan">
      <formula>96.8</formula>
    </cfRule>
  </conditionalFormatting>
  <conditionalFormatting sqref="F77">
    <cfRule type="cellIs" dxfId="2181" priority="57" stopIfTrue="1" operator="greaterThan">
      <formula>$F77</formula>
    </cfRule>
    <cfRule type="cellIs" dxfId="2180" priority="58" stopIfTrue="1" operator="lessThanOrEqual">
      <formula>0</formula>
    </cfRule>
  </conditionalFormatting>
  <conditionalFormatting sqref="G10">
    <cfRule type="expression" dxfId="2179" priority="10">
      <formula>IF(+(IF(G10&lt;T10,0,IF(G10&gt;U10,0,1)))=0,1)</formula>
    </cfRule>
  </conditionalFormatting>
  <conditionalFormatting sqref="G12:G19">
    <cfRule type="expression" dxfId="2178" priority="21">
      <formula>IF(+(IF(G12&lt;S12,0,IF(G12&gt;T12,0,1)))=0,1)</formula>
    </cfRule>
  </conditionalFormatting>
  <conditionalFormatting sqref="G22:G23">
    <cfRule type="expression" dxfId="2177" priority="37">
      <formula>IF(+(IF(G22&lt;S22,0,IF(G22&gt;T22,0,1)))=0,1)</formula>
    </cfRule>
  </conditionalFormatting>
  <conditionalFormatting sqref="G68:G69">
    <cfRule type="cellIs" dxfId="2176" priority="59" stopIfTrue="1" operator="greaterThan">
      <formula>$F68</formula>
    </cfRule>
    <cfRule type="cellIs" dxfId="2175" priority="60" stopIfTrue="1" operator="lessThanOrEqual">
      <formula>0</formula>
    </cfRule>
  </conditionalFormatting>
  <conditionalFormatting sqref="G68:G71">
    <cfRule type="cellIs" dxfId="2174" priority="41" stopIfTrue="1" operator="greaterThan">
      <formula>$F68</formula>
    </cfRule>
    <cfRule type="cellIs" dxfId="2173" priority="42" stopIfTrue="1" operator="lessThanOrEqual">
      <formula>0</formula>
    </cfRule>
  </conditionalFormatting>
  <conditionalFormatting sqref="G70">
    <cfRule type="cellIs" dxfId="2172" priority="40" stopIfTrue="1" operator="lessThanOrEqual">
      <formula>0</formula>
    </cfRule>
    <cfRule type="cellIs" dxfId="2171" priority="39" stopIfTrue="1" operator="greaterThan">
      <formula>$F70</formula>
    </cfRule>
  </conditionalFormatting>
  <conditionalFormatting sqref="G71">
    <cfRule type="cellIs" dxfId="2170" priority="54" stopIfTrue="1" operator="lessThanOrEqual">
      <formula>0</formula>
    </cfRule>
    <cfRule type="cellIs" dxfId="2169" priority="53" stopIfTrue="1" operator="greaterThan">
      <formula>$F71</formula>
    </cfRule>
  </conditionalFormatting>
  <conditionalFormatting sqref="G72:G76">
    <cfRule type="cellIs" dxfId="2168" priority="61" stopIfTrue="1" operator="greaterThan">
      <formula>$J72</formula>
    </cfRule>
    <cfRule type="cellIs" dxfId="2167" priority="62" stopIfTrue="1" operator="lessThanOrEqual">
      <formula>0</formula>
    </cfRule>
  </conditionalFormatting>
  <conditionalFormatting sqref="G81:G86 C84 C86">
    <cfRule type="cellIs" dxfId="2166" priority="203" stopIfTrue="1" operator="greaterThan">
      <formula>4.5</formula>
    </cfRule>
    <cfRule type="cellIs" dxfId="2165" priority="204" stopIfTrue="1" operator="lessThanOrEqual">
      <formula>0</formula>
    </cfRule>
  </conditionalFormatting>
  <conditionalFormatting sqref="G11:H11 G20:H21">
    <cfRule type="expression" dxfId="2164" priority="34">
      <formula>IF(+(IF(G11&lt;#REF!,0,IF(G11&gt;#REF!,0,1)))=0,1)</formula>
    </cfRule>
  </conditionalFormatting>
  <conditionalFormatting sqref="G80:H80">
    <cfRule type="cellIs" dxfId="2163" priority="185" stopIfTrue="1" operator="lessThanOrEqual">
      <formula>0</formula>
    </cfRule>
    <cfRule type="cellIs" dxfId="2162" priority="184" stopIfTrue="1" operator="greaterThan">
      <formula>$F$79</formula>
    </cfRule>
  </conditionalFormatting>
  <conditionalFormatting sqref="H10">
    <cfRule type="expression" dxfId="2161" priority="11">
      <formula>IF(+(IF(H10&lt;#REF!,0,IF(H10&gt;#REF!,0,1)))=0,1)</formula>
    </cfRule>
  </conditionalFormatting>
  <conditionalFormatting sqref="H22:H23">
    <cfRule type="expression" dxfId="2160" priority="36">
      <formula>IF(+(IF(H22&lt;#REF!,0,IF(H22&gt;#REF!,0,1)))=0,1)</formula>
    </cfRule>
  </conditionalFormatting>
  <conditionalFormatting sqref="H37:H38 H51">
    <cfRule type="cellIs" dxfId="2159" priority="182" stopIfTrue="1" operator="greaterThan">
      <formula>0</formula>
    </cfRule>
  </conditionalFormatting>
  <conditionalFormatting sqref="H55">
    <cfRule type="cellIs" dxfId="2158" priority="64" stopIfTrue="1" operator="lessThanOrEqual">
      <formula>0</formula>
    </cfRule>
    <cfRule type="cellIs" dxfId="2157" priority="65" stopIfTrue="1" operator="greaterThan">
      <formula>$F$68</formula>
    </cfRule>
    <cfRule type="cellIs" dxfId="2156" priority="75" stopIfTrue="1" operator="greaterThan">
      <formula>$F$69</formula>
    </cfRule>
    <cfRule type="cellIs" dxfId="2155" priority="74" stopIfTrue="1" operator="lessThanOrEqual">
      <formula>0</formula>
    </cfRule>
    <cfRule type="cellIs" dxfId="2154" priority="73" stopIfTrue="1" operator="greaterThan">
      <formula>$F$71</formula>
    </cfRule>
  </conditionalFormatting>
  <conditionalFormatting sqref="H55:H57">
    <cfRule type="cellIs" dxfId="2153" priority="76" stopIfTrue="1" operator="lessThanOrEqual">
      <formula>0</formula>
    </cfRule>
  </conditionalFormatting>
  <conditionalFormatting sqref="H56:H57">
    <cfRule type="cellIs" dxfId="2152" priority="92" stopIfTrue="1" operator="greaterThan">
      <formula>$F$68</formula>
    </cfRule>
    <cfRule type="cellIs" dxfId="2151" priority="102" stopIfTrue="1" operator="greaterThan">
      <formula>$F$69</formula>
    </cfRule>
    <cfRule type="cellIs" dxfId="2150" priority="101" stopIfTrue="1" operator="lessThanOrEqual">
      <formula>0</formula>
    </cfRule>
    <cfRule type="cellIs" dxfId="2149" priority="100" stopIfTrue="1" operator="greaterThan">
      <formula>$F$71</formula>
    </cfRule>
  </conditionalFormatting>
  <conditionalFormatting sqref="H56:H59">
    <cfRule type="cellIs" dxfId="2148" priority="103" stopIfTrue="1" operator="lessThanOrEqual">
      <formula>0</formula>
    </cfRule>
  </conditionalFormatting>
  <conditionalFormatting sqref="H58:H59">
    <cfRule type="cellIs" dxfId="2147" priority="117" stopIfTrue="1" operator="lessThanOrEqual">
      <formula>0</formula>
    </cfRule>
    <cfRule type="cellIs" dxfId="2146" priority="106" stopIfTrue="1" operator="greaterThan">
      <formula>$F$68</formula>
    </cfRule>
    <cfRule type="cellIs" dxfId="2145" priority="114" stopIfTrue="1" operator="greaterThan">
      <formula>$F$71</formula>
    </cfRule>
    <cfRule type="cellIs" dxfId="2144" priority="115" stopIfTrue="1" operator="lessThanOrEqual">
      <formula>0</formula>
    </cfRule>
    <cfRule type="cellIs" dxfId="2143" priority="116" stopIfTrue="1" operator="greaterThan">
      <formula>$F$69</formula>
    </cfRule>
  </conditionalFormatting>
  <conditionalFormatting sqref="H60:H61">
    <cfRule type="cellIs" dxfId="2142" priority="144" stopIfTrue="1" operator="lessThanOrEqual">
      <formula>0</formula>
    </cfRule>
    <cfRule type="cellIs" dxfId="2141" priority="145" stopIfTrue="1" operator="greaterThan">
      <formula>#REF!</formula>
    </cfRule>
    <cfRule type="cellIs" dxfId="2140" priority="156" stopIfTrue="1" operator="lessThanOrEqual">
      <formula>0</formula>
    </cfRule>
    <cfRule type="cellIs" dxfId="2139" priority="155" stopIfTrue="1" operator="greaterThan">
      <formula>#REF!</formula>
    </cfRule>
    <cfRule type="cellIs" dxfId="2138" priority="154" stopIfTrue="1" operator="lessThanOrEqual">
      <formula>0</formula>
    </cfRule>
    <cfRule type="cellIs" dxfId="2137" priority="153" stopIfTrue="1" operator="greaterThan">
      <formula>$F$23</formula>
    </cfRule>
  </conditionalFormatting>
  <conditionalFormatting sqref="H62">
    <cfRule type="cellIs" dxfId="2136" priority="158" stopIfTrue="1" operator="lessThanOrEqual">
      <formula>0</formula>
    </cfRule>
    <cfRule type="cellIs" dxfId="2135" priority="159" stopIfTrue="1" operator="greaterThan">
      <formula>$F$36</formula>
    </cfRule>
    <cfRule type="cellIs" dxfId="2134" priority="167" stopIfTrue="1" operator="greaterThan">
      <formula>$F$39</formula>
    </cfRule>
    <cfRule type="cellIs" dxfId="2133" priority="170" stopIfTrue="1" operator="lessThanOrEqual">
      <formula>0</formula>
    </cfRule>
    <cfRule type="cellIs" dxfId="2132" priority="169" stopIfTrue="1" operator="greaterThan">
      <formula>$F$37</formula>
    </cfRule>
    <cfRule type="cellIs" dxfId="2131" priority="168" stopIfTrue="1" operator="lessThanOrEqual">
      <formula>0</formula>
    </cfRule>
  </conditionalFormatting>
  <conditionalFormatting sqref="H63:H64">
    <cfRule type="cellIs" dxfId="2130" priority="131" stopIfTrue="1" operator="greaterThan">
      <formula>#REF!</formula>
    </cfRule>
    <cfRule type="cellIs" dxfId="2129" priority="130" stopIfTrue="1" operator="lessThanOrEqual">
      <formula>0</formula>
    </cfRule>
    <cfRule type="cellIs" dxfId="2128" priority="139" stopIfTrue="1" operator="greaterThan">
      <formula>$F$23</formula>
    </cfRule>
    <cfRule type="cellIs" dxfId="2127" priority="140" stopIfTrue="1" operator="lessThanOrEqual">
      <formula>0</formula>
    </cfRule>
    <cfRule type="cellIs" dxfId="2126" priority="141" stopIfTrue="1" operator="greaterThan">
      <formula>#REF!</formula>
    </cfRule>
    <cfRule type="cellIs" dxfId="2125" priority="142" stopIfTrue="1" operator="lessThanOrEqual">
      <formula>0</formula>
    </cfRule>
  </conditionalFormatting>
  <conditionalFormatting sqref="H79 H81:H87">
    <cfRule type="cellIs" dxfId="2124" priority="196" stopIfTrue="1" operator="greaterThan">
      <formula>4.5</formula>
    </cfRule>
    <cfRule type="cellIs" dxfId="2123" priority="197" stopIfTrue="1" operator="lessThanOrEqual">
      <formula>0</formula>
    </cfRule>
  </conditionalFormatting>
  <conditionalFormatting sqref="H55:I55">
    <cfRule type="cellIs" dxfId="2122" priority="66" stopIfTrue="1" operator="lessThanOrEqual">
      <formula>0</formula>
    </cfRule>
  </conditionalFormatting>
  <conditionalFormatting sqref="H55:I59">
    <cfRule type="cellIs" dxfId="2121" priority="63" stopIfTrue="1" operator="greaterThan">
      <formula>$F$70</formula>
    </cfRule>
  </conditionalFormatting>
  <conditionalFormatting sqref="H56:I57">
    <cfRule type="cellIs" dxfId="2120" priority="93" stopIfTrue="1" operator="lessThanOrEqual">
      <formula>0</formula>
    </cfRule>
  </conditionalFormatting>
  <conditionalFormatting sqref="H58:I59">
    <cfRule type="cellIs" dxfId="2119" priority="107" stopIfTrue="1" operator="lessThanOrEqual">
      <formula>0</formula>
    </cfRule>
  </conditionalFormatting>
  <conditionalFormatting sqref="H60:I61">
    <cfRule type="cellIs" dxfId="2118" priority="146" stopIfTrue="1" operator="lessThanOrEqual">
      <formula>0</formula>
    </cfRule>
    <cfRule type="cellIs" dxfId="2117" priority="143" stopIfTrue="1" operator="greaterThan">
      <formula>#REF!</formula>
    </cfRule>
  </conditionalFormatting>
  <conditionalFormatting sqref="H62:I62">
    <cfRule type="cellIs" dxfId="2116" priority="160" stopIfTrue="1" operator="lessThanOrEqual">
      <formula>0</formula>
    </cfRule>
    <cfRule type="cellIs" dxfId="2115" priority="157" stopIfTrue="1" operator="greaterThan">
      <formula>$F$38</formula>
    </cfRule>
  </conditionalFormatting>
  <conditionalFormatting sqref="H63:I64">
    <cfRule type="cellIs" dxfId="2114" priority="132" stopIfTrue="1" operator="lessThanOrEqual">
      <formula>0</formula>
    </cfRule>
    <cfRule type="cellIs" dxfId="2113" priority="129" stopIfTrue="1" operator="greaterThan">
      <formula>#REF!</formula>
    </cfRule>
  </conditionalFormatting>
  <conditionalFormatting sqref="H68:I75">
    <cfRule type="cellIs" dxfId="2112" priority="44" stopIfTrue="1" operator="greaterThan">
      <formula>$J68</formula>
    </cfRule>
    <cfRule type="cellIs" dxfId="2111" priority="45" stopIfTrue="1" operator="lessThanOrEqual">
      <formula>0</formula>
    </cfRule>
  </conditionalFormatting>
  <conditionalFormatting sqref="H76:I76">
    <cfRule type="cellIs" dxfId="2110" priority="52" operator="greaterThan">
      <formula>5.3</formula>
    </cfRule>
  </conditionalFormatting>
  <conditionalFormatting sqref="H77:I77">
    <cfRule type="cellIs" dxfId="2109" priority="51" stopIfTrue="1" operator="lessThanOrEqual">
      <formula>0</formula>
    </cfRule>
    <cfRule type="cellIs" dxfId="2108" priority="50" stopIfTrue="1" operator="greaterThan">
      <formula>$J77</formula>
    </cfRule>
  </conditionalFormatting>
  <conditionalFormatting sqref="I55">
    <cfRule type="cellIs" dxfId="2107" priority="71" stopIfTrue="1" operator="greaterThan">
      <formula>$F$68</formula>
    </cfRule>
    <cfRule type="cellIs" dxfId="2106" priority="70" stopIfTrue="1" operator="lessThanOrEqual">
      <formula>0</formula>
    </cfRule>
    <cfRule type="cellIs" dxfId="2105" priority="69" stopIfTrue="1" operator="greaterThan">
      <formula>$F$70</formula>
    </cfRule>
    <cfRule type="cellIs" dxfId="2104" priority="68" stopIfTrue="1" operator="lessThanOrEqual">
      <formula>0</formula>
    </cfRule>
    <cfRule type="cellIs" dxfId="2103" priority="67" stopIfTrue="1" operator="greaterThan">
      <formula>$F$68</formula>
    </cfRule>
    <cfRule type="cellIs" dxfId="2102" priority="72" stopIfTrue="1" operator="lessThanOrEqual">
      <formula>0</formula>
    </cfRule>
  </conditionalFormatting>
  <conditionalFormatting sqref="I56:I57">
    <cfRule type="cellIs" dxfId="2101" priority="95" stopIfTrue="1" operator="lessThanOrEqual">
      <formula>0</formula>
    </cfRule>
    <cfRule type="cellIs" dxfId="2100" priority="96" stopIfTrue="1" operator="greaterThan">
      <formula>$F$70</formula>
    </cfRule>
    <cfRule type="cellIs" dxfId="2099" priority="97" stopIfTrue="1" operator="lessThanOrEqual">
      <formula>0</formula>
    </cfRule>
    <cfRule type="cellIs" dxfId="2098" priority="98" stopIfTrue="1" operator="greaterThan">
      <formula>$F$68</formula>
    </cfRule>
    <cfRule type="cellIs" dxfId="2097" priority="99" stopIfTrue="1" operator="lessThanOrEqual">
      <formula>0</formula>
    </cfRule>
    <cfRule type="cellIs" dxfId="2096" priority="94" stopIfTrue="1" operator="greaterThan">
      <formula>$F$68</formula>
    </cfRule>
  </conditionalFormatting>
  <conditionalFormatting sqref="I58:I59">
    <cfRule type="cellIs" dxfId="2095" priority="108" stopIfTrue="1" operator="greaterThan">
      <formula>$F$68</formula>
    </cfRule>
    <cfRule type="cellIs" dxfId="2094" priority="113" stopIfTrue="1" operator="lessThanOrEqual">
      <formula>0</formula>
    </cfRule>
    <cfRule type="cellIs" dxfId="2093" priority="112" stopIfTrue="1" operator="greaterThan">
      <formula>$F$68</formula>
    </cfRule>
    <cfRule type="cellIs" dxfId="2092" priority="109" stopIfTrue="1" operator="lessThanOrEqual">
      <formula>0</formula>
    </cfRule>
    <cfRule type="cellIs" dxfId="2091" priority="111" stopIfTrue="1" operator="lessThanOrEqual">
      <formula>0</formula>
    </cfRule>
    <cfRule type="cellIs" dxfId="2090" priority="110" stopIfTrue="1" operator="greaterThan">
      <formula>$F$70</formula>
    </cfRule>
  </conditionalFormatting>
  <conditionalFormatting sqref="I60:I61">
    <cfRule type="cellIs" dxfId="2089" priority="149" stopIfTrue="1" operator="greaterThan">
      <formula>#REF!</formula>
    </cfRule>
    <cfRule type="cellIs" dxfId="2088" priority="150" stopIfTrue="1" operator="lessThanOrEqual">
      <formula>0</formula>
    </cfRule>
    <cfRule type="cellIs" dxfId="2087" priority="151" stopIfTrue="1" operator="greaterThan">
      <formula>#REF!</formula>
    </cfRule>
    <cfRule type="cellIs" dxfId="2086" priority="148" stopIfTrue="1" operator="lessThanOrEqual">
      <formula>0</formula>
    </cfRule>
    <cfRule type="cellIs" dxfId="2085" priority="147" stopIfTrue="1" operator="greaterThan">
      <formula>#REF!</formula>
    </cfRule>
    <cfRule type="cellIs" dxfId="2084" priority="152" stopIfTrue="1" operator="lessThanOrEqual">
      <formula>0</formula>
    </cfRule>
  </conditionalFormatting>
  <conditionalFormatting sqref="I62">
    <cfRule type="cellIs" dxfId="2083" priority="164" stopIfTrue="1" operator="lessThanOrEqual">
      <formula>0</formula>
    </cfRule>
    <cfRule type="cellIs" dxfId="2082" priority="162" stopIfTrue="1" operator="lessThanOrEqual">
      <formula>0</formula>
    </cfRule>
    <cfRule type="cellIs" dxfId="2081" priority="163" stopIfTrue="1" operator="greaterThan">
      <formula>$F$38</formula>
    </cfRule>
    <cfRule type="cellIs" dxfId="2080" priority="165" stopIfTrue="1" operator="greaterThan">
      <formula>$F$36</formula>
    </cfRule>
    <cfRule type="cellIs" dxfId="2079" priority="166" stopIfTrue="1" operator="lessThanOrEqual">
      <formula>0</formula>
    </cfRule>
    <cfRule type="cellIs" dxfId="2078" priority="161" stopIfTrue="1" operator="greaterThan">
      <formula>$F$36</formula>
    </cfRule>
  </conditionalFormatting>
  <conditionalFormatting sqref="I63:I64">
    <cfRule type="cellIs" dxfId="2077" priority="133" stopIfTrue="1" operator="greaterThan">
      <formula>#REF!</formula>
    </cfRule>
    <cfRule type="cellIs" dxfId="2076" priority="138" stopIfTrue="1" operator="lessThanOrEqual">
      <formula>0</formula>
    </cfRule>
    <cfRule type="cellIs" dxfId="2075" priority="137" stopIfTrue="1" operator="greaterThan">
      <formula>#REF!</formula>
    </cfRule>
    <cfRule type="cellIs" dxfId="2074" priority="136" stopIfTrue="1" operator="lessThanOrEqual">
      <formula>0</formula>
    </cfRule>
    <cfRule type="cellIs" dxfId="2073" priority="135" stopIfTrue="1" operator="greaterThan">
      <formula>#REF!</formula>
    </cfRule>
    <cfRule type="cellIs" dxfId="2072" priority="134" stopIfTrue="1" operator="lessThanOrEqual">
      <formula>0</formula>
    </cfRule>
  </conditionalFormatting>
  <conditionalFormatting sqref="I79:I87">
    <cfRule type="cellIs" dxfId="2071" priority="193" stopIfTrue="1" operator="lessThanOrEqual">
      <formula>0</formula>
    </cfRule>
    <cfRule type="cellIs" dxfId="2070" priority="192" stopIfTrue="1" operator="greaterThan">
      <formula>4.5</formula>
    </cfRule>
  </conditionalFormatting>
  <conditionalFormatting sqref="I10:J23">
    <cfRule type="cellIs" dxfId="2069" priority="3" operator="lessThan">
      <formula>97.9</formula>
    </cfRule>
  </conditionalFormatting>
  <conditionalFormatting sqref="J26:J27">
    <cfRule type="cellIs" dxfId="2068" priority="105" operator="lessThan">
      <formula>97.95</formula>
    </cfRule>
  </conditionalFormatting>
  <conditionalFormatting sqref="J28">
    <cfRule type="cellIs" dxfId="2067" priority="172" stopIfTrue="1" operator="lessThan">
      <formula>96.8</formula>
    </cfRule>
    <cfRule type="cellIs" dxfId="2066" priority="174" operator="lessThan">
      <formula>98</formula>
    </cfRule>
    <cfRule type="cellIs" dxfId="2065" priority="173" stopIfTrue="1" operator="greaterThan">
      <formula>100</formula>
    </cfRule>
  </conditionalFormatting>
  <conditionalFormatting sqref="J28:J30">
    <cfRule type="cellIs" dxfId="2064" priority="171" operator="lessThan">
      <formula>97.4</formula>
    </cfRule>
  </conditionalFormatting>
  <conditionalFormatting sqref="J31:J32">
    <cfRule type="cellIs" dxfId="2063" priority="175" operator="lessThan">
      <formula>98</formula>
    </cfRule>
  </conditionalFormatting>
  <conditionalFormatting sqref="J33:J34">
    <cfRule type="cellIs" dxfId="2062" priority="176" stopIfTrue="1" operator="lessThan">
      <formula>96.8</formula>
    </cfRule>
    <cfRule type="cellIs" dxfId="2061" priority="177" stopIfTrue="1" operator="greaterThan">
      <formula>100</formula>
    </cfRule>
  </conditionalFormatting>
  <conditionalFormatting sqref="J33:J35">
    <cfRule type="cellIs" dxfId="2060" priority="178" operator="lessThan">
      <formula>98</formula>
    </cfRule>
  </conditionalFormatting>
  <conditionalFormatting sqref="J64">
    <cfRule type="cellIs" dxfId="2059" priority="124" stopIfTrue="1" operator="lessThanOrEqual">
      <formula>0</formula>
    </cfRule>
    <cfRule type="cellIs" dxfId="2058" priority="123" stopIfTrue="1" operator="greaterThan">
      <formula>#REF!</formula>
    </cfRule>
    <cfRule type="cellIs" dxfId="2057" priority="125" stopIfTrue="1" operator="greaterThan">
      <formula>#REF!</formula>
    </cfRule>
    <cfRule type="cellIs" dxfId="2056" priority="121" stopIfTrue="1" operator="greaterThan">
      <formula>#REF!</formula>
    </cfRule>
    <cfRule type="cellIs" dxfId="2055" priority="128" stopIfTrue="1" operator="lessThanOrEqual">
      <formula>0</formula>
    </cfRule>
    <cfRule type="cellIs" dxfId="2054" priority="127" stopIfTrue="1" operator="greaterThan">
      <formula>#REF!</formula>
    </cfRule>
    <cfRule type="cellIs" dxfId="2053" priority="122" stopIfTrue="1" operator="lessThanOrEqual">
      <formula>0</formula>
    </cfRule>
    <cfRule type="cellIs" dxfId="2052" priority="126" stopIfTrue="1" operator="lessThanOrEqual">
      <formula>0</formula>
    </cfRule>
  </conditionalFormatting>
  <conditionalFormatting sqref="J77">
    <cfRule type="cellIs" dxfId="2051" priority="55" stopIfTrue="1" operator="greaterThan">
      <formula>$F77</formula>
    </cfRule>
    <cfRule type="cellIs" dxfId="2050" priority="56" stopIfTrue="1" operator="lessThanOrEqual">
      <formula>0</formula>
    </cfRule>
  </conditionalFormatting>
  <conditionalFormatting sqref="K10:K23">
    <cfRule type="cellIs" dxfId="2049" priority="5" operator="lessThan">
      <formula>4</formula>
    </cfRule>
    <cfRule type="cellIs" dxfId="2048" priority="6" operator="greaterThan">
      <formula>6.4</formula>
    </cfRule>
    <cfRule type="cellIs" dxfId="2047" priority="4" operator="greaterThan">
      <formula>6</formula>
    </cfRule>
  </conditionalFormatting>
  <conditionalFormatting sqref="K55:K64">
    <cfRule type="cellIs" dxfId="2046" priority="104" stopIfTrue="1" operator="lessThan">
      <formula>100%</formula>
    </cfRule>
  </conditionalFormatting>
  <conditionalFormatting sqref="K68:K76">
    <cfRule type="cellIs" dxfId="2045" priority="43" stopIfTrue="1" operator="lessThan">
      <formula>100%</formula>
    </cfRule>
  </conditionalFormatting>
  <conditionalFormatting sqref="K79:K84">
    <cfRule type="cellIs" dxfId="2044" priority="198" stopIfTrue="1" operator="lessThan">
      <formula>100%</formula>
    </cfRule>
  </conditionalFormatting>
  <conditionalFormatting sqref="K86:K87">
    <cfRule type="cellIs" dxfId="2043" priority="205" stopIfTrue="1" operator="lessThan">
      <formula>100%</formula>
    </cfRule>
  </conditionalFormatting>
  <conditionalFormatting sqref="L10:L23">
    <cfRule type="cellIs" dxfId="2042" priority="8" operator="greaterThan">
      <formula>65</formula>
    </cfRule>
    <cfRule type="cellIs" dxfId="2041" priority="7" operator="between">
      <formula>61</formula>
      <formula>65</formula>
    </cfRule>
  </conditionalFormatting>
  <conditionalFormatting sqref="L26:M37">
    <cfRule type="cellIs" dxfId="2040" priority="118" operator="lessThan">
      <formula>97.95</formula>
    </cfRule>
  </conditionalFormatting>
  <conditionalFormatting sqref="L41:N41">
    <cfRule type="cellIs" dxfId="2039" priority="83" operator="notEqual">
      <formula>#REF!</formula>
    </cfRule>
  </conditionalFormatting>
  <conditionalFormatting sqref="L68:N77">
    <cfRule type="cellIs" dxfId="2038" priority="38" stopIfTrue="1" operator="lessThan">
      <formula>100%</formula>
    </cfRule>
  </conditionalFormatting>
  <conditionalFormatting sqref="L79:N87">
    <cfRule type="cellIs" dxfId="2037" priority="183" stopIfTrue="1" operator="lessThan">
      <formula>100%</formula>
    </cfRule>
  </conditionalFormatting>
  <conditionalFormatting sqref="M10">
    <cfRule type="expression" dxfId="2036" priority="1">
      <formula>IF(+(IF(M10&lt;V10,0,IF(M10&gt;W10,0,1)))=0,1)</formula>
    </cfRule>
  </conditionalFormatting>
  <conditionalFormatting sqref="M19">
    <cfRule type="expression" dxfId="2035" priority="22">
      <formula>IF(+(IF(M19&lt;U19,0,IF(M19&gt;V19,0,1)))=0,1)</formula>
    </cfRule>
  </conditionalFormatting>
  <conditionalFormatting sqref="M11:N18 H12:H19">
    <cfRule type="expression" dxfId="2034" priority="20">
      <formula>IF(+(IF(H11&lt;#REF!,0,IF(H11&gt;#REF!,0,1)))=0,1)</formula>
    </cfRule>
  </conditionalFormatting>
  <conditionalFormatting sqref="M20:N23">
    <cfRule type="expression" dxfId="2033" priority="33">
      <formula>IF(+(IF(M20&lt;#REF!,0,IF(M20&gt;#REF!,0,1)))=0,1)</formula>
    </cfRule>
  </conditionalFormatting>
  <conditionalFormatting sqref="N10">
    <cfRule type="expression" dxfId="2032" priority="2">
      <formula>IF(+(IF(N10&lt;X10,0,IF(N10&gt;Y10,0,1)))=0,1)</formula>
    </cfRule>
  </conditionalFormatting>
  <conditionalFormatting sqref="N12:N21">
    <cfRule type="expression" dxfId="2031" priority="12">
      <formula>IF(+(IF(N12&lt;W12,0,IF(N12&gt;X12,0,1)))=0,1)</formula>
    </cfRule>
  </conditionalFormatting>
  <conditionalFormatting sqref="P6">
    <cfRule type="cellIs" dxfId="2030" priority="179" operator="greaterThanOrEqual">
      <formula>19</formula>
    </cfRule>
  </conditionalFormatting>
  <dataValidations count="1">
    <dataValidation type="list" allowBlank="1" showInputMessage="1" showErrorMessage="1" sqref="R8" xr:uid="{AB6A5D69-77AE-4E4A-B0B8-19923FA563A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F09D-E2BB-4C14-A52F-16939EAA4F77}">
  <sheetPr>
    <pageSetUpPr fitToPage="1"/>
  </sheetPr>
  <dimension ref="A1:BE76"/>
  <sheetViews>
    <sheetView topLeftCell="A40" zoomScale="70" zoomScaleNormal="70" workbookViewId="0">
      <selection activeCell="E10" sqref="E10:E1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46190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3" t="s">
        <v>9</v>
      </c>
      <c r="C10" s="366" t="str">
        <f>[4]Brewhouse!$A266</f>
        <v>ST211</v>
      </c>
      <c r="D10" s="279">
        <f>[4]Brewhouse!$AB266</f>
        <v>53.1</v>
      </c>
      <c r="E10" s="279">
        <f>[4]Brewhouse!$AG266</f>
        <v>50.3</v>
      </c>
      <c r="F10" s="278">
        <f>[4]Brewhouse!$V266</f>
        <v>57</v>
      </c>
      <c r="G10" s="279">
        <f>[4]Brewhouse!$AE266</f>
        <v>11.9</v>
      </c>
      <c r="H10" s="396">
        <v>11.9</v>
      </c>
      <c r="I10" s="368">
        <f>[4]Brewhouse!$AS266</f>
        <v>100.43237296472746</v>
      </c>
      <c r="J10" s="368">
        <f>[4]Brewhouse!$AT266</f>
        <v>101.12243178395899</v>
      </c>
      <c r="K10" s="281">
        <f>[4]Brewhouse!$Q266</f>
        <v>11.064030131826742</v>
      </c>
      <c r="L10" s="276">
        <f>[4]Brewhouse!$P266</f>
        <v>60</v>
      </c>
      <c r="M10" s="374">
        <f>[4]Brewhouse!$U266-[4]Brewhouse!$T266</f>
        <v>0.11874999999999997</v>
      </c>
      <c r="N10" s="370">
        <f>[4]Brewhouse!$AW266</f>
        <v>0.25555555555555554</v>
      </c>
      <c r="O10" s="371"/>
      <c r="P10" s="418"/>
      <c r="R10" s="277" t="str">
        <f t="shared" ref="R10:R36" si="0">B10</f>
        <v>STAG</v>
      </c>
      <c r="S10" s="472">
        <f t="shared" ref="S10:S36" si="1">VLOOKUP($B10,$R$3:$X$9,2,FALSE)</f>
        <v>11.6</v>
      </c>
      <c r="T10" s="472">
        <f t="shared" ref="T10:T36" si="2">VLOOKUP($B10,$R$3:$X$9,3,FALSE)</f>
        <v>12</v>
      </c>
      <c r="U10" s="297">
        <f t="shared" ref="U10:U36" si="3">VLOOKUP($B10,$R$3:$X$9,4,FALSE)</f>
        <v>0</v>
      </c>
      <c r="V10" s="297">
        <f t="shared" ref="V10:V36" si="4">VLOOKUP($B10,$R$3:$X$9,5,FALSE)</f>
        <v>0.118055555555556</v>
      </c>
      <c r="W10" s="297">
        <f t="shared" ref="W10:W36" si="5">VLOOKUP($B10,$R$3:$X$9,6,FALSE)</f>
        <v>0.22569444444444445</v>
      </c>
      <c r="X10" s="297">
        <f t="shared" ref="X10:X36" si="6">VLOOKUP($B10,$R$3:$X$9,7,FALSE)</f>
        <v>0.2638888888888889</v>
      </c>
      <c r="Y10" s="297">
        <f t="shared" ref="Y10:Y36" si="7">VLOOKUP($B10,$R$3:$Z$9,8,FALSE)</f>
        <v>0</v>
      </c>
      <c r="Z10" s="472">
        <f t="shared" ref="Z10:Z36" si="8">VLOOKUP($B10,$R$3:$Z$9,9,FALSE)</f>
        <v>60</v>
      </c>
    </row>
    <row r="11" spans="2:29" ht="17.25" customHeight="1">
      <c r="B11" s="33" t="s">
        <v>9</v>
      </c>
      <c r="C11" s="366" t="str">
        <f>[4]Brewhouse!$A267</f>
        <v>ST212</v>
      </c>
      <c r="D11" s="279">
        <f>[4]Brewhouse!$AB267</f>
        <v>53.1</v>
      </c>
      <c r="E11" s="279">
        <f>[4]Brewhouse!$AG267</f>
        <v>50.4</v>
      </c>
      <c r="F11" s="278">
        <f>[4]Brewhouse!$V267</f>
        <v>61</v>
      </c>
      <c r="G11" s="279">
        <f>[4]Brewhouse!$AE267</f>
        <v>11.8</v>
      </c>
      <c r="H11" s="396">
        <v>11.7</v>
      </c>
      <c r="I11" s="368">
        <f>[4]Brewhouse!$AS267</f>
        <v>99.868124541057114</v>
      </c>
      <c r="J11" s="368">
        <f>[4]Brewhouse!$AT267</f>
        <v>100.55408089803581</v>
      </c>
      <c r="K11" s="281">
        <f>[4]Brewhouse!$Q267</f>
        <v>10.12241054613936</v>
      </c>
      <c r="L11" s="276">
        <f>[4]Brewhouse!$P267</f>
        <v>61</v>
      </c>
      <c r="M11" s="374">
        <f>[4]Brewhouse!$U267-[4]Brewhouse!$T267</f>
        <v>0.11944444444444441</v>
      </c>
      <c r="N11" s="370">
        <f>[4]Brewhouse!$AW267</f>
        <v>0.25972222222222219</v>
      </c>
      <c r="O11" s="371"/>
      <c r="P11" s="418"/>
      <c r="R11" s="277" t="str">
        <f t="shared" ref="R11:R29" si="9">B11</f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33" t="s">
        <v>9</v>
      </c>
      <c r="C12" s="366" t="str">
        <f>[4]Brewhouse!$A268</f>
        <v>ST213</v>
      </c>
      <c r="D12" s="279">
        <f>[4]Brewhouse!$AB268</f>
        <v>53.1</v>
      </c>
      <c r="E12" s="279">
        <f>[4]Brewhouse!$AG268</f>
        <v>50.1</v>
      </c>
      <c r="F12" s="278">
        <f>[4]Brewhouse!$V268</f>
        <v>58</v>
      </c>
      <c r="G12" s="279">
        <f>[4]Brewhouse!$AE268</f>
        <v>11.6</v>
      </c>
      <c r="H12" s="396">
        <v>11.8</v>
      </c>
      <c r="I12" s="368">
        <f>[4]Brewhouse!$AS268</f>
        <v>96.895654477588451</v>
      </c>
      <c r="J12" s="368">
        <f>[4]Brewhouse!$AT268</f>
        <v>97.562282935440692</v>
      </c>
      <c r="K12" s="281">
        <f>[4]Brewhouse!$Q268</f>
        <v>10.687382297551784</v>
      </c>
      <c r="L12" s="276">
        <f>[4]Brewhouse!$P268</f>
        <v>61</v>
      </c>
      <c r="M12" s="374">
        <f>[4]Brewhouse!$U268-[4]Brewhouse!$T268</f>
        <v>0.10902777777777783</v>
      </c>
      <c r="N12" s="370">
        <f>[4]Brewhouse!$AW268</f>
        <v>0.2770833333333334</v>
      </c>
      <c r="O12" s="371"/>
      <c r="P12" s="418" t="s">
        <v>183</v>
      </c>
      <c r="R12" s="277" t="str">
        <f t="shared" si="9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33" t="s">
        <v>9</v>
      </c>
      <c r="C13" s="366" t="str">
        <f>[4]Brewhouse!$A269</f>
        <v>ST214</v>
      </c>
      <c r="D13" s="279">
        <f>[4]Brewhouse!$AB269</f>
        <v>53</v>
      </c>
      <c r="E13" s="279">
        <f>[4]Brewhouse!$AG269</f>
        <v>50</v>
      </c>
      <c r="F13" s="278">
        <f>[4]Brewhouse!$V269</f>
        <v>59</v>
      </c>
      <c r="G13" s="279">
        <f>[4]Brewhouse!$AE269</f>
        <v>11.6</v>
      </c>
      <c r="H13" s="396">
        <v>11.8</v>
      </c>
      <c r="I13" s="368">
        <f>[4]Brewhouse!$AS269</f>
        <v>97.187186945196061</v>
      </c>
      <c r="J13" s="368">
        <f>[4]Brewhouse!$AT269</f>
        <v>97.854948479531089</v>
      </c>
      <c r="K13" s="281">
        <f>[4]Brewhouse!$Q269</f>
        <v>9.7641509433962206</v>
      </c>
      <c r="L13" s="276">
        <f>[4]Brewhouse!$P269</f>
        <v>61</v>
      </c>
      <c r="M13" s="374">
        <f>[4]Brewhouse!$U269-[4]Brewhouse!$T269</f>
        <v>0.12013888888888891</v>
      </c>
      <c r="N13" s="370">
        <f>[4]Brewhouse!$AW269</f>
        <v>0.31111111111111117</v>
      </c>
      <c r="O13" s="371"/>
      <c r="P13" s="418" t="s">
        <v>184</v>
      </c>
      <c r="R13" s="277" t="str">
        <f t="shared" si="9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33" t="s">
        <v>9</v>
      </c>
      <c r="C14" s="366" t="str">
        <f>[4]Brewhouse!$A270</f>
        <v>ST215</v>
      </c>
      <c r="D14" s="279">
        <f>[4]Brewhouse!$AB270</f>
        <v>53</v>
      </c>
      <c r="E14" s="279">
        <f>[4]Brewhouse!$AG270</f>
        <v>48.81</v>
      </c>
      <c r="F14" s="278">
        <f>[4]Brewhouse!$V270</f>
        <v>57</v>
      </c>
      <c r="G14" s="279">
        <f>[4]Brewhouse!$AE270</f>
        <v>12</v>
      </c>
      <c r="H14" s="396">
        <v>11.9</v>
      </c>
      <c r="I14" s="368">
        <f>[4]Brewhouse!$AS270</f>
        <v>96.861205051857695</v>
      </c>
      <c r="J14" s="368">
        <f>[4]Brewhouse!$AT270</f>
        <v>97.529310165661883</v>
      </c>
      <c r="K14" s="281">
        <f>[4]Brewhouse!$Q270</f>
        <v>11.27358490566038</v>
      </c>
      <c r="L14" s="276">
        <f>[4]Brewhouse!$P270</f>
        <v>60</v>
      </c>
      <c r="M14" s="374">
        <f>[4]Brewhouse!$U270-[4]Brewhouse!$T270</f>
        <v>0.11805555555555558</v>
      </c>
      <c r="N14" s="370">
        <f>[4]Brewhouse!$AW270</f>
        <v>0.25138888888888888</v>
      </c>
      <c r="O14" s="371"/>
      <c r="P14" s="418"/>
      <c r="R14" s="277" t="str">
        <f t="shared" si="9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33" t="s">
        <v>9</v>
      </c>
      <c r="C15" s="366" t="str">
        <f>[4]Brewhouse!$A271</f>
        <v>ST216</v>
      </c>
      <c r="D15" s="279">
        <f>[4]Brewhouse!$AB271</f>
        <v>53</v>
      </c>
      <c r="E15" s="279">
        <f>[4]Brewhouse!$AG271</f>
        <v>50.1</v>
      </c>
      <c r="F15" s="278">
        <f>[4]Brewhouse!$V271</f>
        <v>57</v>
      </c>
      <c r="G15" s="279">
        <f>[4]Brewhouse!$AE271</f>
        <v>12</v>
      </c>
      <c r="H15" s="396">
        <v>12</v>
      </c>
      <c r="I15" s="368">
        <f>[4]Brewhouse!$AS271</f>
        <v>100.7905058949286</v>
      </c>
      <c r="J15" s="368">
        <f>[4]Brewhouse!$AT271</f>
        <v>101.48325249585943</v>
      </c>
      <c r="K15" s="281">
        <f>[4]Brewhouse!$Q271</f>
        <v>11.462264150943389</v>
      </c>
      <c r="L15" s="276">
        <f>[4]Brewhouse!$P271</f>
        <v>60</v>
      </c>
      <c r="M15" s="374">
        <f>[4]Brewhouse!$U271-[4]Brewhouse!$T271</f>
        <v>0.1069444444444444</v>
      </c>
      <c r="N15" s="370">
        <f>[4]Brewhouse!$AW271</f>
        <v>0.24444444444444446</v>
      </c>
      <c r="O15" s="371"/>
      <c r="P15" s="418"/>
      <c r="R15" s="277" t="str">
        <f t="shared" si="9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33" t="s">
        <v>9</v>
      </c>
      <c r="C16" s="366" t="str">
        <f>[4]Brewhouse!$A272</f>
        <v>ST217</v>
      </c>
      <c r="D16" s="279">
        <f>[4]Brewhouse!$AB272</f>
        <v>53.1</v>
      </c>
      <c r="E16" s="279">
        <f>[4]Brewhouse!$AG272</f>
        <v>50.4</v>
      </c>
      <c r="F16" s="278">
        <f>[4]Brewhouse!$V272</f>
        <v>54</v>
      </c>
      <c r="G16" s="279">
        <f>[4]Brewhouse!$AE272</f>
        <v>11.8</v>
      </c>
      <c r="H16" s="396">
        <v>11.7</v>
      </c>
      <c r="I16" s="368">
        <f>[4]Brewhouse!$AS272</f>
        <v>99.868124541057114</v>
      </c>
      <c r="J16" s="368">
        <f>[4]Brewhouse!$AT272</f>
        <v>100.55408089803581</v>
      </c>
      <c r="K16" s="281">
        <f>[4]Brewhouse!$Q272</f>
        <v>12.947269303201505</v>
      </c>
      <c r="L16" s="276">
        <f>[4]Brewhouse!$P272</f>
        <v>61</v>
      </c>
      <c r="M16" s="374">
        <f>[4]Brewhouse!$U272-[4]Brewhouse!$T272</f>
        <v>0.10694444444444451</v>
      </c>
      <c r="N16" s="370">
        <f>[4]Brewhouse!$AW272</f>
        <v>0.24375000000000002</v>
      </c>
      <c r="O16" s="371"/>
      <c r="P16" s="418"/>
      <c r="R16" s="277" t="str">
        <f t="shared" si="9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customHeight="1">
      <c r="B17" s="33" t="s">
        <v>9</v>
      </c>
      <c r="C17" s="366" t="str">
        <f>[4]Brewhouse!$A273</f>
        <v>ST218</v>
      </c>
      <c r="D17" s="279">
        <f>[4]Brewhouse!$AB273</f>
        <v>53.1</v>
      </c>
      <c r="E17" s="279">
        <f>[4]Brewhouse!$AG273</f>
        <v>50.3</v>
      </c>
      <c r="F17" s="278">
        <f>[4]Brewhouse!$V273</f>
        <v>55</v>
      </c>
      <c r="G17" s="279">
        <f>[4]Brewhouse!$AE273</f>
        <v>11.9</v>
      </c>
      <c r="H17" s="396">
        <v>11.9</v>
      </c>
      <c r="I17" s="368">
        <f>[4]Brewhouse!$AS273</f>
        <v>100.55844165954197</v>
      </c>
      <c r="J17" s="368">
        <f>[4]Brewhouse!$AT273</f>
        <v>101.24913954358881</v>
      </c>
      <c r="K17" s="281">
        <f>[4]Brewhouse!$Q273</f>
        <v>11.064030131826742</v>
      </c>
      <c r="L17" s="276">
        <f>[4]Brewhouse!$P273</f>
        <v>61</v>
      </c>
      <c r="M17" s="374">
        <f>[4]Brewhouse!$U273-[4]Brewhouse!$T273</f>
        <v>0.11041666666666661</v>
      </c>
      <c r="N17" s="370">
        <f>[4]Brewhouse!$AW273</f>
        <v>0.24791666666666656</v>
      </c>
      <c r="O17" s="371"/>
      <c r="P17" s="418"/>
      <c r="R17" s="277" t="str">
        <f t="shared" si="9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7.2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7.2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7.25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7.25" customHeight="1">
      <c r="B21" s="29"/>
      <c r="C21" s="366"/>
      <c r="D21" s="279"/>
      <c r="E21" s="279"/>
      <c r="F21" s="278"/>
      <c r="G21" s="279"/>
      <c r="H21" s="481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7.2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customHeight="1" thickBot="1">
      <c r="B23" s="358"/>
      <c r="C23" s="358"/>
      <c r="D23" s="358"/>
      <c r="E23" s="358"/>
      <c r="F23" s="294"/>
      <c r="G23" s="294"/>
      <c r="H23" s="348"/>
      <c r="I23" s="544"/>
      <c r="J23" s="544"/>
      <c r="K23" s="544"/>
      <c r="L23" s="544"/>
      <c r="M23" s="544"/>
      <c r="N23" s="544"/>
      <c r="O23" s="1"/>
      <c r="P23" s="12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customHeight="1" thickBot="1">
      <c r="B24" s="388" t="s">
        <v>162</v>
      </c>
      <c r="C24" s="388"/>
      <c r="D24" s="545" t="s">
        <v>35</v>
      </c>
      <c r="E24" s="546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>
      <c r="A25" s="28"/>
      <c r="B25" s="530"/>
      <c r="C25" s="362"/>
      <c r="D25" s="548"/>
      <c r="E25" s="549"/>
      <c r="F25" s="294"/>
      <c r="G25" s="294"/>
      <c r="H25" s="348"/>
      <c r="I25" s="29" t="s">
        <v>6</v>
      </c>
      <c r="J25" s="323"/>
      <c r="K25" s="284">
        <f>COUNTA([3]Brewhouse!$A$441:$A$456)</f>
        <v>16</v>
      </c>
      <c r="L25" s="305">
        <f>AVERAGE([3]Brewhouse!$AU$441:$AU$456)</f>
        <v>98.338207134099193</v>
      </c>
      <c r="M25" s="305">
        <f>AVERAGE([3]Brewhouse!$AU$42:$AU$123,[3]Brewhouse!$AU$125:$AU$188,[3]Brewhouse!$AU$198:$AU$290,[3]Brewhouse!$AU$292:$AU$370,[3]Brewhouse!$AU$372:$AU$439,[3]Brewhouse!$AU$441:$AU$456)</f>
        <v>97.989129835114738</v>
      </c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customHeight="1">
      <c r="A26" s="28"/>
      <c r="B26" s="531"/>
      <c r="C26" s="362"/>
      <c r="D26" s="550"/>
      <c r="E26" s="536"/>
      <c r="F26" s="294"/>
      <c r="G26" s="294"/>
      <c r="H26" s="348"/>
      <c r="I26" s="33" t="s">
        <v>9</v>
      </c>
      <c r="J26" s="323">
        <f>AVERAGE(I10:I17)</f>
        <v>99.057702009494307</v>
      </c>
      <c r="K26" s="284">
        <f>COUNTA([4]Brewhouse!$A$252:$A$273)</f>
        <v>22</v>
      </c>
      <c r="L26" s="302">
        <f>AVERAGE([4]Brewhouse!$AS$252:$AS$273)</f>
        <v>99.131869947969122</v>
      </c>
      <c r="M26" s="302">
        <f>AVERAGE([4]Brewhouse!$AS$52:$AS$81,[4]Brewhouse!$AS$83:$AS$124,[4]Brewhouse!$AS$134:$AS$177,[4]Brewhouse!$AS$22:$AS$179,[4]Brewhouse!$AS$214:$AS$249,[4]Brewhouse!$AS$252:$AS$273)</f>
        <v>98.053503437205549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4.65" customHeight="1">
      <c r="A27" s="28"/>
      <c r="B27" s="531"/>
      <c r="C27" s="362"/>
      <c r="D27" s="540"/>
      <c r="E27" s="541"/>
      <c r="F27" s="294"/>
      <c r="G27" s="294"/>
      <c r="H27" s="348"/>
      <c r="I27" s="34" t="s">
        <v>12</v>
      </c>
      <c r="J27" s="280"/>
      <c r="K27" s="284">
        <f>COUNTA([5]Brewhouse!$A$62:$A$69)</f>
        <v>8</v>
      </c>
      <c r="L27" s="302">
        <f>AVERAGE([5]Brewhouse!$AU$62:$AU$69)</f>
        <v>95.865325586732524</v>
      </c>
      <c r="M27" s="302">
        <f>AVERAGE([5]Brewhouse!$AU$16:$AU$23,[5]Brewhouse!$AU$25:$AU$32,[5]Brewhouse!$AU$34:$AU$41,[5]Brewhouse!$AU$43:$AU$60,[5]Brewhouse!$AU$62:$AU$69)</f>
        <v>96.726835550404019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31"/>
      <c r="C28" s="362"/>
      <c r="D28" s="535"/>
      <c r="E28" s="536"/>
      <c r="F28" s="294"/>
      <c r="G28" s="294"/>
      <c r="H28" s="348"/>
      <c r="I28" s="22" t="s">
        <v>33</v>
      </c>
      <c r="J28" s="280"/>
      <c r="K28" s="284"/>
      <c r="L28" s="302"/>
      <c r="M28" s="302">
        <f>AVERAGE([6]Brewhouse!$AV$23:$AV$34,[6]Brewhouse!$AV$36,[6]Brewhouse!$AV$38:$AV$52,[6]Brewhouse!$AV$54:$AV$60,[6]Brewhouse!$AV$62:$AV$68)</f>
        <v>97.579195177204838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31"/>
      <c r="C29" s="362"/>
      <c r="D29" s="540"/>
      <c r="E29" s="541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31"/>
      <c r="C30" s="362"/>
      <c r="D30" s="535"/>
      <c r="E30" s="536"/>
      <c r="F30" s="417"/>
      <c r="G30" s="294"/>
      <c r="H30" s="348"/>
      <c r="I30" s="36" t="s">
        <v>15</v>
      </c>
      <c r="J30" s="323"/>
      <c r="K30" s="284"/>
      <c r="L30" s="302"/>
      <c r="M30" s="302">
        <f>AVERAGE([7]Brewhouse!$AT$4:$AT$11,[7]Brewhouse!$AT$13:$AT$16)</f>
        <v>91.538375374138752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31"/>
      <c r="C31" s="362"/>
      <c r="D31" s="540"/>
      <c r="E31" s="541"/>
      <c r="F31" s="417"/>
      <c r="G31" s="294"/>
      <c r="H31" s="348"/>
      <c r="I31" s="37" t="s">
        <v>16</v>
      </c>
      <c r="J31" s="323"/>
      <c r="K31" s="284">
        <f>COUNTA([8]Brewhouse!$A$66:$A$73)</f>
        <v>8</v>
      </c>
      <c r="L31" s="302">
        <f>AVERAGE([8]Brewhouse!$AY$66:$AY$73)</f>
        <v>98.225688487824243</v>
      </c>
      <c r="M31" s="302">
        <f>AVERAGE([8]Brewhouse!$AY$5:$AY$14,[8]Brewhouse!$AY$16:$AY$23,[8]Brewhouse!$AY$42,[8]Brewhouse!$AY$44:$AY$51,[8]Brewhouse!$AY$53:$AY$64,[8]Brewhouse!$AY$66:$AY$73)</f>
        <v>97.506811941025575</v>
      </c>
      <c r="N31" s="30">
        <v>98</v>
      </c>
      <c r="O31" s="11"/>
      <c r="P31" s="31" t="s">
        <v>41</v>
      </c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31"/>
      <c r="C32" s="362"/>
      <c r="D32" s="535"/>
      <c r="E32" s="536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31"/>
      <c r="C33" s="349"/>
      <c r="D33" s="540"/>
      <c r="E33" s="541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31"/>
      <c r="C34" s="349"/>
      <c r="D34" s="535"/>
      <c r="E34" s="536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31"/>
      <c r="C35" s="349"/>
      <c r="D35" s="548"/>
      <c r="E35" s="549"/>
      <c r="F35" s="294"/>
      <c r="G35" s="294"/>
      <c r="H35" s="348"/>
      <c r="I35" s="1"/>
      <c r="J35" s="39"/>
      <c r="K35" s="404">
        <f>SUM(K25:K34)</f>
        <v>54</v>
      </c>
      <c r="L35" s="405">
        <f>((L25*K25)+(L26*K26)+(L27*K27)+(L28*K28)+(L29*K29)+(K32*L32)+(L30*K30)+(L31*K31)+(L34*K34))/(K35)</f>
        <v>98.278528992543755</v>
      </c>
      <c r="M35" s="405">
        <f>AVERAGE('[9]Jan30th-31st'!$L$42,L35)</f>
        <v>98.053285364192618</v>
      </c>
      <c r="N35" s="4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47"/>
      <c r="C36" s="350"/>
      <c r="D36" s="550"/>
      <c r="E36" s="536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30"/>
      <c r="C37" s="362"/>
      <c r="D37" s="533"/>
      <c r="E37" s="534"/>
      <c r="F37" s="294"/>
      <c r="G37" s="42"/>
      <c r="H37" s="41"/>
      <c r="I37" s="42"/>
      <c r="J37" s="537" t="s">
        <v>129</v>
      </c>
      <c r="K37" s="537"/>
      <c r="L37" s="294"/>
      <c r="M37" s="294"/>
      <c r="N37" s="294"/>
      <c r="O37" s="294"/>
      <c r="P37" s="12"/>
    </row>
    <row r="38" spans="1:56" ht="15.75" thickBot="1">
      <c r="B38" s="531"/>
      <c r="C38" s="362"/>
      <c r="D38" s="535"/>
      <c r="E38" s="536"/>
      <c r="F38" s="294"/>
      <c r="G38" s="42"/>
      <c r="H38" s="42"/>
      <c r="I38" s="42"/>
      <c r="J38" s="292" t="s">
        <v>17</v>
      </c>
      <c r="K38" s="293" t="s">
        <v>170</v>
      </c>
      <c r="L38" s="538" t="s">
        <v>136</v>
      </c>
      <c r="M38" s="538"/>
      <c r="N38" s="539"/>
      <c r="O38" s="294"/>
      <c r="P38" s="12"/>
    </row>
    <row r="39" spans="1:56" ht="15" customHeight="1" thickBot="1">
      <c r="B39" s="531"/>
      <c r="C39" s="349"/>
      <c r="D39" s="540"/>
      <c r="E39" s="541"/>
      <c r="F39" s="294"/>
      <c r="G39" s="42"/>
      <c r="H39" s="42"/>
      <c r="I39" s="42"/>
      <c r="J39" s="287" t="s">
        <v>6</v>
      </c>
      <c r="K39" s="324"/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31"/>
      <c r="C40" s="349"/>
      <c r="D40" s="535"/>
      <c r="E40" s="536"/>
      <c r="F40" s="294"/>
      <c r="G40" s="42"/>
      <c r="H40" s="42"/>
      <c r="I40" s="42"/>
      <c r="J40" s="345" t="s">
        <v>9</v>
      </c>
      <c r="K40" s="324">
        <v>8</v>
      </c>
      <c r="L40" s="344">
        <f>AVERAGE('June 2nd'!K44,'June 3rd'!K52,'June 4th'!K47,'June 5th'!K46,'June 8th'!K48,'June 9th'!K56,'June 15th '!K56,'June 16th'!K50,K49)</f>
        <v>6</v>
      </c>
      <c r="M40" s="325">
        <f>AVERAGE('[9]Jan30th-31st'!$L$47,L40,'[10]Feb 26th '!$L$39,'[11]Mar 31st'!$L$47,'[12]Apr 30th'!$L$46,'[13]May 29th '!$L$40)</f>
        <v>6.2713109354413703</v>
      </c>
      <c r="N40" s="416">
        <v>9.1999999999999993</v>
      </c>
      <c r="O40" s="294"/>
      <c r="P40" s="12"/>
    </row>
    <row r="41" spans="1:56" ht="15" customHeight="1">
      <c r="B41" s="531"/>
      <c r="C41" s="349"/>
      <c r="D41" s="540"/>
      <c r="E41" s="541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31"/>
      <c r="C42" s="349"/>
      <c r="D42" s="535"/>
      <c r="E42" s="536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31"/>
      <c r="C43" s="349"/>
      <c r="D43" s="540"/>
      <c r="E43" s="541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31"/>
      <c r="C44" s="349"/>
      <c r="D44" s="535"/>
      <c r="E44" s="536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31"/>
      <c r="C45" s="349"/>
      <c r="D45" s="540"/>
      <c r="E45" s="541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32"/>
      <c r="C46" s="350"/>
      <c r="D46" s="542"/>
      <c r="E46" s="543"/>
      <c r="F46" s="294" t="s">
        <v>166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23"/>
      <c r="E47" s="524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8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15" t="s">
        <v>17</v>
      </c>
      <c r="C52" s="515" t="s">
        <v>44</v>
      </c>
      <c r="D52" s="526" t="s">
        <v>45</v>
      </c>
      <c r="E52" s="528" t="s">
        <v>46</v>
      </c>
      <c r="F52" s="521" t="s">
        <v>47</v>
      </c>
      <c r="G52" s="513" t="s">
        <v>48</v>
      </c>
      <c r="H52" s="515" t="s">
        <v>49</v>
      </c>
      <c r="I52" s="515" t="s">
        <v>50</v>
      </c>
      <c r="J52" s="507" t="s">
        <v>28</v>
      </c>
      <c r="K52" s="517" t="s">
        <v>51</v>
      </c>
      <c r="L52" s="519" t="s">
        <v>52</v>
      </c>
      <c r="M52" s="507" t="s">
        <v>53</v>
      </c>
      <c r="N52" s="13"/>
      <c r="O52" s="13"/>
      <c r="P52" s="50"/>
    </row>
    <row r="53" spans="2:57" ht="28.5" customHeight="1" thickTop="1" thickBot="1">
      <c r="B53" s="516"/>
      <c r="C53" s="525"/>
      <c r="D53" s="527"/>
      <c r="E53" s="529"/>
      <c r="F53" s="522"/>
      <c r="G53" s="514"/>
      <c r="H53" s="516"/>
      <c r="I53" s="516"/>
      <c r="J53" s="508"/>
      <c r="K53" s="518"/>
      <c r="L53" s="520"/>
      <c r="M53" s="508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2:57" s="54" customFormat="1" ht="36.75" customHeight="1" thickBot="1">
      <c r="B54" s="503"/>
      <c r="C54" s="479"/>
      <c r="D54" s="445"/>
      <c r="E54" s="443"/>
      <c r="F54" s="444"/>
      <c r="G54" s="445"/>
      <c r="H54" s="458"/>
      <c r="I54" s="458"/>
      <c r="J54" s="448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[16]January_2019!L5</f>
        <v>0</v>
      </c>
      <c r="AC54" s="57">
        <f>[16]January_2019!M5</f>
        <v>0</v>
      </c>
      <c r="AD54" s="57">
        <f>[16]January_2019!N5</f>
        <v>0</v>
      </c>
      <c r="AE54" s="57">
        <f>[16]January_2019!O5</f>
        <v>0</v>
      </c>
      <c r="AF54" s="57">
        <f>[16]January_2019!P5</f>
        <v>0</v>
      </c>
      <c r="AG54" s="57">
        <f>[16]January_2019!Q5</f>
        <v>0</v>
      </c>
      <c r="AH54" s="57">
        <f>[16]January_2019!R5</f>
        <v>0</v>
      </c>
      <c r="AI54" s="57">
        <f>[16]January_2019!S5</f>
        <v>0</v>
      </c>
      <c r="AJ54" s="57">
        <f>[16]January_2019!T5</f>
        <v>0</v>
      </c>
      <c r="AK54" s="57">
        <f>[16]January_2019!U5</f>
        <v>0</v>
      </c>
      <c r="AL54" s="57">
        <f>[16]January_2019!V5</f>
        <v>0</v>
      </c>
      <c r="AM54" s="57">
        <f>[16]January_2019!W5</f>
        <v>0</v>
      </c>
      <c r="AN54" s="57">
        <f>[16]January_2019!X5</f>
        <v>0</v>
      </c>
      <c r="AO54" s="57">
        <f>[16]January_2019!Y5</f>
        <v>0</v>
      </c>
      <c r="AP54" s="57">
        <f>[16]January_2019!Z5</f>
        <v>0</v>
      </c>
      <c r="AQ54" s="57">
        <f>[16]January_2019!AA5</f>
        <v>0</v>
      </c>
      <c r="AR54" s="57">
        <f>[16]January_2019!AB5</f>
        <v>0</v>
      </c>
      <c r="AS54" s="57">
        <f>[16]January_2019!AC5</f>
        <v>0</v>
      </c>
      <c r="AT54" s="57">
        <f>[16]January_2019!AD5</f>
        <v>0</v>
      </c>
      <c r="AU54" s="57">
        <f>[16]January_2019!AE5</f>
        <v>0</v>
      </c>
      <c r="AV54" s="57">
        <f>[16]January_2019!AF5</f>
        <v>0</v>
      </c>
      <c r="AW54" s="57">
        <f>[16]January_2019!AG5</f>
        <v>0</v>
      </c>
      <c r="AX54" s="277">
        <f>[16]January_2019!AH5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4.25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[16]January_2019!L6</f>
        <v>0</v>
      </c>
      <c r="AC55" s="57">
        <f>[16]January_2019!M6</f>
        <v>0</v>
      </c>
      <c r="AD55" s="57">
        <f>[16]January_2019!N6</f>
        <v>0</v>
      </c>
      <c r="AE55" s="57">
        <f>[16]January_2019!O6</f>
        <v>0</v>
      </c>
      <c r="AF55" s="57">
        <f>[16]January_2019!P6</f>
        <v>0</v>
      </c>
      <c r="AG55" s="57">
        <f>[16]January_2019!Q6</f>
        <v>0</v>
      </c>
      <c r="AH55" s="57">
        <f>[16]January_2019!R6</f>
        <v>0</v>
      </c>
      <c r="AI55" s="57">
        <f>[16]January_2019!S6</f>
        <v>0</v>
      </c>
      <c r="AJ55" s="57">
        <f>[16]January_2019!T6</f>
        <v>0</v>
      </c>
      <c r="AK55" s="57">
        <f>[16]January_2019!U6</f>
        <v>0</v>
      </c>
      <c r="AL55" s="57">
        <f>[16]January_2019!V6</f>
        <v>0</v>
      </c>
      <c r="AM55" s="57">
        <f>[16]January_2019!W6</f>
        <v>0</v>
      </c>
      <c r="AN55" s="57">
        <f>[16]January_2019!X6</f>
        <v>0</v>
      </c>
      <c r="AO55" s="57">
        <f>[16]January_2019!Y6</f>
        <v>0</v>
      </c>
      <c r="AP55" s="57">
        <f>[16]January_2019!Z6</f>
        <v>0</v>
      </c>
      <c r="AQ55" s="57">
        <f>[16]January_2019!AA6</f>
        <v>0</v>
      </c>
      <c r="AR55" s="57">
        <f>[16]January_2019!AB6</f>
        <v>0</v>
      </c>
      <c r="AS55" s="57">
        <f>[16]January_2019!AC6</f>
        <v>0</v>
      </c>
      <c r="AT55" s="57">
        <f>[16]January_2019!AD6</f>
        <v>0</v>
      </c>
      <c r="AU55" s="57">
        <f>[16]January_2019!AE6</f>
        <v>0</v>
      </c>
      <c r="AV55" s="57">
        <f>[16]January_2019!AF6</f>
        <v>0</v>
      </c>
      <c r="AW55" s="57">
        <f>[16]January_2019!AG6</f>
        <v>0</v>
      </c>
      <c r="AX55" s="277">
        <f>[16]January_2019!AH6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[16]January_2019!L7</f>
        <v>285.8</v>
      </c>
      <c r="AC56" s="57">
        <f>[16]January_2019!M7</f>
        <v>508.1</v>
      </c>
      <c r="AD56" s="57">
        <f>[16]January_2019!N7</f>
        <v>0</v>
      </c>
      <c r="AE56" s="57">
        <f>[16]January_2019!O7</f>
        <v>0</v>
      </c>
      <c r="AF56" s="57">
        <f>[16]January_2019!P7</f>
        <v>109.56666666666666</v>
      </c>
      <c r="AG56" s="57">
        <f>[16]January_2019!Q7</f>
        <v>297.64999999999998</v>
      </c>
      <c r="AH56" s="57">
        <f>[16]January_2019!R7</f>
        <v>122.3</v>
      </c>
      <c r="AI56" s="57">
        <f>[16]January_2019!S7</f>
        <v>0</v>
      </c>
      <c r="AJ56" s="57">
        <f>[16]January_2019!T7</f>
        <v>294.7</v>
      </c>
      <c r="AK56" s="57">
        <f>[16]January_2019!U7</f>
        <v>280.5</v>
      </c>
      <c r="AL56" s="57">
        <f>[16]January_2019!V7</f>
        <v>0</v>
      </c>
      <c r="AM56" s="57">
        <f>[16]January_2019!W7</f>
        <v>0</v>
      </c>
      <c r="AN56" s="57">
        <f>[16]January_2019!X7</f>
        <v>188.25</v>
      </c>
      <c r="AO56" s="57">
        <f>[16]January_2019!Y7</f>
        <v>295.7</v>
      </c>
      <c r="AP56" s="57">
        <f>[16]January_2019!Z7</f>
        <v>257.8</v>
      </c>
      <c r="AQ56" s="57">
        <f>[16]January_2019!AA7</f>
        <v>291.2</v>
      </c>
      <c r="AR56" s="57">
        <f>[16]January_2019!AB7</f>
        <v>187</v>
      </c>
      <c r="AS56" s="57">
        <f>[16]January_2019!AC7</f>
        <v>0</v>
      </c>
      <c r="AT56" s="57">
        <f>[16]January_2019!AD7</f>
        <v>0</v>
      </c>
      <c r="AU56" s="57">
        <f>[16]January_2019!AE7</f>
        <v>485.1</v>
      </c>
      <c r="AV56" s="57">
        <f>[16]January_2019!AF7</f>
        <v>171.55</v>
      </c>
      <c r="AW56" s="57">
        <f>[16]January_2019!AG7</f>
        <v>423.8</v>
      </c>
      <c r="AX56" s="277">
        <f>[16]January_2019!AH7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9.5" hidden="1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450000000000003" hidden="1" customHeight="1" thickBot="1">
      <c r="B58" s="480"/>
      <c r="C58" s="479"/>
      <c r="D58" s="442"/>
      <c r="E58" s="443"/>
      <c r="F58" s="444"/>
      <c r="G58" s="445"/>
      <c r="H58" s="458"/>
      <c r="I58" s="458"/>
      <c r="J58" s="448"/>
      <c r="K58" s="45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84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09" t="s">
        <v>55</v>
      </c>
      <c r="C65" s="510"/>
      <c r="D65" s="510"/>
      <c r="E65" s="510"/>
      <c r="F65" s="511"/>
      <c r="G65" s="509" t="s">
        <v>56</v>
      </c>
      <c r="H65" s="510"/>
      <c r="I65" s="510"/>
      <c r="J65" s="511"/>
      <c r="K65" s="509" t="s">
        <v>51</v>
      </c>
      <c r="L65" s="510"/>
      <c r="M65" s="510"/>
      <c r="N65" s="512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/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/>
      <c r="D67" s="76"/>
      <c r="E67" s="76">
        <v>6.5623673132836648</v>
      </c>
      <c r="F67" s="66">
        <v>4.8</v>
      </c>
      <c r="G67" s="65"/>
      <c r="H67" s="477"/>
      <c r="I67" s="477">
        <v>6.3197775649714227</v>
      </c>
      <c r="J67" s="66">
        <v>4.8</v>
      </c>
      <c r="K67" s="67"/>
      <c r="L67" s="194"/>
      <c r="M67" s="194">
        <v>0.51116477369802427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4.2115423694371028</v>
      </c>
      <c r="E68" s="76">
        <v>5.7607151029355022</v>
      </c>
      <c r="F68" s="66">
        <v>4.8</v>
      </c>
      <c r="G68" s="65">
        <f>[14]June_2026!$O$21</f>
        <v>3.6848557080708271</v>
      </c>
      <c r="H68" s="76">
        <v>2.7270556688003218</v>
      </c>
      <c r="I68" s="76">
        <v>5.3607389964117944</v>
      </c>
      <c r="J68" s="66">
        <v>4.8</v>
      </c>
      <c r="K68" s="67">
        <f>K54</f>
        <v>0</v>
      </c>
      <c r="L68" s="194">
        <v>1.3231578947368421</v>
      </c>
      <c r="M68" s="194">
        <v>0.71292696983194792</v>
      </c>
      <c r="N68" s="68">
        <v>1</v>
      </c>
      <c r="P68" s="69"/>
    </row>
    <row r="69" spans="2:16" ht="15">
      <c r="B69" s="34" t="s">
        <v>40</v>
      </c>
      <c r="C69" s="65"/>
      <c r="D69" s="76"/>
      <c r="E69" s="76">
        <v>11.435860710768935</v>
      </c>
      <c r="F69" s="66">
        <v>5.5</v>
      </c>
      <c r="G69" s="65"/>
      <c r="H69" s="76"/>
      <c r="I69" s="76">
        <v>12.618851801260744</v>
      </c>
      <c r="J69" s="66">
        <v>5.5</v>
      </c>
      <c r="K69" s="67"/>
      <c r="L69" s="194"/>
      <c r="M69" s="194">
        <v>0.26444407894736838</v>
      </c>
      <c r="N69" s="68">
        <v>1</v>
      </c>
      <c r="P69" s="69"/>
    </row>
    <row r="70" spans="2:16" ht="15">
      <c r="B70" s="22" t="s">
        <v>33</v>
      </c>
      <c r="C70" s="65"/>
      <c r="D70" s="76"/>
      <c r="E70" s="76">
        <v>4.7166249493098773</v>
      </c>
      <c r="F70" s="66">
        <v>3.3</v>
      </c>
      <c r="G70" s="65"/>
      <c r="H70" s="76"/>
      <c r="I70" s="76">
        <v>4.7393662692065543</v>
      </c>
      <c r="J70" s="66">
        <v>3.3</v>
      </c>
      <c r="K70" s="67"/>
      <c r="L70" s="194"/>
      <c r="M70" s="194">
        <v>0.73604010025062661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76"/>
      <c r="D72" s="76"/>
      <c r="E72" s="76">
        <v>5.1541347251672045</v>
      </c>
      <c r="F72" s="483">
        <v>5.5</v>
      </c>
      <c r="G72" s="282"/>
      <c r="H72" s="76"/>
      <c r="I72" s="76">
        <v>7.4989046872874194</v>
      </c>
      <c r="J72" s="66">
        <v>5.5</v>
      </c>
      <c r="K72" s="67"/>
      <c r="L72" s="194"/>
      <c r="M72" s="194">
        <v>1.0201754385964912</v>
      </c>
      <c r="N72" s="68">
        <v>1</v>
      </c>
      <c r="P72" s="69"/>
    </row>
    <row r="73" spans="2:16" ht="15">
      <c r="B73" s="37" t="s">
        <v>16</v>
      </c>
      <c r="C73" s="485"/>
      <c r="D73" s="76"/>
      <c r="E73" s="76">
        <v>3.7333963207914036</v>
      </c>
      <c r="F73" s="66">
        <v>3.3</v>
      </c>
      <c r="G73" s="282"/>
      <c r="H73" s="76"/>
      <c r="I73" s="76">
        <v>4.8412394790618878</v>
      </c>
      <c r="J73" s="66">
        <v>3.3</v>
      </c>
      <c r="K73" s="67"/>
      <c r="L73" s="194"/>
      <c r="M73" s="194">
        <v>0.84386695906432752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4.2115423694371028</v>
      </c>
      <c r="E76" s="76">
        <v>6.289475247812315</v>
      </c>
      <c r="F76" s="341">
        <v>5.5</v>
      </c>
      <c r="H76" s="76">
        <v>2.7270556688003218</v>
      </c>
      <c r="I76" s="76">
        <v>6.3550093782153594</v>
      </c>
      <c r="J76" s="341">
        <v>5.5</v>
      </c>
      <c r="L76" s="194">
        <v>1.3231578947368421</v>
      </c>
      <c r="M76" s="194">
        <v>0.58487378789234989</v>
      </c>
      <c r="N7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2029" priority="102" operator="notBetween">
      <formula>#REF!</formula>
      <formula>#REF!</formula>
    </cfRule>
  </conditionalFormatting>
  <conditionalFormatting sqref="C51">
    <cfRule type="cellIs" dxfId="2028" priority="191" stopIfTrue="1" operator="lessThan">
      <formula>96</formula>
    </cfRule>
    <cfRule type="cellIs" dxfId="2027" priority="192" stopIfTrue="1" operator="greaterThan">
      <formula>100</formula>
    </cfRule>
  </conditionalFormatting>
  <conditionalFormatting sqref="C67:C68">
    <cfRule type="cellIs" dxfId="2026" priority="65" stopIfTrue="1" operator="lessThanOrEqual">
      <formula>0</formula>
    </cfRule>
    <cfRule type="cellIs" dxfId="2025" priority="64" stopIfTrue="1" operator="greaterThan">
      <formula>$F67</formula>
    </cfRule>
    <cfRule type="cellIs" dxfId="2024" priority="63" stopIfTrue="1" operator="lessThanOrEqual">
      <formula>0</formula>
    </cfRule>
    <cfRule type="cellIs" dxfId="2023" priority="62" stopIfTrue="1" operator="greaterThan">
      <formula>$F67</formula>
    </cfRule>
  </conditionalFormatting>
  <conditionalFormatting sqref="C69:C71 C73:C75">
    <cfRule type="cellIs" dxfId="2022" priority="72" stopIfTrue="1" operator="greaterThan">
      <formula>$F72</formula>
    </cfRule>
  </conditionalFormatting>
  <conditionalFormatting sqref="C69:C71">
    <cfRule type="cellIs" dxfId="2021" priority="73" stopIfTrue="1" operator="lessThanOrEqual">
      <formula>0</formula>
    </cfRule>
  </conditionalFormatting>
  <conditionalFormatting sqref="C73:C75">
    <cfRule type="cellIs" dxfId="2020" priority="74" stopIfTrue="1" operator="lessThanOrEqual">
      <formula>0</formula>
    </cfRule>
  </conditionalFormatting>
  <conditionalFormatting sqref="C78:C82">
    <cfRule type="cellIs" dxfId="2019" priority="183" stopIfTrue="1" operator="lessThanOrEqual">
      <formula>0</formula>
    </cfRule>
  </conditionalFormatting>
  <conditionalFormatting sqref="C79:C82">
    <cfRule type="cellIs" dxfId="2018" priority="182" stopIfTrue="1" operator="greaterThan">
      <formula>$F$78</formula>
    </cfRule>
  </conditionalFormatting>
  <conditionalFormatting sqref="C84">
    <cfRule type="cellIs" dxfId="2017" priority="184" stopIfTrue="1" operator="greaterThan">
      <formula>$F$78</formula>
    </cfRule>
    <cfRule type="cellIs" dxfId="2016" priority="185" stopIfTrue="1" operator="lessThanOrEqual">
      <formula>0</formula>
    </cfRule>
  </conditionalFormatting>
  <conditionalFormatting sqref="C72:D72">
    <cfRule type="cellIs" dxfId="2015" priority="61" stopIfTrue="1" operator="lessThanOrEqual">
      <formula>0</formula>
    </cfRule>
    <cfRule type="cellIs" dxfId="2014" priority="60" stopIfTrue="1" operator="greaterThan">
      <formula>$J72</formula>
    </cfRule>
  </conditionalFormatting>
  <conditionalFormatting sqref="C78:D78 D80:D86">
    <cfRule type="cellIs" dxfId="2013" priority="177" stopIfTrue="1" operator="greaterThan">
      <formula>4.5</formula>
    </cfRule>
  </conditionalFormatting>
  <conditionalFormatting sqref="D47:D48">
    <cfRule type="cellIs" dxfId="2012" priority="103" operator="notBetween">
      <formula>#REF!</formula>
      <formula>#REF!</formula>
    </cfRule>
  </conditionalFormatting>
  <conditionalFormatting sqref="D67:D71 D73:D74">
    <cfRule type="cellIs" dxfId="2011" priority="71" stopIfTrue="1" operator="lessThanOrEqual">
      <formula>0</formula>
    </cfRule>
  </conditionalFormatting>
  <conditionalFormatting sqref="D67:D71 D73:D76">
    <cfRule type="cellIs" dxfId="2010" priority="68" stopIfTrue="1" operator="greaterThan">
      <formula>$F67</formula>
    </cfRule>
    <cfRule type="cellIs" dxfId="2009" priority="67" stopIfTrue="1" operator="lessThanOrEqual">
      <formula>0</formula>
    </cfRule>
  </conditionalFormatting>
  <conditionalFormatting sqref="D75:D76">
    <cfRule type="cellIs" dxfId="2008" priority="69" stopIfTrue="1" operator="lessThanOrEqual">
      <formula>0</formula>
    </cfRule>
  </conditionalFormatting>
  <conditionalFormatting sqref="D76">
    <cfRule type="cellIs" dxfId="2007" priority="70" stopIfTrue="1" operator="lessThanOrEqual">
      <formula>0</formula>
    </cfRule>
  </conditionalFormatting>
  <conditionalFormatting sqref="D78 D80:D86">
    <cfRule type="cellIs" dxfId="2006" priority="178" stopIfTrue="1" operator="lessThanOrEqual">
      <formula>0</formula>
    </cfRule>
  </conditionalFormatting>
  <conditionalFormatting sqref="D79">
    <cfRule type="cellIs" dxfId="2005" priority="170" stopIfTrue="1" operator="lessThanOrEqual">
      <formula>0</formula>
    </cfRule>
    <cfRule type="cellIs" dxfId="2004" priority="169" stopIfTrue="1" operator="greaterThan">
      <formula>$F$78</formula>
    </cfRule>
  </conditionalFormatting>
  <conditionalFormatting sqref="E10:E22">
    <cfRule type="cellIs" dxfId="2003" priority="9" operator="lessThan">
      <formula>48</formula>
    </cfRule>
  </conditionalFormatting>
  <conditionalFormatting sqref="E50 E51:F51">
    <cfRule type="cellIs" dxfId="2002" priority="174" stopIfTrue="1" operator="greaterThan">
      <formula>100</formula>
    </cfRule>
  </conditionalFormatting>
  <conditionalFormatting sqref="E51">
    <cfRule type="cellIs" dxfId="2001" priority="172" stopIfTrue="1" operator="greaterThan">
      <formula>100</formula>
    </cfRule>
    <cfRule type="cellIs" dxfId="2000" priority="171" stopIfTrue="1" operator="lessThan">
      <formula>96.8</formula>
    </cfRule>
  </conditionalFormatting>
  <conditionalFormatting sqref="E67:E75">
    <cfRule type="cellIs" dxfId="1999" priority="29" stopIfTrue="1" operator="lessThanOrEqual">
      <formula>0</formula>
    </cfRule>
  </conditionalFormatting>
  <conditionalFormatting sqref="E67:E76">
    <cfRule type="cellIs" dxfId="1998" priority="31" stopIfTrue="1" operator="lessThanOrEqual">
      <formula>0</formula>
    </cfRule>
    <cfRule type="cellIs" dxfId="1997" priority="30" stopIfTrue="1" operator="greaterThan">
      <formula>$F67</formula>
    </cfRule>
  </conditionalFormatting>
  <conditionalFormatting sqref="E76">
    <cfRule type="cellIs" dxfId="1996" priority="32" stopIfTrue="1" operator="lessThanOrEqual">
      <formula>0</formula>
    </cfRule>
  </conditionalFormatting>
  <conditionalFormatting sqref="E78:E86">
    <cfRule type="cellIs" dxfId="1995" priority="163" stopIfTrue="1" operator="greaterThan">
      <formula>4.5</formula>
    </cfRule>
    <cfRule type="cellIs" dxfId="1994" priority="164" stopIfTrue="1" operator="lessThanOrEqual">
      <formula>0</formula>
    </cfRule>
  </conditionalFormatting>
  <conditionalFormatting sqref="E51:F51 E50">
    <cfRule type="cellIs" dxfId="1993" priority="173" stopIfTrue="1" operator="lessThan">
      <formula>96.5</formula>
    </cfRule>
  </conditionalFormatting>
  <conditionalFormatting sqref="F21:F22">
    <cfRule type="cellIs" dxfId="1992" priority="18" operator="greaterThan">
      <formula>60</formula>
    </cfRule>
  </conditionalFormatting>
  <conditionalFormatting sqref="F51">
    <cfRule type="cellIs" dxfId="1991" priority="189" stopIfTrue="1" operator="lessThan">
      <formula>96.8</formula>
    </cfRule>
    <cfRule type="cellIs" dxfId="1990" priority="190" stopIfTrue="1" operator="greaterThan">
      <formula>100</formula>
    </cfRule>
  </conditionalFormatting>
  <conditionalFormatting sqref="F76">
    <cfRule type="cellIs" dxfId="1989" priority="41" stopIfTrue="1" operator="lessThanOrEqual">
      <formula>0</formula>
    </cfRule>
    <cfRule type="cellIs" dxfId="1988" priority="40" stopIfTrue="1" operator="greaterThan">
      <formula>$F76</formula>
    </cfRule>
  </conditionalFormatting>
  <conditionalFormatting sqref="G10:G22">
    <cfRule type="expression" dxfId="1987" priority="14">
      <formula>IF(+(IF(G10&lt;S10,0,IF(G10&gt;T10,0,1)))=0,1)</formula>
    </cfRule>
  </conditionalFormatting>
  <conditionalFormatting sqref="G67:G68">
    <cfRule type="cellIs" dxfId="1986" priority="43" stopIfTrue="1" operator="lessThanOrEqual">
      <formula>0</formula>
    </cfRule>
    <cfRule type="cellIs" dxfId="1985" priority="42" stopIfTrue="1" operator="greaterThan">
      <formula>$F67</formula>
    </cfRule>
  </conditionalFormatting>
  <conditionalFormatting sqref="G67:G70">
    <cfRule type="cellIs" dxfId="1984" priority="24" stopIfTrue="1" operator="greaterThan">
      <formula>$F67</formula>
    </cfRule>
    <cfRule type="cellIs" dxfId="1983" priority="25" stopIfTrue="1" operator="lessThanOrEqual">
      <formula>0</formula>
    </cfRule>
  </conditionalFormatting>
  <conditionalFormatting sqref="G69">
    <cfRule type="cellIs" dxfId="1982" priority="22" stopIfTrue="1" operator="greaterThan">
      <formula>$F69</formula>
    </cfRule>
    <cfRule type="cellIs" dxfId="1981" priority="23" stopIfTrue="1" operator="lessThanOrEqual">
      <formula>0</formula>
    </cfRule>
  </conditionalFormatting>
  <conditionalFormatting sqref="G70">
    <cfRule type="cellIs" dxfId="1980" priority="36" stopIfTrue="1" operator="greaterThan">
      <formula>$F70</formula>
    </cfRule>
    <cfRule type="cellIs" dxfId="1979" priority="37" stopIfTrue="1" operator="lessThanOrEqual">
      <formula>0</formula>
    </cfRule>
  </conditionalFormatting>
  <conditionalFormatting sqref="G71:G75">
    <cfRule type="cellIs" dxfId="1978" priority="45" stopIfTrue="1" operator="lessThanOrEqual">
      <formula>0</formula>
    </cfRule>
    <cfRule type="cellIs" dxfId="1977" priority="44" stopIfTrue="1" operator="greaterThan">
      <formula>$J71</formula>
    </cfRule>
  </conditionalFormatting>
  <conditionalFormatting sqref="G80:G85 C83 C85">
    <cfRule type="cellIs" dxfId="1976" priority="187" stopIfTrue="1" operator="lessThanOrEqual">
      <formula>0</formula>
    </cfRule>
    <cfRule type="cellIs" dxfId="1975" priority="186" stopIfTrue="1" operator="greaterThan">
      <formula>4.5</formula>
    </cfRule>
  </conditionalFormatting>
  <conditionalFormatting sqref="G79:H79">
    <cfRule type="cellIs" dxfId="1974" priority="167" stopIfTrue="1" operator="greaterThan">
      <formula>$F$78</formula>
    </cfRule>
    <cfRule type="cellIs" dxfId="1973" priority="168" stopIfTrue="1" operator="lessThanOrEqual">
      <formula>0</formula>
    </cfRule>
  </conditionalFormatting>
  <conditionalFormatting sqref="H36:H37 H50">
    <cfRule type="cellIs" dxfId="1972" priority="165" stopIfTrue="1" operator="greaterThan">
      <formula>0</formula>
    </cfRule>
  </conditionalFormatting>
  <conditionalFormatting sqref="H54">
    <cfRule type="cellIs" dxfId="1971" priority="47" stopIfTrue="1" operator="lessThanOrEqual">
      <formula>0</formula>
    </cfRule>
    <cfRule type="cellIs" dxfId="1970" priority="48" stopIfTrue="1" operator="greaterThan">
      <formula>$F$67</formula>
    </cfRule>
    <cfRule type="cellIs" dxfId="1969" priority="58" stopIfTrue="1" operator="greaterThan">
      <formula>$F$68</formula>
    </cfRule>
    <cfRule type="cellIs" dxfId="1968" priority="57" stopIfTrue="1" operator="lessThanOrEqual">
      <formula>0</formula>
    </cfRule>
    <cfRule type="cellIs" dxfId="1967" priority="56" stopIfTrue="1" operator="greaterThan">
      <formula>$F$70</formula>
    </cfRule>
  </conditionalFormatting>
  <conditionalFormatting sqref="H54:H56">
    <cfRule type="cellIs" dxfId="1966" priority="59" stopIfTrue="1" operator="lessThanOrEqual">
      <formula>0</formula>
    </cfRule>
  </conditionalFormatting>
  <conditionalFormatting sqref="H55:H56">
    <cfRule type="cellIs" dxfId="1965" priority="75" stopIfTrue="1" operator="greaterThan">
      <formula>$F$67</formula>
    </cfRule>
    <cfRule type="cellIs" dxfId="1964" priority="83" stopIfTrue="1" operator="greaterThan">
      <formula>$F$70</formula>
    </cfRule>
    <cfRule type="cellIs" dxfId="1963" priority="84" stopIfTrue="1" operator="lessThanOrEqual">
      <formula>0</formula>
    </cfRule>
    <cfRule type="cellIs" dxfId="1962" priority="85" stopIfTrue="1" operator="greaterThan">
      <formula>$F$68</formula>
    </cfRule>
  </conditionalFormatting>
  <conditionalFormatting sqref="H55:H58">
    <cfRule type="cellIs" dxfId="1961" priority="86" stopIfTrue="1" operator="lessThanOrEqual">
      <formula>0</formula>
    </cfRule>
  </conditionalFormatting>
  <conditionalFormatting sqref="H57:H58">
    <cfRule type="cellIs" dxfId="1960" priority="97" stopIfTrue="1" operator="greaterThan">
      <formula>$F$70</formula>
    </cfRule>
    <cfRule type="cellIs" dxfId="1959" priority="98" stopIfTrue="1" operator="lessThanOrEqual">
      <formula>0</formula>
    </cfRule>
    <cfRule type="cellIs" dxfId="1958" priority="99" stopIfTrue="1" operator="greaterThan">
      <formula>$F$68</formula>
    </cfRule>
    <cfRule type="cellIs" dxfId="1957" priority="100" stopIfTrue="1" operator="lessThanOrEqual">
      <formula>0</formula>
    </cfRule>
    <cfRule type="cellIs" dxfId="1956" priority="89" stopIfTrue="1" operator="greaterThan">
      <formula>$F$67</formula>
    </cfRule>
  </conditionalFormatting>
  <conditionalFormatting sqref="H59:H60">
    <cfRule type="cellIs" dxfId="1955" priority="127" stopIfTrue="1" operator="lessThanOrEqual">
      <formula>0</formula>
    </cfRule>
    <cfRule type="cellIs" dxfId="1954" priority="128" stopIfTrue="1" operator="greaterThan">
      <formula>#REF!</formula>
    </cfRule>
    <cfRule type="cellIs" dxfId="1953" priority="139" stopIfTrue="1" operator="lessThanOrEqual">
      <formula>0</formula>
    </cfRule>
    <cfRule type="cellIs" dxfId="1952" priority="138" stopIfTrue="1" operator="greaterThan">
      <formula>#REF!</formula>
    </cfRule>
    <cfRule type="cellIs" dxfId="1951" priority="137" stopIfTrue="1" operator="lessThanOrEqual">
      <formula>0</formula>
    </cfRule>
    <cfRule type="cellIs" dxfId="1950" priority="136" stopIfTrue="1" operator="greaterThan">
      <formula>$F$22</formula>
    </cfRule>
  </conditionalFormatting>
  <conditionalFormatting sqref="H61">
    <cfRule type="cellIs" dxfId="1949" priority="153" stopIfTrue="1" operator="lessThanOrEqual">
      <formula>0</formula>
    </cfRule>
    <cfRule type="cellIs" dxfId="1948" priority="152" stopIfTrue="1" operator="greaterThan">
      <formula>$F$36</formula>
    </cfRule>
    <cfRule type="cellIs" dxfId="1947" priority="151" stopIfTrue="1" operator="lessThanOrEqual">
      <formula>0</formula>
    </cfRule>
    <cfRule type="cellIs" dxfId="1946" priority="150" stopIfTrue="1" operator="greaterThan">
      <formula>$F$38</formula>
    </cfRule>
    <cfRule type="cellIs" dxfId="1945" priority="142" stopIfTrue="1" operator="greaterThan">
      <formula>$F$35</formula>
    </cfRule>
    <cfRule type="cellIs" dxfId="1944" priority="141" stopIfTrue="1" operator="lessThanOrEqual">
      <formula>0</formula>
    </cfRule>
  </conditionalFormatting>
  <conditionalFormatting sqref="H62:H63">
    <cfRule type="cellIs" dxfId="1943" priority="123" stopIfTrue="1" operator="lessThanOrEqual">
      <formula>0</formula>
    </cfRule>
    <cfRule type="cellIs" dxfId="1942" priority="113" stopIfTrue="1" operator="lessThanOrEqual">
      <formula>0</formula>
    </cfRule>
    <cfRule type="cellIs" dxfId="1941" priority="114" stopIfTrue="1" operator="greaterThan">
      <formula>#REF!</formula>
    </cfRule>
    <cfRule type="cellIs" dxfId="1940" priority="122" stopIfTrue="1" operator="greaterThan">
      <formula>$F$22</formula>
    </cfRule>
    <cfRule type="cellIs" dxfId="1939" priority="124" stopIfTrue="1" operator="greaterThan">
      <formula>#REF!</formula>
    </cfRule>
    <cfRule type="cellIs" dxfId="1938" priority="125" stopIfTrue="1" operator="lessThanOrEqual">
      <formula>0</formula>
    </cfRule>
  </conditionalFormatting>
  <conditionalFormatting sqref="H78 H80:H86">
    <cfRule type="cellIs" dxfId="1937" priority="180" stopIfTrue="1" operator="lessThanOrEqual">
      <formula>0</formula>
    </cfRule>
    <cfRule type="cellIs" dxfId="1936" priority="179" stopIfTrue="1" operator="greaterThan">
      <formula>4.5</formula>
    </cfRule>
  </conditionalFormatting>
  <conditionalFormatting sqref="H54:I54">
    <cfRule type="cellIs" dxfId="1935" priority="49" stopIfTrue="1" operator="lessThanOrEqual">
      <formula>0</formula>
    </cfRule>
  </conditionalFormatting>
  <conditionalFormatting sqref="H54:I58">
    <cfRule type="cellIs" dxfId="1934" priority="46" stopIfTrue="1" operator="greaterThan">
      <formula>$F$69</formula>
    </cfRule>
  </conditionalFormatting>
  <conditionalFormatting sqref="H55:I56">
    <cfRule type="cellIs" dxfId="1933" priority="76" stopIfTrue="1" operator="lessThanOrEqual">
      <formula>0</formula>
    </cfRule>
  </conditionalFormatting>
  <conditionalFormatting sqref="H57:I58">
    <cfRule type="cellIs" dxfId="1932" priority="90" stopIfTrue="1" operator="lessThanOrEqual">
      <formula>0</formula>
    </cfRule>
  </conditionalFormatting>
  <conditionalFormatting sqref="H59:I60">
    <cfRule type="cellIs" dxfId="1931" priority="129" stopIfTrue="1" operator="lessThanOrEqual">
      <formula>0</formula>
    </cfRule>
    <cfRule type="cellIs" dxfId="1930" priority="126" stopIfTrue="1" operator="greaterThan">
      <formula>#REF!</formula>
    </cfRule>
  </conditionalFormatting>
  <conditionalFormatting sqref="H61:I61">
    <cfRule type="cellIs" dxfId="1929" priority="140" stopIfTrue="1" operator="greaterThan">
      <formula>$F$37</formula>
    </cfRule>
    <cfRule type="cellIs" dxfId="1928" priority="143" stopIfTrue="1" operator="lessThanOrEqual">
      <formula>0</formula>
    </cfRule>
  </conditionalFormatting>
  <conditionalFormatting sqref="H62:I63">
    <cfRule type="cellIs" dxfId="1927" priority="112" stopIfTrue="1" operator="greaterThan">
      <formula>#REF!</formula>
    </cfRule>
    <cfRule type="cellIs" dxfId="1926" priority="115" stopIfTrue="1" operator="lessThanOrEqual">
      <formula>0</formula>
    </cfRule>
  </conditionalFormatting>
  <conditionalFormatting sqref="H67:I74">
    <cfRule type="cellIs" dxfId="1925" priority="27" stopIfTrue="1" operator="greaterThan">
      <formula>$J67</formula>
    </cfRule>
    <cfRule type="cellIs" dxfId="1924" priority="28" stopIfTrue="1" operator="lessThanOrEqual">
      <formula>0</formula>
    </cfRule>
  </conditionalFormatting>
  <conditionalFormatting sqref="H75:I75">
    <cfRule type="cellIs" dxfId="1923" priority="35" operator="greaterThan">
      <formula>5.3</formula>
    </cfRule>
  </conditionalFormatting>
  <conditionalFormatting sqref="H76:I76">
    <cfRule type="cellIs" dxfId="1922" priority="33" stopIfTrue="1" operator="greaterThan">
      <formula>$J76</formula>
    </cfRule>
    <cfRule type="cellIs" dxfId="1921" priority="34" stopIfTrue="1" operator="lessThanOrEqual">
      <formula>0</formula>
    </cfRule>
  </conditionalFormatting>
  <conditionalFormatting sqref="I54">
    <cfRule type="cellIs" dxfId="1920" priority="50" stopIfTrue="1" operator="greaterThan">
      <formula>$F$67</formula>
    </cfRule>
    <cfRule type="cellIs" dxfId="1919" priority="51" stopIfTrue="1" operator="lessThanOrEqual">
      <formula>0</formula>
    </cfRule>
    <cfRule type="cellIs" dxfId="1918" priority="54" stopIfTrue="1" operator="greaterThan">
      <formula>$F$67</formula>
    </cfRule>
    <cfRule type="cellIs" dxfId="1917" priority="52" stopIfTrue="1" operator="greaterThan">
      <formula>$F$69</formula>
    </cfRule>
    <cfRule type="cellIs" dxfId="1916" priority="53" stopIfTrue="1" operator="lessThanOrEqual">
      <formula>0</formula>
    </cfRule>
    <cfRule type="cellIs" dxfId="1915" priority="55" stopIfTrue="1" operator="lessThanOrEqual">
      <formula>0</formula>
    </cfRule>
  </conditionalFormatting>
  <conditionalFormatting sqref="I55:I56">
    <cfRule type="cellIs" dxfId="1914" priority="77" stopIfTrue="1" operator="greaterThan">
      <formula>$F$67</formula>
    </cfRule>
    <cfRule type="cellIs" dxfId="1913" priority="78" stopIfTrue="1" operator="lessThanOrEqual">
      <formula>0</formula>
    </cfRule>
    <cfRule type="cellIs" dxfId="1912" priority="82" stopIfTrue="1" operator="lessThanOrEqual">
      <formula>0</formula>
    </cfRule>
    <cfRule type="cellIs" dxfId="1911" priority="81" stopIfTrue="1" operator="greaterThan">
      <formula>$F$67</formula>
    </cfRule>
    <cfRule type="cellIs" dxfId="1910" priority="80" stopIfTrue="1" operator="lessThanOrEqual">
      <formula>0</formula>
    </cfRule>
    <cfRule type="cellIs" dxfId="1909" priority="79" stopIfTrue="1" operator="greaterThan">
      <formula>$F$69</formula>
    </cfRule>
  </conditionalFormatting>
  <conditionalFormatting sqref="I57:I58">
    <cfRule type="cellIs" dxfId="1908" priority="96" stopIfTrue="1" operator="lessThanOrEqual">
      <formula>0</formula>
    </cfRule>
    <cfRule type="cellIs" dxfId="1907" priority="94" stopIfTrue="1" operator="lessThanOrEqual">
      <formula>0</formula>
    </cfRule>
    <cfRule type="cellIs" dxfId="1906" priority="93" stopIfTrue="1" operator="greaterThan">
      <formula>$F$69</formula>
    </cfRule>
    <cfRule type="cellIs" dxfId="1905" priority="92" stopIfTrue="1" operator="lessThanOrEqual">
      <formula>0</formula>
    </cfRule>
    <cfRule type="cellIs" dxfId="1904" priority="91" stopIfTrue="1" operator="greaterThan">
      <formula>$F$67</formula>
    </cfRule>
    <cfRule type="cellIs" dxfId="1903" priority="95" stopIfTrue="1" operator="greaterThan">
      <formula>$F$67</formula>
    </cfRule>
  </conditionalFormatting>
  <conditionalFormatting sqref="I59:I60">
    <cfRule type="cellIs" dxfId="1902" priority="135" stopIfTrue="1" operator="lessThanOrEqual">
      <formula>0</formula>
    </cfRule>
    <cfRule type="cellIs" dxfId="1901" priority="130" stopIfTrue="1" operator="greaterThan">
      <formula>#REF!</formula>
    </cfRule>
    <cfRule type="cellIs" dxfId="1900" priority="131" stopIfTrue="1" operator="lessThanOrEqual">
      <formula>0</formula>
    </cfRule>
    <cfRule type="cellIs" dxfId="1899" priority="132" stopIfTrue="1" operator="greaterThan">
      <formula>#REF!</formula>
    </cfRule>
    <cfRule type="cellIs" dxfId="1898" priority="133" stopIfTrue="1" operator="lessThanOrEqual">
      <formula>0</formula>
    </cfRule>
    <cfRule type="cellIs" dxfId="1897" priority="134" stopIfTrue="1" operator="greaterThan">
      <formula>#REF!</formula>
    </cfRule>
  </conditionalFormatting>
  <conditionalFormatting sqref="I61">
    <cfRule type="cellIs" dxfId="1896" priority="147" stopIfTrue="1" operator="lessThanOrEqual">
      <formula>0</formula>
    </cfRule>
    <cfRule type="cellIs" dxfId="1895" priority="148" stopIfTrue="1" operator="greaterThan">
      <formula>$F$35</formula>
    </cfRule>
    <cfRule type="cellIs" dxfId="1894" priority="149" stopIfTrue="1" operator="lessThanOrEqual">
      <formula>0</formula>
    </cfRule>
    <cfRule type="cellIs" dxfId="1893" priority="144" stopIfTrue="1" operator="greaterThan">
      <formula>$F$35</formula>
    </cfRule>
    <cfRule type="cellIs" dxfId="1892" priority="145" stopIfTrue="1" operator="lessThanOrEqual">
      <formula>0</formula>
    </cfRule>
    <cfRule type="cellIs" dxfId="1891" priority="146" stopIfTrue="1" operator="greaterThan">
      <formula>$F$37</formula>
    </cfRule>
  </conditionalFormatting>
  <conditionalFormatting sqref="I62:I63">
    <cfRule type="cellIs" dxfId="1890" priority="118" stopIfTrue="1" operator="greaterThan">
      <formula>#REF!</formula>
    </cfRule>
    <cfRule type="cellIs" dxfId="1889" priority="117" stopIfTrue="1" operator="lessThanOrEqual">
      <formula>0</formula>
    </cfRule>
    <cfRule type="cellIs" dxfId="1888" priority="121" stopIfTrue="1" operator="lessThanOrEqual">
      <formula>0</formula>
    </cfRule>
    <cfRule type="cellIs" dxfId="1887" priority="120" stopIfTrue="1" operator="greaterThan">
      <formula>#REF!</formula>
    </cfRule>
    <cfRule type="cellIs" dxfId="1886" priority="116" stopIfTrue="1" operator="greaterThan">
      <formula>#REF!</formula>
    </cfRule>
    <cfRule type="cellIs" dxfId="1885" priority="119" stopIfTrue="1" operator="lessThanOrEqual">
      <formula>0</formula>
    </cfRule>
  </conditionalFormatting>
  <conditionalFormatting sqref="I78:I86">
    <cfRule type="cellIs" dxfId="1884" priority="175" stopIfTrue="1" operator="greaterThan">
      <formula>4.5</formula>
    </cfRule>
    <cfRule type="cellIs" dxfId="1883" priority="176" stopIfTrue="1" operator="lessThanOrEqual">
      <formula>0</formula>
    </cfRule>
  </conditionalFormatting>
  <conditionalFormatting sqref="I10:J22">
    <cfRule type="cellIs" dxfId="1882" priority="3" operator="lessThan">
      <formula>97.9</formula>
    </cfRule>
  </conditionalFormatting>
  <conditionalFormatting sqref="J25:J26">
    <cfRule type="cellIs" dxfId="1881" priority="88" operator="lessThan">
      <formula>97.95</formula>
    </cfRule>
  </conditionalFormatting>
  <conditionalFormatting sqref="J27">
    <cfRule type="cellIs" dxfId="1880" priority="157" operator="lessThan">
      <formula>98</formula>
    </cfRule>
    <cfRule type="cellIs" dxfId="1879" priority="155" stopIfTrue="1" operator="lessThan">
      <formula>96.8</formula>
    </cfRule>
    <cfRule type="cellIs" dxfId="1878" priority="156" stopIfTrue="1" operator="greaterThan">
      <formula>100</formula>
    </cfRule>
  </conditionalFormatting>
  <conditionalFormatting sqref="J27:J29">
    <cfRule type="cellIs" dxfId="1877" priority="154" operator="lessThan">
      <formula>97.4</formula>
    </cfRule>
  </conditionalFormatting>
  <conditionalFormatting sqref="J30:J31">
    <cfRule type="cellIs" dxfId="1876" priority="158" operator="lessThan">
      <formula>98</formula>
    </cfRule>
  </conditionalFormatting>
  <conditionalFormatting sqref="J32:J33">
    <cfRule type="cellIs" dxfId="1875" priority="159" stopIfTrue="1" operator="lessThan">
      <formula>96.8</formula>
    </cfRule>
    <cfRule type="cellIs" dxfId="1874" priority="160" stopIfTrue="1" operator="greaterThan">
      <formula>100</formula>
    </cfRule>
  </conditionalFormatting>
  <conditionalFormatting sqref="J32:J34">
    <cfRule type="cellIs" dxfId="1873" priority="161" operator="lessThan">
      <formula>98</formula>
    </cfRule>
  </conditionalFormatting>
  <conditionalFormatting sqref="J63">
    <cfRule type="cellIs" dxfId="1872" priority="108" stopIfTrue="1" operator="greaterThan">
      <formula>#REF!</formula>
    </cfRule>
    <cfRule type="cellIs" dxfId="1871" priority="107" stopIfTrue="1" operator="lessThanOrEqual">
      <formula>0</formula>
    </cfRule>
    <cfRule type="cellIs" dxfId="1870" priority="106" stopIfTrue="1" operator="greaterThan">
      <formula>#REF!</formula>
    </cfRule>
    <cfRule type="cellIs" dxfId="1869" priority="104" stopIfTrue="1" operator="greaterThan">
      <formula>#REF!</formula>
    </cfRule>
    <cfRule type="cellIs" dxfId="1868" priority="111" stopIfTrue="1" operator="lessThanOrEqual">
      <formula>0</formula>
    </cfRule>
    <cfRule type="cellIs" dxfId="1867" priority="105" stopIfTrue="1" operator="lessThanOrEqual">
      <formula>0</formula>
    </cfRule>
    <cfRule type="cellIs" dxfId="1866" priority="110" stopIfTrue="1" operator="greaterThan">
      <formula>#REF!</formula>
    </cfRule>
    <cfRule type="cellIs" dxfId="1865" priority="109" stopIfTrue="1" operator="lessThanOrEqual">
      <formula>0</formula>
    </cfRule>
  </conditionalFormatting>
  <conditionalFormatting sqref="J76">
    <cfRule type="cellIs" dxfId="1864" priority="38" stopIfTrue="1" operator="greaterThan">
      <formula>$F76</formula>
    </cfRule>
    <cfRule type="cellIs" dxfId="1863" priority="39" stopIfTrue="1" operator="lessThanOrEqual">
      <formula>0</formula>
    </cfRule>
  </conditionalFormatting>
  <conditionalFormatting sqref="K10:K22">
    <cfRule type="cellIs" dxfId="1862" priority="5" operator="lessThan">
      <formula>4</formula>
    </cfRule>
    <cfRule type="cellIs" dxfId="1861" priority="6" operator="greaterThan">
      <formula>6.4</formula>
    </cfRule>
    <cfRule type="cellIs" dxfId="1860" priority="4" operator="greaterThan">
      <formula>6</formula>
    </cfRule>
  </conditionalFormatting>
  <conditionalFormatting sqref="K54:K63">
    <cfRule type="cellIs" dxfId="1859" priority="87" stopIfTrue="1" operator="lessThan">
      <formula>100%</formula>
    </cfRule>
  </conditionalFormatting>
  <conditionalFormatting sqref="K67:K75">
    <cfRule type="cellIs" dxfId="1858" priority="26" stopIfTrue="1" operator="lessThan">
      <formula>100%</formula>
    </cfRule>
  </conditionalFormatting>
  <conditionalFormatting sqref="K78:K83">
    <cfRule type="cellIs" dxfId="1857" priority="181" stopIfTrue="1" operator="lessThan">
      <formula>100%</formula>
    </cfRule>
  </conditionalFormatting>
  <conditionalFormatting sqref="K85:K86">
    <cfRule type="cellIs" dxfId="1856" priority="188" stopIfTrue="1" operator="lessThan">
      <formula>100%</formula>
    </cfRule>
  </conditionalFormatting>
  <conditionalFormatting sqref="L10:L22">
    <cfRule type="cellIs" dxfId="1855" priority="8" operator="greaterThan">
      <formula>65</formula>
    </cfRule>
    <cfRule type="cellIs" dxfId="1854" priority="7" operator="between">
      <formula>61</formula>
      <formula>65</formula>
    </cfRule>
  </conditionalFormatting>
  <conditionalFormatting sqref="L25:M36">
    <cfRule type="cellIs" dxfId="1853" priority="101" operator="lessThan">
      <formula>97.95</formula>
    </cfRule>
  </conditionalFormatting>
  <conditionalFormatting sqref="L40:N40">
    <cfRule type="cellIs" dxfId="1852" priority="66" operator="notEqual">
      <formula>#REF!</formula>
    </cfRule>
  </conditionalFormatting>
  <conditionalFormatting sqref="L67:N76">
    <cfRule type="cellIs" dxfId="1851" priority="21" stopIfTrue="1" operator="lessThan">
      <formula>100%</formula>
    </cfRule>
  </conditionalFormatting>
  <conditionalFormatting sqref="L78:N86">
    <cfRule type="cellIs" dxfId="1850" priority="166" stopIfTrue="1" operator="lessThan">
      <formula>100%</formula>
    </cfRule>
  </conditionalFormatting>
  <conditionalFormatting sqref="M18">
    <cfRule type="expression" dxfId="1849" priority="15">
      <formula>IF(+(IF(M18&lt;U18,0,IF(M18&gt;V18,0,1)))=0,1)</formula>
    </cfRule>
  </conditionalFormatting>
  <conditionalFormatting sqref="M10:N17 H10:H22">
    <cfRule type="expression" dxfId="1848" priority="17">
      <formula>IF(+(IF(H10&lt;#REF!,0,IF(H10&gt;#REF!,0,1)))=0,1)</formula>
    </cfRule>
  </conditionalFormatting>
  <conditionalFormatting sqref="M19:N22">
    <cfRule type="expression" dxfId="1847" priority="16">
      <formula>IF(+(IF(M19&lt;#REF!,0,IF(M19&gt;#REF!,0,1)))=0,1)</formula>
    </cfRule>
  </conditionalFormatting>
  <conditionalFormatting sqref="N10:N20">
    <cfRule type="expression" dxfId="1846" priority="1">
      <formula>IF(+(IF(N10&lt;W10,0,IF(N10&gt;X10,0,1)))=0,1)</formula>
    </cfRule>
  </conditionalFormatting>
  <conditionalFormatting sqref="P6">
    <cfRule type="cellIs" dxfId="1845" priority="162" operator="greaterThanOrEqual">
      <formula>19</formula>
    </cfRule>
  </conditionalFormatting>
  <dataValidations count="1">
    <dataValidation type="list" allowBlank="1" showInputMessage="1" showErrorMessage="1" sqref="R8" xr:uid="{C4F15548-76DC-46BF-9DFD-0C375D26CBB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077E-A97E-4CFF-B204-FADE99F8950B}">
  <sheetPr>
    <pageSetUpPr fitToPage="1"/>
  </sheetPr>
  <dimension ref="A1:BE75"/>
  <sheetViews>
    <sheetView zoomScale="70" zoomScaleNormal="70" workbookViewId="0">
      <selection activeCell="E10" sqref="E10:E1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46192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[3]Brewhouse!$A457</f>
        <v>CA411</v>
      </c>
      <c r="D10" s="279">
        <f>[3]Brewhouse!$AF457</f>
        <v>49.1</v>
      </c>
      <c r="E10" s="279">
        <f>[3]Brewhouse!$AI457</f>
        <v>51.1</v>
      </c>
      <c r="F10" s="278">
        <f>[3]Brewhouse!$V457</f>
        <v>64</v>
      </c>
      <c r="G10" s="279">
        <f>[3]Brewhouse!AG457</f>
        <v>11.9</v>
      </c>
      <c r="H10" s="396">
        <v>11.7</v>
      </c>
      <c r="I10" s="368">
        <f>[3]Brewhouse!$AU457</f>
        <v>101.5646659439884</v>
      </c>
      <c r="J10" s="368">
        <f>[3]Brewhouse!$AV457</f>
        <v>102.40092228899363</v>
      </c>
      <c r="K10" s="281">
        <f>[3]Brewhouse!$Q457</f>
        <v>10.573012939001845</v>
      </c>
      <c r="L10" s="276">
        <f>[3]Brewhouse!$P457</f>
        <v>61</v>
      </c>
      <c r="M10" s="397">
        <f>[3]Brewhouse!$U457-[3]Brewhouse!$T457</f>
        <v>0.11805555555555555</v>
      </c>
      <c r="N10" s="370">
        <f>[3]Brewhouse!$Z457</f>
        <v>0.25486111111111109</v>
      </c>
      <c r="O10" s="420" t="str">
        <f>[3]Brewhouse!$AX457</f>
        <v>R. Regis</v>
      </c>
      <c r="P10" s="418"/>
      <c r="R10" s="277" t="str">
        <f t="shared" ref="R10:R18" si="0">B10</f>
        <v>CARIB</v>
      </c>
      <c r="S10" s="472">
        <f t="shared" ref="S10:S18" si="1">VLOOKUP($B10,$R$3:$X$9,2,FALSE)</f>
        <v>11.6</v>
      </c>
      <c r="T10" s="472">
        <f t="shared" ref="T10:T18" si="2">VLOOKUP($B10,$R$3:$X$9,3,FALSE)</f>
        <v>12</v>
      </c>
      <c r="U10" s="297">
        <f t="shared" ref="U10:U18" si="3">VLOOKUP($B10,$R$3:$X$9,4,FALSE)</f>
        <v>0</v>
      </c>
      <c r="V10" s="297">
        <f t="shared" ref="V10:V18" si="4">VLOOKUP($B10,$R$3:$X$9,5,FALSE)</f>
        <v>0.118055555555556</v>
      </c>
      <c r="W10" s="297">
        <f t="shared" ref="W10:W18" si="5">VLOOKUP($B10,$R$3:$X$9,6,FALSE)</f>
        <v>0.22569444444444445</v>
      </c>
      <c r="X10" s="297">
        <f t="shared" ref="X10:X18" si="6">VLOOKUP($B10,$R$3:$X$9,7,FALSE)</f>
        <v>0.2638888888888889</v>
      </c>
      <c r="Y10" s="297">
        <f t="shared" ref="Y10:Y18" si="7">VLOOKUP($B10,$R$3:$Z$9,8,FALSE)</f>
        <v>0</v>
      </c>
      <c r="Z10" s="472">
        <f t="shared" ref="Z10:Z18" si="8">VLOOKUP($B10,$R$3:$Z$9,9,FALSE)</f>
        <v>60</v>
      </c>
    </row>
    <row r="11" spans="2:29" ht="17.25" customHeight="1">
      <c r="B11" s="29" t="s">
        <v>6</v>
      </c>
      <c r="C11" s="366" t="str">
        <f>[3]Brewhouse!$A458</f>
        <v>CA412</v>
      </c>
      <c r="D11" s="279">
        <f>[3]Brewhouse!$AF458</f>
        <v>49.9</v>
      </c>
      <c r="E11" s="279">
        <f>[3]Brewhouse!$AI458</f>
        <v>50.2</v>
      </c>
      <c r="F11" s="278">
        <f>[3]Brewhouse!$V458</f>
        <v>64</v>
      </c>
      <c r="G11" s="279">
        <f>[3]Brewhouse!AG458</f>
        <v>11.6</v>
      </c>
      <c r="H11" s="396">
        <v>11.7</v>
      </c>
      <c r="I11" s="368">
        <f>[3]Brewhouse!$AU458</f>
        <v>96.768900005202767</v>
      </c>
      <c r="J11" s="368">
        <f>[3]Brewhouse!$AV458</f>
        <v>97.565827973175971</v>
      </c>
      <c r="K11" s="281">
        <f>[3]Brewhouse!$Q458</f>
        <v>8.9259259259259256</v>
      </c>
      <c r="L11" s="276">
        <f>[3]Brewhouse!$P458</f>
        <v>61</v>
      </c>
      <c r="M11" s="397">
        <f>[3]Brewhouse!$U458-[3]Brewhouse!$T458</f>
        <v>0.11041666666666666</v>
      </c>
      <c r="N11" s="370">
        <f>[3]Brewhouse!$Z458</f>
        <v>0.25138888888888888</v>
      </c>
      <c r="O11" s="420" t="str">
        <f>[3]Brewhouse!$AX458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[3]Brewhouse!$A459</f>
        <v>CA413</v>
      </c>
      <c r="D12" s="279">
        <f>[3]Brewhouse!$AF459</f>
        <v>0</v>
      </c>
      <c r="E12" s="279">
        <f>[3]Brewhouse!$AI459</f>
        <v>50.3</v>
      </c>
      <c r="F12" s="278">
        <f>[3]Brewhouse!$V459</f>
        <v>62</v>
      </c>
      <c r="G12" s="279">
        <f>[3]Brewhouse!AG459</f>
        <v>11.8</v>
      </c>
      <c r="H12" s="396">
        <v>11.7</v>
      </c>
      <c r="I12" s="368">
        <f>[3]Brewhouse!$AU459</f>
        <v>99.215120295971658</v>
      </c>
      <c r="J12" s="368">
        <f>[3]Brewhouse!$AV459</f>
        <v>100.03197660821246</v>
      </c>
      <c r="K12" s="281">
        <f>[3]Brewhouse!$Q459</f>
        <v>10.018484288354902</v>
      </c>
      <c r="L12" s="276">
        <f>[3]Brewhouse!$P459</f>
        <v>60</v>
      </c>
      <c r="M12" s="397">
        <f>[3]Brewhouse!$U459-[3]Brewhouse!$T459</f>
        <v>0.11041666666666666</v>
      </c>
      <c r="N12" s="370">
        <f>[3]Brewhouse!$Z459</f>
        <v>0.25069444444444444</v>
      </c>
      <c r="O12" s="420" t="str">
        <f>[3]Brewhouse!$AX459</f>
        <v>D. Gomaz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[3]Brewhouse!$A460</f>
        <v>CA414</v>
      </c>
      <c r="D13" s="279">
        <f>[3]Brewhouse!$AF460</f>
        <v>49.5</v>
      </c>
      <c r="E13" s="279">
        <f>[3]Brewhouse!$AI460</f>
        <v>49</v>
      </c>
      <c r="F13" s="278">
        <f>[3]Brewhouse!$V460</f>
        <v>60</v>
      </c>
      <c r="G13" s="279">
        <f>[3]Brewhouse!AG460</f>
        <v>11.8</v>
      </c>
      <c r="H13" s="396">
        <v>11.9</v>
      </c>
      <c r="I13" s="368">
        <f>[3]Brewhouse!$AU460</f>
        <v>96.530294814784824</v>
      </c>
      <c r="J13" s="368">
        <f>[3]Brewhouse!$AV460</f>
        <v>97.325099491921321</v>
      </c>
      <c r="K13" s="281">
        <f>[3]Brewhouse!$Q460</f>
        <v>9.8336414048059151</v>
      </c>
      <c r="L13" s="276">
        <f>[3]Brewhouse!$P460</f>
        <v>61</v>
      </c>
      <c r="M13" s="397">
        <f>[3]Brewhouse!$U460-[3]Brewhouse!$T460</f>
        <v>0.10416666666666663</v>
      </c>
      <c r="N13" s="486">
        <f>[3]Brewhouse!$Z460</f>
        <v>0.27500000000000002</v>
      </c>
      <c r="O13" s="420" t="str">
        <f>[3]Brewhouse!$AX460</f>
        <v>D. Gomaz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[3]Brewhouse!$A461</f>
        <v>CA415</v>
      </c>
      <c r="D14" s="279">
        <f>[3]Brewhouse!$AF461</f>
        <v>49.1</v>
      </c>
      <c r="E14" s="279">
        <f>[3]Brewhouse!$AI461</f>
        <v>50.3</v>
      </c>
      <c r="F14" s="278">
        <f>[3]Brewhouse!$V461</f>
        <v>58</v>
      </c>
      <c r="G14" s="279">
        <f>[3]Brewhouse!AG461</f>
        <v>12</v>
      </c>
      <c r="H14" s="396">
        <v>11.9</v>
      </c>
      <c r="I14" s="368">
        <f>[3]Brewhouse!$AU461</f>
        <v>100.60681338817419</v>
      </c>
      <c r="J14" s="368">
        <f>[3]Brewhouse!$AV461</f>
        <v>101.43529314961562</v>
      </c>
      <c r="K14" s="281">
        <f>[3]Brewhouse!$Q461</f>
        <v>10.407407407407403</v>
      </c>
      <c r="L14" s="276">
        <f>[3]Brewhouse!$P461</f>
        <v>60</v>
      </c>
      <c r="M14" s="397">
        <f>[3]Brewhouse!$U461-[3]Brewhouse!$T461</f>
        <v>0.10277777777777786</v>
      </c>
      <c r="N14" s="370">
        <f>[3]Brewhouse!$Z461</f>
        <v>0.24583333333333335</v>
      </c>
      <c r="O14" s="420" t="str">
        <f>[3]Brewhouse!$AX461</f>
        <v>D. Gomaz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[3]Brewhouse!$A462</f>
        <v>CA416</v>
      </c>
      <c r="D15" s="279">
        <f>[3]Brewhouse!$AF462</f>
        <v>49.5</v>
      </c>
      <c r="E15" s="279">
        <f>[3]Brewhouse!$AI462</f>
        <v>50.4</v>
      </c>
      <c r="F15" s="278">
        <f>[3]Brewhouse!$V462</f>
        <v>59</v>
      </c>
      <c r="G15" s="279">
        <f>[3]Brewhouse!AG462</f>
        <v>11.9</v>
      </c>
      <c r="H15" s="396">
        <v>12</v>
      </c>
      <c r="I15" s="368">
        <f>[3]Brewhouse!$AU462</f>
        <v>99.799727452014764</v>
      </c>
      <c r="J15" s="368">
        <f>[3]Brewhouse!$AV462</f>
        <v>100.62161541393576</v>
      </c>
      <c r="K15" s="281">
        <f>[3]Brewhouse!$Q462</f>
        <v>9.6666666666666643</v>
      </c>
      <c r="L15" s="276">
        <f>[3]Brewhouse!$P462</f>
        <v>62</v>
      </c>
      <c r="M15" s="397">
        <f>[3]Brewhouse!$U462-[3]Brewhouse!$T462</f>
        <v>0.10486111111111118</v>
      </c>
      <c r="N15" s="370">
        <f>[3]Brewhouse!$Z462</f>
        <v>0.23888888888888893</v>
      </c>
      <c r="O15" s="420" t="str">
        <f>[3]Brewhouse!$AX462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 t="s">
        <v>6</v>
      </c>
      <c r="C16" s="366" t="str">
        <f>[3]Brewhouse!$A463</f>
        <v>CA417</v>
      </c>
      <c r="D16" s="279">
        <f>[3]Brewhouse!$AF463</f>
        <v>49.3</v>
      </c>
      <c r="E16" s="279">
        <f>[3]Brewhouse!$AI463</f>
        <v>50.3</v>
      </c>
      <c r="F16" s="278">
        <f>[3]Brewhouse!$V463</f>
        <v>62</v>
      </c>
      <c r="G16" s="279">
        <f>[3]Brewhouse!AG463</f>
        <v>11.9</v>
      </c>
      <c r="H16" s="396">
        <v>11.9</v>
      </c>
      <c r="I16" s="368">
        <f>[3]Brewhouse!$AU463</f>
        <v>100.35031551856368</v>
      </c>
      <c r="J16" s="368">
        <f>[3]Brewhouse!$AV463</f>
        <v>101.17640743800908</v>
      </c>
      <c r="K16" s="281">
        <f>[3]Brewhouse!$Q463</f>
        <v>10.03703703703704</v>
      </c>
      <c r="L16" s="276">
        <f>[3]Brewhouse!$P463</f>
        <v>61</v>
      </c>
      <c r="M16" s="397">
        <f>[3]Brewhouse!$U463-[3]Brewhouse!$T463</f>
        <v>0.12083333333333335</v>
      </c>
      <c r="N16" s="370">
        <f>[3]Brewhouse!$Z463</f>
        <v>0.2597222222222223</v>
      </c>
      <c r="O16" s="420" t="str">
        <f>[3]Brewhouse!$AX463</f>
        <v>K. Benjamin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7.25" customHeight="1">
      <c r="B17" s="29" t="s">
        <v>6</v>
      </c>
      <c r="C17" s="366" t="str">
        <f>[3]Brewhouse!$A464</f>
        <v>CA418</v>
      </c>
      <c r="D17" s="279">
        <f>[3]Brewhouse!$AF464</f>
        <v>49.8</v>
      </c>
      <c r="E17" s="279">
        <f>[3]Brewhouse!$AI464</f>
        <v>50.8</v>
      </c>
      <c r="F17" s="278">
        <f>[3]Brewhouse!$V464</f>
        <v>62</v>
      </c>
      <c r="G17" s="279">
        <f>[3]Brewhouse!AG464</f>
        <v>11.8</v>
      </c>
      <c r="H17" s="396">
        <v>11.9</v>
      </c>
      <c r="I17" s="368">
        <f>[3]Brewhouse!$AU464</f>
        <v>99.827142752199421</v>
      </c>
      <c r="J17" s="368">
        <f>[3]Brewhouse!$AV464</f>
        <v>100.64920206038583</v>
      </c>
      <c r="K17" s="281">
        <f>[3]Brewhouse!$Q464</f>
        <v>9.2791127541589713</v>
      </c>
      <c r="L17" s="276">
        <f>[3]Brewhouse!$P464</f>
        <v>60</v>
      </c>
      <c r="M17" s="397">
        <f>[3]Brewhouse!$U464-[3]Brewhouse!$T464</f>
        <v>0.10694444444444451</v>
      </c>
      <c r="N17" s="370">
        <f>[3]Brewhouse!$Z464</f>
        <v>0.23611111111111116</v>
      </c>
      <c r="O17" s="420" t="str">
        <f>[3]Brewhouse!$AX464</f>
        <v>K. Benjamin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7.2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7.2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ref="R19:R35" si="9">B19</f>
        <v>0</v>
      </c>
      <c r="S19" s="472" t="e">
        <f t="shared" ref="S19:S35" si="10">VLOOKUP($B19,$R$3:$X$9,2,FALSE)</f>
        <v>#N/A</v>
      </c>
      <c r="T19" s="472" t="e">
        <f t="shared" ref="T19:T35" si="11">VLOOKUP($B19,$R$3:$X$9,3,FALSE)</f>
        <v>#N/A</v>
      </c>
      <c r="U19" s="297" t="e">
        <f t="shared" ref="U19:U35" si="12">VLOOKUP($B19,$R$3:$X$9,4,FALSE)</f>
        <v>#N/A</v>
      </c>
      <c r="V19" s="297" t="e">
        <f t="shared" ref="V19:V35" si="13">VLOOKUP($B19,$R$3:$X$9,5,FALSE)</f>
        <v>#N/A</v>
      </c>
      <c r="W19" s="297" t="e">
        <f t="shared" ref="W19:W35" si="14">VLOOKUP($B19,$R$3:$X$9,6,FALSE)</f>
        <v>#N/A</v>
      </c>
      <c r="X19" s="297" t="e">
        <f t="shared" ref="X19:X35" si="15">VLOOKUP($B19,$R$3:$X$9,7,FALSE)</f>
        <v>#N/A</v>
      </c>
      <c r="Y19" s="297" t="e">
        <f t="shared" ref="Y19:Y35" si="16">VLOOKUP($B19,$R$3:$Z$9,8,FALSE)</f>
        <v>#N/A</v>
      </c>
      <c r="Z19" s="472" t="e">
        <f t="shared" ref="Z19:Z35" si="17">VLOOKUP($B19,$R$3:$Z$9,9,FALSE)</f>
        <v>#N/A</v>
      </c>
    </row>
    <row r="20" spans="1:27" ht="17.25" customHeight="1">
      <c r="B20" s="29"/>
      <c r="C20" s="366"/>
      <c r="D20" s="279"/>
      <c r="E20" s="279"/>
      <c r="F20" s="278"/>
      <c r="G20" s="279"/>
      <c r="H20" s="481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7.2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44"/>
      <c r="J22" s="544"/>
      <c r="K22" s="544"/>
      <c r="L22" s="544"/>
      <c r="M22" s="544"/>
      <c r="N22" s="544"/>
      <c r="O22" s="1"/>
      <c r="P22" s="12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 thickBot="1">
      <c r="B23" s="388" t="s">
        <v>162</v>
      </c>
      <c r="C23" s="388"/>
      <c r="D23" s="545" t="s">
        <v>35</v>
      </c>
      <c r="E23" s="546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7.25" customHeight="1">
      <c r="A24" s="28"/>
      <c r="B24" s="530"/>
      <c r="C24" s="362"/>
      <c r="D24" s="548"/>
      <c r="E24" s="549"/>
      <c r="F24" s="294"/>
      <c r="G24" s="294"/>
      <c r="H24" s="348"/>
      <c r="I24" s="29" t="s">
        <v>6</v>
      </c>
      <c r="J24" s="323">
        <f>AVERAGE(I10:I17)</f>
        <v>99.332872521362461</v>
      </c>
      <c r="K24" s="284">
        <f>COUNTA([3]Brewhouse!$A$441:$A$464)</f>
        <v>24</v>
      </c>
      <c r="L24" s="305">
        <f>AVERAGE([3]Brewhouse!$AU$441:$AU$464)</f>
        <v>98.669762263186954</v>
      </c>
      <c r="M24" s="305">
        <f>AVERAGE([3]Brewhouse!$AU$42:$AU$123,[3]Brewhouse!$AU$125:$AU$188,[3]Brewhouse!$AU$198:$AU$290,[3]Brewhouse!$AU$292:$AU$370,[3]Brewhouse!$AU$372:$AU$439,[3]Brewhouse!$AU$441:$AU$464)</f>
        <v>98.015413310640369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5" customHeight="1">
      <c r="A25" s="28"/>
      <c r="B25" s="531"/>
      <c r="C25" s="362"/>
      <c r="D25" s="550"/>
      <c r="E25" s="536"/>
      <c r="F25" s="294"/>
      <c r="G25" s="294"/>
      <c r="H25" s="348"/>
      <c r="I25" s="33" t="s">
        <v>9</v>
      </c>
      <c r="J25" s="323"/>
      <c r="K25" s="284">
        <f>COUNTA([4]Brewhouse!$A$252:$A$273)</f>
        <v>22</v>
      </c>
      <c r="L25" s="302">
        <f>AVERAGE([4]Brewhouse!$AS$252:$AS$273)</f>
        <v>99.131869947969122</v>
      </c>
      <c r="M25" s="302">
        <f>AVERAGE([4]Brewhouse!$AS$52:$AS$81,[4]Brewhouse!$AS$83:$AS$124,[4]Brewhouse!$AS$134:$AS$177,[4]Brewhouse!$AS$22:$AS$179,[4]Brewhouse!$AS$214:$AS$249,[4]Brewhouse!$AS$252:$AS$273)</f>
        <v>98.053503437205549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1"/>
      <c r="C26" s="362"/>
      <c r="D26" s="540"/>
      <c r="E26" s="541"/>
      <c r="F26" s="294"/>
      <c r="G26" s="294"/>
      <c r="H26" s="348"/>
      <c r="I26" s="34" t="s">
        <v>12</v>
      </c>
      <c r="J26" s="280"/>
      <c r="K26" s="284">
        <f>COUNTA([5]Brewhouse!$A$62:$A$69)</f>
        <v>8</v>
      </c>
      <c r="L26" s="302">
        <f>AVERAGE([5]Brewhouse!$AU$62:$AU$69)</f>
        <v>95.865325586732524</v>
      </c>
      <c r="M26" s="302">
        <f>AVERAGE([5]Brewhouse!$AU$16:$AU$23,[5]Brewhouse!$AU$25:$AU$32,[5]Brewhouse!$AU$34:$AU$41,[5]Brewhouse!$AU$43:$AU$60,[5]Brewhouse!$AU$62:$AU$69)</f>
        <v>96.726835550404019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1"/>
      <c r="C27" s="362"/>
      <c r="D27" s="535"/>
      <c r="E27" s="536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AVERAGE([6]Brewhouse!$AV$23:$AV$34,[6]Brewhouse!$AV$36,[6]Brewhouse!$AV$38:$AV$52,[6]Brewhouse!$AV$54:$AV$60,[6]Brewhouse!$AV$62:$AV$68)</f>
        <v>97.579195177204838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1"/>
      <c r="C28" s="362"/>
      <c r="D28" s="540"/>
      <c r="E28" s="541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1"/>
      <c r="C29" s="362"/>
      <c r="D29" s="535"/>
      <c r="E29" s="536"/>
      <c r="F29" s="417"/>
      <c r="G29" s="294"/>
      <c r="H29" s="348"/>
      <c r="I29" s="36" t="s">
        <v>15</v>
      </c>
      <c r="J29" s="323"/>
      <c r="K29" s="284"/>
      <c r="L29" s="302"/>
      <c r="M29" s="302">
        <f>AVERAGE([7]Brewhouse!$AT$4:$AT$11,[7]Brewhouse!$AT$13:$AT$16)</f>
        <v>91.538375374138752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31"/>
      <c r="C30" s="362"/>
      <c r="D30" s="540"/>
      <c r="E30" s="541"/>
      <c r="F30" s="417"/>
      <c r="G30" s="294"/>
      <c r="H30" s="348"/>
      <c r="I30" s="37" t="s">
        <v>16</v>
      </c>
      <c r="J30" s="323"/>
      <c r="K30" s="284">
        <f>COUNTA([8]Brewhouse!$A$66:$A$73)</f>
        <v>8</v>
      </c>
      <c r="L30" s="302">
        <f>AVERAGE([8]Brewhouse!$AY$66:$AY$73)</f>
        <v>98.225688487824243</v>
      </c>
      <c r="M30" s="302">
        <f>AVERAGE([8]Brewhouse!$AY$5:$AY$14,[8]Brewhouse!$AY$16:$AY$23,[8]Brewhouse!$AY$42,[8]Brewhouse!$AY$44:$AY$51,[8]Brewhouse!$AY$53:$AY$64,[8]Brewhouse!$AY$66:$AY$73)</f>
        <v>97.506811941025575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31"/>
      <c r="C31" s="362"/>
      <c r="D31" s="535"/>
      <c r="E31" s="536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31"/>
      <c r="C32" s="349"/>
      <c r="D32" s="540"/>
      <c r="E32" s="541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31"/>
      <c r="C33" s="349"/>
      <c r="D33" s="535"/>
      <c r="E33" s="536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31"/>
      <c r="C34" s="349"/>
      <c r="D34" s="548"/>
      <c r="E34" s="549"/>
      <c r="F34" s="294"/>
      <c r="G34" s="294"/>
      <c r="H34" s="348"/>
      <c r="I34" s="1"/>
      <c r="J34" s="39"/>
      <c r="K34" s="404">
        <f>SUM(K24:K33)</f>
        <v>62</v>
      </c>
      <c r="L34" s="405">
        <f>((L24*K24)+(L25*K25)+(L26*K26)+(L27*K27)+(L28*K28)+(K31*L31)+(L29*K29)+(L30*K30)+(L33*K33))/(K34)</f>
        <v>98.414573318842926</v>
      </c>
      <c r="M34" s="405">
        <f>AVERAGE('[9]Jan30th-31st'!$L$42,L34)</f>
        <v>98.121307527342196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47"/>
      <c r="C35" s="350"/>
      <c r="D35" s="550"/>
      <c r="E35" s="536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30"/>
      <c r="C36" s="362"/>
      <c r="D36" s="533"/>
      <c r="E36" s="534"/>
      <c r="F36" s="294"/>
      <c r="G36" s="42"/>
      <c r="H36" s="41"/>
      <c r="I36" s="42"/>
      <c r="J36" s="537" t="s">
        <v>129</v>
      </c>
      <c r="K36" s="537"/>
      <c r="L36" s="294"/>
      <c r="M36" s="294"/>
      <c r="N36" s="294"/>
      <c r="O36" s="294"/>
      <c r="P36" s="12"/>
    </row>
    <row r="37" spans="1:56" ht="15.75" thickBot="1">
      <c r="B37" s="531"/>
      <c r="C37" s="362"/>
      <c r="D37" s="535"/>
      <c r="E37" s="536"/>
      <c r="F37" s="294"/>
      <c r="G37" s="42"/>
      <c r="H37" s="42"/>
      <c r="I37" s="42"/>
      <c r="J37" s="292" t="s">
        <v>17</v>
      </c>
      <c r="K37" s="293" t="s">
        <v>170</v>
      </c>
      <c r="L37" s="538" t="s">
        <v>136</v>
      </c>
      <c r="M37" s="538"/>
      <c r="N37" s="539"/>
      <c r="O37" s="294"/>
      <c r="P37" s="12"/>
    </row>
    <row r="38" spans="1:56" ht="15" customHeight="1" thickBot="1">
      <c r="B38" s="531"/>
      <c r="C38" s="349"/>
      <c r="D38" s="540"/>
      <c r="E38" s="541"/>
      <c r="F38" s="294"/>
      <c r="G38" s="42"/>
      <c r="H38" s="42"/>
      <c r="I38" s="42"/>
      <c r="J38" s="287" t="s">
        <v>6</v>
      </c>
      <c r="K38" s="324">
        <v>8</v>
      </c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31"/>
      <c r="C39" s="349"/>
      <c r="D39" s="535"/>
      <c r="E39" s="536"/>
      <c r="F39" s="294"/>
      <c r="G39" s="42"/>
      <c r="H39" s="42"/>
      <c r="I39" s="42"/>
      <c r="J39" s="345" t="s">
        <v>9</v>
      </c>
      <c r="K39" s="324"/>
      <c r="L39" s="344">
        <f>AVERAGE('June 2nd'!K44,'June 3rd'!K52,'June 4th'!K47,'June 5th'!K46,'June 8th'!K48,'June 9th'!K56,'June 15th '!K56,'June 16th'!K50,'June 17th '!K49,K48)</f>
        <v>6.2</v>
      </c>
      <c r="M39" s="325">
        <f>AVERAGE('[9]Jan30th-31st'!$L$47,L39,'[10]Feb 26th '!$L$39,'[11]Mar 31st'!$L$47,'[12]Apr 30th'!$L$46,'[13]May 29th '!$L$40)</f>
        <v>6.3046442687747044</v>
      </c>
      <c r="N39" s="416">
        <v>9.1999999999999993</v>
      </c>
      <c r="O39" s="294"/>
      <c r="P39" s="12"/>
    </row>
    <row r="40" spans="1:56" ht="15" customHeight="1">
      <c r="B40" s="531"/>
      <c r="C40" s="349"/>
      <c r="D40" s="540"/>
      <c r="E40" s="541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31"/>
      <c r="C41" s="349"/>
      <c r="D41" s="535"/>
      <c r="E41" s="536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31"/>
      <c r="C42" s="349"/>
      <c r="D42" s="540"/>
      <c r="E42" s="541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31"/>
      <c r="C43" s="349"/>
      <c r="D43" s="535"/>
      <c r="E43" s="536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31"/>
      <c r="C44" s="349"/>
      <c r="D44" s="540"/>
      <c r="E44" s="541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32"/>
      <c r="C45" s="350"/>
      <c r="D45" s="542"/>
      <c r="E45" s="543"/>
      <c r="F45" s="294" t="s">
        <v>166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23"/>
      <c r="E46" s="524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8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15" t="s">
        <v>17</v>
      </c>
      <c r="C51" s="515" t="s">
        <v>44</v>
      </c>
      <c r="D51" s="526" t="s">
        <v>45</v>
      </c>
      <c r="E51" s="528" t="s">
        <v>46</v>
      </c>
      <c r="F51" s="521" t="s">
        <v>47</v>
      </c>
      <c r="G51" s="513" t="s">
        <v>48</v>
      </c>
      <c r="H51" s="515" t="s">
        <v>49</v>
      </c>
      <c r="I51" s="515" t="s">
        <v>50</v>
      </c>
      <c r="J51" s="507" t="s">
        <v>28</v>
      </c>
      <c r="K51" s="517" t="s">
        <v>51</v>
      </c>
      <c r="L51" s="519" t="s">
        <v>52</v>
      </c>
      <c r="M51" s="507" t="s">
        <v>53</v>
      </c>
      <c r="N51" s="13"/>
      <c r="O51" s="13"/>
      <c r="P51" s="50"/>
    </row>
    <row r="52" spans="2:57" ht="28.5" customHeight="1" thickTop="1" thickBot="1">
      <c r="B52" s="516"/>
      <c r="C52" s="525"/>
      <c r="D52" s="527"/>
      <c r="E52" s="529"/>
      <c r="F52" s="522"/>
      <c r="G52" s="514"/>
      <c r="H52" s="516"/>
      <c r="I52" s="516"/>
      <c r="J52" s="508"/>
      <c r="K52" s="518"/>
      <c r="L52" s="520"/>
      <c r="M52" s="508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503"/>
      <c r="C53" s="479"/>
      <c r="D53" s="445"/>
      <c r="E53" s="443"/>
      <c r="F53" s="444"/>
      <c r="G53" s="445"/>
      <c r="H53" s="458"/>
      <c r="I53" s="458"/>
      <c r="J53" s="448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[16]January_2019!L5</f>
        <v>0</v>
      </c>
      <c r="AC53" s="57">
        <f>[16]January_2019!M5</f>
        <v>0</v>
      </c>
      <c r="AD53" s="57">
        <f>[16]January_2019!N5</f>
        <v>0</v>
      </c>
      <c r="AE53" s="57">
        <f>[16]January_2019!O5</f>
        <v>0</v>
      </c>
      <c r="AF53" s="57">
        <f>[16]January_2019!P5</f>
        <v>0</v>
      </c>
      <c r="AG53" s="57">
        <f>[16]January_2019!Q5</f>
        <v>0</v>
      </c>
      <c r="AH53" s="57">
        <f>[16]January_2019!R5</f>
        <v>0</v>
      </c>
      <c r="AI53" s="57">
        <f>[16]January_2019!S5</f>
        <v>0</v>
      </c>
      <c r="AJ53" s="57">
        <f>[16]January_2019!T5</f>
        <v>0</v>
      </c>
      <c r="AK53" s="57">
        <f>[16]January_2019!U5</f>
        <v>0</v>
      </c>
      <c r="AL53" s="57">
        <f>[16]January_2019!V5</f>
        <v>0</v>
      </c>
      <c r="AM53" s="57">
        <f>[16]January_2019!W5</f>
        <v>0</v>
      </c>
      <c r="AN53" s="57">
        <f>[16]January_2019!X5</f>
        <v>0</v>
      </c>
      <c r="AO53" s="57">
        <f>[16]January_2019!Y5</f>
        <v>0</v>
      </c>
      <c r="AP53" s="57">
        <f>[16]January_2019!Z5</f>
        <v>0</v>
      </c>
      <c r="AQ53" s="57">
        <f>[16]January_2019!AA5</f>
        <v>0</v>
      </c>
      <c r="AR53" s="57">
        <f>[16]January_2019!AB5</f>
        <v>0</v>
      </c>
      <c r="AS53" s="57">
        <f>[16]January_2019!AC5</f>
        <v>0</v>
      </c>
      <c r="AT53" s="57">
        <f>[16]January_2019!AD5</f>
        <v>0</v>
      </c>
      <c r="AU53" s="57">
        <f>[16]January_2019!AE5</f>
        <v>0</v>
      </c>
      <c r="AV53" s="57">
        <f>[16]January_2019!AF5</f>
        <v>0</v>
      </c>
      <c r="AW53" s="57">
        <f>[16]January_2019!AG5</f>
        <v>0</v>
      </c>
      <c r="AX53" s="277">
        <f>[16]January_2019!AH5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[16]January_2019!L6</f>
        <v>0</v>
      </c>
      <c r="AC54" s="57">
        <f>[16]January_2019!M6</f>
        <v>0</v>
      </c>
      <c r="AD54" s="57">
        <f>[16]January_2019!N6</f>
        <v>0</v>
      </c>
      <c r="AE54" s="57">
        <f>[16]January_2019!O6</f>
        <v>0</v>
      </c>
      <c r="AF54" s="57">
        <f>[16]January_2019!P6</f>
        <v>0</v>
      </c>
      <c r="AG54" s="57">
        <f>[16]January_2019!Q6</f>
        <v>0</v>
      </c>
      <c r="AH54" s="57">
        <f>[16]January_2019!R6</f>
        <v>0</v>
      </c>
      <c r="AI54" s="57">
        <f>[16]January_2019!S6</f>
        <v>0</v>
      </c>
      <c r="AJ54" s="57">
        <f>[16]January_2019!T6</f>
        <v>0</v>
      </c>
      <c r="AK54" s="57">
        <f>[16]January_2019!U6</f>
        <v>0</v>
      </c>
      <c r="AL54" s="57">
        <f>[16]January_2019!V6</f>
        <v>0</v>
      </c>
      <c r="AM54" s="57">
        <f>[16]January_2019!W6</f>
        <v>0</v>
      </c>
      <c r="AN54" s="57">
        <f>[16]January_2019!X6</f>
        <v>0</v>
      </c>
      <c r="AO54" s="57">
        <f>[16]January_2019!Y6</f>
        <v>0</v>
      </c>
      <c r="AP54" s="57">
        <f>[16]January_2019!Z6</f>
        <v>0</v>
      </c>
      <c r="AQ54" s="57">
        <f>[16]January_2019!AA6</f>
        <v>0</v>
      </c>
      <c r="AR54" s="57">
        <f>[16]January_2019!AB6</f>
        <v>0</v>
      </c>
      <c r="AS54" s="57">
        <f>[16]January_2019!AC6</f>
        <v>0</v>
      </c>
      <c r="AT54" s="57">
        <f>[16]January_2019!AD6</f>
        <v>0</v>
      </c>
      <c r="AU54" s="57">
        <f>[16]January_2019!AE6</f>
        <v>0</v>
      </c>
      <c r="AV54" s="57">
        <f>[16]January_2019!AF6</f>
        <v>0</v>
      </c>
      <c r="AW54" s="57">
        <f>[16]January_2019!AG6</f>
        <v>0</v>
      </c>
      <c r="AX54" s="277">
        <f>[16]January_2019!AH6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[16]January_2019!L7</f>
        <v>285.8</v>
      </c>
      <c r="AC55" s="57">
        <f>[16]January_2019!M7</f>
        <v>508.1</v>
      </c>
      <c r="AD55" s="57">
        <f>[16]January_2019!N7</f>
        <v>0</v>
      </c>
      <c r="AE55" s="57">
        <f>[16]January_2019!O7</f>
        <v>0</v>
      </c>
      <c r="AF55" s="57">
        <f>[16]January_2019!P7</f>
        <v>109.56666666666666</v>
      </c>
      <c r="AG55" s="57">
        <f>[16]January_2019!Q7</f>
        <v>297.64999999999998</v>
      </c>
      <c r="AH55" s="57">
        <f>[16]January_2019!R7</f>
        <v>122.3</v>
      </c>
      <c r="AI55" s="57">
        <f>[16]January_2019!S7</f>
        <v>0</v>
      </c>
      <c r="AJ55" s="57">
        <f>[16]January_2019!T7</f>
        <v>294.7</v>
      </c>
      <c r="AK55" s="57">
        <f>[16]January_2019!U7</f>
        <v>280.5</v>
      </c>
      <c r="AL55" s="57">
        <f>[16]January_2019!V7</f>
        <v>0</v>
      </c>
      <c r="AM55" s="57">
        <f>[16]January_2019!W7</f>
        <v>0</v>
      </c>
      <c r="AN55" s="57">
        <f>[16]January_2019!X7</f>
        <v>188.25</v>
      </c>
      <c r="AO55" s="57">
        <f>[16]January_2019!Y7</f>
        <v>295.7</v>
      </c>
      <c r="AP55" s="57">
        <f>[16]January_2019!Z7</f>
        <v>257.8</v>
      </c>
      <c r="AQ55" s="57">
        <f>[16]January_2019!AA7</f>
        <v>291.2</v>
      </c>
      <c r="AR55" s="57">
        <f>[16]January_2019!AB7</f>
        <v>187</v>
      </c>
      <c r="AS55" s="57">
        <f>[16]January_2019!AC7</f>
        <v>0</v>
      </c>
      <c r="AT55" s="57">
        <f>[16]January_2019!AD7</f>
        <v>0</v>
      </c>
      <c r="AU55" s="57">
        <f>[16]January_2019!AE7</f>
        <v>485.1</v>
      </c>
      <c r="AV55" s="57">
        <f>[16]January_2019!AF7</f>
        <v>171.55</v>
      </c>
      <c r="AW55" s="57">
        <f>[16]January_2019!AG7</f>
        <v>423.8</v>
      </c>
      <c r="AX55" s="277">
        <f>[16]January_2019!AH7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9.5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450000000000003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4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09" t="s">
        <v>55</v>
      </c>
      <c r="C64" s="510"/>
      <c r="D64" s="510"/>
      <c r="E64" s="510"/>
      <c r="F64" s="511"/>
      <c r="G64" s="509" t="s">
        <v>56</v>
      </c>
      <c r="H64" s="510"/>
      <c r="I64" s="510"/>
      <c r="J64" s="511"/>
      <c r="K64" s="509" t="s">
        <v>51</v>
      </c>
      <c r="L64" s="510"/>
      <c r="M64" s="510"/>
      <c r="N64" s="512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/>
      <c r="D66" s="76"/>
      <c r="E66" s="76">
        <v>6.5623673132836648</v>
      </c>
      <c r="F66" s="66">
        <v>4.8</v>
      </c>
      <c r="G66" s="65"/>
      <c r="H66" s="477"/>
      <c r="I66" s="477">
        <v>6.3197775649714227</v>
      </c>
      <c r="J66" s="66">
        <v>4.8</v>
      </c>
      <c r="K66" s="67"/>
      <c r="L66" s="194"/>
      <c r="M66" s="194">
        <v>0.51116477369802427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4.2115423694371028</v>
      </c>
      <c r="E67" s="76">
        <v>5.7607151029355022</v>
      </c>
      <c r="F67" s="66">
        <v>4.8</v>
      </c>
      <c r="G67" s="65">
        <f>[14]June_2026!$O$21</f>
        <v>3.6848557080708271</v>
      </c>
      <c r="H67" s="76">
        <v>2.7270556688003218</v>
      </c>
      <c r="I67" s="76">
        <v>5.3607389964117944</v>
      </c>
      <c r="J67" s="66">
        <v>4.8</v>
      </c>
      <c r="K67" s="67">
        <f>K53</f>
        <v>0</v>
      </c>
      <c r="L67" s="194">
        <v>1.3231578947368421</v>
      </c>
      <c r="M67" s="194">
        <v>0.71292696983194792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11.435860710768935</v>
      </c>
      <c r="F68" s="66">
        <v>5.5</v>
      </c>
      <c r="G68" s="65"/>
      <c r="H68" s="76"/>
      <c r="I68" s="76">
        <v>12.618851801260744</v>
      </c>
      <c r="J68" s="66">
        <v>5.5</v>
      </c>
      <c r="K68" s="67"/>
      <c r="L68" s="194"/>
      <c r="M68" s="194">
        <v>0.26444407894736838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4.7166249493098773</v>
      </c>
      <c r="F69" s="66">
        <v>3.3</v>
      </c>
      <c r="G69" s="65"/>
      <c r="H69" s="76"/>
      <c r="I69" s="76">
        <v>4.7393662692065543</v>
      </c>
      <c r="J69" s="66">
        <v>3.3</v>
      </c>
      <c r="K69" s="67"/>
      <c r="L69" s="194"/>
      <c r="M69" s="194">
        <v>0.73604010025062661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76"/>
      <c r="D71" s="76"/>
      <c r="E71" s="76">
        <v>5.1541347251672045</v>
      </c>
      <c r="F71" s="483">
        <v>5.5</v>
      </c>
      <c r="G71" s="282"/>
      <c r="H71" s="76"/>
      <c r="I71" s="76">
        <v>7.4989046872874194</v>
      </c>
      <c r="J71" s="66">
        <v>5.5</v>
      </c>
      <c r="K71" s="67"/>
      <c r="L71" s="194"/>
      <c r="M71" s="194">
        <v>1.0201754385964912</v>
      </c>
      <c r="N71" s="68">
        <v>1</v>
      </c>
      <c r="P71" s="69"/>
    </row>
    <row r="72" spans="2:16" ht="15">
      <c r="B72" s="37" t="s">
        <v>16</v>
      </c>
      <c r="C72" s="485"/>
      <c r="D72" s="76"/>
      <c r="E72" s="76">
        <v>3.7333963207914036</v>
      </c>
      <c r="F72" s="66">
        <v>3.3</v>
      </c>
      <c r="G72" s="282"/>
      <c r="H72" s="76"/>
      <c r="I72" s="76">
        <v>4.8412394790618878</v>
      </c>
      <c r="J72" s="66">
        <v>3.3</v>
      </c>
      <c r="K72" s="67"/>
      <c r="L72" s="194"/>
      <c r="M72" s="194">
        <v>0.84386695906432752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4.2115423694371028</v>
      </c>
      <c r="E75" s="76">
        <v>6.289475247812315</v>
      </c>
      <c r="F75" s="341">
        <v>5.5</v>
      </c>
      <c r="H75" s="76">
        <v>2.7270556688003218</v>
      </c>
      <c r="I75" s="76">
        <v>6.3550093782153594</v>
      </c>
      <c r="J75" s="341">
        <v>5.5</v>
      </c>
      <c r="L75" s="194">
        <v>1.3231578947368421</v>
      </c>
      <c r="M75" s="194">
        <v>0.58487378789234989</v>
      </c>
      <c r="N75" s="386">
        <v>1</v>
      </c>
    </row>
  </sheetData>
  <mergeCells count="51"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1844" priority="105" operator="notBetween">
      <formula>#REF!</formula>
      <formula>#REF!</formula>
    </cfRule>
  </conditionalFormatting>
  <conditionalFormatting sqref="C50">
    <cfRule type="cellIs" dxfId="1843" priority="195" stopIfTrue="1" operator="greaterThan">
      <formula>100</formula>
    </cfRule>
    <cfRule type="cellIs" dxfId="1842" priority="194" stopIfTrue="1" operator="lessThan">
      <formula>96</formula>
    </cfRule>
  </conditionalFormatting>
  <conditionalFormatting sqref="C66:C67">
    <cfRule type="cellIs" dxfId="1841" priority="68" stopIfTrue="1" operator="lessThanOrEqual">
      <formula>0</formula>
    </cfRule>
    <cfRule type="cellIs" dxfId="1840" priority="65" stopIfTrue="1" operator="greaterThan">
      <formula>$F66</formula>
    </cfRule>
    <cfRule type="cellIs" dxfId="1839" priority="66" stopIfTrue="1" operator="lessThanOrEqual">
      <formula>0</formula>
    </cfRule>
    <cfRule type="cellIs" dxfId="1838" priority="67" stopIfTrue="1" operator="greaterThan">
      <formula>$F66</formula>
    </cfRule>
  </conditionalFormatting>
  <conditionalFormatting sqref="C68:C70 C72:C74">
    <cfRule type="cellIs" dxfId="1837" priority="75" stopIfTrue="1" operator="greaterThan">
      <formula>$F71</formula>
    </cfRule>
  </conditionalFormatting>
  <conditionalFormatting sqref="C68:C70">
    <cfRule type="cellIs" dxfId="1836" priority="76" stopIfTrue="1" operator="lessThanOrEqual">
      <formula>0</formula>
    </cfRule>
  </conditionalFormatting>
  <conditionalFormatting sqref="C72:C74">
    <cfRule type="cellIs" dxfId="1835" priority="77" stopIfTrue="1" operator="lessThanOrEqual">
      <formula>0</formula>
    </cfRule>
  </conditionalFormatting>
  <conditionalFormatting sqref="C77:C81">
    <cfRule type="cellIs" dxfId="1834" priority="186" stopIfTrue="1" operator="lessThanOrEqual">
      <formula>0</formula>
    </cfRule>
  </conditionalFormatting>
  <conditionalFormatting sqref="C78:C81">
    <cfRule type="cellIs" dxfId="1833" priority="185" stopIfTrue="1" operator="greaterThan">
      <formula>$F$77</formula>
    </cfRule>
  </conditionalFormatting>
  <conditionalFormatting sqref="C83">
    <cfRule type="cellIs" dxfId="1832" priority="188" stopIfTrue="1" operator="lessThanOrEqual">
      <formula>0</formula>
    </cfRule>
    <cfRule type="cellIs" dxfId="1831" priority="187" stopIfTrue="1" operator="greaterThan">
      <formula>$F$77</formula>
    </cfRule>
  </conditionalFormatting>
  <conditionalFormatting sqref="C71:D71">
    <cfRule type="cellIs" dxfId="1830" priority="64" stopIfTrue="1" operator="lessThanOrEqual">
      <formula>0</formula>
    </cfRule>
    <cfRule type="cellIs" dxfId="1829" priority="63" stopIfTrue="1" operator="greaterThan">
      <formula>$J71</formula>
    </cfRule>
  </conditionalFormatting>
  <conditionalFormatting sqref="C77:D77 D79:D85">
    <cfRule type="cellIs" dxfId="1828" priority="180" stopIfTrue="1" operator="greaterThan">
      <formula>4.5</formula>
    </cfRule>
  </conditionalFormatting>
  <conditionalFormatting sqref="D46:D47">
    <cfRule type="cellIs" dxfId="1827" priority="106" operator="notBetween">
      <formula>#REF!</formula>
      <formula>#REF!</formula>
    </cfRule>
  </conditionalFormatting>
  <conditionalFormatting sqref="D66:D70 D72:D73">
    <cfRule type="cellIs" dxfId="1826" priority="74" stopIfTrue="1" operator="lessThanOrEqual">
      <formula>0</formula>
    </cfRule>
  </conditionalFormatting>
  <conditionalFormatting sqref="D66:D70 D72:D75">
    <cfRule type="cellIs" dxfId="1825" priority="71" stopIfTrue="1" operator="greaterThan">
      <formula>$F66</formula>
    </cfRule>
    <cfRule type="cellIs" dxfId="1824" priority="70" stopIfTrue="1" operator="lessThanOrEqual">
      <formula>0</formula>
    </cfRule>
  </conditionalFormatting>
  <conditionalFormatting sqref="D74:D75">
    <cfRule type="cellIs" dxfId="1823" priority="72" stopIfTrue="1" operator="lessThanOrEqual">
      <formula>0</formula>
    </cfRule>
  </conditionalFormatting>
  <conditionalFormatting sqref="D75">
    <cfRule type="cellIs" dxfId="1822" priority="73" stopIfTrue="1" operator="lessThanOrEqual">
      <formula>0</formula>
    </cfRule>
  </conditionalFormatting>
  <conditionalFormatting sqref="D77 D79:D85">
    <cfRule type="cellIs" dxfId="1821" priority="181" stopIfTrue="1" operator="lessThanOrEqual">
      <formula>0</formula>
    </cfRule>
  </conditionalFormatting>
  <conditionalFormatting sqref="D78">
    <cfRule type="cellIs" dxfId="1820" priority="172" stopIfTrue="1" operator="greaterThan">
      <formula>$F$77</formula>
    </cfRule>
    <cfRule type="cellIs" dxfId="1819" priority="173" stopIfTrue="1" operator="lessThanOrEqual">
      <formula>0</formula>
    </cfRule>
  </conditionalFormatting>
  <conditionalFormatting sqref="E10:E21">
    <cfRule type="cellIs" dxfId="1818" priority="18" operator="lessThan">
      <formula>48</formula>
    </cfRule>
  </conditionalFormatting>
  <conditionalFormatting sqref="E49 E50:F50">
    <cfRule type="cellIs" dxfId="1817" priority="177" stopIfTrue="1" operator="greaterThan">
      <formula>100</formula>
    </cfRule>
  </conditionalFormatting>
  <conditionalFormatting sqref="E50">
    <cfRule type="cellIs" dxfId="1816" priority="175" stopIfTrue="1" operator="greaterThan">
      <formula>100</formula>
    </cfRule>
    <cfRule type="cellIs" dxfId="1815" priority="174" stopIfTrue="1" operator="lessThan">
      <formula>96.8</formula>
    </cfRule>
  </conditionalFormatting>
  <conditionalFormatting sqref="E66:E74">
    <cfRule type="cellIs" dxfId="1814" priority="32" stopIfTrue="1" operator="lessThanOrEqual">
      <formula>0</formula>
    </cfRule>
  </conditionalFormatting>
  <conditionalFormatting sqref="E66:E75">
    <cfRule type="cellIs" dxfId="1813" priority="34" stopIfTrue="1" operator="lessThanOrEqual">
      <formula>0</formula>
    </cfRule>
    <cfRule type="cellIs" dxfId="1812" priority="33" stopIfTrue="1" operator="greaterThan">
      <formula>$F66</formula>
    </cfRule>
  </conditionalFormatting>
  <conditionalFormatting sqref="E75">
    <cfRule type="cellIs" dxfId="1811" priority="35" stopIfTrue="1" operator="lessThanOrEqual">
      <formula>0</formula>
    </cfRule>
  </conditionalFormatting>
  <conditionalFormatting sqref="E77:E85">
    <cfRule type="cellIs" dxfId="1810" priority="167" stopIfTrue="1" operator="lessThanOrEqual">
      <formula>0</formula>
    </cfRule>
    <cfRule type="cellIs" dxfId="1809" priority="166" stopIfTrue="1" operator="greaterThan">
      <formula>4.5</formula>
    </cfRule>
  </conditionalFormatting>
  <conditionalFormatting sqref="E50:F50 E49">
    <cfRule type="cellIs" dxfId="1808" priority="176" stopIfTrue="1" operator="lessThan">
      <formula>96.5</formula>
    </cfRule>
  </conditionalFormatting>
  <conditionalFormatting sqref="F10:F18 F20:F21">
    <cfRule type="cellIs" dxfId="1807" priority="23" operator="greaterThan">
      <formula>60</formula>
    </cfRule>
  </conditionalFormatting>
  <conditionalFormatting sqref="F50">
    <cfRule type="cellIs" dxfId="1806" priority="192" stopIfTrue="1" operator="lessThan">
      <formula>96.8</formula>
    </cfRule>
    <cfRule type="cellIs" dxfId="1805" priority="193" stopIfTrue="1" operator="greaterThan">
      <formula>100</formula>
    </cfRule>
  </conditionalFormatting>
  <conditionalFormatting sqref="F75">
    <cfRule type="cellIs" dxfId="1804" priority="43" stopIfTrue="1" operator="greaterThan">
      <formula>$F75</formula>
    </cfRule>
    <cfRule type="cellIs" dxfId="1803" priority="44" stopIfTrue="1" operator="lessThanOrEqual">
      <formula>0</formula>
    </cfRule>
  </conditionalFormatting>
  <conditionalFormatting sqref="G10:G18 H10:H21">
    <cfRule type="expression" dxfId="1802" priority="22">
      <formula>IF(+(IF(G10&lt;#REF!,0,IF(G10&gt;#REF!,0,1)))=0,1)</formula>
    </cfRule>
  </conditionalFormatting>
  <conditionalFormatting sqref="G19:G21">
    <cfRule type="expression" dxfId="1801" priority="19">
      <formula>IF(+(IF(G19&lt;S19,0,IF(G19&gt;T19,0,1)))=0,1)</formula>
    </cfRule>
  </conditionalFormatting>
  <conditionalFormatting sqref="G66:G67">
    <cfRule type="cellIs" dxfId="1800" priority="45" stopIfTrue="1" operator="greaterThan">
      <formula>$F66</formula>
    </cfRule>
    <cfRule type="cellIs" dxfId="1799" priority="46" stopIfTrue="1" operator="lessThanOrEqual">
      <formula>0</formula>
    </cfRule>
  </conditionalFormatting>
  <conditionalFormatting sqref="G66:G69">
    <cfRule type="cellIs" dxfId="1798" priority="28" stopIfTrue="1" operator="lessThanOrEqual">
      <formula>0</formula>
    </cfRule>
    <cfRule type="cellIs" dxfId="1797" priority="27" stopIfTrue="1" operator="greaterThan">
      <formula>$F66</formula>
    </cfRule>
  </conditionalFormatting>
  <conditionalFormatting sqref="G68">
    <cfRule type="cellIs" dxfId="1796" priority="26" stopIfTrue="1" operator="lessThanOrEqual">
      <formula>0</formula>
    </cfRule>
    <cfRule type="cellIs" dxfId="1795" priority="25" stopIfTrue="1" operator="greaterThan">
      <formula>$F68</formula>
    </cfRule>
  </conditionalFormatting>
  <conditionalFormatting sqref="G69">
    <cfRule type="cellIs" dxfId="1794" priority="40" stopIfTrue="1" operator="lessThanOrEqual">
      <formula>0</formula>
    </cfRule>
    <cfRule type="cellIs" dxfId="1793" priority="39" stopIfTrue="1" operator="greaterThan">
      <formula>$F69</formula>
    </cfRule>
  </conditionalFormatting>
  <conditionalFormatting sqref="G70:G74">
    <cfRule type="cellIs" dxfId="1792" priority="47" stopIfTrue="1" operator="greaterThan">
      <formula>$J70</formula>
    </cfRule>
    <cfRule type="cellIs" dxfId="1791" priority="48" stopIfTrue="1" operator="lessThanOrEqual">
      <formula>0</formula>
    </cfRule>
  </conditionalFormatting>
  <conditionalFormatting sqref="G79:G84 C82 C84">
    <cfRule type="cellIs" dxfId="1790" priority="189" stopIfTrue="1" operator="greaterThan">
      <formula>4.5</formula>
    </cfRule>
    <cfRule type="cellIs" dxfId="1789" priority="190" stopIfTrue="1" operator="lessThanOrEqual">
      <formula>0</formula>
    </cfRule>
  </conditionalFormatting>
  <conditionalFormatting sqref="G78:H78">
    <cfRule type="cellIs" dxfId="1788" priority="171" stopIfTrue="1" operator="lessThanOrEqual">
      <formula>0</formula>
    </cfRule>
    <cfRule type="cellIs" dxfId="1787" priority="170" stopIfTrue="1" operator="greaterThan">
      <formula>$F$77</formula>
    </cfRule>
  </conditionalFormatting>
  <conditionalFormatting sqref="H35:H36 H49">
    <cfRule type="cellIs" dxfId="1786" priority="168" stopIfTrue="1" operator="greaterThan">
      <formula>0</formula>
    </cfRule>
  </conditionalFormatting>
  <conditionalFormatting sqref="H53">
    <cfRule type="cellIs" dxfId="1785" priority="50" stopIfTrue="1" operator="lessThanOrEqual">
      <formula>0</formula>
    </cfRule>
    <cfRule type="cellIs" dxfId="1784" priority="61" stopIfTrue="1" operator="greaterThan">
      <formula>$F$67</formula>
    </cfRule>
    <cfRule type="cellIs" dxfId="1783" priority="60" stopIfTrue="1" operator="lessThanOrEqual">
      <formula>0</formula>
    </cfRule>
    <cfRule type="cellIs" dxfId="1782" priority="59" stopIfTrue="1" operator="greaterThan">
      <formula>$F$69</formula>
    </cfRule>
    <cfRule type="cellIs" dxfId="1781" priority="51" stopIfTrue="1" operator="greaterThan">
      <formula>$F$66</formula>
    </cfRule>
  </conditionalFormatting>
  <conditionalFormatting sqref="H53:H55">
    <cfRule type="cellIs" dxfId="1780" priority="62" stopIfTrue="1" operator="lessThanOrEqual">
      <formula>0</formula>
    </cfRule>
  </conditionalFormatting>
  <conditionalFormatting sqref="H54:H55">
    <cfRule type="cellIs" dxfId="1779" priority="88" stopIfTrue="1" operator="greaterThan">
      <formula>$F$67</formula>
    </cfRule>
    <cfRule type="cellIs" dxfId="1778" priority="87" stopIfTrue="1" operator="lessThanOrEqual">
      <formula>0</formula>
    </cfRule>
    <cfRule type="cellIs" dxfId="1777" priority="86" stopIfTrue="1" operator="greaterThan">
      <formula>$F$69</formula>
    </cfRule>
    <cfRule type="cellIs" dxfId="1776" priority="78" stopIfTrue="1" operator="greaterThan">
      <formula>$F$66</formula>
    </cfRule>
  </conditionalFormatting>
  <conditionalFormatting sqref="H54:H57">
    <cfRule type="cellIs" dxfId="1775" priority="89" stopIfTrue="1" operator="lessThanOrEqual">
      <formula>0</formula>
    </cfRule>
  </conditionalFormatting>
  <conditionalFormatting sqref="H56:H57">
    <cfRule type="cellIs" dxfId="1774" priority="103" stopIfTrue="1" operator="lessThanOrEqual">
      <formula>0</formula>
    </cfRule>
    <cfRule type="cellIs" dxfId="1773" priority="100" stopIfTrue="1" operator="greaterThan">
      <formula>$F$69</formula>
    </cfRule>
    <cfRule type="cellIs" dxfId="1772" priority="102" stopIfTrue="1" operator="greaterThan">
      <formula>$F$67</formula>
    </cfRule>
    <cfRule type="cellIs" dxfId="1771" priority="101" stopIfTrue="1" operator="lessThanOrEqual">
      <formula>0</formula>
    </cfRule>
    <cfRule type="cellIs" dxfId="1770" priority="92" stopIfTrue="1" operator="greaterThan">
      <formula>$F$66</formula>
    </cfRule>
  </conditionalFormatting>
  <conditionalFormatting sqref="H58:H59">
    <cfRule type="cellIs" dxfId="1769" priority="141" stopIfTrue="1" operator="greaterThan">
      <formula>#REF!</formula>
    </cfRule>
    <cfRule type="cellIs" dxfId="1768" priority="142" stopIfTrue="1" operator="lessThanOrEqual">
      <formula>0</formula>
    </cfRule>
    <cfRule type="cellIs" dxfId="1767" priority="131" stopIfTrue="1" operator="greaterThan">
      <formula>#REF!</formula>
    </cfRule>
    <cfRule type="cellIs" dxfId="1766" priority="130" stopIfTrue="1" operator="lessThanOrEqual">
      <formula>0</formula>
    </cfRule>
    <cfRule type="cellIs" dxfId="1765" priority="140" stopIfTrue="1" operator="lessThanOrEqual">
      <formula>0</formula>
    </cfRule>
    <cfRule type="cellIs" dxfId="1764" priority="139" stopIfTrue="1" operator="greaterThan">
      <formula>$F$21</formula>
    </cfRule>
  </conditionalFormatting>
  <conditionalFormatting sqref="H60">
    <cfRule type="cellIs" dxfId="1763" priority="145" stopIfTrue="1" operator="greaterThan">
      <formula>$F$34</formula>
    </cfRule>
    <cfRule type="cellIs" dxfId="1762" priority="153" stopIfTrue="1" operator="greaterThan">
      <formula>$F$37</formula>
    </cfRule>
    <cfRule type="cellIs" dxfId="1761" priority="154" stopIfTrue="1" operator="lessThanOrEqual">
      <formula>0</formula>
    </cfRule>
    <cfRule type="cellIs" dxfId="1760" priority="155" stopIfTrue="1" operator="greaterThan">
      <formula>$F$35</formula>
    </cfRule>
    <cfRule type="cellIs" dxfId="1759" priority="156" stopIfTrue="1" operator="lessThanOrEqual">
      <formula>0</formula>
    </cfRule>
    <cfRule type="cellIs" dxfId="1758" priority="144" stopIfTrue="1" operator="lessThanOrEqual">
      <formula>0</formula>
    </cfRule>
  </conditionalFormatting>
  <conditionalFormatting sqref="H61:H62">
    <cfRule type="cellIs" dxfId="1757" priority="127" stopIfTrue="1" operator="greaterThan">
      <formula>#REF!</formula>
    </cfRule>
    <cfRule type="cellIs" dxfId="1756" priority="126" stopIfTrue="1" operator="lessThanOrEqual">
      <formula>0</formula>
    </cfRule>
    <cfRule type="cellIs" dxfId="1755" priority="117" stopIfTrue="1" operator="greaterThan">
      <formula>#REF!</formula>
    </cfRule>
    <cfRule type="cellIs" dxfId="1754" priority="125" stopIfTrue="1" operator="greaterThan">
      <formula>$F$21</formula>
    </cfRule>
    <cfRule type="cellIs" dxfId="1753" priority="128" stopIfTrue="1" operator="lessThanOrEqual">
      <formula>0</formula>
    </cfRule>
    <cfRule type="cellIs" dxfId="1752" priority="116" stopIfTrue="1" operator="lessThanOrEqual">
      <formula>0</formula>
    </cfRule>
  </conditionalFormatting>
  <conditionalFormatting sqref="H77 H79:H85">
    <cfRule type="cellIs" dxfId="1751" priority="182" stopIfTrue="1" operator="greaterThan">
      <formula>4.5</formula>
    </cfRule>
    <cfRule type="cellIs" dxfId="1750" priority="183" stopIfTrue="1" operator="lessThanOrEqual">
      <formula>0</formula>
    </cfRule>
  </conditionalFormatting>
  <conditionalFormatting sqref="H53:I53">
    <cfRule type="cellIs" dxfId="1749" priority="52" stopIfTrue="1" operator="lessThanOrEqual">
      <formula>0</formula>
    </cfRule>
  </conditionalFormatting>
  <conditionalFormatting sqref="H53:I57">
    <cfRule type="cellIs" dxfId="1748" priority="49" stopIfTrue="1" operator="greaterThan">
      <formula>$F$68</formula>
    </cfRule>
  </conditionalFormatting>
  <conditionalFormatting sqref="H54:I55">
    <cfRule type="cellIs" dxfId="1747" priority="79" stopIfTrue="1" operator="lessThanOrEqual">
      <formula>0</formula>
    </cfRule>
  </conditionalFormatting>
  <conditionalFormatting sqref="H56:I57">
    <cfRule type="cellIs" dxfId="1746" priority="93" stopIfTrue="1" operator="lessThanOrEqual">
      <formula>0</formula>
    </cfRule>
  </conditionalFormatting>
  <conditionalFormatting sqref="H58:I59">
    <cfRule type="cellIs" dxfId="1745" priority="132" stopIfTrue="1" operator="lessThanOrEqual">
      <formula>0</formula>
    </cfRule>
    <cfRule type="cellIs" dxfId="1744" priority="129" stopIfTrue="1" operator="greaterThan">
      <formula>#REF!</formula>
    </cfRule>
  </conditionalFormatting>
  <conditionalFormatting sqref="H60:I60">
    <cfRule type="cellIs" dxfId="1743" priority="146" stopIfTrue="1" operator="lessThanOrEqual">
      <formula>0</formula>
    </cfRule>
    <cfRule type="cellIs" dxfId="1742" priority="143" stopIfTrue="1" operator="greaterThan">
      <formula>$F$36</formula>
    </cfRule>
  </conditionalFormatting>
  <conditionalFormatting sqref="H61:I62">
    <cfRule type="cellIs" dxfId="1741" priority="115" stopIfTrue="1" operator="greaterThan">
      <formula>#REF!</formula>
    </cfRule>
    <cfRule type="cellIs" dxfId="1740" priority="118" stopIfTrue="1" operator="lessThanOrEqual">
      <formula>0</formula>
    </cfRule>
  </conditionalFormatting>
  <conditionalFormatting sqref="H66:I73">
    <cfRule type="cellIs" dxfId="1739" priority="31" stopIfTrue="1" operator="lessThanOrEqual">
      <formula>0</formula>
    </cfRule>
    <cfRule type="cellIs" dxfId="1738" priority="30" stopIfTrue="1" operator="greaterThan">
      <formula>$J66</formula>
    </cfRule>
  </conditionalFormatting>
  <conditionalFormatting sqref="H74:I74">
    <cfRule type="cellIs" dxfId="1737" priority="38" operator="greaterThan">
      <formula>5.3</formula>
    </cfRule>
  </conditionalFormatting>
  <conditionalFormatting sqref="H75:I75">
    <cfRule type="cellIs" dxfId="1736" priority="37" stopIfTrue="1" operator="lessThanOrEqual">
      <formula>0</formula>
    </cfRule>
    <cfRule type="cellIs" dxfId="1735" priority="36" stopIfTrue="1" operator="greaterThan">
      <formula>$J75</formula>
    </cfRule>
  </conditionalFormatting>
  <conditionalFormatting sqref="I53">
    <cfRule type="cellIs" dxfId="1734" priority="58" stopIfTrue="1" operator="lessThanOrEqual">
      <formula>0</formula>
    </cfRule>
    <cfRule type="cellIs" dxfId="1733" priority="53" stopIfTrue="1" operator="greaterThan">
      <formula>$F$66</formula>
    </cfRule>
    <cfRule type="cellIs" dxfId="1732" priority="54" stopIfTrue="1" operator="lessThanOrEqual">
      <formula>0</formula>
    </cfRule>
    <cfRule type="cellIs" dxfId="1731" priority="55" stopIfTrue="1" operator="greaterThan">
      <formula>$F$68</formula>
    </cfRule>
    <cfRule type="cellIs" dxfId="1730" priority="56" stopIfTrue="1" operator="lessThanOrEqual">
      <formula>0</formula>
    </cfRule>
    <cfRule type="cellIs" dxfId="1729" priority="57" stopIfTrue="1" operator="greaterThan">
      <formula>$F$66</formula>
    </cfRule>
  </conditionalFormatting>
  <conditionalFormatting sqref="I54:I55">
    <cfRule type="cellIs" dxfId="1728" priority="85" stopIfTrue="1" operator="lessThanOrEqual">
      <formula>0</formula>
    </cfRule>
    <cfRule type="cellIs" dxfId="1727" priority="84" stopIfTrue="1" operator="greaterThan">
      <formula>$F$66</formula>
    </cfRule>
    <cfRule type="cellIs" dxfId="1726" priority="83" stopIfTrue="1" operator="lessThanOrEqual">
      <formula>0</formula>
    </cfRule>
    <cfRule type="cellIs" dxfId="1725" priority="82" stopIfTrue="1" operator="greaterThan">
      <formula>$F$68</formula>
    </cfRule>
    <cfRule type="cellIs" dxfId="1724" priority="80" stopIfTrue="1" operator="greaterThan">
      <formula>$F$66</formula>
    </cfRule>
    <cfRule type="cellIs" dxfId="1723" priority="81" stopIfTrue="1" operator="lessThanOrEqual">
      <formula>0</formula>
    </cfRule>
  </conditionalFormatting>
  <conditionalFormatting sqref="I56:I57">
    <cfRule type="cellIs" dxfId="1722" priority="99" stopIfTrue="1" operator="lessThanOrEqual">
      <formula>0</formula>
    </cfRule>
    <cfRule type="cellIs" dxfId="1721" priority="94" stopIfTrue="1" operator="greaterThan">
      <formula>$F$66</formula>
    </cfRule>
    <cfRule type="cellIs" dxfId="1720" priority="95" stopIfTrue="1" operator="lessThanOrEqual">
      <formula>0</formula>
    </cfRule>
    <cfRule type="cellIs" dxfId="1719" priority="96" stopIfTrue="1" operator="greaterThan">
      <formula>$F$68</formula>
    </cfRule>
    <cfRule type="cellIs" dxfId="1718" priority="97" stopIfTrue="1" operator="lessThanOrEqual">
      <formula>0</formula>
    </cfRule>
    <cfRule type="cellIs" dxfId="1717" priority="98" stopIfTrue="1" operator="greaterThan">
      <formula>$F$66</formula>
    </cfRule>
  </conditionalFormatting>
  <conditionalFormatting sqref="I58:I59">
    <cfRule type="cellIs" dxfId="1716" priority="133" stopIfTrue="1" operator="greaterThan">
      <formula>#REF!</formula>
    </cfRule>
    <cfRule type="cellIs" dxfId="1715" priority="134" stopIfTrue="1" operator="lessThanOrEqual">
      <formula>0</formula>
    </cfRule>
    <cfRule type="cellIs" dxfId="1714" priority="135" stopIfTrue="1" operator="greaterThan">
      <formula>#REF!</formula>
    </cfRule>
    <cfRule type="cellIs" dxfId="1713" priority="136" stopIfTrue="1" operator="lessThanOrEqual">
      <formula>0</formula>
    </cfRule>
    <cfRule type="cellIs" dxfId="1712" priority="137" stopIfTrue="1" operator="greaterThan">
      <formula>#REF!</formula>
    </cfRule>
    <cfRule type="cellIs" dxfId="1711" priority="138" stopIfTrue="1" operator="lessThanOrEqual">
      <formula>0</formula>
    </cfRule>
  </conditionalFormatting>
  <conditionalFormatting sqref="I60">
    <cfRule type="cellIs" dxfId="1710" priority="152" stopIfTrue="1" operator="lessThanOrEqual">
      <formula>0</formula>
    </cfRule>
    <cfRule type="cellIs" dxfId="1709" priority="149" stopIfTrue="1" operator="greaterThan">
      <formula>$F$36</formula>
    </cfRule>
    <cfRule type="cellIs" dxfId="1708" priority="147" stopIfTrue="1" operator="greaterThan">
      <formula>$F$34</formula>
    </cfRule>
    <cfRule type="cellIs" dxfId="1707" priority="148" stopIfTrue="1" operator="lessThanOrEqual">
      <formula>0</formula>
    </cfRule>
    <cfRule type="cellIs" dxfId="1706" priority="150" stopIfTrue="1" operator="lessThanOrEqual">
      <formula>0</formula>
    </cfRule>
    <cfRule type="cellIs" dxfId="1705" priority="151" stopIfTrue="1" operator="greaterThan">
      <formula>$F$34</formula>
    </cfRule>
  </conditionalFormatting>
  <conditionalFormatting sqref="I61:I62">
    <cfRule type="cellIs" dxfId="1704" priority="120" stopIfTrue="1" operator="lessThanOrEqual">
      <formula>0</formula>
    </cfRule>
    <cfRule type="cellIs" dxfId="1703" priority="122" stopIfTrue="1" operator="lessThanOrEqual">
      <formula>0</formula>
    </cfRule>
    <cfRule type="cellIs" dxfId="1702" priority="123" stopIfTrue="1" operator="greaterThan">
      <formula>#REF!</formula>
    </cfRule>
    <cfRule type="cellIs" dxfId="1701" priority="124" stopIfTrue="1" operator="lessThanOrEqual">
      <formula>0</formula>
    </cfRule>
    <cfRule type="cellIs" dxfId="1700" priority="121" stopIfTrue="1" operator="greaterThan">
      <formula>#REF!</formula>
    </cfRule>
    <cfRule type="cellIs" dxfId="1699" priority="119" stopIfTrue="1" operator="greaterThan">
      <formula>#REF!</formula>
    </cfRule>
  </conditionalFormatting>
  <conditionalFormatting sqref="I77:I85">
    <cfRule type="cellIs" dxfId="1698" priority="179" stopIfTrue="1" operator="lessThanOrEqual">
      <formula>0</formula>
    </cfRule>
    <cfRule type="cellIs" dxfId="1697" priority="178" stopIfTrue="1" operator="greaterThan">
      <formula>4.5</formula>
    </cfRule>
  </conditionalFormatting>
  <conditionalFormatting sqref="I10:J21">
    <cfRule type="cellIs" dxfId="1696" priority="12" operator="lessThan">
      <formula>97.9</formula>
    </cfRule>
  </conditionalFormatting>
  <conditionalFormatting sqref="J24:J25">
    <cfRule type="cellIs" dxfId="1695" priority="91" operator="lessThan">
      <formula>97.95</formula>
    </cfRule>
  </conditionalFormatting>
  <conditionalFormatting sqref="J26">
    <cfRule type="cellIs" dxfId="1694" priority="160" operator="lessThan">
      <formula>98</formula>
    </cfRule>
    <cfRule type="cellIs" dxfId="1693" priority="159" stopIfTrue="1" operator="greaterThan">
      <formula>100</formula>
    </cfRule>
    <cfRule type="cellIs" dxfId="1692" priority="158" stopIfTrue="1" operator="lessThan">
      <formula>96.8</formula>
    </cfRule>
  </conditionalFormatting>
  <conditionalFormatting sqref="J26:J28">
    <cfRule type="cellIs" dxfId="1691" priority="157" operator="lessThan">
      <formula>97.4</formula>
    </cfRule>
  </conditionalFormatting>
  <conditionalFormatting sqref="J29:J30">
    <cfRule type="cellIs" dxfId="1690" priority="161" operator="lessThan">
      <formula>98</formula>
    </cfRule>
  </conditionalFormatting>
  <conditionalFormatting sqref="J31:J32">
    <cfRule type="cellIs" dxfId="1689" priority="163" stopIfTrue="1" operator="greaterThan">
      <formula>100</formula>
    </cfRule>
    <cfRule type="cellIs" dxfId="1688" priority="162" stopIfTrue="1" operator="lessThan">
      <formula>96.8</formula>
    </cfRule>
  </conditionalFormatting>
  <conditionalFormatting sqref="J31:J33">
    <cfRule type="cellIs" dxfId="1687" priority="164" operator="lessThan">
      <formula>98</formula>
    </cfRule>
  </conditionalFormatting>
  <conditionalFormatting sqref="J62">
    <cfRule type="cellIs" dxfId="1686" priority="108" stopIfTrue="1" operator="lessThanOrEqual">
      <formula>0</formula>
    </cfRule>
    <cfRule type="cellIs" dxfId="1685" priority="107" stopIfTrue="1" operator="greaterThan">
      <formula>#REF!</formula>
    </cfRule>
    <cfRule type="cellIs" dxfId="1684" priority="109" stopIfTrue="1" operator="greaterThan">
      <formula>#REF!</formula>
    </cfRule>
    <cfRule type="cellIs" dxfId="1683" priority="110" stopIfTrue="1" operator="lessThanOrEqual">
      <formula>0</formula>
    </cfRule>
    <cfRule type="cellIs" dxfId="1682" priority="111" stopIfTrue="1" operator="greaterThan">
      <formula>#REF!</formula>
    </cfRule>
    <cfRule type="cellIs" dxfId="1681" priority="112" stopIfTrue="1" operator="lessThanOrEqual">
      <formula>0</formula>
    </cfRule>
    <cfRule type="cellIs" dxfId="1680" priority="113" stopIfTrue="1" operator="greaterThan">
      <formula>#REF!</formula>
    </cfRule>
    <cfRule type="cellIs" dxfId="1679" priority="114" stopIfTrue="1" operator="lessThanOrEqual">
      <formula>0</formula>
    </cfRule>
  </conditionalFormatting>
  <conditionalFormatting sqref="J75">
    <cfRule type="cellIs" dxfId="1678" priority="41" stopIfTrue="1" operator="greaterThan">
      <formula>$F75</formula>
    </cfRule>
    <cfRule type="cellIs" dxfId="1677" priority="42" stopIfTrue="1" operator="lessThanOrEqual">
      <formula>0</formula>
    </cfRule>
  </conditionalFormatting>
  <conditionalFormatting sqref="K10:K21">
    <cfRule type="cellIs" dxfId="1676" priority="15" operator="greaterThan">
      <formula>6.4</formula>
    </cfRule>
    <cfRule type="cellIs" dxfId="1675" priority="13" operator="greaterThan">
      <formula>6</formula>
    </cfRule>
    <cfRule type="cellIs" dxfId="1674" priority="14" operator="lessThan">
      <formula>4</formula>
    </cfRule>
  </conditionalFormatting>
  <conditionalFormatting sqref="K53:K62">
    <cfRule type="cellIs" dxfId="1673" priority="90" stopIfTrue="1" operator="lessThan">
      <formula>100%</formula>
    </cfRule>
  </conditionalFormatting>
  <conditionalFormatting sqref="K66:K74">
    <cfRule type="cellIs" dxfId="1672" priority="29" stopIfTrue="1" operator="lessThan">
      <formula>100%</formula>
    </cfRule>
  </conditionalFormatting>
  <conditionalFormatting sqref="K77:K82">
    <cfRule type="cellIs" dxfId="1671" priority="184" stopIfTrue="1" operator="lessThan">
      <formula>100%</formula>
    </cfRule>
  </conditionalFormatting>
  <conditionalFormatting sqref="K84:K85">
    <cfRule type="cellIs" dxfId="1670" priority="191" stopIfTrue="1" operator="lessThan">
      <formula>100%</formula>
    </cfRule>
  </conditionalFormatting>
  <conditionalFormatting sqref="L10:L21">
    <cfRule type="cellIs" dxfId="1669" priority="16" operator="between">
      <formula>61</formula>
      <formula>65</formula>
    </cfRule>
    <cfRule type="cellIs" dxfId="1668" priority="17" operator="greaterThan">
      <formula>65</formula>
    </cfRule>
  </conditionalFormatting>
  <conditionalFormatting sqref="L24:M35">
    <cfRule type="cellIs" dxfId="1667" priority="104" operator="lessThan">
      <formula>97.95</formula>
    </cfRule>
  </conditionalFormatting>
  <conditionalFormatting sqref="L39:N39">
    <cfRule type="cellIs" dxfId="1666" priority="69" operator="notEqual">
      <formula>#REF!</formula>
    </cfRule>
  </conditionalFormatting>
  <conditionalFormatting sqref="L66:N75">
    <cfRule type="cellIs" dxfId="1665" priority="24" stopIfTrue="1" operator="lessThan">
      <formula>100%</formula>
    </cfRule>
  </conditionalFormatting>
  <conditionalFormatting sqref="L77:N85">
    <cfRule type="cellIs" dxfId="1664" priority="169" stopIfTrue="1" operator="lessThan">
      <formula>100%</formula>
    </cfRule>
  </conditionalFormatting>
  <conditionalFormatting sqref="M10:N21">
    <cfRule type="expression" dxfId="1663" priority="21">
      <formula>IF(+(IF(M10&lt;#REF!,0,IF(M10&gt;#REF!,0,1)))=0,1)</formula>
    </cfRule>
  </conditionalFormatting>
  <conditionalFormatting sqref="N18:N19">
    <cfRule type="expression" dxfId="1662" priority="11">
      <formula>IF(+(IF(N18&lt;W18,0,IF(N18&gt;X18,0,1)))=0,1)</formula>
    </cfRule>
  </conditionalFormatting>
  <conditionalFormatting sqref="P6">
    <cfRule type="cellIs" dxfId="1661" priority="165" operator="greaterThanOrEqual">
      <formula>19</formula>
    </cfRule>
  </conditionalFormatting>
  <dataValidations count="1">
    <dataValidation type="list" allowBlank="1" showInputMessage="1" showErrorMessage="1" sqref="R8" xr:uid="{FA414AD6-EEB0-4946-A0DD-5AA9700DA3B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2C8C-0DFA-42BC-833E-CFB057495222}">
  <sheetPr>
    <pageSetUpPr fitToPage="1"/>
  </sheetPr>
  <dimension ref="A1:BE75"/>
  <sheetViews>
    <sheetView topLeftCell="A3" zoomScale="70" zoomScaleNormal="70" workbookViewId="0">
      <selection activeCell="L53" sqref="L53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46195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97"/>
      <c r="N10" s="370"/>
      <c r="O10" s="420"/>
      <c r="P10" s="418"/>
      <c r="R10" s="277">
        <f t="shared" ref="R10:R35" si="0">B10</f>
        <v>0</v>
      </c>
      <c r="S10" s="472" t="e">
        <f t="shared" ref="S10:S35" si="1">VLOOKUP($B10,$R$3:$X$9,2,FALSE)</f>
        <v>#N/A</v>
      </c>
      <c r="T10" s="472" t="e">
        <f t="shared" ref="T10:T35" si="2">VLOOKUP($B10,$R$3:$X$9,3,FALSE)</f>
        <v>#N/A</v>
      </c>
      <c r="U10" s="297" t="e">
        <f t="shared" ref="U10:U35" si="3">VLOOKUP($B10,$R$3:$X$9,4,FALSE)</f>
        <v>#N/A</v>
      </c>
      <c r="V10" s="297" t="e">
        <f t="shared" ref="V10:V35" si="4">VLOOKUP($B10,$R$3:$X$9,5,FALSE)</f>
        <v>#N/A</v>
      </c>
      <c r="W10" s="297" t="e">
        <f t="shared" ref="W10:W35" si="5">VLOOKUP($B10,$R$3:$X$9,6,FALSE)</f>
        <v>#N/A</v>
      </c>
      <c r="X10" s="297" t="e">
        <f t="shared" ref="X10:X35" si="6">VLOOKUP($B10,$R$3:$X$9,7,FALSE)</f>
        <v>#N/A</v>
      </c>
      <c r="Y10" s="297" t="e">
        <f t="shared" ref="Y10:Y35" si="7">VLOOKUP($B10,$R$3:$Z$9,8,FALSE)</f>
        <v>#N/A</v>
      </c>
      <c r="Z10" s="472" t="e">
        <f t="shared" ref="Z10:Z35" si="8">VLOOKUP($B10,$R$3:$Z$9,9,FALSE)</f>
        <v>#N/A</v>
      </c>
    </row>
    <row r="11" spans="2:29" ht="17.2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420"/>
      <c r="P11" s="418"/>
      <c r="R11" s="277">
        <f t="shared" si="0"/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7.2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420"/>
      <c r="P12" s="418"/>
      <c r="R12" s="277">
        <f t="shared" si="0"/>
        <v>0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2:29" ht="17.2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486"/>
      <c r="O13" s="420"/>
      <c r="P13" s="418"/>
      <c r="R13" s="277">
        <f t="shared" si="0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7.2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7.2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7.2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7.2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7.2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7.2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>
      <c r="B20" s="29"/>
      <c r="C20" s="366"/>
      <c r="D20" s="279"/>
      <c r="E20" s="279"/>
      <c r="F20" s="278"/>
      <c r="G20" s="279"/>
      <c r="H20" s="481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44"/>
      <c r="J22" s="544"/>
      <c r="K22" s="544"/>
      <c r="L22" s="544"/>
      <c r="M22" s="544"/>
      <c r="N22" s="544"/>
      <c r="O22" s="1"/>
      <c r="P22" s="12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7.25" customHeight="1" thickBot="1">
      <c r="B23" s="388" t="s">
        <v>162</v>
      </c>
      <c r="C23" s="388"/>
      <c r="D23" s="545" t="s">
        <v>35</v>
      </c>
      <c r="E23" s="546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7.25" customHeight="1">
      <c r="A24" s="28"/>
      <c r="B24" s="530"/>
      <c r="C24" s="362"/>
      <c r="D24" s="548"/>
      <c r="E24" s="549"/>
      <c r="F24" s="294"/>
      <c r="G24" s="294"/>
      <c r="H24" s="348"/>
      <c r="I24" s="29" t="s">
        <v>6</v>
      </c>
      <c r="J24" s="323"/>
      <c r="K24" s="284">
        <f>COUNTA([3]Brewhouse!$A$441:$A$464)</f>
        <v>24</v>
      </c>
      <c r="L24" s="305">
        <f>AVERAGE([3]Brewhouse!$AU$441:$AU$464)</f>
        <v>98.669762263186954</v>
      </c>
      <c r="M24" s="305">
        <f>AVERAGE([3]Brewhouse!$AU$42:$AU$123,[3]Brewhouse!$AU$125:$AU$188,[3]Brewhouse!$AU$198:$AU$290,[3]Brewhouse!$AU$292:$AU$370,[3]Brewhouse!$AU$372:$AU$439,[3]Brewhouse!$AU$441:$AU$464)</f>
        <v>98.015413310640369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" customHeight="1">
      <c r="A25" s="28"/>
      <c r="B25" s="531"/>
      <c r="C25" s="362"/>
      <c r="D25" s="550"/>
      <c r="E25" s="536"/>
      <c r="F25" s="294"/>
      <c r="G25" s="294"/>
      <c r="H25" s="348"/>
      <c r="I25" s="33" t="s">
        <v>9</v>
      </c>
      <c r="J25" s="323"/>
      <c r="K25" s="284">
        <f>COUNTA([4]Brewhouse!$A$252:$A$273)</f>
        <v>22</v>
      </c>
      <c r="L25" s="302">
        <f>AVERAGE([4]Brewhouse!$AS$252:$AS$273)</f>
        <v>99.131869947969122</v>
      </c>
      <c r="M25" s="302">
        <f>AVERAGE([4]Brewhouse!$AS$52:$AS$81,[4]Brewhouse!$AS$83:$AS$124,[4]Brewhouse!$AS$134:$AS$177,[4]Brewhouse!$AS$22:$AS$179,[4]Brewhouse!$AS$214:$AS$249,[4]Brewhouse!$AS$252:$AS$273)</f>
        <v>98.053503437205549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1"/>
      <c r="C26" s="362"/>
      <c r="D26" s="540"/>
      <c r="E26" s="541"/>
      <c r="F26" s="294"/>
      <c r="G26" s="294"/>
      <c r="H26" s="348"/>
      <c r="I26" s="34" t="s">
        <v>12</v>
      </c>
      <c r="J26" s="280"/>
      <c r="K26" s="284">
        <f>COUNTA([5]Brewhouse!$A$62:$A$69)</f>
        <v>8</v>
      </c>
      <c r="L26" s="302">
        <f>AVERAGE([5]Brewhouse!$AU$62:$AU$69)</f>
        <v>95.865325586732524</v>
      </c>
      <c r="M26" s="302">
        <f>AVERAGE([5]Brewhouse!$AU$16:$AU$23,[5]Brewhouse!$AU$25:$AU$32,[5]Brewhouse!$AU$34:$AU$41,[5]Brewhouse!$AU$43:$AU$60,[5]Brewhouse!$AU$62:$AU$69)</f>
        <v>96.726835550404019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31"/>
      <c r="C27" s="362"/>
      <c r="D27" s="535"/>
      <c r="E27" s="536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AVERAGE([6]Brewhouse!$AV$23:$AV$34,[6]Brewhouse!$AV$36,[6]Brewhouse!$AV$38:$AV$52,[6]Brewhouse!$AV$54:$AV$60,[6]Brewhouse!$AV$62:$AV$68)</f>
        <v>97.579195177204838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31"/>
      <c r="C28" s="362"/>
      <c r="D28" s="540"/>
      <c r="E28" s="541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31"/>
      <c r="C29" s="362"/>
      <c r="D29" s="535"/>
      <c r="E29" s="536"/>
      <c r="F29" s="417"/>
      <c r="G29" s="294"/>
      <c r="H29" s="348"/>
      <c r="I29" s="36" t="s">
        <v>15</v>
      </c>
      <c r="J29" s="323"/>
      <c r="K29" s="284"/>
      <c r="L29" s="302"/>
      <c r="M29" s="302">
        <f>AVERAGE([7]Brewhouse!$AT$4:$AT$11,[7]Brewhouse!$AT$13:$AT$16)</f>
        <v>91.538375374138752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31"/>
      <c r="C30" s="362"/>
      <c r="D30" s="540"/>
      <c r="E30" s="541"/>
      <c r="F30" s="417"/>
      <c r="G30" s="294"/>
      <c r="H30" s="348"/>
      <c r="I30" s="37" t="s">
        <v>16</v>
      </c>
      <c r="J30" s="323"/>
      <c r="K30" s="284">
        <f>COUNTA([8]Brewhouse!$A$66:$A$73)</f>
        <v>8</v>
      </c>
      <c r="L30" s="302">
        <f>AVERAGE([8]Brewhouse!$AY$66:$AY$73)</f>
        <v>98.225688487824243</v>
      </c>
      <c r="M30" s="302">
        <f>AVERAGE([8]Brewhouse!$AY$5:$AY$14,[8]Brewhouse!$AY$16:$AY$23,[8]Brewhouse!$AY$42,[8]Brewhouse!$AY$44:$AY$51,[8]Brewhouse!$AY$53:$AY$64,[8]Brewhouse!$AY$66:$AY$73)</f>
        <v>97.506811941025575</v>
      </c>
      <c r="N30" s="30">
        <v>98</v>
      </c>
      <c r="O30" s="11"/>
      <c r="P30" s="31" t="s">
        <v>41</v>
      </c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531"/>
      <c r="C31" s="362"/>
      <c r="D31" s="535"/>
      <c r="E31" s="536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7" ht="14.65" customHeight="1">
      <c r="A32" s="28"/>
      <c r="B32" s="531"/>
      <c r="C32" s="349"/>
      <c r="D32" s="540"/>
      <c r="E32" s="541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31"/>
      <c r="C33" s="349"/>
      <c r="D33" s="535"/>
      <c r="E33" s="536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31"/>
      <c r="C34" s="349"/>
      <c r="D34" s="548"/>
      <c r="E34" s="549"/>
      <c r="F34" s="294"/>
      <c r="G34" s="294"/>
      <c r="H34" s="348"/>
      <c r="I34" s="1"/>
      <c r="J34" s="39"/>
      <c r="K34" s="404">
        <f>SUM(K24:K33)</f>
        <v>62</v>
      </c>
      <c r="L34" s="405">
        <f>((L24*K24)+(L25*K25)+(L26*K26)+(L27*K27)+(L28*K28)+(K31*L31)+(L29*K29)+(L30*K30)+(L33*K33))/(K34)</f>
        <v>98.414573318842926</v>
      </c>
      <c r="M34" s="405">
        <f>AVERAGE('[9]Jan30th-31st'!$L$42,L34)</f>
        <v>98.121307527342196</v>
      </c>
      <c r="N34" s="4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47"/>
      <c r="C35" s="350"/>
      <c r="D35" s="550"/>
      <c r="E35" s="536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30"/>
      <c r="C36" s="362"/>
      <c r="D36" s="533"/>
      <c r="E36" s="534"/>
      <c r="F36" s="294"/>
      <c r="G36" s="42"/>
      <c r="H36" s="41"/>
      <c r="I36" s="42"/>
      <c r="J36" s="537" t="s">
        <v>129</v>
      </c>
      <c r="K36" s="537"/>
      <c r="L36" s="294"/>
      <c r="M36" s="294"/>
      <c r="N36" s="294"/>
      <c r="O36" s="294"/>
      <c r="P36" s="12"/>
    </row>
    <row r="37" spans="1:56" ht="15.75" thickBot="1">
      <c r="B37" s="531"/>
      <c r="C37" s="362"/>
      <c r="D37" s="535"/>
      <c r="E37" s="536"/>
      <c r="F37" s="294"/>
      <c r="G37" s="42"/>
      <c r="H37" s="42"/>
      <c r="I37" s="42"/>
      <c r="J37" s="292" t="s">
        <v>17</v>
      </c>
      <c r="K37" s="293" t="s">
        <v>170</v>
      </c>
      <c r="L37" s="538" t="s">
        <v>136</v>
      </c>
      <c r="M37" s="538"/>
      <c r="N37" s="539"/>
      <c r="O37" s="294"/>
      <c r="P37" s="12"/>
    </row>
    <row r="38" spans="1:56" ht="15" customHeight="1" thickBot="1">
      <c r="B38" s="531"/>
      <c r="C38" s="349"/>
      <c r="D38" s="540"/>
      <c r="E38" s="541"/>
      <c r="F38" s="294"/>
      <c r="G38" s="42"/>
      <c r="H38" s="42"/>
      <c r="I38" s="42"/>
      <c r="J38" s="287" t="s">
        <v>6</v>
      </c>
      <c r="K38" s="324"/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31"/>
      <c r="C39" s="349"/>
      <c r="D39" s="535"/>
      <c r="E39" s="536"/>
      <c r="F39" s="294"/>
      <c r="G39" s="42"/>
      <c r="H39" s="42"/>
      <c r="I39" s="42"/>
      <c r="J39" s="345" t="s">
        <v>9</v>
      </c>
      <c r="K39" s="324"/>
      <c r="L39" s="344">
        <f>AVERAGE('June 2nd'!K44,'June 3rd'!K52,'June 4th'!K47,'June 5th'!K46,'June 8th'!K48,'June 9th'!K56,'June 15th '!K56,'June 16th'!K50,'June 17th '!K49,'June 18th '!K48,K48)</f>
        <v>5.6363636363636367</v>
      </c>
      <c r="M39" s="325">
        <f>AVERAGE('[9]Jan30th-31st'!$L$47,L39,'[10]Feb 26th '!$L$39,'[11]Mar 31st'!$L$47,'[12]Apr 30th'!$L$46,'[13]May 29th '!$L$40)</f>
        <v>6.2107048748353106</v>
      </c>
      <c r="N39" s="416">
        <v>9.1999999999999993</v>
      </c>
      <c r="O39" s="294"/>
      <c r="P39" s="12"/>
    </row>
    <row r="40" spans="1:56" ht="15" customHeight="1">
      <c r="B40" s="531"/>
      <c r="C40" s="349"/>
      <c r="D40" s="540"/>
      <c r="E40" s="541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31"/>
      <c r="C41" s="349"/>
      <c r="D41" s="535"/>
      <c r="E41" s="536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31"/>
      <c r="C42" s="349"/>
      <c r="D42" s="540"/>
      <c r="E42" s="541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31"/>
      <c r="C43" s="349"/>
      <c r="D43" s="535"/>
      <c r="E43" s="536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31"/>
      <c r="C44" s="349"/>
      <c r="D44" s="540"/>
      <c r="E44" s="541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32"/>
      <c r="C45" s="350"/>
      <c r="D45" s="542"/>
      <c r="E45" s="543"/>
      <c r="F45" s="294" t="s">
        <v>166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23"/>
      <c r="E46" s="524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0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15" t="s">
        <v>17</v>
      </c>
      <c r="C51" s="515" t="s">
        <v>44</v>
      </c>
      <c r="D51" s="526" t="s">
        <v>45</v>
      </c>
      <c r="E51" s="528" t="s">
        <v>46</v>
      </c>
      <c r="F51" s="521" t="s">
        <v>47</v>
      </c>
      <c r="G51" s="513" t="s">
        <v>48</v>
      </c>
      <c r="H51" s="515" t="s">
        <v>49</v>
      </c>
      <c r="I51" s="515" t="s">
        <v>50</v>
      </c>
      <c r="J51" s="507" t="s">
        <v>28</v>
      </c>
      <c r="K51" s="517" t="s">
        <v>51</v>
      </c>
      <c r="L51" s="519" t="s">
        <v>52</v>
      </c>
      <c r="M51" s="507" t="s">
        <v>53</v>
      </c>
      <c r="N51" s="13"/>
      <c r="O51" s="13"/>
      <c r="P51" s="50"/>
    </row>
    <row r="52" spans="2:57" ht="28.5" customHeight="1" thickTop="1" thickBot="1">
      <c r="B52" s="516"/>
      <c r="C52" s="525"/>
      <c r="D52" s="527"/>
      <c r="E52" s="529"/>
      <c r="F52" s="522"/>
      <c r="G52" s="514"/>
      <c r="H52" s="516"/>
      <c r="I52" s="516"/>
      <c r="J52" s="508"/>
      <c r="K52" s="518"/>
      <c r="L52" s="520"/>
      <c r="M52" s="508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504" t="str">
        <f>J42</f>
        <v>STARMALT</v>
      </c>
      <c r="C53" s="479">
        <v>46194</v>
      </c>
      <c r="D53" s="445">
        <f>[14]June_2026!$X$55</f>
        <v>411.67</v>
      </c>
      <c r="E53" s="443"/>
      <c r="F53" s="444"/>
      <c r="G53" s="445">
        <f>[14]June_2026!$X$59</f>
        <v>396</v>
      </c>
      <c r="H53" s="458"/>
      <c r="I53" s="458"/>
      <c r="J53" s="448" t="s">
        <v>174</v>
      </c>
      <c r="K53" s="449">
        <f>[15]June_2026!$X$53</f>
        <v>0.69473684210526321</v>
      </c>
      <c r="L53" s="457">
        <f>(((D53+E53)-G53)/(D53+E53))*100</f>
        <v>3.8064469113610451</v>
      </c>
      <c r="M53" s="455" t="s">
        <v>185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[16]January_2019!L5</f>
        <v>0</v>
      </c>
      <c r="AC53" s="57">
        <f>[16]January_2019!M5</f>
        <v>0</v>
      </c>
      <c r="AD53" s="57">
        <f>[16]January_2019!N5</f>
        <v>0</v>
      </c>
      <c r="AE53" s="57">
        <f>[16]January_2019!O5</f>
        <v>0</v>
      </c>
      <c r="AF53" s="57">
        <f>[16]January_2019!P5</f>
        <v>0</v>
      </c>
      <c r="AG53" s="57">
        <f>[16]January_2019!Q5</f>
        <v>0</v>
      </c>
      <c r="AH53" s="57">
        <f>[16]January_2019!R5</f>
        <v>0</v>
      </c>
      <c r="AI53" s="57">
        <f>[16]January_2019!S5</f>
        <v>0</v>
      </c>
      <c r="AJ53" s="57">
        <f>[16]January_2019!T5</f>
        <v>0</v>
      </c>
      <c r="AK53" s="57">
        <f>[16]January_2019!U5</f>
        <v>0</v>
      </c>
      <c r="AL53" s="57">
        <f>[16]January_2019!V5</f>
        <v>0</v>
      </c>
      <c r="AM53" s="57">
        <f>[16]January_2019!W5</f>
        <v>0</v>
      </c>
      <c r="AN53" s="57">
        <f>[16]January_2019!X5</f>
        <v>0</v>
      </c>
      <c r="AO53" s="57">
        <f>[16]January_2019!Y5</f>
        <v>0</v>
      </c>
      <c r="AP53" s="57">
        <f>[16]January_2019!Z5</f>
        <v>0</v>
      </c>
      <c r="AQ53" s="57">
        <f>[16]January_2019!AA5</f>
        <v>0</v>
      </c>
      <c r="AR53" s="57">
        <f>[16]January_2019!AB5</f>
        <v>0</v>
      </c>
      <c r="AS53" s="57">
        <f>[16]January_2019!AC5</f>
        <v>0</v>
      </c>
      <c r="AT53" s="57">
        <f>[16]January_2019!AD5</f>
        <v>0</v>
      </c>
      <c r="AU53" s="57">
        <f>[16]January_2019!AE5</f>
        <v>0</v>
      </c>
      <c r="AV53" s="57">
        <f>[16]January_2019!AF5</f>
        <v>0</v>
      </c>
      <c r="AW53" s="57">
        <f>[16]January_2019!AG5</f>
        <v>0</v>
      </c>
      <c r="AX53" s="277">
        <f>[16]January_2019!AH5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[16]January_2019!L6</f>
        <v>0</v>
      </c>
      <c r="AC54" s="57">
        <f>[16]January_2019!M6</f>
        <v>0</v>
      </c>
      <c r="AD54" s="57">
        <f>[16]January_2019!N6</f>
        <v>0</v>
      </c>
      <c r="AE54" s="57">
        <f>[16]January_2019!O6</f>
        <v>0</v>
      </c>
      <c r="AF54" s="57">
        <f>[16]January_2019!P6</f>
        <v>0</v>
      </c>
      <c r="AG54" s="57">
        <f>[16]January_2019!Q6</f>
        <v>0</v>
      </c>
      <c r="AH54" s="57">
        <f>[16]January_2019!R6</f>
        <v>0</v>
      </c>
      <c r="AI54" s="57">
        <f>[16]January_2019!S6</f>
        <v>0</v>
      </c>
      <c r="AJ54" s="57">
        <f>[16]January_2019!T6</f>
        <v>0</v>
      </c>
      <c r="AK54" s="57">
        <f>[16]January_2019!U6</f>
        <v>0</v>
      </c>
      <c r="AL54" s="57">
        <f>[16]January_2019!V6</f>
        <v>0</v>
      </c>
      <c r="AM54" s="57">
        <f>[16]January_2019!W6</f>
        <v>0</v>
      </c>
      <c r="AN54" s="57">
        <f>[16]January_2019!X6</f>
        <v>0</v>
      </c>
      <c r="AO54" s="57">
        <f>[16]January_2019!Y6</f>
        <v>0</v>
      </c>
      <c r="AP54" s="57">
        <f>[16]January_2019!Z6</f>
        <v>0</v>
      </c>
      <c r="AQ54" s="57">
        <f>[16]January_2019!AA6</f>
        <v>0</v>
      </c>
      <c r="AR54" s="57">
        <f>[16]January_2019!AB6</f>
        <v>0</v>
      </c>
      <c r="AS54" s="57">
        <f>[16]January_2019!AC6</f>
        <v>0</v>
      </c>
      <c r="AT54" s="57">
        <f>[16]January_2019!AD6</f>
        <v>0</v>
      </c>
      <c r="AU54" s="57">
        <f>[16]January_2019!AE6</f>
        <v>0</v>
      </c>
      <c r="AV54" s="57">
        <f>[16]January_2019!AF6</f>
        <v>0</v>
      </c>
      <c r="AW54" s="57">
        <f>[16]January_2019!AG6</f>
        <v>0</v>
      </c>
      <c r="AX54" s="277">
        <f>[16]January_2019!AH6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[16]January_2019!L7</f>
        <v>285.8</v>
      </c>
      <c r="AC55" s="57">
        <f>[16]January_2019!M7</f>
        <v>508.1</v>
      </c>
      <c r="AD55" s="57">
        <f>[16]January_2019!N7</f>
        <v>0</v>
      </c>
      <c r="AE55" s="57">
        <f>[16]January_2019!O7</f>
        <v>0</v>
      </c>
      <c r="AF55" s="57">
        <f>[16]January_2019!P7</f>
        <v>109.56666666666666</v>
      </c>
      <c r="AG55" s="57">
        <f>[16]January_2019!Q7</f>
        <v>297.64999999999998</v>
      </c>
      <c r="AH55" s="57">
        <f>[16]January_2019!R7</f>
        <v>122.3</v>
      </c>
      <c r="AI55" s="57">
        <f>[16]January_2019!S7</f>
        <v>0</v>
      </c>
      <c r="AJ55" s="57">
        <f>[16]January_2019!T7</f>
        <v>294.7</v>
      </c>
      <c r="AK55" s="57">
        <f>[16]January_2019!U7</f>
        <v>280.5</v>
      </c>
      <c r="AL55" s="57">
        <f>[16]January_2019!V7</f>
        <v>0</v>
      </c>
      <c r="AM55" s="57">
        <f>[16]January_2019!W7</f>
        <v>0</v>
      </c>
      <c r="AN55" s="57">
        <f>[16]January_2019!X7</f>
        <v>188.25</v>
      </c>
      <c r="AO55" s="57">
        <f>[16]January_2019!Y7</f>
        <v>295.7</v>
      </c>
      <c r="AP55" s="57">
        <f>[16]January_2019!Z7</f>
        <v>257.8</v>
      </c>
      <c r="AQ55" s="57">
        <f>[16]January_2019!AA7</f>
        <v>291.2</v>
      </c>
      <c r="AR55" s="57">
        <f>[16]January_2019!AB7</f>
        <v>187</v>
      </c>
      <c r="AS55" s="57">
        <f>[16]January_2019!AC7</f>
        <v>0</v>
      </c>
      <c r="AT55" s="57">
        <f>[16]January_2019!AD7</f>
        <v>0</v>
      </c>
      <c r="AU55" s="57">
        <f>[16]January_2019!AE7</f>
        <v>485.1</v>
      </c>
      <c r="AV55" s="57">
        <f>[16]January_2019!AF7</f>
        <v>171.55</v>
      </c>
      <c r="AW55" s="57">
        <f>[16]January_2019!AG7</f>
        <v>423.8</v>
      </c>
      <c r="AX55" s="277">
        <f>[16]January_2019!AH7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9.5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450000000000003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4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09" t="s">
        <v>55</v>
      </c>
      <c r="C64" s="510"/>
      <c r="D64" s="510"/>
      <c r="E64" s="510"/>
      <c r="F64" s="511"/>
      <c r="G64" s="509" t="s">
        <v>56</v>
      </c>
      <c r="H64" s="510"/>
      <c r="I64" s="510"/>
      <c r="J64" s="511"/>
      <c r="K64" s="509" t="s">
        <v>51</v>
      </c>
      <c r="L64" s="510"/>
      <c r="M64" s="510"/>
      <c r="N64" s="512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/>
      <c r="D66" s="76"/>
      <c r="E66" s="76">
        <v>6.5623673132836648</v>
      </c>
      <c r="F66" s="66">
        <v>4.8</v>
      </c>
      <c r="G66" s="65"/>
      <c r="H66" s="477"/>
      <c r="I66" s="477">
        <v>6.3197775649714227</v>
      </c>
      <c r="J66" s="66">
        <v>4.8</v>
      </c>
      <c r="K66" s="67"/>
      <c r="L66" s="194"/>
      <c r="M66" s="194">
        <v>0.51116477369802427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4.7679175715945235</v>
      </c>
      <c r="E67" s="76">
        <v>5.7819966636851206</v>
      </c>
      <c r="F67" s="66">
        <v>4.8</v>
      </c>
      <c r="G67" s="65"/>
      <c r="H67" s="76">
        <v>3.6848557080708271</v>
      </c>
      <c r="I67" s="76">
        <v>5.3967502317348686</v>
      </c>
      <c r="J67" s="66">
        <v>4.8</v>
      </c>
      <c r="K67" s="67"/>
      <c r="L67" s="194">
        <v>1.3231578947368421</v>
      </c>
      <c r="M67" s="194">
        <v>0.71292696983194792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11.435860710768935</v>
      </c>
      <c r="F68" s="66">
        <v>5.5</v>
      </c>
      <c r="G68" s="65"/>
      <c r="H68" s="76"/>
      <c r="I68" s="76">
        <v>12.618851801260744</v>
      </c>
      <c r="J68" s="66">
        <v>5.5</v>
      </c>
      <c r="K68" s="67"/>
      <c r="L68" s="194"/>
      <c r="M68" s="194">
        <v>0.26444407894736838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4.7166249493098773</v>
      </c>
      <c r="F69" s="66">
        <v>3.3</v>
      </c>
      <c r="G69" s="65"/>
      <c r="H69" s="76"/>
      <c r="I69" s="76">
        <v>4.7393662692065543</v>
      </c>
      <c r="J69" s="66">
        <v>3.3</v>
      </c>
      <c r="K69" s="67"/>
      <c r="L69" s="194"/>
      <c r="M69" s="194">
        <v>0.73604010025062661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76"/>
      <c r="D71" s="76"/>
      <c r="E71" s="76">
        <v>5.1541347251672045</v>
      </c>
      <c r="F71" s="483">
        <v>5.5</v>
      </c>
      <c r="G71" s="282"/>
      <c r="H71" s="76"/>
      <c r="I71" s="76">
        <v>7.4989046872874194</v>
      </c>
      <c r="J71" s="66">
        <v>5.5</v>
      </c>
      <c r="K71" s="67"/>
      <c r="L71" s="194"/>
      <c r="M71" s="194">
        <v>1.0201754385964912</v>
      </c>
      <c r="N71" s="68">
        <v>1</v>
      </c>
      <c r="P71" s="69"/>
    </row>
    <row r="72" spans="2:16" ht="15">
      <c r="B72" s="37" t="s">
        <v>16</v>
      </c>
      <c r="C72" s="485">
        <f>L53</f>
        <v>3.8064469113610451</v>
      </c>
      <c r="D72" s="76">
        <v>3.8064469113610451</v>
      </c>
      <c r="E72" s="76">
        <v>3.7425354424032347</v>
      </c>
      <c r="F72" s="66">
        <v>3.3</v>
      </c>
      <c r="G72" s="282">
        <f>[14]June_2026!$X$63</f>
        <v>5.1620200172171886</v>
      </c>
      <c r="H72" s="76">
        <v>5.1620200172171886</v>
      </c>
      <c r="I72" s="76">
        <v>4.8813740630219202</v>
      </c>
      <c r="J72" s="66">
        <v>3.3</v>
      </c>
      <c r="K72" s="67">
        <f>K53</f>
        <v>0.69473684210526321</v>
      </c>
      <c r="L72" s="194">
        <v>0.69473684210526321</v>
      </c>
      <c r="M72" s="194">
        <v>0.82729694606887583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4.2778431251160853</v>
      </c>
      <c r="E75" s="76">
        <v>6.2682169643751466</v>
      </c>
      <c r="F75" s="341">
        <v>5.5</v>
      </c>
      <c r="H75" s="76">
        <v>4.5845894889962757</v>
      </c>
      <c r="I75" s="76">
        <v>6.3461747568993383</v>
      </c>
      <c r="J75" s="341">
        <v>5.5</v>
      </c>
      <c r="L75" s="194">
        <v>1.0089473684210526</v>
      </c>
      <c r="M75" s="194">
        <v>0.58584602731016333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1660" priority="94" operator="notBetween">
      <formula>#REF!</formula>
      <formula>#REF!</formula>
    </cfRule>
  </conditionalFormatting>
  <conditionalFormatting sqref="C50">
    <cfRule type="cellIs" dxfId="1659" priority="184" stopIfTrue="1" operator="greaterThan">
      <formula>100</formula>
    </cfRule>
    <cfRule type="cellIs" dxfId="1658" priority="183" stopIfTrue="1" operator="lessThan">
      <formula>96</formula>
    </cfRule>
  </conditionalFormatting>
  <conditionalFormatting sqref="C66:C67">
    <cfRule type="cellIs" dxfId="1657" priority="57" stopIfTrue="1" operator="lessThanOrEqual">
      <formula>0</formula>
    </cfRule>
    <cfRule type="cellIs" dxfId="1656" priority="54" stopIfTrue="1" operator="greaterThan">
      <formula>$F66</formula>
    </cfRule>
    <cfRule type="cellIs" dxfId="1655" priority="55" stopIfTrue="1" operator="lessThanOrEqual">
      <formula>0</formula>
    </cfRule>
    <cfRule type="cellIs" dxfId="1654" priority="56" stopIfTrue="1" operator="greaterThan">
      <formula>$F66</formula>
    </cfRule>
  </conditionalFormatting>
  <conditionalFormatting sqref="C68:C70 C72:C74">
    <cfRule type="cellIs" dxfId="1653" priority="64" stopIfTrue="1" operator="greaterThan">
      <formula>$F71</formula>
    </cfRule>
  </conditionalFormatting>
  <conditionalFormatting sqref="C68:C70">
    <cfRule type="cellIs" dxfId="1652" priority="65" stopIfTrue="1" operator="lessThanOrEqual">
      <formula>0</formula>
    </cfRule>
  </conditionalFormatting>
  <conditionalFormatting sqref="C72:C74">
    <cfRule type="cellIs" dxfId="1651" priority="66" stopIfTrue="1" operator="lessThanOrEqual">
      <formula>0</formula>
    </cfRule>
  </conditionalFormatting>
  <conditionalFormatting sqref="C77:C81">
    <cfRule type="cellIs" dxfId="1650" priority="175" stopIfTrue="1" operator="lessThanOrEqual">
      <formula>0</formula>
    </cfRule>
  </conditionalFormatting>
  <conditionalFormatting sqref="C78:C81">
    <cfRule type="cellIs" dxfId="1649" priority="174" stopIfTrue="1" operator="greaterThan">
      <formula>$F$77</formula>
    </cfRule>
  </conditionalFormatting>
  <conditionalFormatting sqref="C83">
    <cfRule type="cellIs" dxfId="1648" priority="177" stopIfTrue="1" operator="lessThanOrEqual">
      <formula>0</formula>
    </cfRule>
    <cfRule type="cellIs" dxfId="1647" priority="176" stopIfTrue="1" operator="greaterThan">
      <formula>$F$77</formula>
    </cfRule>
  </conditionalFormatting>
  <conditionalFormatting sqref="C71:D71">
    <cfRule type="cellIs" dxfId="1646" priority="53" stopIfTrue="1" operator="lessThanOrEqual">
      <formula>0</formula>
    </cfRule>
    <cfRule type="cellIs" dxfId="1645" priority="52" stopIfTrue="1" operator="greaterThan">
      <formula>$J71</formula>
    </cfRule>
  </conditionalFormatting>
  <conditionalFormatting sqref="C77:D77 D79:D85">
    <cfRule type="cellIs" dxfId="1644" priority="169" stopIfTrue="1" operator="greaterThan">
      <formula>4.5</formula>
    </cfRule>
  </conditionalFormatting>
  <conditionalFormatting sqref="D46:D47">
    <cfRule type="cellIs" dxfId="1643" priority="95" operator="notBetween">
      <formula>#REF!</formula>
      <formula>#REF!</formula>
    </cfRule>
  </conditionalFormatting>
  <conditionalFormatting sqref="D66:D70 D72:D73">
    <cfRule type="cellIs" dxfId="1642" priority="63" stopIfTrue="1" operator="lessThanOrEqual">
      <formula>0</formula>
    </cfRule>
  </conditionalFormatting>
  <conditionalFormatting sqref="D66:D70 D72:D75">
    <cfRule type="cellIs" dxfId="1641" priority="60" stopIfTrue="1" operator="greaterThan">
      <formula>$F66</formula>
    </cfRule>
    <cfRule type="cellIs" dxfId="1640" priority="59" stopIfTrue="1" operator="lessThanOrEqual">
      <formula>0</formula>
    </cfRule>
  </conditionalFormatting>
  <conditionalFormatting sqref="D74:D75">
    <cfRule type="cellIs" dxfId="1639" priority="61" stopIfTrue="1" operator="lessThanOrEqual">
      <formula>0</formula>
    </cfRule>
  </conditionalFormatting>
  <conditionalFormatting sqref="D75">
    <cfRule type="cellIs" dxfId="1638" priority="62" stopIfTrue="1" operator="lessThanOrEqual">
      <formula>0</formula>
    </cfRule>
  </conditionalFormatting>
  <conditionalFormatting sqref="D77 D79:D85">
    <cfRule type="cellIs" dxfId="1637" priority="170" stopIfTrue="1" operator="lessThanOrEqual">
      <formula>0</formula>
    </cfRule>
  </conditionalFormatting>
  <conditionalFormatting sqref="D78">
    <cfRule type="cellIs" dxfId="1636" priority="161" stopIfTrue="1" operator="greaterThan">
      <formula>$F$77</formula>
    </cfRule>
    <cfRule type="cellIs" dxfId="1635" priority="162" stopIfTrue="1" operator="lessThanOrEqual">
      <formula>0</formula>
    </cfRule>
  </conditionalFormatting>
  <conditionalFormatting sqref="E10:E21">
    <cfRule type="cellIs" dxfId="1634" priority="8" operator="lessThan">
      <formula>48</formula>
    </cfRule>
  </conditionalFormatting>
  <conditionalFormatting sqref="E49 E50:F50">
    <cfRule type="cellIs" dxfId="1633" priority="166" stopIfTrue="1" operator="greaterThan">
      <formula>100</formula>
    </cfRule>
  </conditionalFormatting>
  <conditionalFormatting sqref="E50">
    <cfRule type="cellIs" dxfId="1632" priority="164" stopIfTrue="1" operator="greaterThan">
      <formula>100</formula>
    </cfRule>
    <cfRule type="cellIs" dxfId="1631" priority="163" stopIfTrue="1" operator="lessThan">
      <formula>96.8</formula>
    </cfRule>
  </conditionalFormatting>
  <conditionalFormatting sqref="E66:E74">
    <cfRule type="cellIs" dxfId="1630" priority="21" stopIfTrue="1" operator="lessThanOrEqual">
      <formula>0</formula>
    </cfRule>
  </conditionalFormatting>
  <conditionalFormatting sqref="E66:E75">
    <cfRule type="cellIs" dxfId="1629" priority="23" stopIfTrue="1" operator="lessThanOrEqual">
      <formula>0</formula>
    </cfRule>
    <cfRule type="cellIs" dxfId="1628" priority="22" stopIfTrue="1" operator="greaterThan">
      <formula>$F66</formula>
    </cfRule>
  </conditionalFormatting>
  <conditionalFormatting sqref="E75">
    <cfRule type="cellIs" dxfId="1627" priority="24" stopIfTrue="1" operator="lessThanOrEqual">
      <formula>0</formula>
    </cfRule>
  </conditionalFormatting>
  <conditionalFormatting sqref="E77:E85">
    <cfRule type="cellIs" dxfId="1626" priority="156" stopIfTrue="1" operator="lessThanOrEqual">
      <formula>0</formula>
    </cfRule>
    <cfRule type="cellIs" dxfId="1625" priority="155" stopIfTrue="1" operator="greaterThan">
      <formula>4.5</formula>
    </cfRule>
  </conditionalFormatting>
  <conditionalFormatting sqref="E50:F50 E49">
    <cfRule type="cellIs" dxfId="1624" priority="165" stopIfTrue="1" operator="lessThan">
      <formula>96.5</formula>
    </cfRule>
  </conditionalFormatting>
  <conditionalFormatting sqref="F10:F18 F20:F21">
    <cfRule type="cellIs" dxfId="1623" priority="12" operator="greaterThan">
      <formula>60</formula>
    </cfRule>
  </conditionalFormatting>
  <conditionalFormatting sqref="F50">
    <cfRule type="cellIs" dxfId="1622" priority="181" stopIfTrue="1" operator="lessThan">
      <formula>96.8</formula>
    </cfRule>
    <cfRule type="cellIs" dxfId="1621" priority="182" stopIfTrue="1" operator="greaterThan">
      <formula>100</formula>
    </cfRule>
  </conditionalFormatting>
  <conditionalFormatting sqref="F75">
    <cfRule type="cellIs" dxfId="1620" priority="32" stopIfTrue="1" operator="greaterThan">
      <formula>$F75</formula>
    </cfRule>
    <cfRule type="cellIs" dxfId="1619" priority="33" stopIfTrue="1" operator="lessThanOrEqual">
      <formula>0</formula>
    </cfRule>
  </conditionalFormatting>
  <conditionalFormatting sqref="G10:G18 H10:H21">
    <cfRule type="expression" dxfId="1618" priority="11">
      <formula>IF(+(IF(G10&lt;#REF!,0,IF(G10&gt;#REF!,0,1)))=0,1)</formula>
    </cfRule>
  </conditionalFormatting>
  <conditionalFormatting sqref="G19:G21">
    <cfRule type="expression" dxfId="1617" priority="9">
      <formula>IF(+(IF(G19&lt;S19,0,IF(G19&gt;T19,0,1)))=0,1)</formula>
    </cfRule>
  </conditionalFormatting>
  <conditionalFormatting sqref="G66:G67">
    <cfRule type="cellIs" dxfId="1616" priority="34" stopIfTrue="1" operator="greaterThan">
      <formula>$F66</formula>
    </cfRule>
    <cfRule type="cellIs" dxfId="1615" priority="35" stopIfTrue="1" operator="lessThanOrEqual">
      <formula>0</formula>
    </cfRule>
  </conditionalFormatting>
  <conditionalFormatting sqref="G66:G69">
    <cfRule type="cellIs" dxfId="1614" priority="17" stopIfTrue="1" operator="lessThanOrEqual">
      <formula>0</formula>
    </cfRule>
    <cfRule type="cellIs" dxfId="1613" priority="16" stopIfTrue="1" operator="greaterThan">
      <formula>$F66</formula>
    </cfRule>
  </conditionalFormatting>
  <conditionalFormatting sqref="G68">
    <cfRule type="cellIs" dxfId="1612" priority="15" stopIfTrue="1" operator="lessThanOrEqual">
      <formula>0</formula>
    </cfRule>
    <cfRule type="cellIs" dxfId="1611" priority="14" stopIfTrue="1" operator="greaterThan">
      <formula>$F68</formula>
    </cfRule>
  </conditionalFormatting>
  <conditionalFormatting sqref="G69">
    <cfRule type="cellIs" dxfId="1610" priority="29" stopIfTrue="1" operator="lessThanOrEqual">
      <formula>0</formula>
    </cfRule>
    <cfRule type="cellIs" dxfId="1609" priority="28" stopIfTrue="1" operator="greaterThan">
      <formula>$F69</formula>
    </cfRule>
  </conditionalFormatting>
  <conditionalFormatting sqref="G70:G74">
    <cfRule type="cellIs" dxfId="1608" priority="36" stopIfTrue="1" operator="greaterThan">
      <formula>$J70</formula>
    </cfRule>
    <cfRule type="cellIs" dxfId="1607" priority="37" stopIfTrue="1" operator="lessThanOrEqual">
      <formula>0</formula>
    </cfRule>
  </conditionalFormatting>
  <conditionalFormatting sqref="G79:G84 C82 C84">
    <cfRule type="cellIs" dxfId="1606" priority="178" stopIfTrue="1" operator="greaterThan">
      <formula>4.5</formula>
    </cfRule>
    <cfRule type="cellIs" dxfId="1605" priority="179" stopIfTrue="1" operator="lessThanOrEqual">
      <formula>0</formula>
    </cfRule>
  </conditionalFormatting>
  <conditionalFormatting sqref="G78:H78">
    <cfRule type="cellIs" dxfId="1604" priority="160" stopIfTrue="1" operator="lessThanOrEqual">
      <formula>0</formula>
    </cfRule>
    <cfRule type="cellIs" dxfId="1603" priority="159" stopIfTrue="1" operator="greaterThan">
      <formula>$F$77</formula>
    </cfRule>
  </conditionalFormatting>
  <conditionalFormatting sqref="H35:H36 H49">
    <cfRule type="cellIs" dxfId="1602" priority="157" stopIfTrue="1" operator="greaterThan">
      <formula>0</formula>
    </cfRule>
  </conditionalFormatting>
  <conditionalFormatting sqref="H53">
    <cfRule type="cellIs" dxfId="1601" priority="39" stopIfTrue="1" operator="lessThanOrEqual">
      <formula>0</formula>
    </cfRule>
    <cfRule type="cellIs" dxfId="1600" priority="50" stopIfTrue="1" operator="greaterThan">
      <formula>$F$67</formula>
    </cfRule>
    <cfRule type="cellIs" dxfId="1599" priority="49" stopIfTrue="1" operator="lessThanOrEqual">
      <formula>0</formula>
    </cfRule>
    <cfRule type="cellIs" dxfId="1598" priority="48" stopIfTrue="1" operator="greaterThan">
      <formula>$F$69</formula>
    </cfRule>
    <cfRule type="cellIs" dxfId="1597" priority="40" stopIfTrue="1" operator="greaterThan">
      <formula>$F$66</formula>
    </cfRule>
  </conditionalFormatting>
  <conditionalFormatting sqref="H53:H55">
    <cfRule type="cellIs" dxfId="1596" priority="51" stopIfTrue="1" operator="lessThanOrEqual">
      <formula>0</formula>
    </cfRule>
  </conditionalFormatting>
  <conditionalFormatting sqref="H54:H55">
    <cfRule type="cellIs" dxfId="1595" priority="77" stopIfTrue="1" operator="greaterThan">
      <formula>$F$67</formula>
    </cfRule>
    <cfRule type="cellIs" dxfId="1594" priority="76" stopIfTrue="1" operator="lessThanOrEqual">
      <formula>0</formula>
    </cfRule>
    <cfRule type="cellIs" dxfId="1593" priority="75" stopIfTrue="1" operator="greaterThan">
      <formula>$F$69</formula>
    </cfRule>
    <cfRule type="cellIs" dxfId="1592" priority="67" stopIfTrue="1" operator="greaterThan">
      <formula>$F$66</formula>
    </cfRule>
  </conditionalFormatting>
  <conditionalFormatting sqref="H54:H57">
    <cfRule type="cellIs" dxfId="1591" priority="78" stopIfTrue="1" operator="lessThanOrEqual">
      <formula>0</formula>
    </cfRule>
  </conditionalFormatting>
  <conditionalFormatting sqref="H56:H57">
    <cfRule type="cellIs" dxfId="1590" priority="92" stopIfTrue="1" operator="lessThanOrEqual">
      <formula>0</formula>
    </cfRule>
    <cfRule type="cellIs" dxfId="1589" priority="89" stopIfTrue="1" operator="greaterThan">
      <formula>$F$69</formula>
    </cfRule>
    <cfRule type="cellIs" dxfId="1588" priority="91" stopIfTrue="1" operator="greaterThan">
      <formula>$F$67</formula>
    </cfRule>
    <cfRule type="cellIs" dxfId="1587" priority="90" stopIfTrue="1" operator="lessThanOrEqual">
      <formula>0</formula>
    </cfRule>
    <cfRule type="cellIs" dxfId="1586" priority="81" stopIfTrue="1" operator="greaterThan">
      <formula>$F$66</formula>
    </cfRule>
  </conditionalFormatting>
  <conditionalFormatting sqref="H58:H59">
    <cfRule type="cellIs" dxfId="1585" priority="130" stopIfTrue="1" operator="greaterThan">
      <formula>#REF!</formula>
    </cfRule>
    <cfRule type="cellIs" dxfId="1584" priority="131" stopIfTrue="1" operator="lessThanOrEqual">
      <formula>0</formula>
    </cfRule>
    <cfRule type="cellIs" dxfId="1583" priority="120" stopIfTrue="1" operator="greaterThan">
      <formula>#REF!</formula>
    </cfRule>
    <cfRule type="cellIs" dxfId="1582" priority="119" stopIfTrue="1" operator="lessThanOrEqual">
      <formula>0</formula>
    </cfRule>
    <cfRule type="cellIs" dxfId="1581" priority="129" stopIfTrue="1" operator="lessThanOrEqual">
      <formula>0</formula>
    </cfRule>
    <cfRule type="cellIs" dxfId="1580" priority="128" stopIfTrue="1" operator="greaterThan">
      <formula>$F$21</formula>
    </cfRule>
  </conditionalFormatting>
  <conditionalFormatting sqref="H60">
    <cfRule type="cellIs" dxfId="1579" priority="134" stopIfTrue="1" operator="greaterThan">
      <formula>$F$34</formula>
    </cfRule>
    <cfRule type="cellIs" dxfId="1578" priority="142" stopIfTrue="1" operator="greaterThan">
      <formula>$F$37</formula>
    </cfRule>
    <cfRule type="cellIs" dxfId="1577" priority="143" stopIfTrue="1" operator="lessThanOrEqual">
      <formula>0</formula>
    </cfRule>
    <cfRule type="cellIs" dxfId="1576" priority="144" stopIfTrue="1" operator="greaterThan">
      <formula>$F$35</formula>
    </cfRule>
    <cfRule type="cellIs" dxfId="1575" priority="145" stopIfTrue="1" operator="lessThanOrEqual">
      <formula>0</formula>
    </cfRule>
    <cfRule type="cellIs" dxfId="1574" priority="133" stopIfTrue="1" operator="lessThanOrEqual">
      <formula>0</formula>
    </cfRule>
  </conditionalFormatting>
  <conditionalFormatting sqref="H61:H62">
    <cfRule type="cellIs" dxfId="1573" priority="116" stopIfTrue="1" operator="greaterThan">
      <formula>#REF!</formula>
    </cfRule>
    <cfRule type="cellIs" dxfId="1572" priority="115" stopIfTrue="1" operator="lessThanOrEqual">
      <formula>0</formula>
    </cfRule>
    <cfRule type="cellIs" dxfId="1571" priority="106" stopIfTrue="1" operator="greaterThan">
      <formula>#REF!</formula>
    </cfRule>
    <cfRule type="cellIs" dxfId="1570" priority="114" stopIfTrue="1" operator="greaterThan">
      <formula>$F$21</formula>
    </cfRule>
    <cfRule type="cellIs" dxfId="1569" priority="117" stopIfTrue="1" operator="lessThanOrEqual">
      <formula>0</formula>
    </cfRule>
    <cfRule type="cellIs" dxfId="1568" priority="105" stopIfTrue="1" operator="lessThanOrEqual">
      <formula>0</formula>
    </cfRule>
  </conditionalFormatting>
  <conditionalFormatting sqref="H77 H79:H85">
    <cfRule type="cellIs" dxfId="1567" priority="171" stopIfTrue="1" operator="greaterThan">
      <formula>4.5</formula>
    </cfRule>
    <cfRule type="cellIs" dxfId="1566" priority="172" stopIfTrue="1" operator="lessThanOrEqual">
      <formula>0</formula>
    </cfRule>
  </conditionalFormatting>
  <conditionalFormatting sqref="H53:I53">
    <cfRule type="cellIs" dxfId="1565" priority="41" stopIfTrue="1" operator="lessThanOrEqual">
      <formula>0</formula>
    </cfRule>
  </conditionalFormatting>
  <conditionalFormatting sqref="H53:I57">
    <cfRule type="cellIs" dxfId="1564" priority="38" stopIfTrue="1" operator="greaterThan">
      <formula>$F$68</formula>
    </cfRule>
  </conditionalFormatting>
  <conditionalFormatting sqref="H54:I55">
    <cfRule type="cellIs" dxfId="1563" priority="68" stopIfTrue="1" operator="lessThanOrEqual">
      <formula>0</formula>
    </cfRule>
  </conditionalFormatting>
  <conditionalFormatting sqref="H56:I57">
    <cfRule type="cellIs" dxfId="1562" priority="82" stopIfTrue="1" operator="lessThanOrEqual">
      <formula>0</formula>
    </cfRule>
  </conditionalFormatting>
  <conditionalFormatting sqref="H58:I59">
    <cfRule type="cellIs" dxfId="1561" priority="121" stopIfTrue="1" operator="lessThanOrEqual">
      <formula>0</formula>
    </cfRule>
    <cfRule type="cellIs" dxfId="1560" priority="118" stopIfTrue="1" operator="greaterThan">
      <formula>#REF!</formula>
    </cfRule>
  </conditionalFormatting>
  <conditionalFormatting sqref="H60:I60">
    <cfRule type="cellIs" dxfId="1559" priority="135" stopIfTrue="1" operator="lessThanOrEqual">
      <formula>0</formula>
    </cfRule>
    <cfRule type="cellIs" dxfId="1558" priority="132" stopIfTrue="1" operator="greaterThan">
      <formula>$F$36</formula>
    </cfRule>
  </conditionalFormatting>
  <conditionalFormatting sqref="H61:I62">
    <cfRule type="cellIs" dxfId="1557" priority="104" stopIfTrue="1" operator="greaterThan">
      <formula>#REF!</formula>
    </cfRule>
    <cfRule type="cellIs" dxfId="1556" priority="107" stopIfTrue="1" operator="lessThanOrEqual">
      <formula>0</formula>
    </cfRule>
  </conditionalFormatting>
  <conditionalFormatting sqref="H66:I73">
    <cfRule type="cellIs" dxfId="1555" priority="20" stopIfTrue="1" operator="lessThanOrEqual">
      <formula>0</formula>
    </cfRule>
    <cfRule type="cellIs" dxfId="1554" priority="19" stopIfTrue="1" operator="greaterThan">
      <formula>$J66</formula>
    </cfRule>
  </conditionalFormatting>
  <conditionalFormatting sqref="H74:I74">
    <cfRule type="cellIs" dxfId="1553" priority="27" operator="greaterThan">
      <formula>5.3</formula>
    </cfRule>
  </conditionalFormatting>
  <conditionalFormatting sqref="H75:I75">
    <cfRule type="cellIs" dxfId="1552" priority="26" stopIfTrue="1" operator="lessThanOrEqual">
      <formula>0</formula>
    </cfRule>
    <cfRule type="cellIs" dxfId="1551" priority="25" stopIfTrue="1" operator="greaterThan">
      <formula>$J75</formula>
    </cfRule>
  </conditionalFormatting>
  <conditionalFormatting sqref="I53">
    <cfRule type="cellIs" dxfId="1550" priority="47" stopIfTrue="1" operator="lessThanOrEqual">
      <formula>0</formula>
    </cfRule>
    <cfRule type="cellIs" dxfId="1549" priority="42" stopIfTrue="1" operator="greaterThan">
      <formula>$F$66</formula>
    </cfRule>
    <cfRule type="cellIs" dxfId="1548" priority="43" stopIfTrue="1" operator="lessThanOrEqual">
      <formula>0</formula>
    </cfRule>
    <cfRule type="cellIs" dxfId="1547" priority="44" stopIfTrue="1" operator="greaterThan">
      <formula>$F$68</formula>
    </cfRule>
    <cfRule type="cellIs" dxfId="1546" priority="45" stopIfTrue="1" operator="lessThanOrEqual">
      <formula>0</formula>
    </cfRule>
    <cfRule type="cellIs" dxfId="1545" priority="46" stopIfTrue="1" operator="greaterThan">
      <formula>$F$66</formula>
    </cfRule>
  </conditionalFormatting>
  <conditionalFormatting sqref="I54:I55">
    <cfRule type="cellIs" dxfId="1544" priority="74" stopIfTrue="1" operator="lessThanOrEqual">
      <formula>0</formula>
    </cfRule>
    <cfRule type="cellIs" dxfId="1543" priority="73" stopIfTrue="1" operator="greaterThan">
      <formula>$F$66</formula>
    </cfRule>
    <cfRule type="cellIs" dxfId="1542" priority="72" stopIfTrue="1" operator="lessThanOrEqual">
      <formula>0</formula>
    </cfRule>
    <cfRule type="cellIs" dxfId="1541" priority="71" stopIfTrue="1" operator="greaterThan">
      <formula>$F$68</formula>
    </cfRule>
    <cfRule type="cellIs" dxfId="1540" priority="69" stopIfTrue="1" operator="greaterThan">
      <formula>$F$66</formula>
    </cfRule>
    <cfRule type="cellIs" dxfId="1539" priority="70" stopIfTrue="1" operator="lessThanOrEqual">
      <formula>0</formula>
    </cfRule>
  </conditionalFormatting>
  <conditionalFormatting sqref="I56:I57">
    <cfRule type="cellIs" dxfId="1538" priority="88" stopIfTrue="1" operator="lessThanOrEqual">
      <formula>0</formula>
    </cfRule>
    <cfRule type="cellIs" dxfId="1537" priority="83" stopIfTrue="1" operator="greaterThan">
      <formula>$F$66</formula>
    </cfRule>
    <cfRule type="cellIs" dxfId="1536" priority="84" stopIfTrue="1" operator="lessThanOrEqual">
      <formula>0</formula>
    </cfRule>
    <cfRule type="cellIs" dxfId="1535" priority="85" stopIfTrue="1" operator="greaterThan">
      <formula>$F$68</formula>
    </cfRule>
    <cfRule type="cellIs" dxfId="1534" priority="86" stopIfTrue="1" operator="lessThanOrEqual">
      <formula>0</formula>
    </cfRule>
    <cfRule type="cellIs" dxfId="1533" priority="87" stopIfTrue="1" operator="greaterThan">
      <formula>$F$66</formula>
    </cfRule>
  </conditionalFormatting>
  <conditionalFormatting sqref="I58:I59">
    <cfRule type="cellIs" dxfId="1532" priority="122" stopIfTrue="1" operator="greaterThan">
      <formula>#REF!</formula>
    </cfRule>
    <cfRule type="cellIs" dxfId="1531" priority="123" stopIfTrue="1" operator="lessThanOrEqual">
      <formula>0</formula>
    </cfRule>
    <cfRule type="cellIs" dxfId="1530" priority="124" stopIfTrue="1" operator="greaterThan">
      <formula>#REF!</formula>
    </cfRule>
    <cfRule type="cellIs" dxfId="1529" priority="125" stopIfTrue="1" operator="lessThanOrEqual">
      <formula>0</formula>
    </cfRule>
    <cfRule type="cellIs" dxfId="1528" priority="126" stopIfTrue="1" operator="greaterThan">
      <formula>#REF!</formula>
    </cfRule>
    <cfRule type="cellIs" dxfId="1527" priority="127" stopIfTrue="1" operator="lessThanOrEqual">
      <formula>0</formula>
    </cfRule>
  </conditionalFormatting>
  <conditionalFormatting sqref="I60">
    <cfRule type="cellIs" dxfId="1526" priority="141" stopIfTrue="1" operator="lessThanOrEqual">
      <formula>0</formula>
    </cfRule>
    <cfRule type="cellIs" dxfId="1525" priority="138" stopIfTrue="1" operator="greaterThan">
      <formula>$F$36</formula>
    </cfRule>
    <cfRule type="cellIs" dxfId="1524" priority="136" stopIfTrue="1" operator="greaterThan">
      <formula>$F$34</formula>
    </cfRule>
    <cfRule type="cellIs" dxfId="1523" priority="137" stopIfTrue="1" operator="lessThanOrEqual">
      <formula>0</formula>
    </cfRule>
    <cfRule type="cellIs" dxfId="1522" priority="139" stopIfTrue="1" operator="lessThanOrEqual">
      <formula>0</formula>
    </cfRule>
    <cfRule type="cellIs" dxfId="1521" priority="140" stopIfTrue="1" operator="greaterThan">
      <formula>$F$34</formula>
    </cfRule>
  </conditionalFormatting>
  <conditionalFormatting sqref="I61:I62">
    <cfRule type="cellIs" dxfId="1520" priority="109" stopIfTrue="1" operator="lessThanOrEqual">
      <formula>0</formula>
    </cfRule>
    <cfRule type="cellIs" dxfId="1519" priority="111" stopIfTrue="1" operator="lessThanOrEqual">
      <formula>0</formula>
    </cfRule>
    <cfRule type="cellIs" dxfId="1518" priority="112" stopIfTrue="1" operator="greaterThan">
      <formula>#REF!</formula>
    </cfRule>
    <cfRule type="cellIs" dxfId="1517" priority="113" stopIfTrue="1" operator="lessThanOrEqual">
      <formula>0</formula>
    </cfRule>
    <cfRule type="cellIs" dxfId="1516" priority="110" stopIfTrue="1" operator="greaterThan">
      <formula>#REF!</formula>
    </cfRule>
    <cfRule type="cellIs" dxfId="1515" priority="108" stopIfTrue="1" operator="greaterThan">
      <formula>#REF!</formula>
    </cfRule>
  </conditionalFormatting>
  <conditionalFormatting sqref="I77:I85">
    <cfRule type="cellIs" dxfId="1514" priority="168" stopIfTrue="1" operator="lessThanOrEqual">
      <formula>0</formula>
    </cfRule>
    <cfRule type="cellIs" dxfId="1513" priority="167" stopIfTrue="1" operator="greaterThan">
      <formula>4.5</formula>
    </cfRule>
  </conditionalFormatting>
  <conditionalFormatting sqref="I10:J21">
    <cfRule type="cellIs" dxfId="1512" priority="2" operator="lessThan">
      <formula>97.9</formula>
    </cfRule>
  </conditionalFormatting>
  <conditionalFormatting sqref="J24:J25">
    <cfRule type="cellIs" dxfId="1511" priority="80" operator="lessThan">
      <formula>97.95</formula>
    </cfRule>
  </conditionalFormatting>
  <conditionalFormatting sqref="J26">
    <cfRule type="cellIs" dxfId="1510" priority="149" operator="lessThan">
      <formula>98</formula>
    </cfRule>
    <cfRule type="cellIs" dxfId="1509" priority="148" stopIfTrue="1" operator="greaterThan">
      <formula>100</formula>
    </cfRule>
    <cfRule type="cellIs" dxfId="1508" priority="147" stopIfTrue="1" operator="lessThan">
      <formula>96.8</formula>
    </cfRule>
  </conditionalFormatting>
  <conditionalFormatting sqref="J26:J28">
    <cfRule type="cellIs" dxfId="1507" priority="146" operator="lessThan">
      <formula>97.4</formula>
    </cfRule>
  </conditionalFormatting>
  <conditionalFormatting sqref="J29:J30">
    <cfRule type="cellIs" dxfId="1506" priority="150" operator="lessThan">
      <formula>98</formula>
    </cfRule>
  </conditionalFormatting>
  <conditionalFormatting sqref="J31:J32">
    <cfRule type="cellIs" dxfId="1505" priority="152" stopIfTrue="1" operator="greaterThan">
      <formula>100</formula>
    </cfRule>
    <cfRule type="cellIs" dxfId="1504" priority="151" stopIfTrue="1" operator="lessThan">
      <formula>96.8</formula>
    </cfRule>
  </conditionalFormatting>
  <conditionalFormatting sqref="J31:J33">
    <cfRule type="cellIs" dxfId="1503" priority="153" operator="lessThan">
      <formula>98</formula>
    </cfRule>
  </conditionalFormatting>
  <conditionalFormatting sqref="J62">
    <cfRule type="cellIs" dxfId="1502" priority="97" stopIfTrue="1" operator="lessThanOrEqual">
      <formula>0</formula>
    </cfRule>
    <cfRule type="cellIs" dxfId="1501" priority="96" stopIfTrue="1" operator="greaterThan">
      <formula>#REF!</formula>
    </cfRule>
    <cfRule type="cellIs" dxfId="1500" priority="98" stopIfTrue="1" operator="greaterThan">
      <formula>#REF!</formula>
    </cfRule>
    <cfRule type="cellIs" dxfId="1499" priority="99" stopIfTrue="1" operator="lessThanOrEqual">
      <formula>0</formula>
    </cfRule>
    <cfRule type="cellIs" dxfId="1498" priority="100" stopIfTrue="1" operator="greaterThan">
      <formula>#REF!</formula>
    </cfRule>
    <cfRule type="cellIs" dxfId="1497" priority="101" stopIfTrue="1" operator="lessThanOrEqual">
      <formula>0</formula>
    </cfRule>
    <cfRule type="cellIs" dxfId="1496" priority="102" stopIfTrue="1" operator="greaterThan">
      <formula>#REF!</formula>
    </cfRule>
    <cfRule type="cellIs" dxfId="1495" priority="103" stopIfTrue="1" operator="lessThanOrEqual">
      <formula>0</formula>
    </cfRule>
  </conditionalFormatting>
  <conditionalFormatting sqref="J75">
    <cfRule type="cellIs" dxfId="1494" priority="30" stopIfTrue="1" operator="greaterThan">
      <formula>$F75</formula>
    </cfRule>
    <cfRule type="cellIs" dxfId="1493" priority="31" stopIfTrue="1" operator="lessThanOrEqual">
      <formula>0</formula>
    </cfRule>
  </conditionalFormatting>
  <conditionalFormatting sqref="K10:K21">
    <cfRule type="cellIs" dxfId="1492" priority="5" operator="greaterThan">
      <formula>6.4</formula>
    </cfRule>
    <cfRule type="cellIs" dxfId="1491" priority="3" operator="greaterThan">
      <formula>6</formula>
    </cfRule>
    <cfRule type="cellIs" dxfId="1490" priority="4" operator="lessThan">
      <formula>4</formula>
    </cfRule>
  </conditionalFormatting>
  <conditionalFormatting sqref="K53:K62">
    <cfRule type="cellIs" dxfId="1489" priority="79" stopIfTrue="1" operator="lessThan">
      <formula>100%</formula>
    </cfRule>
  </conditionalFormatting>
  <conditionalFormatting sqref="K66:K74">
    <cfRule type="cellIs" dxfId="1488" priority="18" stopIfTrue="1" operator="lessThan">
      <formula>100%</formula>
    </cfRule>
  </conditionalFormatting>
  <conditionalFormatting sqref="K77:K82">
    <cfRule type="cellIs" dxfId="1487" priority="173" stopIfTrue="1" operator="lessThan">
      <formula>100%</formula>
    </cfRule>
  </conditionalFormatting>
  <conditionalFormatting sqref="K84:K85">
    <cfRule type="cellIs" dxfId="1486" priority="180" stopIfTrue="1" operator="lessThan">
      <formula>100%</formula>
    </cfRule>
  </conditionalFormatting>
  <conditionalFormatting sqref="L10:L21">
    <cfRule type="cellIs" dxfId="1485" priority="6" operator="between">
      <formula>61</formula>
      <formula>65</formula>
    </cfRule>
    <cfRule type="cellIs" dxfId="1484" priority="7" operator="greaterThan">
      <formula>65</formula>
    </cfRule>
  </conditionalFormatting>
  <conditionalFormatting sqref="L24:M35">
    <cfRule type="cellIs" dxfId="1483" priority="93" operator="lessThan">
      <formula>97.95</formula>
    </cfRule>
  </conditionalFormatting>
  <conditionalFormatting sqref="L39:N39">
    <cfRule type="cellIs" dxfId="1482" priority="58" operator="notEqual">
      <formula>#REF!</formula>
    </cfRule>
  </conditionalFormatting>
  <conditionalFormatting sqref="L66:N75">
    <cfRule type="cellIs" dxfId="1481" priority="13" stopIfTrue="1" operator="lessThan">
      <formula>100%</formula>
    </cfRule>
  </conditionalFormatting>
  <conditionalFormatting sqref="L77:N85">
    <cfRule type="cellIs" dxfId="1480" priority="158" stopIfTrue="1" operator="lessThan">
      <formula>100%</formula>
    </cfRule>
  </conditionalFormatting>
  <conditionalFormatting sqref="M10:N21">
    <cfRule type="expression" dxfId="1479" priority="10">
      <formula>IF(+(IF(M10&lt;#REF!,0,IF(M10&gt;#REF!,0,1)))=0,1)</formula>
    </cfRule>
  </conditionalFormatting>
  <conditionalFormatting sqref="N18:N19">
    <cfRule type="expression" dxfId="1478" priority="1">
      <formula>IF(+(IF(N18&lt;W18,0,IF(N18&gt;X18,0,1)))=0,1)</formula>
    </cfRule>
  </conditionalFormatting>
  <conditionalFormatting sqref="P6">
    <cfRule type="cellIs" dxfId="1477" priority="154" operator="greaterThanOrEqual">
      <formula>19</formula>
    </cfRule>
  </conditionalFormatting>
  <dataValidations count="1">
    <dataValidation type="list" allowBlank="1" showInputMessage="1" showErrorMessage="1" sqref="R8" xr:uid="{19C824AC-117C-4BF0-9C39-7FC2B4BFF0A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1C23-E431-41B8-8BD3-C6EE82F0ABB5}">
  <sheetPr>
    <pageSetUpPr fitToPage="1"/>
  </sheetPr>
  <dimension ref="A1:BE76"/>
  <sheetViews>
    <sheetView zoomScale="70" zoomScaleNormal="70" workbookViewId="0">
      <selection activeCell="E10" sqref="E10:E15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46195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[3]Brewhouse!$A465</f>
        <v>CA419</v>
      </c>
      <c r="D10" s="279">
        <f>[3]Brewhouse!$AF465</f>
        <v>48.4</v>
      </c>
      <c r="E10" s="279">
        <f>[3]Brewhouse!$AI465</f>
        <v>49.2</v>
      </c>
      <c r="F10" s="278">
        <f>[3]Brewhouse!$V465</f>
        <v>57</v>
      </c>
      <c r="G10" s="279">
        <f>[3]Brewhouse!AG465</f>
        <v>11.9</v>
      </c>
      <c r="H10" s="396">
        <v>11.8</v>
      </c>
      <c r="I10" s="368">
        <f>[3]Brewhouse!$AU465</f>
        <v>96.996454448160804</v>
      </c>
      <c r="J10" s="368">
        <f>[3]Brewhouse!$AV465</f>
        <v>98.103941374132702</v>
      </c>
      <c r="K10" s="281">
        <f>[3]Brewhouse!$Q465</f>
        <v>12.606284658040664</v>
      </c>
      <c r="L10" s="276">
        <f>[3]Brewhouse!$P465</f>
        <v>61</v>
      </c>
      <c r="M10" s="397">
        <f>[3]Brewhouse!$U465-[3]Brewhouse!$T465</f>
        <v>0.13333333333333341</v>
      </c>
      <c r="N10" s="370">
        <f>[3]Brewhouse!$Z465</f>
        <v>0.30902777777777785</v>
      </c>
      <c r="O10" s="420" t="str">
        <f>[3]Brewhouse!$AX465</f>
        <v>R. Regis</v>
      </c>
      <c r="P10" s="418"/>
      <c r="R10" s="277" t="str">
        <f t="shared" ref="R10:R13" si="0">B10</f>
        <v>CARIB</v>
      </c>
      <c r="S10" s="472">
        <f t="shared" ref="S10:S13" si="1">VLOOKUP($B10,$R$3:$X$9,2,FALSE)</f>
        <v>11.6</v>
      </c>
      <c r="T10" s="472">
        <f t="shared" ref="T10:T13" si="2">VLOOKUP($B10,$R$3:$X$9,3,FALSE)</f>
        <v>12</v>
      </c>
      <c r="U10" s="297">
        <f t="shared" ref="U10:U13" si="3">VLOOKUP($B10,$R$3:$X$9,4,FALSE)</f>
        <v>0</v>
      </c>
      <c r="V10" s="297">
        <f t="shared" ref="V10:V13" si="4">VLOOKUP($B10,$R$3:$X$9,5,FALSE)</f>
        <v>0.118055555555556</v>
      </c>
      <c r="W10" s="297">
        <f t="shared" ref="W10:W13" si="5">VLOOKUP($B10,$R$3:$X$9,6,FALSE)</f>
        <v>0.22569444444444445</v>
      </c>
      <c r="X10" s="297">
        <f t="shared" ref="X10:X13" si="6">VLOOKUP($B10,$R$3:$X$9,7,FALSE)</f>
        <v>0.2638888888888889</v>
      </c>
      <c r="Y10" s="297">
        <f t="shared" ref="Y10:Y13" si="7">VLOOKUP($B10,$R$3:$Z$9,8,FALSE)</f>
        <v>0</v>
      </c>
      <c r="Z10" s="472">
        <f t="shared" ref="Z10:Z13" si="8">VLOOKUP($B10,$R$3:$Z$9,9,FALSE)</f>
        <v>60</v>
      </c>
    </row>
    <row r="11" spans="2:29" ht="17.25" customHeight="1">
      <c r="B11" s="29" t="s">
        <v>6</v>
      </c>
      <c r="C11" s="366" t="str">
        <f>[3]Brewhouse!$A466</f>
        <v>CA420</v>
      </c>
      <c r="D11" s="279">
        <f>[3]Brewhouse!$AF466</f>
        <v>49.3</v>
      </c>
      <c r="E11" s="279">
        <f>[3]Brewhouse!$AI466</f>
        <v>50.7</v>
      </c>
      <c r="F11" s="278">
        <f>[3]Brewhouse!$V466</f>
        <v>57</v>
      </c>
      <c r="G11" s="279">
        <f>[3]Brewhouse!AG466</f>
        <v>11.9</v>
      </c>
      <c r="H11" s="396">
        <v>11.7</v>
      </c>
      <c r="I11" s="368">
        <f>[3]Brewhouse!$AU466</f>
        <v>99.953663425238886</v>
      </c>
      <c r="J11" s="368">
        <f>[3]Brewhouse!$AV466</f>
        <v>101.09491519651482</v>
      </c>
      <c r="K11" s="281">
        <f>[3]Brewhouse!$Q466</f>
        <v>10.942698706099819</v>
      </c>
      <c r="L11" s="276">
        <f>[3]Brewhouse!$P466</f>
        <v>60</v>
      </c>
      <c r="M11" s="397">
        <f>[3]Brewhouse!$U466-[3]Brewhouse!$T466</f>
        <v>0.10833333333333339</v>
      </c>
      <c r="N11" s="370">
        <f>[3]Brewhouse!$Z466</f>
        <v>0.26597222222222228</v>
      </c>
      <c r="O11" s="420" t="str">
        <f>[3]Brewhouse!$AX466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[3]Brewhouse!$A467</f>
        <v>CA421</v>
      </c>
      <c r="D12" s="279">
        <f>[3]Brewhouse!$AF467</f>
        <v>49.6</v>
      </c>
      <c r="E12" s="279">
        <f>[3]Brewhouse!$AI467</f>
        <v>50.3</v>
      </c>
      <c r="F12" s="278">
        <f>[3]Brewhouse!$V467</f>
        <v>59</v>
      </c>
      <c r="G12" s="279">
        <f>[3]Brewhouse!AG467</f>
        <v>11.7</v>
      </c>
      <c r="H12" s="396">
        <v>11.7</v>
      </c>
      <c r="I12" s="368">
        <f>[3]Brewhouse!$AU467</f>
        <v>97.899114248935831</v>
      </c>
      <c r="J12" s="368">
        <f>[3]Brewhouse!$AV467</f>
        <v>99.016611201908091</v>
      </c>
      <c r="K12" s="281">
        <f>[3]Brewhouse!$Q467</f>
        <v>11.127541589648803</v>
      </c>
      <c r="L12" s="276">
        <f>[3]Brewhouse!$P467</f>
        <v>60</v>
      </c>
      <c r="M12" s="397">
        <f>[3]Brewhouse!$U467-[3]Brewhouse!$T467</f>
        <v>0.10347222222222219</v>
      </c>
      <c r="N12" s="370">
        <f>[3]Brewhouse!$Z467</f>
        <v>0.24166666666666659</v>
      </c>
      <c r="O12" s="420" t="str">
        <f>[3]Brewhouse!$AX467</f>
        <v>D. Gomaz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[3]Brewhouse!$A468</f>
        <v>CA422</v>
      </c>
      <c r="D13" s="279">
        <f>[3]Brewhouse!$AF468</f>
        <v>49.5</v>
      </c>
      <c r="E13" s="279">
        <f>[3]Brewhouse!$AI468</f>
        <v>51.3</v>
      </c>
      <c r="F13" s="278">
        <f>[3]Brewhouse!$V468</f>
        <v>59</v>
      </c>
      <c r="G13" s="279">
        <f>[3]Brewhouse!AG468</f>
        <v>11.7</v>
      </c>
      <c r="H13" s="481">
        <v>11.5</v>
      </c>
      <c r="I13" s="368">
        <f>[3]Brewhouse!$AU468</f>
        <v>99.845418707165166</v>
      </c>
      <c r="J13" s="368">
        <f>[3]Brewhouse!$AV468</f>
        <v>100.98513229936152</v>
      </c>
      <c r="K13" s="281">
        <f>[3]Brewhouse!$Q468</f>
        <v>11.888888888888891</v>
      </c>
      <c r="L13" s="276">
        <f>[3]Brewhouse!$P468</f>
        <v>61</v>
      </c>
      <c r="M13" s="397">
        <f>[3]Brewhouse!$U468-[3]Brewhouse!$T468</f>
        <v>0.10972222222222228</v>
      </c>
      <c r="N13" s="370">
        <f>[3]Brewhouse!$Z468</f>
        <v>0.24652777777777779</v>
      </c>
      <c r="O13" s="420" t="str">
        <f>[3]Brewhouse!$AX468</f>
        <v>D. Gomaz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[3]Brewhouse!$A469</f>
        <v>CA423</v>
      </c>
      <c r="D14" s="279">
        <f>[3]Brewhouse!$AF469</f>
        <v>48.6</v>
      </c>
      <c r="E14" s="279">
        <f>[3]Brewhouse!$AI469</f>
        <v>50.3</v>
      </c>
      <c r="F14" s="278">
        <f>[3]Brewhouse!$V469</f>
        <v>61</v>
      </c>
      <c r="G14" s="279">
        <f>[3]Brewhouse!AG469</f>
        <v>12</v>
      </c>
      <c r="H14" s="396">
        <v>11.8</v>
      </c>
      <c r="I14" s="368">
        <f>[3]Brewhouse!$AU469</f>
        <v>100.41537290555753</v>
      </c>
      <c r="J14" s="368">
        <f>[3]Brewhouse!$AV469</f>
        <v>101.56166868094114</v>
      </c>
      <c r="K14" s="281">
        <f>[3]Brewhouse!$Q469</f>
        <v>11.497227356746762</v>
      </c>
      <c r="L14" s="276">
        <f>[3]Brewhouse!$P469</f>
        <v>63</v>
      </c>
      <c r="M14" s="397">
        <f>[3]Brewhouse!$U469-[3]Brewhouse!$T469</f>
        <v>0.10972222222222228</v>
      </c>
      <c r="N14" s="370">
        <f>[3]Brewhouse!$Z469</f>
        <v>0.24583333333333335</v>
      </c>
      <c r="O14" s="420" t="str">
        <f>[3]Brewhouse!$AX469</f>
        <v>D. Gomaz</v>
      </c>
      <c r="P14" s="418"/>
      <c r="R14" s="277" t="str">
        <f t="shared" ref="R14:R36" si="9">B14</f>
        <v>CARIB</v>
      </c>
      <c r="S14" s="472">
        <f t="shared" ref="S14:S36" si="10">VLOOKUP($B14,$R$3:$X$9,2,FALSE)</f>
        <v>11.6</v>
      </c>
      <c r="T14" s="472">
        <f t="shared" ref="T14:T36" si="11">VLOOKUP($B14,$R$3:$X$9,3,FALSE)</f>
        <v>12</v>
      </c>
      <c r="U14" s="297">
        <f t="shared" ref="U14:U36" si="12">VLOOKUP($B14,$R$3:$X$9,4,FALSE)</f>
        <v>0</v>
      </c>
      <c r="V14" s="297">
        <f t="shared" ref="V14:V36" si="13">VLOOKUP($B14,$R$3:$X$9,5,FALSE)</f>
        <v>0.118055555555556</v>
      </c>
      <c r="W14" s="297">
        <f t="shared" ref="W14:W36" si="14">VLOOKUP($B14,$R$3:$X$9,6,FALSE)</f>
        <v>0.22569444444444445</v>
      </c>
      <c r="X14" s="297">
        <f t="shared" ref="X14:X36" si="15">VLOOKUP($B14,$R$3:$X$9,7,FALSE)</f>
        <v>0.2638888888888889</v>
      </c>
      <c r="Y14" s="297">
        <f t="shared" ref="Y14:Y36" si="16">VLOOKUP($B14,$R$3:$Z$9,8,FALSE)</f>
        <v>0</v>
      </c>
      <c r="Z14" s="472">
        <f t="shared" ref="Z14:Z36" si="17">VLOOKUP($B14,$R$3:$Z$9,9,FALSE)</f>
        <v>60</v>
      </c>
    </row>
    <row r="15" spans="2:29" ht="17.25" customHeight="1">
      <c r="B15" s="29" t="s">
        <v>6</v>
      </c>
      <c r="C15" s="366" t="str">
        <f>[3]Brewhouse!$A470</f>
        <v>CA424</v>
      </c>
      <c r="D15" s="279">
        <f>[3]Brewhouse!$AF470</f>
        <v>48.2</v>
      </c>
      <c r="E15" s="279">
        <f>[3]Brewhouse!$AI470</f>
        <v>50</v>
      </c>
      <c r="F15" s="278">
        <f>[3]Brewhouse!$V470</f>
        <v>60</v>
      </c>
      <c r="G15" s="279">
        <f>[3]Brewhouse!AG470</f>
        <v>12</v>
      </c>
      <c r="H15" s="396">
        <v>11.9</v>
      </c>
      <c r="I15" s="368">
        <f>[3]Brewhouse!$AU470</f>
        <v>99.941062940966958</v>
      </c>
      <c r="J15" s="368">
        <f>[3]Brewhouse!$AV470</f>
        <v>101.08186829114972</v>
      </c>
      <c r="K15" s="281">
        <f>[3]Brewhouse!$Q470</f>
        <v>12.074074074074066</v>
      </c>
      <c r="L15" s="276">
        <f>[3]Brewhouse!$P470</f>
        <v>60</v>
      </c>
      <c r="M15" s="397">
        <f>[3]Brewhouse!$U470-[3]Brewhouse!$T470</f>
        <v>0.12916666666666665</v>
      </c>
      <c r="N15" s="370">
        <f>[3]Brewhouse!$Z470</f>
        <v>0.27083333333333337</v>
      </c>
      <c r="O15" s="420" t="str">
        <f>[3]Brewhouse!$AX470</f>
        <v>D. Gomaz</v>
      </c>
      <c r="P15" s="418"/>
      <c r="R15" s="277" t="str">
        <f t="shared" si="9"/>
        <v>CARIB</v>
      </c>
      <c r="S15" s="472">
        <f t="shared" si="10"/>
        <v>11.6</v>
      </c>
      <c r="T15" s="472">
        <f t="shared" si="11"/>
        <v>12</v>
      </c>
      <c r="U15" s="297">
        <f t="shared" si="12"/>
        <v>0</v>
      </c>
      <c r="V15" s="297">
        <f t="shared" si="13"/>
        <v>0.118055555555556</v>
      </c>
      <c r="W15" s="297">
        <f t="shared" si="14"/>
        <v>0.22569444444444445</v>
      </c>
      <c r="X15" s="297">
        <f t="shared" si="15"/>
        <v>0.2638888888888889</v>
      </c>
      <c r="Y15" s="297">
        <f t="shared" si="16"/>
        <v>0</v>
      </c>
      <c r="Z15" s="472">
        <f t="shared" si="17"/>
        <v>60</v>
      </c>
    </row>
    <row r="16" spans="2:29" ht="17.2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9"/>
        <v>0</v>
      </c>
      <c r="S16" s="472" t="e">
        <f t="shared" si="10"/>
        <v>#N/A</v>
      </c>
      <c r="T16" s="472" t="e">
        <f t="shared" si="11"/>
        <v>#N/A</v>
      </c>
      <c r="U16" s="297" t="e">
        <f t="shared" si="12"/>
        <v>#N/A</v>
      </c>
      <c r="V16" s="297" t="e">
        <f t="shared" si="13"/>
        <v>#N/A</v>
      </c>
      <c r="W16" s="297" t="e">
        <f t="shared" si="14"/>
        <v>#N/A</v>
      </c>
      <c r="X16" s="297" t="e">
        <f t="shared" si="15"/>
        <v>#N/A</v>
      </c>
      <c r="Y16" s="297" t="e">
        <f t="shared" si="16"/>
        <v>#N/A</v>
      </c>
      <c r="Z16" s="472" t="e">
        <f t="shared" si="17"/>
        <v>#N/A</v>
      </c>
    </row>
    <row r="17" spans="1:26" ht="17.2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9"/>
        <v>0</v>
      </c>
      <c r="S17" s="472" t="e">
        <f t="shared" si="10"/>
        <v>#N/A</v>
      </c>
      <c r="T17" s="472" t="e">
        <f t="shared" si="11"/>
        <v>#N/A</v>
      </c>
      <c r="U17" s="297" t="e">
        <f t="shared" si="12"/>
        <v>#N/A</v>
      </c>
      <c r="V17" s="297" t="e">
        <f t="shared" si="13"/>
        <v>#N/A</v>
      </c>
      <c r="W17" s="297" t="e">
        <f t="shared" si="14"/>
        <v>#N/A</v>
      </c>
      <c r="X17" s="297" t="e">
        <f t="shared" si="15"/>
        <v>#N/A</v>
      </c>
      <c r="Y17" s="297" t="e">
        <f t="shared" si="16"/>
        <v>#N/A</v>
      </c>
      <c r="Z17" s="472" t="e">
        <f t="shared" si="17"/>
        <v>#N/A</v>
      </c>
    </row>
    <row r="18" spans="1:26" ht="17.2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0"/>
        <v>#N/A</v>
      </c>
      <c r="T18" s="472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472" t="e">
        <f t="shared" si="17"/>
        <v>#N/A</v>
      </c>
    </row>
    <row r="19" spans="1:26" ht="17.2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0"/>
        <v>#N/A</v>
      </c>
      <c r="T19" s="472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2" t="e">
        <f t="shared" si="17"/>
        <v>#N/A</v>
      </c>
    </row>
    <row r="20" spans="1:26" ht="17.2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6" ht="17.25" hidden="1" customHeight="1">
      <c r="B21" s="29"/>
      <c r="C21" s="366"/>
      <c r="D21" s="279"/>
      <c r="E21" s="279"/>
      <c r="F21" s="278"/>
      <c r="G21" s="279"/>
      <c r="H21" s="481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6" ht="17.2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6" ht="17.25" customHeight="1" thickBot="1">
      <c r="B23" s="358"/>
      <c r="C23" s="358"/>
      <c r="D23" s="358"/>
      <c r="E23" s="358"/>
      <c r="F23" s="294"/>
      <c r="G23" s="294"/>
      <c r="H23" s="348"/>
      <c r="I23" s="544"/>
      <c r="J23" s="544"/>
      <c r="K23" s="544"/>
      <c r="L23" s="544"/>
      <c r="M23" s="544"/>
      <c r="N23" s="544"/>
      <c r="O23" s="1"/>
      <c r="P23" s="12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7.25" customHeight="1" thickBot="1">
      <c r="B24" s="388" t="s">
        <v>162</v>
      </c>
      <c r="C24" s="388"/>
      <c r="D24" s="545" t="s">
        <v>35</v>
      </c>
      <c r="E24" s="546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7.25" customHeight="1">
      <c r="A25" s="28"/>
      <c r="B25" s="530"/>
      <c r="C25" s="362"/>
      <c r="D25" s="548"/>
      <c r="E25" s="549"/>
      <c r="F25" s="294"/>
      <c r="G25" s="294"/>
      <c r="H25" s="348"/>
      <c r="I25" s="29" t="s">
        <v>6</v>
      </c>
      <c r="J25" s="323">
        <f>AVERAGE(I10:I15)</f>
        <v>99.175181112670842</v>
      </c>
      <c r="K25" s="284">
        <f>COUNTA([3]Brewhouse!$A$441:$A$470)</f>
        <v>30</v>
      </c>
      <c r="L25" s="305">
        <f>AVERAGE([3]Brewhouse!$AU$441:$AU$470)</f>
        <v>98.770846033083728</v>
      </c>
      <c r="M25" s="305">
        <f>AVERAGE([3]Brewhouse!$AU$42:$AU$123,[3]Brewhouse!$AU$125:$AU$188,[3]Brewhouse!$AU$198:$AU$290,[3]Brewhouse!$AU$292:$AU$370,[3]Brewhouse!$AU$372:$AU$439,[3]Brewhouse!$AU$441:$AU$470)</f>
        <v>98.032181037898638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5" customHeight="1">
      <c r="A26" s="28"/>
      <c r="B26" s="531"/>
      <c r="C26" s="362"/>
      <c r="D26" s="550"/>
      <c r="E26" s="536"/>
      <c r="F26" s="294"/>
      <c r="G26" s="294"/>
      <c r="H26" s="348"/>
      <c r="I26" s="33" t="s">
        <v>9</v>
      </c>
      <c r="J26" s="323"/>
      <c r="K26" s="284">
        <f>COUNTA([4]Brewhouse!$A$252:$A$273)</f>
        <v>22</v>
      </c>
      <c r="L26" s="302">
        <f>AVERAGE([4]Brewhouse!$AS$252:$AS$273)</f>
        <v>99.131869947969122</v>
      </c>
      <c r="M26" s="302">
        <f>AVERAGE([4]Brewhouse!$AS$52:$AS$81,[4]Brewhouse!$AS$83:$AS$124,[4]Brewhouse!$AS$134:$AS$177,[4]Brewhouse!$AS$22:$AS$179,[4]Brewhouse!$AS$214:$AS$249,[4]Brewhouse!$AS$252:$AS$273)</f>
        <v>98.053503437205549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4.65" customHeight="1">
      <c r="A27" s="28"/>
      <c r="B27" s="531"/>
      <c r="C27" s="362"/>
      <c r="D27" s="540"/>
      <c r="E27" s="541"/>
      <c r="F27" s="294"/>
      <c r="G27" s="294"/>
      <c r="H27" s="348"/>
      <c r="I27" s="34" t="s">
        <v>12</v>
      </c>
      <c r="J27" s="280"/>
      <c r="K27" s="284">
        <f>COUNTA([5]Brewhouse!$A$62:$A$69)</f>
        <v>8</v>
      </c>
      <c r="L27" s="302">
        <f>AVERAGE([5]Brewhouse!$AU$62:$AU$69)</f>
        <v>95.865325586732524</v>
      </c>
      <c r="M27" s="302">
        <f>AVERAGE([5]Brewhouse!$AU$16:$AU$23,[5]Brewhouse!$AU$25:$AU$32,[5]Brewhouse!$AU$34:$AU$41,[5]Brewhouse!$AU$43:$AU$60,[5]Brewhouse!$AU$62:$AU$69)</f>
        <v>96.726835550404019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4.65" customHeight="1">
      <c r="A28" s="28"/>
      <c r="B28" s="531"/>
      <c r="C28" s="362"/>
      <c r="D28" s="535"/>
      <c r="E28" s="536"/>
      <c r="F28" s="294"/>
      <c r="G28" s="294"/>
      <c r="H28" s="348"/>
      <c r="I28" s="22" t="s">
        <v>33</v>
      </c>
      <c r="J28" s="280"/>
      <c r="K28" s="284"/>
      <c r="L28" s="302"/>
      <c r="M28" s="302">
        <f>AVERAGE([6]Brewhouse!$AV$23:$AV$34,[6]Brewhouse!$AV$36,[6]Brewhouse!$AV$38:$AV$52,[6]Brewhouse!$AV$54:$AV$60,[6]Brewhouse!$AV$62:$AV$68)</f>
        <v>97.579195177204838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4.65" customHeight="1">
      <c r="A29" s="28"/>
      <c r="B29" s="531"/>
      <c r="C29" s="362"/>
      <c r="D29" s="540"/>
      <c r="E29" s="541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31"/>
      <c r="C30" s="362"/>
      <c r="D30" s="535"/>
      <c r="E30" s="536"/>
      <c r="F30" s="417"/>
      <c r="G30" s="294"/>
      <c r="H30" s="348"/>
      <c r="I30" s="36" t="s">
        <v>15</v>
      </c>
      <c r="J30" s="323"/>
      <c r="K30" s="284"/>
      <c r="L30" s="302"/>
      <c r="M30" s="302">
        <f>AVERAGE([7]Brewhouse!$AT$4:$AT$11,[7]Brewhouse!$AT$13:$AT$16)</f>
        <v>91.538375374138752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31"/>
      <c r="C31" s="362"/>
      <c r="D31" s="540"/>
      <c r="E31" s="541"/>
      <c r="F31" s="417"/>
      <c r="G31" s="294"/>
      <c r="H31" s="348"/>
      <c r="I31" s="37" t="s">
        <v>16</v>
      </c>
      <c r="J31" s="323"/>
      <c r="K31" s="284">
        <f>COUNTA([8]Brewhouse!$A$66:$A$73)</f>
        <v>8</v>
      </c>
      <c r="L31" s="302">
        <f>AVERAGE([8]Brewhouse!$AY$66:$AY$73)</f>
        <v>98.225688487824243</v>
      </c>
      <c r="M31" s="302">
        <f>AVERAGE([8]Brewhouse!$AY$5:$AY$14,[8]Brewhouse!$AY$16:$AY$23,[8]Brewhouse!$AY$42,[8]Brewhouse!$AY$44:$AY$51,[8]Brewhouse!$AY$53:$AY$64,[8]Brewhouse!$AY$66:$AY$73)</f>
        <v>97.506811941025575</v>
      </c>
      <c r="N31" s="30">
        <v>98</v>
      </c>
      <c r="O31" s="11"/>
      <c r="P31" s="31" t="s">
        <v>41</v>
      </c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31"/>
      <c r="C32" s="362"/>
      <c r="D32" s="535"/>
      <c r="E32" s="536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31"/>
      <c r="C33" s="349"/>
      <c r="D33" s="540"/>
      <c r="E33" s="541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31"/>
      <c r="C34" s="349"/>
      <c r="D34" s="535"/>
      <c r="E34" s="536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" customHeight="1" thickBot="1">
      <c r="A35" s="28"/>
      <c r="B35" s="531"/>
      <c r="C35" s="349"/>
      <c r="D35" s="548"/>
      <c r="E35" s="549"/>
      <c r="F35" s="294"/>
      <c r="G35" s="294"/>
      <c r="H35" s="348"/>
      <c r="I35" s="1"/>
      <c r="J35" s="39"/>
      <c r="K35" s="404">
        <f>SUM(K25:K34)</f>
        <v>68</v>
      </c>
      <c r="L35" s="405">
        <f>((L25*K25)+(L26*K26)+(L27*K27)+(L28*K28)+(L29*K29)+(K32*L32)+(L30*K30)+(L31*K31)+(L34*K34))/(K35)</f>
        <v>98.481685771239512</v>
      </c>
      <c r="M35" s="405">
        <f>AVERAGE('[9]Jan30th-31st'!$L$42,L35)</f>
        <v>98.154863753540496</v>
      </c>
      <c r="N35" s="4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47"/>
      <c r="C36" s="350"/>
      <c r="D36" s="550"/>
      <c r="E36" s="536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.75" thickBot="1">
      <c r="B37" s="530"/>
      <c r="C37" s="362"/>
      <c r="D37" s="533"/>
      <c r="E37" s="534"/>
      <c r="F37" s="294"/>
      <c r="G37" s="42"/>
      <c r="H37" s="41"/>
      <c r="I37" s="42"/>
      <c r="J37" s="537" t="s">
        <v>129</v>
      </c>
      <c r="K37" s="537"/>
      <c r="L37" s="294"/>
      <c r="M37" s="294"/>
      <c r="N37" s="294"/>
      <c r="O37" s="294"/>
      <c r="P37" s="12"/>
    </row>
    <row r="38" spans="1:56" ht="15.75" thickBot="1">
      <c r="B38" s="531"/>
      <c r="C38" s="362"/>
      <c r="D38" s="535"/>
      <c r="E38" s="536"/>
      <c r="F38" s="294"/>
      <c r="G38" s="42"/>
      <c r="H38" s="42"/>
      <c r="I38" s="42"/>
      <c r="J38" s="292" t="s">
        <v>17</v>
      </c>
      <c r="K38" s="293" t="s">
        <v>170</v>
      </c>
      <c r="L38" s="538" t="s">
        <v>136</v>
      </c>
      <c r="M38" s="538"/>
      <c r="N38" s="539"/>
      <c r="O38" s="294"/>
      <c r="P38" s="12"/>
    </row>
    <row r="39" spans="1:56" ht="15" customHeight="1" thickBot="1">
      <c r="B39" s="531"/>
      <c r="C39" s="349"/>
      <c r="D39" s="540"/>
      <c r="E39" s="541"/>
      <c r="F39" s="294"/>
      <c r="G39" s="42"/>
      <c r="H39" s="42"/>
      <c r="I39" s="42"/>
      <c r="J39" s="287" t="s">
        <v>6</v>
      </c>
      <c r="K39" s="324">
        <v>6</v>
      </c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31"/>
      <c r="C40" s="349"/>
      <c r="D40" s="535"/>
      <c r="E40" s="536"/>
      <c r="F40" s="294"/>
      <c r="G40" s="42"/>
      <c r="H40" s="42"/>
      <c r="I40" s="42"/>
      <c r="J40" s="345" t="s">
        <v>9</v>
      </c>
      <c r="K40" s="324"/>
      <c r="L40" s="344">
        <f>AVERAGE('June 2nd'!K44,'June 3rd'!K52,'June 4th'!K47,'June 5th'!K46,'June 8th'!K48,'June 9th'!K56,'June 15th '!K56,'June 16th'!K50,'June 17th '!K49,'June 18th '!K48,'June 21st'!L39,K49)</f>
        <v>6.1363636363636367</v>
      </c>
      <c r="M40" s="325">
        <f>AVERAGE('[9]Jan30th-31st'!$L$47,L40,'[10]Feb 26th '!$L$39,'[11]Mar 31st'!$L$47,'[12]Apr 30th'!$L$46,'[13]May 29th '!$L$40)</f>
        <v>6.2940382081686437</v>
      </c>
      <c r="N40" s="416">
        <v>9.1999999999999993</v>
      </c>
      <c r="O40" s="294"/>
      <c r="P40" s="12"/>
    </row>
    <row r="41" spans="1:56" ht="15" customHeight="1">
      <c r="B41" s="531"/>
      <c r="C41" s="349"/>
      <c r="D41" s="540"/>
      <c r="E41" s="541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31"/>
      <c r="C42" s="349"/>
      <c r="D42" s="535"/>
      <c r="E42" s="536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31"/>
      <c r="C43" s="349"/>
      <c r="D43" s="540"/>
      <c r="E43" s="541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31"/>
      <c r="C44" s="349"/>
      <c r="D44" s="535"/>
      <c r="E44" s="536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31"/>
      <c r="C45" s="349"/>
      <c r="D45" s="540"/>
      <c r="E45" s="541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32"/>
      <c r="C46" s="350"/>
      <c r="D46" s="542"/>
      <c r="E46" s="543"/>
      <c r="F46" s="294" t="s">
        <v>166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23"/>
      <c r="E47" s="524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6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15" t="s">
        <v>17</v>
      </c>
      <c r="C52" s="515" t="s">
        <v>44</v>
      </c>
      <c r="D52" s="526" t="s">
        <v>45</v>
      </c>
      <c r="E52" s="528" t="s">
        <v>46</v>
      </c>
      <c r="F52" s="521" t="s">
        <v>47</v>
      </c>
      <c r="G52" s="513" t="s">
        <v>48</v>
      </c>
      <c r="H52" s="515" t="s">
        <v>49</v>
      </c>
      <c r="I52" s="515" t="s">
        <v>50</v>
      </c>
      <c r="J52" s="507" t="s">
        <v>28</v>
      </c>
      <c r="K52" s="517" t="s">
        <v>51</v>
      </c>
      <c r="L52" s="519" t="s">
        <v>52</v>
      </c>
      <c r="M52" s="507" t="s">
        <v>53</v>
      </c>
      <c r="N52" s="13"/>
      <c r="O52" s="13"/>
      <c r="P52" s="50"/>
    </row>
    <row r="53" spans="2:57" ht="28.5" customHeight="1" thickTop="1" thickBot="1">
      <c r="B53" s="516"/>
      <c r="C53" s="525"/>
      <c r="D53" s="527"/>
      <c r="E53" s="529"/>
      <c r="F53" s="522"/>
      <c r="G53" s="514"/>
      <c r="H53" s="516"/>
      <c r="I53" s="516"/>
      <c r="J53" s="508"/>
      <c r="K53" s="518"/>
      <c r="L53" s="520"/>
      <c r="M53" s="508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2:57" s="54" customFormat="1" ht="36.75" customHeight="1" thickBot="1">
      <c r="B54" s="480" t="str">
        <f>J39</f>
        <v>CARIB</v>
      </c>
      <c r="C54" s="479">
        <v>46195</v>
      </c>
      <c r="D54" s="445">
        <f>[14]June_2026!$Y$3</f>
        <v>397.46000000000004</v>
      </c>
      <c r="E54" s="443"/>
      <c r="F54" s="444"/>
      <c r="G54" s="445">
        <f>[14]June_2026!$Y$7</f>
        <v>379.8</v>
      </c>
      <c r="H54" s="458"/>
      <c r="I54" s="458"/>
      <c r="J54" s="448" t="s">
        <v>174</v>
      </c>
      <c r="K54" s="449">
        <f>[15]June_2026!$Y$18</f>
        <v>0.66631578947368419</v>
      </c>
      <c r="L54" s="457">
        <f>(((D54+E54)-G54)/(D54+E54))*100</f>
        <v>4.4432144115131145</v>
      </c>
      <c r="M54" s="455" t="s">
        <v>185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[16]January_2019!L5</f>
        <v>0</v>
      </c>
      <c r="AC54" s="57">
        <f>[16]January_2019!M5</f>
        <v>0</v>
      </c>
      <c r="AD54" s="57">
        <f>[16]January_2019!N5</f>
        <v>0</v>
      </c>
      <c r="AE54" s="57">
        <f>[16]January_2019!O5</f>
        <v>0</v>
      </c>
      <c r="AF54" s="57">
        <f>[16]January_2019!P5</f>
        <v>0</v>
      </c>
      <c r="AG54" s="57">
        <f>[16]January_2019!Q5</f>
        <v>0</v>
      </c>
      <c r="AH54" s="57">
        <f>[16]January_2019!R5</f>
        <v>0</v>
      </c>
      <c r="AI54" s="57">
        <f>[16]January_2019!S5</f>
        <v>0</v>
      </c>
      <c r="AJ54" s="57">
        <f>[16]January_2019!T5</f>
        <v>0</v>
      </c>
      <c r="AK54" s="57">
        <f>[16]January_2019!U5</f>
        <v>0</v>
      </c>
      <c r="AL54" s="57">
        <f>[16]January_2019!V5</f>
        <v>0</v>
      </c>
      <c r="AM54" s="57">
        <f>[16]January_2019!W5</f>
        <v>0</v>
      </c>
      <c r="AN54" s="57">
        <f>[16]January_2019!X5</f>
        <v>0</v>
      </c>
      <c r="AO54" s="57">
        <f>[16]January_2019!Y5</f>
        <v>0</v>
      </c>
      <c r="AP54" s="57">
        <f>[16]January_2019!Z5</f>
        <v>0</v>
      </c>
      <c r="AQ54" s="57">
        <f>[16]January_2019!AA5</f>
        <v>0</v>
      </c>
      <c r="AR54" s="57">
        <f>[16]January_2019!AB5</f>
        <v>0</v>
      </c>
      <c r="AS54" s="57">
        <f>[16]January_2019!AC5</f>
        <v>0</v>
      </c>
      <c r="AT54" s="57">
        <f>[16]January_2019!AD5</f>
        <v>0</v>
      </c>
      <c r="AU54" s="57">
        <f>[16]January_2019!AE5</f>
        <v>0</v>
      </c>
      <c r="AV54" s="57">
        <f>[16]January_2019!AF5</f>
        <v>0</v>
      </c>
      <c r="AW54" s="57">
        <f>[16]January_2019!AG5</f>
        <v>0</v>
      </c>
      <c r="AX54" s="277">
        <f>[16]January_2019!AH5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4.25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[16]January_2019!L6</f>
        <v>0</v>
      </c>
      <c r="AC55" s="57">
        <f>[16]January_2019!M6</f>
        <v>0</v>
      </c>
      <c r="AD55" s="57">
        <f>[16]January_2019!N6</f>
        <v>0</v>
      </c>
      <c r="AE55" s="57">
        <f>[16]January_2019!O6</f>
        <v>0</v>
      </c>
      <c r="AF55" s="57">
        <f>[16]January_2019!P6</f>
        <v>0</v>
      </c>
      <c r="AG55" s="57">
        <f>[16]January_2019!Q6</f>
        <v>0</v>
      </c>
      <c r="AH55" s="57">
        <f>[16]January_2019!R6</f>
        <v>0</v>
      </c>
      <c r="AI55" s="57">
        <f>[16]January_2019!S6</f>
        <v>0</v>
      </c>
      <c r="AJ55" s="57">
        <f>[16]January_2019!T6</f>
        <v>0</v>
      </c>
      <c r="AK55" s="57">
        <f>[16]January_2019!U6</f>
        <v>0</v>
      </c>
      <c r="AL55" s="57">
        <f>[16]January_2019!V6</f>
        <v>0</v>
      </c>
      <c r="AM55" s="57">
        <f>[16]January_2019!W6</f>
        <v>0</v>
      </c>
      <c r="AN55" s="57">
        <f>[16]January_2019!X6</f>
        <v>0</v>
      </c>
      <c r="AO55" s="57">
        <f>[16]January_2019!Y6</f>
        <v>0</v>
      </c>
      <c r="AP55" s="57">
        <f>[16]January_2019!Z6</f>
        <v>0</v>
      </c>
      <c r="AQ55" s="57">
        <f>[16]January_2019!AA6</f>
        <v>0</v>
      </c>
      <c r="AR55" s="57">
        <f>[16]January_2019!AB6</f>
        <v>0</v>
      </c>
      <c r="AS55" s="57">
        <f>[16]January_2019!AC6</f>
        <v>0</v>
      </c>
      <c r="AT55" s="57">
        <f>[16]January_2019!AD6</f>
        <v>0</v>
      </c>
      <c r="AU55" s="57">
        <f>[16]January_2019!AE6</f>
        <v>0</v>
      </c>
      <c r="AV55" s="57">
        <f>[16]January_2019!AF6</f>
        <v>0</v>
      </c>
      <c r="AW55" s="57">
        <f>[16]January_2019!AG6</f>
        <v>0</v>
      </c>
      <c r="AX55" s="277">
        <f>[16]January_2019!AH6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[16]January_2019!L7</f>
        <v>285.8</v>
      </c>
      <c r="AC56" s="57">
        <f>[16]January_2019!M7</f>
        <v>508.1</v>
      </c>
      <c r="AD56" s="57">
        <f>[16]January_2019!N7</f>
        <v>0</v>
      </c>
      <c r="AE56" s="57">
        <f>[16]January_2019!O7</f>
        <v>0</v>
      </c>
      <c r="AF56" s="57">
        <f>[16]January_2019!P7</f>
        <v>109.56666666666666</v>
      </c>
      <c r="AG56" s="57">
        <f>[16]January_2019!Q7</f>
        <v>297.64999999999998</v>
      </c>
      <c r="AH56" s="57">
        <f>[16]January_2019!R7</f>
        <v>122.3</v>
      </c>
      <c r="AI56" s="57">
        <f>[16]January_2019!S7</f>
        <v>0</v>
      </c>
      <c r="AJ56" s="57">
        <f>[16]January_2019!T7</f>
        <v>294.7</v>
      </c>
      <c r="AK56" s="57">
        <f>[16]January_2019!U7</f>
        <v>280.5</v>
      </c>
      <c r="AL56" s="57">
        <f>[16]January_2019!V7</f>
        <v>0</v>
      </c>
      <c r="AM56" s="57">
        <f>[16]January_2019!W7</f>
        <v>0</v>
      </c>
      <c r="AN56" s="57">
        <f>[16]January_2019!X7</f>
        <v>188.25</v>
      </c>
      <c r="AO56" s="57">
        <f>[16]January_2019!Y7</f>
        <v>295.7</v>
      </c>
      <c r="AP56" s="57">
        <f>[16]January_2019!Z7</f>
        <v>257.8</v>
      </c>
      <c r="AQ56" s="57">
        <f>[16]January_2019!AA7</f>
        <v>291.2</v>
      </c>
      <c r="AR56" s="57">
        <f>[16]January_2019!AB7</f>
        <v>187</v>
      </c>
      <c r="AS56" s="57">
        <f>[16]January_2019!AC7</f>
        <v>0</v>
      </c>
      <c r="AT56" s="57">
        <f>[16]January_2019!AD7</f>
        <v>0</v>
      </c>
      <c r="AU56" s="57">
        <f>[16]January_2019!AE7</f>
        <v>485.1</v>
      </c>
      <c r="AV56" s="57">
        <f>[16]January_2019!AF7</f>
        <v>171.55</v>
      </c>
      <c r="AW56" s="57">
        <f>[16]January_2019!AG7</f>
        <v>423.8</v>
      </c>
      <c r="AX56" s="277">
        <f>[16]January_2019!AH7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9.5" hidden="1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450000000000003" hidden="1" customHeight="1" thickBot="1">
      <c r="B58" s="480"/>
      <c r="C58" s="479"/>
      <c r="D58" s="442"/>
      <c r="E58" s="443"/>
      <c r="F58" s="444"/>
      <c r="G58" s="445"/>
      <c r="H58" s="458"/>
      <c r="I58" s="458"/>
      <c r="J58" s="448"/>
      <c r="K58" s="45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84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09" t="s">
        <v>55</v>
      </c>
      <c r="C65" s="510"/>
      <c r="D65" s="510"/>
      <c r="E65" s="510"/>
      <c r="F65" s="511"/>
      <c r="G65" s="509" t="s">
        <v>56</v>
      </c>
      <c r="H65" s="510"/>
      <c r="I65" s="510"/>
      <c r="J65" s="511"/>
      <c r="K65" s="509" t="s">
        <v>51</v>
      </c>
      <c r="L65" s="510"/>
      <c r="M65" s="510"/>
      <c r="N65" s="512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/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>
        <f>L54</f>
        <v>4.4432144115131145</v>
      </c>
      <c r="D67" s="76">
        <v>4.4432144115131145</v>
      </c>
      <c r="E67" s="76">
        <v>6.5199879444903228</v>
      </c>
      <c r="F67" s="66">
        <v>4.8</v>
      </c>
      <c r="G67" s="65">
        <f>[14]June_2026!$Y$11</f>
        <v>3.4332646451307456</v>
      </c>
      <c r="H67" s="477">
        <v>3.4332646451307456</v>
      </c>
      <c r="I67" s="477">
        <v>6.2623446265800062</v>
      </c>
      <c r="J67" s="66">
        <v>4.8</v>
      </c>
      <c r="K67" s="67">
        <f>K54</f>
        <v>0.66631578947368419</v>
      </c>
      <c r="L67" s="194">
        <v>0.66631578947368419</v>
      </c>
      <c r="M67" s="194">
        <v>0.51361425978462372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4.7679175715945235</v>
      </c>
      <c r="E68" s="76">
        <v>5.7819966636851206</v>
      </c>
      <c r="F68" s="66">
        <v>4.8</v>
      </c>
      <c r="G68" s="65"/>
      <c r="H68" s="76">
        <v>3.6848557080708271</v>
      </c>
      <c r="I68" s="76">
        <v>5.3967502317348686</v>
      </c>
      <c r="J68" s="66">
        <v>4.8</v>
      </c>
      <c r="K68" s="67"/>
      <c r="L68" s="194">
        <v>1.3231578947368421</v>
      </c>
      <c r="M68" s="194">
        <v>0.71292696983194792</v>
      </c>
      <c r="N68" s="68">
        <v>1</v>
      </c>
      <c r="P68" s="69"/>
    </row>
    <row r="69" spans="2:16" ht="15">
      <c r="B69" s="34" t="s">
        <v>40</v>
      </c>
      <c r="C69" s="65"/>
      <c r="D69" s="76"/>
      <c r="E69" s="76">
        <v>11.435860710768935</v>
      </c>
      <c r="F69" s="66">
        <v>5.5</v>
      </c>
      <c r="G69" s="65"/>
      <c r="H69" s="76"/>
      <c r="I69" s="76">
        <v>12.618851801260744</v>
      </c>
      <c r="J69" s="66">
        <v>5.5</v>
      </c>
      <c r="K69" s="67"/>
      <c r="L69" s="194"/>
      <c r="M69" s="194">
        <v>0.26444407894736838</v>
      </c>
      <c r="N69" s="68">
        <v>1</v>
      </c>
      <c r="P69" s="69"/>
    </row>
    <row r="70" spans="2:16" ht="15">
      <c r="B70" s="22" t="s">
        <v>33</v>
      </c>
      <c r="C70" s="65"/>
      <c r="D70" s="76"/>
      <c r="E70" s="76">
        <v>4.7166249493098773</v>
      </c>
      <c r="F70" s="66">
        <v>3.3</v>
      </c>
      <c r="G70" s="65"/>
      <c r="H70" s="76"/>
      <c r="I70" s="76">
        <v>4.7393662692065543</v>
      </c>
      <c r="J70" s="66">
        <v>3.3</v>
      </c>
      <c r="K70" s="67"/>
      <c r="L70" s="194"/>
      <c r="M70" s="194">
        <v>0.73604010025062661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76"/>
      <c r="D72" s="76"/>
      <c r="E72" s="76">
        <v>5.1541347251672045</v>
      </c>
      <c r="F72" s="483">
        <v>5.5</v>
      </c>
      <c r="G72" s="282"/>
      <c r="H72" s="76"/>
      <c r="I72" s="76">
        <v>7.4989046872874194</v>
      </c>
      <c r="J72" s="66">
        <v>5.5</v>
      </c>
      <c r="K72" s="67"/>
      <c r="L72" s="194"/>
      <c r="M72" s="194">
        <v>1.0201754385964912</v>
      </c>
      <c r="N72" s="68">
        <v>1</v>
      </c>
      <c r="P72" s="69"/>
    </row>
    <row r="73" spans="2:16" ht="15">
      <c r="B73" s="37" t="s">
        <v>16</v>
      </c>
      <c r="C73" s="485"/>
      <c r="D73" s="76">
        <v>3.8064469113610451</v>
      </c>
      <c r="E73" s="76">
        <v>3.7425354424032347</v>
      </c>
      <c r="F73" s="66">
        <v>3.3</v>
      </c>
      <c r="G73" s="282"/>
      <c r="H73" s="76">
        <v>5.1620200172171886</v>
      </c>
      <c r="I73" s="76">
        <v>4.8813740630219202</v>
      </c>
      <c r="J73" s="66">
        <v>3.3</v>
      </c>
      <c r="K73" s="67"/>
      <c r="L73" s="194">
        <v>0.69473684210526321</v>
      </c>
      <c r="M73" s="194">
        <v>0.82729694606887583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4.3323845955970848</v>
      </c>
      <c r="E76" s="76">
        <v>6.2492990872355447</v>
      </c>
      <c r="F76" s="341">
        <v>5.5</v>
      </c>
      <c r="H76" s="76">
        <v>4.2603378813753725</v>
      </c>
      <c r="I76" s="76">
        <v>6.3188820390604539</v>
      </c>
      <c r="J76" s="341">
        <v>5.5</v>
      </c>
      <c r="L76" s="194">
        <v>0.89473684210526316</v>
      </c>
      <c r="M76" s="194">
        <v>0.58655190241686084</v>
      </c>
      <c r="N76" s="386">
        <v>1</v>
      </c>
    </row>
  </sheetData>
  <mergeCells count="51"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1476" priority="104" operator="notBetween">
      <formula>#REF!</formula>
      <formula>#REF!</formula>
    </cfRule>
  </conditionalFormatting>
  <conditionalFormatting sqref="C51">
    <cfRule type="cellIs" dxfId="1475" priority="194" stopIfTrue="1" operator="greaterThan">
      <formula>100</formula>
    </cfRule>
    <cfRule type="cellIs" dxfId="1474" priority="193" stopIfTrue="1" operator="lessThan">
      <formula>96</formula>
    </cfRule>
  </conditionalFormatting>
  <conditionalFormatting sqref="C67:C68">
    <cfRule type="cellIs" dxfId="1473" priority="64" stopIfTrue="1" operator="greaterThan">
      <formula>$F67</formula>
    </cfRule>
    <cfRule type="cellIs" dxfId="1472" priority="65" stopIfTrue="1" operator="lessThanOrEqual">
      <formula>0</formula>
    </cfRule>
    <cfRule type="cellIs" dxfId="1471" priority="66" stopIfTrue="1" operator="greaterThan">
      <formula>$F67</formula>
    </cfRule>
    <cfRule type="cellIs" dxfId="1470" priority="67" stopIfTrue="1" operator="lessThanOrEqual">
      <formula>0</formula>
    </cfRule>
  </conditionalFormatting>
  <conditionalFormatting sqref="C69:C71 C73:C75">
    <cfRule type="cellIs" dxfId="1469" priority="74" stopIfTrue="1" operator="greaterThan">
      <formula>$F72</formula>
    </cfRule>
  </conditionalFormatting>
  <conditionalFormatting sqref="C69:C71">
    <cfRule type="cellIs" dxfId="1468" priority="75" stopIfTrue="1" operator="lessThanOrEqual">
      <formula>0</formula>
    </cfRule>
  </conditionalFormatting>
  <conditionalFormatting sqref="C73:C75">
    <cfRule type="cellIs" dxfId="1467" priority="76" stopIfTrue="1" operator="lessThanOrEqual">
      <formula>0</formula>
    </cfRule>
  </conditionalFormatting>
  <conditionalFormatting sqref="C78:C82">
    <cfRule type="cellIs" dxfId="1466" priority="185" stopIfTrue="1" operator="lessThanOrEqual">
      <formula>0</formula>
    </cfRule>
  </conditionalFormatting>
  <conditionalFormatting sqref="C79:C82">
    <cfRule type="cellIs" dxfId="1465" priority="184" stopIfTrue="1" operator="greaterThan">
      <formula>$F$78</formula>
    </cfRule>
  </conditionalFormatting>
  <conditionalFormatting sqref="C84">
    <cfRule type="cellIs" dxfId="1464" priority="186" stopIfTrue="1" operator="greaterThan">
      <formula>$F$78</formula>
    </cfRule>
    <cfRule type="cellIs" dxfId="1463" priority="187" stopIfTrue="1" operator="lessThanOrEqual">
      <formula>0</formula>
    </cfRule>
  </conditionalFormatting>
  <conditionalFormatting sqref="C72:D72">
    <cfRule type="cellIs" dxfId="1462" priority="62" stopIfTrue="1" operator="greaterThan">
      <formula>$J72</formula>
    </cfRule>
    <cfRule type="cellIs" dxfId="1461" priority="63" stopIfTrue="1" operator="lessThanOrEqual">
      <formula>0</formula>
    </cfRule>
  </conditionalFormatting>
  <conditionalFormatting sqref="C78:D78 D80:D86">
    <cfRule type="cellIs" dxfId="1460" priority="179" stopIfTrue="1" operator="greaterThan">
      <formula>4.5</formula>
    </cfRule>
  </conditionalFormatting>
  <conditionalFormatting sqref="D47:D48">
    <cfRule type="cellIs" dxfId="1459" priority="105" operator="notBetween">
      <formula>#REF!</formula>
      <formula>#REF!</formula>
    </cfRule>
  </conditionalFormatting>
  <conditionalFormatting sqref="D67:D71 D73:D74">
    <cfRule type="cellIs" dxfId="1458" priority="73" stopIfTrue="1" operator="lessThanOrEqual">
      <formula>0</formula>
    </cfRule>
  </conditionalFormatting>
  <conditionalFormatting sqref="D67:D71 D73:D76">
    <cfRule type="cellIs" dxfId="1457" priority="70" stopIfTrue="1" operator="greaterThan">
      <formula>$F67</formula>
    </cfRule>
    <cfRule type="cellIs" dxfId="1456" priority="69" stopIfTrue="1" operator="lessThanOrEqual">
      <formula>0</formula>
    </cfRule>
  </conditionalFormatting>
  <conditionalFormatting sqref="D75:D76">
    <cfRule type="cellIs" dxfId="1455" priority="71" stopIfTrue="1" operator="lessThanOrEqual">
      <formula>0</formula>
    </cfRule>
  </conditionalFormatting>
  <conditionalFormatting sqref="D76">
    <cfRule type="cellIs" dxfId="1454" priority="72" stopIfTrue="1" operator="lessThanOrEqual">
      <formula>0</formula>
    </cfRule>
  </conditionalFormatting>
  <conditionalFormatting sqref="D78 D80:D86">
    <cfRule type="cellIs" dxfId="1453" priority="180" stopIfTrue="1" operator="lessThanOrEqual">
      <formula>0</formula>
    </cfRule>
  </conditionalFormatting>
  <conditionalFormatting sqref="D79">
    <cfRule type="cellIs" dxfId="1452" priority="172" stopIfTrue="1" operator="lessThanOrEqual">
      <formula>0</formula>
    </cfRule>
    <cfRule type="cellIs" dxfId="1451" priority="171" stopIfTrue="1" operator="greaterThan">
      <formula>$F$78</formula>
    </cfRule>
  </conditionalFormatting>
  <conditionalFormatting sqref="E10:E22">
    <cfRule type="cellIs" dxfId="1450" priority="18" operator="lessThan">
      <formula>48</formula>
    </cfRule>
  </conditionalFormatting>
  <conditionalFormatting sqref="E50 E51:F51">
    <cfRule type="cellIs" dxfId="1449" priority="176" stopIfTrue="1" operator="greaterThan">
      <formula>100</formula>
    </cfRule>
  </conditionalFormatting>
  <conditionalFormatting sqref="E51">
    <cfRule type="cellIs" dxfId="1448" priority="174" stopIfTrue="1" operator="greaterThan">
      <formula>100</formula>
    </cfRule>
    <cfRule type="cellIs" dxfId="1447" priority="173" stopIfTrue="1" operator="lessThan">
      <formula>96.8</formula>
    </cfRule>
  </conditionalFormatting>
  <conditionalFormatting sqref="E67:E75">
    <cfRule type="cellIs" dxfId="1446" priority="31" stopIfTrue="1" operator="lessThanOrEqual">
      <formula>0</formula>
    </cfRule>
  </conditionalFormatting>
  <conditionalFormatting sqref="E67:E76">
    <cfRule type="cellIs" dxfId="1445" priority="33" stopIfTrue="1" operator="lessThanOrEqual">
      <formula>0</formula>
    </cfRule>
    <cfRule type="cellIs" dxfId="1444" priority="32" stopIfTrue="1" operator="greaterThan">
      <formula>$F67</formula>
    </cfRule>
  </conditionalFormatting>
  <conditionalFormatting sqref="E76">
    <cfRule type="cellIs" dxfId="1443" priority="34" stopIfTrue="1" operator="lessThanOrEqual">
      <formula>0</formula>
    </cfRule>
  </conditionalFormatting>
  <conditionalFormatting sqref="E78:E86">
    <cfRule type="cellIs" dxfId="1442" priority="165" stopIfTrue="1" operator="greaterThan">
      <formula>4.5</formula>
    </cfRule>
    <cfRule type="cellIs" dxfId="1441" priority="166" stopIfTrue="1" operator="lessThanOrEqual">
      <formula>0</formula>
    </cfRule>
  </conditionalFormatting>
  <conditionalFormatting sqref="E51:F51 E50">
    <cfRule type="cellIs" dxfId="1440" priority="175" stopIfTrue="1" operator="lessThan">
      <formula>96.5</formula>
    </cfRule>
  </conditionalFormatting>
  <conditionalFormatting sqref="F10:F22">
    <cfRule type="cellIs" dxfId="1439" priority="22" operator="greaterThan">
      <formula>60</formula>
    </cfRule>
  </conditionalFormatting>
  <conditionalFormatting sqref="F51">
    <cfRule type="cellIs" dxfId="1438" priority="191" stopIfTrue="1" operator="lessThan">
      <formula>96.8</formula>
    </cfRule>
    <cfRule type="cellIs" dxfId="1437" priority="192" stopIfTrue="1" operator="greaterThan">
      <formula>100</formula>
    </cfRule>
  </conditionalFormatting>
  <conditionalFormatting sqref="F76">
    <cfRule type="cellIs" dxfId="1436" priority="42" stopIfTrue="1" operator="greaterThan">
      <formula>$F76</formula>
    </cfRule>
    <cfRule type="cellIs" dxfId="1435" priority="43" stopIfTrue="1" operator="lessThanOrEqual">
      <formula>0</formula>
    </cfRule>
  </conditionalFormatting>
  <conditionalFormatting sqref="G21:G22">
    <cfRule type="expression" dxfId="1434" priority="19">
      <formula>IF(+(IF(G21&lt;S21,0,IF(G21&gt;T21,0,1)))=0,1)</formula>
    </cfRule>
  </conditionalFormatting>
  <conditionalFormatting sqref="G67:G68">
    <cfRule type="cellIs" dxfId="1433" priority="44" stopIfTrue="1" operator="greaterThan">
      <formula>$F67</formula>
    </cfRule>
    <cfRule type="cellIs" dxfId="1432" priority="45" stopIfTrue="1" operator="lessThanOrEqual">
      <formula>0</formula>
    </cfRule>
  </conditionalFormatting>
  <conditionalFormatting sqref="G67:G70">
    <cfRule type="cellIs" dxfId="1431" priority="27" stopIfTrue="1" operator="lessThanOrEqual">
      <formula>0</formula>
    </cfRule>
    <cfRule type="cellIs" dxfId="1430" priority="26" stopIfTrue="1" operator="greaterThan">
      <formula>$F67</formula>
    </cfRule>
  </conditionalFormatting>
  <conditionalFormatting sqref="G69">
    <cfRule type="cellIs" dxfId="1429" priority="25" stopIfTrue="1" operator="lessThanOrEqual">
      <formula>0</formula>
    </cfRule>
    <cfRule type="cellIs" dxfId="1428" priority="24" stopIfTrue="1" operator="greaterThan">
      <formula>$F69</formula>
    </cfRule>
  </conditionalFormatting>
  <conditionalFormatting sqref="G70">
    <cfRule type="cellIs" dxfId="1427" priority="39" stopIfTrue="1" operator="lessThanOrEqual">
      <formula>0</formula>
    </cfRule>
    <cfRule type="cellIs" dxfId="1426" priority="38" stopIfTrue="1" operator="greaterThan">
      <formula>$F70</formula>
    </cfRule>
  </conditionalFormatting>
  <conditionalFormatting sqref="G71:G75">
    <cfRule type="cellIs" dxfId="1425" priority="46" stopIfTrue="1" operator="greaterThan">
      <formula>$J71</formula>
    </cfRule>
    <cfRule type="cellIs" dxfId="1424" priority="47" stopIfTrue="1" operator="lessThanOrEqual">
      <formula>0</formula>
    </cfRule>
  </conditionalFormatting>
  <conditionalFormatting sqref="G80:G85 C83 C85">
    <cfRule type="cellIs" dxfId="1423" priority="188" stopIfTrue="1" operator="greaterThan">
      <formula>4.5</formula>
    </cfRule>
    <cfRule type="cellIs" dxfId="1422" priority="189" stopIfTrue="1" operator="lessThanOrEqual">
      <formula>0</formula>
    </cfRule>
  </conditionalFormatting>
  <conditionalFormatting sqref="G10:H20 H21:H22">
    <cfRule type="expression" dxfId="1421" priority="21">
      <formula>IF(+(IF(G10&lt;#REF!,0,IF(G10&gt;#REF!,0,1)))=0,1)</formula>
    </cfRule>
  </conditionalFormatting>
  <conditionalFormatting sqref="G79:H79">
    <cfRule type="cellIs" dxfId="1420" priority="170" stopIfTrue="1" operator="lessThanOrEqual">
      <formula>0</formula>
    </cfRule>
    <cfRule type="cellIs" dxfId="1419" priority="169" stopIfTrue="1" operator="greaterThan">
      <formula>$F$78</formula>
    </cfRule>
  </conditionalFormatting>
  <conditionalFormatting sqref="H36:H37 H50">
    <cfRule type="cellIs" dxfId="1418" priority="167" stopIfTrue="1" operator="greaterThan">
      <formula>0</formula>
    </cfRule>
  </conditionalFormatting>
  <conditionalFormatting sqref="H54">
    <cfRule type="cellIs" dxfId="1417" priority="49" stopIfTrue="1" operator="lessThanOrEqual">
      <formula>0</formula>
    </cfRule>
    <cfRule type="cellIs" dxfId="1416" priority="60" stopIfTrue="1" operator="greaterThan">
      <formula>$F$68</formula>
    </cfRule>
    <cfRule type="cellIs" dxfId="1415" priority="59" stopIfTrue="1" operator="lessThanOrEqual">
      <formula>0</formula>
    </cfRule>
    <cfRule type="cellIs" dxfId="1414" priority="58" stopIfTrue="1" operator="greaterThan">
      <formula>$F$70</formula>
    </cfRule>
    <cfRule type="cellIs" dxfId="1413" priority="50" stopIfTrue="1" operator="greaterThan">
      <formula>$F$67</formula>
    </cfRule>
  </conditionalFormatting>
  <conditionalFormatting sqref="H54:H56">
    <cfRule type="cellIs" dxfId="1412" priority="61" stopIfTrue="1" operator="lessThanOrEqual">
      <formula>0</formula>
    </cfRule>
  </conditionalFormatting>
  <conditionalFormatting sqref="H55:H56">
    <cfRule type="cellIs" dxfId="1411" priority="86" stopIfTrue="1" operator="lessThanOrEqual">
      <formula>0</formula>
    </cfRule>
    <cfRule type="cellIs" dxfId="1410" priority="87" stopIfTrue="1" operator="greaterThan">
      <formula>$F$68</formula>
    </cfRule>
    <cfRule type="cellIs" dxfId="1409" priority="77" stopIfTrue="1" operator="greaterThan">
      <formula>$F$67</formula>
    </cfRule>
    <cfRule type="cellIs" dxfId="1408" priority="85" stopIfTrue="1" operator="greaterThan">
      <formula>$F$70</formula>
    </cfRule>
  </conditionalFormatting>
  <conditionalFormatting sqref="H55:H58">
    <cfRule type="cellIs" dxfId="1407" priority="88" stopIfTrue="1" operator="lessThanOrEqual">
      <formula>0</formula>
    </cfRule>
  </conditionalFormatting>
  <conditionalFormatting sqref="H57:H58">
    <cfRule type="cellIs" dxfId="1406" priority="101" stopIfTrue="1" operator="greaterThan">
      <formula>$F$68</formula>
    </cfRule>
    <cfRule type="cellIs" dxfId="1405" priority="102" stopIfTrue="1" operator="lessThanOrEqual">
      <formula>0</formula>
    </cfRule>
    <cfRule type="cellIs" dxfId="1404" priority="99" stopIfTrue="1" operator="greaterThan">
      <formula>$F$70</formula>
    </cfRule>
    <cfRule type="cellIs" dxfId="1403" priority="91" stopIfTrue="1" operator="greaterThan">
      <formula>$F$67</formula>
    </cfRule>
    <cfRule type="cellIs" dxfId="1402" priority="100" stopIfTrue="1" operator="lessThanOrEqual">
      <formula>0</formula>
    </cfRule>
  </conditionalFormatting>
  <conditionalFormatting sqref="H59:H60">
    <cfRule type="cellIs" dxfId="1401" priority="138" stopIfTrue="1" operator="greaterThan">
      <formula>$F$22</formula>
    </cfRule>
    <cfRule type="cellIs" dxfId="1400" priority="139" stopIfTrue="1" operator="lessThanOrEqual">
      <formula>0</formula>
    </cfRule>
    <cfRule type="cellIs" dxfId="1399" priority="130" stopIfTrue="1" operator="greaterThan">
      <formula>#REF!</formula>
    </cfRule>
    <cfRule type="cellIs" dxfId="1398" priority="129" stopIfTrue="1" operator="lessThanOrEqual">
      <formula>0</formula>
    </cfRule>
    <cfRule type="cellIs" dxfId="1397" priority="140" stopIfTrue="1" operator="greaterThan">
      <formula>#REF!</formula>
    </cfRule>
    <cfRule type="cellIs" dxfId="1396" priority="141" stopIfTrue="1" operator="lessThanOrEqual">
      <formula>0</formula>
    </cfRule>
  </conditionalFormatting>
  <conditionalFormatting sqref="H61">
    <cfRule type="cellIs" dxfId="1395" priority="152" stopIfTrue="1" operator="greaterThan">
      <formula>$F$38</formula>
    </cfRule>
    <cfRule type="cellIs" dxfId="1394" priority="144" stopIfTrue="1" operator="greaterThan">
      <formula>$F$35</formula>
    </cfRule>
    <cfRule type="cellIs" dxfId="1393" priority="143" stopIfTrue="1" operator="lessThanOrEqual">
      <formula>0</formula>
    </cfRule>
    <cfRule type="cellIs" dxfId="1392" priority="154" stopIfTrue="1" operator="greaterThan">
      <formula>$F$36</formula>
    </cfRule>
    <cfRule type="cellIs" dxfId="1391" priority="155" stopIfTrue="1" operator="lessThanOrEqual">
      <formula>0</formula>
    </cfRule>
    <cfRule type="cellIs" dxfId="1390" priority="153" stopIfTrue="1" operator="lessThanOrEqual">
      <formula>0</formula>
    </cfRule>
  </conditionalFormatting>
  <conditionalFormatting sqref="H62:H63">
    <cfRule type="cellIs" dxfId="1389" priority="126" stopIfTrue="1" operator="greaterThan">
      <formula>#REF!</formula>
    </cfRule>
    <cfRule type="cellIs" dxfId="1388" priority="125" stopIfTrue="1" operator="lessThanOrEqual">
      <formula>0</formula>
    </cfRule>
    <cfRule type="cellIs" dxfId="1387" priority="116" stopIfTrue="1" operator="greaterThan">
      <formula>#REF!</formula>
    </cfRule>
    <cfRule type="cellIs" dxfId="1386" priority="115" stopIfTrue="1" operator="lessThanOrEqual">
      <formula>0</formula>
    </cfRule>
    <cfRule type="cellIs" dxfId="1385" priority="124" stopIfTrue="1" operator="greaterThan">
      <formula>$F$22</formula>
    </cfRule>
    <cfRule type="cellIs" dxfId="1384" priority="127" stopIfTrue="1" operator="lessThanOrEqual">
      <formula>0</formula>
    </cfRule>
  </conditionalFormatting>
  <conditionalFormatting sqref="H78 H80:H86">
    <cfRule type="cellIs" dxfId="1383" priority="181" stopIfTrue="1" operator="greaterThan">
      <formula>4.5</formula>
    </cfRule>
    <cfRule type="cellIs" dxfId="1382" priority="182" stopIfTrue="1" operator="lessThanOrEqual">
      <formula>0</formula>
    </cfRule>
  </conditionalFormatting>
  <conditionalFormatting sqref="H54:I54">
    <cfRule type="cellIs" dxfId="1381" priority="51" stopIfTrue="1" operator="lessThanOrEqual">
      <formula>0</formula>
    </cfRule>
  </conditionalFormatting>
  <conditionalFormatting sqref="H54:I58">
    <cfRule type="cellIs" dxfId="1380" priority="48" stopIfTrue="1" operator="greaterThan">
      <formula>$F$69</formula>
    </cfRule>
  </conditionalFormatting>
  <conditionalFormatting sqref="H55:I56">
    <cfRule type="cellIs" dxfId="1379" priority="78" stopIfTrue="1" operator="lessThanOrEqual">
      <formula>0</formula>
    </cfRule>
  </conditionalFormatting>
  <conditionalFormatting sqref="H57:I58">
    <cfRule type="cellIs" dxfId="1378" priority="92" stopIfTrue="1" operator="lessThanOrEqual">
      <formula>0</formula>
    </cfRule>
  </conditionalFormatting>
  <conditionalFormatting sqref="H59:I60">
    <cfRule type="cellIs" dxfId="1377" priority="128" stopIfTrue="1" operator="greaterThan">
      <formula>#REF!</formula>
    </cfRule>
    <cfRule type="cellIs" dxfId="1376" priority="131" stopIfTrue="1" operator="lessThanOrEqual">
      <formula>0</formula>
    </cfRule>
  </conditionalFormatting>
  <conditionalFormatting sqref="H61:I61">
    <cfRule type="cellIs" dxfId="1375" priority="145" stopIfTrue="1" operator="lessThanOrEqual">
      <formula>0</formula>
    </cfRule>
    <cfRule type="cellIs" dxfId="1374" priority="142" stopIfTrue="1" operator="greaterThan">
      <formula>$F$37</formula>
    </cfRule>
  </conditionalFormatting>
  <conditionalFormatting sqref="H62:I63">
    <cfRule type="cellIs" dxfId="1373" priority="117" stopIfTrue="1" operator="lessThanOrEqual">
      <formula>0</formula>
    </cfRule>
    <cfRule type="cellIs" dxfId="1372" priority="114" stopIfTrue="1" operator="greaterThan">
      <formula>#REF!</formula>
    </cfRule>
  </conditionalFormatting>
  <conditionalFormatting sqref="H67:I74">
    <cfRule type="cellIs" dxfId="1371" priority="30" stopIfTrue="1" operator="lessThanOrEqual">
      <formula>0</formula>
    </cfRule>
    <cfRule type="cellIs" dxfId="1370" priority="29" stopIfTrue="1" operator="greaterThan">
      <formula>$J67</formula>
    </cfRule>
  </conditionalFormatting>
  <conditionalFormatting sqref="H75:I75">
    <cfRule type="cellIs" dxfId="1369" priority="37" operator="greaterThan">
      <formula>5.3</formula>
    </cfRule>
  </conditionalFormatting>
  <conditionalFormatting sqref="H76:I76">
    <cfRule type="cellIs" dxfId="1368" priority="35" stopIfTrue="1" operator="greaterThan">
      <formula>$J76</formula>
    </cfRule>
    <cfRule type="cellIs" dxfId="1367" priority="36" stopIfTrue="1" operator="lessThanOrEqual">
      <formula>0</formula>
    </cfRule>
  </conditionalFormatting>
  <conditionalFormatting sqref="I54">
    <cfRule type="cellIs" dxfId="1366" priority="52" stopIfTrue="1" operator="greaterThan">
      <formula>$F$67</formula>
    </cfRule>
    <cfRule type="cellIs" dxfId="1365" priority="53" stopIfTrue="1" operator="lessThanOrEqual">
      <formula>0</formula>
    </cfRule>
    <cfRule type="cellIs" dxfId="1364" priority="54" stopIfTrue="1" operator="greaterThan">
      <formula>$F$69</formula>
    </cfRule>
    <cfRule type="cellIs" dxfId="1363" priority="55" stopIfTrue="1" operator="lessThanOrEqual">
      <formula>0</formula>
    </cfRule>
    <cfRule type="cellIs" dxfId="1362" priority="57" stopIfTrue="1" operator="lessThanOrEqual">
      <formula>0</formula>
    </cfRule>
    <cfRule type="cellIs" dxfId="1361" priority="56" stopIfTrue="1" operator="greaterThan">
      <formula>$F$67</formula>
    </cfRule>
  </conditionalFormatting>
  <conditionalFormatting sqref="I55:I56">
    <cfRule type="cellIs" dxfId="1360" priority="83" stopIfTrue="1" operator="greaterThan">
      <formula>$F$67</formula>
    </cfRule>
    <cfRule type="cellIs" dxfId="1359" priority="82" stopIfTrue="1" operator="lessThanOrEqual">
      <formula>0</formula>
    </cfRule>
    <cfRule type="cellIs" dxfId="1358" priority="80" stopIfTrue="1" operator="lessThanOrEqual">
      <formula>0</formula>
    </cfRule>
    <cfRule type="cellIs" dxfId="1357" priority="79" stopIfTrue="1" operator="greaterThan">
      <formula>$F$67</formula>
    </cfRule>
    <cfRule type="cellIs" dxfId="1356" priority="84" stopIfTrue="1" operator="lessThanOrEqual">
      <formula>0</formula>
    </cfRule>
    <cfRule type="cellIs" dxfId="1355" priority="81" stopIfTrue="1" operator="greaterThan">
      <formula>$F$69</formula>
    </cfRule>
  </conditionalFormatting>
  <conditionalFormatting sqref="I57:I58">
    <cfRule type="cellIs" dxfId="1354" priority="93" stopIfTrue="1" operator="greaterThan">
      <formula>$F$67</formula>
    </cfRule>
    <cfRule type="cellIs" dxfId="1353" priority="94" stopIfTrue="1" operator="lessThanOrEqual">
      <formula>0</formula>
    </cfRule>
    <cfRule type="cellIs" dxfId="1352" priority="98" stopIfTrue="1" operator="lessThanOrEqual">
      <formula>0</formula>
    </cfRule>
    <cfRule type="cellIs" dxfId="1351" priority="95" stopIfTrue="1" operator="greaterThan">
      <formula>$F$69</formula>
    </cfRule>
    <cfRule type="cellIs" dxfId="1350" priority="96" stopIfTrue="1" operator="lessThanOrEqual">
      <formula>0</formula>
    </cfRule>
    <cfRule type="cellIs" dxfId="1349" priority="97" stopIfTrue="1" operator="greaterThan">
      <formula>$F$67</formula>
    </cfRule>
  </conditionalFormatting>
  <conditionalFormatting sqref="I59:I60">
    <cfRule type="cellIs" dxfId="1348" priority="132" stopIfTrue="1" operator="greaterThan">
      <formula>#REF!</formula>
    </cfRule>
    <cfRule type="cellIs" dxfId="1347" priority="133" stopIfTrue="1" operator="lessThanOrEqual">
      <formula>0</formula>
    </cfRule>
    <cfRule type="cellIs" dxfId="1346" priority="134" stopIfTrue="1" operator="greaterThan">
      <formula>#REF!</formula>
    </cfRule>
    <cfRule type="cellIs" dxfId="1345" priority="135" stopIfTrue="1" operator="lessThanOrEqual">
      <formula>0</formula>
    </cfRule>
    <cfRule type="cellIs" dxfId="1344" priority="136" stopIfTrue="1" operator="greaterThan">
      <formula>#REF!</formula>
    </cfRule>
    <cfRule type="cellIs" dxfId="1343" priority="137" stopIfTrue="1" operator="lessThanOrEqual">
      <formula>0</formula>
    </cfRule>
  </conditionalFormatting>
  <conditionalFormatting sqref="I61">
    <cfRule type="cellIs" dxfId="1342" priority="150" stopIfTrue="1" operator="greaterThan">
      <formula>$F$35</formula>
    </cfRule>
    <cfRule type="cellIs" dxfId="1341" priority="146" stopIfTrue="1" operator="greaterThan">
      <formula>$F$35</formula>
    </cfRule>
    <cfRule type="cellIs" dxfId="1340" priority="147" stopIfTrue="1" operator="lessThanOrEqual">
      <formula>0</formula>
    </cfRule>
    <cfRule type="cellIs" dxfId="1339" priority="148" stopIfTrue="1" operator="greaterThan">
      <formula>$F$37</formula>
    </cfRule>
    <cfRule type="cellIs" dxfId="1338" priority="149" stopIfTrue="1" operator="lessThanOrEqual">
      <formula>0</formula>
    </cfRule>
    <cfRule type="cellIs" dxfId="1337" priority="151" stopIfTrue="1" operator="lessThanOrEqual">
      <formula>0</formula>
    </cfRule>
  </conditionalFormatting>
  <conditionalFormatting sqref="I62:I63">
    <cfRule type="cellIs" dxfId="1336" priority="120" stopIfTrue="1" operator="greaterThan">
      <formula>#REF!</formula>
    </cfRule>
    <cfRule type="cellIs" dxfId="1335" priority="122" stopIfTrue="1" operator="greaterThan">
      <formula>#REF!</formula>
    </cfRule>
    <cfRule type="cellIs" dxfId="1334" priority="123" stopIfTrue="1" operator="lessThanOrEqual">
      <formula>0</formula>
    </cfRule>
    <cfRule type="cellIs" dxfId="1333" priority="121" stopIfTrue="1" operator="lessThanOrEqual">
      <formula>0</formula>
    </cfRule>
    <cfRule type="cellIs" dxfId="1332" priority="118" stopIfTrue="1" operator="greaterThan">
      <formula>#REF!</formula>
    </cfRule>
    <cfRule type="cellIs" dxfId="1331" priority="119" stopIfTrue="1" operator="lessThanOrEqual">
      <formula>0</formula>
    </cfRule>
  </conditionalFormatting>
  <conditionalFormatting sqref="I78:I86">
    <cfRule type="cellIs" dxfId="1330" priority="178" stopIfTrue="1" operator="lessThanOrEqual">
      <formula>0</formula>
    </cfRule>
    <cfRule type="cellIs" dxfId="1329" priority="177" stopIfTrue="1" operator="greaterThan">
      <formula>4.5</formula>
    </cfRule>
  </conditionalFormatting>
  <conditionalFormatting sqref="I10:J22">
    <cfRule type="cellIs" dxfId="1328" priority="12" operator="lessThan">
      <formula>97.9</formula>
    </cfRule>
  </conditionalFormatting>
  <conditionalFormatting sqref="J25:J26">
    <cfRule type="cellIs" dxfId="1327" priority="90" operator="lessThan">
      <formula>97.95</formula>
    </cfRule>
  </conditionalFormatting>
  <conditionalFormatting sqref="J27">
    <cfRule type="cellIs" dxfId="1326" priority="159" operator="lessThan">
      <formula>98</formula>
    </cfRule>
    <cfRule type="cellIs" dxfId="1325" priority="157" stopIfTrue="1" operator="lessThan">
      <formula>96.8</formula>
    </cfRule>
    <cfRule type="cellIs" dxfId="1324" priority="158" stopIfTrue="1" operator="greaterThan">
      <formula>100</formula>
    </cfRule>
  </conditionalFormatting>
  <conditionalFormatting sqref="J27:J29">
    <cfRule type="cellIs" dxfId="1323" priority="156" operator="lessThan">
      <formula>97.4</formula>
    </cfRule>
  </conditionalFormatting>
  <conditionalFormatting sqref="J30:J31">
    <cfRule type="cellIs" dxfId="1322" priority="160" operator="lessThan">
      <formula>98</formula>
    </cfRule>
  </conditionalFormatting>
  <conditionalFormatting sqref="J32:J33">
    <cfRule type="cellIs" dxfId="1321" priority="161" stopIfTrue="1" operator="lessThan">
      <formula>96.8</formula>
    </cfRule>
    <cfRule type="cellIs" dxfId="1320" priority="162" stopIfTrue="1" operator="greaterThan">
      <formula>100</formula>
    </cfRule>
  </conditionalFormatting>
  <conditionalFormatting sqref="J32:J34">
    <cfRule type="cellIs" dxfId="1319" priority="163" operator="lessThan">
      <formula>98</formula>
    </cfRule>
  </conditionalFormatting>
  <conditionalFormatting sqref="J63">
    <cfRule type="cellIs" dxfId="1318" priority="107" stopIfTrue="1" operator="lessThanOrEqual">
      <formula>0</formula>
    </cfRule>
    <cfRule type="cellIs" dxfId="1317" priority="109" stopIfTrue="1" operator="lessThanOrEqual">
      <formula>0</formula>
    </cfRule>
    <cfRule type="cellIs" dxfId="1316" priority="110" stopIfTrue="1" operator="greaterThan">
      <formula>#REF!</formula>
    </cfRule>
    <cfRule type="cellIs" dxfId="1315" priority="111" stopIfTrue="1" operator="lessThanOrEqual">
      <formula>0</formula>
    </cfRule>
    <cfRule type="cellIs" dxfId="1314" priority="113" stopIfTrue="1" operator="lessThanOrEqual">
      <formula>0</formula>
    </cfRule>
    <cfRule type="cellIs" dxfId="1313" priority="108" stopIfTrue="1" operator="greaterThan">
      <formula>#REF!</formula>
    </cfRule>
    <cfRule type="cellIs" dxfId="1312" priority="106" stopIfTrue="1" operator="greaterThan">
      <formula>#REF!</formula>
    </cfRule>
    <cfRule type="cellIs" dxfId="1311" priority="112" stopIfTrue="1" operator="greaterThan">
      <formula>#REF!</formula>
    </cfRule>
  </conditionalFormatting>
  <conditionalFormatting sqref="J76">
    <cfRule type="cellIs" dxfId="1310" priority="41" stopIfTrue="1" operator="lessThanOrEqual">
      <formula>0</formula>
    </cfRule>
    <cfRule type="cellIs" dxfId="1309" priority="40" stopIfTrue="1" operator="greaterThan">
      <formula>$F76</formula>
    </cfRule>
  </conditionalFormatting>
  <conditionalFormatting sqref="K10:K22">
    <cfRule type="cellIs" dxfId="1308" priority="14" operator="lessThan">
      <formula>4</formula>
    </cfRule>
    <cfRule type="cellIs" dxfId="1307" priority="13" operator="greaterThan">
      <formula>6</formula>
    </cfRule>
    <cfRule type="cellIs" dxfId="1306" priority="15" operator="greaterThan">
      <formula>6.4</formula>
    </cfRule>
  </conditionalFormatting>
  <conditionalFormatting sqref="K54:K63">
    <cfRule type="cellIs" dxfId="1305" priority="89" stopIfTrue="1" operator="lessThan">
      <formula>100%</formula>
    </cfRule>
  </conditionalFormatting>
  <conditionalFormatting sqref="K67:K75">
    <cfRule type="cellIs" dxfId="1304" priority="28" stopIfTrue="1" operator="lessThan">
      <formula>100%</formula>
    </cfRule>
  </conditionalFormatting>
  <conditionalFormatting sqref="K78:K83">
    <cfRule type="cellIs" dxfId="1303" priority="183" stopIfTrue="1" operator="lessThan">
      <formula>100%</formula>
    </cfRule>
  </conditionalFormatting>
  <conditionalFormatting sqref="K85:K86">
    <cfRule type="cellIs" dxfId="1302" priority="190" stopIfTrue="1" operator="lessThan">
      <formula>100%</formula>
    </cfRule>
  </conditionalFormatting>
  <conditionalFormatting sqref="L10:L22">
    <cfRule type="cellIs" dxfId="1301" priority="17" operator="greaterThan">
      <formula>65</formula>
    </cfRule>
    <cfRule type="cellIs" dxfId="1300" priority="16" operator="between">
      <formula>61</formula>
      <formula>65</formula>
    </cfRule>
  </conditionalFormatting>
  <conditionalFormatting sqref="L25:M36">
    <cfRule type="cellIs" dxfId="1299" priority="103" operator="lessThan">
      <formula>97.95</formula>
    </cfRule>
  </conditionalFormatting>
  <conditionalFormatting sqref="L40:N40">
    <cfRule type="cellIs" dxfId="1298" priority="68" operator="notEqual">
      <formula>#REF!</formula>
    </cfRule>
  </conditionalFormatting>
  <conditionalFormatting sqref="L67:N76">
    <cfRule type="cellIs" dxfId="1297" priority="23" stopIfTrue="1" operator="lessThan">
      <formula>100%</formula>
    </cfRule>
  </conditionalFormatting>
  <conditionalFormatting sqref="L78:N86">
    <cfRule type="cellIs" dxfId="1296" priority="168" stopIfTrue="1" operator="lessThan">
      <formula>100%</formula>
    </cfRule>
  </conditionalFormatting>
  <conditionalFormatting sqref="M10:N22">
    <cfRule type="expression" dxfId="1295" priority="20">
      <formula>IF(+(IF(M10&lt;#REF!,0,IF(M10&gt;#REF!,0,1)))=0,1)</formula>
    </cfRule>
  </conditionalFormatting>
  <conditionalFormatting sqref="P6">
    <cfRule type="cellIs" dxfId="1294" priority="164" operator="greaterThanOrEqual">
      <formula>19</formula>
    </cfRule>
  </conditionalFormatting>
  <dataValidations count="1">
    <dataValidation type="list" allowBlank="1" showInputMessage="1" showErrorMessage="1" sqref="R8" xr:uid="{B90BAC07-F442-486B-A62B-70CEEFEBE10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7025-420F-473A-AF4A-5A561C2026B0}">
  <sheetPr>
    <pageSetUpPr fitToPage="1"/>
  </sheetPr>
  <dimension ref="A1:BE72"/>
  <sheetViews>
    <sheetView topLeftCell="A4" zoomScale="70" zoomScaleNormal="70" workbookViewId="0">
      <selection activeCell="E10" sqref="E10:E1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95.8554687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46197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[3]Brewhouse!$A471</f>
        <v>CA425</v>
      </c>
      <c r="D10" s="279">
        <f>[3]Brewhouse!$AF471</f>
        <v>48.8</v>
      </c>
      <c r="E10" s="279">
        <f>[3]Brewhouse!$AI471</f>
        <v>50.3</v>
      </c>
      <c r="F10" s="278">
        <f>[3]Brewhouse!$V471</f>
        <v>61</v>
      </c>
      <c r="G10" s="279">
        <f>[3]Brewhouse!AG471</f>
        <v>11.9</v>
      </c>
      <c r="H10" s="396"/>
      <c r="I10" s="368">
        <f>[3]Brewhouse!$AU471</f>
        <v>99.412009557795542</v>
      </c>
      <c r="J10" s="368">
        <f>[3]Brewhouse!$AV471</f>
        <v>100.54692672871927</v>
      </c>
      <c r="K10" s="281">
        <f>[3]Brewhouse!$Q471</f>
        <v>11.127541589648803</v>
      </c>
      <c r="L10" s="276">
        <f>[3]Brewhouse!$P471</f>
        <v>60</v>
      </c>
      <c r="M10" s="397">
        <f>[3]Brewhouse!$U471-[3]Brewhouse!$T471</f>
        <v>0.11111111111111094</v>
      </c>
      <c r="N10" s="370">
        <f>[3]Brewhouse!$Z471</f>
        <v>0.52083333333333326</v>
      </c>
      <c r="O10" s="420" t="str">
        <f>[3]Brewhouse!$AX471</f>
        <v>K. Benjamin</v>
      </c>
      <c r="P10" s="418" t="s">
        <v>187</v>
      </c>
      <c r="R10" s="277" t="str">
        <f t="shared" ref="R10:R12" si="0">B10</f>
        <v>CARIB</v>
      </c>
      <c r="S10" s="472">
        <f t="shared" ref="S10:S12" si="1">VLOOKUP($B10,$R$3:$X$9,2,FALSE)</f>
        <v>11.6</v>
      </c>
      <c r="T10" s="472">
        <f t="shared" ref="T10:T12" si="2">VLOOKUP($B10,$R$3:$X$9,3,FALSE)</f>
        <v>12</v>
      </c>
      <c r="U10" s="297">
        <f t="shared" ref="U10:U12" si="3">VLOOKUP($B10,$R$3:$X$9,4,FALSE)</f>
        <v>0</v>
      </c>
      <c r="V10" s="297">
        <f t="shared" ref="V10:V12" si="4">VLOOKUP($B10,$R$3:$X$9,5,FALSE)</f>
        <v>0.118055555555556</v>
      </c>
      <c r="W10" s="297">
        <f t="shared" ref="W10:W12" si="5">VLOOKUP($B10,$R$3:$X$9,6,FALSE)</f>
        <v>0.22569444444444445</v>
      </c>
      <c r="X10" s="297">
        <f t="shared" ref="X10:X12" si="6">VLOOKUP($B10,$R$3:$X$9,7,FALSE)</f>
        <v>0.2638888888888889</v>
      </c>
      <c r="Y10" s="297">
        <f t="shared" ref="Y10:Y12" si="7">VLOOKUP($B10,$R$3:$Z$9,8,FALSE)</f>
        <v>0</v>
      </c>
      <c r="Z10" s="472">
        <f t="shared" ref="Z10:Z12" si="8">VLOOKUP($B10,$R$3:$Z$9,9,FALSE)</f>
        <v>60</v>
      </c>
    </row>
    <row r="11" spans="2:29" ht="17.25" customHeight="1">
      <c r="B11" s="29" t="s">
        <v>6</v>
      </c>
      <c r="C11" s="366" t="str">
        <f>[3]Brewhouse!$A472</f>
        <v>CA426</v>
      </c>
      <c r="D11" s="279">
        <f>[3]Brewhouse!$AF472</f>
        <v>50.4</v>
      </c>
      <c r="E11" s="279">
        <f>[3]Brewhouse!$AI472</f>
        <v>52.2</v>
      </c>
      <c r="F11" s="278">
        <f>[3]Brewhouse!$V472</f>
        <v>64</v>
      </c>
      <c r="G11" s="506">
        <f>[3]Brewhouse!AG472</f>
        <v>11.4</v>
      </c>
      <c r="H11" s="396"/>
      <c r="I11" s="368">
        <f>[3]Brewhouse!$AU472</f>
        <v>98.242593755797657</v>
      </c>
      <c r="J11" s="368">
        <f>[3]Brewhouse!$AV472</f>
        <v>99.364382753022824</v>
      </c>
      <c r="K11" s="281">
        <f>[3]Brewhouse!$Q472</f>
        <v>10.388170055452859</v>
      </c>
      <c r="L11" s="276">
        <f>[3]Brewhouse!$P472</f>
        <v>60</v>
      </c>
      <c r="M11" s="397">
        <f>[3]Brewhouse!$U472-[3]Brewhouse!$T472</f>
        <v>0.11388888888888893</v>
      </c>
      <c r="N11" s="370">
        <f>[3]Brewhouse!$Z472</f>
        <v>0.24722222222222223</v>
      </c>
      <c r="O11" s="420" t="str">
        <f>[3]Brewhouse!$AX472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420"/>
      <c r="P12" s="418"/>
      <c r="R12" s="277">
        <f t="shared" si="0"/>
        <v>0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2:29" ht="17.25" customHeight="1">
      <c r="B13" s="33" t="s">
        <v>9</v>
      </c>
      <c r="C13" s="366" t="str">
        <f>[4]Brewhouse!$A274</f>
        <v>ST219</v>
      </c>
      <c r="D13" s="279">
        <f>[4]Brewhouse!$AB274</f>
        <v>63.1</v>
      </c>
      <c r="E13" s="279">
        <f>[4]Brewhouse!$AG274</f>
        <v>48.3</v>
      </c>
      <c r="F13" s="278">
        <f>[4]Brewhouse!$V274</f>
        <v>55</v>
      </c>
      <c r="G13" s="279">
        <f>[4]Brewhouse!$AE274</f>
        <v>11.9</v>
      </c>
      <c r="H13" s="396"/>
      <c r="I13" s="368">
        <f>[4]Brewhouse!$AS274</f>
        <v>96.548828345484281</v>
      </c>
      <c r="J13" s="368">
        <f>[4]Brewhouse!$AT274</f>
        <v>97.467585202101588</v>
      </c>
      <c r="K13" s="281">
        <f>[4]Brewhouse!$Q274</f>
        <v>25.475435816164822</v>
      </c>
      <c r="L13" s="276">
        <f>[4]Brewhouse!$P274</f>
        <v>66</v>
      </c>
      <c r="M13" s="374">
        <f>[4]Brewhouse!$U274-[4]Brewhouse!$T274</f>
        <v>0.12013888888888891</v>
      </c>
      <c r="N13" s="370">
        <f>[4]Brewhouse!$AW274</f>
        <v>0.26250000000000007</v>
      </c>
      <c r="O13" s="420" t="str">
        <f>[4]Brewhouse!$AV274</f>
        <v xml:space="preserve">R.Regis </v>
      </c>
      <c r="P13" s="418"/>
      <c r="R13" s="277" t="str">
        <f t="shared" ref="R13:R32" si="9">B13</f>
        <v>STAG</v>
      </c>
      <c r="S13" s="472">
        <f t="shared" ref="S13:S32" si="10">VLOOKUP($B13,$R$3:$X$9,2,FALSE)</f>
        <v>11.6</v>
      </c>
      <c r="T13" s="472">
        <f t="shared" ref="T13:T32" si="11">VLOOKUP($B13,$R$3:$X$9,3,FALSE)</f>
        <v>12</v>
      </c>
      <c r="U13" s="297">
        <f t="shared" ref="U13:U32" si="12">VLOOKUP($B13,$R$3:$X$9,4,FALSE)</f>
        <v>0</v>
      </c>
      <c r="V13" s="297">
        <f t="shared" ref="V13:V32" si="13">VLOOKUP($B13,$R$3:$X$9,5,FALSE)</f>
        <v>0.118055555555556</v>
      </c>
      <c r="W13" s="297">
        <f t="shared" ref="W13:W32" si="14">VLOOKUP($B13,$R$3:$X$9,6,FALSE)</f>
        <v>0.22569444444444445</v>
      </c>
      <c r="X13" s="297">
        <f t="shared" ref="X13:X32" si="15">VLOOKUP($B13,$R$3:$X$9,7,FALSE)</f>
        <v>0.2638888888888889</v>
      </c>
      <c r="Y13" s="297">
        <f t="shared" ref="Y13:Y32" si="16">VLOOKUP($B13,$R$3:$Z$9,8,FALSE)</f>
        <v>0</v>
      </c>
      <c r="Z13" s="472">
        <f t="shared" ref="Z13:Z32" si="17">VLOOKUP($B13,$R$3:$Z$9,9,FALSE)</f>
        <v>60</v>
      </c>
    </row>
    <row r="14" spans="2:29" ht="17.25" customHeight="1">
      <c r="B14" s="33" t="s">
        <v>9</v>
      </c>
      <c r="C14" s="366" t="str">
        <f>[4]Brewhouse!$A275</f>
        <v>ST220</v>
      </c>
      <c r="D14" s="279">
        <f>[4]Brewhouse!$AB275</f>
        <v>53</v>
      </c>
      <c r="E14" s="279">
        <f>[4]Brewhouse!$AG275</f>
        <v>49.5</v>
      </c>
      <c r="F14" s="278">
        <f>[4]Brewhouse!$V275</f>
        <v>60</v>
      </c>
      <c r="G14" s="279">
        <f>[4]Brewhouse!$AE275</f>
        <v>12.1</v>
      </c>
      <c r="H14" s="396"/>
      <c r="I14" s="368">
        <f>[4]Brewhouse!$AS275</f>
        <v>100.19135091878917</v>
      </c>
      <c r="J14" s="368">
        <f>[4]Brewhouse!$AT275</f>
        <v>101.14602650044762</v>
      </c>
      <c r="K14" s="281">
        <f>[4]Brewhouse!$Q275</f>
        <v>11.084905660377359</v>
      </c>
      <c r="L14" s="276">
        <f>[4]Brewhouse!$P275</f>
        <v>64</v>
      </c>
      <c r="M14" s="374">
        <f>[4]Brewhouse!$U275-[4]Brewhouse!$T275</f>
        <v>0.11111111111111116</v>
      </c>
      <c r="N14" s="370">
        <f>[4]Brewhouse!$AW275</f>
        <v>0.26527777777777783</v>
      </c>
      <c r="O14" s="420" t="str">
        <f>[4]Brewhouse!$AV275</f>
        <v>D. Gomaz</v>
      </c>
      <c r="P14" s="418"/>
      <c r="R14" s="277" t="str">
        <f t="shared" si="9"/>
        <v>STAG</v>
      </c>
      <c r="S14" s="472">
        <f t="shared" si="10"/>
        <v>11.6</v>
      </c>
      <c r="T14" s="472">
        <f t="shared" si="11"/>
        <v>12</v>
      </c>
      <c r="U14" s="297">
        <f t="shared" si="12"/>
        <v>0</v>
      </c>
      <c r="V14" s="297">
        <f t="shared" si="13"/>
        <v>0.118055555555556</v>
      </c>
      <c r="W14" s="297">
        <f t="shared" si="14"/>
        <v>0.22569444444444445</v>
      </c>
      <c r="X14" s="297">
        <f t="shared" si="15"/>
        <v>0.2638888888888889</v>
      </c>
      <c r="Y14" s="297">
        <f t="shared" si="16"/>
        <v>0</v>
      </c>
      <c r="Z14" s="472">
        <f t="shared" si="17"/>
        <v>60</v>
      </c>
    </row>
    <row r="15" spans="2:29" ht="17.25" customHeight="1">
      <c r="B15" s="33" t="s">
        <v>9</v>
      </c>
      <c r="C15" s="366" t="str">
        <f>[4]Brewhouse!$A276</f>
        <v>ST221</v>
      </c>
      <c r="D15" s="279">
        <f>[4]Brewhouse!$AB276</f>
        <v>53.1</v>
      </c>
      <c r="E15" s="279">
        <f>[4]Brewhouse!$AG276</f>
        <v>49.9</v>
      </c>
      <c r="F15" s="278">
        <f>[4]Brewhouse!$V276</f>
        <v>59</v>
      </c>
      <c r="G15" s="279">
        <f>[4]Brewhouse!$AE276</f>
        <v>11.9</v>
      </c>
      <c r="H15" s="396"/>
      <c r="I15" s="368">
        <f>[4]Brewhouse!$AS276</f>
        <v>99.371721926227323</v>
      </c>
      <c r="J15" s="368">
        <f>[4]Brewhouse!$AT276</f>
        <v>100.31827725684998</v>
      </c>
      <c r="K15" s="281">
        <f>[4]Brewhouse!$Q276</f>
        <v>88.276836158192083</v>
      </c>
      <c r="L15" s="276">
        <f>[4]Brewhouse!$P276</f>
        <v>67</v>
      </c>
      <c r="M15" s="374">
        <f>[4]Brewhouse!$U276-[4]Brewhouse!$T276</f>
        <v>0.12013888888888902</v>
      </c>
      <c r="N15" s="370">
        <f>[4]Brewhouse!$AW276</f>
        <v>0.26041666666666674</v>
      </c>
      <c r="O15" s="420" t="str">
        <f>[4]Brewhouse!$AV276</f>
        <v>D. Gomaz</v>
      </c>
      <c r="P15" s="418"/>
      <c r="R15" s="277" t="str">
        <f t="shared" si="9"/>
        <v>STAG</v>
      </c>
      <c r="S15" s="472">
        <f t="shared" si="10"/>
        <v>11.6</v>
      </c>
      <c r="T15" s="472">
        <f t="shared" si="11"/>
        <v>12</v>
      </c>
      <c r="U15" s="297">
        <f t="shared" si="12"/>
        <v>0</v>
      </c>
      <c r="V15" s="297">
        <f t="shared" si="13"/>
        <v>0.118055555555556</v>
      </c>
      <c r="W15" s="297">
        <f t="shared" si="14"/>
        <v>0.22569444444444445</v>
      </c>
      <c r="X15" s="297">
        <f t="shared" si="15"/>
        <v>0.2638888888888889</v>
      </c>
      <c r="Y15" s="297">
        <f t="shared" si="16"/>
        <v>0</v>
      </c>
      <c r="Z15" s="472">
        <f t="shared" si="17"/>
        <v>60</v>
      </c>
    </row>
    <row r="16" spans="2:29" ht="17.25" customHeight="1">
      <c r="B16" s="33" t="s">
        <v>9</v>
      </c>
      <c r="C16" s="366" t="str">
        <f>[4]Brewhouse!$A277</f>
        <v>ST222</v>
      </c>
      <c r="D16" s="279">
        <f>[4]Brewhouse!$AB277</f>
        <v>53</v>
      </c>
      <c r="E16" s="279">
        <f>[4]Brewhouse!$AG277</f>
        <v>47.7</v>
      </c>
      <c r="F16" s="278">
        <f>[4]Brewhouse!$V277</f>
        <v>55</v>
      </c>
      <c r="G16" s="279">
        <f>[4]Brewhouse!$AE277</f>
        <v>11.9</v>
      </c>
      <c r="H16" s="396"/>
      <c r="I16" s="368">
        <f>[4]Brewhouse!$AS277</f>
        <v>94.990603925471802</v>
      </c>
      <c r="J16" s="368">
        <f>[4]Brewhouse!$AT277</f>
        <v>95.895427357750378</v>
      </c>
      <c r="K16" s="281">
        <f>[4]Brewhouse!$Q277</f>
        <v>11.839622641509431</v>
      </c>
      <c r="L16" s="276">
        <f>[4]Brewhouse!$P277</f>
        <v>60</v>
      </c>
      <c r="M16" s="374">
        <f>[4]Brewhouse!$U277-[4]Brewhouse!$T277</f>
        <v>0.12708333333333321</v>
      </c>
      <c r="N16" s="370">
        <f>[4]Brewhouse!$AW277</f>
        <v>0.26736111111111105</v>
      </c>
      <c r="O16" s="420" t="str">
        <f>[4]Brewhouse!$AV277</f>
        <v>D. Gomaz</v>
      </c>
      <c r="P16" s="418"/>
      <c r="R16" s="277" t="str">
        <f t="shared" si="9"/>
        <v>STAG</v>
      </c>
      <c r="S16" s="472">
        <f t="shared" si="10"/>
        <v>11.6</v>
      </c>
      <c r="T16" s="472">
        <f t="shared" si="11"/>
        <v>12</v>
      </c>
      <c r="U16" s="297">
        <f t="shared" si="12"/>
        <v>0</v>
      </c>
      <c r="V16" s="297">
        <f t="shared" si="13"/>
        <v>0.118055555555556</v>
      </c>
      <c r="W16" s="297">
        <f t="shared" si="14"/>
        <v>0.22569444444444445</v>
      </c>
      <c r="X16" s="297">
        <f t="shared" si="15"/>
        <v>0.2638888888888889</v>
      </c>
      <c r="Y16" s="297">
        <f t="shared" si="16"/>
        <v>0</v>
      </c>
      <c r="Z16" s="472">
        <f t="shared" si="17"/>
        <v>60</v>
      </c>
    </row>
    <row r="17" spans="1:27" ht="17.25" customHeight="1">
      <c r="B17" s="33" t="s">
        <v>9</v>
      </c>
      <c r="C17" s="366" t="str">
        <f>[4]Brewhouse!$A278</f>
        <v>ST223</v>
      </c>
      <c r="D17" s="279">
        <f>[4]Brewhouse!$AB278</f>
        <v>53</v>
      </c>
      <c r="E17" s="279">
        <f>[4]Brewhouse!$AG278</f>
        <v>50.7</v>
      </c>
      <c r="F17" s="278">
        <f>[4]Brewhouse!$V278</f>
        <v>53</v>
      </c>
      <c r="G17" s="279">
        <f>[4]Brewhouse!$AE278</f>
        <v>11.9</v>
      </c>
      <c r="H17" s="396"/>
      <c r="I17" s="368">
        <f>[4]Brewhouse!$AS278</f>
        <v>100.83834966907197</v>
      </c>
      <c r="J17" s="368">
        <f>[4]Brewhouse!$AT278</f>
        <v>101.79919019313905</v>
      </c>
      <c r="K17" s="281">
        <f>[4]Brewhouse!$Q278</f>
        <v>10.707547169811315</v>
      </c>
      <c r="L17" s="276">
        <f>[4]Brewhouse!$P278</f>
        <v>60</v>
      </c>
      <c r="M17" s="374">
        <f>[4]Brewhouse!$U278-[4]Brewhouse!$T278</f>
        <v>0.12430555555555567</v>
      </c>
      <c r="N17" s="370">
        <f>[4]Brewhouse!$AW278</f>
        <v>0.2597222222222223</v>
      </c>
      <c r="O17" s="420" t="str">
        <f>[4]Brewhouse!$AV278</f>
        <v>D. Gomaz</v>
      </c>
      <c r="P17" s="418"/>
      <c r="R17" s="277" t="str">
        <f t="shared" si="9"/>
        <v>STAG</v>
      </c>
      <c r="S17" s="472">
        <f t="shared" si="10"/>
        <v>11.6</v>
      </c>
      <c r="T17" s="472">
        <f t="shared" si="11"/>
        <v>12</v>
      </c>
      <c r="U17" s="297">
        <f t="shared" si="12"/>
        <v>0</v>
      </c>
      <c r="V17" s="297">
        <f t="shared" si="13"/>
        <v>0.118055555555556</v>
      </c>
      <c r="W17" s="297">
        <f t="shared" si="14"/>
        <v>0.22569444444444445</v>
      </c>
      <c r="X17" s="297">
        <f t="shared" si="15"/>
        <v>0.2638888888888889</v>
      </c>
      <c r="Y17" s="297">
        <f t="shared" si="16"/>
        <v>0</v>
      </c>
      <c r="Z17" s="472">
        <f t="shared" si="17"/>
        <v>60</v>
      </c>
    </row>
    <row r="18" spans="1:27" ht="17.2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8"/>
      <c r="R18" s="277">
        <f t="shared" si="9"/>
        <v>0</v>
      </c>
      <c r="S18" s="472" t="e">
        <f t="shared" si="10"/>
        <v>#N/A</v>
      </c>
      <c r="T18" s="472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472" t="e">
        <f t="shared" si="17"/>
        <v>#N/A</v>
      </c>
    </row>
    <row r="19" spans="1:27" ht="17.25" customHeight="1" thickBot="1">
      <c r="B19" s="358"/>
      <c r="C19" s="358"/>
      <c r="D19" s="358"/>
      <c r="E19" s="358"/>
      <c r="F19" s="294"/>
      <c r="G19" s="294"/>
      <c r="H19" s="348"/>
      <c r="I19" s="544"/>
      <c r="J19" s="544"/>
      <c r="K19" s="544"/>
      <c r="L19" s="544"/>
      <c r="M19" s="544"/>
      <c r="N19" s="544"/>
      <c r="O19" s="1"/>
      <c r="P19" s="12"/>
      <c r="R19" s="277">
        <f t="shared" si="9"/>
        <v>0</v>
      </c>
      <c r="S19" s="472" t="e">
        <f t="shared" si="10"/>
        <v>#N/A</v>
      </c>
      <c r="T19" s="472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2" t="e">
        <f t="shared" si="17"/>
        <v>#N/A</v>
      </c>
    </row>
    <row r="20" spans="1:27" ht="17.25" customHeight="1" thickBot="1">
      <c r="B20" s="388" t="s">
        <v>162</v>
      </c>
      <c r="C20" s="388"/>
      <c r="D20" s="545" t="s">
        <v>35</v>
      </c>
      <c r="E20" s="546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9"/>
        <v xml:space="preserve">BRAND 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7.25" customHeight="1">
      <c r="A21" s="28"/>
      <c r="B21" s="530"/>
      <c r="C21" s="362"/>
      <c r="D21" s="548"/>
      <c r="E21" s="549"/>
      <c r="F21" s="294"/>
      <c r="G21" s="294"/>
      <c r="H21" s="348"/>
      <c r="I21" s="29" t="s">
        <v>6</v>
      </c>
      <c r="J21" s="323">
        <f>AVERAGE(I10:I11)</f>
        <v>98.827301656796607</v>
      </c>
      <c r="K21" s="284">
        <f>COUNTA([3]Brewhouse!$A$441:$A$472)</f>
        <v>32</v>
      </c>
      <c r="L21" s="305">
        <f>AVERAGE([3]Brewhouse!$AU$441:$AU$472)</f>
        <v>98.774374509565789</v>
      </c>
      <c r="M21" s="305">
        <f>AVERAGE([3]Brewhouse!$AU$42:$AU$123,[3]Brewhouse!$AU$125:$AU$188,[3]Brewhouse!$AU$198:$AU$290,[3]Brewhouse!$AU$292:$AU$370,[3]Brewhouse!$AU$372:$AU$439,[3]Brewhouse!$AU$441:$AU$472)</f>
        <v>98.035994566046838</v>
      </c>
      <c r="N21" s="30">
        <v>98</v>
      </c>
      <c r="O21" s="11"/>
      <c r="P21" s="31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5" customHeight="1">
      <c r="A22" s="28"/>
      <c r="B22" s="531"/>
      <c r="C22" s="362"/>
      <c r="D22" s="550"/>
      <c r="E22" s="536"/>
      <c r="F22" s="294"/>
      <c r="G22" s="294"/>
      <c r="H22" s="348"/>
      <c r="I22" s="33" t="s">
        <v>9</v>
      </c>
      <c r="J22" s="323">
        <f>AVERAGE(I13:I17)</f>
        <v>98.38817095700891</v>
      </c>
      <c r="K22" s="284">
        <f>COUNTA([4]Brewhouse!$A$252:$A$278)</f>
        <v>27</v>
      </c>
      <c r="L22" s="302">
        <f>AVERAGE([4]Brewhouse!$AS$252:$AS$278)</f>
        <v>98.994147912606138</v>
      </c>
      <c r="M22" s="302">
        <f>AVERAGE([4]Brewhouse!$AS$52:$AS$81,[4]Brewhouse!$AS$83:$AS$124,[4]Brewhouse!$AS$134:$AS$177,[4]Brewhouse!$AS$22:$AS$179,[4]Brewhouse!$AS$214:$AS$249,[4]Brewhouse!$AS$252:$AS$278)</f>
        <v>98.058468830674443</v>
      </c>
      <c r="N22" s="30">
        <v>98</v>
      </c>
      <c r="O22" s="11"/>
      <c r="P22" s="31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4.65" customHeight="1">
      <c r="A23" s="28"/>
      <c r="B23" s="531"/>
      <c r="C23" s="362"/>
      <c r="D23" s="540"/>
      <c r="E23" s="541"/>
      <c r="F23" s="294"/>
      <c r="G23" s="294"/>
      <c r="H23" s="348"/>
      <c r="I23" s="34" t="s">
        <v>12</v>
      </c>
      <c r="J23" s="280"/>
      <c r="K23" s="284">
        <f>COUNTA([5]Brewhouse!$A$62:$A$69)</f>
        <v>8</v>
      </c>
      <c r="L23" s="302">
        <f>AVERAGE([5]Brewhouse!$AU$62:$AU$69)</f>
        <v>95.865325586732524</v>
      </c>
      <c r="M23" s="302">
        <f>AVERAGE([5]Brewhouse!$AU$16:$AU$23,[5]Brewhouse!$AU$25:$AU$32,[5]Brewhouse!$AU$34:$AU$41,[5]Brewhouse!$AU$43:$AU$60,[5]Brewhouse!$AU$62:$AU$69)</f>
        <v>96.726835550404019</v>
      </c>
      <c r="N23" s="30">
        <v>98</v>
      </c>
      <c r="O23" s="11"/>
      <c r="P23" s="31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4.65" customHeight="1">
      <c r="A24" s="28"/>
      <c r="B24" s="531"/>
      <c r="C24" s="362"/>
      <c r="D24" s="535"/>
      <c r="E24" s="536"/>
      <c r="F24" s="294"/>
      <c r="G24" s="294"/>
      <c r="H24" s="348"/>
      <c r="I24" s="22" t="s">
        <v>33</v>
      </c>
      <c r="J24" s="280"/>
      <c r="K24" s="284"/>
      <c r="L24" s="302"/>
      <c r="M24" s="302">
        <f>AVERAGE([6]Brewhouse!$AV$23:$AV$34,[6]Brewhouse!$AV$36,[6]Brewhouse!$AV$38:$AV$52,[6]Brewhouse!$AV$54:$AV$60,[6]Brewhouse!$AV$62:$AV$68)</f>
        <v>97.579195177204838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4.65" customHeight="1">
      <c r="A25" s="28"/>
      <c r="B25" s="531"/>
      <c r="C25" s="362"/>
      <c r="D25" s="540"/>
      <c r="E25" s="541"/>
      <c r="F25" s="417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1"/>
      <c r="C26" s="362"/>
      <c r="D26" s="535"/>
      <c r="E26" s="536"/>
      <c r="F26" s="417"/>
      <c r="G26" s="294"/>
      <c r="H26" s="348"/>
      <c r="I26" s="36" t="s">
        <v>15</v>
      </c>
      <c r="J26" s="323"/>
      <c r="K26" s="284"/>
      <c r="L26" s="302"/>
      <c r="M26" s="302">
        <f>AVERAGE([7]Brewhouse!$AT$4:$AT$11,[7]Brewhouse!$AT$13:$AT$16)</f>
        <v>91.538375374138752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1"/>
      <c r="C27" s="362"/>
      <c r="D27" s="540"/>
      <c r="E27" s="541"/>
      <c r="F27" s="417"/>
      <c r="G27" s="294"/>
      <c r="H27" s="348"/>
      <c r="I27" s="37" t="s">
        <v>16</v>
      </c>
      <c r="J27" s="323"/>
      <c r="K27" s="284">
        <f>COUNTA([8]Brewhouse!$A$66:$A$73)</f>
        <v>8</v>
      </c>
      <c r="L27" s="302">
        <f>AVERAGE([8]Brewhouse!$AY$66:$AY$73)</f>
        <v>98.225688487824243</v>
      </c>
      <c r="M27" s="302">
        <f>AVERAGE([8]Brewhouse!$AY$5:$AY$14,[8]Brewhouse!$AY$16:$AY$23,[8]Brewhouse!$AY$42,[8]Brewhouse!$AY$44:$AY$51,[8]Brewhouse!$AY$53:$AY$64,[8]Brewhouse!$AY$66:$AY$73)</f>
        <v>97.506811941025575</v>
      </c>
      <c r="N27" s="30">
        <v>98</v>
      </c>
      <c r="O27" s="11"/>
      <c r="P27" s="31" t="s">
        <v>41</v>
      </c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1"/>
      <c r="C28" s="362"/>
      <c r="D28" s="535"/>
      <c r="E28" s="536"/>
      <c r="F28" s="294"/>
      <c r="G28" s="294"/>
      <c r="H28" s="348"/>
      <c r="I28" s="411" t="s">
        <v>158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1"/>
      <c r="C29" s="349"/>
      <c r="D29" s="540"/>
      <c r="E29" s="541"/>
      <c r="F29" s="294"/>
      <c r="G29" s="294"/>
      <c r="H29" s="348"/>
      <c r="I29" s="410" t="s">
        <v>157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  <c r="AA29" s="472"/>
    </row>
    <row r="30" spans="1:27" ht="15" customHeight="1" thickBot="1">
      <c r="A30" s="28"/>
      <c r="B30" s="531"/>
      <c r="C30" s="349"/>
      <c r="D30" s="535"/>
      <c r="E30" s="536"/>
      <c r="F30" s="294"/>
      <c r="G30" s="294"/>
      <c r="H30" s="348"/>
      <c r="I30" s="406" t="s">
        <v>156</v>
      </c>
      <c r="J30" s="327"/>
      <c r="K30" s="407"/>
      <c r="L30" s="408"/>
      <c r="M30" s="408"/>
      <c r="N30" s="409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  <c r="AA30" s="472"/>
    </row>
    <row r="31" spans="1:27" ht="15" customHeight="1" thickBot="1">
      <c r="A31" s="28"/>
      <c r="B31" s="531"/>
      <c r="C31" s="349"/>
      <c r="D31" s="548"/>
      <c r="E31" s="549"/>
      <c r="F31" s="294"/>
      <c r="G31" s="294"/>
      <c r="H31" s="348"/>
      <c r="I31" s="1"/>
      <c r="J31" s="39"/>
      <c r="K31" s="404">
        <f>SUM(K21:K30)</f>
        <v>75</v>
      </c>
      <c r="L31" s="405">
        <f>((L21*K21)+(L22*K22)+(L23*K23)+(L24*K24)+(L25*K25)+(K28*L28)+(L26*K26)+(L27*K27)+(L30*K30))/(K31)</f>
        <v>98.484667873905664</v>
      </c>
      <c r="M31" s="405">
        <f>AVERAGE('[9]Jan30th-31st'!$L$42,L31)</f>
        <v>98.156354804873558</v>
      </c>
      <c r="N31" s="4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  <c r="AA31" s="472"/>
    </row>
    <row r="32" spans="1:27" ht="15.75" thickBot="1">
      <c r="B32" s="547"/>
      <c r="C32" s="350"/>
      <c r="D32" s="550"/>
      <c r="E32" s="536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2:56" ht="15.75" thickBot="1">
      <c r="B33" s="530"/>
      <c r="C33" s="362"/>
      <c r="D33" s="533"/>
      <c r="E33" s="534"/>
      <c r="F33" s="294"/>
      <c r="G33" s="42"/>
      <c r="H33" s="41"/>
      <c r="I33" s="42"/>
      <c r="J33" s="537" t="s">
        <v>129</v>
      </c>
      <c r="K33" s="537"/>
      <c r="L33" s="294"/>
      <c r="M33" s="294"/>
      <c r="N33" s="294"/>
      <c r="O33" s="294"/>
      <c r="P33" s="12"/>
    </row>
    <row r="34" spans="2:56" ht="15.75" thickBot="1">
      <c r="B34" s="531"/>
      <c r="C34" s="362"/>
      <c r="D34" s="535"/>
      <c r="E34" s="536"/>
      <c r="F34" s="294"/>
      <c r="G34" s="42"/>
      <c r="H34" s="42"/>
      <c r="I34" s="42"/>
      <c r="J34" s="292" t="s">
        <v>17</v>
      </c>
      <c r="K34" s="293" t="s">
        <v>170</v>
      </c>
      <c r="L34" s="538" t="s">
        <v>136</v>
      </c>
      <c r="M34" s="538"/>
      <c r="N34" s="539"/>
      <c r="O34" s="294"/>
      <c r="P34" s="12"/>
    </row>
    <row r="35" spans="2:56" ht="15" customHeight="1" thickBot="1">
      <c r="B35" s="531"/>
      <c r="C35" s="349"/>
      <c r="D35" s="540"/>
      <c r="E35" s="541"/>
      <c r="F35" s="294"/>
      <c r="G35" s="42"/>
      <c r="H35" s="42"/>
      <c r="I35" s="42"/>
      <c r="J35" s="287" t="s">
        <v>6</v>
      </c>
      <c r="K35" s="324">
        <v>2</v>
      </c>
      <c r="L35" s="473" t="s">
        <v>37</v>
      </c>
      <c r="M35" s="474" t="s">
        <v>38</v>
      </c>
      <c r="N35" s="474" t="s">
        <v>84</v>
      </c>
      <c r="O35" s="294"/>
      <c r="P35" s="12"/>
    </row>
    <row r="36" spans="2:56" ht="15.75" customHeight="1" thickBot="1">
      <c r="B36" s="531"/>
      <c r="C36" s="349"/>
      <c r="D36" s="535"/>
      <c r="E36" s="536"/>
      <c r="F36" s="294"/>
      <c r="G36" s="42"/>
      <c r="H36" s="42"/>
      <c r="I36" s="42"/>
      <c r="J36" s="345" t="s">
        <v>9</v>
      </c>
      <c r="K36" s="324">
        <v>5</v>
      </c>
      <c r="L36" s="344">
        <f>AVERAGE('June 2nd'!K44,'June 3rd'!K52,'June 4th'!K47,'June 5th'!K46,'June 8th'!K48,'June 9th'!K56,'June 15th '!K56,'June 16th'!K50,'June 17th '!K49,'June 18th '!K48,'June 21st'!L39,'June 22nd'!K49,K45)</f>
        <v>6.2027972027972034</v>
      </c>
      <c r="M36" s="325">
        <f>AVERAGE('[9]Jan30th-31st'!$L$47,L36,'[10]Feb 26th '!$L$39,'[11]Mar 31st'!$L$47,'[12]Apr 30th'!$L$46,'[13]May 29th '!$L$40)</f>
        <v>6.3051104692409048</v>
      </c>
      <c r="N36" s="416">
        <v>9.1999999999999993</v>
      </c>
      <c r="O36" s="294"/>
      <c r="P36" s="12"/>
    </row>
    <row r="37" spans="2:56" ht="15" customHeight="1">
      <c r="B37" s="531"/>
      <c r="C37" s="349"/>
      <c r="D37" s="540"/>
      <c r="E37" s="541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31"/>
      <c r="C38" s="349"/>
      <c r="D38" s="535"/>
      <c r="E38" s="536"/>
      <c r="F38" s="294"/>
      <c r="G38" s="42"/>
      <c r="H38" s="42"/>
      <c r="I38" s="42"/>
      <c r="J38" s="289" t="s">
        <v>33</v>
      </c>
      <c r="K38" s="324"/>
      <c r="L38" s="294"/>
      <c r="M38" s="294"/>
      <c r="N38" s="294"/>
      <c r="O38" s="294"/>
      <c r="P38" s="12"/>
    </row>
    <row r="39" spans="2:56" ht="15">
      <c r="B39" s="531"/>
      <c r="C39" s="349"/>
      <c r="D39" s="540"/>
      <c r="E39" s="541"/>
      <c r="F39" s="294"/>
      <c r="G39" s="42"/>
      <c r="H39" s="42"/>
      <c r="I39" s="42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31"/>
      <c r="C40" s="349"/>
      <c r="D40" s="535"/>
      <c r="E40" s="536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31"/>
      <c r="C41" s="349"/>
      <c r="D41" s="540"/>
      <c r="E41" s="541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.75" thickBot="1">
      <c r="B42" s="532"/>
      <c r="C42" s="350"/>
      <c r="D42" s="542"/>
      <c r="E42" s="543"/>
      <c r="F42" s="294" t="s">
        <v>166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649999999999999" customHeight="1" thickBot="1">
      <c r="B43" s="312" t="s">
        <v>139</v>
      </c>
      <c r="C43" s="313"/>
      <c r="D43" s="523"/>
      <c r="E43" s="524"/>
      <c r="F43" s="294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7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L46" s="294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15" t="s">
        <v>17</v>
      </c>
      <c r="C48" s="515" t="s">
        <v>44</v>
      </c>
      <c r="D48" s="526" t="s">
        <v>45</v>
      </c>
      <c r="E48" s="528" t="s">
        <v>46</v>
      </c>
      <c r="F48" s="521" t="s">
        <v>47</v>
      </c>
      <c r="G48" s="513" t="s">
        <v>48</v>
      </c>
      <c r="H48" s="515" t="s">
        <v>49</v>
      </c>
      <c r="I48" s="515" t="s">
        <v>50</v>
      </c>
      <c r="J48" s="507" t="s">
        <v>28</v>
      </c>
      <c r="K48" s="517" t="s">
        <v>51</v>
      </c>
      <c r="L48" s="519" t="s">
        <v>52</v>
      </c>
      <c r="M48" s="507" t="s">
        <v>53</v>
      </c>
      <c r="N48" s="13"/>
      <c r="O48" s="13"/>
      <c r="P48" s="50"/>
    </row>
    <row r="49" spans="2:57" ht="28.5" customHeight="1" thickTop="1" thickBot="1">
      <c r="B49" s="516"/>
      <c r="C49" s="525"/>
      <c r="D49" s="527"/>
      <c r="E49" s="529"/>
      <c r="F49" s="522"/>
      <c r="G49" s="514"/>
      <c r="H49" s="516"/>
      <c r="I49" s="516"/>
      <c r="J49" s="508"/>
      <c r="K49" s="518"/>
      <c r="L49" s="520"/>
      <c r="M49" s="508"/>
      <c r="N49" s="13"/>
      <c r="O49" s="13"/>
      <c r="P49" s="50"/>
      <c r="Q49" s="355"/>
      <c r="AB49" s="475">
        <v>43474</v>
      </c>
      <c r="AC49" s="475">
        <v>43475</v>
      </c>
      <c r="AD49" s="475">
        <v>43476</v>
      </c>
      <c r="AE49" s="475">
        <v>43477</v>
      </c>
      <c r="AF49" s="475">
        <v>43478</v>
      </c>
      <c r="AG49" s="475">
        <v>43479</v>
      </c>
      <c r="AH49" s="475">
        <v>43480</v>
      </c>
      <c r="AI49" s="475">
        <v>43481</v>
      </c>
      <c r="AJ49" s="475">
        <v>43482</v>
      </c>
      <c r="AK49" s="475">
        <v>43483</v>
      </c>
      <c r="AL49" s="475">
        <v>43484</v>
      </c>
      <c r="AM49" s="475">
        <v>43485</v>
      </c>
      <c r="AN49" s="475">
        <v>43486</v>
      </c>
      <c r="AO49" s="475">
        <v>43487</v>
      </c>
      <c r="AP49" s="475">
        <v>43488</v>
      </c>
      <c r="AQ49" s="475">
        <v>43489</v>
      </c>
      <c r="AR49" s="475">
        <v>43490</v>
      </c>
      <c r="AS49" s="475">
        <v>43491</v>
      </c>
      <c r="AT49" s="475">
        <v>43492</v>
      </c>
      <c r="AU49" s="475">
        <v>43493</v>
      </c>
      <c r="AV49" s="475">
        <v>43494</v>
      </c>
      <c r="AW49" s="475">
        <v>43495</v>
      </c>
      <c r="AX49" s="475">
        <v>43496</v>
      </c>
    </row>
    <row r="50" spans="2:57" s="54" customFormat="1" ht="36.75" customHeight="1" thickBot="1">
      <c r="B50" s="505" t="str">
        <f>I23</f>
        <v>GUINNESS</v>
      </c>
      <c r="C50" s="479">
        <v>46196</v>
      </c>
      <c r="D50" s="445">
        <f>[14]June_2026!$Z$23</f>
        <v>404.10000000000008</v>
      </c>
      <c r="E50" s="443">
        <f>[35]GUINNESS!$S$6</f>
        <v>8.3000000000000007</v>
      </c>
      <c r="F50" s="444"/>
      <c r="G50" s="445">
        <f>[14]June_2026!$Z$28</f>
        <v>361</v>
      </c>
      <c r="H50" s="458"/>
      <c r="I50" s="458"/>
      <c r="J50" s="448" t="s">
        <v>186</v>
      </c>
      <c r="K50" s="449">
        <f>[15]June_2026!$AA$32</f>
        <v>0.18095238095238095</v>
      </c>
      <c r="L50" s="457">
        <f>(((D50+E50)-G50)/(D50+E50))*100</f>
        <v>12.463627546071795</v>
      </c>
      <c r="M50" s="455" t="s">
        <v>185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[16]January_2019!L5</f>
        <v>0</v>
      </c>
      <c r="AC50" s="57">
        <f>[16]January_2019!M5</f>
        <v>0</v>
      </c>
      <c r="AD50" s="57">
        <f>[16]January_2019!N5</f>
        <v>0</v>
      </c>
      <c r="AE50" s="57">
        <f>[16]January_2019!O5</f>
        <v>0</v>
      </c>
      <c r="AF50" s="57">
        <f>[16]January_2019!P5</f>
        <v>0</v>
      </c>
      <c r="AG50" s="57">
        <f>[16]January_2019!Q5</f>
        <v>0</v>
      </c>
      <c r="AH50" s="57">
        <f>[16]January_2019!R5</f>
        <v>0</v>
      </c>
      <c r="AI50" s="57">
        <f>[16]January_2019!S5</f>
        <v>0</v>
      </c>
      <c r="AJ50" s="57">
        <f>[16]January_2019!T5</f>
        <v>0</v>
      </c>
      <c r="AK50" s="57">
        <f>[16]January_2019!U5</f>
        <v>0</v>
      </c>
      <c r="AL50" s="57">
        <f>[16]January_2019!V5</f>
        <v>0</v>
      </c>
      <c r="AM50" s="57">
        <f>[16]January_2019!W5</f>
        <v>0</v>
      </c>
      <c r="AN50" s="57">
        <f>[16]January_2019!X5</f>
        <v>0</v>
      </c>
      <c r="AO50" s="57">
        <f>[16]January_2019!Y5</f>
        <v>0</v>
      </c>
      <c r="AP50" s="57">
        <f>[16]January_2019!Z5</f>
        <v>0</v>
      </c>
      <c r="AQ50" s="57">
        <f>[16]January_2019!AA5</f>
        <v>0</v>
      </c>
      <c r="AR50" s="57">
        <f>[16]January_2019!AB5</f>
        <v>0</v>
      </c>
      <c r="AS50" s="57">
        <f>[16]January_2019!AC5</f>
        <v>0</v>
      </c>
      <c r="AT50" s="57">
        <f>[16]January_2019!AD5</f>
        <v>0</v>
      </c>
      <c r="AU50" s="57">
        <f>[16]January_2019!AE5</f>
        <v>0</v>
      </c>
      <c r="AV50" s="57">
        <f>[16]January_2019!AF5</f>
        <v>0</v>
      </c>
      <c r="AW50" s="57">
        <f>[16]January_2019!AG5</f>
        <v>0</v>
      </c>
      <c r="AX50" s="277">
        <f>[16]January_2019!AH5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14.25" customHeight="1" thickBot="1">
      <c r="B51" s="480"/>
      <c r="C51" s="479"/>
      <c r="D51" s="442"/>
      <c r="E51" s="443"/>
      <c r="F51" s="444"/>
      <c r="G51" s="445"/>
      <c r="H51" s="458"/>
      <c r="I51" s="458"/>
      <c r="J51" s="476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[16]January_2019!L6</f>
        <v>0</v>
      </c>
      <c r="AC51" s="57">
        <f>[16]January_2019!M6</f>
        <v>0</v>
      </c>
      <c r="AD51" s="57">
        <f>[16]January_2019!N6</f>
        <v>0</v>
      </c>
      <c r="AE51" s="57">
        <f>[16]January_2019!O6</f>
        <v>0</v>
      </c>
      <c r="AF51" s="57">
        <f>[16]January_2019!P6</f>
        <v>0</v>
      </c>
      <c r="AG51" s="57">
        <f>[16]January_2019!Q6</f>
        <v>0</v>
      </c>
      <c r="AH51" s="57">
        <f>[16]January_2019!R6</f>
        <v>0</v>
      </c>
      <c r="AI51" s="57">
        <f>[16]January_2019!S6</f>
        <v>0</v>
      </c>
      <c r="AJ51" s="57">
        <f>[16]January_2019!T6</f>
        <v>0</v>
      </c>
      <c r="AK51" s="57">
        <f>[16]January_2019!U6</f>
        <v>0</v>
      </c>
      <c r="AL51" s="57">
        <f>[16]January_2019!V6</f>
        <v>0</v>
      </c>
      <c r="AM51" s="57">
        <f>[16]January_2019!W6</f>
        <v>0</v>
      </c>
      <c r="AN51" s="57">
        <f>[16]January_2019!X6</f>
        <v>0</v>
      </c>
      <c r="AO51" s="57">
        <f>[16]January_2019!Y6</f>
        <v>0</v>
      </c>
      <c r="AP51" s="57">
        <f>[16]January_2019!Z6</f>
        <v>0</v>
      </c>
      <c r="AQ51" s="57">
        <f>[16]January_2019!AA6</f>
        <v>0</v>
      </c>
      <c r="AR51" s="57">
        <f>[16]January_2019!AB6</f>
        <v>0</v>
      </c>
      <c r="AS51" s="57">
        <f>[16]January_2019!AC6</f>
        <v>0</v>
      </c>
      <c r="AT51" s="57">
        <f>[16]January_2019!AD6</f>
        <v>0</v>
      </c>
      <c r="AU51" s="57">
        <f>[16]January_2019!AE6</f>
        <v>0</v>
      </c>
      <c r="AV51" s="57">
        <f>[16]January_2019!AF6</f>
        <v>0</v>
      </c>
      <c r="AW51" s="57">
        <f>[16]January_2019!AG6</f>
        <v>0</v>
      </c>
      <c r="AX51" s="277">
        <f>[16]January_2019!AH6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37.15" hidden="1" customHeight="1" thickBot="1">
      <c r="B52" s="480"/>
      <c r="C52" s="479"/>
      <c r="D52" s="442"/>
      <c r="E52" s="443"/>
      <c r="F52" s="444"/>
      <c r="G52" s="445"/>
      <c r="H52" s="458"/>
      <c r="I52" s="458"/>
      <c r="J52" s="448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[16]January_2019!L7</f>
        <v>285.8</v>
      </c>
      <c r="AC52" s="57">
        <f>[16]January_2019!M7</f>
        <v>508.1</v>
      </c>
      <c r="AD52" s="57">
        <f>[16]January_2019!N7</f>
        <v>0</v>
      </c>
      <c r="AE52" s="57">
        <f>[16]January_2019!O7</f>
        <v>0</v>
      </c>
      <c r="AF52" s="57">
        <f>[16]January_2019!P7</f>
        <v>109.56666666666666</v>
      </c>
      <c r="AG52" s="57">
        <f>[16]January_2019!Q7</f>
        <v>297.64999999999998</v>
      </c>
      <c r="AH52" s="57">
        <f>[16]January_2019!R7</f>
        <v>122.3</v>
      </c>
      <c r="AI52" s="57">
        <f>[16]January_2019!S7</f>
        <v>0</v>
      </c>
      <c r="AJ52" s="57">
        <f>[16]January_2019!T7</f>
        <v>294.7</v>
      </c>
      <c r="AK52" s="57">
        <f>[16]January_2019!U7</f>
        <v>280.5</v>
      </c>
      <c r="AL52" s="57">
        <f>[16]January_2019!V7</f>
        <v>0</v>
      </c>
      <c r="AM52" s="57">
        <f>[16]January_2019!W7</f>
        <v>0</v>
      </c>
      <c r="AN52" s="57">
        <f>[16]January_2019!X7</f>
        <v>188.25</v>
      </c>
      <c r="AO52" s="57">
        <f>[16]January_2019!Y7</f>
        <v>295.7</v>
      </c>
      <c r="AP52" s="57">
        <f>[16]January_2019!Z7</f>
        <v>257.8</v>
      </c>
      <c r="AQ52" s="57">
        <f>[16]January_2019!AA7</f>
        <v>291.2</v>
      </c>
      <c r="AR52" s="57">
        <f>[16]January_2019!AB7</f>
        <v>187</v>
      </c>
      <c r="AS52" s="57">
        <f>[16]January_2019!AC7</f>
        <v>0</v>
      </c>
      <c r="AT52" s="57">
        <f>[16]January_2019!AD7</f>
        <v>0</v>
      </c>
      <c r="AU52" s="57">
        <f>[16]January_2019!AE7</f>
        <v>485.1</v>
      </c>
      <c r="AV52" s="57">
        <f>[16]January_2019!AF7</f>
        <v>171.55</v>
      </c>
      <c r="AW52" s="57">
        <f>[16]January_2019!AG7</f>
        <v>423.8</v>
      </c>
      <c r="AX52" s="277">
        <f>[16]January_2019!AH7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9.5" hidden="1" customHeight="1" thickBot="1">
      <c r="B53" s="478"/>
      <c r="C53" s="430"/>
      <c r="D53" s="431"/>
      <c r="E53" s="432"/>
      <c r="F53" s="433"/>
      <c r="G53" s="434"/>
      <c r="H53" s="458"/>
      <c r="I53" s="458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8.450000000000003" hidden="1" customHeight="1" thickBot="1">
      <c r="B54" s="480"/>
      <c r="C54" s="479"/>
      <c r="D54" s="442"/>
      <c r="E54" s="443"/>
      <c r="F54" s="444"/>
      <c r="G54" s="445"/>
      <c r="H54" s="458"/>
      <c r="I54" s="458"/>
      <c r="J54" s="448"/>
      <c r="K54" s="45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5" hidden="1">
      <c r="B55" s="453"/>
      <c r="C55" s="430"/>
      <c r="D55" s="431"/>
      <c r="E55" s="432"/>
      <c r="F55" s="433"/>
      <c r="G55" s="434"/>
      <c r="H55" s="435"/>
      <c r="I55" s="450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84"/>
      <c r="C56" s="479"/>
      <c r="D56" s="442"/>
      <c r="E56" s="443"/>
      <c r="F56" s="444"/>
      <c r="G56" s="445"/>
      <c r="H56" s="446"/>
      <c r="I56" s="447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hidden="1" customHeight="1" thickBot="1">
      <c r="B57" s="437"/>
      <c r="C57" s="423"/>
      <c r="D57" s="424"/>
      <c r="E57" s="425"/>
      <c r="F57" s="426"/>
      <c r="G57" s="427"/>
      <c r="H57" s="428"/>
      <c r="I57" s="438"/>
      <c r="J57" s="439"/>
      <c r="K57" s="429"/>
      <c r="L57" s="440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s="54" customFormat="1" ht="37.15" hidden="1" customHeight="1" thickBot="1">
      <c r="B58" s="456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>
      <c r="B59" s="466"/>
      <c r="C59" s="430"/>
      <c r="D59" s="460"/>
      <c r="E59" s="461"/>
      <c r="F59" s="462"/>
      <c r="G59" s="460"/>
      <c r="H59" s="463"/>
      <c r="I59" s="463"/>
      <c r="J59" s="463"/>
      <c r="K59" s="464"/>
      <c r="L59" s="465"/>
      <c r="M59" s="5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509" t="s">
        <v>55</v>
      </c>
      <c r="C61" s="510"/>
      <c r="D61" s="510"/>
      <c r="E61" s="510"/>
      <c r="F61" s="511"/>
      <c r="G61" s="509" t="s">
        <v>56</v>
      </c>
      <c r="H61" s="510"/>
      <c r="I61" s="510"/>
      <c r="J61" s="511"/>
      <c r="K61" s="509" t="s">
        <v>51</v>
      </c>
      <c r="L61" s="510"/>
      <c r="M61" s="510"/>
      <c r="N61" s="512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/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/>
      <c r="D63" s="76">
        <v>4.4432144115131145</v>
      </c>
      <c r="E63" s="76">
        <v>6.5199879444903228</v>
      </c>
      <c r="F63" s="66">
        <v>4.8</v>
      </c>
      <c r="G63" s="65"/>
      <c r="H63" s="477">
        <v>3.4332646451307456</v>
      </c>
      <c r="I63" s="477">
        <v>6.2623446265800062</v>
      </c>
      <c r="J63" s="66">
        <v>4.8</v>
      </c>
      <c r="K63" s="67"/>
      <c r="L63" s="194">
        <v>0.66631578947368419</v>
      </c>
      <c r="M63" s="194">
        <v>0.51361425978462372</v>
      </c>
      <c r="N63" s="68">
        <v>1</v>
      </c>
      <c r="O63" s="56"/>
      <c r="P63" s="69"/>
    </row>
    <row r="64" spans="2:57" ht="15">
      <c r="B64" s="33" t="s">
        <v>9</v>
      </c>
      <c r="C64" s="65"/>
      <c r="D64" s="76">
        <v>4.7679175715945235</v>
      </c>
      <c r="E64" s="76">
        <v>5.7819966636851206</v>
      </c>
      <c r="F64" s="66">
        <v>4.8</v>
      </c>
      <c r="G64" s="65"/>
      <c r="H64" s="76">
        <v>3.6848557080708271</v>
      </c>
      <c r="I64" s="76">
        <v>5.3967502317348686</v>
      </c>
      <c r="J64" s="66">
        <v>4.8</v>
      </c>
      <c r="K64" s="67"/>
      <c r="L64" s="194">
        <v>1.3231578947368421</v>
      </c>
      <c r="M64" s="194">
        <v>0.71292696983194792</v>
      </c>
      <c r="N64" s="68">
        <v>1</v>
      </c>
      <c r="P64" s="69"/>
    </row>
    <row r="65" spans="2:16" ht="15">
      <c r="B65" s="34" t="s">
        <v>40</v>
      </c>
      <c r="C65" s="65">
        <f>L50</f>
        <v>12.463627546071795</v>
      </c>
      <c r="D65" s="76">
        <v>12.948593598448127</v>
      </c>
      <c r="E65" s="76">
        <v>11.671578629184602</v>
      </c>
      <c r="F65" s="66">
        <v>5.5</v>
      </c>
      <c r="G65" s="65">
        <f>[14]June_2026!$Z$32</f>
        <v>13.176885540709748</v>
      </c>
      <c r="H65" s="76">
        <v>13.657900025248756</v>
      </c>
      <c r="I65" s="76">
        <v>12.780104237050718</v>
      </c>
      <c r="J65" s="66">
        <v>5.5</v>
      </c>
      <c r="K65" s="67">
        <f>K50</f>
        <v>0.18095238095238095</v>
      </c>
      <c r="L65" s="194">
        <v>0.17994987468671678</v>
      </c>
      <c r="M65" s="194">
        <v>0.2550558340295182</v>
      </c>
      <c r="N65" s="68">
        <v>1</v>
      </c>
      <c r="P65" s="69"/>
    </row>
    <row r="66" spans="2:16" ht="15">
      <c r="B66" s="22" t="s">
        <v>33</v>
      </c>
      <c r="C66" s="65"/>
      <c r="D66" s="76"/>
      <c r="E66" s="76">
        <v>4.7166249493098773</v>
      </c>
      <c r="F66" s="66">
        <v>3.3</v>
      </c>
      <c r="G66" s="65"/>
      <c r="H66" s="76"/>
      <c r="I66" s="76">
        <v>4.7393662692065543</v>
      </c>
      <c r="J66" s="66">
        <v>3.3</v>
      </c>
      <c r="K66" s="67"/>
      <c r="L66" s="194"/>
      <c r="M66" s="194">
        <v>0.73604010025062661</v>
      </c>
      <c r="N66" s="68">
        <v>1</v>
      </c>
      <c r="P66" s="69"/>
    </row>
    <row r="67" spans="2:16" ht="15">
      <c r="B67" s="35" t="s">
        <v>164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 ht="15">
      <c r="B68" s="36" t="s">
        <v>15</v>
      </c>
      <c r="C68" s="76"/>
      <c r="D68" s="76"/>
      <c r="E68" s="76">
        <v>5.1541347251672045</v>
      </c>
      <c r="F68" s="483">
        <v>5.5</v>
      </c>
      <c r="G68" s="282"/>
      <c r="H68" s="76"/>
      <c r="I68" s="76">
        <v>7.4989046872874194</v>
      </c>
      <c r="J68" s="66">
        <v>5.5</v>
      </c>
      <c r="K68" s="67"/>
      <c r="L68" s="194"/>
      <c r="M68" s="194">
        <v>1.0201754385964912</v>
      </c>
      <c r="N68" s="68">
        <v>1</v>
      </c>
      <c r="P68" s="69"/>
    </row>
    <row r="69" spans="2:16" ht="15">
      <c r="B69" s="37" t="s">
        <v>16</v>
      </c>
      <c r="C69" s="485"/>
      <c r="D69" s="76">
        <v>3.8064469113610451</v>
      </c>
      <c r="E69" s="76">
        <v>3.7425354424032347</v>
      </c>
      <c r="F69" s="66">
        <v>3.3</v>
      </c>
      <c r="G69" s="282"/>
      <c r="H69" s="76">
        <v>5.1620200172171886</v>
      </c>
      <c r="I69" s="76">
        <v>4.8813740630219202</v>
      </c>
      <c r="J69" s="66">
        <v>3.3</v>
      </c>
      <c r="K69" s="67"/>
      <c r="L69" s="194">
        <v>0.69473684210526321</v>
      </c>
      <c r="M69" s="194">
        <v>0.82729694606887583</v>
      </c>
      <c r="N69" s="71">
        <v>1</v>
      </c>
      <c r="P69" s="69"/>
    </row>
    <row r="70" spans="2:16" ht="15.75" thickBot="1">
      <c r="B70" s="38" t="s">
        <v>163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/>
      <c r="F71" s="66">
        <v>4.8</v>
      </c>
      <c r="G71" s="282"/>
      <c r="H71" s="76"/>
      <c r="I71" s="76"/>
      <c r="J71" s="66">
        <v>4.8</v>
      </c>
      <c r="K71" s="67"/>
      <c r="L71" s="194"/>
      <c r="M71" s="194"/>
      <c r="N71" s="71">
        <v>1</v>
      </c>
      <c r="O71" s="74"/>
      <c r="P71" s="75"/>
    </row>
    <row r="72" spans="2:16" ht="15">
      <c r="D72" s="76">
        <v>6.5291713807024445</v>
      </c>
      <c r="E72" s="76">
        <v>6.3205871925514048</v>
      </c>
      <c r="F72" s="341">
        <v>5.5</v>
      </c>
      <c r="H72" s="76">
        <v>7.1642836870112845</v>
      </c>
      <c r="I72" s="76">
        <v>6.4264694711426831</v>
      </c>
      <c r="J72" s="341">
        <v>5.5</v>
      </c>
      <c r="L72" s="194">
        <v>0.71604010025062659</v>
      </c>
      <c r="M72" s="194">
        <v>0.58301623261051183</v>
      </c>
      <c r="N7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B33:B42"/>
    <mergeCell ref="D33:E34"/>
    <mergeCell ref="J33:K33"/>
    <mergeCell ref="L34:N34"/>
    <mergeCell ref="D35:E36"/>
    <mergeCell ref="D37:E38"/>
    <mergeCell ref="D39:E40"/>
    <mergeCell ref="D41:E42"/>
    <mergeCell ref="D43:E43"/>
    <mergeCell ref="B48:B49"/>
    <mergeCell ref="C48:C49"/>
    <mergeCell ref="D48:D49"/>
    <mergeCell ref="E48:E49"/>
    <mergeCell ref="M48:M49"/>
    <mergeCell ref="B61:F61"/>
    <mergeCell ref="G61:J61"/>
    <mergeCell ref="K61:N61"/>
    <mergeCell ref="G48:G49"/>
    <mergeCell ref="H48:H49"/>
    <mergeCell ref="I48:I49"/>
    <mergeCell ref="J48:J49"/>
    <mergeCell ref="K48:K49"/>
    <mergeCell ref="L48:L49"/>
    <mergeCell ref="F48:F49"/>
  </mergeCells>
  <conditionalFormatting sqref="B43:B44">
    <cfRule type="cellIs" dxfId="1293" priority="104" operator="notBetween">
      <formula>#REF!</formula>
      <formula>#REF!</formula>
    </cfRule>
  </conditionalFormatting>
  <conditionalFormatting sqref="C47">
    <cfRule type="cellIs" dxfId="1292" priority="194" stopIfTrue="1" operator="greaterThan">
      <formula>100</formula>
    </cfRule>
    <cfRule type="cellIs" dxfId="1291" priority="193" stopIfTrue="1" operator="lessThan">
      <formula>96</formula>
    </cfRule>
  </conditionalFormatting>
  <conditionalFormatting sqref="C63:C64">
    <cfRule type="cellIs" dxfId="1290" priority="67" stopIfTrue="1" operator="lessThanOrEqual">
      <formula>0</formula>
    </cfRule>
    <cfRule type="cellIs" dxfId="1289" priority="64" stopIfTrue="1" operator="greaterThan">
      <formula>$F63</formula>
    </cfRule>
    <cfRule type="cellIs" dxfId="1288" priority="66" stopIfTrue="1" operator="greaterThan">
      <formula>$F63</formula>
    </cfRule>
    <cfRule type="cellIs" dxfId="1287" priority="65" stopIfTrue="1" operator="lessThanOrEqual">
      <formula>0</formula>
    </cfRule>
  </conditionalFormatting>
  <conditionalFormatting sqref="C65:C67 C69:C71">
    <cfRule type="cellIs" dxfId="1286" priority="74" stopIfTrue="1" operator="greaterThan">
      <formula>$F68</formula>
    </cfRule>
  </conditionalFormatting>
  <conditionalFormatting sqref="C65:C67">
    <cfRule type="cellIs" dxfId="1285" priority="75" stopIfTrue="1" operator="lessThanOrEqual">
      <formula>0</formula>
    </cfRule>
  </conditionalFormatting>
  <conditionalFormatting sqref="C69:C71">
    <cfRule type="cellIs" dxfId="1284" priority="76" stopIfTrue="1" operator="lessThanOrEqual">
      <formula>0</formula>
    </cfRule>
  </conditionalFormatting>
  <conditionalFormatting sqref="C74:C78">
    <cfRule type="cellIs" dxfId="1283" priority="185" stopIfTrue="1" operator="lessThanOrEqual">
      <formula>0</formula>
    </cfRule>
  </conditionalFormatting>
  <conditionalFormatting sqref="C75:C78">
    <cfRule type="cellIs" dxfId="1282" priority="184" stopIfTrue="1" operator="greaterThan">
      <formula>$F$74</formula>
    </cfRule>
  </conditionalFormatting>
  <conditionalFormatting sqref="C80">
    <cfRule type="cellIs" dxfId="1281" priority="187" stopIfTrue="1" operator="lessThanOrEqual">
      <formula>0</formula>
    </cfRule>
    <cfRule type="cellIs" dxfId="1280" priority="186" stopIfTrue="1" operator="greaterThan">
      <formula>$F$74</formula>
    </cfRule>
  </conditionalFormatting>
  <conditionalFormatting sqref="C68:D68">
    <cfRule type="cellIs" dxfId="1279" priority="62" stopIfTrue="1" operator="greaterThan">
      <formula>$J68</formula>
    </cfRule>
    <cfRule type="cellIs" dxfId="1278" priority="63" stopIfTrue="1" operator="lessThanOrEqual">
      <formula>0</formula>
    </cfRule>
  </conditionalFormatting>
  <conditionalFormatting sqref="C74:D74 D76:D82">
    <cfRule type="cellIs" dxfId="1277" priority="179" stopIfTrue="1" operator="greaterThan">
      <formula>4.5</formula>
    </cfRule>
  </conditionalFormatting>
  <conditionalFormatting sqref="D43:D44">
    <cfRule type="cellIs" dxfId="1276" priority="105" operator="notBetween">
      <formula>#REF!</formula>
      <formula>#REF!</formula>
    </cfRule>
  </conditionalFormatting>
  <conditionalFormatting sqref="D63:D67 D69:D70">
    <cfRule type="cellIs" dxfId="1275" priority="73" stopIfTrue="1" operator="lessThanOrEqual">
      <formula>0</formula>
    </cfRule>
  </conditionalFormatting>
  <conditionalFormatting sqref="D63:D67 D69:D72">
    <cfRule type="cellIs" dxfId="1274" priority="70" stopIfTrue="1" operator="greaterThan">
      <formula>$F63</formula>
    </cfRule>
    <cfRule type="cellIs" dxfId="1273" priority="69" stopIfTrue="1" operator="lessThanOrEqual">
      <formula>0</formula>
    </cfRule>
  </conditionalFormatting>
  <conditionalFormatting sqref="D71:D72">
    <cfRule type="cellIs" dxfId="1272" priority="71" stopIfTrue="1" operator="lessThanOrEqual">
      <formula>0</formula>
    </cfRule>
  </conditionalFormatting>
  <conditionalFormatting sqref="D72">
    <cfRule type="cellIs" dxfId="1271" priority="72" stopIfTrue="1" operator="lessThanOrEqual">
      <formula>0</formula>
    </cfRule>
  </conditionalFormatting>
  <conditionalFormatting sqref="D74 D76:D82">
    <cfRule type="cellIs" dxfId="1270" priority="180" stopIfTrue="1" operator="lessThanOrEqual">
      <formula>0</formula>
    </cfRule>
  </conditionalFormatting>
  <conditionalFormatting sqref="D75">
    <cfRule type="cellIs" dxfId="1269" priority="172" stopIfTrue="1" operator="lessThanOrEqual">
      <formula>0</formula>
    </cfRule>
    <cfRule type="cellIs" dxfId="1268" priority="171" stopIfTrue="1" operator="greaterThan">
      <formula>$F$74</formula>
    </cfRule>
  </conditionalFormatting>
  <conditionalFormatting sqref="E10:E18">
    <cfRule type="cellIs" dxfId="1267" priority="18" operator="lessThan">
      <formula>48</formula>
    </cfRule>
  </conditionalFormatting>
  <conditionalFormatting sqref="E46 E47:F47">
    <cfRule type="cellIs" dxfId="1266" priority="176" stopIfTrue="1" operator="greaterThan">
      <formula>100</formula>
    </cfRule>
  </conditionalFormatting>
  <conditionalFormatting sqref="E47">
    <cfRule type="cellIs" dxfId="1265" priority="174" stopIfTrue="1" operator="greaterThan">
      <formula>100</formula>
    </cfRule>
    <cfRule type="cellIs" dxfId="1264" priority="173" stopIfTrue="1" operator="lessThan">
      <formula>96.8</formula>
    </cfRule>
  </conditionalFormatting>
  <conditionalFormatting sqref="E63:E71">
    <cfRule type="cellIs" dxfId="1263" priority="31" stopIfTrue="1" operator="lessThanOrEqual">
      <formula>0</formula>
    </cfRule>
  </conditionalFormatting>
  <conditionalFormatting sqref="E63:E72">
    <cfRule type="cellIs" dxfId="1262" priority="33" stopIfTrue="1" operator="lessThanOrEqual">
      <formula>0</formula>
    </cfRule>
    <cfRule type="cellIs" dxfId="1261" priority="32" stopIfTrue="1" operator="greaterThan">
      <formula>$F63</formula>
    </cfRule>
  </conditionalFormatting>
  <conditionalFormatting sqref="E72">
    <cfRule type="cellIs" dxfId="1260" priority="34" stopIfTrue="1" operator="lessThanOrEqual">
      <formula>0</formula>
    </cfRule>
  </conditionalFormatting>
  <conditionalFormatting sqref="E74:E82">
    <cfRule type="cellIs" dxfId="1259" priority="165" stopIfTrue="1" operator="greaterThan">
      <formula>4.5</formula>
    </cfRule>
    <cfRule type="cellIs" dxfId="1258" priority="166" stopIfTrue="1" operator="lessThanOrEqual">
      <formula>0</formula>
    </cfRule>
  </conditionalFormatting>
  <conditionalFormatting sqref="E47:F47 E46">
    <cfRule type="cellIs" dxfId="1257" priority="175" stopIfTrue="1" operator="lessThan">
      <formula>96.5</formula>
    </cfRule>
  </conditionalFormatting>
  <conditionalFormatting sqref="F10:F12 F18">
    <cfRule type="cellIs" dxfId="1256" priority="22" operator="greaterThan">
      <formula>60</formula>
    </cfRule>
  </conditionalFormatting>
  <conditionalFormatting sqref="F47">
    <cfRule type="cellIs" dxfId="1255" priority="191" stopIfTrue="1" operator="lessThan">
      <formula>96.8</formula>
    </cfRule>
    <cfRule type="cellIs" dxfId="1254" priority="192" stopIfTrue="1" operator="greaterThan">
      <formula>100</formula>
    </cfRule>
  </conditionalFormatting>
  <conditionalFormatting sqref="F72">
    <cfRule type="cellIs" dxfId="1253" priority="42" stopIfTrue="1" operator="greaterThan">
      <formula>$F72</formula>
    </cfRule>
    <cfRule type="cellIs" dxfId="1252" priority="43" stopIfTrue="1" operator="lessThanOrEqual">
      <formula>0</formula>
    </cfRule>
  </conditionalFormatting>
  <conditionalFormatting sqref="G13:G18">
    <cfRule type="expression" dxfId="1251" priority="19">
      <formula>IF(+(IF(G13&lt;S13,0,IF(G13&gt;T13,0,1)))=0,1)</formula>
    </cfRule>
  </conditionalFormatting>
  <conditionalFormatting sqref="G63:G64">
    <cfRule type="cellIs" dxfId="1250" priority="44" stopIfTrue="1" operator="greaterThan">
      <formula>$F63</formula>
    </cfRule>
    <cfRule type="cellIs" dxfId="1249" priority="45" stopIfTrue="1" operator="lessThanOrEqual">
      <formula>0</formula>
    </cfRule>
  </conditionalFormatting>
  <conditionalFormatting sqref="G63:G66">
    <cfRule type="cellIs" dxfId="1248" priority="27" stopIfTrue="1" operator="lessThanOrEqual">
      <formula>0</formula>
    </cfRule>
    <cfRule type="cellIs" dxfId="1247" priority="26" stopIfTrue="1" operator="greaterThan">
      <formula>$F63</formula>
    </cfRule>
  </conditionalFormatting>
  <conditionalFormatting sqref="G65">
    <cfRule type="cellIs" dxfId="1246" priority="24" stopIfTrue="1" operator="greaterThan">
      <formula>$F65</formula>
    </cfRule>
    <cfRule type="cellIs" dxfId="1245" priority="25" stopIfTrue="1" operator="lessThanOrEqual">
      <formula>0</formula>
    </cfRule>
  </conditionalFormatting>
  <conditionalFormatting sqref="G66">
    <cfRule type="cellIs" dxfId="1244" priority="39" stopIfTrue="1" operator="lessThanOrEqual">
      <formula>0</formula>
    </cfRule>
    <cfRule type="cellIs" dxfId="1243" priority="38" stopIfTrue="1" operator="greaterThan">
      <formula>$F66</formula>
    </cfRule>
  </conditionalFormatting>
  <conditionalFormatting sqref="G67:G71">
    <cfRule type="cellIs" dxfId="1242" priority="47" stopIfTrue="1" operator="lessThanOrEqual">
      <formula>0</formula>
    </cfRule>
    <cfRule type="cellIs" dxfId="1241" priority="46" stopIfTrue="1" operator="greaterThan">
      <formula>$J67</formula>
    </cfRule>
  </conditionalFormatting>
  <conditionalFormatting sqref="G76:G81 C79 C81">
    <cfRule type="cellIs" dxfId="1240" priority="188" stopIfTrue="1" operator="greaterThan">
      <formula>4.5</formula>
    </cfRule>
    <cfRule type="cellIs" dxfId="1239" priority="189" stopIfTrue="1" operator="lessThanOrEqual">
      <formula>0</formula>
    </cfRule>
  </conditionalFormatting>
  <conditionalFormatting sqref="G10:H12 M10:N18 H13:H18">
    <cfRule type="expression" dxfId="1238" priority="21">
      <formula>IF(+(IF(G10&lt;#REF!,0,IF(G10&gt;#REF!,0,1)))=0,1)</formula>
    </cfRule>
  </conditionalFormatting>
  <conditionalFormatting sqref="G75:H75">
    <cfRule type="cellIs" dxfId="1237" priority="170" stopIfTrue="1" operator="lessThanOrEqual">
      <formula>0</formula>
    </cfRule>
    <cfRule type="cellIs" dxfId="1236" priority="169" stopIfTrue="1" operator="greaterThan">
      <formula>$F$74</formula>
    </cfRule>
  </conditionalFormatting>
  <conditionalFormatting sqref="H32:H33 H46">
    <cfRule type="cellIs" dxfId="1235" priority="167" stopIfTrue="1" operator="greaterThan">
      <formula>0</formula>
    </cfRule>
  </conditionalFormatting>
  <conditionalFormatting sqref="H50">
    <cfRule type="cellIs" dxfId="1234" priority="60" stopIfTrue="1" operator="greaterThan">
      <formula>$F$64</formula>
    </cfRule>
    <cfRule type="cellIs" dxfId="1233" priority="59" stopIfTrue="1" operator="lessThanOrEqual">
      <formula>0</formula>
    </cfRule>
    <cfRule type="cellIs" dxfId="1232" priority="58" stopIfTrue="1" operator="greaterThan">
      <formula>$F$66</formula>
    </cfRule>
    <cfRule type="cellIs" dxfId="1231" priority="49" stopIfTrue="1" operator="lessThanOrEqual">
      <formula>0</formula>
    </cfRule>
    <cfRule type="cellIs" dxfId="1230" priority="50" stopIfTrue="1" operator="greaterThan">
      <formula>$F$63</formula>
    </cfRule>
  </conditionalFormatting>
  <conditionalFormatting sqref="H50:H52">
    <cfRule type="cellIs" dxfId="1229" priority="61" stopIfTrue="1" operator="lessThanOrEqual">
      <formula>0</formula>
    </cfRule>
  </conditionalFormatting>
  <conditionalFormatting sqref="H51:H52">
    <cfRule type="cellIs" dxfId="1228" priority="86" stopIfTrue="1" operator="lessThanOrEqual">
      <formula>0</formula>
    </cfRule>
    <cfRule type="cellIs" dxfId="1227" priority="85" stopIfTrue="1" operator="greaterThan">
      <formula>$F$66</formula>
    </cfRule>
    <cfRule type="cellIs" dxfId="1226" priority="77" stopIfTrue="1" operator="greaterThan">
      <formula>$F$63</formula>
    </cfRule>
    <cfRule type="cellIs" dxfId="1225" priority="87" stopIfTrue="1" operator="greaterThan">
      <formula>$F$64</formula>
    </cfRule>
  </conditionalFormatting>
  <conditionalFormatting sqref="H51:H54">
    <cfRule type="cellIs" dxfId="1224" priority="88" stopIfTrue="1" operator="lessThanOrEqual">
      <formula>0</formula>
    </cfRule>
  </conditionalFormatting>
  <conditionalFormatting sqref="H53:H54">
    <cfRule type="cellIs" dxfId="1223" priority="102" stopIfTrue="1" operator="lessThanOrEqual">
      <formula>0</formula>
    </cfRule>
    <cfRule type="cellIs" dxfId="1222" priority="99" stopIfTrue="1" operator="greaterThan">
      <formula>$F$66</formula>
    </cfRule>
    <cfRule type="cellIs" dxfId="1221" priority="100" stopIfTrue="1" operator="lessThanOrEqual">
      <formula>0</formula>
    </cfRule>
    <cfRule type="cellIs" dxfId="1220" priority="91" stopIfTrue="1" operator="greaterThan">
      <formula>$F$63</formula>
    </cfRule>
    <cfRule type="cellIs" dxfId="1219" priority="101" stopIfTrue="1" operator="greaterThan">
      <formula>$F$64</formula>
    </cfRule>
  </conditionalFormatting>
  <conditionalFormatting sqref="H55:H56">
    <cfRule type="cellIs" dxfId="1218" priority="140" stopIfTrue="1" operator="greaterThan">
      <formula>#REF!</formula>
    </cfRule>
    <cfRule type="cellIs" dxfId="1217" priority="141" stopIfTrue="1" operator="lessThanOrEqual">
      <formula>0</formula>
    </cfRule>
    <cfRule type="cellIs" dxfId="1216" priority="130" stopIfTrue="1" operator="greaterThan">
      <formula>#REF!</formula>
    </cfRule>
    <cfRule type="cellIs" dxfId="1215" priority="129" stopIfTrue="1" operator="lessThanOrEqual">
      <formula>0</formula>
    </cfRule>
    <cfRule type="cellIs" dxfId="1214" priority="139" stopIfTrue="1" operator="lessThanOrEqual">
      <formula>0</formula>
    </cfRule>
    <cfRule type="cellIs" dxfId="1213" priority="138" stopIfTrue="1" operator="greaterThan">
      <formula>$F$18</formula>
    </cfRule>
  </conditionalFormatting>
  <conditionalFormatting sqref="H57">
    <cfRule type="cellIs" dxfId="1212" priority="152" stopIfTrue="1" operator="greaterThan">
      <formula>$F$34</formula>
    </cfRule>
    <cfRule type="cellIs" dxfId="1211" priority="153" stopIfTrue="1" operator="lessThanOrEqual">
      <formula>0</formula>
    </cfRule>
    <cfRule type="cellIs" dxfId="1210" priority="154" stopIfTrue="1" operator="greaterThan">
      <formula>$F$32</formula>
    </cfRule>
    <cfRule type="cellIs" dxfId="1209" priority="155" stopIfTrue="1" operator="lessThanOrEqual">
      <formula>0</formula>
    </cfRule>
    <cfRule type="cellIs" dxfId="1208" priority="144" stopIfTrue="1" operator="greaterThan">
      <formula>$F$31</formula>
    </cfRule>
    <cfRule type="cellIs" dxfId="1207" priority="143" stopIfTrue="1" operator="lessThanOrEqual">
      <formula>0</formula>
    </cfRule>
  </conditionalFormatting>
  <conditionalFormatting sqref="H58:H59">
    <cfRule type="cellIs" dxfId="1206" priority="127" stopIfTrue="1" operator="lessThanOrEqual">
      <formula>0</formula>
    </cfRule>
    <cfRule type="cellIs" dxfId="1205" priority="125" stopIfTrue="1" operator="lessThanOrEqual">
      <formula>0</formula>
    </cfRule>
    <cfRule type="cellIs" dxfId="1204" priority="116" stopIfTrue="1" operator="greaterThan">
      <formula>#REF!</formula>
    </cfRule>
    <cfRule type="cellIs" dxfId="1203" priority="124" stopIfTrue="1" operator="greaterThan">
      <formula>$F$18</formula>
    </cfRule>
    <cfRule type="cellIs" dxfId="1202" priority="115" stopIfTrue="1" operator="lessThanOrEqual">
      <formula>0</formula>
    </cfRule>
    <cfRule type="cellIs" dxfId="1201" priority="126" stopIfTrue="1" operator="greaterThan">
      <formula>#REF!</formula>
    </cfRule>
  </conditionalFormatting>
  <conditionalFormatting sqref="H74 H76:H82">
    <cfRule type="cellIs" dxfId="1200" priority="181" stopIfTrue="1" operator="greaterThan">
      <formula>4.5</formula>
    </cfRule>
    <cfRule type="cellIs" dxfId="1199" priority="182" stopIfTrue="1" operator="lessThanOrEqual">
      <formula>0</formula>
    </cfRule>
  </conditionalFormatting>
  <conditionalFormatting sqref="H50:I50">
    <cfRule type="cellIs" dxfId="1198" priority="51" stopIfTrue="1" operator="lessThanOrEqual">
      <formula>0</formula>
    </cfRule>
  </conditionalFormatting>
  <conditionalFormatting sqref="H50:I54">
    <cfRule type="cellIs" dxfId="1197" priority="48" stopIfTrue="1" operator="greaterThan">
      <formula>$F$65</formula>
    </cfRule>
  </conditionalFormatting>
  <conditionalFormatting sqref="H51:I52">
    <cfRule type="cellIs" dxfId="1196" priority="78" stopIfTrue="1" operator="lessThanOrEqual">
      <formula>0</formula>
    </cfRule>
  </conditionalFormatting>
  <conditionalFormatting sqref="H53:I54">
    <cfRule type="cellIs" dxfId="1195" priority="92" stopIfTrue="1" operator="lessThanOrEqual">
      <formula>0</formula>
    </cfRule>
  </conditionalFormatting>
  <conditionalFormatting sqref="H55:I56">
    <cfRule type="cellIs" dxfId="1194" priority="131" stopIfTrue="1" operator="lessThanOrEqual">
      <formula>0</formula>
    </cfRule>
    <cfRule type="cellIs" dxfId="1193" priority="128" stopIfTrue="1" operator="greaterThan">
      <formula>#REF!</formula>
    </cfRule>
  </conditionalFormatting>
  <conditionalFormatting sqref="H57:I57">
    <cfRule type="cellIs" dxfId="1192" priority="145" stopIfTrue="1" operator="lessThanOrEqual">
      <formula>0</formula>
    </cfRule>
    <cfRule type="cellIs" dxfId="1191" priority="142" stopIfTrue="1" operator="greaterThan">
      <formula>$F$33</formula>
    </cfRule>
  </conditionalFormatting>
  <conditionalFormatting sqref="H58:I59">
    <cfRule type="cellIs" dxfId="1190" priority="114" stopIfTrue="1" operator="greaterThan">
      <formula>#REF!</formula>
    </cfRule>
    <cfRule type="cellIs" dxfId="1189" priority="117" stopIfTrue="1" operator="lessThanOrEqual">
      <formula>0</formula>
    </cfRule>
  </conditionalFormatting>
  <conditionalFormatting sqref="H63:I70">
    <cfRule type="cellIs" dxfId="1188" priority="30" stopIfTrue="1" operator="lessThanOrEqual">
      <formula>0</formula>
    </cfRule>
    <cfRule type="cellIs" dxfId="1187" priority="29" stopIfTrue="1" operator="greaterThan">
      <formula>$J63</formula>
    </cfRule>
  </conditionalFormatting>
  <conditionalFormatting sqref="H71:I71">
    <cfRule type="cellIs" dxfId="1186" priority="37" operator="greaterThan">
      <formula>5.3</formula>
    </cfRule>
  </conditionalFormatting>
  <conditionalFormatting sqref="H72:I72">
    <cfRule type="cellIs" dxfId="1185" priority="36" stopIfTrue="1" operator="lessThanOrEqual">
      <formula>0</formula>
    </cfRule>
    <cfRule type="cellIs" dxfId="1184" priority="35" stopIfTrue="1" operator="greaterThan">
      <formula>$J72</formula>
    </cfRule>
  </conditionalFormatting>
  <conditionalFormatting sqref="I50">
    <cfRule type="cellIs" dxfId="1183" priority="57" stopIfTrue="1" operator="lessThanOrEqual">
      <formula>0</formula>
    </cfRule>
    <cfRule type="cellIs" dxfId="1182" priority="52" stopIfTrue="1" operator="greaterThan">
      <formula>$F$63</formula>
    </cfRule>
    <cfRule type="cellIs" dxfId="1181" priority="53" stopIfTrue="1" operator="lessThanOrEqual">
      <formula>0</formula>
    </cfRule>
    <cfRule type="cellIs" dxfId="1180" priority="54" stopIfTrue="1" operator="greaterThan">
      <formula>$F$65</formula>
    </cfRule>
    <cfRule type="cellIs" dxfId="1179" priority="55" stopIfTrue="1" operator="lessThanOrEqual">
      <formula>0</formula>
    </cfRule>
    <cfRule type="cellIs" dxfId="1178" priority="56" stopIfTrue="1" operator="greaterThan">
      <formula>$F$63</formula>
    </cfRule>
  </conditionalFormatting>
  <conditionalFormatting sqref="I51:I52">
    <cfRule type="cellIs" dxfId="1177" priority="84" stopIfTrue="1" operator="lessThanOrEqual">
      <formula>0</formula>
    </cfRule>
    <cfRule type="cellIs" dxfId="1176" priority="83" stopIfTrue="1" operator="greaterThan">
      <formula>$F$63</formula>
    </cfRule>
    <cfRule type="cellIs" dxfId="1175" priority="82" stopIfTrue="1" operator="lessThanOrEqual">
      <formula>0</formula>
    </cfRule>
    <cfRule type="cellIs" dxfId="1174" priority="81" stopIfTrue="1" operator="greaterThan">
      <formula>$F$65</formula>
    </cfRule>
    <cfRule type="cellIs" dxfId="1173" priority="79" stopIfTrue="1" operator="greaterThan">
      <formula>$F$63</formula>
    </cfRule>
    <cfRule type="cellIs" dxfId="1172" priority="80" stopIfTrue="1" operator="lessThanOrEqual">
      <formula>0</formula>
    </cfRule>
  </conditionalFormatting>
  <conditionalFormatting sqref="I53:I54">
    <cfRule type="cellIs" dxfId="1171" priority="98" stopIfTrue="1" operator="lessThanOrEqual">
      <formula>0</formula>
    </cfRule>
    <cfRule type="cellIs" dxfId="1170" priority="93" stopIfTrue="1" operator="greaterThan">
      <formula>$F$63</formula>
    </cfRule>
    <cfRule type="cellIs" dxfId="1169" priority="94" stopIfTrue="1" operator="lessThanOrEqual">
      <formula>0</formula>
    </cfRule>
    <cfRule type="cellIs" dxfId="1168" priority="95" stopIfTrue="1" operator="greaterThan">
      <formula>$F$65</formula>
    </cfRule>
    <cfRule type="cellIs" dxfId="1167" priority="96" stopIfTrue="1" operator="lessThanOrEqual">
      <formula>0</formula>
    </cfRule>
    <cfRule type="cellIs" dxfId="1166" priority="97" stopIfTrue="1" operator="greaterThan">
      <formula>$F$63</formula>
    </cfRule>
  </conditionalFormatting>
  <conditionalFormatting sqref="I55:I56">
    <cfRule type="cellIs" dxfId="1165" priority="132" stopIfTrue="1" operator="greaterThan">
      <formula>#REF!</formula>
    </cfRule>
    <cfRule type="cellIs" dxfId="1164" priority="133" stopIfTrue="1" operator="lessThanOrEqual">
      <formula>0</formula>
    </cfRule>
    <cfRule type="cellIs" dxfId="1163" priority="134" stopIfTrue="1" operator="greaterThan">
      <formula>#REF!</formula>
    </cfRule>
    <cfRule type="cellIs" dxfId="1162" priority="135" stopIfTrue="1" operator="lessThanOrEqual">
      <formula>0</formula>
    </cfRule>
    <cfRule type="cellIs" dxfId="1161" priority="136" stopIfTrue="1" operator="greaterThan">
      <formula>#REF!</formula>
    </cfRule>
    <cfRule type="cellIs" dxfId="1160" priority="137" stopIfTrue="1" operator="lessThanOrEqual">
      <formula>0</formula>
    </cfRule>
  </conditionalFormatting>
  <conditionalFormatting sqref="I57">
    <cfRule type="cellIs" dxfId="1159" priority="151" stopIfTrue="1" operator="lessThanOrEqual">
      <formula>0</formula>
    </cfRule>
    <cfRule type="cellIs" dxfId="1158" priority="148" stopIfTrue="1" operator="greaterThan">
      <formula>$F$33</formula>
    </cfRule>
    <cfRule type="cellIs" dxfId="1157" priority="146" stopIfTrue="1" operator="greaterThan">
      <formula>$F$31</formula>
    </cfRule>
    <cfRule type="cellIs" dxfId="1156" priority="147" stopIfTrue="1" operator="lessThanOrEqual">
      <formula>0</formula>
    </cfRule>
    <cfRule type="cellIs" dxfId="1155" priority="149" stopIfTrue="1" operator="lessThanOrEqual">
      <formula>0</formula>
    </cfRule>
    <cfRule type="cellIs" dxfId="1154" priority="150" stopIfTrue="1" operator="greaterThan">
      <formula>$F$31</formula>
    </cfRule>
  </conditionalFormatting>
  <conditionalFormatting sqref="I58:I59">
    <cfRule type="cellIs" dxfId="1153" priority="119" stopIfTrue="1" operator="lessThanOrEqual">
      <formula>0</formula>
    </cfRule>
    <cfRule type="cellIs" dxfId="1152" priority="121" stopIfTrue="1" operator="lessThanOrEqual">
      <formula>0</formula>
    </cfRule>
    <cfRule type="cellIs" dxfId="1151" priority="122" stopIfTrue="1" operator="greaterThan">
      <formula>#REF!</formula>
    </cfRule>
    <cfRule type="cellIs" dxfId="1150" priority="123" stopIfTrue="1" operator="lessThanOrEqual">
      <formula>0</formula>
    </cfRule>
    <cfRule type="cellIs" dxfId="1149" priority="120" stopIfTrue="1" operator="greaterThan">
      <formula>#REF!</formula>
    </cfRule>
    <cfRule type="cellIs" dxfId="1148" priority="118" stopIfTrue="1" operator="greaterThan">
      <formula>#REF!</formula>
    </cfRule>
  </conditionalFormatting>
  <conditionalFormatting sqref="I74:I82">
    <cfRule type="cellIs" dxfId="1147" priority="178" stopIfTrue="1" operator="lessThanOrEqual">
      <formula>0</formula>
    </cfRule>
    <cfRule type="cellIs" dxfId="1146" priority="177" stopIfTrue="1" operator="greaterThan">
      <formula>4.5</formula>
    </cfRule>
  </conditionalFormatting>
  <conditionalFormatting sqref="I10:J18">
    <cfRule type="cellIs" dxfId="1145" priority="12" operator="lessThan">
      <formula>97.9</formula>
    </cfRule>
  </conditionalFormatting>
  <conditionalFormatting sqref="J21:J22">
    <cfRule type="cellIs" dxfId="1144" priority="90" operator="lessThan">
      <formula>97.95</formula>
    </cfRule>
  </conditionalFormatting>
  <conditionalFormatting sqref="J23">
    <cfRule type="cellIs" dxfId="1143" priority="159" operator="lessThan">
      <formula>98</formula>
    </cfRule>
    <cfRule type="cellIs" dxfId="1142" priority="158" stopIfTrue="1" operator="greaterThan">
      <formula>100</formula>
    </cfRule>
    <cfRule type="cellIs" dxfId="1141" priority="157" stopIfTrue="1" operator="lessThan">
      <formula>96.8</formula>
    </cfRule>
  </conditionalFormatting>
  <conditionalFormatting sqref="J23:J25">
    <cfRule type="cellIs" dxfId="1140" priority="156" operator="lessThan">
      <formula>97.4</formula>
    </cfRule>
  </conditionalFormatting>
  <conditionalFormatting sqref="J26:J27">
    <cfRule type="cellIs" dxfId="1139" priority="160" operator="lessThan">
      <formula>98</formula>
    </cfRule>
  </conditionalFormatting>
  <conditionalFormatting sqref="J28:J29">
    <cfRule type="cellIs" dxfId="1138" priority="162" stopIfTrue="1" operator="greaterThan">
      <formula>100</formula>
    </cfRule>
    <cfRule type="cellIs" dxfId="1137" priority="161" stopIfTrue="1" operator="lessThan">
      <formula>96.8</formula>
    </cfRule>
  </conditionalFormatting>
  <conditionalFormatting sqref="J28:J30">
    <cfRule type="cellIs" dxfId="1136" priority="163" operator="lessThan">
      <formula>98</formula>
    </cfRule>
  </conditionalFormatting>
  <conditionalFormatting sqref="J59">
    <cfRule type="cellIs" dxfId="1135" priority="107" stopIfTrue="1" operator="lessThanOrEqual">
      <formula>0</formula>
    </cfRule>
    <cfRule type="cellIs" dxfId="1134" priority="106" stopIfTrue="1" operator="greaterThan">
      <formula>#REF!</formula>
    </cfRule>
    <cfRule type="cellIs" dxfId="1133" priority="108" stopIfTrue="1" operator="greaterThan">
      <formula>#REF!</formula>
    </cfRule>
    <cfRule type="cellIs" dxfId="1132" priority="109" stopIfTrue="1" operator="lessThanOrEqual">
      <formula>0</formula>
    </cfRule>
    <cfRule type="cellIs" dxfId="1131" priority="110" stopIfTrue="1" operator="greaterThan">
      <formula>#REF!</formula>
    </cfRule>
    <cfRule type="cellIs" dxfId="1130" priority="111" stopIfTrue="1" operator="lessThanOrEqual">
      <formula>0</formula>
    </cfRule>
    <cfRule type="cellIs" dxfId="1129" priority="112" stopIfTrue="1" operator="greaterThan">
      <formula>#REF!</formula>
    </cfRule>
    <cfRule type="cellIs" dxfId="1128" priority="113" stopIfTrue="1" operator="lessThanOrEqual">
      <formula>0</formula>
    </cfRule>
  </conditionalFormatting>
  <conditionalFormatting sqref="J72">
    <cfRule type="cellIs" dxfId="1127" priority="40" stopIfTrue="1" operator="greaterThan">
      <formula>$F72</formula>
    </cfRule>
    <cfRule type="cellIs" dxfId="1126" priority="41" stopIfTrue="1" operator="lessThanOrEqual">
      <formula>0</formula>
    </cfRule>
  </conditionalFormatting>
  <conditionalFormatting sqref="K10:K18">
    <cfRule type="cellIs" dxfId="1125" priority="14" operator="lessThan">
      <formula>4</formula>
    </cfRule>
    <cfRule type="cellIs" dxfId="1124" priority="15" operator="greaterThan">
      <formula>6.4</formula>
    </cfRule>
    <cfRule type="cellIs" dxfId="1123" priority="13" operator="greaterThan">
      <formula>6</formula>
    </cfRule>
  </conditionalFormatting>
  <conditionalFormatting sqref="K50:K59">
    <cfRule type="cellIs" dxfId="1122" priority="89" stopIfTrue="1" operator="lessThan">
      <formula>100%</formula>
    </cfRule>
  </conditionalFormatting>
  <conditionalFormatting sqref="K63:K71">
    <cfRule type="cellIs" dxfId="1121" priority="28" stopIfTrue="1" operator="lessThan">
      <formula>100%</formula>
    </cfRule>
  </conditionalFormatting>
  <conditionalFormatting sqref="K74:K79">
    <cfRule type="cellIs" dxfId="1120" priority="183" stopIfTrue="1" operator="lessThan">
      <formula>100%</formula>
    </cfRule>
  </conditionalFormatting>
  <conditionalFormatting sqref="K81:K82">
    <cfRule type="cellIs" dxfId="1119" priority="190" stopIfTrue="1" operator="lessThan">
      <formula>100%</formula>
    </cfRule>
  </conditionalFormatting>
  <conditionalFormatting sqref="L10:L18">
    <cfRule type="cellIs" dxfId="1118" priority="16" operator="between">
      <formula>61</formula>
      <formula>65</formula>
    </cfRule>
    <cfRule type="cellIs" dxfId="1117" priority="17" operator="greaterThan">
      <formula>65</formula>
    </cfRule>
  </conditionalFormatting>
  <conditionalFormatting sqref="L21:M32">
    <cfRule type="cellIs" dxfId="1116" priority="103" operator="lessThan">
      <formula>97.95</formula>
    </cfRule>
  </conditionalFormatting>
  <conditionalFormatting sqref="L36:N36">
    <cfRule type="cellIs" dxfId="1115" priority="68" operator="notEqual">
      <formula>#REF!</formula>
    </cfRule>
  </conditionalFormatting>
  <conditionalFormatting sqref="L63:N72">
    <cfRule type="cellIs" dxfId="1114" priority="23" stopIfTrue="1" operator="lessThan">
      <formula>100%</formula>
    </cfRule>
  </conditionalFormatting>
  <conditionalFormatting sqref="L74:N82">
    <cfRule type="cellIs" dxfId="1113" priority="168" stopIfTrue="1" operator="lessThan">
      <formula>100%</formula>
    </cfRule>
  </conditionalFormatting>
  <conditionalFormatting sqref="N10">
    <cfRule type="expression" dxfId="1112" priority="1">
      <formula>IF(+(IF(N10&lt;W10,0,IF(N10&gt;X10,0,1)))=0,1)</formula>
    </cfRule>
  </conditionalFormatting>
  <conditionalFormatting sqref="N13:N17">
    <cfRule type="expression" dxfId="1111" priority="2">
      <formula>IF(+(IF(N13&lt;W13,0,IF(N13&gt;X13,0,1)))=0,1)</formula>
    </cfRule>
  </conditionalFormatting>
  <conditionalFormatting sqref="P6">
    <cfRule type="cellIs" dxfId="1110" priority="164" operator="greaterThanOrEqual">
      <formula>19</formula>
    </cfRule>
  </conditionalFormatting>
  <dataValidations count="1">
    <dataValidation type="list" allowBlank="1" showInputMessage="1" showErrorMessage="1" sqref="R8" xr:uid="{1AA2B9FE-E71B-4683-B1D1-2254E2951E8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E36F-4752-4EC4-8336-72B68ADFE0AC}">
  <sheetPr>
    <pageSetUpPr fitToPage="1"/>
  </sheetPr>
  <dimension ref="A1:BE74"/>
  <sheetViews>
    <sheetView topLeftCell="A4" zoomScale="70" zoomScaleNormal="70" workbookViewId="0">
      <selection activeCell="B14" sqref="B14:O14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109.140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46198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3" t="s">
        <v>9</v>
      </c>
      <c r="C10" s="366" t="str">
        <f>[4]Brewhouse!$A279</f>
        <v>ST224</v>
      </c>
      <c r="D10" s="279">
        <f>[4]Brewhouse!$AB279</f>
        <v>53</v>
      </c>
      <c r="E10" s="279">
        <f>[4]Brewhouse!$AG279</f>
        <v>50.2</v>
      </c>
      <c r="F10" s="278">
        <f>[4]Brewhouse!$V279</f>
        <v>58</v>
      </c>
      <c r="G10" s="279">
        <f>[4]Brewhouse!$AE279</f>
        <v>11.6</v>
      </c>
      <c r="H10" s="481">
        <v>12.1</v>
      </c>
      <c r="I10" s="368">
        <f>[4]Brewhouse!$AS279</f>
        <v>97.31936248600482</v>
      </c>
      <c r="J10" s="368">
        <f>[4]Brewhouse!$AT279</f>
        <v>98.246368273449207</v>
      </c>
      <c r="K10" s="281">
        <f>[4]Brewhouse!$Q279</f>
        <v>11.839622641509431</v>
      </c>
      <c r="L10" s="276">
        <f>[4]Brewhouse!$P279</f>
        <v>59</v>
      </c>
      <c r="M10" s="374">
        <f>[4]Brewhouse!$U279-[4]Brewhouse!$T279</f>
        <v>0.1222222222222222</v>
      </c>
      <c r="N10" s="370">
        <f>[4]Brewhouse!$AW279</f>
        <v>0.27847222222222223</v>
      </c>
      <c r="O10" s="420" t="str">
        <f>[4]Brewhouse!$AV279</f>
        <v>K. Benjamin</v>
      </c>
      <c r="P10" s="418" t="s">
        <v>188</v>
      </c>
      <c r="R10" s="277" t="str">
        <f t="shared" ref="R10:R18" si="0">B10</f>
        <v>STAG</v>
      </c>
      <c r="S10" s="472">
        <f t="shared" ref="S10:S18" si="1">VLOOKUP($B10,$R$3:$X$9,2,FALSE)</f>
        <v>11.6</v>
      </c>
      <c r="T10" s="472">
        <f t="shared" ref="T10:T18" si="2">VLOOKUP($B10,$R$3:$X$9,3,FALSE)</f>
        <v>12</v>
      </c>
      <c r="U10" s="297">
        <f t="shared" ref="U10:U18" si="3">VLOOKUP($B10,$R$3:$X$9,4,FALSE)</f>
        <v>0</v>
      </c>
      <c r="V10" s="297">
        <f t="shared" ref="V10:V18" si="4">VLOOKUP($B10,$R$3:$X$9,5,FALSE)</f>
        <v>0.118055555555556</v>
      </c>
      <c r="W10" s="297">
        <f t="shared" ref="W10:W18" si="5">VLOOKUP($B10,$R$3:$X$9,6,FALSE)</f>
        <v>0.22569444444444445</v>
      </c>
      <c r="X10" s="297">
        <f t="shared" ref="X10:X18" si="6">VLOOKUP($B10,$R$3:$X$9,7,FALSE)</f>
        <v>0.2638888888888889</v>
      </c>
      <c r="Y10" s="297">
        <f t="shared" ref="Y10:Y18" si="7">VLOOKUP($B10,$R$3:$Z$9,8,FALSE)</f>
        <v>0</v>
      </c>
      <c r="Z10" s="472">
        <f t="shared" ref="Z10:Z18" si="8">VLOOKUP($B10,$R$3:$Z$9,9,FALSE)</f>
        <v>60</v>
      </c>
    </row>
    <row r="11" spans="2:29" ht="17.25" customHeight="1">
      <c r="B11" s="33" t="s">
        <v>9</v>
      </c>
      <c r="C11" s="366" t="str">
        <f>[4]Brewhouse!$A280</f>
        <v>ST225</v>
      </c>
      <c r="D11" s="279">
        <f>[4]Brewhouse!$AB280</f>
        <v>53</v>
      </c>
      <c r="E11" s="279">
        <f>[4]Brewhouse!$AG280</f>
        <v>49.5</v>
      </c>
      <c r="F11" s="278">
        <f>[4]Brewhouse!$V280</f>
        <v>55</v>
      </c>
      <c r="G11" s="279">
        <f>[4]Brewhouse!$AE280</f>
        <v>12</v>
      </c>
      <c r="H11" s="481">
        <v>12.1</v>
      </c>
      <c r="I11" s="368">
        <f>[4]Brewhouse!$AS280</f>
        <v>99.446100161727543</v>
      </c>
      <c r="J11" s="368">
        <f>[4]Brewhouse!$AT280</f>
        <v>100.3933639747427</v>
      </c>
      <c r="K11" s="281">
        <f>[4]Brewhouse!$Q280</f>
        <v>9.0094339622641488</v>
      </c>
      <c r="L11" s="276">
        <f>[4]Brewhouse!$P280</f>
        <v>61</v>
      </c>
      <c r="M11" s="374">
        <f>[4]Brewhouse!$U280-[4]Brewhouse!$T280</f>
        <v>0.12430555555555556</v>
      </c>
      <c r="N11" s="370">
        <f>[4]Brewhouse!$AW280</f>
        <v>0.28819444444444442</v>
      </c>
      <c r="O11" s="420" t="str">
        <f>[4]Brewhouse!$AV280</f>
        <v>K. Benjamin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33" t="s">
        <v>9</v>
      </c>
      <c r="C12" s="366" t="str">
        <f>[4]Brewhouse!$A281</f>
        <v>ST226</v>
      </c>
      <c r="D12" s="279">
        <f>[4]Brewhouse!$AB281</f>
        <v>53.1</v>
      </c>
      <c r="E12" s="279">
        <f>[4]Brewhouse!$AG281</f>
        <v>50.4</v>
      </c>
      <c r="F12" s="278">
        <f>[4]Brewhouse!$V281</f>
        <v>53</v>
      </c>
      <c r="G12" s="279">
        <f>[4]Brewhouse!$AE281</f>
        <v>12</v>
      </c>
      <c r="H12" s="481">
        <v>12.1</v>
      </c>
      <c r="I12" s="368">
        <f>[4]Brewhouse!$AS281</f>
        <v>101.25421107375897</v>
      </c>
      <c r="J12" s="368">
        <f>[4]Brewhouse!$AT281</f>
        <v>102.21869786519255</v>
      </c>
      <c r="K12" s="281">
        <f>[4]Brewhouse!$Q281</f>
        <v>11.252354048964222</v>
      </c>
      <c r="L12" s="276">
        <f>[4]Brewhouse!$P281</f>
        <v>66</v>
      </c>
      <c r="M12" s="374">
        <f>[4]Brewhouse!$U281-[4]Brewhouse!$T281</f>
        <v>0.10763888888888884</v>
      </c>
      <c r="N12" s="370">
        <f>[4]Brewhouse!$AW281</f>
        <v>0.32291666666666663</v>
      </c>
      <c r="O12" s="420" t="str">
        <f>[4]Brewhouse!$AV281</f>
        <v>K. Benjamin</v>
      </c>
      <c r="P12" s="418" t="s">
        <v>189</v>
      </c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33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420"/>
      <c r="P13" s="418"/>
      <c r="R13" s="277">
        <f t="shared" si="0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7.25" customHeight="1">
      <c r="B14" s="29" t="s">
        <v>6</v>
      </c>
      <c r="C14" s="366" t="str">
        <f>[3]Brewhouse!$A473</f>
        <v>CA427</v>
      </c>
      <c r="D14" s="279">
        <f>[3]Brewhouse!$AF473</f>
        <v>50</v>
      </c>
      <c r="E14" s="279">
        <f>[3]Brewhouse!$AI473</f>
        <v>50.6</v>
      </c>
      <c r="F14" s="278">
        <f>[3]Brewhouse!$V473</f>
        <v>60</v>
      </c>
      <c r="G14" s="279">
        <f>[3]Brewhouse!AG473</f>
        <v>11.8</v>
      </c>
      <c r="H14" s="396"/>
      <c r="I14" s="368">
        <f>[3]Brewhouse!$AU473</f>
        <v>112.10179731674612</v>
      </c>
      <c r="J14" s="368">
        <f>[3]Brewhouse!$AV473</f>
        <v>113.37266213777374</v>
      </c>
      <c r="K14" s="281">
        <f>[3]Brewhouse!$Q473</f>
        <v>4.6400000000000006</v>
      </c>
      <c r="L14" s="276">
        <f>[3]Brewhouse!$P473</f>
        <v>62</v>
      </c>
      <c r="M14" s="397">
        <f>[3]Brewhouse!$U473-[3]Brewhouse!$T473</f>
        <v>0.12638888888888888</v>
      </c>
      <c r="N14" s="370">
        <f>[3]Brewhouse!$Z473</f>
        <v>0.30555555555555558</v>
      </c>
      <c r="O14" s="420" t="str">
        <f>[3]Brewhouse!$AX473</f>
        <v>K. Benjamin</v>
      </c>
      <c r="P14" s="418" t="s">
        <v>194</v>
      </c>
      <c r="R14" s="277" t="str">
        <f>B14</f>
        <v>CARIB</v>
      </c>
      <c r="S14" s="472">
        <f>VLOOKUP($B14,'June 25th '!$R$3:$X$9,2,FALSE)</f>
        <v>11.6</v>
      </c>
      <c r="T14" s="472">
        <f>VLOOKUP($B14,'June 25th '!$R$3:$X$9,3,FALSE)</f>
        <v>12</v>
      </c>
      <c r="U14" s="297">
        <f>VLOOKUP($B14,'June 25th '!$R$3:$X$9,4,FALSE)</f>
        <v>0</v>
      </c>
      <c r="V14" s="297">
        <f>VLOOKUP($B14,'June 25th '!$R$3:$X$9,5,FALSE)</f>
        <v>0.118055555555556</v>
      </c>
      <c r="W14" s="297">
        <f>VLOOKUP($B14,'June 25th '!$R$3:$X$9,6,FALSE)</f>
        <v>0.22569444444444445</v>
      </c>
      <c r="X14" s="297">
        <f>VLOOKUP($B14,'June 25th '!$R$3:$X$9,7,FALSE)</f>
        <v>0.2638888888888889</v>
      </c>
      <c r="Y14" s="297">
        <f>VLOOKUP($B14,'June 25th '!$R$3:$Z$9,8,FALSE)</f>
        <v>0</v>
      </c>
      <c r="Z14" s="472">
        <f>VLOOKUP($B14,'June 25th '!$R$3:$Z$9,9,FALSE)</f>
        <v>60</v>
      </c>
    </row>
    <row r="15" spans="2:29" ht="17.25" customHeight="1">
      <c r="B15" s="33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7.25" hidden="1" customHeight="1">
      <c r="B16" s="33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7.25" hidden="1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7.25" hidden="1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7.25" hidden="1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ref="R19:R34" si="9">B19</f>
        <v>0</v>
      </c>
      <c r="S19" s="472" t="e">
        <f t="shared" ref="S19:S34" si="10">VLOOKUP($B19,$R$3:$X$9,2,FALSE)</f>
        <v>#N/A</v>
      </c>
      <c r="T19" s="472" t="e">
        <f t="shared" ref="T19:T34" si="11">VLOOKUP($B19,$R$3:$X$9,3,FALSE)</f>
        <v>#N/A</v>
      </c>
      <c r="U19" s="297" t="e">
        <f t="shared" ref="U19:U34" si="12">VLOOKUP($B19,$R$3:$X$9,4,FALSE)</f>
        <v>#N/A</v>
      </c>
      <c r="V19" s="297" t="e">
        <f t="shared" ref="V19:V34" si="13">VLOOKUP($B19,$R$3:$X$9,5,FALSE)</f>
        <v>#N/A</v>
      </c>
      <c r="W19" s="297" t="e">
        <f t="shared" ref="W19:W34" si="14">VLOOKUP($B19,$R$3:$X$9,6,FALSE)</f>
        <v>#N/A</v>
      </c>
      <c r="X19" s="297" t="e">
        <f t="shared" ref="X19:X34" si="15">VLOOKUP($B19,$R$3:$X$9,7,FALSE)</f>
        <v>#N/A</v>
      </c>
      <c r="Y19" s="297" t="e">
        <f t="shared" ref="Y19:Y34" si="16">VLOOKUP($B19,$R$3:$Z$9,8,FALSE)</f>
        <v>#N/A</v>
      </c>
      <c r="Z19" s="472" t="e">
        <f t="shared" ref="Z19:Z34" si="17">VLOOKUP($B19,$R$3:$Z$9,9,FALSE)</f>
        <v>#N/A</v>
      </c>
    </row>
    <row r="20" spans="1:27" ht="17.2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7.25" customHeight="1" thickBot="1">
      <c r="B21" s="358"/>
      <c r="C21" s="358"/>
      <c r="D21" s="358"/>
      <c r="E21" s="358"/>
      <c r="F21" s="294"/>
      <c r="G21" s="294"/>
      <c r="H21" s="348"/>
      <c r="I21" s="544"/>
      <c r="J21" s="544"/>
      <c r="K21" s="544"/>
      <c r="L21" s="544"/>
      <c r="M21" s="544"/>
      <c r="N21" s="544"/>
      <c r="O21" s="1"/>
      <c r="P21" s="12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388" t="s">
        <v>162</v>
      </c>
      <c r="C22" s="388"/>
      <c r="D22" s="545" t="s">
        <v>35</v>
      </c>
      <c r="E22" s="546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9"/>
        <v xml:space="preserve">BRAND 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>
      <c r="A23" s="28"/>
      <c r="B23" s="530"/>
      <c r="C23" s="362"/>
      <c r="D23" s="548"/>
      <c r="E23" s="549"/>
      <c r="F23" s="294"/>
      <c r="G23" s="294"/>
      <c r="H23" s="348"/>
      <c r="I23" s="29" t="s">
        <v>6</v>
      </c>
      <c r="J23" s="323">
        <f>I14</f>
        <v>112.10179731674612</v>
      </c>
      <c r="K23" s="284">
        <f>COUNTA([3]Brewhouse!$A$441:$A$472)</f>
        <v>32</v>
      </c>
      <c r="L23" s="305">
        <f>AVERAGE([3]Brewhouse!$AU$441:$AU$472)</f>
        <v>98.774374509565789</v>
      </c>
      <c r="M23" s="305">
        <f>AVERAGE([3]Brewhouse!$AU$42:$AU$123,[3]Brewhouse!$AU$125:$AU$188,[3]Brewhouse!$AU$198:$AU$290,[3]Brewhouse!$AU$292:$AU$370,[3]Brewhouse!$AU$372:$AU$439,[3]Brewhouse!$AU$441:$AU$472)</f>
        <v>98.035994566046838</v>
      </c>
      <c r="N23" s="30">
        <v>98</v>
      </c>
      <c r="O23" s="11"/>
      <c r="P23" s="31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5" customHeight="1">
      <c r="A24" s="28"/>
      <c r="B24" s="531"/>
      <c r="C24" s="362"/>
      <c r="D24" s="550"/>
      <c r="E24" s="536"/>
      <c r="F24" s="294"/>
      <c r="G24" s="294"/>
      <c r="H24" s="348"/>
      <c r="I24" s="33" t="s">
        <v>9</v>
      </c>
      <c r="J24" s="323">
        <f>AVERAGE(I10:I12)</f>
        <v>99.339891240497124</v>
      </c>
      <c r="K24" s="284">
        <f>COUNTA([4]Brewhouse!$A$252:$A$281)</f>
        <v>30</v>
      </c>
      <c r="L24" s="302">
        <f>AVERAGE([4]Brewhouse!$AS$252:$AS$281)</f>
        <v>99.02872224539523</v>
      </c>
      <c r="M24" s="302">
        <f>AVERAGE([4]Brewhouse!$AS$52:$AS$81,[4]Brewhouse!$AS$83:$AS$124,[4]Brewhouse!$AS$134:$AS$177,[4]Brewhouse!$AS$22:$AS$179,[4]Brewhouse!$AS$214:$AS$249,[4]Brewhouse!$AS$252:$AS$281)</f>
        <v>98.069775498996407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4.65" customHeight="1">
      <c r="A25" s="28"/>
      <c r="B25" s="531"/>
      <c r="C25" s="362"/>
      <c r="D25" s="540"/>
      <c r="E25" s="541"/>
      <c r="F25" s="294"/>
      <c r="G25" s="294"/>
      <c r="H25" s="348"/>
      <c r="I25" s="34" t="s">
        <v>12</v>
      </c>
      <c r="J25" s="280"/>
      <c r="K25" s="284">
        <f>COUNTA([5]Brewhouse!$A$62:$A$69)</f>
        <v>8</v>
      </c>
      <c r="L25" s="302">
        <f>AVERAGE([5]Brewhouse!$AU$62:$AU$69)</f>
        <v>95.865325586732524</v>
      </c>
      <c r="M25" s="302">
        <f>AVERAGE([5]Brewhouse!$AU$16:$AU$23,[5]Brewhouse!$AU$25:$AU$32,[5]Brewhouse!$AU$34:$AU$41,[5]Brewhouse!$AU$43:$AU$60,[5]Brewhouse!$AU$62:$AU$69)</f>
        <v>96.726835550404019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1"/>
      <c r="C26" s="362"/>
      <c r="D26" s="535"/>
      <c r="E26" s="536"/>
      <c r="F26" s="294"/>
      <c r="G26" s="294"/>
      <c r="H26" s="348"/>
      <c r="I26" s="22" t="s">
        <v>33</v>
      </c>
      <c r="J26" s="280"/>
      <c r="K26" s="284"/>
      <c r="L26" s="302"/>
      <c r="M26" s="302">
        <f>AVERAGE([6]Brewhouse!$AV$23:$AV$34,[6]Brewhouse!$AV$36,[6]Brewhouse!$AV$38:$AV$52,[6]Brewhouse!$AV$54:$AV$60,[6]Brewhouse!$AV$62:$AV$68)</f>
        <v>97.579195177204838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1"/>
      <c r="C27" s="362"/>
      <c r="D27" s="540"/>
      <c r="E27" s="541"/>
      <c r="F27" s="417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1"/>
      <c r="C28" s="362"/>
      <c r="D28" s="535"/>
      <c r="E28" s="536"/>
      <c r="F28" s="417"/>
      <c r="G28" s="294"/>
      <c r="H28" s="348"/>
      <c r="I28" s="36" t="s">
        <v>15</v>
      </c>
      <c r="J28" s="323"/>
      <c r="K28" s="284"/>
      <c r="L28" s="302"/>
      <c r="M28" s="302">
        <f>AVERAGE([7]Brewhouse!$AT$4:$AT$11,[7]Brewhouse!$AT$13:$AT$16)</f>
        <v>91.538375374138752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1"/>
      <c r="C29" s="362"/>
      <c r="D29" s="540"/>
      <c r="E29" s="541"/>
      <c r="F29" s="417"/>
      <c r="G29" s="294"/>
      <c r="H29" s="348"/>
      <c r="I29" s="37" t="s">
        <v>16</v>
      </c>
      <c r="J29" s="323"/>
      <c r="K29" s="284">
        <f>COUNTA([8]Brewhouse!$A$66:$A$73)</f>
        <v>8</v>
      </c>
      <c r="L29" s="302">
        <f>AVERAGE([8]Brewhouse!$AY$66:$AY$73)</f>
        <v>98.225688487824243</v>
      </c>
      <c r="M29" s="302">
        <f>AVERAGE([8]Brewhouse!$AY$5:$AY$14,[8]Brewhouse!$AY$16:$AY$23,[8]Brewhouse!$AY$42,[8]Brewhouse!$AY$44:$AY$51,[8]Brewhouse!$AY$53:$AY$64,[8]Brewhouse!$AY$66:$AY$73)</f>
        <v>97.506811941025575</v>
      </c>
      <c r="N29" s="30">
        <v>98</v>
      </c>
      <c r="O29" s="11"/>
      <c r="P29" s="31" t="s">
        <v>41</v>
      </c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31"/>
      <c r="C30" s="362"/>
      <c r="D30" s="535"/>
      <c r="E30" s="536"/>
      <c r="F30" s="294"/>
      <c r="G30" s="294"/>
      <c r="H30" s="348"/>
      <c r="I30" s="411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31"/>
      <c r="C31" s="349"/>
      <c r="D31" s="540"/>
      <c r="E31" s="541"/>
      <c r="F31" s="294"/>
      <c r="G31" s="294"/>
      <c r="H31" s="348"/>
      <c r="I31" s="410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  <c r="AA31" s="472"/>
    </row>
    <row r="32" spans="1:27" ht="15" customHeight="1" thickBot="1">
      <c r="A32" s="28"/>
      <c r="B32" s="531"/>
      <c r="C32" s="349"/>
      <c r="D32" s="535"/>
      <c r="E32" s="536"/>
      <c r="F32" s="294"/>
      <c r="G32" s="294"/>
      <c r="H32" s="348"/>
      <c r="I32" s="406" t="s">
        <v>156</v>
      </c>
      <c r="J32" s="327"/>
      <c r="K32" s="407"/>
      <c r="L32" s="408"/>
      <c r="M32" s="408"/>
      <c r="N32" s="409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31"/>
      <c r="C33" s="349"/>
      <c r="D33" s="548"/>
      <c r="E33" s="549"/>
      <c r="F33" s="294"/>
      <c r="G33" s="294"/>
      <c r="H33" s="348"/>
      <c r="I33" s="1"/>
      <c r="J33" s="39"/>
      <c r="K33" s="404">
        <f>SUM(K23:K32)</f>
        <v>78</v>
      </c>
      <c r="L33" s="405">
        <f>((L23*K23)+(L24*K24)+(L25*K25)+(L26*K26)+(L27*K27)+(K30*L30)+(L28*K28)+(L29*K29)+(L32*K32))/(K33)</f>
        <v>98.51756108031303</v>
      </c>
      <c r="M33" s="405">
        <f>AVERAGE('[9]Jan30th-31st'!$L$42,L33)</f>
        <v>98.172801408077248</v>
      </c>
      <c r="N33" s="4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.75" thickBot="1">
      <c r="B34" s="547"/>
      <c r="C34" s="350"/>
      <c r="D34" s="550"/>
      <c r="E34" s="536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30"/>
      <c r="C35" s="362"/>
      <c r="D35" s="533"/>
      <c r="E35" s="534"/>
      <c r="F35" s="294"/>
      <c r="G35" s="42"/>
      <c r="H35" s="41"/>
      <c r="I35" s="42"/>
      <c r="J35" s="537" t="s">
        <v>129</v>
      </c>
      <c r="K35" s="537"/>
      <c r="L35" s="294"/>
      <c r="M35" s="294"/>
      <c r="N35" s="294"/>
      <c r="O35" s="294"/>
      <c r="P35" s="12"/>
    </row>
    <row r="36" spans="1:56" ht="15.75" thickBot="1">
      <c r="B36" s="531"/>
      <c r="C36" s="362"/>
      <c r="D36" s="535"/>
      <c r="E36" s="536"/>
      <c r="F36" s="294"/>
      <c r="G36" s="42"/>
      <c r="H36" s="42"/>
      <c r="I36" s="42"/>
      <c r="J36" s="292" t="s">
        <v>17</v>
      </c>
      <c r="K36" s="293" t="s">
        <v>170</v>
      </c>
      <c r="L36" s="538" t="s">
        <v>136</v>
      </c>
      <c r="M36" s="538"/>
      <c r="N36" s="539"/>
      <c r="O36" s="294"/>
      <c r="P36" s="12"/>
    </row>
    <row r="37" spans="1:56" ht="15" customHeight="1" thickBot="1">
      <c r="B37" s="531"/>
      <c r="C37" s="349"/>
      <c r="D37" s="540"/>
      <c r="E37" s="541"/>
      <c r="F37" s="294"/>
      <c r="G37" s="42"/>
      <c r="H37" s="42"/>
      <c r="I37" s="42"/>
      <c r="J37" s="287" t="s">
        <v>6</v>
      </c>
      <c r="K37" s="324">
        <v>1</v>
      </c>
      <c r="L37" s="473" t="s">
        <v>37</v>
      </c>
      <c r="M37" s="474" t="s">
        <v>38</v>
      </c>
      <c r="N37" s="474" t="s">
        <v>84</v>
      </c>
      <c r="O37" s="294"/>
      <c r="P37" s="12"/>
    </row>
    <row r="38" spans="1:56" ht="15.75" customHeight="1" thickBot="1">
      <c r="B38" s="531"/>
      <c r="C38" s="349"/>
      <c r="D38" s="535"/>
      <c r="E38" s="536"/>
      <c r="F38" s="294"/>
      <c r="G38" s="42"/>
      <c r="H38" s="42"/>
      <c r="I38" s="42"/>
      <c r="J38" s="345" t="s">
        <v>9</v>
      </c>
      <c r="K38" s="324">
        <v>3</v>
      </c>
      <c r="L38" s="344">
        <f>AVERAGE('June 2nd'!K44,'June 3rd'!K52,'June 4th'!K47,'June 5th'!K46,'June 8th'!K48,'June 9th'!K56,'June 15th '!K56,'June 16th'!K50,'June 17th '!K49,'June 18th '!K48,'June 21st'!L39,'June 22nd'!K49,'June 23rd'!K45,K47)</f>
        <v>6.0454545454545459</v>
      </c>
      <c r="M38" s="325">
        <f>AVERAGE('[9]Jan30th-31st'!$L$47,L38,'[10]Feb 26th '!$L$39,'[11]Mar 31st'!$L$47,'[12]Apr 30th'!$L$46,'[13]May 29th '!$L$40)</f>
        <v>6.2788866930171281</v>
      </c>
      <c r="N38" s="416">
        <v>9.1999999999999993</v>
      </c>
      <c r="O38" s="294"/>
      <c r="P38" s="12"/>
    </row>
    <row r="39" spans="1:56" ht="15" customHeight="1">
      <c r="B39" s="531"/>
      <c r="C39" s="349"/>
      <c r="D39" s="540"/>
      <c r="E39" s="541"/>
      <c r="F39" s="294"/>
      <c r="G39" s="42"/>
      <c r="H39" s="42"/>
      <c r="I39" s="42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31"/>
      <c r="C40" s="349"/>
      <c r="D40" s="535"/>
      <c r="E40" s="536"/>
      <c r="F40" s="294"/>
      <c r="G40" s="42"/>
      <c r="H40" s="42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31"/>
      <c r="C41" s="349"/>
      <c r="D41" s="540"/>
      <c r="E41" s="541"/>
      <c r="F41" s="294"/>
      <c r="G41" s="42"/>
      <c r="H41" s="42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31"/>
      <c r="C42" s="349"/>
      <c r="D42" s="535"/>
      <c r="E42" s="536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31"/>
      <c r="C43" s="349"/>
      <c r="D43" s="540"/>
      <c r="E43" s="541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32"/>
      <c r="C44" s="350"/>
      <c r="D44" s="542"/>
      <c r="E44" s="543"/>
      <c r="F44" s="294" t="s">
        <v>166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23"/>
      <c r="E45" s="524"/>
      <c r="F45" s="294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>
        <f>SUM(K37:K46)</f>
        <v>4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294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15" t="s">
        <v>17</v>
      </c>
      <c r="C50" s="515" t="s">
        <v>44</v>
      </c>
      <c r="D50" s="526" t="s">
        <v>45</v>
      </c>
      <c r="E50" s="528" t="s">
        <v>46</v>
      </c>
      <c r="F50" s="521" t="s">
        <v>47</v>
      </c>
      <c r="G50" s="513" t="s">
        <v>48</v>
      </c>
      <c r="H50" s="515" t="s">
        <v>49</v>
      </c>
      <c r="I50" s="515" t="s">
        <v>50</v>
      </c>
      <c r="J50" s="507" t="s">
        <v>28</v>
      </c>
      <c r="K50" s="517" t="s">
        <v>51</v>
      </c>
      <c r="L50" s="519" t="s">
        <v>52</v>
      </c>
      <c r="M50" s="507" t="s">
        <v>53</v>
      </c>
      <c r="N50" s="13"/>
      <c r="O50" s="13"/>
      <c r="P50" s="50"/>
    </row>
    <row r="51" spans="2:57" ht="28.5" customHeight="1" thickTop="1" thickBot="1">
      <c r="B51" s="516"/>
      <c r="C51" s="525"/>
      <c r="D51" s="527"/>
      <c r="E51" s="529"/>
      <c r="F51" s="522"/>
      <c r="G51" s="514"/>
      <c r="H51" s="516"/>
      <c r="I51" s="516"/>
      <c r="J51" s="508"/>
      <c r="K51" s="518"/>
      <c r="L51" s="520"/>
      <c r="M51" s="508"/>
      <c r="N51" s="13"/>
      <c r="O51" s="13"/>
      <c r="P51" s="50"/>
      <c r="Q51" s="355"/>
      <c r="AB51" s="475">
        <v>43474</v>
      </c>
      <c r="AC51" s="475">
        <v>43475</v>
      </c>
      <c r="AD51" s="475">
        <v>43476</v>
      </c>
      <c r="AE51" s="475">
        <v>43477</v>
      </c>
      <c r="AF51" s="475">
        <v>43478</v>
      </c>
      <c r="AG51" s="475">
        <v>43479</v>
      </c>
      <c r="AH51" s="475">
        <v>43480</v>
      </c>
      <c r="AI51" s="475">
        <v>43481</v>
      </c>
      <c r="AJ51" s="475">
        <v>43482</v>
      </c>
      <c r="AK51" s="475">
        <v>43483</v>
      </c>
      <c r="AL51" s="475">
        <v>43484</v>
      </c>
      <c r="AM51" s="475">
        <v>43485</v>
      </c>
      <c r="AN51" s="475">
        <v>43486</v>
      </c>
      <c r="AO51" s="475">
        <v>43487</v>
      </c>
      <c r="AP51" s="475">
        <v>43488</v>
      </c>
      <c r="AQ51" s="475">
        <v>43489</v>
      </c>
      <c r="AR51" s="475">
        <v>43490</v>
      </c>
      <c r="AS51" s="475">
        <v>43491</v>
      </c>
      <c r="AT51" s="475">
        <v>43492</v>
      </c>
      <c r="AU51" s="475">
        <v>43493</v>
      </c>
      <c r="AV51" s="475">
        <v>43494</v>
      </c>
      <c r="AW51" s="475">
        <v>43495</v>
      </c>
      <c r="AX51" s="475">
        <v>43496</v>
      </c>
    </row>
    <row r="52" spans="2:57" s="54" customFormat="1" ht="36.75" customHeight="1" thickBot="1">
      <c r="B52" s="480" t="str">
        <f>J37</f>
        <v>CARIB</v>
      </c>
      <c r="C52" s="479">
        <v>46197</v>
      </c>
      <c r="D52" s="445">
        <f>[14]June_2026!$AA$3</f>
        <v>398.92</v>
      </c>
      <c r="E52" s="443"/>
      <c r="F52" s="444"/>
      <c r="G52" s="445">
        <f>[14]June_2026!$AA$7</f>
        <v>382.7</v>
      </c>
      <c r="H52" s="458"/>
      <c r="I52" s="458"/>
      <c r="J52" s="448" t="s">
        <v>190</v>
      </c>
      <c r="K52" s="449">
        <f>[15]June_2026!$AA$18</f>
        <v>0.67140350877192978</v>
      </c>
      <c r="L52" s="457">
        <f>(((D52+E52)-G52)/(D52+E52))*100</f>
        <v>4.0659781409806541</v>
      </c>
      <c r="M52" s="455" t="s">
        <v>185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[16]January_2019!L5</f>
        <v>0</v>
      </c>
      <c r="AC52" s="57">
        <f>[16]January_2019!M5</f>
        <v>0</v>
      </c>
      <c r="AD52" s="57">
        <f>[16]January_2019!N5</f>
        <v>0</v>
      </c>
      <c r="AE52" s="57">
        <f>[16]January_2019!O5</f>
        <v>0</v>
      </c>
      <c r="AF52" s="57">
        <f>[16]January_2019!P5</f>
        <v>0</v>
      </c>
      <c r="AG52" s="57">
        <f>[16]January_2019!Q5</f>
        <v>0</v>
      </c>
      <c r="AH52" s="57">
        <f>[16]January_2019!R5</f>
        <v>0</v>
      </c>
      <c r="AI52" s="57">
        <f>[16]January_2019!S5</f>
        <v>0</v>
      </c>
      <c r="AJ52" s="57">
        <f>[16]January_2019!T5</f>
        <v>0</v>
      </c>
      <c r="AK52" s="57">
        <f>[16]January_2019!U5</f>
        <v>0</v>
      </c>
      <c r="AL52" s="57">
        <f>[16]January_2019!V5</f>
        <v>0</v>
      </c>
      <c r="AM52" s="57">
        <f>[16]January_2019!W5</f>
        <v>0</v>
      </c>
      <c r="AN52" s="57">
        <f>[16]January_2019!X5</f>
        <v>0</v>
      </c>
      <c r="AO52" s="57">
        <f>[16]January_2019!Y5</f>
        <v>0</v>
      </c>
      <c r="AP52" s="57">
        <f>[16]January_2019!Z5</f>
        <v>0</v>
      </c>
      <c r="AQ52" s="57">
        <f>[16]January_2019!AA5</f>
        <v>0</v>
      </c>
      <c r="AR52" s="57">
        <f>[16]January_2019!AB5</f>
        <v>0</v>
      </c>
      <c r="AS52" s="57">
        <f>[16]January_2019!AC5</f>
        <v>0</v>
      </c>
      <c r="AT52" s="57">
        <f>[16]January_2019!AD5</f>
        <v>0</v>
      </c>
      <c r="AU52" s="57">
        <f>[16]January_2019!AE5</f>
        <v>0</v>
      </c>
      <c r="AV52" s="57">
        <f>[16]January_2019!AF5</f>
        <v>0</v>
      </c>
      <c r="AW52" s="57">
        <f>[16]January_2019!AG5</f>
        <v>0</v>
      </c>
      <c r="AX52" s="277">
        <f>[16]January_2019!AH5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4.25" customHeight="1" thickBot="1">
      <c r="B53" s="480"/>
      <c r="C53" s="479"/>
      <c r="D53" s="442"/>
      <c r="E53" s="443"/>
      <c r="F53" s="444"/>
      <c r="G53" s="445"/>
      <c r="H53" s="458"/>
      <c r="I53" s="458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[16]January_2019!L6</f>
        <v>0</v>
      </c>
      <c r="AC53" s="57">
        <f>[16]January_2019!M6</f>
        <v>0</v>
      </c>
      <c r="AD53" s="57">
        <f>[16]January_2019!N6</f>
        <v>0</v>
      </c>
      <c r="AE53" s="57">
        <f>[16]January_2019!O6</f>
        <v>0</v>
      </c>
      <c r="AF53" s="57">
        <f>[16]January_2019!P6</f>
        <v>0</v>
      </c>
      <c r="AG53" s="57">
        <f>[16]January_2019!Q6</f>
        <v>0</v>
      </c>
      <c r="AH53" s="57">
        <f>[16]January_2019!R6</f>
        <v>0</v>
      </c>
      <c r="AI53" s="57">
        <f>[16]January_2019!S6</f>
        <v>0</v>
      </c>
      <c r="AJ53" s="57">
        <f>[16]January_2019!T6</f>
        <v>0</v>
      </c>
      <c r="AK53" s="57">
        <f>[16]January_2019!U6</f>
        <v>0</v>
      </c>
      <c r="AL53" s="57">
        <f>[16]January_2019!V6</f>
        <v>0</v>
      </c>
      <c r="AM53" s="57">
        <f>[16]January_2019!W6</f>
        <v>0</v>
      </c>
      <c r="AN53" s="57">
        <f>[16]January_2019!X6</f>
        <v>0</v>
      </c>
      <c r="AO53" s="57">
        <f>[16]January_2019!Y6</f>
        <v>0</v>
      </c>
      <c r="AP53" s="57">
        <f>[16]January_2019!Z6</f>
        <v>0</v>
      </c>
      <c r="AQ53" s="57">
        <f>[16]January_2019!AA6</f>
        <v>0</v>
      </c>
      <c r="AR53" s="57">
        <f>[16]January_2019!AB6</f>
        <v>0</v>
      </c>
      <c r="AS53" s="57">
        <f>[16]January_2019!AC6</f>
        <v>0</v>
      </c>
      <c r="AT53" s="57">
        <f>[16]January_2019!AD6</f>
        <v>0</v>
      </c>
      <c r="AU53" s="57">
        <f>[16]January_2019!AE6</f>
        <v>0</v>
      </c>
      <c r="AV53" s="57">
        <f>[16]January_2019!AF6</f>
        <v>0</v>
      </c>
      <c r="AW53" s="57">
        <f>[16]January_2019!AG6</f>
        <v>0</v>
      </c>
      <c r="AX53" s="277">
        <f>[16]January_2019!AH6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37.15" hidden="1" customHeight="1" thickBot="1">
      <c r="B54" s="480"/>
      <c r="C54" s="479"/>
      <c r="D54" s="442"/>
      <c r="E54" s="443"/>
      <c r="F54" s="444"/>
      <c r="G54" s="445"/>
      <c r="H54" s="458"/>
      <c r="I54" s="458"/>
      <c r="J54" s="448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[16]January_2019!L7</f>
        <v>285.8</v>
      </c>
      <c r="AC54" s="57">
        <f>[16]January_2019!M7</f>
        <v>508.1</v>
      </c>
      <c r="AD54" s="57">
        <f>[16]January_2019!N7</f>
        <v>0</v>
      </c>
      <c r="AE54" s="57">
        <f>[16]January_2019!O7</f>
        <v>0</v>
      </c>
      <c r="AF54" s="57">
        <f>[16]January_2019!P7</f>
        <v>109.56666666666666</v>
      </c>
      <c r="AG54" s="57">
        <f>[16]January_2019!Q7</f>
        <v>297.64999999999998</v>
      </c>
      <c r="AH54" s="57">
        <f>[16]January_2019!R7</f>
        <v>122.3</v>
      </c>
      <c r="AI54" s="57">
        <f>[16]January_2019!S7</f>
        <v>0</v>
      </c>
      <c r="AJ54" s="57">
        <f>[16]January_2019!T7</f>
        <v>294.7</v>
      </c>
      <c r="AK54" s="57">
        <f>[16]January_2019!U7</f>
        <v>280.5</v>
      </c>
      <c r="AL54" s="57">
        <f>[16]January_2019!V7</f>
        <v>0</v>
      </c>
      <c r="AM54" s="57">
        <f>[16]January_2019!W7</f>
        <v>0</v>
      </c>
      <c r="AN54" s="57">
        <f>[16]January_2019!X7</f>
        <v>188.25</v>
      </c>
      <c r="AO54" s="57">
        <f>[16]January_2019!Y7</f>
        <v>295.7</v>
      </c>
      <c r="AP54" s="57">
        <f>[16]January_2019!Z7</f>
        <v>257.8</v>
      </c>
      <c r="AQ54" s="57">
        <f>[16]January_2019!AA7</f>
        <v>291.2</v>
      </c>
      <c r="AR54" s="57">
        <f>[16]January_2019!AB7</f>
        <v>187</v>
      </c>
      <c r="AS54" s="57">
        <f>[16]January_2019!AC7</f>
        <v>0</v>
      </c>
      <c r="AT54" s="57">
        <f>[16]January_2019!AD7</f>
        <v>0</v>
      </c>
      <c r="AU54" s="57">
        <f>[16]January_2019!AE7</f>
        <v>485.1</v>
      </c>
      <c r="AV54" s="57">
        <f>[16]January_2019!AF7</f>
        <v>171.55</v>
      </c>
      <c r="AW54" s="57">
        <f>[16]January_2019!AG7</f>
        <v>423.8</v>
      </c>
      <c r="AX54" s="277">
        <f>[16]January_2019!AH7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9.5" hidden="1" customHeight="1" thickBot="1">
      <c r="B55" s="478"/>
      <c r="C55" s="430"/>
      <c r="D55" s="431"/>
      <c r="E55" s="432"/>
      <c r="F55" s="433"/>
      <c r="G55" s="434"/>
      <c r="H55" s="458"/>
      <c r="I55" s="45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450000000000003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48"/>
      <c r="K56" s="45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84"/>
      <c r="C58" s="479"/>
      <c r="D58" s="442"/>
      <c r="E58" s="443"/>
      <c r="F58" s="444"/>
      <c r="G58" s="445"/>
      <c r="H58" s="446"/>
      <c r="I58" s="447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6"/>
      <c r="C61" s="430"/>
      <c r="D61" s="460"/>
      <c r="E61" s="461"/>
      <c r="F61" s="462"/>
      <c r="G61" s="460"/>
      <c r="H61" s="463"/>
      <c r="I61" s="463"/>
      <c r="J61" s="463"/>
      <c r="K61" s="464"/>
      <c r="L61" s="465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09" t="s">
        <v>55</v>
      </c>
      <c r="C63" s="510"/>
      <c r="D63" s="510"/>
      <c r="E63" s="510"/>
      <c r="F63" s="511"/>
      <c r="G63" s="509" t="s">
        <v>56</v>
      </c>
      <c r="H63" s="510"/>
      <c r="I63" s="510"/>
      <c r="J63" s="511"/>
      <c r="K63" s="509" t="s">
        <v>51</v>
      </c>
      <c r="L63" s="510"/>
      <c r="M63" s="510"/>
      <c r="N63" s="512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/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>
        <f>L52</f>
        <v>4.0659781409806541</v>
      </c>
      <c r="D65" s="76">
        <v>4.2542504834375539</v>
      </c>
      <c r="E65" s="76">
        <v>6.4717009517280131</v>
      </c>
      <c r="F65" s="66">
        <v>4.8</v>
      </c>
      <c r="G65" s="65">
        <f>[14]June_2026!$AA$11</f>
        <v>4.1439732807034382</v>
      </c>
      <c r="H65" s="477">
        <v>3.7892704324466919</v>
      </c>
      <c r="I65" s="477">
        <v>6.2208688456743788</v>
      </c>
      <c r="J65" s="66">
        <v>4.8</v>
      </c>
      <c r="K65" s="67">
        <f>K52</f>
        <v>0.67140350877192978</v>
      </c>
      <c r="L65" s="194">
        <v>0.66885964912280704</v>
      </c>
      <c r="M65" s="194">
        <v>0.51606667944980478</v>
      </c>
      <c r="N65" s="68">
        <v>1</v>
      </c>
      <c r="O65" s="56"/>
      <c r="P65" s="69"/>
    </row>
    <row r="66" spans="2:16" ht="15">
      <c r="B66" s="33" t="s">
        <v>9</v>
      </c>
      <c r="C66" s="65"/>
      <c r="D66" s="76">
        <v>4.7679175715945235</v>
      </c>
      <c r="E66" s="76">
        <v>5.7819966636851206</v>
      </c>
      <c r="F66" s="66">
        <v>4.8</v>
      </c>
      <c r="G66" s="65"/>
      <c r="H66" s="76">
        <v>3.6848557080708271</v>
      </c>
      <c r="I66" s="76">
        <v>5.3967502317348686</v>
      </c>
      <c r="J66" s="66">
        <v>4.8</v>
      </c>
      <c r="K66" s="67"/>
      <c r="L66" s="194">
        <v>1.3231578947368421</v>
      </c>
      <c r="M66" s="194">
        <v>0.71292696983194792</v>
      </c>
      <c r="N66" s="68">
        <v>1</v>
      </c>
      <c r="P66" s="69"/>
    </row>
    <row r="67" spans="2:16" ht="15">
      <c r="B67" s="34" t="s">
        <v>40</v>
      </c>
      <c r="C67" s="65"/>
      <c r="D67" s="76">
        <v>12.463627546071795</v>
      </c>
      <c r="E67" s="76">
        <v>11.596009975062332</v>
      </c>
      <c r="F67" s="66">
        <v>5.5</v>
      </c>
      <c r="G67" s="65"/>
      <c r="H67" s="76">
        <v>13.176885540709748</v>
      </c>
      <c r="I67" s="76">
        <v>12.705454422449741</v>
      </c>
      <c r="J67" s="66">
        <v>5.5</v>
      </c>
      <c r="K67" s="67"/>
      <c r="L67" s="194">
        <v>0.18095238095238095</v>
      </c>
      <c r="M67" s="194">
        <v>0.25516722361459199</v>
      </c>
      <c r="N67" s="68">
        <v>1</v>
      </c>
      <c r="P67" s="69"/>
    </row>
    <row r="68" spans="2:16" ht="15">
      <c r="B68" s="22" t="s">
        <v>33</v>
      </c>
      <c r="C68" s="65"/>
      <c r="D68" s="76"/>
      <c r="E68" s="76">
        <v>4.7166249493098773</v>
      </c>
      <c r="F68" s="66">
        <v>3.3</v>
      </c>
      <c r="G68" s="65"/>
      <c r="H68" s="76"/>
      <c r="I68" s="76">
        <v>4.7393662692065543</v>
      </c>
      <c r="J68" s="66">
        <v>3.3</v>
      </c>
      <c r="K68" s="67"/>
      <c r="L68" s="194"/>
      <c r="M68" s="194">
        <v>0.73604010025062661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76"/>
      <c r="D70" s="76"/>
      <c r="E70" s="76">
        <v>5.1541347251672045</v>
      </c>
      <c r="F70" s="483">
        <v>5.5</v>
      </c>
      <c r="G70" s="282"/>
      <c r="H70" s="76"/>
      <c r="I70" s="76">
        <v>7.4989046872874194</v>
      </c>
      <c r="J70" s="66">
        <v>5.5</v>
      </c>
      <c r="K70" s="67"/>
      <c r="L70" s="194"/>
      <c r="M70" s="194">
        <v>1.0201754385964912</v>
      </c>
      <c r="N70" s="68">
        <v>1</v>
      </c>
      <c r="P70" s="69"/>
    </row>
    <row r="71" spans="2:16" ht="15">
      <c r="B71" s="37" t="s">
        <v>16</v>
      </c>
      <c r="C71" s="485"/>
      <c r="D71" s="76">
        <v>3.8064469113610451</v>
      </c>
      <c r="E71" s="76">
        <v>3.7425354424032347</v>
      </c>
      <c r="F71" s="66">
        <v>3.3</v>
      </c>
      <c r="G71" s="282"/>
      <c r="H71" s="76">
        <v>5.1620200172171886</v>
      </c>
      <c r="I71" s="76">
        <v>4.8813740630219202</v>
      </c>
      <c r="J71" s="66">
        <v>3.3</v>
      </c>
      <c r="K71" s="67"/>
      <c r="L71" s="194">
        <v>0.69473684210526321</v>
      </c>
      <c r="M71" s="194">
        <v>0.82729694606887583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>
        <v>5.94268087659876</v>
      </c>
      <c r="E74" s="76">
        <v>6.2925082328374788</v>
      </c>
      <c r="F74" s="341">
        <v>5.5</v>
      </c>
      <c r="H74" s="76">
        <v>6.546401418622497</v>
      </c>
      <c r="I74" s="76">
        <v>6.3985269814283265</v>
      </c>
      <c r="J74" s="341">
        <v>5.5</v>
      </c>
      <c r="L74" s="194">
        <v>0.70731328320802</v>
      </c>
      <c r="M74" s="194">
        <v>0.58378683418315913</v>
      </c>
      <c r="N74" s="386">
        <v>1</v>
      </c>
    </row>
  </sheetData>
  <mergeCells count="51"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  <mergeCell ref="D45:E45"/>
    <mergeCell ref="B50:B51"/>
    <mergeCell ref="C50:C51"/>
    <mergeCell ref="D50:D51"/>
    <mergeCell ref="E50:E51"/>
    <mergeCell ref="B35:B44"/>
    <mergeCell ref="D35:E36"/>
    <mergeCell ref="J35:K35"/>
    <mergeCell ref="L36:N36"/>
    <mergeCell ref="D37:E38"/>
    <mergeCell ref="D39:E40"/>
    <mergeCell ref="D41:E42"/>
    <mergeCell ref="D43:E44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5:B46">
    <cfRule type="cellIs" dxfId="1109" priority="106" operator="notBetween">
      <formula>#REF!</formula>
      <formula>#REF!</formula>
    </cfRule>
  </conditionalFormatting>
  <conditionalFormatting sqref="C49">
    <cfRule type="cellIs" dxfId="1108" priority="195" stopIfTrue="1" operator="lessThan">
      <formula>96</formula>
    </cfRule>
    <cfRule type="cellIs" dxfId="1107" priority="196" stopIfTrue="1" operator="greaterThan">
      <formula>100</formula>
    </cfRule>
  </conditionalFormatting>
  <conditionalFormatting sqref="C65:C66">
    <cfRule type="cellIs" dxfId="1106" priority="67" stopIfTrue="1" operator="lessThanOrEqual">
      <formula>0</formula>
    </cfRule>
    <cfRule type="cellIs" dxfId="1105" priority="69" stopIfTrue="1" operator="lessThanOrEqual">
      <formula>0</formula>
    </cfRule>
    <cfRule type="cellIs" dxfId="1104" priority="68" stopIfTrue="1" operator="greaterThan">
      <formula>$F65</formula>
    </cfRule>
    <cfRule type="cellIs" dxfId="1103" priority="66" stopIfTrue="1" operator="greaterThan">
      <formula>$F65</formula>
    </cfRule>
  </conditionalFormatting>
  <conditionalFormatting sqref="C67:C69 C71:C73">
    <cfRule type="cellIs" dxfId="1102" priority="76" stopIfTrue="1" operator="greaterThan">
      <formula>$F70</formula>
    </cfRule>
  </conditionalFormatting>
  <conditionalFormatting sqref="C67:C69">
    <cfRule type="cellIs" dxfId="1101" priority="77" stopIfTrue="1" operator="lessThanOrEqual">
      <formula>0</formula>
    </cfRule>
  </conditionalFormatting>
  <conditionalFormatting sqref="C71:C73">
    <cfRule type="cellIs" dxfId="1100" priority="78" stopIfTrue="1" operator="lessThanOrEqual">
      <formula>0</formula>
    </cfRule>
  </conditionalFormatting>
  <conditionalFormatting sqref="C76:C80">
    <cfRule type="cellIs" dxfId="1099" priority="187" stopIfTrue="1" operator="lessThanOrEqual">
      <formula>0</formula>
    </cfRule>
  </conditionalFormatting>
  <conditionalFormatting sqref="C77:C80">
    <cfRule type="cellIs" dxfId="1098" priority="186" stopIfTrue="1" operator="greaterThan">
      <formula>$F$76</formula>
    </cfRule>
  </conditionalFormatting>
  <conditionalFormatting sqref="C82">
    <cfRule type="cellIs" dxfId="1097" priority="189" stopIfTrue="1" operator="lessThanOrEqual">
      <formula>0</formula>
    </cfRule>
    <cfRule type="cellIs" dxfId="1096" priority="188" stopIfTrue="1" operator="greaterThan">
      <formula>$F$76</formula>
    </cfRule>
  </conditionalFormatting>
  <conditionalFormatting sqref="C70:D70">
    <cfRule type="cellIs" dxfId="1095" priority="65" stopIfTrue="1" operator="lessThanOrEqual">
      <formula>0</formula>
    </cfRule>
    <cfRule type="cellIs" dxfId="1094" priority="64" stopIfTrue="1" operator="greaterThan">
      <formula>$J70</formula>
    </cfRule>
  </conditionalFormatting>
  <conditionalFormatting sqref="C76:D76 D78:D84">
    <cfRule type="cellIs" dxfId="1093" priority="181" stopIfTrue="1" operator="greaterThan">
      <formula>4.5</formula>
    </cfRule>
  </conditionalFormatting>
  <conditionalFormatting sqref="D45:D46">
    <cfRule type="cellIs" dxfId="1092" priority="107" operator="notBetween">
      <formula>#REF!</formula>
      <formula>#REF!</formula>
    </cfRule>
  </conditionalFormatting>
  <conditionalFormatting sqref="D65:D69 D71:D72">
    <cfRule type="cellIs" dxfId="1091" priority="75" stopIfTrue="1" operator="lessThanOrEqual">
      <formula>0</formula>
    </cfRule>
  </conditionalFormatting>
  <conditionalFormatting sqref="D65:D69 D71:D74">
    <cfRule type="cellIs" dxfId="1090" priority="72" stopIfTrue="1" operator="greaterThan">
      <formula>$F65</formula>
    </cfRule>
    <cfRule type="cellIs" dxfId="1089" priority="71" stopIfTrue="1" operator="lessThanOrEqual">
      <formula>0</formula>
    </cfRule>
  </conditionalFormatting>
  <conditionalFormatting sqref="D73:D74">
    <cfRule type="cellIs" dxfId="1088" priority="73" stopIfTrue="1" operator="lessThanOrEqual">
      <formula>0</formula>
    </cfRule>
  </conditionalFormatting>
  <conditionalFormatting sqref="D74">
    <cfRule type="cellIs" dxfId="1087" priority="74" stopIfTrue="1" operator="lessThanOrEqual">
      <formula>0</formula>
    </cfRule>
  </conditionalFormatting>
  <conditionalFormatting sqref="D76 D78:D84">
    <cfRule type="cellIs" dxfId="1086" priority="182" stopIfTrue="1" operator="lessThanOrEqual">
      <formula>0</formula>
    </cfRule>
  </conditionalFormatting>
  <conditionalFormatting sqref="D77">
    <cfRule type="cellIs" dxfId="1085" priority="174" stopIfTrue="1" operator="lessThanOrEqual">
      <formula>0</formula>
    </cfRule>
    <cfRule type="cellIs" dxfId="1084" priority="173" stopIfTrue="1" operator="greaterThan">
      <formula>$F$76</formula>
    </cfRule>
  </conditionalFormatting>
  <conditionalFormatting sqref="E10:E20">
    <cfRule type="cellIs" dxfId="1083" priority="7" operator="lessThan">
      <formula>48</formula>
    </cfRule>
  </conditionalFormatting>
  <conditionalFormatting sqref="E48 E49:F49">
    <cfRule type="cellIs" dxfId="1082" priority="178" stopIfTrue="1" operator="greaterThan">
      <formula>100</formula>
    </cfRule>
  </conditionalFormatting>
  <conditionalFormatting sqref="E49">
    <cfRule type="cellIs" dxfId="1081" priority="176" stopIfTrue="1" operator="greaterThan">
      <formula>100</formula>
    </cfRule>
    <cfRule type="cellIs" dxfId="1080" priority="175" stopIfTrue="1" operator="lessThan">
      <formula>96.8</formula>
    </cfRule>
  </conditionalFormatting>
  <conditionalFormatting sqref="E65:E73">
    <cfRule type="cellIs" dxfId="1079" priority="33" stopIfTrue="1" operator="lessThanOrEqual">
      <formula>0</formula>
    </cfRule>
  </conditionalFormatting>
  <conditionalFormatting sqref="E65:E74">
    <cfRule type="cellIs" dxfId="1078" priority="35" stopIfTrue="1" operator="lessThanOrEqual">
      <formula>0</formula>
    </cfRule>
    <cfRule type="cellIs" dxfId="1077" priority="34" stopIfTrue="1" operator="greaterThan">
      <formula>$F65</formula>
    </cfRule>
  </conditionalFormatting>
  <conditionalFormatting sqref="E74">
    <cfRule type="cellIs" dxfId="1076" priority="36" stopIfTrue="1" operator="lessThanOrEqual">
      <formula>0</formula>
    </cfRule>
  </conditionalFormatting>
  <conditionalFormatting sqref="E76:E84">
    <cfRule type="cellIs" dxfId="1075" priority="167" stopIfTrue="1" operator="greaterThan">
      <formula>4.5</formula>
    </cfRule>
    <cfRule type="cellIs" dxfId="1074" priority="168" stopIfTrue="1" operator="lessThanOrEqual">
      <formula>0</formula>
    </cfRule>
  </conditionalFormatting>
  <conditionalFormatting sqref="E49:F49 E48">
    <cfRule type="cellIs" dxfId="1073" priority="177" stopIfTrue="1" operator="lessThan">
      <formula>96.5</formula>
    </cfRule>
  </conditionalFormatting>
  <conditionalFormatting sqref="F14">
    <cfRule type="cellIs" dxfId="1072" priority="9" operator="greaterThan">
      <formula>60</formula>
    </cfRule>
  </conditionalFormatting>
  <conditionalFormatting sqref="F20">
    <cfRule type="cellIs" dxfId="1071" priority="24" operator="greaterThan">
      <formula>60</formula>
    </cfRule>
  </conditionalFormatting>
  <conditionalFormatting sqref="F49">
    <cfRule type="cellIs" dxfId="1070" priority="194" stopIfTrue="1" operator="greaterThan">
      <formula>100</formula>
    </cfRule>
    <cfRule type="cellIs" dxfId="1069" priority="193" stopIfTrue="1" operator="lessThan">
      <formula>96.8</formula>
    </cfRule>
  </conditionalFormatting>
  <conditionalFormatting sqref="F74">
    <cfRule type="cellIs" dxfId="1068" priority="45" stopIfTrue="1" operator="lessThanOrEqual">
      <formula>0</formula>
    </cfRule>
    <cfRule type="cellIs" dxfId="1067" priority="44" stopIfTrue="1" operator="greaterThan">
      <formula>$F74</formula>
    </cfRule>
  </conditionalFormatting>
  <conditionalFormatting sqref="G10:G20">
    <cfRule type="expression" dxfId="1066" priority="11">
      <formula>IF(+(IF(G10&lt;S10,0,IF(G10&gt;T10,0,1)))=0,1)</formula>
    </cfRule>
  </conditionalFormatting>
  <conditionalFormatting sqref="G65:G66">
    <cfRule type="cellIs" dxfId="1065" priority="46" stopIfTrue="1" operator="greaterThan">
      <formula>$F65</formula>
    </cfRule>
    <cfRule type="cellIs" dxfId="1064" priority="47" stopIfTrue="1" operator="lessThanOrEqual">
      <formula>0</formula>
    </cfRule>
  </conditionalFormatting>
  <conditionalFormatting sqref="G65:G68">
    <cfRule type="cellIs" dxfId="1063" priority="28" stopIfTrue="1" operator="greaterThan">
      <formula>$F65</formula>
    </cfRule>
    <cfRule type="cellIs" dxfId="1062" priority="29" stopIfTrue="1" operator="lessThanOrEqual">
      <formula>0</formula>
    </cfRule>
  </conditionalFormatting>
  <conditionalFormatting sqref="G67">
    <cfRule type="cellIs" dxfId="1061" priority="26" stopIfTrue="1" operator="greaterThan">
      <formula>$F67</formula>
    </cfRule>
    <cfRule type="cellIs" dxfId="1060" priority="27" stopIfTrue="1" operator="lessThanOrEqual">
      <formula>0</formula>
    </cfRule>
  </conditionalFormatting>
  <conditionalFormatting sqref="G68">
    <cfRule type="cellIs" dxfId="1059" priority="40" stopIfTrue="1" operator="greaterThan">
      <formula>$F68</formula>
    </cfRule>
    <cfRule type="cellIs" dxfId="1058" priority="41" stopIfTrue="1" operator="lessThanOrEqual">
      <formula>0</formula>
    </cfRule>
  </conditionalFormatting>
  <conditionalFormatting sqref="G69:G73">
    <cfRule type="cellIs" dxfId="1057" priority="49" stopIfTrue="1" operator="lessThanOrEqual">
      <formula>0</formula>
    </cfRule>
    <cfRule type="cellIs" dxfId="1056" priority="48" stopIfTrue="1" operator="greaterThan">
      <formula>$J69</formula>
    </cfRule>
  </conditionalFormatting>
  <conditionalFormatting sqref="G78:G83 C81 C83">
    <cfRule type="cellIs" dxfId="1055" priority="191" stopIfTrue="1" operator="lessThanOrEqual">
      <formula>0</formula>
    </cfRule>
    <cfRule type="cellIs" dxfId="1054" priority="190" stopIfTrue="1" operator="greaterThan">
      <formula>4.5</formula>
    </cfRule>
  </conditionalFormatting>
  <conditionalFormatting sqref="G77:H77">
    <cfRule type="cellIs" dxfId="1053" priority="171" stopIfTrue="1" operator="greaterThan">
      <formula>$F$76</formula>
    </cfRule>
    <cfRule type="cellIs" dxfId="1052" priority="172" stopIfTrue="1" operator="lessThanOrEqual">
      <formula>0</formula>
    </cfRule>
  </conditionalFormatting>
  <conditionalFormatting sqref="H10:H20">
    <cfRule type="expression" dxfId="1051" priority="8">
      <formula>IF(+(IF(H10&lt;#REF!,0,IF(H10&gt;#REF!,0,1)))=0,1)</formula>
    </cfRule>
  </conditionalFormatting>
  <conditionalFormatting sqref="H34:H35 H48">
    <cfRule type="cellIs" dxfId="1050" priority="169" stopIfTrue="1" operator="greaterThan">
      <formula>0</formula>
    </cfRule>
  </conditionalFormatting>
  <conditionalFormatting sqref="H52">
    <cfRule type="cellIs" dxfId="1049" priority="51" stopIfTrue="1" operator="lessThanOrEqual">
      <formula>0</formula>
    </cfRule>
    <cfRule type="cellIs" dxfId="1048" priority="52" stopIfTrue="1" operator="greaterThan">
      <formula>$F$65</formula>
    </cfRule>
    <cfRule type="cellIs" dxfId="1047" priority="62" stopIfTrue="1" operator="greaterThan">
      <formula>$F$66</formula>
    </cfRule>
    <cfRule type="cellIs" dxfId="1046" priority="61" stopIfTrue="1" operator="lessThanOrEqual">
      <formula>0</formula>
    </cfRule>
    <cfRule type="cellIs" dxfId="1045" priority="60" stopIfTrue="1" operator="greaterThan">
      <formula>$F$68</formula>
    </cfRule>
  </conditionalFormatting>
  <conditionalFormatting sqref="H52:H54">
    <cfRule type="cellIs" dxfId="1044" priority="63" stopIfTrue="1" operator="lessThanOrEqual">
      <formula>0</formula>
    </cfRule>
  </conditionalFormatting>
  <conditionalFormatting sqref="H53:H54">
    <cfRule type="cellIs" dxfId="1043" priority="79" stopIfTrue="1" operator="greaterThan">
      <formula>$F$65</formula>
    </cfRule>
    <cfRule type="cellIs" dxfId="1042" priority="87" stopIfTrue="1" operator="greaterThan">
      <formula>$F$68</formula>
    </cfRule>
    <cfRule type="cellIs" dxfId="1041" priority="89" stopIfTrue="1" operator="greaterThan">
      <formula>$F$66</formula>
    </cfRule>
    <cfRule type="cellIs" dxfId="1040" priority="88" stopIfTrue="1" operator="lessThanOrEqual">
      <formula>0</formula>
    </cfRule>
  </conditionalFormatting>
  <conditionalFormatting sqref="H53:H56">
    <cfRule type="cellIs" dxfId="1039" priority="90" stopIfTrue="1" operator="lessThanOrEqual">
      <formula>0</formula>
    </cfRule>
  </conditionalFormatting>
  <conditionalFormatting sqref="H55:H56">
    <cfRule type="cellIs" dxfId="1038" priority="102" stopIfTrue="1" operator="lessThanOrEqual">
      <formula>0</formula>
    </cfRule>
    <cfRule type="cellIs" dxfId="1037" priority="103" stopIfTrue="1" operator="greaterThan">
      <formula>$F$66</formula>
    </cfRule>
    <cfRule type="cellIs" dxfId="1036" priority="104" stopIfTrue="1" operator="lessThanOrEqual">
      <formula>0</formula>
    </cfRule>
    <cfRule type="cellIs" dxfId="1035" priority="101" stopIfTrue="1" operator="greaterThan">
      <formula>$F$68</formula>
    </cfRule>
    <cfRule type="cellIs" dxfId="1034" priority="93" stopIfTrue="1" operator="greaterThan">
      <formula>$F$65</formula>
    </cfRule>
  </conditionalFormatting>
  <conditionalFormatting sqref="H57:H58">
    <cfRule type="cellIs" dxfId="1033" priority="143" stopIfTrue="1" operator="lessThanOrEqual">
      <formula>0</formula>
    </cfRule>
    <cfRule type="cellIs" dxfId="1032" priority="142" stopIfTrue="1" operator="greaterThan">
      <formula>#REF!</formula>
    </cfRule>
    <cfRule type="cellIs" dxfId="1031" priority="141" stopIfTrue="1" operator="lessThanOrEqual">
      <formula>0</formula>
    </cfRule>
    <cfRule type="cellIs" dxfId="1030" priority="140" stopIfTrue="1" operator="greaterThan">
      <formula>$F$20</formula>
    </cfRule>
    <cfRule type="cellIs" dxfId="1029" priority="132" stopIfTrue="1" operator="greaterThan">
      <formula>#REF!</formula>
    </cfRule>
    <cfRule type="cellIs" dxfId="1028" priority="131" stopIfTrue="1" operator="lessThanOrEqual">
      <formula>0</formula>
    </cfRule>
  </conditionalFormatting>
  <conditionalFormatting sqref="H59">
    <cfRule type="cellIs" dxfId="1027" priority="157" stopIfTrue="1" operator="lessThanOrEqual">
      <formula>0</formula>
    </cfRule>
    <cfRule type="cellIs" dxfId="1026" priority="156" stopIfTrue="1" operator="greaterThan">
      <formula>$F$34</formula>
    </cfRule>
    <cfRule type="cellIs" dxfId="1025" priority="155" stopIfTrue="1" operator="lessThanOrEqual">
      <formula>0</formula>
    </cfRule>
    <cfRule type="cellIs" dxfId="1024" priority="154" stopIfTrue="1" operator="greaterThan">
      <formula>$F$36</formula>
    </cfRule>
    <cfRule type="cellIs" dxfId="1023" priority="146" stopIfTrue="1" operator="greaterThan">
      <formula>$F$33</formula>
    </cfRule>
    <cfRule type="cellIs" dxfId="1022" priority="145" stopIfTrue="1" operator="lessThanOrEqual">
      <formula>0</formula>
    </cfRule>
  </conditionalFormatting>
  <conditionalFormatting sqref="H60:H61">
    <cfRule type="cellIs" dxfId="1021" priority="118" stopIfTrue="1" operator="greaterThan">
      <formula>#REF!</formula>
    </cfRule>
    <cfRule type="cellIs" dxfId="1020" priority="126" stopIfTrue="1" operator="greaterThan">
      <formula>$F$20</formula>
    </cfRule>
    <cfRule type="cellIs" dxfId="1019" priority="128" stopIfTrue="1" operator="greaterThan">
      <formula>#REF!</formula>
    </cfRule>
    <cfRule type="cellIs" dxfId="1018" priority="129" stopIfTrue="1" operator="lessThanOrEqual">
      <formula>0</formula>
    </cfRule>
    <cfRule type="cellIs" dxfId="1017" priority="127" stopIfTrue="1" operator="lessThanOrEqual">
      <formula>0</formula>
    </cfRule>
    <cfRule type="cellIs" dxfId="1016" priority="117" stopIfTrue="1" operator="lessThanOrEqual">
      <formula>0</formula>
    </cfRule>
  </conditionalFormatting>
  <conditionalFormatting sqref="H76 H78:H84">
    <cfRule type="cellIs" dxfId="1015" priority="184" stopIfTrue="1" operator="lessThanOrEqual">
      <formula>0</formula>
    </cfRule>
    <cfRule type="cellIs" dxfId="1014" priority="183" stopIfTrue="1" operator="greaterThan">
      <formula>4.5</formula>
    </cfRule>
  </conditionalFormatting>
  <conditionalFormatting sqref="H52:I52">
    <cfRule type="cellIs" dxfId="1013" priority="53" stopIfTrue="1" operator="lessThanOrEqual">
      <formula>0</formula>
    </cfRule>
  </conditionalFormatting>
  <conditionalFormatting sqref="H52:I56">
    <cfRule type="cellIs" dxfId="1012" priority="50" stopIfTrue="1" operator="greaterThan">
      <formula>$F$67</formula>
    </cfRule>
  </conditionalFormatting>
  <conditionalFormatting sqref="H53:I54">
    <cfRule type="cellIs" dxfId="1011" priority="80" stopIfTrue="1" operator="lessThanOrEqual">
      <formula>0</formula>
    </cfRule>
  </conditionalFormatting>
  <conditionalFormatting sqref="H55:I56">
    <cfRule type="cellIs" dxfId="1010" priority="94" stopIfTrue="1" operator="lessThanOrEqual">
      <formula>0</formula>
    </cfRule>
  </conditionalFormatting>
  <conditionalFormatting sqref="H57:I58">
    <cfRule type="cellIs" dxfId="1009" priority="130" stopIfTrue="1" operator="greaterThan">
      <formula>#REF!</formula>
    </cfRule>
    <cfRule type="cellIs" dxfId="1008" priority="133" stopIfTrue="1" operator="lessThanOrEqual">
      <formula>0</formula>
    </cfRule>
  </conditionalFormatting>
  <conditionalFormatting sqref="H59:I59">
    <cfRule type="cellIs" dxfId="1007" priority="147" stopIfTrue="1" operator="lessThanOrEqual">
      <formula>0</formula>
    </cfRule>
    <cfRule type="cellIs" dxfId="1006" priority="144" stopIfTrue="1" operator="greaterThan">
      <formula>$F$35</formula>
    </cfRule>
  </conditionalFormatting>
  <conditionalFormatting sqref="H60:I61">
    <cfRule type="cellIs" dxfId="1005" priority="116" stopIfTrue="1" operator="greaterThan">
      <formula>#REF!</formula>
    </cfRule>
    <cfRule type="cellIs" dxfId="1004" priority="119" stopIfTrue="1" operator="lessThanOrEqual">
      <formula>0</formula>
    </cfRule>
  </conditionalFormatting>
  <conditionalFormatting sqref="H65:I72">
    <cfRule type="cellIs" dxfId="1003" priority="31" stopIfTrue="1" operator="greaterThan">
      <formula>$J65</formula>
    </cfRule>
    <cfRule type="cellIs" dxfId="1002" priority="32" stopIfTrue="1" operator="lessThanOrEqual">
      <formula>0</formula>
    </cfRule>
  </conditionalFormatting>
  <conditionalFormatting sqref="H73:I73">
    <cfRule type="cellIs" dxfId="1001" priority="39" operator="greaterThan">
      <formula>5.3</formula>
    </cfRule>
  </conditionalFormatting>
  <conditionalFormatting sqref="H74:I74">
    <cfRule type="cellIs" dxfId="1000" priority="37" stopIfTrue="1" operator="greaterThan">
      <formula>$J74</formula>
    </cfRule>
    <cfRule type="cellIs" dxfId="999" priority="38" stopIfTrue="1" operator="lessThanOrEqual">
      <formula>0</formula>
    </cfRule>
  </conditionalFormatting>
  <conditionalFormatting sqref="I52">
    <cfRule type="cellIs" dxfId="998" priority="59" stopIfTrue="1" operator="lessThanOrEqual">
      <formula>0</formula>
    </cfRule>
    <cfRule type="cellIs" dxfId="997" priority="54" stopIfTrue="1" operator="greaterThan">
      <formula>$F$65</formula>
    </cfRule>
    <cfRule type="cellIs" dxfId="996" priority="55" stopIfTrue="1" operator="lessThanOrEqual">
      <formula>0</formula>
    </cfRule>
    <cfRule type="cellIs" dxfId="995" priority="58" stopIfTrue="1" operator="greaterThan">
      <formula>$F$65</formula>
    </cfRule>
    <cfRule type="cellIs" dxfId="994" priority="56" stopIfTrue="1" operator="greaterThan">
      <formula>$F$67</formula>
    </cfRule>
    <cfRule type="cellIs" dxfId="993" priority="57" stopIfTrue="1" operator="lessThanOrEqual">
      <formula>0</formula>
    </cfRule>
  </conditionalFormatting>
  <conditionalFormatting sqref="I53:I54">
    <cfRule type="cellIs" dxfId="992" priority="85" stopIfTrue="1" operator="greaterThan">
      <formula>$F$65</formula>
    </cfRule>
    <cfRule type="cellIs" dxfId="991" priority="86" stopIfTrue="1" operator="lessThanOrEqual">
      <formula>0</formula>
    </cfRule>
    <cfRule type="cellIs" dxfId="990" priority="81" stopIfTrue="1" operator="greaterThan">
      <formula>$F$65</formula>
    </cfRule>
    <cfRule type="cellIs" dxfId="989" priority="83" stopIfTrue="1" operator="greaterThan">
      <formula>$F$67</formula>
    </cfRule>
    <cfRule type="cellIs" dxfId="988" priority="82" stopIfTrue="1" operator="lessThanOrEqual">
      <formula>0</formula>
    </cfRule>
    <cfRule type="cellIs" dxfId="987" priority="84" stopIfTrue="1" operator="lessThanOrEqual">
      <formula>0</formula>
    </cfRule>
  </conditionalFormatting>
  <conditionalFormatting sqref="I55:I56">
    <cfRule type="cellIs" dxfId="986" priority="96" stopIfTrue="1" operator="lessThanOrEqual">
      <formula>0</formula>
    </cfRule>
    <cfRule type="cellIs" dxfId="985" priority="95" stopIfTrue="1" operator="greaterThan">
      <formula>$F$65</formula>
    </cfRule>
    <cfRule type="cellIs" dxfId="984" priority="98" stopIfTrue="1" operator="lessThanOrEqual">
      <formula>0</formula>
    </cfRule>
    <cfRule type="cellIs" dxfId="983" priority="97" stopIfTrue="1" operator="greaterThan">
      <formula>$F$67</formula>
    </cfRule>
    <cfRule type="cellIs" dxfId="982" priority="100" stopIfTrue="1" operator="lessThanOrEqual">
      <formula>0</formula>
    </cfRule>
    <cfRule type="cellIs" dxfId="981" priority="99" stopIfTrue="1" operator="greaterThan">
      <formula>$F$65</formula>
    </cfRule>
  </conditionalFormatting>
  <conditionalFormatting sqref="I57:I58">
    <cfRule type="cellIs" dxfId="980" priority="135" stopIfTrue="1" operator="lessThanOrEqual">
      <formula>0</formula>
    </cfRule>
    <cfRule type="cellIs" dxfId="979" priority="136" stopIfTrue="1" operator="greaterThan">
      <formula>#REF!</formula>
    </cfRule>
    <cfRule type="cellIs" dxfId="978" priority="137" stopIfTrue="1" operator="lessThanOrEqual">
      <formula>0</formula>
    </cfRule>
    <cfRule type="cellIs" dxfId="977" priority="138" stopIfTrue="1" operator="greaterThan">
      <formula>#REF!</formula>
    </cfRule>
    <cfRule type="cellIs" dxfId="976" priority="139" stopIfTrue="1" operator="lessThanOrEqual">
      <formula>0</formula>
    </cfRule>
    <cfRule type="cellIs" dxfId="975" priority="134" stopIfTrue="1" operator="greaterThan">
      <formula>#REF!</formula>
    </cfRule>
  </conditionalFormatting>
  <conditionalFormatting sqref="I59">
    <cfRule type="cellIs" dxfId="974" priority="153" stopIfTrue="1" operator="lessThanOrEqual">
      <formula>0</formula>
    </cfRule>
    <cfRule type="cellIs" dxfId="973" priority="151" stopIfTrue="1" operator="lessThanOrEqual">
      <formula>0</formula>
    </cfRule>
    <cfRule type="cellIs" dxfId="972" priority="148" stopIfTrue="1" operator="greaterThan">
      <formula>$F$33</formula>
    </cfRule>
    <cfRule type="cellIs" dxfId="971" priority="149" stopIfTrue="1" operator="lessThanOrEqual">
      <formula>0</formula>
    </cfRule>
    <cfRule type="cellIs" dxfId="970" priority="150" stopIfTrue="1" operator="greaterThan">
      <formula>$F$35</formula>
    </cfRule>
    <cfRule type="cellIs" dxfId="969" priority="152" stopIfTrue="1" operator="greaterThan">
      <formula>$F$33</formula>
    </cfRule>
  </conditionalFormatting>
  <conditionalFormatting sqref="I60:I61">
    <cfRule type="cellIs" dxfId="968" priority="125" stopIfTrue="1" operator="lessThanOrEqual">
      <formula>0</formula>
    </cfRule>
    <cfRule type="cellIs" dxfId="967" priority="120" stopIfTrue="1" operator="greaterThan">
      <formula>#REF!</formula>
    </cfRule>
    <cfRule type="cellIs" dxfId="966" priority="124" stopIfTrue="1" operator="greaterThan">
      <formula>#REF!</formula>
    </cfRule>
    <cfRule type="cellIs" dxfId="965" priority="123" stopIfTrue="1" operator="lessThanOrEqual">
      <formula>0</formula>
    </cfRule>
    <cfRule type="cellIs" dxfId="964" priority="122" stopIfTrue="1" operator="greaterThan">
      <formula>#REF!</formula>
    </cfRule>
    <cfRule type="cellIs" dxfId="963" priority="121" stopIfTrue="1" operator="lessThanOrEqual">
      <formula>0</formula>
    </cfRule>
  </conditionalFormatting>
  <conditionalFormatting sqref="I76:I84">
    <cfRule type="cellIs" dxfId="962" priority="180" stopIfTrue="1" operator="lessThanOrEqual">
      <formula>0</formula>
    </cfRule>
    <cfRule type="cellIs" dxfId="961" priority="179" stopIfTrue="1" operator="greaterThan">
      <formula>4.5</formula>
    </cfRule>
  </conditionalFormatting>
  <conditionalFormatting sqref="I10:J20">
    <cfRule type="cellIs" dxfId="960" priority="1" operator="lessThan">
      <formula>97.9</formula>
    </cfRule>
  </conditionalFormatting>
  <conditionalFormatting sqref="J23:J24">
    <cfRule type="cellIs" dxfId="959" priority="92" operator="lessThan">
      <formula>97.95</formula>
    </cfRule>
  </conditionalFormatting>
  <conditionalFormatting sqref="J25">
    <cfRule type="cellIs" dxfId="958" priority="159" stopIfTrue="1" operator="lessThan">
      <formula>96.8</formula>
    </cfRule>
    <cfRule type="cellIs" dxfId="957" priority="160" stopIfTrue="1" operator="greaterThan">
      <formula>100</formula>
    </cfRule>
    <cfRule type="cellIs" dxfId="956" priority="161" operator="lessThan">
      <formula>98</formula>
    </cfRule>
  </conditionalFormatting>
  <conditionalFormatting sqref="J25:J27">
    <cfRule type="cellIs" dxfId="955" priority="158" operator="lessThan">
      <formula>97.4</formula>
    </cfRule>
  </conditionalFormatting>
  <conditionalFormatting sqref="J28:J29">
    <cfRule type="cellIs" dxfId="954" priority="162" operator="lessThan">
      <formula>98</formula>
    </cfRule>
  </conditionalFormatting>
  <conditionalFormatting sqref="J30:J31">
    <cfRule type="cellIs" dxfId="953" priority="164" stopIfTrue="1" operator="greaterThan">
      <formula>100</formula>
    </cfRule>
    <cfRule type="cellIs" dxfId="952" priority="163" stopIfTrue="1" operator="lessThan">
      <formula>96.8</formula>
    </cfRule>
  </conditionalFormatting>
  <conditionalFormatting sqref="J30:J32">
    <cfRule type="cellIs" dxfId="951" priority="165" operator="lessThan">
      <formula>98</formula>
    </cfRule>
  </conditionalFormatting>
  <conditionalFormatting sqref="J61">
    <cfRule type="cellIs" dxfId="950" priority="109" stopIfTrue="1" operator="lessThanOrEqual">
      <formula>0</formula>
    </cfRule>
    <cfRule type="cellIs" dxfId="949" priority="108" stopIfTrue="1" operator="greaterThan">
      <formula>#REF!</formula>
    </cfRule>
    <cfRule type="cellIs" dxfId="948" priority="115" stopIfTrue="1" operator="lessThanOrEqual">
      <formula>0</formula>
    </cfRule>
    <cfRule type="cellIs" dxfId="947" priority="114" stopIfTrue="1" operator="greaterThan">
      <formula>#REF!</formula>
    </cfRule>
    <cfRule type="cellIs" dxfId="946" priority="113" stopIfTrue="1" operator="lessThanOrEqual">
      <formula>0</formula>
    </cfRule>
    <cfRule type="cellIs" dxfId="945" priority="112" stopIfTrue="1" operator="greaterThan">
      <formula>#REF!</formula>
    </cfRule>
    <cfRule type="cellIs" dxfId="944" priority="111" stopIfTrue="1" operator="lessThanOrEqual">
      <formula>0</formula>
    </cfRule>
    <cfRule type="cellIs" dxfId="943" priority="110" stopIfTrue="1" operator="greaterThan">
      <formula>#REF!</formula>
    </cfRule>
  </conditionalFormatting>
  <conditionalFormatting sqref="J74">
    <cfRule type="cellIs" dxfId="942" priority="43" stopIfTrue="1" operator="lessThanOrEqual">
      <formula>0</formula>
    </cfRule>
    <cfRule type="cellIs" dxfId="941" priority="42" stopIfTrue="1" operator="greaterThan">
      <formula>$F74</formula>
    </cfRule>
  </conditionalFormatting>
  <conditionalFormatting sqref="K10:K20">
    <cfRule type="cellIs" dxfId="940" priority="2" operator="greaterThan">
      <formula>6</formula>
    </cfRule>
    <cfRule type="cellIs" dxfId="939" priority="4" operator="greaterThan">
      <formula>6.4</formula>
    </cfRule>
    <cfRule type="cellIs" dxfId="938" priority="3" operator="lessThan">
      <formula>4</formula>
    </cfRule>
  </conditionalFormatting>
  <conditionalFormatting sqref="K52:K61">
    <cfRule type="cellIs" dxfId="937" priority="91" stopIfTrue="1" operator="lessThan">
      <formula>100%</formula>
    </cfRule>
  </conditionalFormatting>
  <conditionalFormatting sqref="K65:K73">
    <cfRule type="cellIs" dxfId="936" priority="30" stopIfTrue="1" operator="lessThan">
      <formula>100%</formula>
    </cfRule>
  </conditionalFormatting>
  <conditionalFormatting sqref="K76:K81">
    <cfRule type="cellIs" dxfId="935" priority="185" stopIfTrue="1" operator="lessThan">
      <formula>100%</formula>
    </cfRule>
  </conditionalFormatting>
  <conditionalFormatting sqref="K83:K84">
    <cfRule type="cellIs" dxfId="934" priority="192" stopIfTrue="1" operator="lessThan">
      <formula>100%</formula>
    </cfRule>
  </conditionalFormatting>
  <conditionalFormatting sqref="L10:L20">
    <cfRule type="cellIs" dxfId="933" priority="5" operator="between">
      <formula>61</formula>
      <formula>65</formula>
    </cfRule>
    <cfRule type="cellIs" dxfId="932" priority="6" operator="greaterThan">
      <formula>65</formula>
    </cfRule>
  </conditionalFormatting>
  <conditionalFormatting sqref="L23:M34">
    <cfRule type="cellIs" dxfId="931" priority="105" operator="lessThan">
      <formula>97.95</formula>
    </cfRule>
  </conditionalFormatting>
  <conditionalFormatting sqref="L38:N38">
    <cfRule type="cellIs" dxfId="930" priority="70" operator="notEqual">
      <formula>#REF!</formula>
    </cfRule>
  </conditionalFormatting>
  <conditionalFormatting sqref="L65:N74">
    <cfRule type="cellIs" dxfId="929" priority="25" stopIfTrue="1" operator="lessThan">
      <formula>100%</formula>
    </cfRule>
  </conditionalFormatting>
  <conditionalFormatting sqref="L76:N84">
    <cfRule type="cellIs" dxfId="928" priority="170" stopIfTrue="1" operator="lessThan">
      <formula>100%</formula>
    </cfRule>
  </conditionalFormatting>
  <conditionalFormatting sqref="M10:N20">
    <cfRule type="expression" dxfId="927" priority="12">
      <formula>IF(+(IF(M10&lt;#REF!,0,IF(M10&gt;#REF!,0,1)))=0,1)</formula>
    </cfRule>
  </conditionalFormatting>
  <conditionalFormatting sqref="N10:N19">
    <cfRule type="expression" dxfId="926" priority="10">
      <formula>IF(+(IF(N10&lt;W10,0,IF(N10&gt;X10,0,1)))=0,1)</formula>
    </cfRule>
  </conditionalFormatting>
  <conditionalFormatting sqref="P6">
    <cfRule type="cellIs" dxfId="925" priority="166" operator="greaterThanOrEqual">
      <formula>19</formula>
    </cfRule>
  </conditionalFormatting>
  <dataValidations count="1">
    <dataValidation type="list" allowBlank="1" showInputMessage="1" showErrorMessage="1" sqref="R8" xr:uid="{F557AC87-DFC0-482D-9C2A-4C91B492E7C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B9E6-5B28-4CA0-B201-04D57CF19891}">
  <sheetPr>
    <pageSetUpPr fitToPage="1"/>
  </sheetPr>
  <dimension ref="A1:BE81"/>
  <sheetViews>
    <sheetView topLeftCell="A8" zoomScale="70" zoomScaleNormal="70" workbookViewId="0">
      <selection activeCell="B18" sqref="B18:O18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109.140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46198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3" t="s">
        <v>9</v>
      </c>
      <c r="C10" s="366" t="str">
        <f>[4]Brewhouse!$A282</f>
        <v>ST227</v>
      </c>
      <c r="D10" s="279">
        <f>[4]Brewhouse!$AB282</f>
        <v>53.1</v>
      </c>
      <c r="E10" s="279">
        <f>[4]Brewhouse!$AG282</f>
        <v>49.5</v>
      </c>
      <c r="F10" s="278">
        <f>[4]Brewhouse!$V282</f>
        <v>56</v>
      </c>
      <c r="G10" s="279">
        <f>[4]Brewhouse!$AE282</f>
        <v>12</v>
      </c>
      <c r="H10" s="396"/>
      <c r="I10" s="368">
        <f>[4]Brewhouse!$AS282</f>
        <v>99.571016312772826</v>
      </c>
      <c r="J10" s="368">
        <f>[4]Brewhouse!$AT282</f>
        <v>100.51915820265562</v>
      </c>
      <c r="K10" s="281">
        <f>[4]Brewhouse!$Q282</f>
        <v>12.193973634651604</v>
      </c>
      <c r="L10" s="276">
        <f>[4]Brewhouse!$P282</f>
        <v>60</v>
      </c>
      <c r="M10" s="374">
        <f>[4]Brewhouse!$U282-[4]Brewhouse!$T282</f>
        <v>0.13541666666666674</v>
      </c>
      <c r="N10" s="370">
        <f>[4]Brewhouse!$AW282</f>
        <v>0.26944444444444449</v>
      </c>
      <c r="O10" s="420" t="str">
        <f>[4]Brewhouse!$AV282</f>
        <v>D. Gomaz</v>
      </c>
      <c r="P10" s="418"/>
      <c r="R10" s="277" t="str">
        <f t="shared" ref="R10:R41" si="0">B10</f>
        <v>STAG</v>
      </c>
      <c r="S10" s="472">
        <f t="shared" ref="S10:S41" si="1">VLOOKUP($B10,$R$3:$X$9,2,FALSE)</f>
        <v>11.6</v>
      </c>
      <c r="T10" s="472">
        <f t="shared" ref="T10:T41" si="2">VLOOKUP($B10,$R$3:$X$9,3,FALSE)</f>
        <v>12</v>
      </c>
      <c r="U10" s="297">
        <f t="shared" ref="U10:U41" si="3">VLOOKUP($B10,$R$3:$X$9,4,FALSE)</f>
        <v>0</v>
      </c>
      <c r="V10" s="297">
        <f t="shared" ref="V10:V41" si="4">VLOOKUP($B10,$R$3:$X$9,5,FALSE)</f>
        <v>0.118055555555556</v>
      </c>
      <c r="W10" s="297">
        <f t="shared" ref="W10:W41" si="5">VLOOKUP($B10,$R$3:$X$9,6,FALSE)</f>
        <v>0.22569444444444445</v>
      </c>
      <c r="X10" s="297">
        <f t="shared" ref="X10:X41" si="6">VLOOKUP($B10,$R$3:$X$9,7,FALSE)</f>
        <v>0.2638888888888889</v>
      </c>
      <c r="Y10" s="297">
        <f t="shared" ref="Y10:Y41" si="7">VLOOKUP($B10,$R$3:$Z$9,8,FALSE)</f>
        <v>0</v>
      </c>
      <c r="Z10" s="472">
        <f t="shared" ref="Z10:Z41" si="8">VLOOKUP($B10,$R$3:$Z$9,9,FALSE)</f>
        <v>60</v>
      </c>
    </row>
    <row r="11" spans="2:29" ht="17.25" customHeight="1">
      <c r="B11" s="33" t="s">
        <v>9</v>
      </c>
      <c r="C11" s="366" t="str">
        <f>[4]Brewhouse!$A283</f>
        <v>ST228</v>
      </c>
      <c r="D11" s="279">
        <f>[4]Brewhouse!$AB283</f>
        <v>53</v>
      </c>
      <c r="E11" s="279">
        <f>[4]Brewhouse!$AG283</f>
        <v>49.9</v>
      </c>
      <c r="F11" s="278">
        <f>[4]Brewhouse!$V283</f>
        <v>53</v>
      </c>
      <c r="G11" s="279">
        <f>[4]Brewhouse!$AE283</f>
        <v>12.1</v>
      </c>
      <c r="H11" s="396"/>
      <c r="I11" s="368">
        <f>[4]Brewhouse!$AS283</f>
        <v>101.25471652266825</v>
      </c>
      <c r="J11" s="368">
        <f>[4]Brewhouse!$AT283</f>
        <v>102.21889105697028</v>
      </c>
      <c r="K11" s="281">
        <f>[4]Brewhouse!$Q283</f>
        <v>6.7452830188679158</v>
      </c>
      <c r="L11" s="276">
        <f>[4]Brewhouse!$P283</f>
        <v>60</v>
      </c>
      <c r="M11" s="374">
        <f>[4]Brewhouse!$U283-[4]Brewhouse!$T283</f>
        <v>0.12152777777777768</v>
      </c>
      <c r="N11" s="370">
        <f>[4]Brewhouse!$AW283</f>
        <v>0.2583333333333333</v>
      </c>
      <c r="O11" s="420" t="str">
        <f>[4]Brewhouse!$AV283</f>
        <v>D. Gomaz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33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420"/>
      <c r="P12" s="418"/>
      <c r="R12" s="277">
        <f t="shared" si="0"/>
        <v>0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2:29" ht="17.25" customHeight="1">
      <c r="B13" s="29" t="s">
        <v>6</v>
      </c>
      <c r="C13" s="366" t="str">
        <f>[3]Brewhouse!$A474</f>
        <v>CA428</v>
      </c>
      <c r="D13" s="279">
        <f>[3]Brewhouse!$AF474</f>
        <v>50.4</v>
      </c>
      <c r="E13" s="279">
        <f>[3]Brewhouse!$AI474</f>
        <v>51.9</v>
      </c>
      <c r="F13" s="278">
        <f>[3]Brewhouse!$V474</f>
        <v>54</v>
      </c>
      <c r="G13" s="279">
        <f>[3]Brewhouse!AG474</f>
        <v>11.9</v>
      </c>
      <c r="H13" s="396"/>
      <c r="I13" s="368">
        <f>[3]Brewhouse!$AU474</f>
        <v>102.44666718353356</v>
      </c>
      <c r="J13" s="368">
        <f>[3]Brewhouse!$AV474</f>
        <v>103.61630634887433</v>
      </c>
      <c r="K13" s="281">
        <f>[3]Brewhouse!$Q474</f>
        <v>8</v>
      </c>
      <c r="L13" s="276">
        <f>[3]Brewhouse!$P474</f>
        <v>60</v>
      </c>
      <c r="M13" s="397">
        <f>[3]Brewhouse!$U474-[3]Brewhouse!$T474</f>
        <v>0.1111111111111111</v>
      </c>
      <c r="N13" s="370">
        <f>[3]Brewhouse!$Z474</f>
        <v>0.28055555555555556</v>
      </c>
      <c r="O13" s="420" t="str">
        <f>[3]Brewhouse!$AX474</f>
        <v>K. Benjamin</v>
      </c>
      <c r="P13" s="418" t="s">
        <v>195</v>
      </c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[3]Brewhouse!$A475</f>
        <v>CA429</v>
      </c>
      <c r="D14" s="279">
        <f>[3]Brewhouse!$AF475</f>
        <v>51.2</v>
      </c>
      <c r="E14" s="279">
        <f>[3]Brewhouse!$AI475</f>
        <v>52.5</v>
      </c>
      <c r="F14" s="278">
        <f>[3]Brewhouse!$V475</f>
        <v>55</v>
      </c>
      <c r="G14" s="279">
        <f>[3]Brewhouse!AG475</f>
        <v>11.9</v>
      </c>
      <c r="H14" s="396"/>
      <c r="I14" s="368">
        <f>[3]Brewhouse!$AU475</f>
        <v>103.76004973726178</v>
      </c>
      <c r="J14" s="368">
        <f>[3]Brewhouse!$AV475</f>
        <v>104.9446054325599</v>
      </c>
      <c r="K14" s="281">
        <f>[3]Brewhouse!$Q475</f>
        <v>8.3548983364140526</v>
      </c>
      <c r="L14" s="276">
        <f>[3]Brewhouse!$P475</f>
        <v>63</v>
      </c>
      <c r="M14" s="397">
        <f>[3]Brewhouse!$U475-[3]Brewhouse!$T475</f>
        <v>0.10972222222222222</v>
      </c>
      <c r="N14" s="370">
        <f>[3]Brewhouse!$Z475</f>
        <v>0.26111111111111107</v>
      </c>
      <c r="O14" s="420" t="str">
        <f>[3]Brewhouse!$AX475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[3]Brewhouse!$A476</f>
        <v>CA430</v>
      </c>
      <c r="D15" s="279">
        <f>[3]Brewhouse!$AF476</f>
        <v>51</v>
      </c>
      <c r="E15" s="279">
        <f>[3]Brewhouse!$AI476</f>
        <v>52.5</v>
      </c>
      <c r="F15" s="278">
        <f>[3]Brewhouse!$V476</f>
        <v>55</v>
      </c>
      <c r="G15" s="279">
        <f>[3]Brewhouse!AG476</f>
        <v>11.6</v>
      </c>
      <c r="H15" s="396"/>
      <c r="I15" s="368">
        <f>[3]Brewhouse!$AU476</f>
        <v>101.00978335868373</v>
      </c>
      <c r="J15" s="368">
        <f>[3]Brewhouse!$AV476</f>
        <v>102.16294119217879</v>
      </c>
      <c r="K15" s="281">
        <f>[3]Brewhouse!$Q476</f>
        <v>8.7245841035120115</v>
      </c>
      <c r="L15" s="276">
        <f>[3]Brewhouse!$P476</f>
        <v>60</v>
      </c>
      <c r="M15" s="397">
        <f>[3]Brewhouse!$U476-[3]Brewhouse!$T476</f>
        <v>0.10763888888888884</v>
      </c>
      <c r="N15" s="370">
        <f>[3]Brewhouse!$Z476</f>
        <v>0.25138888888888888</v>
      </c>
      <c r="O15" s="420" t="str">
        <f>[3]Brewhouse!$AX476</f>
        <v>R. Regis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 t="s">
        <v>6</v>
      </c>
      <c r="C16" s="366" t="str">
        <f>[3]Brewhouse!$A477</f>
        <v>CA431</v>
      </c>
      <c r="D16" s="279">
        <f>[3]Brewhouse!$AF477</f>
        <v>49.9</v>
      </c>
      <c r="E16" s="279">
        <f>[3]Brewhouse!$AI477</f>
        <v>52</v>
      </c>
      <c r="F16" s="278">
        <f>[3]Brewhouse!$V477</f>
        <v>55</v>
      </c>
      <c r="G16" s="279">
        <f>[3]Brewhouse!AG477</f>
        <v>11.8</v>
      </c>
      <c r="H16" s="396"/>
      <c r="I16" s="368">
        <f>[3]Brewhouse!$AU477</f>
        <v>102.24574408304541</v>
      </c>
      <c r="J16" s="368">
        <f>[3]Brewhouse!$AV477</f>
        <v>103.41277899854965</v>
      </c>
      <c r="K16" s="281">
        <f>[3]Brewhouse!$Q477</f>
        <v>9.0942698706099847</v>
      </c>
      <c r="L16" s="276">
        <f>[3]Brewhouse!$P477</f>
        <v>61</v>
      </c>
      <c r="M16" s="397">
        <f>[3]Brewhouse!$U477-[3]Brewhouse!$T477</f>
        <v>0.10277777777777775</v>
      </c>
      <c r="N16" s="370">
        <f>[3]Brewhouse!$Z477</f>
        <v>0.24097222222222214</v>
      </c>
      <c r="O16" s="420" t="str">
        <f>[3]Brewhouse!$AX477</f>
        <v>R. Regis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customHeight="1">
      <c r="B17" s="29" t="s">
        <v>6</v>
      </c>
      <c r="C17" s="366" t="str">
        <f>[3]Brewhouse!$A478</f>
        <v>CA432</v>
      </c>
      <c r="D17" s="279">
        <f>[3]Brewhouse!$AF478</f>
        <v>50.5</v>
      </c>
      <c r="E17" s="279">
        <f>[3]Brewhouse!$AI478</f>
        <v>51.6</v>
      </c>
      <c r="F17" s="278">
        <f>[3]Brewhouse!$V478</f>
        <v>63</v>
      </c>
      <c r="G17" s="279">
        <f>[3]Brewhouse!AG478</f>
        <v>11.7</v>
      </c>
      <c r="H17" s="396"/>
      <c r="I17" s="368">
        <f>[3]Brewhouse!$AU478</f>
        <v>100.17922672418331</v>
      </c>
      <c r="J17" s="368">
        <f>[3]Brewhouse!$AV478</f>
        <v>101.32290267525677</v>
      </c>
      <c r="K17" s="281">
        <f>[3]Brewhouse!$Q478</f>
        <v>9.4639556377079437</v>
      </c>
      <c r="L17" s="276">
        <f>[3]Brewhouse!$P478</f>
        <v>60</v>
      </c>
      <c r="M17" s="397">
        <f>[3]Brewhouse!$U478-[3]Brewhouse!$T478</f>
        <v>0.10833333333333328</v>
      </c>
      <c r="N17" s="370">
        <f>[3]Brewhouse!$Z478</f>
        <v>0.24791666666666667</v>
      </c>
      <c r="O17" s="420" t="str">
        <f>[3]Brewhouse!$AX478</f>
        <v>R. Regis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7.25" customHeight="1">
      <c r="B18" s="29" t="s">
        <v>6</v>
      </c>
      <c r="C18" s="366" t="str">
        <f>[3]Brewhouse!$A479</f>
        <v>CA433</v>
      </c>
      <c r="D18" s="279">
        <f>[3]Brewhouse!$AF479</f>
        <v>49.9</v>
      </c>
      <c r="E18" s="279">
        <f>[3]Brewhouse!$AI479</f>
        <v>51.3</v>
      </c>
      <c r="F18" s="278">
        <f>[3]Brewhouse!$V479</f>
        <v>62</v>
      </c>
      <c r="G18" s="279">
        <f>[3]Brewhouse!AG479</f>
        <v>11.9</v>
      </c>
      <c r="H18" s="396"/>
      <c r="I18" s="368">
        <f>[3]Brewhouse!$AU479</f>
        <v>101.13654701607011</v>
      </c>
      <c r="J18" s="368">
        <f>[3]Brewhouse!$AV479</f>
        <v>102.29130472546764</v>
      </c>
      <c r="K18" s="281">
        <f>[3]Brewhouse!$Q479</f>
        <v>9.0942698706099847</v>
      </c>
      <c r="L18" s="276">
        <f>[3]Brewhouse!$P479</f>
        <v>59</v>
      </c>
      <c r="M18" s="397">
        <f>[3]Brewhouse!$U479-[3]Brewhouse!$T479</f>
        <v>0.10833333333333328</v>
      </c>
      <c r="N18" s="370">
        <f>[3]Brewhouse!$Z479</f>
        <v>0.24166666666666659</v>
      </c>
      <c r="O18" s="420" t="str">
        <f>[3]Brewhouse!$AX479</f>
        <v>D. Gomaz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7.25" customHeight="1">
      <c r="B19" s="29"/>
      <c r="C19" s="366"/>
      <c r="D19" s="279"/>
      <c r="E19" s="279"/>
      <c r="F19" s="278"/>
      <c r="G19" s="506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7.25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7.25" hidden="1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7.25" hidden="1" customHeight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hidden="1" customHeight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hidden="1" customHeight="1">
      <c r="B24" s="33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hidden="1" customHeight="1">
      <c r="B25" s="33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hidden="1" customHeight="1">
      <c r="B26" s="33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420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7.25" customHeight="1" thickBot="1">
      <c r="B28" s="358"/>
      <c r="C28" s="358"/>
      <c r="D28" s="358"/>
      <c r="E28" s="358"/>
      <c r="F28" s="294"/>
      <c r="G28" s="294"/>
      <c r="H28" s="348"/>
      <c r="I28" s="544"/>
      <c r="J28" s="544"/>
      <c r="K28" s="544"/>
      <c r="L28" s="544"/>
      <c r="M28" s="544"/>
      <c r="N28" s="544"/>
      <c r="O28" s="1"/>
      <c r="P28" s="12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7.25" customHeight="1" thickBot="1">
      <c r="B29" s="388" t="s">
        <v>162</v>
      </c>
      <c r="C29" s="388"/>
      <c r="D29" s="545" t="s">
        <v>35</v>
      </c>
      <c r="E29" s="546"/>
      <c r="F29" s="294"/>
      <c r="G29" s="294"/>
      <c r="H29" s="348"/>
      <c r="I29" s="24" t="s">
        <v>17</v>
      </c>
      <c r="J29" s="25"/>
      <c r="K29" s="26" t="s">
        <v>138</v>
      </c>
      <c r="L29" s="25" t="s">
        <v>37</v>
      </c>
      <c r="M29" s="25" t="s">
        <v>38</v>
      </c>
      <c r="N29" s="27" t="s">
        <v>39</v>
      </c>
      <c r="O29" s="294"/>
      <c r="P29" s="12"/>
      <c r="R29" s="277" t="str">
        <f t="shared" si="0"/>
        <v xml:space="preserve">BRAND 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7.25" customHeight="1">
      <c r="A30" s="28"/>
      <c r="B30" s="530"/>
      <c r="C30" s="362"/>
      <c r="D30" s="548"/>
      <c r="E30" s="549"/>
      <c r="F30" s="294"/>
      <c r="G30" s="294"/>
      <c r="H30" s="348"/>
      <c r="I30" s="29" t="s">
        <v>6</v>
      </c>
      <c r="J30" s="323">
        <f>AVERAGE(I13:I18)</f>
        <v>101.79633635046298</v>
      </c>
      <c r="K30" s="284">
        <f>COUNTA([3]Brewhouse!$A$441:$A$479)</f>
        <v>39</v>
      </c>
      <c r="L30" s="305">
        <f>AVERAGE([3]Brewhouse!$AU$441:$AU$479)</f>
        <v>99.581020505785347</v>
      </c>
      <c r="M30" s="305">
        <f>AVERAGE([3]Brewhouse!$AU$42:$AU$123,[3]Brewhouse!$AU$125:$AU$188,[3]Brewhouse!$AU$198:$AU$290,[3]Brewhouse!$AU$292:$AU$370,[3]Brewhouse!$AU$372:$AU$439,[3]Brewhouse!$AU$441:$AU$479)</f>
        <v>98.122381012879842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5" customHeight="1">
      <c r="A31" s="28"/>
      <c r="B31" s="531"/>
      <c r="C31" s="362"/>
      <c r="D31" s="550"/>
      <c r="E31" s="536"/>
      <c r="F31" s="294"/>
      <c r="G31" s="294"/>
      <c r="H31" s="348"/>
      <c r="I31" s="33" t="s">
        <v>9</v>
      </c>
      <c r="J31" s="323">
        <f>AVERAGE(I10:I11)</f>
        <v>100.41286641772054</v>
      </c>
      <c r="K31" s="284">
        <f>COUNTA([4]Brewhouse!$A$252:$A$283)</f>
        <v>32</v>
      </c>
      <c r="L31" s="302">
        <f>AVERAGE([4]Brewhouse!$AS$252:$AS$283)</f>
        <v>99.115231256165558</v>
      </c>
      <c r="M31" s="302">
        <f>AVERAGE([4]Brewhouse!$AS$52:$AS$81,[4]Brewhouse!$AS$83:$AS$124,[4]Brewhouse!$AS$134:$AS$177,[4]Brewhouse!$AS$22:$AS$179,[4]Brewhouse!$AS$214:$AS$249,[4]Brewhouse!$AS$252:$AS$283)</f>
        <v>98.083477785070826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31"/>
      <c r="C32" s="362"/>
      <c r="D32" s="540"/>
      <c r="E32" s="541"/>
      <c r="F32" s="294"/>
      <c r="G32" s="294"/>
      <c r="H32" s="348"/>
      <c r="I32" s="34" t="s">
        <v>12</v>
      </c>
      <c r="J32" s="280"/>
      <c r="K32" s="284">
        <f>COUNTA([5]Brewhouse!$A$62:$A$69)</f>
        <v>8</v>
      </c>
      <c r="L32" s="302">
        <f>AVERAGE([5]Brewhouse!$AU$62:$AU$69)</f>
        <v>95.865325586732524</v>
      </c>
      <c r="M32" s="302">
        <f>AVERAGE([5]Brewhouse!$AU$16:$AU$23,[5]Brewhouse!$AU$25:$AU$32,[5]Brewhouse!$AU$34:$AU$41,[5]Brewhouse!$AU$43:$AU$60,[5]Brewhouse!$AU$62:$AU$69)</f>
        <v>96.726835550404019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31"/>
      <c r="C33" s="362"/>
      <c r="D33" s="535"/>
      <c r="E33" s="536"/>
      <c r="F33" s="294"/>
      <c r="G33" s="294"/>
      <c r="H33" s="348"/>
      <c r="I33" s="22" t="s">
        <v>33</v>
      </c>
      <c r="J33" s="280"/>
      <c r="K33" s="284"/>
      <c r="L33" s="302"/>
      <c r="M33" s="302">
        <f>AVERAGE([6]Brewhouse!$AV$23:$AV$34,[6]Brewhouse!$AV$36,[6]Brewhouse!$AV$38:$AV$52,[6]Brewhouse!$AV$54:$AV$60,[6]Brewhouse!$AV$62:$AV$68)</f>
        <v>97.579195177204838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31"/>
      <c r="C34" s="362"/>
      <c r="D34" s="540"/>
      <c r="E34" s="541"/>
      <c r="F34" s="417"/>
      <c r="G34" s="294"/>
      <c r="H34" s="348"/>
      <c r="I34" s="35" t="s">
        <v>29</v>
      </c>
      <c r="J34" s="280"/>
      <c r="K34" s="284"/>
      <c r="L34" s="302"/>
      <c r="M34" s="302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31"/>
      <c r="C35" s="362"/>
      <c r="D35" s="535"/>
      <c r="E35" s="536"/>
      <c r="F35" s="417"/>
      <c r="G35" s="294"/>
      <c r="H35" s="348"/>
      <c r="I35" s="36" t="s">
        <v>15</v>
      </c>
      <c r="J35" s="323"/>
      <c r="K35" s="284"/>
      <c r="L35" s="302"/>
      <c r="M35" s="302">
        <f>AVERAGE([7]Brewhouse!$AT$4:$AT$11,[7]Brewhouse!$AT$13:$AT$16)</f>
        <v>91.538375374138752</v>
      </c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56" ht="14.65" customHeight="1">
      <c r="A36" s="28"/>
      <c r="B36" s="531"/>
      <c r="C36" s="362"/>
      <c r="D36" s="540"/>
      <c r="E36" s="541"/>
      <c r="F36" s="417"/>
      <c r="G36" s="294"/>
      <c r="H36" s="348"/>
      <c r="I36" s="37" t="s">
        <v>16</v>
      </c>
      <c r="J36" s="323"/>
      <c r="K36" s="284">
        <f>COUNTA([8]Brewhouse!$A$66:$A$73)</f>
        <v>8</v>
      </c>
      <c r="L36" s="302">
        <f>AVERAGE([8]Brewhouse!$AY$66:$AY$73)</f>
        <v>98.225688487824243</v>
      </c>
      <c r="M36" s="302">
        <f>AVERAGE([8]Brewhouse!$AY$5:$AY$14,[8]Brewhouse!$AY$16:$AY$23,[8]Brewhouse!$AY$42,[8]Brewhouse!$AY$44:$AY$51,[8]Brewhouse!$AY$53:$AY$64,[8]Brewhouse!$AY$66:$AY$73)</f>
        <v>97.506811941025575</v>
      </c>
      <c r="N36" s="30">
        <v>98</v>
      </c>
      <c r="O36" s="11"/>
      <c r="P36" s="31" t="s">
        <v>41</v>
      </c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56" ht="14.65" customHeight="1">
      <c r="A37" s="28"/>
      <c r="B37" s="531"/>
      <c r="C37" s="362"/>
      <c r="D37" s="535"/>
      <c r="E37" s="536"/>
      <c r="F37" s="294"/>
      <c r="G37" s="294"/>
      <c r="H37" s="348"/>
      <c r="I37" s="411" t="s">
        <v>158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56" ht="14.65" customHeight="1">
      <c r="A38" s="28"/>
      <c r="B38" s="531"/>
      <c r="C38" s="349"/>
      <c r="D38" s="540"/>
      <c r="E38" s="541"/>
      <c r="F38" s="294"/>
      <c r="G38" s="294"/>
      <c r="H38" s="348"/>
      <c r="I38" s="410" t="s">
        <v>157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" customHeight="1" thickBot="1">
      <c r="A39" s="28"/>
      <c r="B39" s="531"/>
      <c r="C39" s="349"/>
      <c r="D39" s="535"/>
      <c r="E39" s="536"/>
      <c r="F39" s="294"/>
      <c r="G39" s="294"/>
      <c r="H39" s="348"/>
      <c r="I39" s="406" t="s">
        <v>156</v>
      </c>
      <c r="J39" s="327"/>
      <c r="K39" s="407"/>
      <c r="L39" s="408"/>
      <c r="M39" s="408"/>
      <c r="N39" s="409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" customHeight="1" thickBot="1">
      <c r="A40" s="28"/>
      <c r="B40" s="531"/>
      <c r="C40" s="349"/>
      <c r="D40" s="548"/>
      <c r="E40" s="549"/>
      <c r="F40" s="294"/>
      <c r="G40" s="294"/>
      <c r="H40" s="348"/>
      <c r="I40" s="1"/>
      <c r="J40" s="39"/>
      <c r="K40" s="404">
        <f>SUM(K30:K39)</f>
        <v>87</v>
      </c>
      <c r="L40" s="405">
        <f>((L30*K30)+(L31*K31)+(L32*K32)+(L33*K33)+(L34*K34)+(K37*L37)+(L35*K35)+(L36*K36)+(L39*K39))/(K40)</f>
        <v>98.943394396774494</v>
      </c>
      <c r="M40" s="405">
        <f>AVERAGE('[9]Jan30th-31st'!$L$42,L40)</f>
        <v>98.385718066307987</v>
      </c>
      <c r="N40" s="40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56" ht="15.75" thickBot="1">
      <c r="B41" s="547"/>
      <c r="C41" s="350"/>
      <c r="D41" s="550"/>
      <c r="E41" s="536"/>
      <c r="F41" s="294"/>
      <c r="G41" s="42"/>
      <c r="H41" s="41"/>
      <c r="I41" s="42"/>
      <c r="J41" s="42"/>
      <c r="K41" s="351"/>
      <c r="L41" s="348"/>
      <c r="M41" s="348"/>
      <c r="N41" s="11"/>
      <c r="O41" s="294"/>
      <c r="P41" s="12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56" ht="15.75" thickBot="1">
      <c r="B42" s="530"/>
      <c r="C42" s="362"/>
      <c r="D42" s="533"/>
      <c r="E42" s="534"/>
      <c r="F42" s="294"/>
      <c r="G42" s="42"/>
      <c r="H42" s="41"/>
      <c r="I42" s="42"/>
      <c r="J42" s="537" t="s">
        <v>129</v>
      </c>
      <c r="K42" s="537"/>
      <c r="L42" s="294"/>
      <c r="M42" s="294"/>
      <c r="N42" s="294"/>
      <c r="O42" s="294"/>
      <c r="P42" s="12"/>
    </row>
    <row r="43" spans="1:56" ht="15.75" thickBot="1">
      <c r="B43" s="531"/>
      <c r="C43" s="362"/>
      <c r="D43" s="535"/>
      <c r="E43" s="536"/>
      <c r="F43" s="294"/>
      <c r="G43" s="42"/>
      <c r="H43" s="42"/>
      <c r="I43" s="42"/>
      <c r="J43" s="292" t="s">
        <v>17</v>
      </c>
      <c r="K43" s="293" t="s">
        <v>170</v>
      </c>
      <c r="L43" s="538" t="s">
        <v>136</v>
      </c>
      <c r="M43" s="538"/>
      <c r="N43" s="539"/>
      <c r="O43" s="294"/>
      <c r="P43" s="12"/>
    </row>
    <row r="44" spans="1:56" ht="15" customHeight="1" thickBot="1">
      <c r="B44" s="531"/>
      <c r="C44" s="349"/>
      <c r="D44" s="540"/>
      <c r="E44" s="541"/>
      <c r="F44" s="294"/>
      <c r="G44" s="42"/>
      <c r="H44" s="42"/>
      <c r="I44" s="42"/>
      <c r="J44" s="287" t="s">
        <v>6</v>
      </c>
      <c r="K44" s="324">
        <v>6</v>
      </c>
      <c r="L44" s="473" t="s">
        <v>37</v>
      </c>
      <c r="M44" s="474" t="s">
        <v>38</v>
      </c>
      <c r="N44" s="474" t="s">
        <v>84</v>
      </c>
      <c r="O44" s="294"/>
      <c r="P44" s="12"/>
    </row>
    <row r="45" spans="1:56" ht="15.75" customHeight="1" thickBot="1">
      <c r="B45" s="531"/>
      <c r="C45" s="349"/>
      <c r="D45" s="535"/>
      <c r="E45" s="536"/>
      <c r="F45" s="294"/>
      <c r="G45" s="42"/>
      <c r="H45" s="42"/>
      <c r="I45" s="42"/>
      <c r="J45" s="345" t="s">
        <v>9</v>
      </c>
      <c r="K45" s="324">
        <v>2</v>
      </c>
      <c r="L45" s="344">
        <f>AVERAGE('June 2nd'!K44,'June 3rd'!K52,'June 4th'!K47,'June 5th'!K46,'June 8th'!K48,'June 9th'!K56,'June 15th '!K56,'June 16th'!K50,'June 17th '!K49,'June 18th '!K48,'June 21st'!L39,'June 22nd'!K49,'June 23rd'!K45,'June 24th'!K47,K54)</f>
        <v>6.1757575757575758</v>
      </c>
      <c r="M45" s="325">
        <f>AVERAGE('[9]Jan30th-31st'!$L$47,L45,'[10]Feb 26th '!$L$39,'[11]Mar 31st'!$L$47,'[12]Apr 30th'!$L$46,'[13]May 29th '!$L$40)</f>
        <v>6.3006038647342999</v>
      </c>
      <c r="N45" s="416">
        <v>9.1999999999999993</v>
      </c>
      <c r="O45" s="294"/>
      <c r="P45" s="12"/>
    </row>
    <row r="46" spans="1:56" ht="15" customHeight="1">
      <c r="B46" s="531"/>
      <c r="C46" s="349"/>
      <c r="D46" s="540"/>
      <c r="E46" s="541"/>
      <c r="F46" s="294"/>
      <c r="G46" s="42"/>
      <c r="H46" s="42"/>
      <c r="I46" s="42"/>
      <c r="J46" s="288" t="s">
        <v>40</v>
      </c>
      <c r="K46" s="324"/>
      <c r="L46" s="294"/>
      <c r="M46" s="294"/>
      <c r="N46" s="294"/>
      <c r="O46" s="294"/>
      <c r="P46" s="12"/>
    </row>
    <row r="47" spans="1:56" ht="15" customHeight="1">
      <c r="B47" s="531"/>
      <c r="C47" s="349"/>
      <c r="D47" s="535"/>
      <c r="E47" s="536"/>
      <c r="F47" s="294"/>
      <c r="G47" s="42"/>
      <c r="H47" s="42"/>
      <c r="I47" s="42"/>
      <c r="J47" s="289" t="s">
        <v>33</v>
      </c>
      <c r="K47" s="324"/>
      <c r="L47" s="294"/>
      <c r="M47" s="294"/>
      <c r="N47" s="294"/>
      <c r="O47" s="294"/>
      <c r="P47" s="12"/>
    </row>
    <row r="48" spans="1:56" ht="15">
      <c r="B48" s="531"/>
      <c r="C48" s="349"/>
      <c r="D48" s="540"/>
      <c r="E48" s="541"/>
      <c r="F48" s="294"/>
      <c r="G48" s="42"/>
      <c r="H48" s="42"/>
      <c r="I48" s="42"/>
      <c r="J48" s="290" t="s">
        <v>16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31"/>
      <c r="C49" s="349"/>
      <c r="D49" s="535"/>
      <c r="E49" s="536"/>
      <c r="F49" s="294"/>
      <c r="G49" s="42"/>
      <c r="H49" s="42"/>
      <c r="I49" s="42"/>
      <c r="J49" s="291" t="s">
        <v>15</v>
      </c>
      <c r="K49" s="324"/>
      <c r="L49" s="294"/>
      <c r="M49" s="294"/>
      <c r="N49" s="294"/>
      <c r="O49" s="294"/>
      <c r="P49" s="12"/>
      <c r="BC49" s="44"/>
      <c r="BD49" s="44"/>
    </row>
    <row r="50" spans="2:57" ht="15">
      <c r="B50" s="531"/>
      <c r="C50" s="349"/>
      <c r="D50" s="540"/>
      <c r="E50" s="541"/>
      <c r="F50" s="294"/>
      <c r="G50" s="42"/>
      <c r="H50" s="42"/>
      <c r="I50" s="42"/>
      <c r="J50" s="291" t="s">
        <v>149</v>
      </c>
      <c r="K50" s="324"/>
      <c r="L50" s="294"/>
      <c r="M50" s="294"/>
      <c r="N50" s="294"/>
      <c r="O50" s="294"/>
      <c r="P50" s="12"/>
      <c r="BC50" s="44"/>
      <c r="BD50" s="44"/>
    </row>
    <row r="51" spans="2:57" ht="15.75" thickBot="1">
      <c r="B51" s="532"/>
      <c r="C51" s="350"/>
      <c r="D51" s="542"/>
      <c r="E51" s="543"/>
      <c r="F51" s="294" t="s">
        <v>166</v>
      </c>
      <c r="G51" s="42"/>
      <c r="H51" s="42"/>
      <c r="I51" s="42"/>
      <c r="J51" s="291" t="s">
        <v>148</v>
      </c>
      <c r="K51" s="324"/>
      <c r="L51" s="294"/>
      <c r="M51" s="294"/>
      <c r="N51" s="294" t="s">
        <v>41</v>
      </c>
      <c r="O51" s="294"/>
      <c r="P51" s="12"/>
      <c r="BC51" s="44"/>
      <c r="BD51" s="44"/>
    </row>
    <row r="52" spans="2:57" ht="17.649999999999999" customHeight="1" thickBot="1">
      <c r="B52" s="312" t="s">
        <v>139</v>
      </c>
      <c r="C52" s="313"/>
      <c r="D52" s="523"/>
      <c r="E52" s="524"/>
      <c r="F52" s="294"/>
      <c r="J52" s="295" t="s">
        <v>134</v>
      </c>
      <c r="K52" s="324"/>
      <c r="L52" s="294"/>
      <c r="M52" s="294"/>
      <c r="N52" s="294"/>
      <c r="O52" s="294"/>
      <c r="P52" s="12"/>
      <c r="BC52" s="44"/>
      <c r="BD52" s="44"/>
    </row>
    <row r="53" spans="2:57" ht="17.649999999999999" customHeight="1">
      <c r="B53" s="363"/>
      <c r="C53" s="364"/>
      <c r="D53" s="365"/>
      <c r="E53" s="365"/>
      <c r="F53" s="294"/>
      <c r="G53" s="42"/>
      <c r="H53" s="42"/>
      <c r="I53" s="42"/>
      <c r="J53" s="295" t="s">
        <v>131</v>
      </c>
      <c r="K53" s="324"/>
      <c r="L53" s="294"/>
      <c r="M53" s="294"/>
      <c r="N53" s="294"/>
      <c r="O53" s="294"/>
      <c r="P53" s="12"/>
      <c r="BC53" s="44"/>
      <c r="BD53" s="44"/>
    </row>
    <row r="54" spans="2:57" ht="15.6" customHeight="1">
      <c r="B54" s="45"/>
      <c r="C54" s="11"/>
      <c r="D54" s="11"/>
      <c r="E54" s="46"/>
      <c r="F54" s="294"/>
      <c r="G54" s="42"/>
      <c r="H54" s="42"/>
      <c r="I54" s="42"/>
      <c r="J54" s="346" t="s">
        <v>130</v>
      </c>
      <c r="K54" s="324">
        <f>SUM(K44:K53)</f>
        <v>8</v>
      </c>
      <c r="L54" s="294"/>
      <c r="M54" s="294"/>
      <c r="N54" s="294"/>
      <c r="O54" s="294"/>
      <c r="P54" s="12"/>
    </row>
    <row r="55" spans="2:57" ht="20.25" customHeight="1">
      <c r="B55" s="15" t="s">
        <v>42</v>
      </c>
      <c r="C55" s="1" t="s">
        <v>43</v>
      </c>
      <c r="D55" s="1"/>
      <c r="E55" s="1"/>
      <c r="F55" s="294"/>
      <c r="G55" s="42"/>
      <c r="H55" s="41"/>
      <c r="I55" s="42"/>
      <c r="L55" s="294"/>
      <c r="N55" s="315"/>
      <c r="P55" s="334"/>
    </row>
    <row r="56" spans="2:57" ht="15" customHeight="1" thickBot="1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1"/>
      <c r="O56" s="48"/>
      <c r="P56" s="49"/>
    </row>
    <row r="57" spans="2:57" ht="15" customHeight="1" thickBot="1">
      <c r="B57" s="515" t="s">
        <v>17</v>
      </c>
      <c r="C57" s="515" t="s">
        <v>44</v>
      </c>
      <c r="D57" s="526" t="s">
        <v>45</v>
      </c>
      <c r="E57" s="528" t="s">
        <v>46</v>
      </c>
      <c r="F57" s="521" t="s">
        <v>47</v>
      </c>
      <c r="G57" s="513" t="s">
        <v>48</v>
      </c>
      <c r="H57" s="515" t="s">
        <v>49</v>
      </c>
      <c r="I57" s="515" t="s">
        <v>50</v>
      </c>
      <c r="J57" s="507" t="s">
        <v>28</v>
      </c>
      <c r="K57" s="517" t="s">
        <v>51</v>
      </c>
      <c r="L57" s="519" t="s">
        <v>52</v>
      </c>
      <c r="M57" s="507" t="s">
        <v>53</v>
      </c>
      <c r="N57" s="13"/>
      <c r="O57" s="13"/>
      <c r="P57" s="50"/>
    </row>
    <row r="58" spans="2:57" ht="28.5" customHeight="1" thickTop="1" thickBot="1">
      <c r="B58" s="516"/>
      <c r="C58" s="525"/>
      <c r="D58" s="527"/>
      <c r="E58" s="529"/>
      <c r="F58" s="522"/>
      <c r="G58" s="514"/>
      <c r="H58" s="516"/>
      <c r="I58" s="516"/>
      <c r="J58" s="508"/>
      <c r="K58" s="518"/>
      <c r="L58" s="520"/>
      <c r="M58" s="508"/>
      <c r="N58" s="13"/>
      <c r="O58" s="13"/>
      <c r="P58" s="50"/>
      <c r="Q58" s="355"/>
      <c r="AB58" s="475">
        <v>43474</v>
      </c>
      <c r="AC58" s="475">
        <v>43475</v>
      </c>
      <c r="AD58" s="475">
        <v>43476</v>
      </c>
      <c r="AE58" s="475">
        <v>43477</v>
      </c>
      <c r="AF58" s="475">
        <v>43478</v>
      </c>
      <c r="AG58" s="475">
        <v>43479</v>
      </c>
      <c r="AH58" s="475">
        <v>43480</v>
      </c>
      <c r="AI58" s="475">
        <v>43481</v>
      </c>
      <c r="AJ58" s="475">
        <v>43482</v>
      </c>
      <c r="AK58" s="475">
        <v>43483</v>
      </c>
      <c r="AL58" s="475">
        <v>43484</v>
      </c>
      <c r="AM58" s="475">
        <v>43485</v>
      </c>
      <c r="AN58" s="475">
        <v>43486</v>
      </c>
      <c r="AO58" s="475">
        <v>43487</v>
      </c>
      <c r="AP58" s="475">
        <v>43488</v>
      </c>
      <c r="AQ58" s="475">
        <v>43489</v>
      </c>
      <c r="AR58" s="475">
        <v>43490</v>
      </c>
      <c r="AS58" s="475">
        <v>43491</v>
      </c>
      <c r="AT58" s="475">
        <v>43492</v>
      </c>
      <c r="AU58" s="475">
        <v>43493</v>
      </c>
      <c r="AV58" s="475">
        <v>43494</v>
      </c>
      <c r="AW58" s="475">
        <v>43495</v>
      </c>
      <c r="AX58" s="475">
        <v>43496</v>
      </c>
    </row>
    <row r="59" spans="2:57" s="54" customFormat="1" ht="36.75" customHeight="1" thickBot="1">
      <c r="B59" s="480" t="str">
        <f>J44</f>
        <v>CARIB</v>
      </c>
      <c r="C59" s="479">
        <v>46198</v>
      </c>
      <c r="D59" s="445">
        <f>[14]June_2026!$AB$3</f>
        <v>501.91000000000008</v>
      </c>
      <c r="E59" s="443"/>
      <c r="F59" s="444"/>
      <c r="G59" s="445">
        <f>[14]June_2026!$AB$7</f>
        <v>485.6</v>
      </c>
      <c r="H59" s="458"/>
      <c r="I59" s="458"/>
      <c r="J59" s="448" t="s">
        <v>193</v>
      </c>
      <c r="K59" s="449">
        <f>[15]June_2026!$AB$18</f>
        <v>0.85192982456140354</v>
      </c>
      <c r="L59" s="457">
        <f>(((D59+E59)-G59)/(D59+E59))*100</f>
        <v>3.249586579267211</v>
      </c>
      <c r="M59" s="455" t="s">
        <v>185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[16]January_2019!L5</f>
        <v>0</v>
      </c>
      <c r="AC59" s="57">
        <f>[16]January_2019!M5</f>
        <v>0</v>
      </c>
      <c r="AD59" s="57">
        <f>[16]January_2019!N5</f>
        <v>0</v>
      </c>
      <c r="AE59" s="57">
        <f>[16]January_2019!O5</f>
        <v>0</v>
      </c>
      <c r="AF59" s="57">
        <f>[16]January_2019!P5</f>
        <v>0</v>
      </c>
      <c r="AG59" s="57">
        <f>[16]January_2019!Q5</f>
        <v>0</v>
      </c>
      <c r="AH59" s="57">
        <f>[16]January_2019!R5</f>
        <v>0</v>
      </c>
      <c r="AI59" s="57">
        <f>[16]January_2019!S5</f>
        <v>0</v>
      </c>
      <c r="AJ59" s="57">
        <f>[16]January_2019!T5</f>
        <v>0</v>
      </c>
      <c r="AK59" s="57">
        <f>[16]January_2019!U5</f>
        <v>0</v>
      </c>
      <c r="AL59" s="57">
        <f>[16]January_2019!V5</f>
        <v>0</v>
      </c>
      <c r="AM59" s="57">
        <f>[16]January_2019!W5</f>
        <v>0</v>
      </c>
      <c r="AN59" s="57">
        <f>[16]January_2019!X5</f>
        <v>0</v>
      </c>
      <c r="AO59" s="57">
        <f>[16]January_2019!Y5</f>
        <v>0</v>
      </c>
      <c r="AP59" s="57">
        <f>[16]January_2019!Z5</f>
        <v>0</v>
      </c>
      <c r="AQ59" s="57">
        <f>[16]January_2019!AA5</f>
        <v>0</v>
      </c>
      <c r="AR59" s="57">
        <f>[16]January_2019!AB5</f>
        <v>0</v>
      </c>
      <c r="AS59" s="57">
        <f>[16]January_2019!AC5</f>
        <v>0</v>
      </c>
      <c r="AT59" s="57">
        <f>[16]January_2019!AD5</f>
        <v>0</v>
      </c>
      <c r="AU59" s="57">
        <f>[16]January_2019!AE5</f>
        <v>0</v>
      </c>
      <c r="AV59" s="57">
        <f>[16]January_2019!AF5</f>
        <v>0</v>
      </c>
      <c r="AW59" s="57">
        <f>[16]January_2019!AG5</f>
        <v>0</v>
      </c>
      <c r="AX59" s="277">
        <f>[16]January_2019!AH5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14.25" customHeight="1" thickBot="1">
      <c r="B60" s="480"/>
      <c r="C60" s="479"/>
      <c r="D60" s="442"/>
      <c r="E60" s="443"/>
      <c r="F60" s="444"/>
      <c r="G60" s="445"/>
      <c r="H60" s="458"/>
      <c r="I60" s="458"/>
      <c r="J60" s="476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[16]January_2019!L6</f>
        <v>0</v>
      </c>
      <c r="AC60" s="57">
        <f>[16]January_2019!M6</f>
        <v>0</v>
      </c>
      <c r="AD60" s="57">
        <f>[16]January_2019!N6</f>
        <v>0</v>
      </c>
      <c r="AE60" s="57">
        <f>[16]January_2019!O6</f>
        <v>0</v>
      </c>
      <c r="AF60" s="57">
        <f>[16]January_2019!P6</f>
        <v>0</v>
      </c>
      <c r="AG60" s="57">
        <f>[16]January_2019!Q6</f>
        <v>0</v>
      </c>
      <c r="AH60" s="57">
        <f>[16]January_2019!R6</f>
        <v>0</v>
      </c>
      <c r="AI60" s="57">
        <f>[16]January_2019!S6</f>
        <v>0</v>
      </c>
      <c r="AJ60" s="57">
        <f>[16]January_2019!T6</f>
        <v>0</v>
      </c>
      <c r="AK60" s="57">
        <f>[16]January_2019!U6</f>
        <v>0</v>
      </c>
      <c r="AL60" s="57">
        <f>[16]January_2019!V6</f>
        <v>0</v>
      </c>
      <c r="AM60" s="57">
        <f>[16]January_2019!W6</f>
        <v>0</v>
      </c>
      <c r="AN60" s="57">
        <f>[16]January_2019!X6</f>
        <v>0</v>
      </c>
      <c r="AO60" s="57">
        <f>[16]January_2019!Y6</f>
        <v>0</v>
      </c>
      <c r="AP60" s="57">
        <f>[16]January_2019!Z6</f>
        <v>0</v>
      </c>
      <c r="AQ60" s="57">
        <f>[16]January_2019!AA6</f>
        <v>0</v>
      </c>
      <c r="AR60" s="57">
        <f>[16]January_2019!AB6</f>
        <v>0</v>
      </c>
      <c r="AS60" s="57">
        <f>[16]January_2019!AC6</f>
        <v>0</v>
      </c>
      <c r="AT60" s="57">
        <f>[16]January_2019!AD6</f>
        <v>0</v>
      </c>
      <c r="AU60" s="57">
        <f>[16]January_2019!AE6</f>
        <v>0</v>
      </c>
      <c r="AV60" s="57">
        <f>[16]January_2019!AF6</f>
        <v>0</v>
      </c>
      <c r="AW60" s="57">
        <f>[16]January_2019!AG6</f>
        <v>0</v>
      </c>
      <c r="AX60" s="277">
        <f>[16]January_2019!AH6</f>
        <v>0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 thickBot="1">
      <c r="B61" s="503" t="str">
        <f>J45</f>
        <v>STAG</v>
      </c>
      <c r="C61" s="479">
        <v>46198</v>
      </c>
      <c r="D61" s="442">
        <f>[14]June_2026!$AB$13</f>
        <v>398.28</v>
      </c>
      <c r="E61" s="443"/>
      <c r="F61" s="444"/>
      <c r="G61" s="445">
        <f>[14]June_2026!$AB$17</f>
        <v>347.5</v>
      </c>
      <c r="H61" s="458"/>
      <c r="I61" s="458"/>
      <c r="J61" s="448" t="s">
        <v>191</v>
      </c>
      <c r="K61" s="449">
        <f>[15]June_2026!$AB$25</f>
        <v>0.30482456140350878</v>
      </c>
      <c r="L61" s="457">
        <f>(((D61+E61)-G61)/(D61+E61))*100</f>
        <v>12.749824244250272</v>
      </c>
      <c r="M61" s="455" t="s">
        <v>192</v>
      </c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[16]January_2019!L7</f>
        <v>285.8</v>
      </c>
      <c r="AC61" s="57">
        <f>[16]January_2019!M7</f>
        <v>508.1</v>
      </c>
      <c r="AD61" s="57">
        <f>[16]January_2019!N7</f>
        <v>0</v>
      </c>
      <c r="AE61" s="57">
        <f>[16]January_2019!O7</f>
        <v>0</v>
      </c>
      <c r="AF61" s="57">
        <f>[16]January_2019!P7</f>
        <v>109.56666666666666</v>
      </c>
      <c r="AG61" s="57">
        <f>[16]January_2019!Q7</f>
        <v>297.64999999999998</v>
      </c>
      <c r="AH61" s="57">
        <f>[16]January_2019!R7</f>
        <v>122.3</v>
      </c>
      <c r="AI61" s="57">
        <f>[16]January_2019!S7</f>
        <v>0</v>
      </c>
      <c r="AJ61" s="57">
        <f>[16]January_2019!T7</f>
        <v>294.7</v>
      </c>
      <c r="AK61" s="57">
        <f>[16]January_2019!U7</f>
        <v>280.5</v>
      </c>
      <c r="AL61" s="57">
        <f>[16]January_2019!V7</f>
        <v>0</v>
      </c>
      <c r="AM61" s="57">
        <f>[16]January_2019!W7</f>
        <v>0</v>
      </c>
      <c r="AN61" s="57">
        <f>[16]January_2019!X7</f>
        <v>188.25</v>
      </c>
      <c r="AO61" s="57">
        <f>[16]January_2019!Y7</f>
        <v>295.7</v>
      </c>
      <c r="AP61" s="57">
        <f>[16]January_2019!Z7</f>
        <v>257.8</v>
      </c>
      <c r="AQ61" s="57">
        <f>[16]January_2019!AA7</f>
        <v>291.2</v>
      </c>
      <c r="AR61" s="57">
        <f>[16]January_2019!AB7</f>
        <v>187</v>
      </c>
      <c r="AS61" s="57">
        <f>[16]January_2019!AC7</f>
        <v>0</v>
      </c>
      <c r="AT61" s="57">
        <f>[16]January_2019!AD7</f>
        <v>0</v>
      </c>
      <c r="AU61" s="57">
        <f>[16]January_2019!AE7</f>
        <v>485.1</v>
      </c>
      <c r="AV61" s="57">
        <f>[16]January_2019!AF7</f>
        <v>171.55</v>
      </c>
      <c r="AW61" s="57">
        <f>[16]January_2019!AG7</f>
        <v>423.8</v>
      </c>
      <c r="AX61" s="277">
        <f>[16]January_2019!AH7</f>
        <v>0</v>
      </c>
      <c r="AY61" s="277"/>
      <c r="AZ61" s="277"/>
      <c r="BA61" s="277"/>
      <c r="BB61" s="277"/>
      <c r="BC61" s="277"/>
      <c r="BD61" s="277"/>
      <c r="BE61" s="277"/>
    </row>
    <row r="62" spans="2:57" s="54" customFormat="1" ht="19.5" hidden="1" customHeight="1" thickBot="1">
      <c r="B62" s="478"/>
      <c r="C62" s="430"/>
      <c r="D62" s="431"/>
      <c r="E62" s="432"/>
      <c r="F62" s="433"/>
      <c r="G62" s="434"/>
      <c r="H62" s="458"/>
      <c r="I62" s="458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8.450000000000003" hidden="1" customHeight="1" thickBot="1">
      <c r="B63" s="480"/>
      <c r="C63" s="479"/>
      <c r="D63" s="442"/>
      <c r="E63" s="443"/>
      <c r="F63" s="444"/>
      <c r="G63" s="445"/>
      <c r="H63" s="458"/>
      <c r="I63" s="458"/>
      <c r="J63" s="448"/>
      <c r="K63" s="45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5.75" hidden="1" thickBot="1">
      <c r="B64" s="453"/>
      <c r="C64" s="430"/>
      <c r="D64" s="431"/>
      <c r="E64" s="432"/>
      <c r="F64" s="433"/>
      <c r="G64" s="434"/>
      <c r="H64" s="435"/>
      <c r="I64" s="450"/>
      <c r="J64" s="451"/>
      <c r="K64" s="436"/>
      <c r="L64" s="452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hidden="1" customHeight="1" thickBot="1">
      <c r="B65" s="484"/>
      <c r="C65" s="479"/>
      <c r="D65" s="442"/>
      <c r="E65" s="443"/>
      <c r="F65" s="444"/>
      <c r="G65" s="445"/>
      <c r="H65" s="446"/>
      <c r="I65" s="447"/>
      <c r="J65" s="448"/>
      <c r="K65" s="44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6.5" hidden="1" customHeight="1" thickBot="1">
      <c r="B66" s="437"/>
      <c r="C66" s="423"/>
      <c r="D66" s="424"/>
      <c r="E66" s="425"/>
      <c r="F66" s="426"/>
      <c r="G66" s="427"/>
      <c r="H66" s="428"/>
      <c r="I66" s="438"/>
      <c r="J66" s="439"/>
      <c r="K66" s="429"/>
      <c r="L66" s="440"/>
      <c r="M66" s="422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5"/>
      <c r="AC66" s="415"/>
      <c r="AD66" s="415"/>
      <c r="AE66" s="415"/>
      <c r="AF66" s="415"/>
      <c r="AG66" s="415"/>
      <c r="AH66" s="415"/>
      <c r="AI66" s="415"/>
      <c r="AJ66" s="415"/>
      <c r="AK66" s="415"/>
      <c r="AL66" s="415"/>
      <c r="AM66" s="415"/>
      <c r="AN66" s="415"/>
      <c r="AO66" s="415"/>
      <c r="AP66" s="415"/>
      <c r="AQ66" s="415"/>
      <c r="AR66" s="415"/>
      <c r="AS66" s="415"/>
      <c r="AT66" s="415"/>
      <c r="AU66" s="415"/>
      <c r="AV66" s="415"/>
      <c r="AW66" s="415"/>
    </row>
    <row r="67" spans="2:57" s="54" customFormat="1" ht="37.15" hidden="1" customHeight="1" thickBot="1">
      <c r="B67" s="456"/>
      <c r="C67" s="441"/>
      <c r="D67" s="442"/>
      <c r="E67" s="443"/>
      <c r="F67" s="444"/>
      <c r="G67" s="445"/>
      <c r="H67" s="446"/>
      <c r="I67" s="447"/>
      <c r="J67" s="448"/>
      <c r="K67" s="449"/>
      <c r="L67" s="457"/>
      <c r="M67" s="454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15" customHeight="1">
      <c r="B68" s="466"/>
      <c r="C68" s="430"/>
      <c r="D68" s="460"/>
      <c r="E68" s="461"/>
      <c r="F68" s="462"/>
      <c r="G68" s="460"/>
      <c r="H68" s="463"/>
      <c r="I68" s="463"/>
      <c r="J68" s="463"/>
      <c r="K68" s="464"/>
      <c r="L68" s="465"/>
      <c r="M68" s="50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5.75" thickBot="1">
      <c r="B70" s="509" t="s">
        <v>55</v>
      </c>
      <c r="C70" s="510"/>
      <c r="D70" s="510"/>
      <c r="E70" s="510"/>
      <c r="F70" s="511"/>
      <c r="G70" s="509" t="s">
        <v>56</v>
      </c>
      <c r="H70" s="510"/>
      <c r="I70" s="510"/>
      <c r="J70" s="511"/>
      <c r="K70" s="509" t="s">
        <v>51</v>
      </c>
      <c r="L70" s="510"/>
      <c r="M70" s="510"/>
      <c r="N70" s="512"/>
      <c r="O70" s="56"/>
      <c r="P70" s="50"/>
    </row>
    <row r="71" spans="2:57" ht="15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/>
      <c r="L71" s="62" t="s">
        <v>37</v>
      </c>
      <c r="M71" s="62" t="s">
        <v>38</v>
      </c>
      <c r="N71" s="63" t="s">
        <v>39</v>
      </c>
      <c r="O71" s="56"/>
      <c r="P71" s="64"/>
    </row>
    <row r="72" spans="2:57" ht="15">
      <c r="B72" s="29" t="s">
        <v>6</v>
      </c>
      <c r="C72" s="65">
        <f>L59</f>
        <v>3.249586579267211</v>
      </c>
      <c r="D72" s="76">
        <v>3.8658543160618839</v>
      </c>
      <c r="E72" s="76">
        <v>6.3938589380984556</v>
      </c>
      <c r="F72" s="66">
        <v>4.8</v>
      </c>
      <c r="G72" s="65">
        <f>[14]June_2026!$AB$11</f>
        <v>5.5715965013648043</v>
      </c>
      <c r="H72" s="477">
        <v>4.4851350232047578</v>
      </c>
      <c r="I72" s="477">
        <v>6.2050116685766472</v>
      </c>
      <c r="J72" s="66">
        <v>4.8</v>
      </c>
      <c r="K72" s="67">
        <f>K59</f>
        <v>0.85192982456140354</v>
      </c>
      <c r="L72" s="194">
        <v>0.72988304093567247</v>
      </c>
      <c r="M72" s="194">
        <v>0.52120689914926077</v>
      </c>
      <c r="N72" s="68">
        <v>1</v>
      </c>
      <c r="O72" s="56"/>
      <c r="P72" s="69"/>
    </row>
    <row r="73" spans="2:57" ht="15">
      <c r="B73" s="33" t="s">
        <v>9</v>
      </c>
      <c r="C73" s="65">
        <f>L61</f>
        <v>12.749824244250272</v>
      </c>
      <c r="D73" s="76">
        <v>8.7704278196056684</v>
      </c>
      <c r="E73" s="76">
        <v>6.0442192651162019</v>
      </c>
      <c r="F73" s="66">
        <v>4.8</v>
      </c>
      <c r="G73" s="65">
        <f>[14]June_2026!$AB$21</f>
        <v>13.59214291606764</v>
      </c>
      <c r="H73" s="76">
        <v>8.6768707953118813</v>
      </c>
      <c r="I73" s="76">
        <v>5.7062518928974324</v>
      </c>
      <c r="J73" s="66">
        <v>4.8</v>
      </c>
      <c r="K73" s="67">
        <f>K61</f>
        <v>0.30482456140350878</v>
      </c>
      <c r="L73" s="194">
        <v>0.81399122807017543</v>
      </c>
      <c r="M73" s="194">
        <v>0.6970226015445965</v>
      </c>
      <c r="N73" s="68">
        <v>1</v>
      </c>
      <c r="P73" s="69"/>
    </row>
    <row r="74" spans="2:57" ht="15">
      <c r="B74" s="34" t="s">
        <v>40</v>
      </c>
      <c r="C74" s="65"/>
      <c r="D74" s="76">
        <v>12.463627546071795</v>
      </c>
      <c r="E74" s="76">
        <v>11.596009975062332</v>
      </c>
      <c r="F74" s="66">
        <v>5.5</v>
      </c>
      <c r="G74" s="65"/>
      <c r="H74" s="76">
        <v>13.176885540709748</v>
      </c>
      <c r="I74" s="76">
        <v>12.705454422449741</v>
      </c>
      <c r="J74" s="66">
        <v>5.5</v>
      </c>
      <c r="K74" s="67"/>
      <c r="L74" s="194">
        <v>0.18095238095238095</v>
      </c>
      <c r="M74" s="194">
        <v>0.25516722361459199</v>
      </c>
      <c r="N74" s="68">
        <v>1</v>
      </c>
      <c r="P74" s="69"/>
    </row>
    <row r="75" spans="2:57" ht="15">
      <c r="B75" s="22" t="s">
        <v>33</v>
      </c>
      <c r="C75" s="65"/>
      <c r="D75" s="76"/>
      <c r="E75" s="76">
        <v>4.7166249493098773</v>
      </c>
      <c r="F75" s="66">
        <v>3.3</v>
      </c>
      <c r="G75" s="65"/>
      <c r="H75" s="76"/>
      <c r="I75" s="76">
        <v>4.7393662692065543</v>
      </c>
      <c r="J75" s="66">
        <v>3.3</v>
      </c>
      <c r="K75" s="67"/>
      <c r="L75" s="194"/>
      <c r="M75" s="194">
        <v>0.73604010025062661</v>
      </c>
      <c r="N75" s="68">
        <v>1</v>
      </c>
      <c r="P75" s="69"/>
    </row>
    <row r="76" spans="2:57" ht="15">
      <c r="B76" s="35" t="s">
        <v>164</v>
      </c>
      <c r="C76" s="65"/>
      <c r="D76" s="76"/>
      <c r="E76" s="76"/>
      <c r="F76" s="66">
        <v>3.3</v>
      </c>
      <c r="G76" s="282"/>
      <c r="H76" s="76"/>
      <c r="I76" s="76"/>
      <c r="J76" s="66">
        <v>3</v>
      </c>
      <c r="K76" s="67"/>
      <c r="L76" s="194"/>
      <c r="M76" s="194"/>
      <c r="N76" s="68">
        <v>1</v>
      </c>
      <c r="P76" s="69"/>
    </row>
    <row r="77" spans="2:57" ht="15">
      <c r="B77" s="36" t="s">
        <v>15</v>
      </c>
      <c r="C77" s="76"/>
      <c r="D77" s="76"/>
      <c r="E77" s="76">
        <v>5.1541347251672045</v>
      </c>
      <c r="F77" s="483">
        <v>5.5</v>
      </c>
      <c r="G77" s="282"/>
      <c r="H77" s="76"/>
      <c r="I77" s="76">
        <v>7.4989046872874194</v>
      </c>
      <c r="J77" s="66">
        <v>5.5</v>
      </c>
      <c r="K77" s="67"/>
      <c r="L77" s="194"/>
      <c r="M77" s="194">
        <v>1.0201754385964912</v>
      </c>
      <c r="N77" s="68">
        <v>1</v>
      </c>
      <c r="P77" s="69"/>
    </row>
    <row r="78" spans="2:57" ht="15">
      <c r="B78" s="37" t="s">
        <v>16</v>
      </c>
      <c r="C78" s="485"/>
      <c r="D78" s="76">
        <v>3.8064469113610451</v>
      </c>
      <c r="E78" s="76">
        <v>3.7425354424032347</v>
      </c>
      <c r="F78" s="66">
        <v>3.3</v>
      </c>
      <c r="G78" s="282"/>
      <c r="H78" s="76">
        <v>5.1620200172171886</v>
      </c>
      <c r="I78" s="76">
        <v>4.8813740630219202</v>
      </c>
      <c r="J78" s="66">
        <v>3.3</v>
      </c>
      <c r="K78" s="67"/>
      <c r="L78" s="194">
        <v>0.69473684210526321</v>
      </c>
      <c r="M78" s="194">
        <v>0.82729694606887583</v>
      </c>
      <c r="N78" s="71">
        <v>1</v>
      </c>
      <c r="P78" s="69"/>
    </row>
    <row r="79" spans="2:57" ht="15.75" thickBot="1">
      <c r="B79" s="38" t="s">
        <v>163</v>
      </c>
      <c r="C79" s="65"/>
      <c r="D79" s="76"/>
      <c r="E79" s="76"/>
      <c r="F79" s="66">
        <v>7.5</v>
      </c>
      <c r="G79" s="282"/>
      <c r="H79" s="76"/>
      <c r="I79" s="76"/>
      <c r="J79" s="66">
        <v>7.5</v>
      </c>
      <c r="K79" s="67"/>
      <c r="L79" s="194"/>
      <c r="M79" s="194"/>
      <c r="N79" s="71">
        <v>1</v>
      </c>
      <c r="P79" s="69"/>
    </row>
    <row r="80" spans="2:57" ht="15.75" thickBot="1">
      <c r="B80" s="414" t="s">
        <v>161</v>
      </c>
      <c r="C80" s="65"/>
      <c r="D80" s="76"/>
      <c r="E80" s="76"/>
      <c r="F80" s="66">
        <v>4.8</v>
      </c>
      <c r="G80" s="282"/>
      <c r="H80" s="76"/>
      <c r="I80" s="76"/>
      <c r="J80" s="66">
        <v>4.8</v>
      </c>
      <c r="K80" s="67"/>
      <c r="L80" s="194"/>
      <c r="M80" s="194"/>
      <c r="N80" s="71">
        <v>1</v>
      </c>
      <c r="O80" s="74"/>
      <c r="P80" s="75"/>
    </row>
    <row r="81" spans="4:14" ht="15">
      <c r="D81" s="76">
        <v>6.4087882548977957</v>
      </c>
      <c r="E81" s="76">
        <v>6.318586461352413</v>
      </c>
      <c r="F81" s="341">
        <v>5.5</v>
      </c>
      <c r="H81" s="76">
        <v>7.2436912616226552</v>
      </c>
      <c r="I81" s="76">
        <v>6.4542844124680423</v>
      </c>
      <c r="J81" s="341">
        <v>5.5</v>
      </c>
      <c r="L81" s="194">
        <v>0.67047440028643046</v>
      </c>
      <c r="M81" s="194">
        <v>0.58369514534924882</v>
      </c>
      <c r="N81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8:N28"/>
    <mergeCell ref="D29:E29"/>
    <mergeCell ref="B30:B41"/>
    <mergeCell ref="D30:E31"/>
    <mergeCell ref="D32:E33"/>
    <mergeCell ref="D34:E35"/>
    <mergeCell ref="D36:E37"/>
    <mergeCell ref="D38:E39"/>
    <mergeCell ref="D40:E41"/>
    <mergeCell ref="B42:B51"/>
    <mergeCell ref="D42:E43"/>
    <mergeCell ref="J42:K42"/>
    <mergeCell ref="L43:N43"/>
    <mergeCell ref="D44:E45"/>
    <mergeCell ref="D46:E47"/>
    <mergeCell ref="D48:E49"/>
    <mergeCell ref="D50:E51"/>
    <mergeCell ref="D52:E52"/>
    <mergeCell ref="B57:B58"/>
    <mergeCell ref="C57:C58"/>
    <mergeCell ref="D57:D58"/>
    <mergeCell ref="E57:E58"/>
    <mergeCell ref="M57:M58"/>
    <mergeCell ref="B70:F70"/>
    <mergeCell ref="G70:J70"/>
    <mergeCell ref="K70:N70"/>
    <mergeCell ref="G57:G58"/>
    <mergeCell ref="H57:H58"/>
    <mergeCell ref="I57:I58"/>
    <mergeCell ref="J57:J58"/>
    <mergeCell ref="K57:K58"/>
    <mergeCell ref="L57:L58"/>
    <mergeCell ref="F57:F58"/>
  </mergeCells>
  <conditionalFormatting sqref="B52:B53">
    <cfRule type="cellIs" dxfId="924" priority="102" operator="notBetween">
      <formula>#REF!</formula>
      <formula>#REF!</formula>
    </cfRule>
  </conditionalFormatting>
  <conditionalFormatting sqref="C56">
    <cfRule type="cellIs" dxfId="923" priority="191" stopIfTrue="1" operator="lessThan">
      <formula>96</formula>
    </cfRule>
    <cfRule type="cellIs" dxfId="922" priority="192" stopIfTrue="1" operator="greaterThan">
      <formula>100</formula>
    </cfRule>
  </conditionalFormatting>
  <conditionalFormatting sqref="C72:C73">
    <cfRule type="cellIs" dxfId="921" priority="63" stopIfTrue="1" operator="lessThanOrEqual">
      <formula>0</formula>
    </cfRule>
    <cfRule type="cellIs" dxfId="920" priority="65" stopIfTrue="1" operator="lessThanOrEqual">
      <formula>0</formula>
    </cfRule>
    <cfRule type="cellIs" dxfId="919" priority="64" stopIfTrue="1" operator="greaterThan">
      <formula>$F72</formula>
    </cfRule>
    <cfRule type="cellIs" dxfId="918" priority="62" stopIfTrue="1" operator="greaterThan">
      <formula>$F72</formula>
    </cfRule>
  </conditionalFormatting>
  <conditionalFormatting sqref="C74:C76 C78:C80">
    <cfRule type="cellIs" dxfId="917" priority="72" stopIfTrue="1" operator="greaterThan">
      <formula>$F77</formula>
    </cfRule>
  </conditionalFormatting>
  <conditionalFormatting sqref="C74:C76">
    <cfRule type="cellIs" dxfId="916" priority="73" stopIfTrue="1" operator="lessThanOrEqual">
      <formula>0</formula>
    </cfRule>
  </conditionalFormatting>
  <conditionalFormatting sqref="C78:C80">
    <cfRule type="cellIs" dxfId="915" priority="74" stopIfTrue="1" operator="lessThanOrEqual">
      <formula>0</formula>
    </cfRule>
  </conditionalFormatting>
  <conditionalFormatting sqref="C83:C87">
    <cfRule type="cellIs" dxfId="914" priority="183" stopIfTrue="1" operator="lessThanOrEqual">
      <formula>0</formula>
    </cfRule>
  </conditionalFormatting>
  <conditionalFormatting sqref="C84:C87">
    <cfRule type="cellIs" dxfId="913" priority="182" stopIfTrue="1" operator="greaterThan">
      <formula>$F$83</formula>
    </cfRule>
  </conditionalFormatting>
  <conditionalFormatting sqref="C89">
    <cfRule type="cellIs" dxfId="912" priority="185" stopIfTrue="1" operator="lessThanOrEqual">
      <formula>0</formula>
    </cfRule>
    <cfRule type="cellIs" dxfId="911" priority="184" stopIfTrue="1" operator="greaterThan">
      <formula>$F$83</formula>
    </cfRule>
  </conditionalFormatting>
  <conditionalFormatting sqref="C77:D77">
    <cfRule type="cellIs" dxfId="910" priority="61" stopIfTrue="1" operator="lessThanOrEqual">
      <formula>0</formula>
    </cfRule>
    <cfRule type="cellIs" dxfId="909" priority="60" stopIfTrue="1" operator="greaterThan">
      <formula>$J77</formula>
    </cfRule>
  </conditionalFormatting>
  <conditionalFormatting sqref="C83:D83 D85:D91">
    <cfRule type="cellIs" dxfId="908" priority="177" stopIfTrue="1" operator="greaterThan">
      <formula>4.5</formula>
    </cfRule>
  </conditionalFormatting>
  <conditionalFormatting sqref="D52:D53">
    <cfRule type="cellIs" dxfId="907" priority="103" operator="notBetween">
      <formula>#REF!</formula>
      <formula>#REF!</formula>
    </cfRule>
  </conditionalFormatting>
  <conditionalFormatting sqref="D72:D76 D78:D79">
    <cfRule type="cellIs" dxfId="906" priority="71" stopIfTrue="1" operator="lessThanOrEqual">
      <formula>0</formula>
    </cfRule>
  </conditionalFormatting>
  <conditionalFormatting sqref="D72:D76 D78:D81">
    <cfRule type="cellIs" dxfId="905" priority="68" stopIfTrue="1" operator="greaterThan">
      <formula>$F72</formula>
    </cfRule>
    <cfRule type="cellIs" dxfId="904" priority="67" stopIfTrue="1" operator="lessThanOrEqual">
      <formula>0</formula>
    </cfRule>
  </conditionalFormatting>
  <conditionalFormatting sqref="D80:D81">
    <cfRule type="cellIs" dxfId="903" priority="69" stopIfTrue="1" operator="lessThanOrEqual">
      <formula>0</formula>
    </cfRule>
  </conditionalFormatting>
  <conditionalFormatting sqref="D81">
    <cfRule type="cellIs" dxfId="902" priority="70" stopIfTrue="1" operator="lessThanOrEqual">
      <formula>0</formula>
    </cfRule>
  </conditionalFormatting>
  <conditionalFormatting sqref="D83 D85:D91">
    <cfRule type="cellIs" dxfId="901" priority="178" stopIfTrue="1" operator="lessThanOrEqual">
      <formula>0</formula>
    </cfRule>
  </conditionalFormatting>
  <conditionalFormatting sqref="D84">
    <cfRule type="cellIs" dxfId="900" priority="170" stopIfTrue="1" operator="lessThanOrEqual">
      <formula>0</formula>
    </cfRule>
    <cfRule type="cellIs" dxfId="899" priority="169" stopIfTrue="1" operator="greaterThan">
      <formula>$F$83</formula>
    </cfRule>
  </conditionalFormatting>
  <conditionalFormatting sqref="E10:E27">
    <cfRule type="cellIs" dxfId="898" priority="7" operator="lessThan">
      <formula>48</formula>
    </cfRule>
  </conditionalFormatting>
  <conditionalFormatting sqref="E55 E56:F56">
    <cfRule type="cellIs" dxfId="897" priority="174" stopIfTrue="1" operator="greaterThan">
      <formula>100</formula>
    </cfRule>
  </conditionalFormatting>
  <conditionalFormatting sqref="E56">
    <cfRule type="cellIs" dxfId="896" priority="172" stopIfTrue="1" operator="greaterThan">
      <formula>100</formula>
    </cfRule>
    <cfRule type="cellIs" dxfId="895" priority="171" stopIfTrue="1" operator="lessThan">
      <formula>96.8</formula>
    </cfRule>
  </conditionalFormatting>
  <conditionalFormatting sqref="E72:E80">
    <cfRule type="cellIs" dxfId="894" priority="29" stopIfTrue="1" operator="lessThanOrEqual">
      <formula>0</formula>
    </cfRule>
  </conditionalFormatting>
  <conditionalFormatting sqref="E72:E81">
    <cfRule type="cellIs" dxfId="893" priority="31" stopIfTrue="1" operator="lessThanOrEqual">
      <formula>0</formula>
    </cfRule>
    <cfRule type="cellIs" dxfId="892" priority="30" stopIfTrue="1" operator="greaterThan">
      <formula>$F72</formula>
    </cfRule>
  </conditionalFormatting>
  <conditionalFormatting sqref="E81">
    <cfRule type="cellIs" dxfId="891" priority="32" stopIfTrue="1" operator="lessThanOrEqual">
      <formula>0</formula>
    </cfRule>
  </conditionalFormatting>
  <conditionalFormatting sqref="E83:E91">
    <cfRule type="cellIs" dxfId="890" priority="163" stopIfTrue="1" operator="greaterThan">
      <formula>4.5</formula>
    </cfRule>
    <cfRule type="cellIs" dxfId="889" priority="164" stopIfTrue="1" operator="lessThanOrEqual">
      <formula>0</formula>
    </cfRule>
  </conditionalFormatting>
  <conditionalFormatting sqref="E56:F56 E55">
    <cfRule type="cellIs" dxfId="888" priority="173" stopIfTrue="1" operator="lessThan">
      <formula>96.5</formula>
    </cfRule>
  </conditionalFormatting>
  <conditionalFormatting sqref="F13:F19">
    <cfRule type="cellIs" dxfId="887" priority="9" operator="greaterThan">
      <formula>60</formula>
    </cfRule>
  </conditionalFormatting>
  <conditionalFormatting sqref="F27">
    <cfRule type="cellIs" dxfId="886" priority="20" operator="greaterThan">
      <formula>60</formula>
    </cfRule>
  </conditionalFormatting>
  <conditionalFormatting sqref="F56">
    <cfRule type="cellIs" dxfId="885" priority="190" stopIfTrue="1" operator="greaterThan">
      <formula>100</formula>
    </cfRule>
    <cfRule type="cellIs" dxfId="884" priority="189" stopIfTrue="1" operator="lessThan">
      <formula>96.8</formula>
    </cfRule>
  </conditionalFormatting>
  <conditionalFormatting sqref="F81">
    <cfRule type="cellIs" dxfId="883" priority="41" stopIfTrue="1" operator="lessThanOrEqual">
      <formula>0</formula>
    </cfRule>
    <cfRule type="cellIs" dxfId="882" priority="40" stopIfTrue="1" operator="greaterThan">
      <formula>$F81</formula>
    </cfRule>
  </conditionalFormatting>
  <conditionalFormatting sqref="G10:G18 G20:G27">
    <cfRule type="expression" dxfId="881" priority="18">
      <formula>IF(+(IF(G10&lt;S10,0,IF(G10&gt;T10,0,1)))=0,1)</formula>
    </cfRule>
  </conditionalFormatting>
  <conditionalFormatting sqref="G72:G73">
    <cfRule type="cellIs" dxfId="880" priority="42" stopIfTrue="1" operator="greaterThan">
      <formula>$F72</formula>
    </cfRule>
    <cfRule type="cellIs" dxfId="879" priority="43" stopIfTrue="1" operator="lessThanOrEqual">
      <formula>0</formula>
    </cfRule>
  </conditionalFormatting>
  <conditionalFormatting sqref="G72:G75">
    <cfRule type="cellIs" dxfId="878" priority="24" stopIfTrue="1" operator="greaterThan">
      <formula>$F72</formula>
    </cfRule>
    <cfRule type="cellIs" dxfId="877" priority="25" stopIfTrue="1" operator="lessThanOrEqual">
      <formula>0</formula>
    </cfRule>
  </conditionalFormatting>
  <conditionalFormatting sqref="G74">
    <cfRule type="cellIs" dxfId="876" priority="22" stopIfTrue="1" operator="greaterThan">
      <formula>$F74</formula>
    </cfRule>
    <cfRule type="cellIs" dxfId="875" priority="23" stopIfTrue="1" operator="lessThanOrEqual">
      <formula>0</formula>
    </cfRule>
  </conditionalFormatting>
  <conditionalFormatting sqref="G75">
    <cfRule type="cellIs" dxfId="874" priority="36" stopIfTrue="1" operator="greaterThan">
      <formula>$F75</formula>
    </cfRule>
    <cfRule type="cellIs" dxfId="873" priority="37" stopIfTrue="1" operator="lessThanOrEqual">
      <formula>0</formula>
    </cfRule>
  </conditionalFormatting>
  <conditionalFormatting sqref="G76:G80">
    <cfRule type="cellIs" dxfId="872" priority="45" stopIfTrue="1" operator="lessThanOrEqual">
      <formula>0</formula>
    </cfRule>
    <cfRule type="cellIs" dxfId="871" priority="44" stopIfTrue="1" operator="greaterThan">
      <formula>$J76</formula>
    </cfRule>
  </conditionalFormatting>
  <conditionalFormatting sqref="G85:G90 C88 C90">
    <cfRule type="cellIs" dxfId="870" priority="187" stopIfTrue="1" operator="lessThanOrEqual">
      <formula>0</formula>
    </cfRule>
    <cfRule type="cellIs" dxfId="869" priority="186" stopIfTrue="1" operator="greaterThan">
      <formula>4.5</formula>
    </cfRule>
  </conditionalFormatting>
  <conditionalFormatting sqref="G84:H84">
    <cfRule type="cellIs" dxfId="868" priority="167" stopIfTrue="1" operator="greaterThan">
      <formula>$F$83</formula>
    </cfRule>
    <cfRule type="cellIs" dxfId="867" priority="168" stopIfTrue="1" operator="lessThanOrEqual">
      <formula>0</formula>
    </cfRule>
  </conditionalFormatting>
  <conditionalFormatting sqref="H10:H18 G19:H19">
    <cfRule type="expression" dxfId="866" priority="8">
      <formula>IF(+(IF(G10&lt;#REF!,0,IF(G10&gt;#REF!,0,1)))=0,1)</formula>
    </cfRule>
  </conditionalFormatting>
  <conditionalFormatting sqref="H41:H42 H55">
    <cfRule type="cellIs" dxfId="865" priority="165" stopIfTrue="1" operator="greaterThan">
      <formula>0</formula>
    </cfRule>
  </conditionalFormatting>
  <conditionalFormatting sqref="H59">
    <cfRule type="cellIs" dxfId="864" priority="47" stopIfTrue="1" operator="lessThanOrEqual">
      <formula>0</formula>
    </cfRule>
    <cfRule type="cellIs" dxfId="863" priority="48" stopIfTrue="1" operator="greaterThan">
      <formula>$F$72</formula>
    </cfRule>
    <cfRule type="cellIs" dxfId="862" priority="58" stopIfTrue="1" operator="greaterThan">
      <formula>$F$73</formula>
    </cfRule>
    <cfRule type="cellIs" dxfId="861" priority="57" stopIfTrue="1" operator="lessThanOrEqual">
      <formula>0</formula>
    </cfRule>
    <cfRule type="cellIs" dxfId="860" priority="56" stopIfTrue="1" operator="greaterThan">
      <formula>$F$75</formula>
    </cfRule>
  </conditionalFormatting>
  <conditionalFormatting sqref="H59:H61">
    <cfRule type="cellIs" dxfId="859" priority="59" stopIfTrue="1" operator="lessThanOrEqual">
      <formula>0</formula>
    </cfRule>
  </conditionalFormatting>
  <conditionalFormatting sqref="H60:H61">
    <cfRule type="cellIs" dxfId="858" priority="75" stopIfTrue="1" operator="greaterThan">
      <formula>$F$72</formula>
    </cfRule>
    <cfRule type="cellIs" dxfId="857" priority="83" stopIfTrue="1" operator="greaterThan">
      <formula>$F$75</formula>
    </cfRule>
    <cfRule type="cellIs" dxfId="856" priority="85" stopIfTrue="1" operator="greaterThan">
      <formula>$F$73</formula>
    </cfRule>
    <cfRule type="cellIs" dxfId="855" priority="84" stopIfTrue="1" operator="lessThanOrEqual">
      <formula>0</formula>
    </cfRule>
  </conditionalFormatting>
  <conditionalFormatting sqref="H60:H63">
    <cfRule type="cellIs" dxfId="854" priority="86" stopIfTrue="1" operator="lessThanOrEqual">
      <formula>0</formula>
    </cfRule>
  </conditionalFormatting>
  <conditionalFormatting sqref="H62:H63">
    <cfRule type="cellIs" dxfId="853" priority="98" stopIfTrue="1" operator="lessThanOrEqual">
      <formula>0</formula>
    </cfRule>
    <cfRule type="cellIs" dxfId="852" priority="99" stopIfTrue="1" operator="greaterThan">
      <formula>$F$73</formula>
    </cfRule>
    <cfRule type="cellIs" dxfId="851" priority="100" stopIfTrue="1" operator="lessThanOrEqual">
      <formula>0</formula>
    </cfRule>
    <cfRule type="cellIs" dxfId="850" priority="97" stopIfTrue="1" operator="greaterThan">
      <formula>$F$75</formula>
    </cfRule>
    <cfRule type="cellIs" dxfId="849" priority="89" stopIfTrue="1" operator="greaterThan">
      <formula>$F$72</formula>
    </cfRule>
  </conditionalFormatting>
  <conditionalFormatting sqref="H64:H65">
    <cfRule type="cellIs" dxfId="848" priority="139" stopIfTrue="1" operator="lessThanOrEqual">
      <formula>0</formula>
    </cfRule>
    <cfRule type="cellIs" dxfId="847" priority="138" stopIfTrue="1" operator="greaterThan">
      <formula>#REF!</formula>
    </cfRule>
    <cfRule type="cellIs" dxfId="846" priority="137" stopIfTrue="1" operator="lessThanOrEqual">
      <formula>0</formula>
    </cfRule>
    <cfRule type="cellIs" dxfId="845" priority="136" stopIfTrue="1" operator="greaterThan">
      <formula>$F$27</formula>
    </cfRule>
    <cfRule type="cellIs" dxfId="844" priority="128" stopIfTrue="1" operator="greaterThan">
      <formula>#REF!</formula>
    </cfRule>
    <cfRule type="cellIs" dxfId="843" priority="127" stopIfTrue="1" operator="lessThanOrEqual">
      <formula>0</formula>
    </cfRule>
  </conditionalFormatting>
  <conditionalFormatting sqref="H66">
    <cfRule type="cellIs" dxfId="842" priority="153" stopIfTrue="1" operator="lessThanOrEqual">
      <formula>0</formula>
    </cfRule>
    <cfRule type="cellIs" dxfId="841" priority="152" stopIfTrue="1" operator="greaterThan">
      <formula>$F$41</formula>
    </cfRule>
    <cfRule type="cellIs" dxfId="840" priority="151" stopIfTrue="1" operator="lessThanOrEqual">
      <formula>0</formula>
    </cfRule>
    <cfRule type="cellIs" dxfId="839" priority="150" stopIfTrue="1" operator="greaterThan">
      <formula>$F$43</formula>
    </cfRule>
    <cfRule type="cellIs" dxfId="838" priority="142" stopIfTrue="1" operator="greaterThan">
      <formula>$F$40</formula>
    </cfRule>
    <cfRule type="cellIs" dxfId="837" priority="141" stopIfTrue="1" operator="lessThanOrEqual">
      <formula>0</formula>
    </cfRule>
  </conditionalFormatting>
  <conditionalFormatting sqref="H67:H68">
    <cfRule type="cellIs" dxfId="836" priority="114" stopIfTrue="1" operator="greaterThan">
      <formula>#REF!</formula>
    </cfRule>
    <cfRule type="cellIs" dxfId="835" priority="122" stopIfTrue="1" operator="greaterThan">
      <formula>$F$27</formula>
    </cfRule>
    <cfRule type="cellIs" dxfId="834" priority="124" stopIfTrue="1" operator="greaterThan">
      <formula>#REF!</formula>
    </cfRule>
    <cfRule type="cellIs" dxfId="833" priority="125" stopIfTrue="1" operator="lessThanOrEqual">
      <formula>0</formula>
    </cfRule>
    <cfRule type="cellIs" dxfId="832" priority="123" stopIfTrue="1" operator="lessThanOrEqual">
      <formula>0</formula>
    </cfRule>
    <cfRule type="cellIs" dxfId="831" priority="113" stopIfTrue="1" operator="lessThanOrEqual">
      <formula>0</formula>
    </cfRule>
  </conditionalFormatting>
  <conditionalFormatting sqref="H83 H85:H91">
    <cfRule type="cellIs" dxfId="830" priority="180" stopIfTrue="1" operator="lessThanOrEqual">
      <formula>0</formula>
    </cfRule>
    <cfRule type="cellIs" dxfId="829" priority="179" stopIfTrue="1" operator="greaterThan">
      <formula>4.5</formula>
    </cfRule>
  </conditionalFormatting>
  <conditionalFormatting sqref="H59:I59">
    <cfRule type="cellIs" dxfId="828" priority="49" stopIfTrue="1" operator="lessThanOrEqual">
      <formula>0</formula>
    </cfRule>
  </conditionalFormatting>
  <conditionalFormatting sqref="H59:I63">
    <cfRule type="cellIs" dxfId="827" priority="46" stopIfTrue="1" operator="greaterThan">
      <formula>$F$74</formula>
    </cfRule>
  </conditionalFormatting>
  <conditionalFormatting sqref="H60:I61">
    <cfRule type="cellIs" dxfId="826" priority="76" stopIfTrue="1" operator="lessThanOrEqual">
      <formula>0</formula>
    </cfRule>
  </conditionalFormatting>
  <conditionalFormatting sqref="H62:I63">
    <cfRule type="cellIs" dxfId="825" priority="90" stopIfTrue="1" operator="lessThanOrEqual">
      <formula>0</formula>
    </cfRule>
  </conditionalFormatting>
  <conditionalFormatting sqref="H64:I65">
    <cfRule type="cellIs" dxfId="824" priority="126" stopIfTrue="1" operator="greaterThan">
      <formula>#REF!</formula>
    </cfRule>
    <cfRule type="cellIs" dxfId="823" priority="129" stopIfTrue="1" operator="lessThanOrEqual">
      <formula>0</formula>
    </cfRule>
  </conditionalFormatting>
  <conditionalFormatting sqref="H66:I66">
    <cfRule type="cellIs" dxfId="822" priority="143" stopIfTrue="1" operator="lessThanOrEqual">
      <formula>0</formula>
    </cfRule>
    <cfRule type="cellIs" dxfId="821" priority="140" stopIfTrue="1" operator="greaterThan">
      <formula>$F$42</formula>
    </cfRule>
  </conditionalFormatting>
  <conditionalFormatting sqref="H67:I68">
    <cfRule type="cellIs" dxfId="820" priority="112" stopIfTrue="1" operator="greaterThan">
      <formula>#REF!</formula>
    </cfRule>
    <cfRule type="cellIs" dxfId="819" priority="115" stopIfTrue="1" operator="lessThanOrEqual">
      <formula>0</formula>
    </cfRule>
  </conditionalFormatting>
  <conditionalFormatting sqref="H72:I79">
    <cfRule type="cellIs" dxfId="818" priority="27" stopIfTrue="1" operator="greaterThan">
      <formula>$J72</formula>
    </cfRule>
    <cfRule type="cellIs" dxfId="817" priority="28" stopIfTrue="1" operator="lessThanOrEqual">
      <formula>0</formula>
    </cfRule>
  </conditionalFormatting>
  <conditionalFormatting sqref="H80:I80">
    <cfRule type="cellIs" dxfId="816" priority="35" operator="greaterThan">
      <formula>5.3</formula>
    </cfRule>
  </conditionalFormatting>
  <conditionalFormatting sqref="H81:I81">
    <cfRule type="cellIs" dxfId="815" priority="33" stopIfTrue="1" operator="greaterThan">
      <formula>$J81</formula>
    </cfRule>
    <cfRule type="cellIs" dxfId="814" priority="34" stopIfTrue="1" operator="lessThanOrEqual">
      <formula>0</formula>
    </cfRule>
  </conditionalFormatting>
  <conditionalFormatting sqref="I59">
    <cfRule type="cellIs" dxfId="813" priority="55" stopIfTrue="1" operator="lessThanOrEqual">
      <formula>0</formula>
    </cfRule>
    <cfRule type="cellIs" dxfId="812" priority="50" stopIfTrue="1" operator="greaterThan">
      <formula>$F$72</formula>
    </cfRule>
    <cfRule type="cellIs" dxfId="811" priority="51" stopIfTrue="1" operator="lessThanOrEqual">
      <formula>0</formula>
    </cfRule>
    <cfRule type="cellIs" dxfId="810" priority="54" stopIfTrue="1" operator="greaterThan">
      <formula>$F$72</formula>
    </cfRule>
    <cfRule type="cellIs" dxfId="809" priority="52" stopIfTrue="1" operator="greaterThan">
      <formula>$F$74</formula>
    </cfRule>
    <cfRule type="cellIs" dxfId="808" priority="53" stopIfTrue="1" operator="lessThanOrEqual">
      <formula>0</formula>
    </cfRule>
  </conditionalFormatting>
  <conditionalFormatting sqref="I60:I61">
    <cfRule type="cellIs" dxfId="807" priority="81" stopIfTrue="1" operator="greaterThan">
      <formula>$F$72</formula>
    </cfRule>
    <cfRule type="cellIs" dxfId="806" priority="82" stopIfTrue="1" operator="lessThanOrEqual">
      <formula>0</formula>
    </cfRule>
    <cfRule type="cellIs" dxfId="805" priority="77" stopIfTrue="1" operator="greaterThan">
      <formula>$F$72</formula>
    </cfRule>
    <cfRule type="cellIs" dxfId="804" priority="79" stopIfTrue="1" operator="greaterThan">
      <formula>$F$74</formula>
    </cfRule>
    <cfRule type="cellIs" dxfId="803" priority="78" stopIfTrue="1" operator="lessThanOrEqual">
      <formula>0</formula>
    </cfRule>
    <cfRule type="cellIs" dxfId="802" priority="80" stopIfTrue="1" operator="lessThanOrEqual">
      <formula>0</formula>
    </cfRule>
  </conditionalFormatting>
  <conditionalFormatting sqref="I62:I63">
    <cfRule type="cellIs" dxfId="801" priority="92" stopIfTrue="1" operator="lessThanOrEqual">
      <formula>0</formula>
    </cfRule>
    <cfRule type="cellIs" dxfId="800" priority="91" stopIfTrue="1" operator="greaterThan">
      <formula>$F$72</formula>
    </cfRule>
    <cfRule type="cellIs" dxfId="799" priority="94" stopIfTrue="1" operator="lessThanOrEqual">
      <formula>0</formula>
    </cfRule>
    <cfRule type="cellIs" dxfId="798" priority="93" stopIfTrue="1" operator="greaterThan">
      <formula>$F$74</formula>
    </cfRule>
    <cfRule type="cellIs" dxfId="797" priority="96" stopIfTrue="1" operator="lessThanOrEqual">
      <formula>0</formula>
    </cfRule>
    <cfRule type="cellIs" dxfId="796" priority="95" stopIfTrue="1" operator="greaterThan">
      <formula>$F$72</formula>
    </cfRule>
  </conditionalFormatting>
  <conditionalFormatting sqref="I64:I65">
    <cfRule type="cellIs" dxfId="795" priority="131" stopIfTrue="1" operator="lessThanOrEqual">
      <formula>0</formula>
    </cfRule>
    <cfRule type="cellIs" dxfId="794" priority="132" stopIfTrue="1" operator="greaterThan">
      <formula>#REF!</formula>
    </cfRule>
    <cfRule type="cellIs" dxfId="793" priority="133" stopIfTrue="1" operator="lessThanOrEqual">
      <formula>0</formula>
    </cfRule>
    <cfRule type="cellIs" dxfId="792" priority="134" stopIfTrue="1" operator="greaterThan">
      <formula>#REF!</formula>
    </cfRule>
    <cfRule type="cellIs" dxfId="791" priority="135" stopIfTrue="1" operator="lessThanOrEqual">
      <formula>0</formula>
    </cfRule>
    <cfRule type="cellIs" dxfId="790" priority="130" stopIfTrue="1" operator="greaterThan">
      <formula>#REF!</formula>
    </cfRule>
  </conditionalFormatting>
  <conditionalFormatting sqref="I66">
    <cfRule type="cellIs" dxfId="789" priority="149" stopIfTrue="1" operator="lessThanOrEqual">
      <formula>0</formula>
    </cfRule>
    <cfRule type="cellIs" dxfId="788" priority="147" stopIfTrue="1" operator="lessThanOrEqual">
      <formula>0</formula>
    </cfRule>
    <cfRule type="cellIs" dxfId="787" priority="144" stopIfTrue="1" operator="greaterThan">
      <formula>$F$40</formula>
    </cfRule>
    <cfRule type="cellIs" dxfId="786" priority="145" stopIfTrue="1" operator="lessThanOrEqual">
      <formula>0</formula>
    </cfRule>
    <cfRule type="cellIs" dxfId="785" priority="146" stopIfTrue="1" operator="greaterThan">
      <formula>$F$42</formula>
    </cfRule>
    <cfRule type="cellIs" dxfId="784" priority="148" stopIfTrue="1" operator="greaterThan">
      <formula>$F$40</formula>
    </cfRule>
  </conditionalFormatting>
  <conditionalFormatting sqref="I67:I68">
    <cfRule type="cellIs" dxfId="783" priority="121" stopIfTrue="1" operator="lessThanOrEqual">
      <formula>0</formula>
    </cfRule>
    <cfRule type="cellIs" dxfId="782" priority="116" stopIfTrue="1" operator="greaterThan">
      <formula>#REF!</formula>
    </cfRule>
    <cfRule type="cellIs" dxfId="781" priority="120" stopIfTrue="1" operator="greaterThan">
      <formula>#REF!</formula>
    </cfRule>
    <cfRule type="cellIs" dxfId="780" priority="119" stopIfTrue="1" operator="lessThanOrEqual">
      <formula>0</formula>
    </cfRule>
    <cfRule type="cellIs" dxfId="779" priority="118" stopIfTrue="1" operator="greaterThan">
      <formula>#REF!</formula>
    </cfRule>
    <cfRule type="cellIs" dxfId="778" priority="117" stopIfTrue="1" operator="lessThanOrEqual">
      <formula>0</formula>
    </cfRule>
  </conditionalFormatting>
  <conditionalFormatting sqref="I83:I91">
    <cfRule type="cellIs" dxfId="777" priority="176" stopIfTrue="1" operator="lessThanOrEqual">
      <formula>0</formula>
    </cfRule>
    <cfRule type="cellIs" dxfId="776" priority="175" stopIfTrue="1" operator="greaterThan">
      <formula>4.5</formula>
    </cfRule>
  </conditionalFormatting>
  <conditionalFormatting sqref="I10:J27">
    <cfRule type="cellIs" dxfId="775" priority="1" operator="lessThan">
      <formula>97.9</formula>
    </cfRule>
  </conditionalFormatting>
  <conditionalFormatting sqref="J30:J31">
    <cfRule type="cellIs" dxfId="774" priority="88" operator="lessThan">
      <formula>97.95</formula>
    </cfRule>
  </conditionalFormatting>
  <conditionalFormatting sqref="J32">
    <cfRule type="cellIs" dxfId="773" priority="155" stopIfTrue="1" operator="lessThan">
      <formula>96.8</formula>
    </cfRule>
    <cfRule type="cellIs" dxfId="772" priority="156" stopIfTrue="1" operator="greaterThan">
      <formula>100</formula>
    </cfRule>
    <cfRule type="cellIs" dxfId="771" priority="157" operator="lessThan">
      <formula>98</formula>
    </cfRule>
  </conditionalFormatting>
  <conditionalFormatting sqref="J32:J34">
    <cfRule type="cellIs" dxfId="770" priority="154" operator="lessThan">
      <formula>97.4</formula>
    </cfRule>
  </conditionalFormatting>
  <conditionalFormatting sqref="J35:J36">
    <cfRule type="cellIs" dxfId="769" priority="158" operator="lessThan">
      <formula>98</formula>
    </cfRule>
  </conditionalFormatting>
  <conditionalFormatting sqref="J37:J38">
    <cfRule type="cellIs" dxfId="768" priority="160" stopIfTrue="1" operator="greaterThan">
      <formula>100</formula>
    </cfRule>
    <cfRule type="cellIs" dxfId="767" priority="159" stopIfTrue="1" operator="lessThan">
      <formula>96.8</formula>
    </cfRule>
  </conditionalFormatting>
  <conditionalFormatting sqref="J37:J39">
    <cfRule type="cellIs" dxfId="766" priority="161" operator="lessThan">
      <formula>98</formula>
    </cfRule>
  </conditionalFormatting>
  <conditionalFormatting sqref="J68">
    <cfRule type="cellIs" dxfId="765" priority="105" stopIfTrue="1" operator="lessThanOrEqual">
      <formula>0</formula>
    </cfRule>
    <cfRule type="cellIs" dxfId="764" priority="104" stopIfTrue="1" operator="greaterThan">
      <formula>#REF!</formula>
    </cfRule>
    <cfRule type="cellIs" dxfId="763" priority="111" stopIfTrue="1" operator="lessThanOrEqual">
      <formula>0</formula>
    </cfRule>
    <cfRule type="cellIs" dxfId="762" priority="110" stopIfTrue="1" operator="greaterThan">
      <formula>#REF!</formula>
    </cfRule>
    <cfRule type="cellIs" dxfId="761" priority="109" stopIfTrue="1" operator="lessThanOrEqual">
      <formula>0</formula>
    </cfRule>
    <cfRule type="cellIs" dxfId="760" priority="108" stopIfTrue="1" operator="greaterThan">
      <formula>#REF!</formula>
    </cfRule>
    <cfRule type="cellIs" dxfId="759" priority="107" stopIfTrue="1" operator="lessThanOrEqual">
      <formula>0</formula>
    </cfRule>
    <cfRule type="cellIs" dxfId="758" priority="106" stopIfTrue="1" operator="greaterThan">
      <formula>#REF!</formula>
    </cfRule>
  </conditionalFormatting>
  <conditionalFormatting sqref="J81">
    <cfRule type="cellIs" dxfId="757" priority="39" stopIfTrue="1" operator="lessThanOrEqual">
      <formula>0</formula>
    </cfRule>
    <cfRule type="cellIs" dxfId="756" priority="38" stopIfTrue="1" operator="greaterThan">
      <formula>$F81</formula>
    </cfRule>
  </conditionalFormatting>
  <conditionalFormatting sqref="K10:K27">
    <cfRule type="cellIs" dxfId="755" priority="2" operator="greaterThan">
      <formula>6</formula>
    </cfRule>
    <cfRule type="cellIs" dxfId="754" priority="4" operator="greaterThan">
      <formula>6.4</formula>
    </cfRule>
    <cfRule type="cellIs" dxfId="753" priority="3" operator="lessThan">
      <formula>4</formula>
    </cfRule>
  </conditionalFormatting>
  <conditionalFormatting sqref="K59:K68">
    <cfRule type="cellIs" dxfId="752" priority="87" stopIfTrue="1" operator="lessThan">
      <formula>100%</formula>
    </cfRule>
  </conditionalFormatting>
  <conditionalFormatting sqref="K72:K80">
    <cfRule type="cellIs" dxfId="751" priority="26" stopIfTrue="1" operator="lessThan">
      <formula>100%</formula>
    </cfRule>
  </conditionalFormatting>
  <conditionalFormatting sqref="K83:K88">
    <cfRule type="cellIs" dxfId="750" priority="181" stopIfTrue="1" operator="lessThan">
      <formula>100%</formula>
    </cfRule>
  </conditionalFormatting>
  <conditionalFormatting sqref="K90:K91">
    <cfRule type="cellIs" dxfId="749" priority="188" stopIfTrue="1" operator="lessThan">
      <formula>100%</formula>
    </cfRule>
  </conditionalFormatting>
  <conditionalFormatting sqref="L10:L27">
    <cfRule type="cellIs" dxfId="748" priority="5" operator="between">
      <formula>61</formula>
      <formula>65</formula>
    </cfRule>
    <cfRule type="cellIs" dxfId="747" priority="6" operator="greaterThan">
      <formula>65</formula>
    </cfRule>
  </conditionalFormatting>
  <conditionalFormatting sqref="L30:M41">
    <cfRule type="cellIs" dxfId="746" priority="101" operator="lessThan">
      <formula>97.95</formula>
    </cfRule>
  </conditionalFormatting>
  <conditionalFormatting sqref="L45:N45">
    <cfRule type="cellIs" dxfId="745" priority="66" operator="notEqual">
      <formula>#REF!</formula>
    </cfRule>
  </conditionalFormatting>
  <conditionalFormatting sqref="L72:N81">
    <cfRule type="cellIs" dxfId="744" priority="21" stopIfTrue="1" operator="lessThan">
      <formula>100%</formula>
    </cfRule>
  </conditionalFormatting>
  <conditionalFormatting sqref="L83:N91">
    <cfRule type="cellIs" dxfId="743" priority="166" stopIfTrue="1" operator="lessThan">
      <formula>100%</formula>
    </cfRule>
  </conditionalFormatting>
  <conditionalFormatting sqref="M10:N27 H20:H27">
    <cfRule type="expression" dxfId="742" priority="19">
      <formula>IF(+(IF(H10&lt;#REF!,0,IF(H10&gt;#REF!,0,1)))=0,1)</formula>
    </cfRule>
  </conditionalFormatting>
  <conditionalFormatting sqref="N10:N13 N20:N26">
    <cfRule type="expression" dxfId="741" priority="10">
      <formula>IF(+(IF(N10&lt;W10,0,IF(N10&gt;X10,0,1)))=0,1)</formula>
    </cfRule>
  </conditionalFormatting>
  <conditionalFormatting sqref="P6">
    <cfRule type="cellIs" dxfId="740" priority="162" operator="greaterThanOrEqual">
      <formula>19</formula>
    </cfRule>
  </conditionalFormatting>
  <dataValidations count="1">
    <dataValidation type="list" allowBlank="1" showInputMessage="1" showErrorMessage="1" sqref="R8" xr:uid="{9B69CB6A-8C47-43BE-B2C4-93FEF7EDD88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0485-443A-463B-9A5D-B33BC3594360}">
  <sheetPr>
    <pageSetUpPr fitToPage="1"/>
  </sheetPr>
  <dimension ref="A1:BE79"/>
  <sheetViews>
    <sheetView topLeftCell="A8" zoomScale="70" zoomScaleNormal="70" workbookViewId="0">
      <selection activeCell="B15" sqref="B15:O15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2.85546875" style="275" customWidth="1"/>
    <col min="10" max="10" width="35.140625" style="275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109.140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46202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3" t="s">
        <v>9</v>
      </c>
      <c r="C10" s="366" t="str">
        <f>[4]Brewhouse!$A284</f>
        <v>ST229</v>
      </c>
      <c r="D10" s="279">
        <f>[4]Brewhouse!$AB284</f>
        <v>53</v>
      </c>
      <c r="E10" s="279">
        <f>[4]Brewhouse!$AG284</f>
        <v>50.26</v>
      </c>
      <c r="F10" s="278">
        <f>[4]Brewhouse!$V284</f>
        <v>59</v>
      </c>
      <c r="G10" s="279">
        <f>[4]Brewhouse!$AE284</f>
        <v>12</v>
      </c>
      <c r="H10" s="396">
        <v>11.8</v>
      </c>
      <c r="I10" s="368">
        <f>[4]Brewhouse!$AS284</f>
        <v>102.25579256731321</v>
      </c>
      <c r="J10" s="368">
        <f>[4]Brewhouse!$AT284</f>
        <v>103.22658123516146</v>
      </c>
      <c r="K10" s="281">
        <f>[4]Brewhouse!$Q284</f>
        <v>11.27358490566038</v>
      </c>
      <c r="L10" s="276">
        <f>[4]Brewhouse!$P284</f>
        <v>60</v>
      </c>
      <c r="M10" s="374">
        <f>[4]Brewhouse!$U284-[4]Brewhouse!$T284</f>
        <v>0.14166666666666683</v>
      </c>
      <c r="N10" s="370">
        <f>[4]Brewhouse!$AW284</f>
        <v>0.28333333333333344</v>
      </c>
      <c r="O10" s="420" t="str">
        <f>[4]Brewhouse!$AV284</f>
        <v>K. Benjamin</v>
      </c>
      <c r="P10" s="418"/>
      <c r="R10" s="277" t="str">
        <f t="shared" ref="R10:R39" si="0">B10</f>
        <v>STAG</v>
      </c>
      <c r="S10" s="472">
        <f t="shared" ref="S10:S39" si="1">VLOOKUP($B10,$R$3:$X$9,2,FALSE)</f>
        <v>11.6</v>
      </c>
      <c r="T10" s="472">
        <f t="shared" ref="T10:T39" si="2">VLOOKUP($B10,$R$3:$X$9,3,FALSE)</f>
        <v>12</v>
      </c>
      <c r="U10" s="297">
        <f t="shared" ref="U10:U39" si="3">VLOOKUP($B10,$R$3:$X$9,4,FALSE)</f>
        <v>0</v>
      </c>
      <c r="V10" s="297">
        <f t="shared" ref="V10:V39" si="4">VLOOKUP($B10,$R$3:$X$9,5,FALSE)</f>
        <v>0.118055555555556</v>
      </c>
      <c r="W10" s="297">
        <f t="shared" ref="W10:W39" si="5">VLOOKUP($B10,$R$3:$X$9,6,FALSE)</f>
        <v>0.22569444444444445</v>
      </c>
      <c r="X10" s="297">
        <f t="shared" ref="X10:X39" si="6">VLOOKUP($B10,$R$3:$X$9,7,FALSE)</f>
        <v>0.2638888888888889</v>
      </c>
      <c r="Y10" s="297">
        <f t="shared" ref="Y10:Y39" si="7">VLOOKUP($B10,$R$3:$Z$9,8,FALSE)</f>
        <v>0</v>
      </c>
      <c r="Z10" s="472">
        <f t="shared" ref="Z10:Z39" si="8">VLOOKUP($B10,$R$3:$Z$9,9,FALSE)</f>
        <v>60</v>
      </c>
    </row>
    <row r="11" spans="2:29" ht="17.25" customHeight="1">
      <c r="B11" s="33" t="s">
        <v>9</v>
      </c>
      <c r="C11" s="366" t="str">
        <f>[4]Brewhouse!$A285</f>
        <v>ST230</v>
      </c>
      <c r="D11" s="279">
        <f>[4]Brewhouse!$AB285</f>
        <v>53</v>
      </c>
      <c r="E11" s="279">
        <f>[4]Brewhouse!$AG285</f>
        <v>51.1</v>
      </c>
      <c r="F11" s="278">
        <f>[4]Brewhouse!$V285</f>
        <v>53</v>
      </c>
      <c r="G11" s="279">
        <f>[4]Brewhouse!$AE285</f>
        <v>11.8</v>
      </c>
      <c r="H11" s="396">
        <v>11.8</v>
      </c>
      <c r="I11" s="368">
        <f>[4]Brewhouse!$AS285</f>
        <v>100.48414063181383</v>
      </c>
      <c r="J11" s="368">
        <f>[4]Brewhouse!$AT285</f>
        <v>101.44223146333022</v>
      </c>
      <c r="K11" s="281">
        <f>[4]Brewhouse!$Q285</f>
        <v>8.8207547169811278</v>
      </c>
      <c r="L11" s="276">
        <f>[4]Brewhouse!$P285</f>
        <v>61</v>
      </c>
      <c r="M11" s="374">
        <f>[4]Brewhouse!$U285-[4]Brewhouse!$T285</f>
        <v>0.11388888888888887</v>
      </c>
      <c r="N11" s="370">
        <f>[4]Brewhouse!$AW285</f>
        <v>0.26805555555555555</v>
      </c>
      <c r="O11" s="420" t="str">
        <f>[4]Brewhouse!$AV285</f>
        <v>K. Benjamin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33" t="s">
        <v>9</v>
      </c>
      <c r="C12" s="366" t="str">
        <f>[4]Brewhouse!$A286</f>
        <v>ST231</v>
      </c>
      <c r="D12" s="279">
        <f>[4]Brewhouse!$AB286</f>
        <v>53.1</v>
      </c>
      <c r="E12" s="279">
        <f>[4]Brewhouse!$AG286</f>
        <v>50.5</v>
      </c>
      <c r="F12" s="278">
        <f>[4]Brewhouse!$V286</f>
        <v>57</v>
      </c>
      <c r="G12" s="279">
        <f>[4]Brewhouse!$AE286</f>
        <v>11.9</v>
      </c>
      <c r="H12" s="396">
        <v>12</v>
      </c>
      <c r="I12" s="368">
        <f>[4]Brewhouse!$AS286</f>
        <v>99.939679018214306</v>
      </c>
      <c r="J12" s="368">
        <f>[4]Brewhouse!$AT286</f>
        <v>100.89319745960161</v>
      </c>
      <c r="K12" s="281">
        <f>[4]Brewhouse!$Q286</f>
        <v>9.1807909604519775</v>
      </c>
      <c r="L12" s="276">
        <f>[4]Brewhouse!$P286</f>
        <v>61</v>
      </c>
      <c r="M12" s="374">
        <f>[4]Brewhouse!$U286-[4]Brewhouse!$T286</f>
        <v>0.11388888888888893</v>
      </c>
      <c r="N12" s="370">
        <f>[4]Brewhouse!$AW286</f>
        <v>0.25555555555555554</v>
      </c>
      <c r="O12" s="420" t="str">
        <f>[4]Brewhouse!$AV286</f>
        <v>K. Benjamin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33" t="s">
        <v>9</v>
      </c>
      <c r="C13" s="366" t="str">
        <f>[4]Brewhouse!$A287</f>
        <v>ST232</v>
      </c>
      <c r="D13" s="279">
        <f>[4]Brewhouse!$AB287</f>
        <v>53.1</v>
      </c>
      <c r="E13" s="279">
        <f>[4]Brewhouse!$AG287</f>
        <v>50.9</v>
      </c>
      <c r="F13" s="278">
        <f>[4]Brewhouse!$V287</f>
        <v>55</v>
      </c>
      <c r="G13" s="279">
        <f>[4]Brewhouse!$AE287</f>
        <v>11.9</v>
      </c>
      <c r="H13" s="396">
        <v>11.9</v>
      </c>
      <c r="I13" s="368">
        <f>[4]Brewhouse!$AS287</f>
        <v>101.49046337979428</v>
      </c>
      <c r="J13" s="368">
        <f>[4]Brewhouse!$AT287</f>
        <v>102.4568827588205</v>
      </c>
      <c r="K13" s="281">
        <f>[4]Brewhouse!$Q287</f>
        <v>9.1807909604519775</v>
      </c>
      <c r="L13" s="276">
        <f>[4]Brewhouse!$P287</f>
        <v>61</v>
      </c>
      <c r="M13" s="374">
        <f>[4]Brewhouse!$U287-[4]Brewhouse!$T287</f>
        <v>0.11111111111111116</v>
      </c>
      <c r="N13" s="370">
        <f>[4]Brewhouse!$AW287</f>
        <v>0.24583333333333335</v>
      </c>
      <c r="O13" s="420" t="str">
        <f>[4]Brewhouse!$AV287</f>
        <v xml:space="preserve">R.Regis 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33" t="s">
        <v>9</v>
      </c>
      <c r="C14" s="366" t="str">
        <f>[4]Brewhouse!$A288</f>
        <v>ST233</v>
      </c>
      <c r="D14" s="279">
        <f>[4]Brewhouse!$AB288</f>
        <v>53.1</v>
      </c>
      <c r="E14" s="279">
        <f>[4]Brewhouse!$AG288</f>
        <v>50.3</v>
      </c>
      <c r="F14" s="278">
        <f>[4]Brewhouse!$V288</f>
        <v>58</v>
      </c>
      <c r="G14" s="279">
        <f>[4]Brewhouse!$AE288</f>
        <v>11.8</v>
      </c>
      <c r="H14" s="396">
        <v>11.7</v>
      </c>
      <c r="I14" s="368">
        <f>[4]Brewhouse!$AS288</f>
        <v>99.658344935350172</v>
      </c>
      <c r="J14" s="368">
        <f>[4]Brewhouse!$AT288</f>
        <v>100.6066918940605</v>
      </c>
      <c r="K14" s="281">
        <f>[4]Brewhouse!$Q288</f>
        <v>9.9340866290018806</v>
      </c>
      <c r="L14" s="276">
        <f>[4]Brewhouse!$P288</f>
        <v>61</v>
      </c>
      <c r="M14" s="374">
        <f>[4]Brewhouse!$U288-[4]Brewhouse!$T288</f>
        <v>0.11527777777777781</v>
      </c>
      <c r="N14" s="370">
        <f>[4]Brewhouse!$AW288</f>
        <v>0.25208333333333333</v>
      </c>
      <c r="O14" s="420" t="str">
        <f>[4]Brewhouse!$AV288</f>
        <v xml:space="preserve">R.Regis 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33" t="s">
        <v>9</v>
      </c>
      <c r="C15" s="366" t="str">
        <f>[4]Brewhouse!$A289</f>
        <v>ST234</v>
      </c>
      <c r="D15" s="279">
        <f>[4]Brewhouse!$AB289</f>
        <v>53.1</v>
      </c>
      <c r="E15" s="279">
        <f>[4]Brewhouse!$AG289</f>
        <v>51</v>
      </c>
      <c r="F15" s="278">
        <f>[4]Brewhouse!$V289</f>
        <v>61</v>
      </c>
      <c r="G15" s="279">
        <f>[4]Brewhouse!$AE289</f>
        <v>11.8</v>
      </c>
      <c r="H15" s="396">
        <v>11.6</v>
      </c>
      <c r="I15" s="368">
        <f>[4]Brewhouse!$AS289</f>
        <v>100.79139066827585</v>
      </c>
      <c r="J15" s="368">
        <f>[4]Brewhouse!$AT289</f>
        <v>101.7511532896791</v>
      </c>
      <c r="K15" s="281">
        <f>[4]Brewhouse!$Q289</f>
        <v>10.12241054613936</v>
      </c>
      <c r="L15" s="276">
        <f>[4]Brewhouse!$P289</f>
        <v>62</v>
      </c>
      <c r="M15" s="374">
        <f>[4]Brewhouse!$U289-[4]Brewhouse!$T289</f>
        <v>0.11319444444444438</v>
      </c>
      <c r="N15" s="370">
        <f>[4]Brewhouse!$AW289</f>
        <v>0.24722222222222223</v>
      </c>
      <c r="O15" s="420" t="str">
        <f>[4]Brewhouse!$AV289</f>
        <v xml:space="preserve">R.Regis 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6" ht="17.25" customHeight="1">
      <c r="B17" s="29"/>
      <c r="C17" s="366"/>
      <c r="D17" s="279"/>
      <c r="E17" s="279"/>
      <c r="F17" s="278"/>
      <c r="G17" s="506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7.2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7.25" hidden="1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7.25" hidden="1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7.25" hidden="1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7.25" hidden="1" customHeight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hidden="1" customHeight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hidden="1" customHeight="1">
      <c r="B24" s="33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 thickBot="1">
      <c r="B26" s="358"/>
      <c r="C26" s="358"/>
      <c r="D26" s="358"/>
      <c r="E26" s="358"/>
      <c r="F26" s="294"/>
      <c r="G26" s="294"/>
      <c r="H26" s="348"/>
      <c r="I26" s="544"/>
      <c r="J26" s="544"/>
      <c r="K26" s="544"/>
      <c r="L26" s="544"/>
      <c r="M26" s="544"/>
      <c r="N26" s="544"/>
      <c r="O26" s="1"/>
      <c r="P26" s="12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 thickBot="1">
      <c r="B27" s="388" t="s">
        <v>162</v>
      </c>
      <c r="C27" s="388"/>
      <c r="D27" s="545" t="s">
        <v>35</v>
      </c>
      <c r="E27" s="546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0"/>
        <v xml:space="preserve">BRAND 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7.25" customHeight="1">
      <c r="A28" s="28"/>
      <c r="B28" s="530"/>
      <c r="C28" s="362"/>
      <c r="D28" s="548"/>
      <c r="E28" s="549"/>
      <c r="F28" s="294"/>
      <c r="G28" s="294"/>
      <c r="H28" s="348"/>
      <c r="I28" s="29" t="s">
        <v>6</v>
      </c>
      <c r="J28" s="323"/>
      <c r="K28" s="284">
        <f>COUNTA([3]Brewhouse!$A$441:$A$479)</f>
        <v>39</v>
      </c>
      <c r="L28" s="305">
        <f>AVERAGE([3]Brewhouse!$AU$441:$AU$479)</f>
        <v>99.581020505785347</v>
      </c>
      <c r="M28" s="305">
        <f>AVERAGE([3]Brewhouse!$AU$42:$AU$123,[3]Brewhouse!$AU$125:$AU$188,[3]Brewhouse!$AU$198:$AU$290,[3]Brewhouse!$AU$292:$AU$370,[3]Brewhouse!$AU$372:$AU$439,[3]Brewhouse!$AU$441:$AU$479)</f>
        <v>98.122381012879842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" customHeight="1">
      <c r="A29" s="28"/>
      <c r="B29" s="531"/>
      <c r="C29" s="362"/>
      <c r="D29" s="550"/>
      <c r="E29" s="536"/>
      <c r="F29" s="294"/>
      <c r="G29" s="294"/>
      <c r="H29" s="348"/>
      <c r="I29" s="33" t="s">
        <v>9</v>
      </c>
      <c r="J29" s="323">
        <f>AVERAGE(I10:I15)</f>
        <v>100.76996853346027</v>
      </c>
      <c r="K29" s="284">
        <f>COUNTA([4]Brewhouse!$A$252:$A$289)</f>
        <v>38</v>
      </c>
      <c r="L29" s="302">
        <f>AVERAGE([4]Brewhouse!$AS$252:$AS$289)</f>
        <v>99.376505563106818</v>
      </c>
      <c r="M29" s="302">
        <f>AVERAGE([4]Brewhouse!$AS$52:$AS$81,[4]Brewhouse!$AS$83:$AS$124,[4]Brewhouse!$AS$134:$AS$177,[4]Brewhouse!$AS$22:$AS$179,[4]Brewhouse!$AS$214:$AS$249,[4]Brewhouse!$AS$252:$AS$289)</f>
        <v>98.129796591077522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31"/>
      <c r="C30" s="362"/>
      <c r="D30" s="540"/>
      <c r="E30" s="541"/>
      <c r="F30" s="294"/>
      <c r="G30" s="294"/>
      <c r="H30" s="348"/>
      <c r="I30" s="34" t="s">
        <v>12</v>
      </c>
      <c r="J30" s="280"/>
      <c r="K30" s="284">
        <f>COUNTA([5]Brewhouse!$A$62:$A$69)</f>
        <v>8</v>
      </c>
      <c r="L30" s="302">
        <f>AVERAGE([5]Brewhouse!$AU$62:$AU$69)</f>
        <v>95.865325586732524</v>
      </c>
      <c r="M30" s="302">
        <f>AVERAGE([5]Brewhouse!$AU$16:$AU$23,[5]Brewhouse!$AU$25:$AU$32,[5]Brewhouse!$AU$34:$AU$41,[5]Brewhouse!$AU$43:$AU$60,[5]Brewhouse!$AU$62:$AU$69)</f>
        <v>96.726835550404019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31"/>
      <c r="C31" s="362"/>
      <c r="D31" s="535"/>
      <c r="E31" s="536"/>
      <c r="F31" s="294"/>
      <c r="G31" s="294"/>
      <c r="H31" s="348"/>
      <c r="I31" s="22" t="s">
        <v>33</v>
      </c>
      <c r="J31" s="280"/>
      <c r="K31" s="284"/>
      <c r="L31" s="302"/>
      <c r="M31" s="302">
        <f>AVERAGE([6]Brewhouse!$AV$23:$AV$34,[6]Brewhouse!$AV$36,[6]Brewhouse!$AV$38:$AV$52,[6]Brewhouse!$AV$54:$AV$60,[6]Brewhouse!$AV$62:$AV$68)</f>
        <v>97.579195177204838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31"/>
      <c r="C32" s="362"/>
      <c r="D32" s="540"/>
      <c r="E32" s="541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31"/>
      <c r="C33" s="362"/>
      <c r="D33" s="535"/>
      <c r="E33" s="536"/>
      <c r="F33" s="417"/>
      <c r="G33" s="294"/>
      <c r="H33" s="348"/>
      <c r="I33" s="36" t="s">
        <v>15</v>
      </c>
      <c r="J33" s="323"/>
      <c r="K33" s="284"/>
      <c r="L33" s="302"/>
      <c r="M33" s="302">
        <f>AVERAGE([7]Brewhouse!$AT$4:$AT$11,[7]Brewhouse!$AT$13:$AT$16)</f>
        <v>91.538375374138752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31"/>
      <c r="C34" s="362"/>
      <c r="D34" s="540"/>
      <c r="E34" s="541"/>
      <c r="F34" s="417"/>
      <c r="G34" s="294"/>
      <c r="H34" s="348"/>
      <c r="I34" s="37" t="s">
        <v>16</v>
      </c>
      <c r="J34" s="323"/>
      <c r="K34" s="284">
        <f>COUNTA([8]Brewhouse!$A$66:$A$73)</f>
        <v>8</v>
      </c>
      <c r="L34" s="302">
        <f>AVERAGE([8]Brewhouse!$AY$66:$AY$73)</f>
        <v>98.225688487824243</v>
      </c>
      <c r="M34" s="302">
        <f>AVERAGE([8]Brewhouse!$AY$5:$AY$14,[8]Brewhouse!$AY$16:$AY$23,[8]Brewhouse!$AY$42,[8]Brewhouse!$AY$44:$AY$51,[8]Brewhouse!$AY$53:$AY$64,[8]Brewhouse!$AY$66:$AY$73)</f>
        <v>97.506811941025575</v>
      </c>
      <c r="N34" s="30">
        <v>98</v>
      </c>
      <c r="O34" s="11"/>
      <c r="P34" s="31" t="s">
        <v>41</v>
      </c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31"/>
      <c r="C35" s="362"/>
      <c r="D35" s="535"/>
      <c r="E35" s="536"/>
      <c r="F35" s="294"/>
      <c r="G35" s="294"/>
      <c r="H35" s="348"/>
      <c r="I35" s="411" t="s">
        <v>158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56" ht="14.65" customHeight="1">
      <c r="A36" s="28"/>
      <c r="B36" s="531"/>
      <c r="C36" s="349"/>
      <c r="D36" s="540"/>
      <c r="E36" s="541"/>
      <c r="F36" s="294"/>
      <c r="G36" s="294"/>
      <c r="H36" s="348"/>
      <c r="I36" s="410" t="s">
        <v>157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31"/>
      <c r="C37" s="349"/>
      <c r="D37" s="535"/>
      <c r="E37" s="536"/>
      <c r="F37" s="294"/>
      <c r="G37" s="294"/>
      <c r="H37" s="348"/>
      <c r="I37" s="406" t="s">
        <v>156</v>
      </c>
      <c r="J37" s="327"/>
      <c r="K37" s="407"/>
      <c r="L37" s="408"/>
      <c r="M37" s="408"/>
      <c r="N37" s="409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customHeight="1" thickBot="1">
      <c r="A38" s="28"/>
      <c r="B38" s="531"/>
      <c r="C38" s="349"/>
      <c r="D38" s="548"/>
      <c r="E38" s="549"/>
      <c r="F38" s="294"/>
      <c r="G38" s="294"/>
      <c r="H38" s="348"/>
      <c r="I38" s="1"/>
      <c r="J38" s="39"/>
      <c r="K38" s="404">
        <f>SUM(K28:K37)</f>
        <v>93</v>
      </c>
      <c r="L38" s="405">
        <f>((L28*K28)+(L29*K29)+(L30*K30)+(L31*K31)+(L32*K32)+(K35*L35)+(L33*K33)+(L34*K34)+(L37*K37))/(K38)</f>
        <v>99.061237889463897</v>
      </c>
      <c r="M38" s="405">
        <f>AVERAGE('[9]Jan30th-31st'!$L$42,L38)</f>
        <v>98.444639812652682</v>
      </c>
      <c r="N38" s="4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547"/>
      <c r="C39" s="350"/>
      <c r="D39" s="550"/>
      <c r="E39" s="536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.75" thickBot="1">
      <c r="B40" s="530"/>
      <c r="C40" s="362"/>
      <c r="D40" s="533"/>
      <c r="E40" s="534"/>
      <c r="F40" s="294"/>
      <c r="G40" s="42"/>
      <c r="H40" s="41"/>
      <c r="I40" s="42"/>
      <c r="J40" s="537" t="s">
        <v>129</v>
      </c>
      <c r="K40" s="537"/>
      <c r="L40" s="294"/>
      <c r="M40" s="294"/>
      <c r="N40" s="294"/>
      <c r="O40" s="294"/>
      <c r="P40" s="12"/>
    </row>
    <row r="41" spans="1:56" ht="15.75" thickBot="1">
      <c r="B41" s="531"/>
      <c r="C41" s="362"/>
      <c r="D41" s="535"/>
      <c r="E41" s="536"/>
      <c r="F41" s="294"/>
      <c r="G41" s="42"/>
      <c r="H41" s="42"/>
      <c r="I41" s="42"/>
      <c r="J41" s="292" t="s">
        <v>17</v>
      </c>
      <c r="K41" s="293" t="s">
        <v>170</v>
      </c>
      <c r="L41" s="538" t="s">
        <v>136</v>
      </c>
      <c r="M41" s="538"/>
      <c r="N41" s="539"/>
      <c r="O41" s="294"/>
      <c r="P41" s="12"/>
    </row>
    <row r="42" spans="1:56" ht="15" customHeight="1" thickBot="1">
      <c r="B42" s="531"/>
      <c r="C42" s="349"/>
      <c r="D42" s="540"/>
      <c r="E42" s="541"/>
      <c r="F42" s="294"/>
      <c r="G42" s="42"/>
      <c r="H42" s="42"/>
      <c r="I42" s="42"/>
      <c r="J42" s="287" t="s">
        <v>6</v>
      </c>
      <c r="K42" s="324"/>
      <c r="L42" s="473" t="s">
        <v>37</v>
      </c>
      <c r="M42" s="474" t="s">
        <v>38</v>
      </c>
      <c r="N42" s="474" t="s">
        <v>84</v>
      </c>
      <c r="O42" s="294"/>
      <c r="P42" s="12"/>
    </row>
    <row r="43" spans="1:56" ht="15.75" customHeight="1" thickBot="1">
      <c r="B43" s="531"/>
      <c r="C43" s="349"/>
      <c r="D43" s="535"/>
      <c r="E43" s="536"/>
      <c r="F43" s="294"/>
      <c r="G43" s="42"/>
      <c r="H43" s="42"/>
      <c r="I43" s="42"/>
      <c r="J43" s="345" t="s">
        <v>9</v>
      </c>
      <c r="K43" s="324">
        <v>6</v>
      </c>
      <c r="L43" s="344">
        <f>AVERAGE('June 2nd'!K44,'June 3rd'!K52,'June 4th'!K47,'June 5th'!K46,'June 8th'!K48,'June 9th'!K56,'June 15th '!K56,'June 16th'!K50,'June 17th '!K49,'June 18th '!K48,'June 21st'!L39,'June 22nd'!K49,'June 23rd'!K45,'June 24th'!K47,'June 25th '!K54,K52)</f>
        <v>6.1647727272727275</v>
      </c>
      <c r="M43" s="325">
        <f>AVERAGE('[9]Jan30th-31st'!$L$47,L43,'[10]Feb 26th '!$L$39,'[11]Mar 31st'!$L$47,'[12]Apr 30th'!$L$46,'[13]May 29th '!$L$40)</f>
        <v>6.2987730566534923</v>
      </c>
      <c r="N43" s="416">
        <v>9.1999999999999993</v>
      </c>
      <c r="O43" s="294"/>
      <c r="P43" s="12"/>
    </row>
    <row r="44" spans="1:56" ht="15" customHeight="1">
      <c r="B44" s="531"/>
      <c r="C44" s="349"/>
      <c r="D44" s="540"/>
      <c r="E44" s="541"/>
      <c r="F44" s="294"/>
      <c r="G44" s="42"/>
      <c r="H44" s="42"/>
      <c r="I44" s="42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31"/>
      <c r="C45" s="349"/>
      <c r="D45" s="535"/>
      <c r="E45" s="536"/>
      <c r="F45" s="294"/>
      <c r="G45" s="42"/>
      <c r="H45" s="42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31"/>
      <c r="C46" s="349"/>
      <c r="D46" s="540"/>
      <c r="E46" s="541"/>
      <c r="F46" s="294"/>
      <c r="G46" s="42"/>
      <c r="H46" s="42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31"/>
      <c r="C47" s="349"/>
      <c r="D47" s="535"/>
      <c r="E47" s="536"/>
      <c r="F47" s="294"/>
      <c r="G47" s="42"/>
      <c r="H47" s="42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31"/>
      <c r="C48" s="349"/>
      <c r="D48" s="540"/>
      <c r="E48" s="541"/>
      <c r="F48" s="294"/>
      <c r="G48" s="42"/>
      <c r="H48" s="42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thickBot="1">
      <c r="B49" s="532"/>
      <c r="C49" s="350"/>
      <c r="D49" s="542"/>
      <c r="E49" s="543"/>
      <c r="F49" s="294" t="s">
        <v>166</v>
      </c>
      <c r="G49" s="42"/>
      <c r="H49" s="42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2:57" ht="17.649999999999999" customHeight="1" thickBot="1">
      <c r="B50" s="312" t="s">
        <v>139</v>
      </c>
      <c r="C50" s="313"/>
      <c r="D50" s="523"/>
      <c r="E50" s="524"/>
      <c r="F50" s="294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>
      <c r="B51" s="363"/>
      <c r="C51" s="364"/>
      <c r="D51" s="365"/>
      <c r="E51" s="365"/>
      <c r="F51" s="294"/>
      <c r="G51" s="42"/>
      <c r="H51" s="42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2"/>
      <c r="I52" s="42"/>
      <c r="J52" s="346" t="s">
        <v>130</v>
      </c>
      <c r="K52" s="324">
        <f>SUM(K42:K51)</f>
        <v>6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294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515" t="s">
        <v>17</v>
      </c>
      <c r="C55" s="515" t="s">
        <v>44</v>
      </c>
      <c r="D55" s="526" t="s">
        <v>45</v>
      </c>
      <c r="E55" s="528" t="s">
        <v>46</v>
      </c>
      <c r="F55" s="521" t="s">
        <v>47</v>
      </c>
      <c r="G55" s="513" t="s">
        <v>48</v>
      </c>
      <c r="H55" s="515" t="s">
        <v>49</v>
      </c>
      <c r="I55" s="515" t="s">
        <v>50</v>
      </c>
      <c r="J55" s="507" t="s">
        <v>28</v>
      </c>
      <c r="K55" s="517" t="s">
        <v>51</v>
      </c>
      <c r="L55" s="519" t="s">
        <v>52</v>
      </c>
      <c r="M55" s="507" t="s">
        <v>53</v>
      </c>
      <c r="N55" s="13"/>
      <c r="O55" s="13"/>
      <c r="P55" s="50"/>
    </row>
    <row r="56" spans="2:57" ht="28.5" customHeight="1" thickTop="1" thickBot="1">
      <c r="B56" s="516"/>
      <c r="C56" s="525"/>
      <c r="D56" s="527"/>
      <c r="E56" s="529"/>
      <c r="F56" s="522"/>
      <c r="G56" s="514"/>
      <c r="H56" s="516"/>
      <c r="I56" s="516"/>
      <c r="J56" s="508"/>
      <c r="K56" s="518"/>
      <c r="L56" s="520"/>
      <c r="M56" s="508"/>
      <c r="N56" s="13"/>
      <c r="O56" s="13"/>
      <c r="P56" s="50"/>
      <c r="Q56" s="355"/>
      <c r="AB56" s="475">
        <v>43474</v>
      </c>
      <c r="AC56" s="475">
        <v>43475</v>
      </c>
      <c r="AD56" s="475">
        <v>43476</v>
      </c>
      <c r="AE56" s="475">
        <v>43477</v>
      </c>
      <c r="AF56" s="475">
        <v>43478</v>
      </c>
      <c r="AG56" s="475">
        <v>43479</v>
      </c>
      <c r="AH56" s="475">
        <v>43480</v>
      </c>
      <c r="AI56" s="475">
        <v>43481</v>
      </c>
      <c r="AJ56" s="475">
        <v>43482</v>
      </c>
      <c r="AK56" s="475">
        <v>43483</v>
      </c>
      <c r="AL56" s="475">
        <v>43484</v>
      </c>
      <c r="AM56" s="475">
        <v>43485</v>
      </c>
      <c r="AN56" s="475">
        <v>43486</v>
      </c>
      <c r="AO56" s="475">
        <v>43487</v>
      </c>
      <c r="AP56" s="475">
        <v>43488</v>
      </c>
      <c r="AQ56" s="475">
        <v>43489</v>
      </c>
      <c r="AR56" s="475">
        <v>43490</v>
      </c>
      <c r="AS56" s="475">
        <v>43491</v>
      </c>
      <c r="AT56" s="475">
        <v>43492</v>
      </c>
      <c r="AU56" s="475">
        <v>43493</v>
      </c>
      <c r="AV56" s="475">
        <v>43494</v>
      </c>
      <c r="AW56" s="475">
        <v>43495</v>
      </c>
      <c r="AX56" s="475">
        <v>43496</v>
      </c>
    </row>
    <row r="57" spans="2:57" s="54" customFormat="1" ht="36.75" customHeight="1" thickBot="1">
      <c r="B57" s="480"/>
      <c r="C57" s="479"/>
      <c r="D57" s="445"/>
      <c r="E57" s="443"/>
      <c r="F57" s="444"/>
      <c r="G57" s="445"/>
      <c r="H57" s="458"/>
      <c r="I57" s="458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[16]January_2019!L5</f>
        <v>0</v>
      </c>
      <c r="AC57" s="57">
        <f>[16]January_2019!M5</f>
        <v>0</v>
      </c>
      <c r="AD57" s="57">
        <f>[16]January_2019!N5</f>
        <v>0</v>
      </c>
      <c r="AE57" s="57">
        <f>[16]January_2019!O5</f>
        <v>0</v>
      </c>
      <c r="AF57" s="57">
        <f>[16]January_2019!P5</f>
        <v>0</v>
      </c>
      <c r="AG57" s="57">
        <f>[16]January_2019!Q5</f>
        <v>0</v>
      </c>
      <c r="AH57" s="57">
        <f>[16]January_2019!R5</f>
        <v>0</v>
      </c>
      <c r="AI57" s="57">
        <f>[16]January_2019!S5</f>
        <v>0</v>
      </c>
      <c r="AJ57" s="57">
        <f>[16]January_2019!T5</f>
        <v>0</v>
      </c>
      <c r="AK57" s="57">
        <f>[16]January_2019!U5</f>
        <v>0</v>
      </c>
      <c r="AL57" s="57">
        <f>[16]January_2019!V5</f>
        <v>0</v>
      </c>
      <c r="AM57" s="57">
        <f>[16]January_2019!W5</f>
        <v>0</v>
      </c>
      <c r="AN57" s="57">
        <f>[16]January_2019!X5</f>
        <v>0</v>
      </c>
      <c r="AO57" s="57">
        <f>[16]January_2019!Y5</f>
        <v>0</v>
      </c>
      <c r="AP57" s="57">
        <f>[16]January_2019!Z5</f>
        <v>0</v>
      </c>
      <c r="AQ57" s="57">
        <f>[16]January_2019!AA5</f>
        <v>0</v>
      </c>
      <c r="AR57" s="57">
        <f>[16]January_2019!AB5</f>
        <v>0</v>
      </c>
      <c r="AS57" s="57">
        <f>[16]January_2019!AC5</f>
        <v>0</v>
      </c>
      <c r="AT57" s="57">
        <f>[16]January_2019!AD5</f>
        <v>0</v>
      </c>
      <c r="AU57" s="57">
        <f>[16]January_2019!AE5</f>
        <v>0</v>
      </c>
      <c r="AV57" s="57">
        <f>[16]January_2019!AF5</f>
        <v>0</v>
      </c>
      <c r="AW57" s="57">
        <f>[16]January_2019!AG5</f>
        <v>0</v>
      </c>
      <c r="AX57" s="277">
        <f>[16]January_2019!AH5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4.25" customHeight="1" thickBot="1">
      <c r="B58" s="480"/>
      <c r="C58" s="479"/>
      <c r="D58" s="442"/>
      <c r="E58" s="443"/>
      <c r="F58" s="444"/>
      <c r="G58" s="445"/>
      <c r="H58" s="458"/>
      <c r="I58" s="458"/>
      <c r="J58" s="476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[16]January_2019!L6</f>
        <v>0</v>
      </c>
      <c r="AC58" s="57">
        <f>[16]January_2019!M6</f>
        <v>0</v>
      </c>
      <c r="AD58" s="57">
        <f>[16]January_2019!N6</f>
        <v>0</v>
      </c>
      <c r="AE58" s="57">
        <f>[16]January_2019!O6</f>
        <v>0</v>
      </c>
      <c r="AF58" s="57">
        <f>[16]January_2019!P6</f>
        <v>0</v>
      </c>
      <c r="AG58" s="57">
        <f>[16]January_2019!Q6</f>
        <v>0</v>
      </c>
      <c r="AH58" s="57">
        <f>[16]January_2019!R6</f>
        <v>0</v>
      </c>
      <c r="AI58" s="57">
        <f>[16]January_2019!S6</f>
        <v>0</v>
      </c>
      <c r="AJ58" s="57">
        <f>[16]January_2019!T6</f>
        <v>0</v>
      </c>
      <c r="AK58" s="57">
        <f>[16]January_2019!U6</f>
        <v>0</v>
      </c>
      <c r="AL58" s="57">
        <f>[16]January_2019!V6</f>
        <v>0</v>
      </c>
      <c r="AM58" s="57">
        <f>[16]January_2019!W6</f>
        <v>0</v>
      </c>
      <c r="AN58" s="57">
        <f>[16]January_2019!X6</f>
        <v>0</v>
      </c>
      <c r="AO58" s="57">
        <f>[16]January_2019!Y6</f>
        <v>0</v>
      </c>
      <c r="AP58" s="57">
        <f>[16]January_2019!Z6</f>
        <v>0</v>
      </c>
      <c r="AQ58" s="57">
        <f>[16]January_2019!AA6</f>
        <v>0</v>
      </c>
      <c r="AR58" s="57">
        <f>[16]January_2019!AB6</f>
        <v>0</v>
      </c>
      <c r="AS58" s="57">
        <f>[16]January_2019!AC6</f>
        <v>0</v>
      </c>
      <c r="AT58" s="57">
        <f>[16]January_2019!AD6</f>
        <v>0</v>
      </c>
      <c r="AU58" s="57">
        <f>[16]January_2019!AE6</f>
        <v>0</v>
      </c>
      <c r="AV58" s="57">
        <f>[16]January_2019!AF6</f>
        <v>0</v>
      </c>
      <c r="AW58" s="57">
        <f>[16]January_2019!AG6</f>
        <v>0</v>
      </c>
      <c r="AX58" s="277">
        <f>[16]January_2019!AH6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 thickBot="1">
      <c r="B59" s="503"/>
      <c r="C59" s="479"/>
      <c r="D59" s="442"/>
      <c r="E59" s="443"/>
      <c r="F59" s="444"/>
      <c r="G59" s="445"/>
      <c r="H59" s="458"/>
      <c r="I59" s="458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[16]January_2019!L7</f>
        <v>285.8</v>
      </c>
      <c r="AC59" s="57">
        <f>[16]January_2019!M7</f>
        <v>508.1</v>
      </c>
      <c r="AD59" s="57">
        <f>[16]January_2019!N7</f>
        <v>0</v>
      </c>
      <c r="AE59" s="57">
        <f>[16]January_2019!O7</f>
        <v>0</v>
      </c>
      <c r="AF59" s="57">
        <f>[16]January_2019!P7</f>
        <v>109.56666666666666</v>
      </c>
      <c r="AG59" s="57">
        <f>[16]January_2019!Q7</f>
        <v>297.64999999999998</v>
      </c>
      <c r="AH59" s="57">
        <f>[16]January_2019!R7</f>
        <v>122.3</v>
      </c>
      <c r="AI59" s="57">
        <f>[16]January_2019!S7</f>
        <v>0</v>
      </c>
      <c r="AJ59" s="57">
        <f>[16]January_2019!T7</f>
        <v>294.7</v>
      </c>
      <c r="AK59" s="57">
        <f>[16]January_2019!U7</f>
        <v>280.5</v>
      </c>
      <c r="AL59" s="57">
        <f>[16]January_2019!V7</f>
        <v>0</v>
      </c>
      <c r="AM59" s="57">
        <f>[16]January_2019!W7</f>
        <v>0</v>
      </c>
      <c r="AN59" s="57">
        <f>[16]January_2019!X7</f>
        <v>188.25</v>
      </c>
      <c r="AO59" s="57">
        <f>[16]January_2019!Y7</f>
        <v>295.7</v>
      </c>
      <c r="AP59" s="57">
        <f>[16]January_2019!Z7</f>
        <v>257.8</v>
      </c>
      <c r="AQ59" s="57">
        <f>[16]January_2019!AA7</f>
        <v>291.2</v>
      </c>
      <c r="AR59" s="57">
        <f>[16]January_2019!AB7</f>
        <v>187</v>
      </c>
      <c r="AS59" s="57">
        <f>[16]January_2019!AC7</f>
        <v>0</v>
      </c>
      <c r="AT59" s="57">
        <f>[16]January_2019!AD7</f>
        <v>0</v>
      </c>
      <c r="AU59" s="57">
        <f>[16]January_2019!AE7</f>
        <v>485.1</v>
      </c>
      <c r="AV59" s="57">
        <f>[16]January_2019!AF7</f>
        <v>171.55</v>
      </c>
      <c r="AW59" s="57">
        <f>[16]January_2019!AG7</f>
        <v>423.8</v>
      </c>
      <c r="AX59" s="277">
        <f>[16]January_2019!AH7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19.5" hidden="1" customHeight="1" thickBot="1">
      <c r="B60" s="478"/>
      <c r="C60" s="430"/>
      <c r="D60" s="431"/>
      <c r="E60" s="432"/>
      <c r="F60" s="433"/>
      <c r="G60" s="434"/>
      <c r="H60" s="458"/>
      <c r="I60" s="458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8.450000000000003" hidden="1" customHeight="1" thickBot="1">
      <c r="B61" s="480"/>
      <c r="C61" s="479"/>
      <c r="D61" s="442"/>
      <c r="E61" s="443"/>
      <c r="F61" s="444"/>
      <c r="G61" s="445"/>
      <c r="H61" s="458"/>
      <c r="I61" s="458"/>
      <c r="J61" s="448"/>
      <c r="K61" s="45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5" hidden="1">
      <c r="B62" s="453"/>
      <c r="C62" s="430"/>
      <c r="D62" s="431"/>
      <c r="E62" s="432"/>
      <c r="F62" s="433"/>
      <c r="G62" s="434"/>
      <c r="H62" s="435"/>
      <c r="I62" s="450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hidden="1" customHeight="1" thickBot="1">
      <c r="B63" s="484"/>
      <c r="C63" s="479"/>
      <c r="D63" s="442"/>
      <c r="E63" s="443"/>
      <c r="F63" s="444"/>
      <c r="G63" s="445"/>
      <c r="H63" s="446"/>
      <c r="I63" s="447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6.5" hidden="1" customHeight="1" thickBot="1">
      <c r="B64" s="437"/>
      <c r="C64" s="423"/>
      <c r="D64" s="424"/>
      <c r="E64" s="425"/>
      <c r="F64" s="426"/>
      <c r="G64" s="427"/>
      <c r="H64" s="428"/>
      <c r="I64" s="438"/>
      <c r="J64" s="439"/>
      <c r="K64" s="429"/>
      <c r="L64" s="440"/>
      <c r="M64" s="422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57" s="54" customFormat="1" ht="37.15" hidden="1" customHeight="1" thickBot="1">
      <c r="B65" s="456"/>
      <c r="C65" s="441"/>
      <c r="D65" s="442"/>
      <c r="E65" s="443"/>
      <c r="F65" s="444"/>
      <c r="G65" s="445"/>
      <c r="H65" s="446"/>
      <c r="I65" s="447"/>
      <c r="J65" s="448"/>
      <c r="K65" s="449"/>
      <c r="L65" s="457"/>
      <c r="M65" s="454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customHeight="1">
      <c r="B66" s="466"/>
      <c r="C66" s="430"/>
      <c r="D66" s="460"/>
      <c r="E66" s="461"/>
      <c r="F66" s="462"/>
      <c r="G66" s="460"/>
      <c r="H66" s="463"/>
      <c r="I66" s="463"/>
      <c r="J66" s="463"/>
      <c r="K66" s="464"/>
      <c r="L66" s="465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509" t="s">
        <v>55</v>
      </c>
      <c r="C68" s="510"/>
      <c r="D68" s="510"/>
      <c r="E68" s="510"/>
      <c r="F68" s="511"/>
      <c r="G68" s="509" t="s">
        <v>56</v>
      </c>
      <c r="H68" s="510"/>
      <c r="I68" s="510"/>
      <c r="J68" s="511"/>
      <c r="K68" s="509" t="s">
        <v>51</v>
      </c>
      <c r="L68" s="510"/>
      <c r="M68" s="510"/>
      <c r="N68" s="512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/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65"/>
      <c r="D70" s="76">
        <v>3.8658543160618839</v>
      </c>
      <c r="E70" s="76">
        <v>6.3938589380984556</v>
      </c>
      <c r="F70" s="66">
        <v>4.8</v>
      </c>
      <c r="G70" s="65"/>
      <c r="H70" s="477">
        <v>4.4851350232047578</v>
      </c>
      <c r="I70" s="477">
        <v>6.2050116685766472</v>
      </c>
      <c r="J70" s="66">
        <v>4.8</v>
      </c>
      <c r="K70" s="67"/>
      <c r="L70" s="194">
        <v>0.72988304093567247</v>
      </c>
      <c r="M70" s="194">
        <v>0.52120689914926077</v>
      </c>
      <c r="N70" s="68">
        <v>1</v>
      </c>
      <c r="O70" s="56"/>
      <c r="P70" s="69"/>
    </row>
    <row r="71" spans="2:57" ht="15">
      <c r="B71" s="33" t="s">
        <v>9</v>
      </c>
      <c r="C71" s="65"/>
      <c r="D71" s="76">
        <v>8.7704278196056684</v>
      </c>
      <c r="E71" s="76">
        <v>6.0442192651162019</v>
      </c>
      <c r="F71" s="66">
        <v>4.8</v>
      </c>
      <c r="G71" s="65"/>
      <c r="H71" s="76">
        <v>8.6768707953118813</v>
      </c>
      <c r="I71" s="76">
        <v>5.7062518928974324</v>
      </c>
      <c r="J71" s="66">
        <v>4.8</v>
      </c>
      <c r="K71" s="67"/>
      <c r="L71" s="194">
        <v>0.81399122807017543</v>
      </c>
      <c r="M71" s="194">
        <v>0.6970226015445965</v>
      </c>
      <c r="N71" s="68">
        <v>1</v>
      </c>
      <c r="P71" s="69"/>
    </row>
    <row r="72" spans="2:57" ht="15">
      <c r="B72" s="34" t="s">
        <v>40</v>
      </c>
      <c r="C72" s="65"/>
      <c r="D72" s="76">
        <v>12.463627546071795</v>
      </c>
      <c r="E72" s="76">
        <v>11.596009975062332</v>
      </c>
      <c r="F72" s="66">
        <v>5.5</v>
      </c>
      <c r="G72" s="65"/>
      <c r="H72" s="76">
        <v>13.176885540709748</v>
      </c>
      <c r="I72" s="76">
        <v>12.705454422449741</v>
      </c>
      <c r="J72" s="66">
        <v>5.5</v>
      </c>
      <c r="K72" s="67"/>
      <c r="L72" s="194">
        <v>0.18095238095238095</v>
      </c>
      <c r="M72" s="194">
        <v>0.25516722361459199</v>
      </c>
      <c r="N72" s="68">
        <v>1</v>
      </c>
      <c r="P72" s="69"/>
    </row>
    <row r="73" spans="2:57" ht="15">
      <c r="B73" s="22" t="s">
        <v>33</v>
      </c>
      <c r="C73" s="65"/>
      <c r="D73" s="76"/>
      <c r="E73" s="76">
        <v>4.7166249493098773</v>
      </c>
      <c r="F73" s="66">
        <v>3.3</v>
      </c>
      <c r="G73" s="65"/>
      <c r="H73" s="76"/>
      <c r="I73" s="76">
        <v>4.7393662692065543</v>
      </c>
      <c r="J73" s="66">
        <v>3.3</v>
      </c>
      <c r="K73" s="67"/>
      <c r="L73" s="194"/>
      <c r="M73" s="194">
        <v>0.73604010025062661</v>
      </c>
      <c r="N73" s="68">
        <v>1</v>
      </c>
      <c r="P73" s="69"/>
    </row>
    <row r="74" spans="2:57" ht="15">
      <c r="B74" s="35" t="s">
        <v>164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K74" s="67"/>
      <c r="L74" s="194"/>
      <c r="M74" s="194"/>
      <c r="N74" s="68">
        <v>1</v>
      </c>
      <c r="P74" s="69"/>
    </row>
    <row r="75" spans="2:57" ht="15">
      <c r="B75" s="36" t="s">
        <v>15</v>
      </c>
      <c r="C75" s="76"/>
      <c r="D75" s="76"/>
      <c r="E75" s="76">
        <v>5.1541347251672045</v>
      </c>
      <c r="F75" s="483">
        <v>5.5</v>
      </c>
      <c r="G75" s="282"/>
      <c r="H75" s="76"/>
      <c r="I75" s="76">
        <v>7.4989046872874194</v>
      </c>
      <c r="J75" s="66">
        <v>5.5</v>
      </c>
      <c r="K75" s="67"/>
      <c r="L75" s="194"/>
      <c r="M75" s="194">
        <v>1.0201754385964912</v>
      </c>
      <c r="N75" s="68">
        <v>1</v>
      </c>
      <c r="P75" s="69"/>
    </row>
    <row r="76" spans="2:57" ht="15">
      <c r="B76" s="37" t="s">
        <v>16</v>
      </c>
      <c r="C76" s="485"/>
      <c r="D76" s="76">
        <v>3.8064469113610451</v>
      </c>
      <c r="E76" s="76">
        <v>3.7425354424032347</v>
      </c>
      <c r="F76" s="66">
        <v>3.3</v>
      </c>
      <c r="G76" s="282"/>
      <c r="H76" s="76">
        <v>5.1620200172171886</v>
      </c>
      <c r="I76" s="76">
        <v>4.8813740630219202</v>
      </c>
      <c r="J76" s="66">
        <v>3.3</v>
      </c>
      <c r="K76" s="67"/>
      <c r="L76" s="194">
        <v>0.69473684210526321</v>
      </c>
      <c r="M76" s="194">
        <v>0.82729694606887583</v>
      </c>
      <c r="N76" s="71">
        <v>1</v>
      </c>
      <c r="P76" s="69"/>
    </row>
    <row r="77" spans="2:57" ht="15.75" thickBot="1">
      <c r="B77" s="38" t="s">
        <v>163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57" ht="15.75" thickBot="1">
      <c r="B78" s="414" t="s">
        <v>161</v>
      </c>
      <c r="C78" s="65"/>
      <c r="D78" s="76"/>
      <c r="E78" s="76"/>
      <c r="F78" s="66">
        <v>4.8</v>
      </c>
      <c r="G78" s="282"/>
      <c r="H78" s="76"/>
      <c r="I78" s="76"/>
      <c r="J78" s="66">
        <v>4.8</v>
      </c>
      <c r="K78" s="67"/>
      <c r="L78" s="194"/>
      <c r="M78" s="194"/>
      <c r="N78" s="71">
        <v>1</v>
      </c>
      <c r="O78" s="74"/>
      <c r="P78" s="75"/>
    </row>
    <row r="79" spans="2:57" ht="15">
      <c r="D79" s="76">
        <v>6.4087882548977957</v>
      </c>
      <c r="E79" s="76">
        <v>6.318586461352413</v>
      </c>
      <c r="F79" s="341">
        <v>5.5</v>
      </c>
      <c r="H79" s="76">
        <v>7.2436912616226552</v>
      </c>
      <c r="I79" s="76">
        <v>6.4542844124680423</v>
      </c>
      <c r="J79" s="341">
        <v>5.5</v>
      </c>
      <c r="L79" s="194">
        <v>0.67047440028643046</v>
      </c>
      <c r="M79" s="194">
        <v>0.58369514534924882</v>
      </c>
      <c r="N79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B40:B49"/>
    <mergeCell ref="D40:E41"/>
    <mergeCell ref="J40:K40"/>
    <mergeCell ref="L41:N41"/>
    <mergeCell ref="D42:E43"/>
    <mergeCell ref="D44:E45"/>
    <mergeCell ref="D46:E47"/>
    <mergeCell ref="D48:E49"/>
    <mergeCell ref="D50:E50"/>
    <mergeCell ref="B55:B56"/>
    <mergeCell ref="C55:C56"/>
    <mergeCell ref="D55:D56"/>
    <mergeCell ref="E55:E56"/>
    <mergeCell ref="M55:M56"/>
    <mergeCell ref="B68:F68"/>
    <mergeCell ref="G68:J68"/>
    <mergeCell ref="K68:N68"/>
    <mergeCell ref="G55:G56"/>
    <mergeCell ref="H55:H56"/>
    <mergeCell ref="I55:I56"/>
    <mergeCell ref="J55:J56"/>
    <mergeCell ref="K55:K56"/>
    <mergeCell ref="L55:L56"/>
    <mergeCell ref="F55:F56"/>
  </mergeCells>
  <conditionalFormatting sqref="B50:B51">
    <cfRule type="cellIs" dxfId="739" priority="95" operator="notBetween">
      <formula>#REF!</formula>
      <formula>#REF!</formula>
    </cfRule>
  </conditionalFormatting>
  <conditionalFormatting sqref="C54">
    <cfRule type="cellIs" dxfId="738" priority="184" stopIfTrue="1" operator="lessThan">
      <formula>96</formula>
    </cfRule>
    <cfRule type="cellIs" dxfId="737" priority="185" stopIfTrue="1" operator="greaterThan">
      <formula>100</formula>
    </cfRule>
  </conditionalFormatting>
  <conditionalFormatting sqref="C70:C71">
    <cfRule type="cellIs" dxfId="736" priority="56" stopIfTrue="1" operator="lessThanOrEqual">
      <formula>0</formula>
    </cfRule>
    <cfRule type="cellIs" dxfId="735" priority="58" stopIfTrue="1" operator="lessThanOrEqual">
      <formula>0</formula>
    </cfRule>
    <cfRule type="cellIs" dxfId="734" priority="57" stopIfTrue="1" operator="greaterThan">
      <formula>$F70</formula>
    </cfRule>
    <cfRule type="cellIs" dxfId="733" priority="55" stopIfTrue="1" operator="greaterThan">
      <formula>$F70</formula>
    </cfRule>
  </conditionalFormatting>
  <conditionalFormatting sqref="C72:C74 C76:C78">
    <cfRule type="cellIs" dxfId="732" priority="65" stopIfTrue="1" operator="greaterThan">
      <formula>$F75</formula>
    </cfRule>
  </conditionalFormatting>
  <conditionalFormatting sqref="C72:C74">
    <cfRule type="cellIs" dxfId="731" priority="66" stopIfTrue="1" operator="lessThanOrEqual">
      <formula>0</formula>
    </cfRule>
  </conditionalFormatting>
  <conditionalFormatting sqref="C76:C78">
    <cfRule type="cellIs" dxfId="730" priority="67" stopIfTrue="1" operator="lessThanOrEqual">
      <formula>0</formula>
    </cfRule>
  </conditionalFormatting>
  <conditionalFormatting sqref="C81:C85">
    <cfRule type="cellIs" dxfId="729" priority="176" stopIfTrue="1" operator="lessThanOrEqual">
      <formula>0</formula>
    </cfRule>
  </conditionalFormatting>
  <conditionalFormatting sqref="C82:C85">
    <cfRule type="cellIs" dxfId="728" priority="175" stopIfTrue="1" operator="greaterThan">
      <formula>$F$81</formula>
    </cfRule>
  </conditionalFormatting>
  <conditionalFormatting sqref="C87">
    <cfRule type="cellIs" dxfId="727" priority="178" stopIfTrue="1" operator="lessThanOrEqual">
      <formula>0</formula>
    </cfRule>
    <cfRule type="cellIs" dxfId="726" priority="177" stopIfTrue="1" operator="greaterThan">
      <formula>$F$81</formula>
    </cfRule>
  </conditionalFormatting>
  <conditionalFormatting sqref="C75:D75">
    <cfRule type="cellIs" dxfId="725" priority="54" stopIfTrue="1" operator="lessThanOrEqual">
      <formula>0</formula>
    </cfRule>
    <cfRule type="cellIs" dxfId="724" priority="53" stopIfTrue="1" operator="greaterThan">
      <formula>$J75</formula>
    </cfRule>
  </conditionalFormatting>
  <conditionalFormatting sqref="C81:D81 D83:D89">
    <cfRule type="cellIs" dxfId="723" priority="170" stopIfTrue="1" operator="greaterThan">
      <formula>4.5</formula>
    </cfRule>
  </conditionalFormatting>
  <conditionalFormatting sqref="D50:D51">
    <cfRule type="cellIs" dxfId="722" priority="96" operator="notBetween">
      <formula>#REF!</formula>
      <formula>#REF!</formula>
    </cfRule>
  </conditionalFormatting>
  <conditionalFormatting sqref="D70:D74 D76:D77">
    <cfRule type="cellIs" dxfId="721" priority="64" stopIfTrue="1" operator="lessThanOrEqual">
      <formula>0</formula>
    </cfRule>
  </conditionalFormatting>
  <conditionalFormatting sqref="D70:D74 D76:D79">
    <cfRule type="cellIs" dxfId="720" priority="61" stopIfTrue="1" operator="greaterThan">
      <formula>$F70</formula>
    </cfRule>
    <cfRule type="cellIs" dxfId="719" priority="60" stopIfTrue="1" operator="lessThanOrEqual">
      <formula>0</formula>
    </cfRule>
  </conditionalFormatting>
  <conditionalFormatting sqref="D78:D79">
    <cfRule type="cellIs" dxfId="718" priority="62" stopIfTrue="1" operator="lessThanOrEqual">
      <formula>0</formula>
    </cfRule>
  </conditionalFormatting>
  <conditionalFormatting sqref="D79">
    <cfRule type="cellIs" dxfId="717" priority="63" stopIfTrue="1" operator="lessThanOrEqual">
      <formula>0</formula>
    </cfRule>
  </conditionalFormatting>
  <conditionalFormatting sqref="D81 D83:D89">
    <cfRule type="cellIs" dxfId="716" priority="171" stopIfTrue="1" operator="lessThanOrEqual">
      <formula>0</formula>
    </cfRule>
  </conditionalFormatting>
  <conditionalFormatting sqref="D82">
    <cfRule type="cellIs" dxfId="715" priority="163" stopIfTrue="1" operator="lessThanOrEqual">
      <formula>0</formula>
    </cfRule>
    <cfRule type="cellIs" dxfId="714" priority="162" stopIfTrue="1" operator="greaterThan">
      <formula>$F$81</formula>
    </cfRule>
  </conditionalFormatting>
  <conditionalFormatting sqref="E10:E25">
    <cfRule type="cellIs" dxfId="713" priority="7" operator="lessThan">
      <formula>48</formula>
    </cfRule>
  </conditionalFormatting>
  <conditionalFormatting sqref="E53 E54:F54">
    <cfRule type="cellIs" dxfId="712" priority="167" stopIfTrue="1" operator="greaterThan">
      <formula>100</formula>
    </cfRule>
  </conditionalFormatting>
  <conditionalFormatting sqref="E54">
    <cfRule type="cellIs" dxfId="711" priority="165" stopIfTrue="1" operator="greaterThan">
      <formula>100</formula>
    </cfRule>
    <cfRule type="cellIs" dxfId="710" priority="164" stopIfTrue="1" operator="lessThan">
      <formula>96.8</formula>
    </cfRule>
  </conditionalFormatting>
  <conditionalFormatting sqref="E70:E78">
    <cfRule type="cellIs" dxfId="709" priority="22" stopIfTrue="1" operator="lessThanOrEqual">
      <formula>0</formula>
    </cfRule>
  </conditionalFormatting>
  <conditionalFormatting sqref="E70:E79">
    <cfRule type="cellIs" dxfId="708" priority="24" stopIfTrue="1" operator="lessThanOrEqual">
      <formula>0</formula>
    </cfRule>
    <cfRule type="cellIs" dxfId="707" priority="23" stopIfTrue="1" operator="greaterThan">
      <formula>$F70</formula>
    </cfRule>
  </conditionalFormatting>
  <conditionalFormatting sqref="E79">
    <cfRule type="cellIs" dxfId="706" priority="25" stopIfTrue="1" operator="lessThanOrEqual">
      <formula>0</formula>
    </cfRule>
  </conditionalFormatting>
  <conditionalFormatting sqref="E81:E89">
    <cfRule type="cellIs" dxfId="705" priority="157" stopIfTrue="1" operator="lessThanOrEqual">
      <formula>0</formula>
    </cfRule>
    <cfRule type="cellIs" dxfId="704" priority="156" stopIfTrue="1" operator="greaterThan">
      <formula>4.5</formula>
    </cfRule>
  </conditionalFormatting>
  <conditionalFormatting sqref="E54:F54 E53">
    <cfRule type="cellIs" dxfId="703" priority="166" stopIfTrue="1" operator="lessThan">
      <formula>96.5</formula>
    </cfRule>
  </conditionalFormatting>
  <conditionalFormatting sqref="F16:F17">
    <cfRule type="cellIs" dxfId="702" priority="9" operator="greaterThan">
      <formula>60</formula>
    </cfRule>
  </conditionalFormatting>
  <conditionalFormatting sqref="F25">
    <cfRule type="cellIs" dxfId="701" priority="13" operator="greaterThan">
      <formula>60</formula>
    </cfRule>
  </conditionalFormatting>
  <conditionalFormatting sqref="F54">
    <cfRule type="cellIs" dxfId="700" priority="183" stopIfTrue="1" operator="greaterThan">
      <formula>100</formula>
    </cfRule>
    <cfRule type="cellIs" dxfId="699" priority="182" stopIfTrue="1" operator="lessThan">
      <formula>96.8</formula>
    </cfRule>
  </conditionalFormatting>
  <conditionalFormatting sqref="F79">
    <cfRule type="cellIs" dxfId="698" priority="34" stopIfTrue="1" operator="lessThanOrEqual">
      <formula>0</formula>
    </cfRule>
    <cfRule type="cellIs" dxfId="697" priority="33" stopIfTrue="1" operator="greaterThan">
      <formula>$F79</formula>
    </cfRule>
  </conditionalFormatting>
  <conditionalFormatting sqref="G10:G16 G18:G25">
    <cfRule type="expression" dxfId="696" priority="11">
      <formula>IF(+(IF(G10&lt;S10,0,IF(G10&gt;T10,0,1)))=0,1)</formula>
    </cfRule>
  </conditionalFormatting>
  <conditionalFormatting sqref="G70:G71">
    <cfRule type="cellIs" dxfId="695" priority="36" stopIfTrue="1" operator="lessThanOrEqual">
      <formula>0</formula>
    </cfRule>
    <cfRule type="cellIs" dxfId="694" priority="35" stopIfTrue="1" operator="greaterThan">
      <formula>$F70</formula>
    </cfRule>
  </conditionalFormatting>
  <conditionalFormatting sqref="G70:G73">
    <cfRule type="cellIs" dxfId="693" priority="17" stopIfTrue="1" operator="greaterThan">
      <formula>$F70</formula>
    </cfRule>
    <cfRule type="cellIs" dxfId="692" priority="18" stopIfTrue="1" operator="lessThanOrEqual">
      <formula>0</formula>
    </cfRule>
  </conditionalFormatting>
  <conditionalFormatting sqref="G72">
    <cfRule type="cellIs" dxfId="691" priority="16" stopIfTrue="1" operator="lessThanOrEqual">
      <formula>0</formula>
    </cfRule>
    <cfRule type="cellIs" dxfId="690" priority="15" stopIfTrue="1" operator="greaterThan">
      <formula>$F72</formula>
    </cfRule>
  </conditionalFormatting>
  <conditionalFormatting sqref="G73">
    <cfRule type="cellIs" dxfId="689" priority="30" stopIfTrue="1" operator="lessThanOrEqual">
      <formula>0</formula>
    </cfRule>
    <cfRule type="cellIs" dxfId="688" priority="29" stopIfTrue="1" operator="greaterThan">
      <formula>$F73</formula>
    </cfRule>
  </conditionalFormatting>
  <conditionalFormatting sqref="G74:G78">
    <cfRule type="cellIs" dxfId="687" priority="37" stopIfTrue="1" operator="greaterThan">
      <formula>$J74</formula>
    </cfRule>
    <cfRule type="cellIs" dxfId="686" priority="38" stopIfTrue="1" operator="lessThanOrEqual">
      <formula>0</formula>
    </cfRule>
  </conditionalFormatting>
  <conditionalFormatting sqref="G83:G88 C86 C88">
    <cfRule type="cellIs" dxfId="685" priority="180" stopIfTrue="1" operator="lessThanOrEqual">
      <formula>0</formula>
    </cfRule>
    <cfRule type="cellIs" dxfId="684" priority="179" stopIfTrue="1" operator="greaterThan">
      <formula>4.5</formula>
    </cfRule>
  </conditionalFormatting>
  <conditionalFormatting sqref="G82:H82">
    <cfRule type="cellIs" dxfId="683" priority="160" stopIfTrue="1" operator="greaterThan">
      <formula>$F$81</formula>
    </cfRule>
    <cfRule type="cellIs" dxfId="682" priority="161" stopIfTrue="1" operator="lessThanOrEqual">
      <formula>0</formula>
    </cfRule>
  </conditionalFormatting>
  <conditionalFormatting sqref="H10:H16 M10:N25 G17:H17">
    <cfRule type="expression" dxfId="681" priority="8">
      <formula>IF(+(IF(G10&lt;#REF!,0,IF(G10&gt;#REF!,0,1)))=0,1)</formula>
    </cfRule>
  </conditionalFormatting>
  <conditionalFormatting sqref="H18:H25">
    <cfRule type="expression" dxfId="680" priority="12">
      <formula>IF(+(IF(H18&lt;#REF!,0,IF(H18&gt;#REF!,0,1)))=0,1)</formula>
    </cfRule>
  </conditionalFormatting>
  <conditionalFormatting sqref="H39:H40 H53">
    <cfRule type="cellIs" dxfId="679" priority="158" stopIfTrue="1" operator="greaterThan">
      <formula>0</formula>
    </cfRule>
  </conditionalFormatting>
  <conditionalFormatting sqref="H57">
    <cfRule type="cellIs" dxfId="678" priority="50" stopIfTrue="1" operator="lessThanOrEqual">
      <formula>0</formula>
    </cfRule>
    <cfRule type="cellIs" dxfId="677" priority="49" stopIfTrue="1" operator="greaterThan">
      <formula>$F$73</formula>
    </cfRule>
    <cfRule type="cellIs" dxfId="676" priority="51" stopIfTrue="1" operator="greaterThan">
      <formula>$F$71</formula>
    </cfRule>
    <cfRule type="cellIs" dxfId="675" priority="41" stopIfTrue="1" operator="greaterThan">
      <formula>$F$70</formula>
    </cfRule>
    <cfRule type="cellIs" dxfId="674" priority="40" stopIfTrue="1" operator="lessThanOrEqual">
      <formula>0</formula>
    </cfRule>
  </conditionalFormatting>
  <conditionalFormatting sqref="H57:H59">
    <cfRule type="cellIs" dxfId="673" priority="52" stopIfTrue="1" operator="lessThanOrEqual">
      <formula>0</formula>
    </cfRule>
  </conditionalFormatting>
  <conditionalFormatting sqref="H58:H59">
    <cfRule type="cellIs" dxfId="672" priority="68" stopIfTrue="1" operator="greaterThan">
      <formula>$F$70</formula>
    </cfRule>
    <cfRule type="cellIs" dxfId="671" priority="78" stopIfTrue="1" operator="greaterThan">
      <formula>$F$71</formula>
    </cfRule>
    <cfRule type="cellIs" dxfId="670" priority="76" stopIfTrue="1" operator="greaterThan">
      <formula>$F$73</formula>
    </cfRule>
    <cfRule type="cellIs" dxfId="669" priority="77" stopIfTrue="1" operator="lessThanOrEqual">
      <formula>0</formula>
    </cfRule>
  </conditionalFormatting>
  <conditionalFormatting sqref="H58:H61">
    <cfRule type="cellIs" dxfId="668" priority="79" stopIfTrue="1" operator="lessThanOrEqual">
      <formula>0</formula>
    </cfRule>
  </conditionalFormatting>
  <conditionalFormatting sqref="H60:H61">
    <cfRule type="cellIs" dxfId="667" priority="92" stopIfTrue="1" operator="greaterThan">
      <formula>$F$71</formula>
    </cfRule>
    <cfRule type="cellIs" dxfId="666" priority="93" stopIfTrue="1" operator="lessThanOrEqual">
      <formula>0</formula>
    </cfRule>
    <cfRule type="cellIs" dxfId="665" priority="91" stopIfTrue="1" operator="lessThanOrEqual">
      <formula>0</formula>
    </cfRule>
    <cfRule type="cellIs" dxfId="664" priority="82" stopIfTrue="1" operator="greaterThan">
      <formula>$F$70</formula>
    </cfRule>
    <cfRule type="cellIs" dxfId="663" priority="90" stopIfTrue="1" operator="greaterThan">
      <formula>$F$73</formula>
    </cfRule>
  </conditionalFormatting>
  <conditionalFormatting sqref="H62:H63">
    <cfRule type="cellIs" dxfId="662" priority="132" stopIfTrue="1" operator="lessThanOrEqual">
      <formula>0</formula>
    </cfRule>
    <cfRule type="cellIs" dxfId="661" priority="131" stopIfTrue="1" operator="greaterThan">
      <formula>#REF!</formula>
    </cfRule>
    <cfRule type="cellIs" dxfId="660" priority="130" stopIfTrue="1" operator="lessThanOrEqual">
      <formula>0</formula>
    </cfRule>
    <cfRule type="cellIs" dxfId="659" priority="129" stopIfTrue="1" operator="greaterThan">
      <formula>$F$25</formula>
    </cfRule>
    <cfRule type="cellIs" dxfId="658" priority="121" stopIfTrue="1" operator="greaterThan">
      <formula>#REF!</formula>
    </cfRule>
    <cfRule type="cellIs" dxfId="657" priority="120" stopIfTrue="1" operator="lessThanOrEqual">
      <formula>0</formula>
    </cfRule>
  </conditionalFormatting>
  <conditionalFormatting sqref="H64">
    <cfRule type="cellIs" dxfId="656" priority="146" stopIfTrue="1" operator="lessThanOrEqual">
      <formula>0</formula>
    </cfRule>
    <cfRule type="cellIs" dxfId="655" priority="145" stopIfTrue="1" operator="greaterThan">
      <formula>$F$39</formula>
    </cfRule>
    <cfRule type="cellIs" dxfId="654" priority="144" stopIfTrue="1" operator="lessThanOrEqual">
      <formula>0</formula>
    </cfRule>
    <cfRule type="cellIs" dxfId="653" priority="143" stopIfTrue="1" operator="greaterThan">
      <formula>$F$41</formula>
    </cfRule>
    <cfRule type="cellIs" dxfId="652" priority="134" stopIfTrue="1" operator="lessThanOrEqual">
      <formula>0</formula>
    </cfRule>
    <cfRule type="cellIs" dxfId="651" priority="135" stopIfTrue="1" operator="greaterThan">
      <formula>$F$38</formula>
    </cfRule>
  </conditionalFormatting>
  <conditionalFormatting sqref="H65:H66">
    <cfRule type="cellIs" dxfId="650" priority="115" stopIfTrue="1" operator="greaterThan">
      <formula>$F$25</formula>
    </cfRule>
    <cfRule type="cellIs" dxfId="649" priority="117" stopIfTrue="1" operator="greaterThan">
      <formula>#REF!</formula>
    </cfRule>
    <cfRule type="cellIs" dxfId="648" priority="118" stopIfTrue="1" operator="lessThanOrEqual">
      <formula>0</formula>
    </cfRule>
    <cfRule type="cellIs" dxfId="647" priority="116" stopIfTrue="1" operator="lessThanOrEqual">
      <formula>0</formula>
    </cfRule>
    <cfRule type="cellIs" dxfId="646" priority="106" stopIfTrue="1" operator="lessThanOrEqual">
      <formula>0</formula>
    </cfRule>
    <cfRule type="cellIs" dxfId="645" priority="107" stopIfTrue="1" operator="greaterThan">
      <formula>#REF!</formula>
    </cfRule>
  </conditionalFormatting>
  <conditionalFormatting sqref="H81 H83:H89">
    <cfRule type="cellIs" dxfId="644" priority="173" stopIfTrue="1" operator="lessThanOrEqual">
      <formula>0</formula>
    </cfRule>
    <cfRule type="cellIs" dxfId="643" priority="172" stopIfTrue="1" operator="greaterThan">
      <formula>4.5</formula>
    </cfRule>
  </conditionalFormatting>
  <conditionalFormatting sqref="H57:I57">
    <cfRule type="cellIs" dxfId="642" priority="42" stopIfTrue="1" operator="lessThanOrEqual">
      <formula>0</formula>
    </cfRule>
  </conditionalFormatting>
  <conditionalFormatting sqref="H57:I61">
    <cfRule type="cellIs" dxfId="641" priority="39" stopIfTrue="1" operator="greaterThan">
      <formula>$F$72</formula>
    </cfRule>
  </conditionalFormatting>
  <conditionalFormatting sqref="H58:I59">
    <cfRule type="cellIs" dxfId="640" priority="69" stopIfTrue="1" operator="lessThanOrEqual">
      <formula>0</formula>
    </cfRule>
  </conditionalFormatting>
  <conditionalFormatting sqref="H60:I61">
    <cfRule type="cellIs" dxfId="639" priority="83" stopIfTrue="1" operator="lessThanOrEqual">
      <formula>0</formula>
    </cfRule>
  </conditionalFormatting>
  <conditionalFormatting sqref="H62:I63">
    <cfRule type="cellIs" dxfId="638" priority="119" stopIfTrue="1" operator="greaterThan">
      <formula>#REF!</formula>
    </cfRule>
    <cfRule type="cellIs" dxfId="637" priority="122" stopIfTrue="1" operator="lessThanOrEqual">
      <formula>0</formula>
    </cfRule>
  </conditionalFormatting>
  <conditionalFormatting sqref="H64:I64">
    <cfRule type="cellIs" dxfId="636" priority="136" stopIfTrue="1" operator="lessThanOrEqual">
      <formula>0</formula>
    </cfRule>
    <cfRule type="cellIs" dxfId="635" priority="133" stopIfTrue="1" operator="greaterThan">
      <formula>$F$40</formula>
    </cfRule>
  </conditionalFormatting>
  <conditionalFormatting sqref="H65:I66">
    <cfRule type="cellIs" dxfId="634" priority="105" stopIfTrue="1" operator="greaterThan">
      <formula>#REF!</formula>
    </cfRule>
    <cfRule type="cellIs" dxfId="633" priority="108" stopIfTrue="1" operator="lessThanOrEqual">
      <formula>0</formula>
    </cfRule>
  </conditionalFormatting>
  <conditionalFormatting sqref="H70:I77">
    <cfRule type="cellIs" dxfId="632" priority="20" stopIfTrue="1" operator="greaterThan">
      <formula>$J70</formula>
    </cfRule>
    <cfRule type="cellIs" dxfId="631" priority="21" stopIfTrue="1" operator="lessThanOrEqual">
      <formula>0</formula>
    </cfRule>
  </conditionalFormatting>
  <conditionalFormatting sqref="H78:I78">
    <cfRule type="cellIs" dxfId="630" priority="28" operator="greaterThan">
      <formula>5.3</formula>
    </cfRule>
  </conditionalFormatting>
  <conditionalFormatting sqref="H79:I79">
    <cfRule type="cellIs" dxfId="629" priority="26" stopIfTrue="1" operator="greaterThan">
      <formula>$J79</formula>
    </cfRule>
    <cfRule type="cellIs" dxfId="628" priority="27" stopIfTrue="1" operator="lessThanOrEqual">
      <formula>0</formula>
    </cfRule>
  </conditionalFormatting>
  <conditionalFormatting sqref="I57">
    <cfRule type="cellIs" dxfId="627" priority="43" stopIfTrue="1" operator="greaterThan">
      <formula>$F$70</formula>
    </cfRule>
    <cfRule type="cellIs" dxfId="626" priority="44" stopIfTrue="1" operator="lessThanOrEqual">
      <formula>0</formula>
    </cfRule>
    <cfRule type="cellIs" dxfId="625" priority="47" stopIfTrue="1" operator="greaterThan">
      <formula>$F$70</formula>
    </cfRule>
    <cfRule type="cellIs" dxfId="624" priority="45" stopIfTrue="1" operator="greaterThan">
      <formula>$F$72</formula>
    </cfRule>
    <cfRule type="cellIs" dxfId="623" priority="46" stopIfTrue="1" operator="lessThanOrEqual">
      <formula>0</formula>
    </cfRule>
    <cfRule type="cellIs" dxfId="622" priority="48" stopIfTrue="1" operator="lessThanOrEqual">
      <formula>0</formula>
    </cfRule>
  </conditionalFormatting>
  <conditionalFormatting sqref="I58:I59">
    <cfRule type="cellIs" dxfId="621" priority="70" stopIfTrue="1" operator="greaterThan">
      <formula>$F$70</formula>
    </cfRule>
    <cfRule type="cellIs" dxfId="620" priority="71" stopIfTrue="1" operator="lessThanOrEqual">
      <formula>0</formula>
    </cfRule>
    <cfRule type="cellIs" dxfId="619" priority="72" stopIfTrue="1" operator="greaterThan">
      <formula>$F$72</formula>
    </cfRule>
    <cfRule type="cellIs" dxfId="618" priority="74" stopIfTrue="1" operator="greaterThan">
      <formula>$F$70</formula>
    </cfRule>
    <cfRule type="cellIs" dxfId="617" priority="73" stopIfTrue="1" operator="lessThanOrEqual">
      <formula>0</formula>
    </cfRule>
    <cfRule type="cellIs" dxfId="616" priority="75" stopIfTrue="1" operator="lessThanOrEqual">
      <formula>0</formula>
    </cfRule>
  </conditionalFormatting>
  <conditionalFormatting sqref="I60:I61">
    <cfRule type="cellIs" dxfId="615" priority="85" stopIfTrue="1" operator="lessThanOrEqual">
      <formula>0</formula>
    </cfRule>
    <cfRule type="cellIs" dxfId="614" priority="84" stopIfTrue="1" operator="greaterThan">
      <formula>$F$70</formula>
    </cfRule>
    <cfRule type="cellIs" dxfId="613" priority="87" stopIfTrue="1" operator="lessThanOrEqual">
      <formula>0</formula>
    </cfRule>
    <cfRule type="cellIs" dxfId="612" priority="86" stopIfTrue="1" operator="greaterThan">
      <formula>$F$72</formula>
    </cfRule>
    <cfRule type="cellIs" dxfId="611" priority="88" stopIfTrue="1" operator="greaterThan">
      <formula>$F$70</formula>
    </cfRule>
    <cfRule type="cellIs" dxfId="610" priority="89" stopIfTrue="1" operator="lessThanOrEqual">
      <formula>0</formula>
    </cfRule>
  </conditionalFormatting>
  <conditionalFormatting sqref="I62:I63">
    <cfRule type="cellIs" dxfId="609" priority="125" stopIfTrue="1" operator="greaterThan">
      <formula>#REF!</formula>
    </cfRule>
    <cfRule type="cellIs" dxfId="608" priority="126" stopIfTrue="1" operator="lessThanOrEqual">
      <formula>0</formula>
    </cfRule>
    <cfRule type="cellIs" dxfId="607" priority="127" stopIfTrue="1" operator="greaterThan">
      <formula>#REF!</formula>
    </cfRule>
    <cfRule type="cellIs" dxfId="606" priority="128" stopIfTrue="1" operator="lessThanOrEqual">
      <formula>0</formula>
    </cfRule>
    <cfRule type="cellIs" dxfId="605" priority="123" stopIfTrue="1" operator="greaterThan">
      <formula>#REF!</formula>
    </cfRule>
    <cfRule type="cellIs" dxfId="604" priority="124" stopIfTrue="1" operator="lessThanOrEqual">
      <formula>0</formula>
    </cfRule>
  </conditionalFormatting>
  <conditionalFormatting sqref="I64">
    <cfRule type="cellIs" dxfId="603" priority="141" stopIfTrue="1" operator="greaterThan">
      <formula>$F$38</formula>
    </cfRule>
    <cfRule type="cellIs" dxfId="602" priority="137" stopIfTrue="1" operator="greaterThan">
      <formula>$F$38</formula>
    </cfRule>
    <cfRule type="cellIs" dxfId="601" priority="138" stopIfTrue="1" operator="lessThanOrEqual">
      <formula>0</formula>
    </cfRule>
    <cfRule type="cellIs" dxfId="600" priority="140" stopIfTrue="1" operator="lessThanOrEqual">
      <formula>0</formula>
    </cfRule>
    <cfRule type="cellIs" dxfId="599" priority="139" stopIfTrue="1" operator="greaterThan">
      <formula>$F$40</formula>
    </cfRule>
    <cfRule type="cellIs" dxfId="598" priority="142" stopIfTrue="1" operator="lessThanOrEqual">
      <formula>0</formula>
    </cfRule>
  </conditionalFormatting>
  <conditionalFormatting sqref="I65:I66">
    <cfRule type="cellIs" dxfId="597" priority="109" stopIfTrue="1" operator="greaterThan">
      <formula>#REF!</formula>
    </cfRule>
    <cfRule type="cellIs" dxfId="596" priority="113" stopIfTrue="1" operator="greaterThan">
      <formula>#REF!</formula>
    </cfRule>
    <cfRule type="cellIs" dxfId="595" priority="112" stopIfTrue="1" operator="lessThanOrEqual">
      <formula>0</formula>
    </cfRule>
    <cfRule type="cellIs" dxfId="594" priority="111" stopIfTrue="1" operator="greaterThan">
      <formula>#REF!</formula>
    </cfRule>
    <cfRule type="cellIs" dxfId="593" priority="110" stopIfTrue="1" operator="lessThanOrEqual">
      <formula>0</formula>
    </cfRule>
    <cfRule type="cellIs" dxfId="592" priority="114" stopIfTrue="1" operator="lessThanOrEqual">
      <formula>0</formula>
    </cfRule>
  </conditionalFormatting>
  <conditionalFormatting sqref="I81:I89">
    <cfRule type="cellIs" dxfId="591" priority="169" stopIfTrue="1" operator="lessThanOrEqual">
      <formula>0</formula>
    </cfRule>
    <cfRule type="cellIs" dxfId="590" priority="168" stopIfTrue="1" operator="greaterThan">
      <formula>4.5</formula>
    </cfRule>
  </conditionalFormatting>
  <conditionalFormatting sqref="I10:J25">
    <cfRule type="cellIs" dxfId="589" priority="1" operator="lessThan">
      <formula>97.9</formula>
    </cfRule>
  </conditionalFormatting>
  <conditionalFormatting sqref="J28:J29">
    <cfRule type="cellIs" dxfId="588" priority="81" operator="lessThan">
      <formula>97.95</formula>
    </cfRule>
  </conditionalFormatting>
  <conditionalFormatting sqref="J30">
    <cfRule type="cellIs" dxfId="587" priority="148" stopIfTrue="1" operator="lessThan">
      <formula>96.8</formula>
    </cfRule>
    <cfRule type="cellIs" dxfId="586" priority="149" stopIfTrue="1" operator="greaterThan">
      <formula>100</formula>
    </cfRule>
    <cfRule type="cellIs" dxfId="585" priority="150" operator="lessThan">
      <formula>98</formula>
    </cfRule>
  </conditionalFormatting>
  <conditionalFormatting sqref="J30:J32">
    <cfRule type="cellIs" dxfId="584" priority="147" operator="lessThan">
      <formula>97.4</formula>
    </cfRule>
  </conditionalFormatting>
  <conditionalFormatting sqref="J33:J34">
    <cfRule type="cellIs" dxfId="583" priority="151" operator="lessThan">
      <formula>98</formula>
    </cfRule>
  </conditionalFormatting>
  <conditionalFormatting sqref="J35:J36">
    <cfRule type="cellIs" dxfId="582" priority="152" stopIfTrue="1" operator="lessThan">
      <formula>96.8</formula>
    </cfRule>
    <cfRule type="cellIs" dxfId="581" priority="153" stopIfTrue="1" operator="greaterThan">
      <formula>100</formula>
    </cfRule>
  </conditionalFormatting>
  <conditionalFormatting sqref="J35:J37">
    <cfRule type="cellIs" dxfId="580" priority="154" operator="lessThan">
      <formula>98</formula>
    </cfRule>
  </conditionalFormatting>
  <conditionalFormatting sqref="J66">
    <cfRule type="cellIs" dxfId="579" priority="97" stopIfTrue="1" operator="greaterThan">
      <formula>#REF!</formula>
    </cfRule>
    <cfRule type="cellIs" dxfId="578" priority="104" stopIfTrue="1" operator="lessThanOrEqual">
      <formula>0</formula>
    </cfRule>
    <cfRule type="cellIs" dxfId="577" priority="103" stopIfTrue="1" operator="greaterThan">
      <formula>#REF!</formula>
    </cfRule>
    <cfRule type="cellIs" dxfId="576" priority="102" stopIfTrue="1" operator="lessThanOrEqual">
      <formula>0</formula>
    </cfRule>
    <cfRule type="cellIs" dxfId="575" priority="101" stopIfTrue="1" operator="greaterThan">
      <formula>#REF!</formula>
    </cfRule>
    <cfRule type="cellIs" dxfId="574" priority="98" stopIfTrue="1" operator="lessThanOrEqual">
      <formula>0</formula>
    </cfRule>
    <cfRule type="cellIs" dxfId="573" priority="100" stopIfTrue="1" operator="lessThanOrEqual">
      <formula>0</formula>
    </cfRule>
    <cfRule type="cellIs" dxfId="572" priority="99" stopIfTrue="1" operator="greaterThan">
      <formula>#REF!</formula>
    </cfRule>
  </conditionalFormatting>
  <conditionalFormatting sqref="J79">
    <cfRule type="cellIs" dxfId="571" priority="32" stopIfTrue="1" operator="lessThanOrEqual">
      <formula>0</formula>
    </cfRule>
    <cfRule type="cellIs" dxfId="570" priority="31" stopIfTrue="1" operator="greaterThan">
      <formula>$F79</formula>
    </cfRule>
  </conditionalFormatting>
  <conditionalFormatting sqref="K10:K25">
    <cfRule type="cellIs" dxfId="569" priority="2" operator="greaterThan">
      <formula>6</formula>
    </cfRule>
    <cfRule type="cellIs" dxfId="568" priority="4" operator="greaterThan">
      <formula>6.4</formula>
    </cfRule>
    <cfRule type="cellIs" dxfId="567" priority="3" operator="lessThan">
      <formula>4</formula>
    </cfRule>
  </conditionalFormatting>
  <conditionalFormatting sqref="K57:K66">
    <cfRule type="cellIs" dxfId="566" priority="80" stopIfTrue="1" operator="lessThan">
      <formula>100%</formula>
    </cfRule>
  </conditionalFormatting>
  <conditionalFormatting sqref="K70:K78">
    <cfRule type="cellIs" dxfId="565" priority="19" stopIfTrue="1" operator="lessThan">
      <formula>100%</formula>
    </cfRule>
  </conditionalFormatting>
  <conditionalFormatting sqref="K81:K86">
    <cfRule type="cellIs" dxfId="564" priority="174" stopIfTrue="1" operator="lessThan">
      <formula>100%</formula>
    </cfRule>
  </conditionalFormatting>
  <conditionalFormatting sqref="K88:K89">
    <cfRule type="cellIs" dxfId="563" priority="181" stopIfTrue="1" operator="lessThan">
      <formula>100%</formula>
    </cfRule>
  </conditionalFormatting>
  <conditionalFormatting sqref="L10:L25">
    <cfRule type="cellIs" dxfId="562" priority="6" operator="greaterThan">
      <formula>65</formula>
    </cfRule>
    <cfRule type="cellIs" dxfId="561" priority="5" operator="between">
      <formula>61</formula>
      <formula>65</formula>
    </cfRule>
  </conditionalFormatting>
  <conditionalFormatting sqref="L28:M39">
    <cfRule type="cellIs" dxfId="560" priority="94" operator="lessThan">
      <formula>97.95</formula>
    </cfRule>
  </conditionalFormatting>
  <conditionalFormatting sqref="L43:N43">
    <cfRule type="cellIs" dxfId="559" priority="59" operator="notEqual">
      <formula>#REF!</formula>
    </cfRule>
  </conditionalFormatting>
  <conditionalFormatting sqref="L70:N79">
    <cfRule type="cellIs" dxfId="558" priority="14" stopIfTrue="1" operator="lessThan">
      <formula>100%</formula>
    </cfRule>
  </conditionalFormatting>
  <conditionalFormatting sqref="L81:N89">
    <cfRule type="cellIs" dxfId="557" priority="159" stopIfTrue="1" operator="lessThan">
      <formula>100%</formula>
    </cfRule>
  </conditionalFormatting>
  <conditionalFormatting sqref="N10:N24">
    <cfRule type="expression" dxfId="556" priority="10">
      <formula>IF(+(IF(N10&lt;W10,0,IF(N10&gt;X10,0,1)))=0,1)</formula>
    </cfRule>
  </conditionalFormatting>
  <conditionalFormatting sqref="P6">
    <cfRule type="cellIs" dxfId="555" priority="155" operator="greaterThanOrEqual">
      <formula>19</formula>
    </cfRule>
  </conditionalFormatting>
  <dataValidations count="1">
    <dataValidation type="list" allowBlank="1" showInputMessage="1" showErrorMessage="1" sqref="R8" xr:uid="{12E75FDC-CEB0-451D-A791-ED042959890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8E1A-0E89-4957-B82E-D8C473B2F39D}">
  <sheetPr>
    <pageSetUpPr fitToPage="1"/>
  </sheetPr>
  <dimension ref="A1:BE84"/>
  <sheetViews>
    <sheetView topLeftCell="A32" zoomScale="70" zoomScaleNormal="70" workbookViewId="0">
      <selection activeCell="B63" sqref="B63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31.42578125" style="275" customWidth="1"/>
    <col min="10" max="10" width="35.140625" style="275" customWidth="1"/>
    <col min="11" max="11" width="29" style="275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109.140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46202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[3]Brewhouse!$A480</f>
        <v>CA434</v>
      </c>
      <c r="D10" s="279">
        <f>[3]Brewhouse!$AF480</f>
        <v>48.5</v>
      </c>
      <c r="E10" s="279">
        <f>[3]Brewhouse!$AI480</f>
        <v>49.9</v>
      </c>
      <c r="F10" s="278">
        <f>[3]Brewhouse!$V480</f>
        <v>65</v>
      </c>
      <c r="G10" s="279">
        <f>[3]Brewhouse!AG480</f>
        <v>11.6</v>
      </c>
      <c r="H10" s="396">
        <v>11.9</v>
      </c>
      <c r="I10" s="368">
        <f>[3]Brewhouse!$AU480</f>
        <v>108.88670789478645</v>
      </c>
      <c r="J10" s="368">
        <f>[3]Brewhouse!$AV480</f>
        <v>110.1209128307509</v>
      </c>
      <c r="K10" s="281">
        <f>[3]Brewhouse!$Q480</f>
        <v>11.682070240295749</v>
      </c>
      <c r="L10" s="276">
        <f>[3]Brewhouse!$P480</f>
        <v>61</v>
      </c>
      <c r="M10" s="397">
        <f>[3]Brewhouse!$U480-[3]Brewhouse!$T480</f>
        <v>0.14444444444444449</v>
      </c>
      <c r="N10" s="370">
        <f>[3]Brewhouse!$Z480</f>
        <v>0.27569444444444446</v>
      </c>
      <c r="O10" s="420" t="str">
        <f>[3]Brewhouse!$AX480</f>
        <v>D. Gomaz</v>
      </c>
      <c r="P10" s="418"/>
      <c r="R10" s="277" t="str">
        <f t="shared" ref="R10" si="0">B10</f>
        <v>CARIB</v>
      </c>
      <c r="S10" s="472">
        <f>VLOOKUP($B10,$R$3:$X$9,2,FALSE)</f>
        <v>11.6</v>
      </c>
      <c r="T10" s="472">
        <f>VLOOKUP($B10,$R$3:$X$9,3,FALSE)</f>
        <v>12</v>
      </c>
      <c r="U10" s="297">
        <f>VLOOKUP($B10,$R$3:$X$9,4,FALSE)</f>
        <v>0</v>
      </c>
      <c r="V10" s="297">
        <f>VLOOKUP($B10,$R$3:$X$9,5,FALSE)</f>
        <v>0.118055555555556</v>
      </c>
      <c r="W10" s="297">
        <f>VLOOKUP($B10,$R$3:$X$9,6,FALSE)</f>
        <v>0.22569444444444445</v>
      </c>
      <c r="X10" s="297">
        <f>VLOOKUP($B10,$R$3:$X$9,7,FALSE)</f>
        <v>0.2638888888888889</v>
      </c>
      <c r="Y10" s="297">
        <f>VLOOKUP($B10,$R$3:$Z$9,8,FALSE)</f>
        <v>0</v>
      </c>
      <c r="Z10" s="472">
        <f>VLOOKUP($B10,$R$3:$Z$9,9,FALSE)</f>
        <v>60</v>
      </c>
    </row>
    <row r="11" spans="2:29" ht="17.2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420"/>
      <c r="P11" s="418"/>
      <c r="R11" s="277"/>
      <c r="S11" s="472"/>
      <c r="T11" s="472"/>
      <c r="U11" s="297"/>
      <c r="V11" s="297"/>
      <c r="W11" s="297"/>
      <c r="X11" s="297"/>
      <c r="Y11" s="297"/>
      <c r="Z11" s="472"/>
    </row>
    <row r="12" spans="2:29" ht="17.25" customHeight="1">
      <c r="B12" s="22" t="s">
        <v>33</v>
      </c>
      <c r="C12" s="366" t="str">
        <f>[6]Brewhouse!A71</f>
        <v>VM044</v>
      </c>
      <c r="D12" s="279">
        <f>[6]Brewhouse!AE71</f>
        <v>50.1</v>
      </c>
      <c r="E12" s="279">
        <f>[6]Brewhouse!$AJ71</f>
        <v>46.53</v>
      </c>
      <c r="F12" s="278">
        <f>[6]Brewhouse!X71</f>
        <v>84</v>
      </c>
      <c r="G12" s="279">
        <f>[6]Brewhouse!AH71</f>
        <v>14.8</v>
      </c>
      <c r="H12" s="396">
        <v>14.9</v>
      </c>
      <c r="I12" s="368">
        <f>[6]Brewhouse!AV71</f>
        <v>97.883898930705087</v>
      </c>
      <c r="J12" s="368">
        <f>[6]Brewhouse!AW71</f>
        <v>98.118505437443972</v>
      </c>
      <c r="K12" s="281">
        <f>[6]Brewhouse!S71</f>
        <v>17.285429141716573</v>
      </c>
      <c r="L12" s="276">
        <f>[6]Brewhouse!R71</f>
        <v>59</v>
      </c>
      <c r="M12" s="374">
        <f>[6]Brewhouse!$W71-[6]Brewhouse!$V71</f>
        <v>0.14652777777777781</v>
      </c>
      <c r="N12" s="370">
        <f>[6]Brewhouse!AB71</f>
        <v>0.29861111111111116</v>
      </c>
      <c r="O12" s="371" t="str">
        <f>[6]Brewhouse!$AZ71</f>
        <v>D.Gomaz</v>
      </c>
      <c r="P12" s="418"/>
      <c r="R12" s="277" t="str">
        <f t="shared" ref="R12:R44" si="1">B12</f>
        <v>VITAMALT</v>
      </c>
      <c r="S12" s="472">
        <f>VLOOKUP($B12,$R$3:$X$9,2,FALSE)</f>
        <v>14.2</v>
      </c>
      <c r="T12" s="472">
        <f>VLOOKUP($B12,$R$3:$X$9,3,FALSE)</f>
        <v>14.6</v>
      </c>
      <c r="U12" s="297">
        <f>VLOOKUP($B12,$R$3:$X$9,4,FALSE)</f>
        <v>0</v>
      </c>
      <c r="V12" s="297">
        <f>VLOOKUP($B12,$R$3:$X$9,5,FALSE)</f>
        <v>0.13905092592592591</v>
      </c>
      <c r="W12" s="297">
        <f>VLOOKUP($B12,$R$3:$X$9,6,FALSE)</f>
        <v>0.26041666666666669</v>
      </c>
      <c r="X12" s="297">
        <f>VLOOKUP($B12,$R$3:$X$9,7,FALSE)</f>
        <v>0.2951388888888889</v>
      </c>
      <c r="Y12" s="297">
        <f>VLOOKUP($B12,$R$3:$Z$9,8,FALSE)</f>
        <v>0</v>
      </c>
      <c r="Z12" s="472">
        <f>VLOOKUP($B12,$R$3:$Z$9,9,FALSE)</f>
        <v>75</v>
      </c>
    </row>
    <row r="13" spans="2:29" ht="17.25" customHeight="1">
      <c r="B13" s="22" t="s">
        <v>33</v>
      </c>
      <c r="C13" s="366" t="str">
        <f>[6]Brewhouse!A72</f>
        <v>VM045</v>
      </c>
      <c r="D13" s="279">
        <f>[6]Brewhouse!AE72</f>
        <v>50.1</v>
      </c>
      <c r="E13" s="279">
        <f>[6]Brewhouse!$AJ72</f>
        <v>46.2</v>
      </c>
      <c r="F13" s="278">
        <f>[6]Brewhouse!X72</f>
        <v>82</v>
      </c>
      <c r="G13" s="279">
        <f>[6]Brewhouse!AH72</f>
        <v>14.5</v>
      </c>
      <c r="H13" s="396">
        <v>14.4</v>
      </c>
      <c r="I13" s="368">
        <f>[6]Brewhouse!AV72</f>
        <v>95.141628345733025</v>
      </c>
      <c r="J13" s="368">
        <f>[6]Brewhouse!AW72</f>
        <v>95.369662223781177</v>
      </c>
      <c r="K13" s="281">
        <f>[6]Brewhouse!S72</f>
        <v>19.880239520958085</v>
      </c>
      <c r="L13" s="276">
        <f>[6]Brewhouse!R72</f>
        <v>60</v>
      </c>
      <c r="M13" s="374">
        <f>[6]Brewhouse!$W72-[6]Brewhouse!$V72</f>
        <v>0.14722222222222225</v>
      </c>
      <c r="N13" s="370">
        <f>[6]Brewhouse!AB72</f>
        <v>0.30347222222222225</v>
      </c>
      <c r="O13" s="371" t="str">
        <f>[6]Brewhouse!$AZ72</f>
        <v>D.Gomaz</v>
      </c>
      <c r="P13" s="418"/>
      <c r="R13" s="277" t="str">
        <f t="shared" si="1"/>
        <v>VITAMALT</v>
      </c>
      <c r="S13" s="472">
        <f>VLOOKUP($B13,$R$3:$X$9,2,FALSE)</f>
        <v>14.2</v>
      </c>
      <c r="T13" s="472">
        <f>VLOOKUP($B13,$R$3:$X$9,3,FALSE)</f>
        <v>14.6</v>
      </c>
      <c r="U13" s="297">
        <f>VLOOKUP($B13,$R$3:$X$9,4,FALSE)</f>
        <v>0</v>
      </c>
      <c r="V13" s="297">
        <f>VLOOKUP($B13,$R$3:$X$9,5,FALSE)</f>
        <v>0.13905092592592591</v>
      </c>
      <c r="W13" s="297">
        <f>VLOOKUP($B13,$R$3:$X$9,6,FALSE)</f>
        <v>0.26041666666666669</v>
      </c>
      <c r="X13" s="297">
        <f>VLOOKUP($B13,$R$3:$X$9,7,FALSE)</f>
        <v>0.2951388888888889</v>
      </c>
      <c r="Y13" s="297">
        <f>VLOOKUP($B13,$R$3:$Z$9,8,FALSE)</f>
        <v>0</v>
      </c>
      <c r="Z13" s="472">
        <f>VLOOKUP($B13,$R$3:$Z$9,9,FALSE)</f>
        <v>75</v>
      </c>
    </row>
    <row r="14" spans="2:29" ht="17.25" customHeight="1">
      <c r="B14" s="22" t="s">
        <v>33</v>
      </c>
      <c r="C14" s="366" t="str">
        <f>[6]Brewhouse!A73</f>
        <v>VM046</v>
      </c>
      <c r="D14" s="279">
        <f>[6]Brewhouse!AE73</f>
        <v>50.1</v>
      </c>
      <c r="E14" s="279">
        <f>[6]Brewhouse!$AJ73</f>
        <v>46.2</v>
      </c>
      <c r="F14" s="278">
        <f>[6]Brewhouse!X73</f>
        <v>83</v>
      </c>
      <c r="G14" s="279">
        <f>[6]Brewhouse!AH73</f>
        <v>14.5</v>
      </c>
      <c r="H14" s="396">
        <v>14.5</v>
      </c>
      <c r="I14" s="368">
        <f>[6]Brewhouse!AV73</f>
        <v>95.141628345733025</v>
      </c>
      <c r="J14" s="368">
        <f>[6]Brewhouse!AW73</f>
        <v>95.369662223781177</v>
      </c>
      <c r="K14" s="281">
        <f>[6]Brewhouse!S73</f>
        <v>11.297405189620765</v>
      </c>
      <c r="L14" s="276">
        <f>[6]Brewhouse!R73</f>
        <v>60</v>
      </c>
      <c r="M14" s="374">
        <f>[6]Brewhouse!$W73-[6]Brewhouse!$V73</f>
        <v>0.13541666666666663</v>
      </c>
      <c r="N14" s="370">
        <f>[6]Brewhouse!AB73</f>
        <v>0.29097222222222219</v>
      </c>
      <c r="O14" s="371" t="str">
        <f>[6]Brewhouse!$AZ73</f>
        <v>D.Gomaz</v>
      </c>
      <c r="P14" s="418"/>
      <c r="R14" s="277" t="str">
        <f t="shared" si="1"/>
        <v>VITAMALT</v>
      </c>
      <c r="S14" s="472">
        <f>VLOOKUP($B14,$R$3:$X$9,2,FALSE)</f>
        <v>14.2</v>
      </c>
      <c r="T14" s="472">
        <f>VLOOKUP($B14,$R$3:$X$9,3,FALSE)</f>
        <v>14.6</v>
      </c>
      <c r="U14" s="297">
        <f>VLOOKUP($B14,$R$3:$X$9,4,FALSE)</f>
        <v>0</v>
      </c>
      <c r="V14" s="297">
        <f>VLOOKUP($B14,$R$3:$X$9,5,FALSE)</f>
        <v>0.13905092592592591</v>
      </c>
      <c r="W14" s="297">
        <f>VLOOKUP($B14,$R$3:$X$9,6,FALSE)</f>
        <v>0.26041666666666669</v>
      </c>
      <c r="X14" s="297">
        <f>VLOOKUP($B14,$R$3:$X$9,7,FALSE)</f>
        <v>0.2951388888888889</v>
      </c>
      <c r="Y14" s="297">
        <f>VLOOKUP($B14,$R$3:$Z$9,8,FALSE)</f>
        <v>0</v>
      </c>
      <c r="Z14" s="472">
        <f>VLOOKUP($B14,$R$3:$Z$9,9,FALSE)</f>
        <v>75</v>
      </c>
    </row>
    <row r="15" spans="2:29" ht="17.25" customHeight="1">
      <c r="B15" s="22" t="s">
        <v>33</v>
      </c>
      <c r="C15" s="366" t="str">
        <f>[6]Brewhouse!A74</f>
        <v>VM047</v>
      </c>
      <c r="D15" s="279">
        <f>[6]Brewhouse!AE74</f>
        <v>50.1</v>
      </c>
      <c r="E15" s="279">
        <f>[6]Brewhouse!$AJ74</f>
        <v>46.6</v>
      </c>
      <c r="F15" s="278">
        <f>[6]Brewhouse!X74</f>
        <v>84</v>
      </c>
      <c r="G15" s="279">
        <f>[6]Brewhouse!AH74</f>
        <v>14.6</v>
      </c>
      <c r="H15" s="396">
        <v>14.7</v>
      </c>
      <c r="I15" s="368">
        <f>[6]Brewhouse!AV74</f>
        <v>96.552234033434374</v>
      </c>
      <c r="J15" s="368">
        <f>[6]Brewhouse!AW74</f>
        <v>96.784617911276385</v>
      </c>
      <c r="K15" s="281">
        <f>[6]Brewhouse!S74</f>
        <v>12.495009980039915</v>
      </c>
      <c r="L15" s="276">
        <f>[6]Brewhouse!R74</f>
        <v>60</v>
      </c>
      <c r="M15" s="374">
        <f>[6]Brewhouse!$W74-[6]Brewhouse!$V74</f>
        <v>0.13749999999999996</v>
      </c>
      <c r="N15" s="370">
        <f>[6]Brewhouse!AB74</f>
        <v>0.28611111111111098</v>
      </c>
      <c r="O15" s="371" t="str">
        <f>[6]Brewhouse!$AZ74</f>
        <v>R. Regis</v>
      </c>
      <c r="P15" s="418"/>
      <c r="R15" s="277" t="str">
        <f t="shared" si="1"/>
        <v>VITAMALT</v>
      </c>
      <c r="S15" s="472">
        <f>VLOOKUP($B15,$R$3:$X$9,2,FALSE)</f>
        <v>14.2</v>
      </c>
      <c r="T15" s="472">
        <f>VLOOKUP($B15,$R$3:$X$9,3,FALSE)</f>
        <v>14.6</v>
      </c>
      <c r="U15" s="297">
        <f>VLOOKUP($B15,$R$3:$X$9,4,FALSE)</f>
        <v>0</v>
      </c>
      <c r="V15" s="297">
        <f>VLOOKUP($B15,$R$3:$X$9,5,FALSE)</f>
        <v>0.13905092592592591</v>
      </c>
      <c r="W15" s="297">
        <f>VLOOKUP($B15,$R$3:$X$9,6,FALSE)</f>
        <v>0.26041666666666669</v>
      </c>
      <c r="X15" s="297">
        <f>VLOOKUP($B15,$R$3:$X$9,7,FALSE)</f>
        <v>0.2951388888888889</v>
      </c>
      <c r="Y15" s="297">
        <f>VLOOKUP($B15,$R$3:$Z$9,8,FALSE)</f>
        <v>0</v>
      </c>
      <c r="Z15" s="472">
        <f>VLOOKUP($B15,$R$3:$Z$9,9,FALSE)</f>
        <v>75</v>
      </c>
    </row>
    <row r="16" spans="2:29" ht="17.25" customHeight="1">
      <c r="B16" s="22" t="s">
        <v>33</v>
      </c>
      <c r="C16" s="366" t="str">
        <f>[6]Brewhouse!A75</f>
        <v>VM048</v>
      </c>
      <c r="D16" s="279">
        <f>[6]Brewhouse!AE75</f>
        <v>50.1</v>
      </c>
      <c r="E16" s="279">
        <f>[6]Brewhouse!$AJ75</f>
        <v>48.7</v>
      </c>
      <c r="F16" s="278">
        <f>[6]Brewhouse!X75</f>
        <v>87</v>
      </c>
      <c r="G16" s="279">
        <f>[6]Brewhouse!AH75</f>
        <v>14.7</v>
      </c>
      <c r="H16" s="396">
        <v>14.4</v>
      </c>
      <c r="I16" s="368">
        <f>[6]Brewhouse!AV75</f>
        <v>101.51532621901858</v>
      </c>
      <c r="J16" s="368">
        <f>[6]Brewhouse!AW75</f>
        <v>101.76067214318437</v>
      </c>
      <c r="K16" s="281">
        <f>[6]Brewhouse!S75</f>
        <v>14.690618762475063</v>
      </c>
      <c r="L16" s="276">
        <f>[6]Brewhouse!R75</f>
        <v>60</v>
      </c>
      <c r="M16" s="374">
        <f>[6]Brewhouse!$W75-[6]Brewhouse!$V75</f>
        <v>0.14375000000000004</v>
      </c>
      <c r="N16" s="370">
        <f>[6]Brewhouse!AB75</f>
        <v>0.29027777777777775</v>
      </c>
      <c r="O16" s="371" t="str">
        <f>[6]Brewhouse!$AZ75</f>
        <v>R. Regis</v>
      </c>
      <c r="P16" s="418"/>
      <c r="R16" s="277" t="str">
        <f t="shared" si="1"/>
        <v>VITAMALT</v>
      </c>
      <c r="S16" s="472">
        <f>VLOOKUP($B16,$R$3:$X$9,2,FALSE)</f>
        <v>14.2</v>
      </c>
      <c r="T16" s="472">
        <f>VLOOKUP($B16,$R$3:$X$9,3,FALSE)</f>
        <v>14.6</v>
      </c>
      <c r="U16" s="297">
        <f>VLOOKUP($B16,$R$3:$X$9,4,FALSE)</f>
        <v>0</v>
      </c>
      <c r="V16" s="297">
        <f>VLOOKUP($B16,$R$3:$X$9,5,FALSE)</f>
        <v>0.13905092592592591</v>
      </c>
      <c r="W16" s="297">
        <f>VLOOKUP($B16,$R$3:$X$9,6,FALSE)</f>
        <v>0.26041666666666669</v>
      </c>
      <c r="X16" s="297">
        <f>VLOOKUP($B16,$R$3:$X$9,7,FALSE)</f>
        <v>0.2951388888888889</v>
      </c>
      <c r="Y16" s="297">
        <f>VLOOKUP($B16,$R$3:$Z$9,8,FALSE)</f>
        <v>0</v>
      </c>
      <c r="Z16" s="472">
        <f>VLOOKUP($B16,$R$3:$Z$9,9,FALSE)</f>
        <v>75</v>
      </c>
    </row>
    <row r="17" spans="2:26" ht="17.25" customHeight="1">
      <c r="B17" s="22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/>
      <c r="S17" s="472"/>
      <c r="T17" s="472"/>
      <c r="U17" s="297"/>
      <c r="V17" s="297"/>
      <c r="W17" s="297"/>
      <c r="X17" s="297"/>
      <c r="Y17" s="297"/>
      <c r="Z17" s="472"/>
    </row>
    <row r="18" spans="2:26" ht="17.25" customHeight="1">
      <c r="B18" s="482">
        <v>46201</v>
      </c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/>
      <c r="S18" s="472"/>
      <c r="T18" s="472"/>
      <c r="U18" s="297"/>
      <c r="V18" s="297"/>
      <c r="W18" s="297"/>
      <c r="X18" s="297"/>
      <c r="Y18" s="297"/>
      <c r="Z18" s="472"/>
    </row>
    <row r="19" spans="2:26" ht="17.25" customHeight="1">
      <c r="B19" s="22" t="s">
        <v>33</v>
      </c>
      <c r="C19" s="366" t="str">
        <f>[6]Brewhouse!A76</f>
        <v>VM049</v>
      </c>
      <c r="D19" s="279">
        <f>[6]Brewhouse!AE76</f>
        <v>50.1</v>
      </c>
      <c r="E19" s="279">
        <f>[6]Brewhouse!$AJ76</f>
        <v>48.4</v>
      </c>
      <c r="F19" s="278">
        <f>[6]Brewhouse!X76</f>
        <v>87</v>
      </c>
      <c r="G19" s="279">
        <f>[6]Brewhouse!AH76</f>
        <v>14.4</v>
      </c>
      <c r="H19" s="396">
        <v>14.4</v>
      </c>
      <c r="I19" s="368">
        <f>[6]Brewhouse!AV76</f>
        <v>99.061358902734597</v>
      </c>
      <c r="J19" s="368">
        <f>[6]Brewhouse!AW76</f>
        <v>99.297791181396178</v>
      </c>
      <c r="K19" s="281">
        <f>[6]Brewhouse!S76</f>
        <v>11.097804391217556</v>
      </c>
      <c r="L19" s="276">
        <f>[6]Brewhouse!R76</f>
        <v>61</v>
      </c>
      <c r="M19" s="374">
        <f>[6]Brewhouse!$W76-[6]Brewhouse!$V76</f>
        <v>0.1423611111111111</v>
      </c>
      <c r="N19" s="370">
        <f>[6]Brewhouse!AB76</f>
        <v>0.31944444444444442</v>
      </c>
      <c r="O19" s="371" t="str">
        <f>[6]Brewhouse!$AZ76</f>
        <v>R. Regis</v>
      </c>
      <c r="P19" s="418"/>
      <c r="R19" s="277" t="str">
        <f t="shared" si="1"/>
        <v>VITAMALT</v>
      </c>
      <c r="S19" s="472">
        <f t="shared" ref="S19:S44" si="2">VLOOKUP($B19,$R$3:$X$9,2,FALSE)</f>
        <v>14.2</v>
      </c>
      <c r="T19" s="472">
        <f t="shared" ref="T19:T44" si="3">VLOOKUP($B19,$R$3:$X$9,3,FALSE)</f>
        <v>14.6</v>
      </c>
      <c r="U19" s="297">
        <f t="shared" ref="U19:U44" si="4">VLOOKUP($B19,$R$3:$X$9,4,FALSE)</f>
        <v>0</v>
      </c>
      <c r="V19" s="297">
        <f t="shared" ref="V19:V44" si="5">VLOOKUP($B19,$R$3:$X$9,5,FALSE)</f>
        <v>0.13905092592592591</v>
      </c>
      <c r="W19" s="297">
        <f t="shared" ref="W19:W44" si="6">VLOOKUP($B19,$R$3:$X$9,6,FALSE)</f>
        <v>0.26041666666666669</v>
      </c>
      <c r="X19" s="297">
        <f t="shared" ref="X19:X44" si="7">VLOOKUP($B19,$R$3:$X$9,7,FALSE)</f>
        <v>0.2951388888888889</v>
      </c>
      <c r="Y19" s="297">
        <f t="shared" ref="Y19:Y44" si="8">VLOOKUP($B19,$R$3:$Z$9,8,FALSE)</f>
        <v>0</v>
      </c>
      <c r="Z19" s="472">
        <f t="shared" ref="Z19:Z44" si="9">VLOOKUP($B19,$R$3:$Z$9,9,FALSE)</f>
        <v>75</v>
      </c>
    </row>
    <row r="20" spans="2:26" ht="17.25" customHeight="1">
      <c r="B20" s="22" t="s">
        <v>33</v>
      </c>
      <c r="C20" s="366" t="str">
        <f>[6]Brewhouse!A77</f>
        <v>VM050</v>
      </c>
      <c r="D20" s="279">
        <f>[6]Brewhouse!AE77</f>
        <v>50.1</v>
      </c>
      <c r="E20" s="279">
        <f>[6]Brewhouse!$AJ77</f>
        <v>48</v>
      </c>
      <c r="F20" s="278">
        <f>[6]Brewhouse!X77</f>
        <v>85</v>
      </c>
      <c r="G20" s="279">
        <f>[6]Brewhouse!AH77</f>
        <v>14.4</v>
      </c>
      <c r="H20" s="396">
        <v>14.4</v>
      </c>
      <c r="I20" s="368">
        <f>[6]Brewhouse!AV77</f>
        <v>98.035869286989112</v>
      </c>
      <c r="J20" s="368">
        <f>[6]Brewhouse!AW77</f>
        <v>98.271824008291929</v>
      </c>
      <c r="K20" s="281">
        <f>[6]Brewhouse!S77</f>
        <v>8.1037924151696519</v>
      </c>
      <c r="L20" s="276">
        <f>[6]Brewhouse!R77</f>
        <v>115</v>
      </c>
      <c r="M20" s="374">
        <f>[6]Brewhouse!$W77-[6]Brewhouse!$V77</f>
        <v>0.19375000000000003</v>
      </c>
      <c r="N20" s="370">
        <f>[6]Brewhouse!AB77</f>
        <v>0.3534722222222223</v>
      </c>
      <c r="O20" s="371" t="str">
        <f>[6]Brewhouse!$AZ77</f>
        <v>R. Regis</v>
      </c>
      <c r="P20" s="418" t="s">
        <v>197</v>
      </c>
      <c r="R20" s="277" t="str">
        <f t="shared" si="1"/>
        <v>VITAMALT</v>
      </c>
      <c r="S20" s="472">
        <f t="shared" si="2"/>
        <v>14.2</v>
      </c>
      <c r="T20" s="472">
        <f t="shared" si="3"/>
        <v>14.6</v>
      </c>
      <c r="U20" s="297">
        <f t="shared" si="4"/>
        <v>0</v>
      </c>
      <c r="V20" s="297">
        <f t="shared" si="5"/>
        <v>0.13905092592592591</v>
      </c>
      <c r="W20" s="297">
        <f t="shared" si="6"/>
        <v>0.26041666666666669</v>
      </c>
      <c r="X20" s="297">
        <f t="shared" si="7"/>
        <v>0.2951388888888889</v>
      </c>
      <c r="Y20" s="297">
        <f t="shared" si="8"/>
        <v>0</v>
      </c>
      <c r="Z20" s="472">
        <f t="shared" si="9"/>
        <v>75</v>
      </c>
    </row>
    <row r="21" spans="2:26" ht="17.25" customHeight="1">
      <c r="B21" s="22" t="s">
        <v>33</v>
      </c>
      <c r="C21" s="366" t="str">
        <f>[6]Brewhouse!A78</f>
        <v>VM051</v>
      </c>
      <c r="D21" s="279">
        <f>[6]Brewhouse!AE78</f>
        <v>50</v>
      </c>
      <c r="E21" s="279">
        <f>[6]Brewhouse!$AJ78</f>
        <v>47.7</v>
      </c>
      <c r="F21" s="278">
        <f>[6]Brewhouse!X78</f>
        <v>84</v>
      </c>
      <c r="G21" s="279">
        <f>[6]Brewhouse!AH78</f>
        <v>14.8</v>
      </c>
      <c r="H21" s="396">
        <v>14.7</v>
      </c>
      <c r="I21" s="368">
        <f>[6]Brewhouse!AV78</f>
        <v>100.45103223776147</v>
      </c>
      <c r="J21" s="368">
        <f>[6]Brewhouse!AW78</f>
        <v>100.69078128531088</v>
      </c>
      <c r="K21" s="281">
        <f>[6]Brewhouse!S78</f>
        <v>9.9199999999999875</v>
      </c>
      <c r="L21" s="276">
        <f>[6]Brewhouse!R78</f>
        <v>60</v>
      </c>
      <c r="M21" s="374">
        <f>[6]Brewhouse!$W78-[6]Brewhouse!$V78</f>
        <v>0.13472222222222224</v>
      </c>
      <c r="N21" s="370">
        <f>[6]Brewhouse!AB78</f>
        <v>0.34305555555555561</v>
      </c>
      <c r="O21" s="371" t="str">
        <f>[6]Brewhouse!$AZ78</f>
        <v>R. Regis</v>
      </c>
      <c r="P21" s="418" t="s">
        <v>198</v>
      </c>
      <c r="R21" s="277" t="str">
        <f t="shared" si="1"/>
        <v>VITAMALT</v>
      </c>
      <c r="S21" s="472">
        <f t="shared" si="2"/>
        <v>14.2</v>
      </c>
      <c r="T21" s="472">
        <f t="shared" si="3"/>
        <v>14.6</v>
      </c>
      <c r="U21" s="297">
        <f t="shared" si="4"/>
        <v>0</v>
      </c>
      <c r="V21" s="297">
        <f t="shared" si="5"/>
        <v>0.13905092592592591</v>
      </c>
      <c r="W21" s="297">
        <f t="shared" si="6"/>
        <v>0.26041666666666669</v>
      </c>
      <c r="X21" s="297">
        <f t="shared" si="7"/>
        <v>0.2951388888888889</v>
      </c>
      <c r="Y21" s="297">
        <f t="shared" si="8"/>
        <v>0</v>
      </c>
      <c r="Z21" s="472">
        <f t="shared" si="9"/>
        <v>75</v>
      </c>
    </row>
    <row r="22" spans="2:26" ht="17.25" customHeight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1"/>
        <v>0</v>
      </c>
      <c r="S22" s="472" t="e">
        <f t="shared" si="2"/>
        <v>#N/A</v>
      </c>
      <c r="T22" s="472" t="e">
        <f t="shared" si="3"/>
        <v>#N/A</v>
      </c>
      <c r="U22" s="297" t="e">
        <f t="shared" si="4"/>
        <v>#N/A</v>
      </c>
      <c r="V22" s="297" t="e">
        <f t="shared" si="5"/>
        <v>#N/A</v>
      </c>
      <c r="W22" s="297" t="e">
        <f t="shared" si="6"/>
        <v>#N/A</v>
      </c>
      <c r="X22" s="297" t="e">
        <f t="shared" si="7"/>
        <v>#N/A</v>
      </c>
      <c r="Y22" s="297" t="e">
        <f t="shared" si="8"/>
        <v>#N/A</v>
      </c>
      <c r="Z22" s="472" t="e">
        <f t="shared" si="9"/>
        <v>#N/A</v>
      </c>
    </row>
    <row r="23" spans="2:26" ht="17.25" customHeight="1">
      <c r="B23" s="29" t="s">
        <v>6</v>
      </c>
      <c r="C23" s="366" t="str">
        <f>[3]Brewhouse!$A481</f>
        <v>CA435</v>
      </c>
      <c r="D23" s="279">
        <f>[3]Brewhouse!$AF481</f>
        <v>49.6</v>
      </c>
      <c r="E23" s="279">
        <f>[3]Brewhouse!$AI481</f>
        <v>50.1</v>
      </c>
      <c r="F23" s="278">
        <f>[3]Brewhouse!$V481</f>
        <v>60</v>
      </c>
      <c r="G23" s="279">
        <f>[3]Brewhouse!AG485</f>
        <v>12</v>
      </c>
      <c r="H23" s="396"/>
      <c r="I23" s="368">
        <f>[3]Brewhouse!$AU481</f>
        <v>96.512358037648923</v>
      </c>
      <c r="J23" s="368">
        <f>[3]Brewhouse!$AV481</f>
        <v>97.61409878799121</v>
      </c>
      <c r="K23" s="281">
        <f>[3]Brewhouse!$Q481</f>
        <v>9.6487985212569285</v>
      </c>
      <c r="L23" s="276">
        <f>[3]Brewhouse!$P481</f>
        <v>61</v>
      </c>
      <c r="M23" s="397">
        <f>[3]Brewhouse!$U481-[3]Brewhouse!$T481</f>
        <v>0.11180555555555549</v>
      </c>
      <c r="N23" s="370">
        <f>[3]Brewhouse!$Z481</f>
        <v>0.23888888888888882</v>
      </c>
      <c r="O23" s="420" t="str">
        <f>[3]Brewhouse!$AX481</f>
        <v>D. Gomaz</v>
      </c>
      <c r="P23" s="418"/>
      <c r="R23" s="277" t="str">
        <f t="shared" si="1"/>
        <v>CARIB</v>
      </c>
      <c r="S23" s="472">
        <f t="shared" si="2"/>
        <v>11.6</v>
      </c>
      <c r="T23" s="472">
        <f t="shared" si="3"/>
        <v>12</v>
      </c>
      <c r="U23" s="297">
        <f t="shared" si="4"/>
        <v>0</v>
      </c>
      <c r="V23" s="297">
        <f t="shared" si="5"/>
        <v>0.118055555555556</v>
      </c>
      <c r="W23" s="297">
        <f t="shared" si="6"/>
        <v>0.22569444444444445</v>
      </c>
      <c r="X23" s="297">
        <f t="shared" si="7"/>
        <v>0.2638888888888889</v>
      </c>
      <c r="Y23" s="297">
        <f t="shared" si="8"/>
        <v>0</v>
      </c>
      <c r="Z23" s="472">
        <f t="shared" si="9"/>
        <v>60</v>
      </c>
    </row>
    <row r="24" spans="2:26" ht="17.25" customHeight="1">
      <c r="B24" s="29" t="s">
        <v>6</v>
      </c>
      <c r="C24" s="366" t="str">
        <f>[3]Brewhouse!$A482</f>
        <v>CA436</v>
      </c>
      <c r="D24" s="279">
        <f>[3]Brewhouse!$AF482</f>
        <v>49.9</v>
      </c>
      <c r="E24" s="279">
        <f>[3]Brewhouse!$AI482</f>
        <v>50.9</v>
      </c>
      <c r="F24" s="278">
        <f>[3]Brewhouse!$V482</f>
        <v>64</v>
      </c>
      <c r="G24" s="279">
        <f>[3]Brewhouse!AG486</f>
        <v>11.8</v>
      </c>
      <c r="H24" s="396"/>
      <c r="I24" s="368">
        <f>[3]Brewhouse!$AU482</f>
        <v>100.97500195447307</v>
      </c>
      <c r="J24" s="368">
        <f>[3]Brewhouse!$AV482</f>
        <v>102.12753259455789</v>
      </c>
      <c r="K24" s="281">
        <f>[3]Brewhouse!$Q482</f>
        <v>9.0942698706099847</v>
      </c>
      <c r="L24" s="276">
        <f>[3]Brewhouse!$P482</f>
        <v>61</v>
      </c>
      <c r="M24" s="397">
        <f>[3]Brewhouse!$U482-[3]Brewhouse!$T482</f>
        <v>0.10486111111111118</v>
      </c>
      <c r="N24" s="370">
        <f>[3]Brewhouse!$Z482</f>
        <v>0.23819444444444449</v>
      </c>
      <c r="O24" s="420" t="str">
        <f>[3]Brewhouse!$AX482</f>
        <v>D. Gomaz</v>
      </c>
      <c r="P24" s="418"/>
      <c r="R24" s="277" t="str">
        <f t="shared" ref="R24:R31" si="10">B24</f>
        <v>CARIB</v>
      </c>
      <c r="S24" s="472">
        <f t="shared" si="2"/>
        <v>11.6</v>
      </c>
      <c r="T24" s="472">
        <f t="shared" si="3"/>
        <v>12</v>
      </c>
      <c r="U24" s="297">
        <f t="shared" si="4"/>
        <v>0</v>
      </c>
      <c r="V24" s="297">
        <f t="shared" si="5"/>
        <v>0.118055555555556</v>
      </c>
      <c r="W24" s="297">
        <f t="shared" si="6"/>
        <v>0.22569444444444445</v>
      </c>
      <c r="X24" s="297">
        <f t="shared" si="7"/>
        <v>0.2638888888888889</v>
      </c>
      <c r="Y24" s="297">
        <f t="shared" si="8"/>
        <v>0</v>
      </c>
      <c r="Z24" s="472">
        <f t="shared" si="9"/>
        <v>60</v>
      </c>
    </row>
    <row r="25" spans="2:26" ht="17.25" customHeight="1">
      <c r="B25" s="29" t="s">
        <v>6</v>
      </c>
      <c r="C25" s="366" t="str">
        <f>[3]Brewhouse!$A483</f>
        <v>CA437</v>
      </c>
      <c r="D25" s="279">
        <f>[3]Brewhouse!$AF483</f>
        <v>49.8</v>
      </c>
      <c r="E25" s="279">
        <f>[3]Brewhouse!$AI483</f>
        <v>50.4</v>
      </c>
      <c r="F25" s="278">
        <f>[3]Brewhouse!$V483</f>
        <v>62</v>
      </c>
      <c r="G25" s="279">
        <f>[3]Brewhouse!AG487</f>
        <v>11.8</v>
      </c>
      <c r="H25" s="396"/>
      <c r="I25" s="368">
        <f>[3]Brewhouse!$AU483</f>
        <v>100.7405914444947</v>
      </c>
      <c r="J25" s="368">
        <f>[3]Brewhouse!$AV483</f>
        <v>101.89052323747892</v>
      </c>
      <c r="K25" s="281">
        <f>[3]Brewhouse!$Q483</f>
        <v>9.2791127541589713</v>
      </c>
      <c r="L25" s="276">
        <f>[3]Brewhouse!$P483</f>
        <v>60</v>
      </c>
      <c r="M25" s="397">
        <f>[3]Brewhouse!$U483-[3]Brewhouse!$T483</f>
        <v>0.11458333333333326</v>
      </c>
      <c r="N25" s="370">
        <f>[3]Brewhouse!$Z483</f>
        <v>0.25208333333333321</v>
      </c>
      <c r="O25" s="420" t="str">
        <f>[3]Brewhouse!$AX483</f>
        <v>R. Sookram</v>
      </c>
      <c r="P25" s="418"/>
      <c r="R25" s="277" t="str">
        <f t="shared" si="10"/>
        <v>CARIB</v>
      </c>
      <c r="S25" s="472">
        <f t="shared" si="2"/>
        <v>11.6</v>
      </c>
      <c r="T25" s="472">
        <f t="shared" si="3"/>
        <v>12</v>
      </c>
      <c r="U25" s="297">
        <f t="shared" si="4"/>
        <v>0</v>
      </c>
      <c r="V25" s="297">
        <f t="shared" si="5"/>
        <v>0.118055555555556</v>
      </c>
      <c r="W25" s="297">
        <f t="shared" si="6"/>
        <v>0.22569444444444445</v>
      </c>
      <c r="X25" s="297">
        <f t="shared" si="7"/>
        <v>0.2638888888888889</v>
      </c>
      <c r="Y25" s="297">
        <f t="shared" si="8"/>
        <v>0</v>
      </c>
      <c r="Z25" s="472">
        <f t="shared" si="9"/>
        <v>60</v>
      </c>
    </row>
    <row r="26" spans="2:26" ht="17.25" customHeight="1">
      <c r="B26" s="29" t="s">
        <v>6</v>
      </c>
      <c r="C26" s="366" t="str">
        <f>[3]Brewhouse!$A484</f>
        <v>CA438</v>
      </c>
      <c r="D26" s="279">
        <f>[3]Brewhouse!$AF484</f>
        <v>50.4</v>
      </c>
      <c r="E26" s="279">
        <f>[3]Brewhouse!$AI484</f>
        <v>51.6</v>
      </c>
      <c r="F26" s="278">
        <f>[3]Brewhouse!$V484</f>
        <v>63</v>
      </c>
      <c r="G26" s="279">
        <f>[3]Brewhouse!AG488</f>
        <v>11.8</v>
      </c>
      <c r="H26" s="396"/>
      <c r="I26" s="368">
        <f>[3]Brewhouse!$AU484</f>
        <v>100.3041125045339</v>
      </c>
      <c r="J26" s="368">
        <f>[3]Brewhouse!$AV484</f>
        <v>101.44913818228235</v>
      </c>
      <c r="K26" s="281">
        <f>[3]Brewhouse!$Q484</f>
        <v>10.388170055452859</v>
      </c>
      <c r="L26" s="276">
        <f>[3]Brewhouse!$P484</f>
        <v>58</v>
      </c>
      <c r="M26" s="397">
        <f>[3]Brewhouse!$U484-[3]Brewhouse!$T484</f>
        <v>0.10694444444444451</v>
      </c>
      <c r="N26" s="370">
        <f>[3]Brewhouse!$Z484</f>
        <v>0.24236111111111114</v>
      </c>
      <c r="O26" s="420" t="str">
        <f>[3]Brewhouse!$AX484</f>
        <v>R. Sookram</v>
      </c>
      <c r="P26" s="418"/>
      <c r="R26" s="277" t="str">
        <f t="shared" si="10"/>
        <v>CARIB</v>
      </c>
      <c r="S26" s="472">
        <f t="shared" si="2"/>
        <v>11.6</v>
      </c>
      <c r="T26" s="472">
        <f t="shared" si="3"/>
        <v>12</v>
      </c>
      <c r="U26" s="297">
        <f t="shared" si="4"/>
        <v>0</v>
      </c>
      <c r="V26" s="297">
        <f t="shared" si="5"/>
        <v>0.118055555555556</v>
      </c>
      <c r="W26" s="297">
        <f t="shared" si="6"/>
        <v>0.22569444444444445</v>
      </c>
      <c r="X26" s="297">
        <f t="shared" si="7"/>
        <v>0.2638888888888889</v>
      </c>
      <c r="Y26" s="297">
        <f t="shared" si="8"/>
        <v>0</v>
      </c>
      <c r="Z26" s="472">
        <f t="shared" si="9"/>
        <v>60</v>
      </c>
    </row>
    <row r="27" spans="2:26" ht="17.25" customHeight="1">
      <c r="B27" s="33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420"/>
      <c r="P27" s="418"/>
      <c r="R27" s="277">
        <f t="shared" si="10"/>
        <v>0</v>
      </c>
      <c r="S27" s="472" t="e">
        <f t="shared" si="2"/>
        <v>#N/A</v>
      </c>
      <c r="T27" s="472" t="e">
        <f t="shared" si="3"/>
        <v>#N/A</v>
      </c>
      <c r="U27" s="297" t="e">
        <f t="shared" si="4"/>
        <v>#N/A</v>
      </c>
      <c r="V27" s="297" t="e">
        <f t="shared" si="5"/>
        <v>#N/A</v>
      </c>
      <c r="W27" s="297" t="e">
        <f t="shared" si="6"/>
        <v>#N/A</v>
      </c>
      <c r="X27" s="297" t="e">
        <f t="shared" si="7"/>
        <v>#N/A</v>
      </c>
      <c r="Y27" s="297" t="e">
        <f t="shared" si="8"/>
        <v>#N/A</v>
      </c>
      <c r="Z27" s="472" t="e">
        <f t="shared" si="9"/>
        <v>#N/A</v>
      </c>
    </row>
    <row r="28" spans="2:26" ht="17.25" customHeight="1">
      <c r="B28" s="33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420"/>
      <c r="P28" s="418"/>
      <c r="R28" s="277">
        <f t="shared" si="10"/>
        <v>0</v>
      </c>
      <c r="S28" s="472" t="e">
        <f t="shared" si="2"/>
        <v>#N/A</v>
      </c>
      <c r="T28" s="472" t="e">
        <f t="shared" si="3"/>
        <v>#N/A</v>
      </c>
      <c r="U28" s="297" t="e">
        <f t="shared" si="4"/>
        <v>#N/A</v>
      </c>
      <c r="V28" s="297" t="e">
        <f t="shared" si="5"/>
        <v>#N/A</v>
      </c>
      <c r="W28" s="297" t="e">
        <f t="shared" si="6"/>
        <v>#N/A</v>
      </c>
      <c r="X28" s="297" t="e">
        <f t="shared" si="7"/>
        <v>#N/A</v>
      </c>
      <c r="Y28" s="297" t="e">
        <f t="shared" si="8"/>
        <v>#N/A</v>
      </c>
      <c r="Z28" s="472" t="e">
        <f t="shared" si="9"/>
        <v>#N/A</v>
      </c>
    </row>
    <row r="29" spans="2:26" ht="17.25" customHeight="1">
      <c r="B29" s="33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74"/>
      <c r="N29" s="370"/>
      <c r="O29" s="420"/>
      <c r="P29" s="418"/>
      <c r="R29" s="277">
        <f t="shared" si="10"/>
        <v>0</v>
      </c>
      <c r="S29" s="472" t="e">
        <f t="shared" si="2"/>
        <v>#N/A</v>
      </c>
      <c r="T29" s="472" t="e">
        <f t="shared" si="3"/>
        <v>#N/A</v>
      </c>
      <c r="U29" s="297" t="e">
        <f t="shared" si="4"/>
        <v>#N/A</v>
      </c>
      <c r="V29" s="297" t="e">
        <f t="shared" si="5"/>
        <v>#N/A</v>
      </c>
      <c r="W29" s="297" t="e">
        <f t="shared" si="6"/>
        <v>#N/A</v>
      </c>
      <c r="X29" s="297" t="e">
        <f t="shared" si="7"/>
        <v>#N/A</v>
      </c>
      <c r="Y29" s="297" t="e">
        <f t="shared" si="8"/>
        <v>#N/A</v>
      </c>
      <c r="Z29" s="472" t="e">
        <f t="shared" si="9"/>
        <v>#N/A</v>
      </c>
    </row>
    <row r="30" spans="2:26" ht="17.25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8"/>
      <c r="R30" s="277">
        <f t="shared" si="10"/>
        <v>0</v>
      </c>
      <c r="S30" s="472" t="e">
        <f t="shared" si="2"/>
        <v>#N/A</v>
      </c>
      <c r="T30" s="472" t="e">
        <f t="shared" si="3"/>
        <v>#N/A</v>
      </c>
      <c r="U30" s="297" t="e">
        <f t="shared" si="4"/>
        <v>#N/A</v>
      </c>
      <c r="V30" s="297" t="e">
        <f t="shared" si="5"/>
        <v>#N/A</v>
      </c>
      <c r="W30" s="297" t="e">
        <f t="shared" si="6"/>
        <v>#N/A</v>
      </c>
      <c r="X30" s="297" t="e">
        <f t="shared" si="7"/>
        <v>#N/A</v>
      </c>
      <c r="Y30" s="297" t="e">
        <f t="shared" si="8"/>
        <v>#N/A</v>
      </c>
      <c r="Z30" s="472" t="e">
        <f t="shared" si="9"/>
        <v>#N/A</v>
      </c>
    </row>
    <row r="31" spans="2:26" ht="17.25" customHeight="1" thickBot="1">
      <c r="B31" s="358"/>
      <c r="C31" s="358"/>
      <c r="D31" s="358"/>
      <c r="E31" s="358"/>
      <c r="F31" s="294"/>
      <c r="G31" s="294"/>
      <c r="H31" s="348"/>
      <c r="I31" s="544"/>
      <c r="J31" s="544"/>
      <c r="K31" s="544"/>
      <c r="L31" s="544"/>
      <c r="M31" s="544"/>
      <c r="N31" s="544"/>
      <c r="O31" s="1"/>
      <c r="P31" s="12"/>
      <c r="R31" s="277">
        <f t="shared" si="10"/>
        <v>0</v>
      </c>
      <c r="S31" s="472" t="e">
        <f t="shared" si="2"/>
        <v>#N/A</v>
      </c>
      <c r="T31" s="472" t="e">
        <f t="shared" si="3"/>
        <v>#N/A</v>
      </c>
      <c r="U31" s="297" t="e">
        <f t="shared" si="4"/>
        <v>#N/A</v>
      </c>
      <c r="V31" s="297" t="e">
        <f t="shared" si="5"/>
        <v>#N/A</v>
      </c>
      <c r="W31" s="297" t="e">
        <f t="shared" si="6"/>
        <v>#N/A</v>
      </c>
      <c r="X31" s="297" t="e">
        <f t="shared" si="7"/>
        <v>#N/A</v>
      </c>
      <c r="Y31" s="297" t="e">
        <f t="shared" si="8"/>
        <v>#N/A</v>
      </c>
      <c r="Z31" s="472" t="e">
        <f t="shared" si="9"/>
        <v>#N/A</v>
      </c>
    </row>
    <row r="32" spans="2:26" ht="17.25" customHeight="1" thickBot="1">
      <c r="B32" s="388" t="s">
        <v>162</v>
      </c>
      <c r="C32" s="388"/>
      <c r="D32" s="545" t="s">
        <v>35</v>
      </c>
      <c r="E32" s="546"/>
      <c r="F32" s="294"/>
      <c r="G32" s="294"/>
      <c r="H32" s="348"/>
      <c r="I32" s="24" t="s">
        <v>17</v>
      </c>
      <c r="J32" s="25"/>
      <c r="K32" s="26" t="s">
        <v>138</v>
      </c>
      <c r="L32" s="25" t="s">
        <v>37</v>
      </c>
      <c r="M32" s="25" t="s">
        <v>38</v>
      </c>
      <c r="N32" s="27" t="s">
        <v>39</v>
      </c>
      <c r="O32" s="294"/>
      <c r="P32" s="12"/>
      <c r="R32" s="277" t="str">
        <f t="shared" si="1"/>
        <v xml:space="preserve">BRAND </v>
      </c>
      <c r="S32" s="472" t="e">
        <f t="shared" si="2"/>
        <v>#N/A</v>
      </c>
      <c r="T32" s="472" t="e">
        <f t="shared" si="3"/>
        <v>#N/A</v>
      </c>
      <c r="U32" s="297" t="e">
        <f t="shared" si="4"/>
        <v>#N/A</v>
      </c>
      <c r="V32" s="297" t="e">
        <f t="shared" si="5"/>
        <v>#N/A</v>
      </c>
      <c r="W32" s="297" t="e">
        <f t="shared" si="6"/>
        <v>#N/A</v>
      </c>
      <c r="X32" s="297" t="e">
        <f t="shared" si="7"/>
        <v>#N/A</v>
      </c>
      <c r="Y32" s="297" t="e">
        <f t="shared" si="8"/>
        <v>#N/A</v>
      </c>
      <c r="Z32" s="472" t="e">
        <f t="shared" si="9"/>
        <v>#N/A</v>
      </c>
    </row>
    <row r="33" spans="1:27" ht="17.25" customHeight="1">
      <c r="A33" s="28"/>
      <c r="B33" s="530"/>
      <c r="C33" s="362"/>
      <c r="D33" s="548"/>
      <c r="E33" s="549"/>
      <c r="F33" s="294"/>
      <c r="G33" s="294"/>
      <c r="H33" s="348"/>
      <c r="I33" s="29" t="s">
        <v>6</v>
      </c>
      <c r="J33" s="323">
        <f>I10</f>
        <v>108.88670789478645</v>
      </c>
      <c r="K33" s="284">
        <f>COUNTA([3]Brewhouse!$A$441:$A$480)</f>
        <v>40</v>
      </c>
      <c r="L33" s="305">
        <f>AVERAGE([3]Brewhouse!$AU$441:$AU$480)</f>
        <v>99.81366269051037</v>
      </c>
      <c r="M33" s="305">
        <f>AVERAGE([3]Brewhouse!$AU$42:$AU$123,[3]Brewhouse!$AU$125:$AU$188,[3]Brewhouse!$AU$198:$AU$290,[3]Brewhouse!$AU$292:$AU$370,[3]Brewhouse!$AU$372:$AU$439,[3]Brewhouse!$AU$441:$AU$480)</f>
        <v>98.147708840837282</v>
      </c>
      <c r="N33" s="30">
        <v>98</v>
      </c>
      <c r="O33" s="11"/>
      <c r="P33" s="31"/>
      <c r="R33" s="277">
        <f t="shared" si="1"/>
        <v>0</v>
      </c>
      <c r="S33" s="472" t="e">
        <f t="shared" si="2"/>
        <v>#N/A</v>
      </c>
      <c r="T33" s="472" t="e">
        <f t="shared" si="3"/>
        <v>#N/A</v>
      </c>
      <c r="U33" s="297" t="e">
        <f t="shared" si="4"/>
        <v>#N/A</v>
      </c>
      <c r="V33" s="297" t="e">
        <f t="shared" si="5"/>
        <v>#N/A</v>
      </c>
      <c r="W33" s="297" t="e">
        <f t="shared" si="6"/>
        <v>#N/A</v>
      </c>
      <c r="X33" s="297" t="e">
        <f t="shared" si="7"/>
        <v>#N/A</v>
      </c>
      <c r="Y33" s="297" t="e">
        <f t="shared" si="8"/>
        <v>#N/A</v>
      </c>
      <c r="Z33" s="472" t="e">
        <f t="shared" si="9"/>
        <v>#N/A</v>
      </c>
    </row>
    <row r="34" spans="1:27" ht="15" customHeight="1">
      <c r="A34" s="28"/>
      <c r="B34" s="531"/>
      <c r="C34" s="362"/>
      <c r="D34" s="550"/>
      <c r="E34" s="536"/>
      <c r="F34" s="294"/>
      <c r="G34" s="294"/>
      <c r="H34" s="348"/>
      <c r="I34" s="33" t="s">
        <v>9</v>
      </c>
      <c r="J34" s="323"/>
      <c r="K34" s="284">
        <f>COUNTA([4]Brewhouse!$A$252:$A$289)</f>
        <v>38</v>
      </c>
      <c r="L34" s="302">
        <f>AVERAGE([4]Brewhouse!$AS$252:$AS$289)</f>
        <v>99.376505563106818</v>
      </c>
      <c r="M34" s="302">
        <f>AVERAGE([4]Brewhouse!$AS$52:$AS$81,[4]Brewhouse!$AS$83:$AS$124,[4]Brewhouse!$AS$134:$AS$177,[4]Brewhouse!$AS$22:$AS$179,[4]Brewhouse!$AS$214:$AS$249,[4]Brewhouse!$AS$252:$AS$289)</f>
        <v>98.129796591077522</v>
      </c>
      <c r="N34" s="30">
        <v>98</v>
      </c>
      <c r="O34" s="11"/>
      <c r="P34" s="31"/>
      <c r="R34" s="277">
        <f t="shared" si="1"/>
        <v>0</v>
      </c>
      <c r="S34" s="472" t="e">
        <f t="shared" si="2"/>
        <v>#N/A</v>
      </c>
      <c r="T34" s="472" t="e">
        <f t="shared" si="3"/>
        <v>#N/A</v>
      </c>
      <c r="U34" s="297" t="e">
        <f t="shared" si="4"/>
        <v>#N/A</v>
      </c>
      <c r="V34" s="297" t="e">
        <f t="shared" si="5"/>
        <v>#N/A</v>
      </c>
      <c r="W34" s="297" t="e">
        <f t="shared" si="6"/>
        <v>#N/A</v>
      </c>
      <c r="X34" s="297" t="e">
        <f t="shared" si="7"/>
        <v>#N/A</v>
      </c>
      <c r="Y34" s="297" t="e">
        <f t="shared" si="8"/>
        <v>#N/A</v>
      </c>
      <c r="Z34" s="472" t="e">
        <f t="shared" si="9"/>
        <v>#N/A</v>
      </c>
    </row>
    <row r="35" spans="1:27" ht="14.65" customHeight="1">
      <c r="A35" s="28"/>
      <c r="B35" s="531"/>
      <c r="C35" s="362"/>
      <c r="D35" s="540"/>
      <c r="E35" s="541"/>
      <c r="F35" s="294"/>
      <c r="G35" s="294"/>
      <c r="H35" s="348"/>
      <c r="I35" s="34" t="s">
        <v>12</v>
      </c>
      <c r="J35" s="280"/>
      <c r="K35" s="284">
        <f>COUNTA([5]Brewhouse!$A$62:$A$69)</f>
        <v>8</v>
      </c>
      <c r="L35" s="302">
        <f>AVERAGE([5]Brewhouse!$AU$62:$AU$69)</f>
        <v>95.865325586732524</v>
      </c>
      <c r="M35" s="302">
        <f>AVERAGE([5]Brewhouse!$AU$16:$AU$23,[5]Brewhouse!$AU$25:$AU$32,[5]Brewhouse!$AU$34:$AU$41,[5]Brewhouse!$AU$43:$AU$60,[5]Brewhouse!$AU$62:$AU$69)</f>
        <v>96.726835550404019</v>
      </c>
      <c r="N35" s="30">
        <v>98</v>
      </c>
      <c r="O35" s="11"/>
      <c r="P35" s="31"/>
      <c r="R35" s="277">
        <f t="shared" si="1"/>
        <v>0</v>
      </c>
      <c r="S35" s="472" t="e">
        <f t="shared" si="2"/>
        <v>#N/A</v>
      </c>
      <c r="T35" s="472" t="e">
        <f t="shared" si="3"/>
        <v>#N/A</v>
      </c>
      <c r="U35" s="297" t="e">
        <f t="shared" si="4"/>
        <v>#N/A</v>
      </c>
      <c r="V35" s="297" t="e">
        <f t="shared" si="5"/>
        <v>#N/A</v>
      </c>
      <c r="W35" s="297" t="e">
        <f t="shared" si="6"/>
        <v>#N/A</v>
      </c>
      <c r="X35" s="297" t="e">
        <f t="shared" si="7"/>
        <v>#N/A</v>
      </c>
      <c r="Y35" s="297" t="e">
        <f t="shared" si="8"/>
        <v>#N/A</v>
      </c>
      <c r="Z35" s="472" t="e">
        <f t="shared" si="9"/>
        <v>#N/A</v>
      </c>
    </row>
    <row r="36" spans="1:27" ht="14.65" customHeight="1">
      <c r="A36" s="28"/>
      <c r="B36" s="531"/>
      <c r="C36" s="362"/>
      <c r="D36" s="535"/>
      <c r="E36" s="536"/>
      <c r="F36" s="294"/>
      <c r="G36" s="294"/>
      <c r="H36" s="348"/>
      <c r="I36" s="22" t="s">
        <v>33</v>
      </c>
      <c r="J36" s="280">
        <f>AVERAGE(I12:I21)</f>
        <v>97.972872037763665</v>
      </c>
      <c r="K36" s="284">
        <f>COUNTA([6]Brewhouse!$A$71:$A$78)</f>
        <v>8</v>
      </c>
      <c r="L36" s="302"/>
      <c r="M36" s="302">
        <f>AVERAGE([6]Brewhouse!$AV$23:$AV$34,[6]Brewhouse!$AV$36,[6]Brewhouse!$AV$38:$AV$52,[6]Brewhouse!$AV$54:$AV$60,[6]Brewhouse!$AV$62:$AV$68)</f>
        <v>97.579195177204838</v>
      </c>
      <c r="N36" s="30">
        <v>98</v>
      </c>
      <c r="O36" s="11"/>
      <c r="P36" s="31"/>
      <c r="R36" s="277">
        <f t="shared" si="1"/>
        <v>0</v>
      </c>
      <c r="S36" s="472" t="e">
        <f t="shared" si="2"/>
        <v>#N/A</v>
      </c>
      <c r="T36" s="472" t="e">
        <f t="shared" si="3"/>
        <v>#N/A</v>
      </c>
      <c r="U36" s="297" t="e">
        <f t="shared" si="4"/>
        <v>#N/A</v>
      </c>
      <c r="V36" s="297" t="e">
        <f t="shared" si="5"/>
        <v>#N/A</v>
      </c>
      <c r="W36" s="297" t="e">
        <f t="shared" si="6"/>
        <v>#N/A</v>
      </c>
      <c r="X36" s="297" t="e">
        <f t="shared" si="7"/>
        <v>#N/A</v>
      </c>
      <c r="Y36" s="297" t="e">
        <f t="shared" si="8"/>
        <v>#N/A</v>
      </c>
      <c r="Z36" s="472" t="e">
        <f t="shared" si="9"/>
        <v>#N/A</v>
      </c>
    </row>
    <row r="37" spans="1:27" ht="14.65" customHeight="1">
      <c r="A37" s="28"/>
      <c r="B37" s="531"/>
      <c r="C37" s="362"/>
      <c r="D37" s="540"/>
      <c r="E37" s="541"/>
      <c r="F37" s="417"/>
      <c r="G37" s="294"/>
      <c r="H37" s="348"/>
      <c r="I37" s="35" t="s">
        <v>29</v>
      </c>
      <c r="J37" s="280"/>
      <c r="K37" s="284"/>
      <c r="L37" s="302"/>
      <c r="M37" s="302"/>
      <c r="N37" s="30">
        <v>98</v>
      </c>
      <c r="O37" s="11"/>
      <c r="P37" s="31"/>
      <c r="R37" s="277">
        <f t="shared" si="1"/>
        <v>0</v>
      </c>
      <c r="S37" s="472" t="e">
        <f t="shared" si="2"/>
        <v>#N/A</v>
      </c>
      <c r="T37" s="472" t="e">
        <f t="shared" si="3"/>
        <v>#N/A</v>
      </c>
      <c r="U37" s="297" t="e">
        <f t="shared" si="4"/>
        <v>#N/A</v>
      </c>
      <c r="V37" s="297" t="e">
        <f t="shared" si="5"/>
        <v>#N/A</v>
      </c>
      <c r="W37" s="297" t="e">
        <f t="shared" si="6"/>
        <v>#N/A</v>
      </c>
      <c r="X37" s="297" t="e">
        <f t="shared" si="7"/>
        <v>#N/A</v>
      </c>
      <c r="Y37" s="297" t="e">
        <f t="shared" si="8"/>
        <v>#N/A</v>
      </c>
      <c r="Z37" s="472" t="e">
        <f t="shared" si="9"/>
        <v>#N/A</v>
      </c>
    </row>
    <row r="38" spans="1:27" ht="14.65" customHeight="1">
      <c r="A38" s="28"/>
      <c r="B38" s="531"/>
      <c r="C38" s="362"/>
      <c r="D38" s="535"/>
      <c r="E38" s="536"/>
      <c r="F38" s="417"/>
      <c r="G38" s="294"/>
      <c r="H38" s="348"/>
      <c r="I38" s="36" t="s">
        <v>15</v>
      </c>
      <c r="J38" s="323"/>
      <c r="K38" s="284"/>
      <c r="L38" s="302"/>
      <c r="M38" s="302">
        <f>AVERAGE([7]Brewhouse!$AT$4:$AT$11,[7]Brewhouse!$AT$13:$AT$16)</f>
        <v>91.538375374138752</v>
      </c>
      <c r="N38" s="30">
        <v>98</v>
      </c>
      <c r="O38" s="11"/>
      <c r="P38" s="31"/>
      <c r="R38" s="277">
        <f t="shared" si="1"/>
        <v>0</v>
      </c>
      <c r="S38" s="472" t="e">
        <f t="shared" si="2"/>
        <v>#N/A</v>
      </c>
      <c r="T38" s="472" t="e">
        <f t="shared" si="3"/>
        <v>#N/A</v>
      </c>
      <c r="U38" s="297" t="e">
        <f t="shared" si="4"/>
        <v>#N/A</v>
      </c>
      <c r="V38" s="297" t="e">
        <f t="shared" si="5"/>
        <v>#N/A</v>
      </c>
      <c r="W38" s="297" t="e">
        <f t="shared" si="6"/>
        <v>#N/A</v>
      </c>
      <c r="X38" s="297" t="e">
        <f t="shared" si="7"/>
        <v>#N/A</v>
      </c>
      <c r="Y38" s="297" t="e">
        <f t="shared" si="8"/>
        <v>#N/A</v>
      </c>
      <c r="Z38" s="472" t="e">
        <f t="shared" si="9"/>
        <v>#N/A</v>
      </c>
    </row>
    <row r="39" spans="1:27" ht="14.65" customHeight="1">
      <c r="A39" s="28"/>
      <c r="B39" s="531"/>
      <c r="C39" s="362"/>
      <c r="D39" s="540"/>
      <c r="E39" s="541"/>
      <c r="F39" s="417"/>
      <c r="G39" s="294"/>
      <c r="H39" s="348"/>
      <c r="I39" s="37" t="s">
        <v>16</v>
      </c>
      <c r="J39" s="323"/>
      <c r="K39" s="284">
        <f>COUNTA([8]Brewhouse!$A$66:$A$73)</f>
        <v>8</v>
      </c>
      <c r="L39" s="302">
        <f>AVERAGE([8]Brewhouse!$AY$66:$AY$73)</f>
        <v>98.225688487824243</v>
      </c>
      <c r="M39" s="302">
        <f>AVERAGE([8]Brewhouse!$AY$5:$AY$14,[8]Brewhouse!$AY$16:$AY$23,[8]Brewhouse!$AY$42,[8]Brewhouse!$AY$44:$AY$51,[8]Brewhouse!$AY$53:$AY$64,[8]Brewhouse!$AY$66:$AY$73)</f>
        <v>97.506811941025575</v>
      </c>
      <c r="N39" s="30">
        <v>98</v>
      </c>
      <c r="O39" s="11"/>
      <c r="P39" s="31" t="s">
        <v>41</v>
      </c>
      <c r="R39" s="277">
        <f t="shared" si="1"/>
        <v>0</v>
      </c>
      <c r="S39" s="472" t="e">
        <f t="shared" si="2"/>
        <v>#N/A</v>
      </c>
      <c r="T39" s="472" t="e">
        <f t="shared" si="3"/>
        <v>#N/A</v>
      </c>
      <c r="U39" s="297" t="e">
        <f t="shared" si="4"/>
        <v>#N/A</v>
      </c>
      <c r="V39" s="297" t="e">
        <f t="shared" si="5"/>
        <v>#N/A</v>
      </c>
      <c r="W39" s="297" t="e">
        <f t="shared" si="6"/>
        <v>#N/A</v>
      </c>
      <c r="X39" s="297" t="e">
        <f t="shared" si="7"/>
        <v>#N/A</v>
      </c>
      <c r="Y39" s="297" t="e">
        <f t="shared" si="8"/>
        <v>#N/A</v>
      </c>
      <c r="Z39" s="472" t="e">
        <f t="shared" si="9"/>
        <v>#N/A</v>
      </c>
    </row>
    <row r="40" spans="1:27" ht="14.65" customHeight="1">
      <c r="A40" s="28"/>
      <c r="B40" s="531"/>
      <c r="C40" s="362"/>
      <c r="D40" s="535"/>
      <c r="E40" s="536"/>
      <c r="F40" s="294"/>
      <c r="G40" s="294"/>
      <c r="H40" s="348"/>
      <c r="I40" s="411" t="s">
        <v>158</v>
      </c>
      <c r="J40" s="326"/>
      <c r="K40" s="284"/>
      <c r="L40" s="305"/>
      <c r="M40" s="305"/>
      <c r="N40" s="30">
        <v>98</v>
      </c>
      <c r="O40" s="11"/>
      <c r="P40" s="31"/>
      <c r="R40" s="277">
        <f t="shared" si="1"/>
        <v>0</v>
      </c>
      <c r="S40" s="472" t="e">
        <f t="shared" si="2"/>
        <v>#N/A</v>
      </c>
      <c r="T40" s="472" t="e">
        <f t="shared" si="3"/>
        <v>#N/A</v>
      </c>
      <c r="U40" s="297" t="e">
        <f t="shared" si="4"/>
        <v>#N/A</v>
      </c>
      <c r="V40" s="297" t="e">
        <f t="shared" si="5"/>
        <v>#N/A</v>
      </c>
      <c r="W40" s="297" t="e">
        <f t="shared" si="6"/>
        <v>#N/A</v>
      </c>
      <c r="X40" s="297" t="e">
        <f t="shared" si="7"/>
        <v>#N/A</v>
      </c>
      <c r="Y40" s="297" t="e">
        <f t="shared" si="8"/>
        <v>#N/A</v>
      </c>
      <c r="Z40" s="472" t="e">
        <f t="shared" si="9"/>
        <v>#N/A</v>
      </c>
    </row>
    <row r="41" spans="1:27" ht="14.65" customHeight="1">
      <c r="A41" s="28"/>
      <c r="B41" s="531"/>
      <c r="C41" s="349"/>
      <c r="D41" s="540"/>
      <c r="E41" s="541"/>
      <c r="F41" s="294"/>
      <c r="G41" s="294"/>
      <c r="H41" s="348"/>
      <c r="I41" s="410" t="s">
        <v>157</v>
      </c>
      <c r="J41" s="326"/>
      <c r="K41" s="284"/>
      <c r="L41" s="305"/>
      <c r="M41" s="305"/>
      <c r="N41" s="30">
        <v>98</v>
      </c>
      <c r="O41" s="11"/>
      <c r="P41" s="31"/>
      <c r="R41" s="277">
        <f t="shared" si="1"/>
        <v>0</v>
      </c>
      <c r="S41" s="472" t="e">
        <f t="shared" si="2"/>
        <v>#N/A</v>
      </c>
      <c r="T41" s="472" t="e">
        <f t="shared" si="3"/>
        <v>#N/A</v>
      </c>
      <c r="U41" s="297" t="e">
        <f t="shared" si="4"/>
        <v>#N/A</v>
      </c>
      <c r="V41" s="297" t="e">
        <f t="shared" si="5"/>
        <v>#N/A</v>
      </c>
      <c r="W41" s="297" t="e">
        <f t="shared" si="6"/>
        <v>#N/A</v>
      </c>
      <c r="X41" s="297" t="e">
        <f t="shared" si="7"/>
        <v>#N/A</v>
      </c>
      <c r="Y41" s="297" t="e">
        <f t="shared" si="8"/>
        <v>#N/A</v>
      </c>
      <c r="Z41" s="472" t="e">
        <f t="shared" si="9"/>
        <v>#N/A</v>
      </c>
      <c r="AA41" s="472"/>
    </row>
    <row r="42" spans="1:27" ht="15" customHeight="1" thickBot="1">
      <c r="A42" s="28"/>
      <c r="B42" s="531"/>
      <c r="C42" s="349"/>
      <c r="D42" s="535"/>
      <c r="E42" s="536"/>
      <c r="F42" s="294"/>
      <c r="G42" s="294"/>
      <c r="H42" s="348"/>
      <c r="I42" s="406" t="s">
        <v>156</v>
      </c>
      <c r="J42" s="327"/>
      <c r="K42" s="407"/>
      <c r="L42" s="408"/>
      <c r="M42" s="408"/>
      <c r="N42" s="409">
        <v>98</v>
      </c>
      <c r="O42" s="11"/>
      <c r="P42" s="31"/>
      <c r="R42" s="277">
        <f t="shared" si="1"/>
        <v>0</v>
      </c>
      <c r="S42" s="472" t="e">
        <f t="shared" si="2"/>
        <v>#N/A</v>
      </c>
      <c r="T42" s="472" t="e">
        <f t="shared" si="3"/>
        <v>#N/A</v>
      </c>
      <c r="U42" s="297" t="e">
        <f t="shared" si="4"/>
        <v>#N/A</v>
      </c>
      <c r="V42" s="297" t="e">
        <f t="shared" si="5"/>
        <v>#N/A</v>
      </c>
      <c r="W42" s="297" t="e">
        <f t="shared" si="6"/>
        <v>#N/A</v>
      </c>
      <c r="X42" s="297" t="e">
        <f t="shared" si="7"/>
        <v>#N/A</v>
      </c>
      <c r="Y42" s="297" t="e">
        <f t="shared" si="8"/>
        <v>#N/A</v>
      </c>
      <c r="Z42" s="472" t="e">
        <f t="shared" si="9"/>
        <v>#N/A</v>
      </c>
      <c r="AA42" s="472"/>
    </row>
    <row r="43" spans="1:27" ht="15" customHeight="1" thickBot="1">
      <c r="A43" s="28"/>
      <c r="B43" s="531"/>
      <c r="C43" s="349"/>
      <c r="D43" s="548"/>
      <c r="E43" s="549"/>
      <c r="F43" s="294"/>
      <c r="G43" s="294"/>
      <c r="H43" s="348"/>
      <c r="I43" s="1"/>
      <c r="J43" s="39"/>
      <c r="K43" s="404">
        <f>SUM(K33:K42)</f>
        <v>102</v>
      </c>
      <c r="L43" s="405">
        <f>((L33*K33)+(L34*K34)+(L35*K35)+(L36*K36)+(L37*K37)+(K40*L40)+(L38*K38)+(L39*K39)+(L42*K42))/(K43)</f>
        <v>91.388057172695383</v>
      </c>
      <c r="M43" s="405">
        <f>AVERAGE('[9]Jan30th-31st'!$L$42,L43)</f>
        <v>94.608049454268425</v>
      </c>
      <c r="N43" s="40">
        <v>98</v>
      </c>
      <c r="O43" s="11"/>
      <c r="P43" s="31"/>
      <c r="R43" s="277">
        <f t="shared" si="1"/>
        <v>0</v>
      </c>
      <c r="S43" s="472" t="e">
        <f t="shared" si="2"/>
        <v>#N/A</v>
      </c>
      <c r="T43" s="472" t="e">
        <f t="shared" si="3"/>
        <v>#N/A</v>
      </c>
      <c r="U43" s="297" t="e">
        <f t="shared" si="4"/>
        <v>#N/A</v>
      </c>
      <c r="V43" s="297" t="e">
        <f t="shared" si="5"/>
        <v>#N/A</v>
      </c>
      <c r="W43" s="297" t="e">
        <f t="shared" si="6"/>
        <v>#N/A</v>
      </c>
      <c r="X43" s="297" t="e">
        <f t="shared" si="7"/>
        <v>#N/A</v>
      </c>
      <c r="Y43" s="297" t="e">
        <f t="shared" si="8"/>
        <v>#N/A</v>
      </c>
      <c r="Z43" s="472" t="e">
        <f t="shared" si="9"/>
        <v>#N/A</v>
      </c>
      <c r="AA43" s="472"/>
    </row>
    <row r="44" spans="1:27" ht="15.75" thickBot="1">
      <c r="B44" s="547"/>
      <c r="C44" s="350"/>
      <c r="D44" s="550"/>
      <c r="E44" s="536"/>
      <c r="F44" s="294"/>
      <c r="G44" s="42"/>
      <c r="H44" s="41"/>
      <c r="I44" s="42"/>
      <c r="J44" s="42"/>
      <c r="K44" s="351"/>
      <c r="L44" s="348"/>
      <c r="M44" s="348"/>
      <c r="N44" s="11"/>
      <c r="O44" s="294"/>
      <c r="P44" s="12"/>
      <c r="R44" s="277">
        <f t="shared" si="1"/>
        <v>0</v>
      </c>
      <c r="S44" s="472" t="e">
        <f t="shared" si="2"/>
        <v>#N/A</v>
      </c>
      <c r="T44" s="472" t="e">
        <f t="shared" si="3"/>
        <v>#N/A</v>
      </c>
      <c r="U44" s="297" t="e">
        <f t="shared" si="4"/>
        <v>#N/A</v>
      </c>
      <c r="V44" s="297" t="e">
        <f t="shared" si="5"/>
        <v>#N/A</v>
      </c>
      <c r="W44" s="297" t="e">
        <f t="shared" si="6"/>
        <v>#N/A</v>
      </c>
      <c r="X44" s="297" t="e">
        <f t="shared" si="7"/>
        <v>#N/A</v>
      </c>
      <c r="Y44" s="297" t="e">
        <f t="shared" si="8"/>
        <v>#N/A</v>
      </c>
      <c r="Z44" s="472" t="e">
        <f t="shared" si="9"/>
        <v>#N/A</v>
      </c>
      <c r="AA44" s="472"/>
    </row>
    <row r="45" spans="1:27" ht="15.75" thickBot="1">
      <c r="B45" s="530"/>
      <c r="C45" s="362"/>
      <c r="D45" s="533"/>
      <c r="E45" s="534"/>
      <c r="F45" s="294"/>
      <c r="G45" s="42"/>
      <c r="H45" s="41"/>
      <c r="I45" s="42"/>
      <c r="J45" s="537" t="s">
        <v>129</v>
      </c>
      <c r="K45" s="537"/>
      <c r="L45" s="294"/>
      <c r="M45" s="294"/>
      <c r="N45" s="294"/>
      <c r="O45" s="294"/>
      <c r="P45" s="12"/>
    </row>
    <row r="46" spans="1:27" ht="15.75" thickBot="1">
      <c r="B46" s="531"/>
      <c r="C46" s="362"/>
      <c r="D46" s="535"/>
      <c r="E46" s="536"/>
      <c r="F46" s="294"/>
      <c r="G46" s="42"/>
      <c r="H46" s="42"/>
      <c r="I46" s="292" t="s">
        <v>17</v>
      </c>
      <c r="J46" s="293" t="s">
        <v>170</v>
      </c>
      <c r="K46" s="293" t="s">
        <v>199</v>
      </c>
      <c r="L46" s="538" t="s">
        <v>136</v>
      </c>
      <c r="M46" s="538"/>
      <c r="N46" s="539"/>
      <c r="O46" s="294"/>
      <c r="P46" s="12"/>
    </row>
    <row r="47" spans="1:27" ht="15" customHeight="1" thickBot="1">
      <c r="B47" s="531"/>
      <c r="C47" s="349"/>
      <c r="D47" s="540"/>
      <c r="E47" s="541"/>
      <c r="F47" s="294"/>
      <c r="G47" s="42"/>
      <c r="H47" s="42"/>
      <c r="I47" s="287" t="s">
        <v>6</v>
      </c>
      <c r="J47" s="324">
        <v>1</v>
      </c>
      <c r="K47" s="324">
        <v>4</v>
      </c>
      <c r="L47" s="473" t="s">
        <v>37</v>
      </c>
      <c r="M47" s="474" t="s">
        <v>38</v>
      </c>
      <c r="N47" s="474" t="s">
        <v>84</v>
      </c>
      <c r="O47" s="294"/>
      <c r="P47" s="12"/>
    </row>
    <row r="48" spans="1:27" ht="15.75" customHeight="1" thickBot="1">
      <c r="B48" s="531"/>
      <c r="C48" s="349"/>
      <c r="D48" s="535"/>
      <c r="E48" s="536"/>
      <c r="F48" s="294"/>
      <c r="G48" s="42"/>
      <c r="H48" s="42"/>
      <c r="I48" s="345" t="s">
        <v>9</v>
      </c>
      <c r="J48" s="324"/>
      <c r="K48" s="324"/>
      <c r="L48" s="344">
        <f>AVERAGE('June 2nd'!K44,'June 3rd'!K52,'June 4th'!K47,'June 5th'!K46,'June 8th'!K48,'June 9th'!K56,'June 15th '!K56,'June 16th'!K50,'June 17th '!K49,'June 18th '!K48,'June 21st'!L39,'June 22nd'!K49,'June 23rd'!K45,'June 24th'!K47,'June 25th '!K54,'June 26th '!K52,J57,K57)</f>
        <v>6.2020202020202024</v>
      </c>
      <c r="M48" s="325">
        <f>AVERAGE('[9]Jan30th-31st'!$L$47,L48,'[10]Feb 26th '!$L$39,'[11]Mar 31st'!$L$47,'[12]Apr 30th'!$L$46,'[13]May 29th '!$L$40)</f>
        <v>6.3049809691114049</v>
      </c>
      <c r="N48" s="416">
        <v>9.1999999999999993</v>
      </c>
      <c r="O48" s="294"/>
      <c r="P48" s="12"/>
    </row>
    <row r="49" spans="2:57" ht="15" customHeight="1">
      <c r="B49" s="531"/>
      <c r="C49" s="349"/>
      <c r="D49" s="540"/>
      <c r="E49" s="541"/>
      <c r="F49" s="294"/>
      <c r="G49" s="42"/>
      <c r="H49" s="42"/>
      <c r="I49" s="288" t="s">
        <v>40</v>
      </c>
      <c r="J49" s="324"/>
      <c r="K49" s="324"/>
      <c r="L49" s="294"/>
      <c r="M49" s="294"/>
      <c r="N49" s="294"/>
      <c r="O49" s="294"/>
      <c r="P49" s="12"/>
    </row>
    <row r="50" spans="2:57" ht="15" customHeight="1">
      <c r="B50" s="531"/>
      <c r="C50" s="349"/>
      <c r="D50" s="535"/>
      <c r="E50" s="536"/>
      <c r="F50" s="294"/>
      <c r="G50" s="42"/>
      <c r="H50" s="42"/>
      <c r="I50" s="289" t="s">
        <v>33</v>
      </c>
      <c r="J50" s="324">
        <v>5</v>
      </c>
      <c r="K50" s="324">
        <v>3</v>
      </c>
      <c r="L50" s="294"/>
      <c r="M50" s="294"/>
      <c r="N50" s="294"/>
      <c r="O50" s="294"/>
      <c r="P50" s="12"/>
    </row>
    <row r="51" spans="2:57" ht="15">
      <c r="B51" s="531"/>
      <c r="C51" s="349"/>
      <c r="D51" s="540"/>
      <c r="E51" s="541"/>
      <c r="F51" s="294"/>
      <c r="G51" s="42"/>
      <c r="H51" s="42"/>
      <c r="I51" s="290" t="s">
        <v>16</v>
      </c>
      <c r="J51" s="324"/>
      <c r="K51" s="324"/>
      <c r="L51" s="294"/>
      <c r="M51" s="294"/>
      <c r="N51" s="294"/>
      <c r="O51" s="294"/>
      <c r="P51" s="12"/>
      <c r="BC51" s="44"/>
      <c r="BD51" s="44"/>
    </row>
    <row r="52" spans="2:57" ht="15">
      <c r="B52" s="531"/>
      <c r="C52" s="349"/>
      <c r="D52" s="535"/>
      <c r="E52" s="536"/>
      <c r="F52" s="294"/>
      <c r="G52" s="42"/>
      <c r="H52" s="42"/>
      <c r="I52" s="291" t="s">
        <v>15</v>
      </c>
      <c r="J52" s="324"/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31"/>
      <c r="C53" s="349"/>
      <c r="D53" s="540"/>
      <c r="E53" s="541"/>
      <c r="F53" s="294"/>
      <c r="G53" s="42"/>
      <c r="H53" s="42"/>
      <c r="I53" s="291" t="s">
        <v>149</v>
      </c>
      <c r="J53" s="324"/>
      <c r="K53" s="324"/>
      <c r="L53" s="294"/>
      <c r="M53" s="294"/>
      <c r="N53" s="294"/>
      <c r="O53" s="294"/>
      <c r="P53" s="12"/>
      <c r="BC53" s="44"/>
      <c r="BD53" s="44"/>
    </row>
    <row r="54" spans="2:57" ht="15.75" thickBot="1">
      <c r="B54" s="532"/>
      <c r="C54" s="350"/>
      <c r="D54" s="542"/>
      <c r="E54" s="543"/>
      <c r="F54" s="294" t="s">
        <v>166</v>
      </c>
      <c r="G54" s="42"/>
      <c r="H54" s="42"/>
      <c r="I54" s="291" t="s">
        <v>148</v>
      </c>
      <c r="J54" s="324"/>
      <c r="K54" s="324"/>
      <c r="L54" s="294"/>
      <c r="M54" s="294"/>
      <c r="N54" s="294" t="s">
        <v>41</v>
      </c>
      <c r="O54" s="294"/>
      <c r="P54" s="12"/>
      <c r="BC54" s="44"/>
      <c r="BD54" s="44"/>
    </row>
    <row r="55" spans="2:57" ht="17.649999999999999" customHeight="1" thickBot="1">
      <c r="B55" s="312" t="s">
        <v>139</v>
      </c>
      <c r="C55" s="313"/>
      <c r="D55" s="523"/>
      <c r="E55" s="524"/>
      <c r="F55" s="294"/>
      <c r="I55" s="295" t="s">
        <v>134</v>
      </c>
      <c r="J55" s="324"/>
      <c r="K55" s="324"/>
      <c r="L55" s="294"/>
      <c r="M55" s="294"/>
      <c r="N55" s="294"/>
      <c r="O55" s="294"/>
      <c r="P55" s="12"/>
      <c r="BC55" s="44"/>
      <c r="BD55" s="44"/>
    </row>
    <row r="56" spans="2:57" ht="17.649999999999999" customHeight="1">
      <c r="B56" s="363"/>
      <c r="C56" s="364"/>
      <c r="D56" s="365"/>
      <c r="E56" s="365"/>
      <c r="F56" s="294"/>
      <c r="G56" s="42"/>
      <c r="H56" s="42"/>
      <c r="I56" s="295" t="s">
        <v>131</v>
      </c>
      <c r="J56" s="324"/>
      <c r="K56" s="324"/>
      <c r="L56" s="294"/>
      <c r="M56" s="294"/>
      <c r="N56" s="294"/>
      <c r="O56" s="294"/>
      <c r="P56" s="12"/>
      <c r="BC56" s="44"/>
      <c r="BD56" s="44"/>
    </row>
    <row r="57" spans="2:57" ht="15.6" customHeight="1">
      <c r="B57" s="45"/>
      <c r="C57" s="11"/>
      <c r="D57" s="11"/>
      <c r="E57" s="46"/>
      <c r="F57" s="294"/>
      <c r="G57" s="42"/>
      <c r="H57" s="42"/>
      <c r="I57" s="346" t="s">
        <v>130</v>
      </c>
      <c r="J57" s="324">
        <f>SUM(J47:J56)</f>
        <v>6</v>
      </c>
      <c r="K57" s="324">
        <f>SUM(K47:K56)</f>
        <v>7</v>
      </c>
      <c r="L57" s="294"/>
      <c r="M57" s="294"/>
      <c r="N57" s="294"/>
      <c r="O57" s="294"/>
      <c r="P57" s="12"/>
    </row>
    <row r="58" spans="2:57" ht="20.25" customHeight="1">
      <c r="B58" s="15" t="s">
        <v>42</v>
      </c>
      <c r="C58" s="1" t="s">
        <v>43</v>
      </c>
      <c r="D58" s="1"/>
      <c r="E58" s="1"/>
      <c r="F58" s="294"/>
      <c r="G58" s="42"/>
      <c r="H58" s="41"/>
      <c r="I58" s="42"/>
      <c r="L58" s="294"/>
      <c r="N58" s="315"/>
      <c r="P58" s="334"/>
    </row>
    <row r="59" spans="2:57" ht="15" customHeight="1" thickBot="1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1"/>
      <c r="O59" s="48"/>
      <c r="P59" s="49"/>
    </row>
    <row r="60" spans="2:57" ht="15" customHeight="1" thickBot="1">
      <c r="B60" s="515" t="s">
        <v>17</v>
      </c>
      <c r="C60" s="515" t="s">
        <v>44</v>
      </c>
      <c r="D60" s="526" t="s">
        <v>45</v>
      </c>
      <c r="E60" s="528" t="s">
        <v>46</v>
      </c>
      <c r="F60" s="521" t="s">
        <v>47</v>
      </c>
      <c r="G60" s="513" t="s">
        <v>48</v>
      </c>
      <c r="H60" s="515" t="s">
        <v>49</v>
      </c>
      <c r="I60" s="515" t="s">
        <v>50</v>
      </c>
      <c r="J60" s="507" t="s">
        <v>28</v>
      </c>
      <c r="K60" s="517" t="s">
        <v>51</v>
      </c>
      <c r="L60" s="519" t="s">
        <v>52</v>
      </c>
      <c r="M60" s="507" t="s">
        <v>53</v>
      </c>
      <c r="N60" s="13"/>
      <c r="O60" s="13"/>
      <c r="P60" s="50"/>
    </row>
    <row r="61" spans="2:57" ht="28.5" customHeight="1" thickTop="1" thickBot="1">
      <c r="B61" s="516"/>
      <c r="C61" s="525"/>
      <c r="D61" s="527"/>
      <c r="E61" s="529"/>
      <c r="F61" s="522"/>
      <c r="G61" s="514"/>
      <c r="H61" s="516"/>
      <c r="I61" s="516"/>
      <c r="J61" s="508"/>
      <c r="K61" s="518"/>
      <c r="L61" s="520"/>
      <c r="M61" s="508"/>
      <c r="N61" s="13"/>
      <c r="O61" s="13"/>
      <c r="P61" s="50"/>
      <c r="Q61" s="355"/>
      <c r="AB61" s="475">
        <v>43474</v>
      </c>
      <c r="AC61" s="475">
        <v>43475</v>
      </c>
      <c r="AD61" s="475">
        <v>43476</v>
      </c>
      <c r="AE61" s="475">
        <v>43477</v>
      </c>
      <c r="AF61" s="475">
        <v>43478</v>
      </c>
      <c r="AG61" s="475">
        <v>43479</v>
      </c>
      <c r="AH61" s="475">
        <v>43480</v>
      </c>
      <c r="AI61" s="475">
        <v>43481</v>
      </c>
      <c r="AJ61" s="475">
        <v>43482</v>
      </c>
      <c r="AK61" s="475">
        <v>43483</v>
      </c>
      <c r="AL61" s="475">
        <v>43484</v>
      </c>
      <c r="AM61" s="475">
        <v>43485</v>
      </c>
      <c r="AN61" s="475">
        <v>43486</v>
      </c>
      <c r="AO61" s="475">
        <v>43487</v>
      </c>
      <c r="AP61" s="475">
        <v>43488</v>
      </c>
      <c r="AQ61" s="475">
        <v>43489</v>
      </c>
      <c r="AR61" s="475">
        <v>43490</v>
      </c>
      <c r="AS61" s="475">
        <v>43491</v>
      </c>
      <c r="AT61" s="475">
        <v>43492</v>
      </c>
      <c r="AU61" s="475">
        <v>43493</v>
      </c>
      <c r="AV61" s="475">
        <v>43494</v>
      </c>
      <c r="AW61" s="475">
        <v>43495</v>
      </c>
      <c r="AX61" s="475">
        <v>43496</v>
      </c>
    </row>
    <row r="62" spans="2:57" s="54" customFormat="1" ht="36.75" customHeight="1" thickBot="1">
      <c r="B62" s="503" t="str">
        <f>I48</f>
        <v>STAG</v>
      </c>
      <c r="C62" s="479">
        <v>46200</v>
      </c>
      <c r="D62" s="445">
        <f>[14]June_2026!$AD$13</f>
        <v>298.88</v>
      </c>
      <c r="E62" s="443"/>
      <c r="F62" s="444"/>
      <c r="G62" s="445">
        <f>[14]June_2026!$AD$17</f>
        <v>292.2</v>
      </c>
      <c r="H62" s="458"/>
      <c r="I62" s="458"/>
      <c r="J62" s="448" t="s">
        <v>150</v>
      </c>
      <c r="K62" s="449">
        <f>[15]June_2026!$AD$25</f>
        <v>1.0252631578947369</v>
      </c>
      <c r="L62" s="476">
        <f>(((D62+E62)-G62)/(D62+E62))*100</f>
        <v>2.2350107066381177</v>
      </c>
      <c r="M62" s="455" t="s">
        <v>196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[16]January_2019!L5</f>
        <v>0</v>
      </c>
      <c r="AC62" s="57">
        <f>[16]January_2019!M5</f>
        <v>0</v>
      </c>
      <c r="AD62" s="57">
        <f>[16]January_2019!N5</f>
        <v>0</v>
      </c>
      <c r="AE62" s="57">
        <f>[16]January_2019!O5</f>
        <v>0</v>
      </c>
      <c r="AF62" s="57">
        <f>[16]January_2019!P5</f>
        <v>0</v>
      </c>
      <c r="AG62" s="57">
        <f>[16]January_2019!Q5</f>
        <v>0</v>
      </c>
      <c r="AH62" s="57">
        <f>[16]January_2019!R5</f>
        <v>0</v>
      </c>
      <c r="AI62" s="57">
        <f>[16]January_2019!S5</f>
        <v>0</v>
      </c>
      <c r="AJ62" s="57">
        <f>[16]January_2019!T5</f>
        <v>0</v>
      </c>
      <c r="AK62" s="57">
        <f>[16]January_2019!U5</f>
        <v>0</v>
      </c>
      <c r="AL62" s="57">
        <f>[16]January_2019!V5</f>
        <v>0</v>
      </c>
      <c r="AM62" s="57">
        <f>[16]January_2019!W5</f>
        <v>0</v>
      </c>
      <c r="AN62" s="57">
        <f>[16]January_2019!X5</f>
        <v>0</v>
      </c>
      <c r="AO62" s="57">
        <f>[16]January_2019!Y5</f>
        <v>0</v>
      </c>
      <c r="AP62" s="57">
        <f>[16]January_2019!Z5</f>
        <v>0</v>
      </c>
      <c r="AQ62" s="57">
        <f>[16]January_2019!AA5</f>
        <v>0</v>
      </c>
      <c r="AR62" s="57">
        <f>[16]January_2019!AB5</f>
        <v>0</v>
      </c>
      <c r="AS62" s="57">
        <f>[16]January_2019!AC5</f>
        <v>0</v>
      </c>
      <c r="AT62" s="57">
        <f>[16]January_2019!AD5</f>
        <v>0</v>
      </c>
      <c r="AU62" s="57">
        <f>[16]January_2019!AE5</f>
        <v>0</v>
      </c>
      <c r="AV62" s="57">
        <f>[16]January_2019!AF5</f>
        <v>0</v>
      </c>
      <c r="AW62" s="57">
        <f>[16]January_2019!AG5</f>
        <v>0</v>
      </c>
      <c r="AX62" s="277">
        <f>[16]January_2019!AH5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14.25" customHeight="1" thickBot="1">
      <c r="B63" s="480"/>
      <c r="C63" s="479"/>
      <c r="D63" s="442"/>
      <c r="E63" s="443"/>
      <c r="F63" s="444"/>
      <c r="G63" s="445"/>
      <c r="H63" s="458"/>
      <c r="I63" s="458"/>
      <c r="J63" s="476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[16]January_2019!L6</f>
        <v>0</v>
      </c>
      <c r="AC63" s="57">
        <f>[16]January_2019!M6</f>
        <v>0</v>
      </c>
      <c r="AD63" s="57">
        <f>[16]January_2019!N6</f>
        <v>0</v>
      </c>
      <c r="AE63" s="57">
        <f>[16]January_2019!O6</f>
        <v>0</v>
      </c>
      <c r="AF63" s="57">
        <f>[16]January_2019!P6</f>
        <v>0</v>
      </c>
      <c r="AG63" s="57">
        <f>[16]January_2019!Q6</f>
        <v>0</v>
      </c>
      <c r="AH63" s="57">
        <f>[16]January_2019!R6</f>
        <v>0</v>
      </c>
      <c r="AI63" s="57">
        <f>[16]January_2019!S6</f>
        <v>0</v>
      </c>
      <c r="AJ63" s="57">
        <f>[16]January_2019!T6</f>
        <v>0</v>
      </c>
      <c r="AK63" s="57">
        <f>[16]January_2019!U6</f>
        <v>0</v>
      </c>
      <c r="AL63" s="57">
        <f>[16]January_2019!V6</f>
        <v>0</v>
      </c>
      <c r="AM63" s="57">
        <f>[16]January_2019!W6</f>
        <v>0</v>
      </c>
      <c r="AN63" s="57">
        <f>[16]January_2019!X6</f>
        <v>0</v>
      </c>
      <c r="AO63" s="57">
        <f>[16]January_2019!Y6</f>
        <v>0</v>
      </c>
      <c r="AP63" s="57">
        <f>[16]January_2019!Z6</f>
        <v>0</v>
      </c>
      <c r="AQ63" s="57">
        <f>[16]January_2019!AA6</f>
        <v>0</v>
      </c>
      <c r="AR63" s="57">
        <f>[16]January_2019!AB6</f>
        <v>0</v>
      </c>
      <c r="AS63" s="57">
        <f>[16]January_2019!AC6</f>
        <v>0</v>
      </c>
      <c r="AT63" s="57">
        <f>[16]January_2019!AD6</f>
        <v>0</v>
      </c>
      <c r="AU63" s="57">
        <f>[16]January_2019!AE6</f>
        <v>0</v>
      </c>
      <c r="AV63" s="57">
        <f>[16]January_2019!AF6</f>
        <v>0</v>
      </c>
      <c r="AW63" s="57">
        <f>[16]January_2019!AG6</f>
        <v>0</v>
      </c>
      <c r="AX63" s="277">
        <f>[16]January_2019!AH6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37.15" hidden="1" customHeight="1" thickBot="1">
      <c r="B64" s="503"/>
      <c r="C64" s="479"/>
      <c r="D64" s="442"/>
      <c r="E64" s="443"/>
      <c r="F64" s="444"/>
      <c r="G64" s="445"/>
      <c r="H64" s="458"/>
      <c r="I64" s="458"/>
      <c r="J64" s="448"/>
      <c r="K64" s="44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[16]January_2019!L7</f>
        <v>285.8</v>
      </c>
      <c r="AC64" s="57">
        <f>[16]January_2019!M7</f>
        <v>508.1</v>
      </c>
      <c r="AD64" s="57">
        <f>[16]January_2019!N7</f>
        <v>0</v>
      </c>
      <c r="AE64" s="57">
        <f>[16]January_2019!O7</f>
        <v>0</v>
      </c>
      <c r="AF64" s="57">
        <f>[16]January_2019!P7</f>
        <v>109.56666666666666</v>
      </c>
      <c r="AG64" s="57">
        <f>[16]January_2019!Q7</f>
        <v>297.64999999999998</v>
      </c>
      <c r="AH64" s="57">
        <f>[16]January_2019!R7</f>
        <v>122.3</v>
      </c>
      <c r="AI64" s="57">
        <f>[16]January_2019!S7</f>
        <v>0</v>
      </c>
      <c r="AJ64" s="57">
        <f>[16]January_2019!T7</f>
        <v>294.7</v>
      </c>
      <c r="AK64" s="57">
        <f>[16]January_2019!U7</f>
        <v>280.5</v>
      </c>
      <c r="AL64" s="57">
        <f>[16]January_2019!V7</f>
        <v>0</v>
      </c>
      <c r="AM64" s="57">
        <f>[16]January_2019!W7</f>
        <v>0</v>
      </c>
      <c r="AN64" s="57">
        <f>[16]January_2019!X7</f>
        <v>188.25</v>
      </c>
      <c r="AO64" s="57">
        <f>[16]January_2019!Y7</f>
        <v>295.7</v>
      </c>
      <c r="AP64" s="57">
        <f>[16]January_2019!Z7</f>
        <v>257.8</v>
      </c>
      <c r="AQ64" s="57">
        <f>[16]January_2019!AA7</f>
        <v>291.2</v>
      </c>
      <c r="AR64" s="57">
        <f>[16]January_2019!AB7</f>
        <v>187</v>
      </c>
      <c r="AS64" s="57">
        <f>[16]January_2019!AC7</f>
        <v>0</v>
      </c>
      <c r="AT64" s="57">
        <f>[16]January_2019!AD7</f>
        <v>0</v>
      </c>
      <c r="AU64" s="57">
        <f>[16]January_2019!AE7</f>
        <v>485.1</v>
      </c>
      <c r="AV64" s="57">
        <f>[16]January_2019!AF7</f>
        <v>171.55</v>
      </c>
      <c r="AW64" s="57">
        <f>[16]January_2019!AG7</f>
        <v>423.8</v>
      </c>
      <c r="AX64" s="277">
        <f>[16]January_2019!AH7</f>
        <v>0</v>
      </c>
      <c r="AY64" s="277"/>
      <c r="AZ64" s="277"/>
      <c r="BA64" s="277"/>
      <c r="BB64" s="277"/>
      <c r="BC64" s="277"/>
      <c r="BD64" s="277"/>
      <c r="BE64" s="277"/>
    </row>
    <row r="65" spans="2:57" s="54" customFormat="1" ht="19.5" hidden="1" customHeight="1" thickBot="1">
      <c r="B65" s="478"/>
      <c r="C65" s="430"/>
      <c r="D65" s="431"/>
      <c r="E65" s="432"/>
      <c r="F65" s="433"/>
      <c r="G65" s="434"/>
      <c r="H65" s="458"/>
      <c r="I65" s="458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8.450000000000003" hidden="1" customHeight="1" thickBot="1">
      <c r="B66" s="480"/>
      <c r="C66" s="479"/>
      <c r="D66" s="442"/>
      <c r="E66" s="443"/>
      <c r="F66" s="444"/>
      <c r="G66" s="445"/>
      <c r="H66" s="458"/>
      <c r="I66" s="458"/>
      <c r="J66" s="448"/>
      <c r="K66" s="45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5" hidden="1">
      <c r="B67" s="453"/>
      <c r="C67" s="430"/>
      <c r="D67" s="431"/>
      <c r="E67" s="432"/>
      <c r="F67" s="433"/>
      <c r="G67" s="434"/>
      <c r="H67" s="435"/>
      <c r="I67" s="450"/>
      <c r="J67" s="451"/>
      <c r="K67" s="436"/>
      <c r="L67" s="452"/>
      <c r="M67" s="421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15" hidden="1" customHeight="1" thickBot="1">
      <c r="B68" s="484"/>
      <c r="C68" s="479"/>
      <c r="D68" s="442"/>
      <c r="E68" s="443"/>
      <c r="F68" s="444"/>
      <c r="G68" s="445"/>
      <c r="H68" s="446"/>
      <c r="I68" s="447"/>
      <c r="J68" s="448"/>
      <c r="K68" s="449"/>
      <c r="L68" s="457"/>
      <c r="M68" s="455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16.5" hidden="1" customHeight="1" thickBot="1">
      <c r="B69" s="437"/>
      <c r="C69" s="423"/>
      <c r="D69" s="424"/>
      <c r="E69" s="425"/>
      <c r="F69" s="426"/>
      <c r="G69" s="427"/>
      <c r="H69" s="428"/>
      <c r="I69" s="438"/>
      <c r="J69" s="439"/>
      <c r="K69" s="429"/>
      <c r="L69" s="440"/>
      <c r="M69" s="422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5"/>
      <c r="AC69" s="415"/>
      <c r="AD69" s="415"/>
      <c r="AE69" s="415"/>
      <c r="AF69" s="415"/>
      <c r="AG69" s="415"/>
      <c r="AH69" s="415"/>
      <c r="AI69" s="415"/>
      <c r="AJ69" s="415"/>
      <c r="AK69" s="415"/>
      <c r="AL69" s="415"/>
      <c r="AM69" s="415"/>
      <c r="AN69" s="415"/>
      <c r="AO69" s="415"/>
      <c r="AP69" s="415"/>
      <c r="AQ69" s="415"/>
      <c r="AR69" s="415"/>
      <c r="AS69" s="415"/>
      <c r="AT69" s="415"/>
      <c r="AU69" s="415"/>
      <c r="AV69" s="415"/>
      <c r="AW69" s="415"/>
    </row>
    <row r="70" spans="2:57" s="54" customFormat="1" ht="37.15" hidden="1" customHeight="1" thickBot="1">
      <c r="B70" s="456"/>
      <c r="C70" s="441"/>
      <c r="D70" s="442"/>
      <c r="E70" s="443"/>
      <c r="F70" s="444"/>
      <c r="G70" s="445"/>
      <c r="H70" s="446"/>
      <c r="I70" s="447"/>
      <c r="J70" s="448"/>
      <c r="K70" s="449"/>
      <c r="L70" s="457"/>
      <c r="M70" s="454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s="54" customFormat="1" ht="37.15" customHeight="1">
      <c r="B71" s="466"/>
      <c r="C71" s="430"/>
      <c r="D71" s="460"/>
      <c r="E71" s="461"/>
      <c r="F71" s="462"/>
      <c r="G71" s="460"/>
      <c r="H71" s="463"/>
      <c r="I71" s="463"/>
      <c r="J71" s="463"/>
      <c r="K71" s="464"/>
      <c r="L71" s="465"/>
      <c r="M71" s="50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277"/>
      <c r="AY71" s="277"/>
      <c r="AZ71" s="277"/>
      <c r="BA71" s="277"/>
      <c r="BB71" s="277"/>
      <c r="BC71" s="277"/>
      <c r="BD71" s="277"/>
      <c r="BE71" s="277"/>
    </row>
    <row r="72" spans="2:57" ht="18" customHeight="1" thickBot="1">
      <c r="B72" s="59"/>
      <c r="C72" s="30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 t="s">
        <v>41</v>
      </c>
      <c r="O72" s="56"/>
      <c r="P72" s="60"/>
    </row>
    <row r="73" spans="2:57" ht="15.75" thickBot="1">
      <c r="B73" s="509" t="s">
        <v>55</v>
      </c>
      <c r="C73" s="510"/>
      <c r="D73" s="510"/>
      <c r="E73" s="510"/>
      <c r="F73" s="511"/>
      <c r="G73" s="509" t="s">
        <v>56</v>
      </c>
      <c r="H73" s="510"/>
      <c r="I73" s="510"/>
      <c r="J73" s="511"/>
      <c r="K73" s="509" t="s">
        <v>51</v>
      </c>
      <c r="L73" s="510"/>
      <c r="M73" s="510"/>
      <c r="N73" s="512"/>
      <c r="O73" s="56"/>
      <c r="P73" s="50"/>
    </row>
    <row r="74" spans="2:57" ht="15">
      <c r="B74" s="61" t="s">
        <v>17</v>
      </c>
      <c r="C74" s="62" t="s">
        <v>36</v>
      </c>
      <c r="D74" s="62" t="s">
        <v>37</v>
      </c>
      <c r="E74" s="62" t="s">
        <v>38</v>
      </c>
      <c r="F74" s="63" t="s">
        <v>39</v>
      </c>
      <c r="G74" s="62" t="s">
        <v>36</v>
      </c>
      <c r="H74" s="62" t="s">
        <v>37</v>
      </c>
      <c r="I74" s="62" t="s">
        <v>38</v>
      </c>
      <c r="J74" s="63" t="s">
        <v>39</v>
      </c>
      <c r="K74" s="62"/>
      <c r="L74" s="62" t="s">
        <v>37</v>
      </c>
      <c r="M74" s="62" t="s">
        <v>38</v>
      </c>
      <c r="N74" s="63" t="s">
        <v>39</v>
      </c>
      <c r="O74" s="56"/>
      <c r="P74" s="64"/>
    </row>
    <row r="75" spans="2:57" ht="15">
      <c r="B75" s="29" t="s">
        <v>6</v>
      </c>
      <c r="C75" s="65"/>
      <c r="D75" s="76">
        <v>3.8658543160618839</v>
      </c>
      <c r="E75" s="76">
        <v>6.3938589380984556</v>
      </c>
      <c r="F75" s="66">
        <v>4.8</v>
      </c>
      <c r="G75" s="65"/>
      <c r="H75" s="477">
        <v>4.4851350232047578</v>
      </c>
      <c r="I75" s="477">
        <v>6.2050116685766472</v>
      </c>
      <c r="J75" s="66">
        <v>4.8</v>
      </c>
      <c r="K75" s="67"/>
      <c r="L75" s="194">
        <v>0.72988304093567247</v>
      </c>
      <c r="M75" s="194">
        <v>0.52120689914926077</v>
      </c>
      <c r="N75" s="68">
        <v>1</v>
      </c>
      <c r="O75" s="56"/>
      <c r="P75" s="69"/>
    </row>
    <row r="76" spans="2:57" ht="15">
      <c r="B76" s="33" t="s">
        <v>9</v>
      </c>
      <c r="C76" s="65">
        <f>L62</f>
        <v>2.2350107066381177</v>
      </c>
      <c r="D76" s="76">
        <v>7.6593348711335452</v>
      </c>
      <c r="E76" s="76">
        <v>6.0086960114967205</v>
      </c>
      <c r="F76" s="66">
        <v>4.8</v>
      </c>
      <c r="G76" s="65">
        <f>[14]June_2026!$AD$21</f>
        <v>3.3317333429418734</v>
      </c>
      <c r="H76" s="76">
        <v>7.8845028786019622</v>
      </c>
      <c r="I76" s="76">
        <v>5.710382377108818</v>
      </c>
      <c r="J76" s="66">
        <v>4.8</v>
      </c>
      <c r="K76" s="67">
        <f>K62</f>
        <v>1.0252631578947369</v>
      </c>
      <c r="L76" s="194">
        <v>0.88441520467836254</v>
      </c>
      <c r="M76" s="194">
        <v>0.70933480734346044</v>
      </c>
      <c r="N76" s="68">
        <v>1</v>
      </c>
      <c r="P76" s="69"/>
    </row>
    <row r="77" spans="2:57" ht="15">
      <c r="B77" s="34" t="s">
        <v>40</v>
      </c>
      <c r="C77" s="65"/>
      <c r="D77" s="76">
        <v>12.463627546071795</v>
      </c>
      <c r="E77" s="76">
        <v>11.596009975062332</v>
      </c>
      <c r="F77" s="66">
        <v>5.5</v>
      </c>
      <c r="G77" s="65"/>
      <c r="H77" s="76">
        <v>13.176885540709748</v>
      </c>
      <c r="I77" s="76">
        <v>12.705454422449741</v>
      </c>
      <c r="J77" s="66">
        <v>5.5</v>
      </c>
      <c r="K77" s="67"/>
      <c r="L77" s="194">
        <v>0.18095238095238095</v>
      </c>
      <c r="M77" s="194">
        <v>0.25516722361459199</v>
      </c>
      <c r="N77" s="68">
        <v>1</v>
      </c>
      <c r="P77" s="69"/>
    </row>
    <row r="78" spans="2:57" ht="15">
      <c r="B78" s="22" t="s">
        <v>33</v>
      </c>
      <c r="C78" s="65"/>
      <c r="D78" s="76"/>
      <c r="E78" s="76">
        <v>4.7166249493098773</v>
      </c>
      <c r="F78" s="66">
        <v>3.3</v>
      </c>
      <c r="G78" s="65"/>
      <c r="H78" s="76"/>
      <c r="I78" s="76">
        <v>4.7393662692065543</v>
      </c>
      <c r="J78" s="66">
        <v>3.3</v>
      </c>
      <c r="K78" s="67"/>
      <c r="L78" s="194"/>
      <c r="M78" s="194">
        <v>0.73604010025062661</v>
      </c>
      <c r="N78" s="68">
        <v>1</v>
      </c>
      <c r="P78" s="69"/>
    </row>
    <row r="79" spans="2:57" ht="15">
      <c r="B79" s="35" t="s">
        <v>164</v>
      </c>
      <c r="C79" s="65"/>
      <c r="D79" s="76"/>
      <c r="E79" s="76"/>
      <c r="F79" s="66">
        <v>3.3</v>
      </c>
      <c r="G79" s="282"/>
      <c r="H79" s="76"/>
      <c r="I79" s="76"/>
      <c r="J79" s="66">
        <v>3</v>
      </c>
      <c r="K79" s="67"/>
      <c r="L79" s="194"/>
      <c r="M79" s="194"/>
      <c r="N79" s="68">
        <v>1</v>
      </c>
      <c r="P79" s="69"/>
    </row>
    <row r="80" spans="2:57" ht="15">
      <c r="B80" s="36" t="s">
        <v>15</v>
      </c>
      <c r="C80" s="76"/>
      <c r="D80" s="76"/>
      <c r="E80" s="76">
        <v>5.1541347251672045</v>
      </c>
      <c r="F80" s="483">
        <v>5.5</v>
      </c>
      <c r="G80" s="282"/>
      <c r="H80" s="76"/>
      <c r="I80" s="76">
        <v>7.4989046872874194</v>
      </c>
      <c r="J80" s="66">
        <v>5.5</v>
      </c>
      <c r="K80" s="67"/>
      <c r="L80" s="194"/>
      <c r="M80" s="194">
        <v>1.0201754385964912</v>
      </c>
      <c r="N80" s="68">
        <v>1</v>
      </c>
      <c r="P80" s="69"/>
    </row>
    <row r="81" spans="2:16" ht="15">
      <c r="B81" s="37" t="s">
        <v>16</v>
      </c>
      <c r="C81" s="485"/>
      <c r="D81" s="76">
        <v>3.8064469113610451</v>
      </c>
      <c r="E81" s="76">
        <v>3.7425354424032347</v>
      </c>
      <c r="F81" s="66">
        <v>3.3</v>
      </c>
      <c r="G81" s="282"/>
      <c r="H81" s="76">
        <v>5.1620200172171886</v>
      </c>
      <c r="I81" s="76">
        <v>4.8813740630219202</v>
      </c>
      <c r="J81" s="66">
        <v>3.3</v>
      </c>
      <c r="K81" s="67"/>
      <c r="L81" s="194">
        <v>0.69473684210526321</v>
      </c>
      <c r="M81" s="194">
        <v>0.82729694606887583</v>
      </c>
      <c r="N81" s="71">
        <v>1</v>
      </c>
      <c r="P81" s="69"/>
    </row>
    <row r="82" spans="2:16" ht="15.75" thickBot="1">
      <c r="B82" s="38" t="s">
        <v>163</v>
      </c>
      <c r="C82" s="65"/>
      <c r="D82" s="76"/>
      <c r="E82" s="76"/>
      <c r="F82" s="66">
        <v>7.5</v>
      </c>
      <c r="G82" s="282"/>
      <c r="H82" s="76"/>
      <c r="I82" s="76"/>
      <c r="J82" s="66">
        <v>7.5</v>
      </c>
      <c r="K82" s="67"/>
      <c r="L82" s="194"/>
      <c r="M82" s="194"/>
      <c r="N82" s="71">
        <v>1</v>
      </c>
      <c r="P82" s="69"/>
    </row>
    <row r="83" spans="2:16" ht="15.75" thickBot="1">
      <c r="B83" s="414" t="s">
        <v>161</v>
      </c>
      <c r="C83" s="65"/>
      <c r="D83" s="76"/>
      <c r="E83" s="76"/>
      <c r="F83" s="66">
        <v>4.8</v>
      </c>
      <c r="G83" s="282"/>
      <c r="H83" s="76"/>
      <c r="I83" s="76"/>
      <c r="J83" s="66">
        <v>4.8</v>
      </c>
      <c r="K83" s="67"/>
      <c r="L83" s="194"/>
      <c r="M83" s="194"/>
      <c r="N83" s="71">
        <v>1</v>
      </c>
      <c r="O83" s="74"/>
      <c r="P83" s="75"/>
    </row>
    <row r="84" spans="2:16" ht="15">
      <c r="D84" s="76">
        <v>6.2540716612377825</v>
      </c>
      <c r="E84" s="76">
        <v>6.3069156678745149</v>
      </c>
      <c r="F84" s="341">
        <v>5.5</v>
      </c>
      <c r="H84" s="76">
        <v>7.1254433693618529</v>
      </c>
      <c r="I84" s="76">
        <v>6.4500849430683722</v>
      </c>
      <c r="J84" s="341">
        <v>5.5</v>
      </c>
      <c r="L84" s="194">
        <v>0.71482299498746871</v>
      </c>
      <c r="M84" s="194">
        <v>0.58740580091685801</v>
      </c>
      <c r="N8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1:N31"/>
    <mergeCell ref="D32:E32"/>
    <mergeCell ref="B33:B44"/>
    <mergeCell ref="D33:E34"/>
    <mergeCell ref="D35:E36"/>
    <mergeCell ref="D37:E38"/>
    <mergeCell ref="D39:E40"/>
    <mergeCell ref="D41:E42"/>
    <mergeCell ref="D43:E44"/>
    <mergeCell ref="B45:B54"/>
    <mergeCell ref="D45:E46"/>
    <mergeCell ref="J45:K45"/>
    <mergeCell ref="L46:N46"/>
    <mergeCell ref="D47:E48"/>
    <mergeCell ref="D49:E50"/>
    <mergeCell ref="D51:E52"/>
    <mergeCell ref="D53:E54"/>
    <mergeCell ref="D55:E55"/>
    <mergeCell ref="B60:B61"/>
    <mergeCell ref="C60:C61"/>
    <mergeCell ref="D60:D61"/>
    <mergeCell ref="E60:E61"/>
    <mergeCell ref="M60:M61"/>
    <mergeCell ref="B73:F73"/>
    <mergeCell ref="G73:J73"/>
    <mergeCell ref="K73:N73"/>
    <mergeCell ref="G60:G61"/>
    <mergeCell ref="H60:H61"/>
    <mergeCell ref="I60:I61"/>
    <mergeCell ref="J60:J61"/>
    <mergeCell ref="K60:K61"/>
    <mergeCell ref="L60:L61"/>
    <mergeCell ref="F60:F61"/>
  </mergeCells>
  <conditionalFormatting sqref="B55:B56">
    <cfRule type="cellIs" dxfId="554" priority="143" operator="notBetween">
      <formula>#REF!</formula>
      <formula>#REF!</formula>
    </cfRule>
  </conditionalFormatting>
  <conditionalFormatting sqref="C59">
    <cfRule type="cellIs" dxfId="553" priority="232" stopIfTrue="1" operator="lessThan">
      <formula>96</formula>
    </cfRule>
    <cfRule type="cellIs" dxfId="552" priority="233" stopIfTrue="1" operator="greaterThan">
      <formula>100</formula>
    </cfRule>
  </conditionalFormatting>
  <conditionalFormatting sqref="C75:C76">
    <cfRule type="cellIs" dxfId="551" priority="106" stopIfTrue="1" operator="lessThanOrEqual">
      <formula>0</formula>
    </cfRule>
    <cfRule type="cellIs" dxfId="550" priority="105" stopIfTrue="1" operator="greaterThan">
      <formula>$F75</formula>
    </cfRule>
    <cfRule type="cellIs" dxfId="549" priority="104" stopIfTrue="1" operator="lessThanOrEqual">
      <formula>0</formula>
    </cfRule>
    <cfRule type="cellIs" dxfId="548" priority="103" stopIfTrue="1" operator="greaterThan">
      <formula>$F75</formula>
    </cfRule>
  </conditionalFormatting>
  <conditionalFormatting sqref="C77:C79 C81:C83">
    <cfRule type="cellIs" dxfId="547" priority="113" stopIfTrue="1" operator="greaterThan">
      <formula>$F80</formula>
    </cfRule>
  </conditionalFormatting>
  <conditionalFormatting sqref="C77:C79">
    <cfRule type="cellIs" dxfId="546" priority="114" stopIfTrue="1" operator="lessThanOrEqual">
      <formula>0</formula>
    </cfRule>
  </conditionalFormatting>
  <conditionalFormatting sqref="C81:C83">
    <cfRule type="cellIs" dxfId="545" priority="115" stopIfTrue="1" operator="lessThanOrEqual">
      <formula>0</formula>
    </cfRule>
  </conditionalFormatting>
  <conditionalFormatting sqref="C86:C90">
    <cfRule type="cellIs" dxfId="544" priority="224" stopIfTrue="1" operator="lessThanOrEqual">
      <formula>0</formula>
    </cfRule>
  </conditionalFormatting>
  <conditionalFormatting sqref="C87:C90">
    <cfRule type="cellIs" dxfId="543" priority="223" stopIfTrue="1" operator="greaterThan">
      <formula>$F$86</formula>
    </cfRule>
  </conditionalFormatting>
  <conditionalFormatting sqref="C92">
    <cfRule type="cellIs" dxfId="542" priority="226" stopIfTrue="1" operator="lessThanOrEqual">
      <formula>0</formula>
    </cfRule>
    <cfRule type="cellIs" dxfId="541" priority="225" stopIfTrue="1" operator="greaterThan">
      <formula>$F$86</formula>
    </cfRule>
  </conditionalFormatting>
  <conditionalFormatting sqref="C80:D80">
    <cfRule type="cellIs" dxfId="540" priority="102" stopIfTrue="1" operator="lessThanOrEqual">
      <formula>0</formula>
    </cfRule>
    <cfRule type="cellIs" dxfId="539" priority="101" stopIfTrue="1" operator="greaterThan">
      <formula>$J80</formula>
    </cfRule>
  </conditionalFormatting>
  <conditionalFormatting sqref="C86:D86 D88:D94">
    <cfRule type="cellIs" dxfId="538" priority="218" stopIfTrue="1" operator="greaterThan">
      <formula>4.5</formula>
    </cfRule>
  </conditionalFormatting>
  <conditionalFormatting sqref="D55:D56">
    <cfRule type="cellIs" dxfId="537" priority="144" operator="notBetween">
      <formula>#REF!</formula>
      <formula>#REF!</formula>
    </cfRule>
  </conditionalFormatting>
  <conditionalFormatting sqref="D75:D79 D81:D82">
    <cfRule type="cellIs" dxfId="536" priority="112" stopIfTrue="1" operator="lessThanOrEqual">
      <formula>0</formula>
    </cfRule>
  </conditionalFormatting>
  <conditionalFormatting sqref="D75:D79 D81:D84">
    <cfRule type="cellIs" dxfId="535" priority="109" stopIfTrue="1" operator="greaterThan">
      <formula>$F75</formula>
    </cfRule>
    <cfRule type="cellIs" dxfId="534" priority="108" stopIfTrue="1" operator="lessThanOrEqual">
      <formula>0</formula>
    </cfRule>
  </conditionalFormatting>
  <conditionalFormatting sqref="D83:D84">
    <cfRule type="cellIs" dxfId="533" priority="110" stopIfTrue="1" operator="lessThanOrEqual">
      <formula>0</formula>
    </cfRule>
  </conditionalFormatting>
  <conditionalFormatting sqref="D84">
    <cfRule type="cellIs" dxfId="532" priority="111" stopIfTrue="1" operator="lessThanOrEqual">
      <formula>0</formula>
    </cfRule>
  </conditionalFormatting>
  <conditionalFormatting sqref="D86 D88:D94">
    <cfRule type="cellIs" dxfId="531" priority="219" stopIfTrue="1" operator="lessThanOrEqual">
      <formula>0</formula>
    </cfRule>
  </conditionalFormatting>
  <conditionalFormatting sqref="D87">
    <cfRule type="cellIs" dxfId="530" priority="211" stopIfTrue="1" operator="lessThanOrEqual">
      <formula>0</formula>
    </cfRule>
    <cfRule type="cellIs" dxfId="529" priority="210" stopIfTrue="1" operator="greaterThan">
      <formula>$F$86</formula>
    </cfRule>
  </conditionalFormatting>
  <conditionalFormatting sqref="E10:E30">
    <cfRule type="cellIs" dxfId="528" priority="8" operator="lessThan">
      <formula>48</formula>
    </cfRule>
  </conditionalFormatting>
  <conditionalFormatting sqref="E58 E59:F59">
    <cfRule type="cellIs" dxfId="527" priority="215" stopIfTrue="1" operator="greaterThan">
      <formula>100</formula>
    </cfRule>
  </conditionalFormatting>
  <conditionalFormatting sqref="E59">
    <cfRule type="cellIs" dxfId="526" priority="213" stopIfTrue="1" operator="greaterThan">
      <formula>100</formula>
    </cfRule>
    <cfRule type="cellIs" dxfId="525" priority="212" stopIfTrue="1" operator="lessThan">
      <formula>96.8</formula>
    </cfRule>
  </conditionalFormatting>
  <conditionalFormatting sqref="E75:E83">
    <cfRule type="cellIs" dxfId="524" priority="70" stopIfTrue="1" operator="lessThanOrEqual">
      <formula>0</formula>
    </cfRule>
  </conditionalFormatting>
  <conditionalFormatting sqref="E75:E84">
    <cfRule type="cellIs" dxfId="523" priority="71" stopIfTrue="1" operator="greaterThan">
      <formula>$F75</formula>
    </cfRule>
    <cfRule type="cellIs" dxfId="522" priority="72" stopIfTrue="1" operator="lessThanOrEqual">
      <formula>0</formula>
    </cfRule>
  </conditionalFormatting>
  <conditionalFormatting sqref="E84">
    <cfRule type="cellIs" dxfId="521" priority="73" stopIfTrue="1" operator="lessThanOrEqual">
      <formula>0</formula>
    </cfRule>
  </conditionalFormatting>
  <conditionalFormatting sqref="E86:E94">
    <cfRule type="cellIs" dxfId="520" priority="205" stopIfTrue="1" operator="lessThanOrEqual">
      <formula>0</formula>
    </cfRule>
    <cfRule type="cellIs" dxfId="519" priority="204" stopIfTrue="1" operator="greaterThan">
      <formula>4.5</formula>
    </cfRule>
  </conditionalFormatting>
  <conditionalFormatting sqref="E59:F59 E58">
    <cfRule type="cellIs" dxfId="518" priority="214" stopIfTrue="1" operator="lessThan">
      <formula>96.5</formula>
    </cfRule>
  </conditionalFormatting>
  <conditionalFormatting sqref="F10:F26">
    <cfRule type="cellIs" dxfId="517" priority="10" operator="greaterThan">
      <formula>60</formula>
    </cfRule>
  </conditionalFormatting>
  <conditionalFormatting sqref="F30">
    <cfRule type="cellIs" dxfId="516" priority="61" operator="greaterThan">
      <formula>60</formula>
    </cfRule>
  </conditionalFormatting>
  <conditionalFormatting sqref="F59">
    <cfRule type="cellIs" dxfId="515" priority="231" stopIfTrue="1" operator="greaterThan">
      <formula>100</formula>
    </cfRule>
    <cfRule type="cellIs" dxfId="514" priority="230" stopIfTrue="1" operator="lessThan">
      <formula>96.8</formula>
    </cfRule>
  </conditionalFormatting>
  <conditionalFormatting sqref="F84">
    <cfRule type="cellIs" dxfId="513" priority="81" stopIfTrue="1" operator="greaterThan">
      <formula>$F84</formula>
    </cfRule>
    <cfRule type="cellIs" dxfId="512" priority="82" stopIfTrue="1" operator="lessThanOrEqual">
      <formula>0</formula>
    </cfRule>
  </conditionalFormatting>
  <conditionalFormatting sqref="G10:G30">
    <cfRule type="expression" dxfId="511" priority="12">
      <formula>IF(+(IF(G10&lt;S10,0,IF(G10&gt;T10,0,1)))=0,1)</formula>
    </cfRule>
  </conditionalFormatting>
  <conditionalFormatting sqref="G75:G76">
    <cfRule type="cellIs" dxfId="510" priority="83" stopIfTrue="1" operator="greaterThan">
      <formula>$F75</formula>
    </cfRule>
    <cfRule type="cellIs" dxfId="509" priority="84" stopIfTrue="1" operator="lessThanOrEqual">
      <formula>0</formula>
    </cfRule>
  </conditionalFormatting>
  <conditionalFormatting sqref="G75:G78">
    <cfRule type="cellIs" dxfId="508" priority="65" stopIfTrue="1" operator="greaterThan">
      <formula>$F75</formula>
    </cfRule>
    <cfRule type="cellIs" dxfId="507" priority="66" stopIfTrue="1" operator="lessThanOrEqual">
      <formula>0</formula>
    </cfRule>
  </conditionalFormatting>
  <conditionalFormatting sqref="G77">
    <cfRule type="cellIs" dxfId="506" priority="63" stopIfTrue="1" operator="greaterThan">
      <formula>$F77</formula>
    </cfRule>
    <cfRule type="cellIs" dxfId="505" priority="64" stopIfTrue="1" operator="lessThanOrEqual">
      <formula>0</formula>
    </cfRule>
  </conditionalFormatting>
  <conditionalFormatting sqref="G78">
    <cfRule type="cellIs" dxfId="504" priority="77" stopIfTrue="1" operator="greaterThan">
      <formula>$F78</formula>
    </cfRule>
    <cfRule type="cellIs" dxfId="503" priority="78" stopIfTrue="1" operator="lessThanOrEqual">
      <formula>0</formula>
    </cfRule>
  </conditionalFormatting>
  <conditionalFormatting sqref="G79:G83">
    <cfRule type="cellIs" dxfId="502" priority="86" stopIfTrue="1" operator="lessThanOrEqual">
      <formula>0</formula>
    </cfRule>
    <cfRule type="cellIs" dxfId="501" priority="85" stopIfTrue="1" operator="greaterThan">
      <formula>$J79</formula>
    </cfRule>
  </conditionalFormatting>
  <conditionalFormatting sqref="G88:G93 C91 C93">
    <cfRule type="cellIs" dxfId="500" priority="228" stopIfTrue="1" operator="lessThanOrEqual">
      <formula>0</formula>
    </cfRule>
    <cfRule type="cellIs" dxfId="499" priority="227" stopIfTrue="1" operator="greaterThan">
      <formula>4.5</formula>
    </cfRule>
  </conditionalFormatting>
  <conditionalFormatting sqref="G87:H87">
    <cfRule type="cellIs" dxfId="498" priority="208" stopIfTrue="1" operator="greaterThan">
      <formula>$F$86</formula>
    </cfRule>
    <cfRule type="cellIs" dxfId="497" priority="209" stopIfTrue="1" operator="lessThanOrEqual">
      <formula>0</formula>
    </cfRule>
  </conditionalFormatting>
  <conditionalFormatting sqref="H10:H30">
    <cfRule type="expression" dxfId="496" priority="9">
      <formula>IF(+(IF(H10&lt;#REF!,0,IF(H10&gt;#REF!,0,1)))=0,1)</formula>
    </cfRule>
  </conditionalFormatting>
  <conditionalFormatting sqref="H44:H45 H58">
    <cfRule type="cellIs" dxfId="495" priority="206" stopIfTrue="1" operator="greaterThan">
      <formula>0</formula>
    </cfRule>
  </conditionalFormatting>
  <conditionalFormatting sqref="H62">
    <cfRule type="cellIs" dxfId="494" priority="88" stopIfTrue="1" operator="lessThanOrEqual">
      <formula>0</formula>
    </cfRule>
    <cfRule type="cellIs" dxfId="493" priority="89" stopIfTrue="1" operator="greaterThan">
      <formula>$F$75</formula>
    </cfRule>
    <cfRule type="cellIs" dxfId="492" priority="98" stopIfTrue="1" operator="lessThanOrEqual">
      <formula>0</formula>
    </cfRule>
    <cfRule type="cellIs" dxfId="491" priority="97" stopIfTrue="1" operator="greaterThan">
      <formula>$F$78</formula>
    </cfRule>
    <cfRule type="cellIs" dxfId="490" priority="99" stopIfTrue="1" operator="greaterThan">
      <formula>$F$76</formula>
    </cfRule>
  </conditionalFormatting>
  <conditionalFormatting sqref="H62:H64">
    <cfRule type="cellIs" dxfId="489" priority="100" stopIfTrue="1" operator="lessThanOrEqual">
      <formula>0</formula>
    </cfRule>
  </conditionalFormatting>
  <conditionalFormatting sqref="H63:H64">
    <cfRule type="cellIs" dxfId="488" priority="116" stopIfTrue="1" operator="greaterThan">
      <formula>$F$75</formula>
    </cfRule>
    <cfRule type="cellIs" dxfId="487" priority="124" stopIfTrue="1" operator="greaterThan">
      <formula>$F$78</formula>
    </cfRule>
    <cfRule type="cellIs" dxfId="486" priority="125" stopIfTrue="1" operator="lessThanOrEqual">
      <formula>0</formula>
    </cfRule>
    <cfRule type="cellIs" dxfId="485" priority="126" stopIfTrue="1" operator="greaterThan">
      <formula>$F$76</formula>
    </cfRule>
  </conditionalFormatting>
  <conditionalFormatting sqref="H63:H66">
    <cfRule type="cellIs" dxfId="484" priority="127" stopIfTrue="1" operator="lessThanOrEqual">
      <formula>0</formula>
    </cfRule>
  </conditionalFormatting>
  <conditionalFormatting sqref="H65:H66">
    <cfRule type="cellIs" dxfId="483" priority="138" stopIfTrue="1" operator="greaterThan">
      <formula>$F$78</formula>
    </cfRule>
    <cfRule type="cellIs" dxfId="482" priority="139" stopIfTrue="1" operator="lessThanOrEqual">
      <formula>0</formula>
    </cfRule>
    <cfRule type="cellIs" dxfId="481" priority="141" stopIfTrue="1" operator="lessThanOrEqual">
      <formula>0</formula>
    </cfRule>
    <cfRule type="cellIs" dxfId="480" priority="140" stopIfTrue="1" operator="greaterThan">
      <formula>$F$76</formula>
    </cfRule>
    <cfRule type="cellIs" dxfId="479" priority="130" stopIfTrue="1" operator="greaterThan">
      <formula>$F$75</formula>
    </cfRule>
  </conditionalFormatting>
  <conditionalFormatting sqref="H67:H68">
    <cfRule type="cellIs" dxfId="478" priority="168" stopIfTrue="1" operator="lessThanOrEqual">
      <formula>0</formula>
    </cfRule>
    <cfRule type="cellIs" dxfId="477" priority="180" stopIfTrue="1" operator="lessThanOrEqual">
      <formula>0</formula>
    </cfRule>
    <cfRule type="cellIs" dxfId="476" priority="179" stopIfTrue="1" operator="greaterThan">
      <formula>#REF!</formula>
    </cfRule>
    <cfRule type="cellIs" dxfId="475" priority="178" stopIfTrue="1" operator="lessThanOrEqual">
      <formula>0</formula>
    </cfRule>
    <cfRule type="cellIs" dxfId="474" priority="177" stopIfTrue="1" operator="greaterThan">
      <formula>$F$30</formula>
    </cfRule>
    <cfRule type="cellIs" dxfId="473" priority="169" stopIfTrue="1" operator="greaterThan">
      <formula>#REF!</formula>
    </cfRule>
  </conditionalFormatting>
  <conditionalFormatting sqref="H69">
    <cfRule type="cellIs" dxfId="472" priority="194" stopIfTrue="1" operator="lessThanOrEqual">
      <formula>0</formula>
    </cfRule>
    <cfRule type="cellIs" dxfId="471" priority="193" stopIfTrue="1" operator="greaterThan">
      <formula>$F$44</formula>
    </cfRule>
    <cfRule type="cellIs" dxfId="470" priority="192" stopIfTrue="1" operator="lessThanOrEqual">
      <formula>0</formula>
    </cfRule>
    <cfRule type="cellIs" dxfId="469" priority="183" stopIfTrue="1" operator="greaterThan">
      <formula>$F$43</formula>
    </cfRule>
    <cfRule type="cellIs" dxfId="468" priority="191" stopIfTrue="1" operator="greaterThan">
      <formula>$F$46</formula>
    </cfRule>
    <cfRule type="cellIs" dxfId="467" priority="182" stopIfTrue="1" operator="lessThanOrEqual">
      <formula>0</formula>
    </cfRule>
  </conditionalFormatting>
  <conditionalFormatting sqref="H70:H71">
    <cfRule type="cellIs" dxfId="466" priority="154" stopIfTrue="1" operator="lessThanOrEqual">
      <formula>0</formula>
    </cfRule>
    <cfRule type="cellIs" dxfId="465" priority="155" stopIfTrue="1" operator="greaterThan">
      <formula>#REF!</formula>
    </cfRule>
    <cfRule type="cellIs" dxfId="464" priority="164" stopIfTrue="1" operator="lessThanOrEqual">
      <formula>0</formula>
    </cfRule>
    <cfRule type="cellIs" dxfId="463" priority="165" stopIfTrue="1" operator="greaterThan">
      <formula>#REF!</formula>
    </cfRule>
    <cfRule type="cellIs" dxfId="462" priority="166" stopIfTrue="1" operator="lessThanOrEqual">
      <formula>0</formula>
    </cfRule>
    <cfRule type="cellIs" dxfId="461" priority="163" stopIfTrue="1" operator="greaterThan">
      <formula>$F$30</formula>
    </cfRule>
  </conditionalFormatting>
  <conditionalFormatting sqref="H86 H88:H94">
    <cfRule type="cellIs" dxfId="460" priority="220" stopIfTrue="1" operator="greaterThan">
      <formula>4.5</formula>
    </cfRule>
    <cfRule type="cellIs" dxfId="459" priority="221" stopIfTrue="1" operator="lessThanOrEqual">
      <formula>0</formula>
    </cfRule>
  </conditionalFormatting>
  <conditionalFormatting sqref="H62:I62">
    <cfRule type="cellIs" dxfId="458" priority="90" stopIfTrue="1" operator="lessThanOrEqual">
      <formula>0</formula>
    </cfRule>
  </conditionalFormatting>
  <conditionalFormatting sqref="H62:I66">
    <cfRule type="cellIs" dxfId="457" priority="87" stopIfTrue="1" operator="greaterThan">
      <formula>$F$77</formula>
    </cfRule>
  </conditionalFormatting>
  <conditionalFormatting sqref="H63:I64">
    <cfRule type="cellIs" dxfId="456" priority="117" stopIfTrue="1" operator="lessThanOrEqual">
      <formula>0</formula>
    </cfRule>
  </conditionalFormatting>
  <conditionalFormatting sqref="H65:I66">
    <cfRule type="cellIs" dxfId="455" priority="131" stopIfTrue="1" operator="lessThanOrEqual">
      <formula>0</formula>
    </cfRule>
  </conditionalFormatting>
  <conditionalFormatting sqref="H67:I68">
    <cfRule type="cellIs" dxfId="454" priority="167" stopIfTrue="1" operator="greaterThan">
      <formula>#REF!</formula>
    </cfRule>
    <cfRule type="cellIs" dxfId="453" priority="170" stopIfTrue="1" operator="lessThanOrEqual">
      <formula>0</formula>
    </cfRule>
  </conditionalFormatting>
  <conditionalFormatting sqref="H69:I69">
    <cfRule type="cellIs" dxfId="452" priority="184" stopIfTrue="1" operator="lessThanOrEqual">
      <formula>0</formula>
    </cfRule>
    <cfRule type="cellIs" dxfId="451" priority="181" stopIfTrue="1" operator="greaterThan">
      <formula>$F$45</formula>
    </cfRule>
  </conditionalFormatting>
  <conditionalFormatting sqref="H70:I71">
    <cfRule type="cellIs" dxfId="450" priority="153" stopIfTrue="1" operator="greaterThan">
      <formula>#REF!</formula>
    </cfRule>
    <cfRule type="cellIs" dxfId="449" priority="156" stopIfTrue="1" operator="lessThanOrEqual">
      <formula>0</formula>
    </cfRule>
  </conditionalFormatting>
  <conditionalFormatting sqref="H75:I82">
    <cfRule type="cellIs" dxfId="448" priority="68" stopIfTrue="1" operator="greaterThan">
      <formula>$J75</formula>
    </cfRule>
    <cfRule type="cellIs" dxfId="447" priority="69" stopIfTrue="1" operator="lessThanOrEqual">
      <formula>0</formula>
    </cfRule>
  </conditionalFormatting>
  <conditionalFormatting sqref="H83:I83">
    <cfRule type="cellIs" dxfId="446" priority="76" operator="greaterThan">
      <formula>5.3</formula>
    </cfRule>
  </conditionalFormatting>
  <conditionalFormatting sqref="H84:I84">
    <cfRule type="cellIs" dxfId="445" priority="74" stopIfTrue="1" operator="greaterThan">
      <formula>$J84</formula>
    </cfRule>
    <cfRule type="cellIs" dxfId="444" priority="75" stopIfTrue="1" operator="lessThanOrEqual">
      <formula>0</formula>
    </cfRule>
  </conditionalFormatting>
  <conditionalFormatting sqref="I62">
    <cfRule type="cellIs" dxfId="443" priority="95" stopIfTrue="1" operator="greaterThan">
      <formula>$F$75</formula>
    </cfRule>
    <cfRule type="cellIs" dxfId="442" priority="96" stopIfTrue="1" operator="lessThanOrEqual">
      <formula>0</formula>
    </cfRule>
    <cfRule type="cellIs" dxfId="441" priority="92" stopIfTrue="1" operator="lessThanOrEqual">
      <formula>0</formula>
    </cfRule>
    <cfRule type="cellIs" dxfId="440" priority="93" stopIfTrue="1" operator="greaterThan">
      <formula>$F$77</formula>
    </cfRule>
    <cfRule type="cellIs" dxfId="439" priority="91" stopIfTrue="1" operator="greaterThan">
      <formula>$F$75</formula>
    </cfRule>
    <cfRule type="cellIs" dxfId="438" priority="94" stopIfTrue="1" operator="lessThanOrEqual">
      <formula>0</formula>
    </cfRule>
  </conditionalFormatting>
  <conditionalFormatting sqref="I63:I64">
    <cfRule type="cellIs" dxfId="437" priority="123" stopIfTrue="1" operator="lessThanOrEqual">
      <formula>0</formula>
    </cfRule>
    <cfRule type="cellIs" dxfId="436" priority="122" stopIfTrue="1" operator="greaterThan">
      <formula>$F$75</formula>
    </cfRule>
    <cfRule type="cellIs" dxfId="435" priority="118" stopIfTrue="1" operator="greaterThan">
      <formula>$F$75</formula>
    </cfRule>
    <cfRule type="cellIs" dxfId="434" priority="121" stopIfTrue="1" operator="lessThanOrEqual">
      <formula>0</formula>
    </cfRule>
    <cfRule type="cellIs" dxfId="433" priority="119" stopIfTrue="1" operator="lessThanOrEqual">
      <formula>0</formula>
    </cfRule>
    <cfRule type="cellIs" dxfId="432" priority="120" stopIfTrue="1" operator="greaterThan">
      <formula>$F$77</formula>
    </cfRule>
  </conditionalFormatting>
  <conditionalFormatting sqref="I65:I66">
    <cfRule type="cellIs" dxfId="431" priority="137" stopIfTrue="1" operator="lessThanOrEqual">
      <formula>0</formula>
    </cfRule>
    <cfRule type="cellIs" dxfId="430" priority="136" stopIfTrue="1" operator="greaterThan">
      <formula>$F$75</formula>
    </cfRule>
    <cfRule type="cellIs" dxfId="429" priority="135" stopIfTrue="1" operator="lessThanOrEqual">
      <formula>0</formula>
    </cfRule>
    <cfRule type="cellIs" dxfId="428" priority="134" stopIfTrue="1" operator="greaterThan">
      <formula>$F$77</formula>
    </cfRule>
    <cfRule type="cellIs" dxfId="427" priority="133" stopIfTrue="1" operator="lessThanOrEqual">
      <formula>0</formula>
    </cfRule>
    <cfRule type="cellIs" dxfId="426" priority="132" stopIfTrue="1" operator="greaterThan">
      <formula>$F$75</formula>
    </cfRule>
  </conditionalFormatting>
  <conditionalFormatting sqref="I67:I68">
    <cfRule type="cellIs" dxfId="425" priority="176" stopIfTrue="1" operator="lessThanOrEqual">
      <formula>0</formula>
    </cfRule>
    <cfRule type="cellIs" dxfId="424" priority="171" stopIfTrue="1" operator="greaterThan">
      <formula>#REF!</formula>
    </cfRule>
    <cfRule type="cellIs" dxfId="423" priority="172" stopIfTrue="1" operator="lessThanOrEqual">
      <formula>0</formula>
    </cfRule>
    <cfRule type="cellIs" dxfId="422" priority="173" stopIfTrue="1" operator="greaterThan">
      <formula>#REF!</formula>
    </cfRule>
    <cfRule type="cellIs" dxfId="421" priority="174" stopIfTrue="1" operator="lessThanOrEqual">
      <formula>0</formula>
    </cfRule>
    <cfRule type="cellIs" dxfId="420" priority="175" stopIfTrue="1" operator="greaterThan">
      <formula>#REF!</formula>
    </cfRule>
  </conditionalFormatting>
  <conditionalFormatting sqref="I69">
    <cfRule type="cellIs" dxfId="419" priority="188" stopIfTrue="1" operator="lessThanOrEqual">
      <formula>0</formula>
    </cfRule>
    <cfRule type="cellIs" dxfId="418" priority="189" stopIfTrue="1" operator="greaterThan">
      <formula>$F$43</formula>
    </cfRule>
    <cfRule type="cellIs" dxfId="417" priority="190" stopIfTrue="1" operator="lessThanOrEqual">
      <formula>0</formula>
    </cfRule>
    <cfRule type="cellIs" dxfId="416" priority="185" stopIfTrue="1" operator="greaterThan">
      <formula>$F$43</formula>
    </cfRule>
    <cfRule type="cellIs" dxfId="415" priority="186" stopIfTrue="1" operator="lessThanOrEqual">
      <formula>0</formula>
    </cfRule>
    <cfRule type="cellIs" dxfId="414" priority="187" stopIfTrue="1" operator="greaterThan">
      <formula>$F$45</formula>
    </cfRule>
  </conditionalFormatting>
  <conditionalFormatting sqref="I70:I71">
    <cfRule type="cellIs" dxfId="413" priority="161" stopIfTrue="1" operator="greaterThan">
      <formula>#REF!</formula>
    </cfRule>
    <cfRule type="cellIs" dxfId="412" priority="157" stopIfTrue="1" operator="greaterThan">
      <formula>#REF!</formula>
    </cfRule>
    <cfRule type="cellIs" dxfId="411" priority="158" stopIfTrue="1" operator="lessThanOrEqual">
      <formula>0</formula>
    </cfRule>
    <cfRule type="cellIs" dxfId="410" priority="160" stopIfTrue="1" operator="lessThanOrEqual">
      <formula>0</formula>
    </cfRule>
    <cfRule type="cellIs" dxfId="409" priority="159" stopIfTrue="1" operator="greaterThan">
      <formula>#REF!</formula>
    </cfRule>
    <cfRule type="cellIs" dxfId="408" priority="162" stopIfTrue="1" operator="lessThanOrEqual">
      <formula>0</formula>
    </cfRule>
  </conditionalFormatting>
  <conditionalFormatting sqref="I86:I94">
    <cfRule type="cellIs" dxfId="407" priority="216" stopIfTrue="1" operator="greaterThan">
      <formula>4.5</formula>
    </cfRule>
    <cfRule type="cellIs" dxfId="406" priority="217" stopIfTrue="1" operator="lessThanOrEqual">
      <formula>0</formula>
    </cfRule>
  </conditionalFormatting>
  <conditionalFormatting sqref="I10:J30">
    <cfRule type="cellIs" dxfId="405" priority="2" operator="lessThan">
      <formula>97.9</formula>
    </cfRule>
  </conditionalFormatting>
  <conditionalFormatting sqref="J33:J34">
    <cfRule type="cellIs" dxfId="404" priority="129" operator="lessThan">
      <formula>97.95</formula>
    </cfRule>
  </conditionalFormatting>
  <conditionalFormatting sqref="J35">
    <cfRule type="cellIs" dxfId="403" priority="198" operator="lessThan">
      <formula>98</formula>
    </cfRule>
    <cfRule type="cellIs" dxfId="402" priority="196" stopIfTrue="1" operator="lessThan">
      <formula>96.8</formula>
    </cfRule>
    <cfRule type="cellIs" dxfId="401" priority="197" stopIfTrue="1" operator="greaterThan">
      <formula>100</formula>
    </cfRule>
  </conditionalFormatting>
  <conditionalFormatting sqref="J35:J37">
    <cfRule type="cellIs" dxfId="400" priority="195" operator="lessThan">
      <formula>97.4</formula>
    </cfRule>
  </conditionalFormatting>
  <conditionalFormatting sqref="J38:J39">
    <cfRule type="cellIs" dxfId="399" priority="199" operator="lessThan">
      <formula>98</formula>
    </cfRule>
  </conditionalFormatting>
  <conditionalFormatting sqref="J40:J41">
    <cfRule type="cellIs" dxfId="398" priority="200" stopIfTrue="1" operator="lessThan">
      <formula>96.8</formula>
    </cfRule>
    <cfRule type="cellIs" dxfId="397" priority="201" stopIfTrue="1" operator="greaterThan">
      <formula>100</formula>
    </cfRule>
  </conditionalFormatting>
  <conditionalFormatting sqref="J40:J42">
    <cfRule type="cellIs" dxfId="396" priority="202" operator="lessThan">
      <formula>98</formula>
    </cfRule>
  </conditionalFormatting>
  <conditionalFormatting sqref="J71">
    <cfRule type="cellIs" dxfId="395" priority="149" stopIfTrue="1" operator="greaterThan">
      <formula>#REF!</formula>
    </cfRule>
    <cfRule type="cellIs" dxfId="394" priority="148" stopIfTrue="1" operator="lessThanOrEqual">
      <formula>0</formula>
    </cfRule>
    <cfRule type="cellIs" dxfId="393" priority="147" stopIfTrue="1" operator="greaterThan">
      <formula>#REF!</formula>
    </cfRule>
    <cfRule type="cellIs" dxfId="392" priority="146" stopIfTrue="1" operator="lessThanOrEqual">
      <formula>0</formula>
    </cfRule>
    <cfRule type="cellIs" dxfId="391" priority="152" stopIfTrue="1" operator="lessThanOrEqual">
      <formula>0</formula>
    </cfRule>
    <cfRule type="cellIs" dxfId="390" priority="145" stopIfTrue="1" operator="greaterThan">
      <formula>#REF!</formula>
    </cfRule>
    <cfRule type="cellIs" dxfId="389" priority="151" stopIfTrue="1" operator="greaterThan">
      <formula>#REF!</formula>
    </cfRule>
    <cfRule type="cellIs" dxfId="388" priority="150" stopIfTrue="1" operator="lessThanOrEqual">
      <formula>0</formula>
    </cfRule>
  </conditionalFormatting>
  <conditionalFormatting sqref="J84">
    <cfRule type="cellIs" dxfId="387" priority="80" stopIfTrue="1" operator="lessThanOrEqual">
      <formula>0</formula>
    </cfRule>
    <cfRule type="cellIs" dxfId="386" priority="79" stopIfTrue="1" operator="greaterThan">
      <formula>$F84</formula>
    </cfRule>
  </conditionalFormatting>
  <conditionalFormatting sqref="K10:K30">
    <cfRule type="cellIs" dxfId="385" priority="4" operator="lessThan">
      <formula>4</formula>
    </cfRule>
    <cfRule type="cellIs" dxfId="384" priority="5" operator="greaterThan">
      <formula>6.4</formula>
    </cfRule>
    <cfRule type="cellIs" dxfId="383" priority="3" operator="greaterThan">
      <formula>6</formula>
    </cfRule>
  </conditionalFormatting>
  <conditionalFormatting sqref="K62:K71">
    <cfRule type="cellIs" dxfId="382" priority="128" stopIfTrue="1" operator="lessThan">
      <formula>100%</formula>
    </cfRule>
  </conditionalFormatting>
  <conditionalFormatting sqref="K75:K83">
    <cfRule type="cellIs" dxfId="381" priority="67" stopIfTrue="1" operator="lessThan">
      <formula>100%</formula>
    </cfRule>
  </conditionalFormatting>
  <conditionalFormatting sqref="K86:K91">
    <cfRule type="cellIs" dxfId="380" priority="222" stopIfTrue="1" operator="lessThan">
      <formula>100%</formula>
    </cfRule>
  </conditionalFormatting>
  <conditionalFormatting sqref="K93:K94">
    <cfRule type="cellIs" dxfId="379" priority="229" stopIfTrue="1" operator="lessThan">
      <formula>100%</formula>
    </cfRule>
  </conditionalFormatting>
  <conditionalFormatting sqref="L10:L30">
    <cfRule type="cellIs" dxfId="378" priority="6" operator="between">
      <formula>61</formula>
      <formula>65</formula>
    </cfRule>
    <cfRule type="cellIs" dxfId="377" priority="7" operator="greaterThan">
      <formula>65</formula>
    </cfRule>
  </conditionalFormatting>
  <conditionalFormatting sqref="L33:M44">
    <cfRule type="cellIs" dxfId="376" priority="142" operator="lessThan">
      <formula>97.95</formula>
    </cfRule>
  </conditionalFormatting>
  <conditionalFormatting sqref="L48:N48">
    <cfRule type="cellIs" dxfId="375" priority="107" operator="notEqual">
      <formula>#REF!</formula>
    </cfRule>
  </conditionalFormatting>
  <conditionalFormatting sqref="L75:N84">
    <cfRule type="cellIs" dxfId="374" priority="62" stopIfTrue="1" operator="lessThan">
      <formula>100%</formula>
    </cfRule>
  </conditionalFormatting>
  <conditionalFormatting sqref="L86:N94">
    <cfRule type="cellIs" dxfId="373" priority="207" stopIfTrue="1" operator="lessThan">
      <formula>100%</formula>
    </cfRule>
  </conditionalFormatting>
  <conditionalFormatting sqref="M12:M21">
    <cfRule type="expression" dxfId="372" priority="35">
      <formula>IF(+(IF(M12&lt;U12,0,IF(M12&gt;V12,0,1)))=0,1)</formula>
    </cfRule>
  </conditionalFormatting>
  <conditionalFormatting sqref="M10:N11">
    <cfRule type="expression" dxfId="371" priority="13">
      <formula>IF(+(IF(M10&lt;#REF!,0,IF(M10&gt;#REF!,0,1)))=0,1)</formula>
    </cfRule>
  </conditionalFormatting>
  <conditionalFormatting sqref="M22:N30">
    <cfRule type="expression" dxfId="370" priority="1">
      <formula>IF(+(IF(M22&lt;#REF!,0,IF(M22&gt;#REF!,0,1)))=0,1)</formula>
    </cfRule>
  </conditionalFormatting>
  <conditionalFormatting sqref="N10:N29">
    <cfRule type="expression" dxfId="369" priority="11">
      <formula>IF(+(IF(N10&lt;W10,0,IF(N10&gt;X10,0,1)))=0,1)</formula>
    </cfRule>
  </conditionalFormatting>
  <conditionalFormatting sqref="P6">
    <cfRule type="cellIs" dxfId="368" priority="203" operator="greaterThanOrEqual">
      <formula>19</formula>
    </cfRule>
  </conditionalFormatting>
  <dataValidations count="1">
    <dataValidation type="list" allowBlank="1" showInputMessage="1" showErrorMessage="1" sqref="R8" xr:uid="{DC262ECB-FCF5-488F-AFD9-8F888B635C3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8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D68A-B79C-4444-8C6F-3BB084248D21}">
  <sheetPr>
    <pageSetUpPr fitToPage="1"/>
  </sheetPr>
  <dimension ref="A1:BE75"/>
  <sheetViews>
    <sheetView topLeftCell="A19" zoomScale="70" zoomScaleNormal="70" workbookViewId="0">
      <selection activeCell="C54" sqref="C54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31.42578125" style="275" customWidth="1"/>
    <col min="10" max="10" width="35.140625" style="275" customWidth="1"/>
    <col min="11" max="11" width="29" style="275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109.140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46202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[3]Brewhouse!$A485</f>
        <v>CA439</v>
      </c>
      <c r="D10" s="279">
        <f>[3]Brewhouse!$AF485</f>
        <v>49.2</v>
      </c>
      <c r="E10" s="279">
        <f>[3]Brewhouse!$AI485</f>
        <v>50.2</v>
      </c>
      <c r="F10" s="278">
        <f>[3]Brewhouse!$V485</f>
        <v>63</v>
      </c>
      <c r="G10" s="279">
        <f>[3]Brewhouse!AG485</f>
        <v>12</v>
      </c>
      <c r="H10" s="396"/>
      <c r="I10" s="368">
        <f>[3]Brewhouse!$AU485</f>
        <v>100.21573995743513</v>
      </c>
      <c r="J10" s="368">
        <f>[3]Brewhouse!$AV485</f>
        <v>101.35975681477625</v>
      </c>
      <c r="K10" s="281">
        <f>[3]Brewhouse!$Q485</f>
        <v>12.606284658040664</v>
      </c>
      <c r="L10" s="276">
        <f>[3]Brewhouse!$P485</f>
        <v>59</v>
      </c>
      <c r="M10" s="397">
        <f>[3]Brewhouse!$U485-[3]Brewhouse!$T485</f>
        <v>0.12083333333333335</v>
      </c>
      <c r="N10" s="370">
        <f>[3]Brewhouse!$Z485</f>
        <v>0.26597222222222228</v>
      </c>
      <c r="O10" s="420" t="str">
        <f>[3]Brewhouse!$AX485</f>
        <v>R. Sookram</v>
      </c>
      <c r="P10" s="418"/>
      <c r="R10" s="277" t="str">
        <f t="shared" ref="R10:R24" si="0">B10</f>
        <v>CARIB</v>
      </c>
      <c r="S10" s="472">
        <f t="shared" ref="S10:S35" si="1">VLOOKUP($B10,$R$3:$X$9,2,FALSE)</f>
        <v>11.6</v>
      </c>
      <c r="T10" s="472">
        <f t="shared" ref="T10:T35" si="2">VLOOKUP($B10,$R$3:$X$9,3,FALSE)</f>
        <v>12</v>
      </c>
      <c r="U10" s="297">
        <f t="shared" ref="U10:U35" si="3">VLOOKUP($B10,$R$3:$X$9,4,FALSE)</f>
        <v>0</v>
      </c>
      <c r="V10" s="297">
        <f t="shared" ref="V10:V35" si="4">VLOOKUP($B10,$R$3:$X$9,5,FALSE)</f>
        <v>0.118055555555556</v>
      </c>
      <c r="W10" s="297">
        <f t="shared" ref="W10:W35" si="5">VLOOKUP($B10,$R$3:$X$9,6,FALSE)</f>
        <v>0.22569444444444445</v>
      </c>
      <c r="X10" s="297">
        <f t="shared" ref="X10:X35" si="6">VLOOKUP($B10,$R$3:$X$9,7,FALSE)</f>
        <v>0.2638888888888889</v>
      </c>
      <c r="Y10" s="297">
        <f t="shared" ref="Y10:Y35" si="7">VLOOKUP($B10,$R$3:$Z$9,8,FALSE)</f>
        <v>0</v>
      </c>
      <c r="Z10" s="472">
        <f t="shared" ref="Z10:Z35" si="8">VLOOKUP($B10,$R$3:$Z$9,9,FALSE)</f>
        <v>60</v>
      </c>
    </row>
    <row r="11" spans="2:29" ht="17.25" customHeight="1">
      <c r="B11" s="29" t="s">
        <v>6</v>
      </c>
      <c r="C11" s="366" t="str">
        <f>[3]Brewhouse!$A486</f>
        <v>CA440</v>
      </c>
      <c r="D11" s="279">
        <f>[3]Brewhouse!$AF486</f>
        <v>49.8</v>
      </c>
      <c r="E11" s="279">
        <f>[3]Brewhouse!$AI486</f>
        <v>50.7</v>
      </c>
      <c r="F11" s="278">
        <f>[3]Brewhouse!$V486</f>
        <v>61</v>
      </c>
      <c r="G11" s="279">
        <f>[3]Brewhouse!AG486</f>
        <v>11.8</v>
      </c>
      <c r="H11" s="396"/>
      <c r="I11" s="368">
        <f>[3]Brewhouse!$AU486</f>
        <v>99.317238473927688</v>
      </c>
      <c r="J11" s="368">
        <f>[3]Brewhouse!$AV486</f>
        <v>100.45107370987327</v>
      </c>
      <c r="K11" s="281">
        <f>[3]Brewhouse!$Q486</f>
        <v>10.592592592592592</v>
      </c>
      <c r="L11" s="276">
        <f>[3]Brewhouse!$P486</f>
        <v>61</v>
      </c>
      <c r="M11" s="397">
        <f>[3]Brewhouse!$U486-[3]Brewhouse!$T486</f>
        <v>0.10694444444444445</v>
      </c>
      <c r="N11" s="370">
        <f>[3]Brewhouse!$Z486</f>
        <v>0.28194444444444444</v>
      </c>
      <c r="O11" s="420" t="str">
        <f>[3]Brewhouse!$AX486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[3]Brewhouse!$A487</f>
        <v>CA441</v>
      </c>
      <c r="D12" s="279">
        <f>[3]Brewhouse!$AF487</f>
        <v>49.8</v>
      </c>
      <c r="E12" s="279">
        <f>[3]Brewhouse!$AI487</f>
        <v>50.1</v>
      </c>
      <c r="F12" s="278">
        <f>[3]Brewhouse!$V487</f>
        <v>64</v>
      </c>
      <c r="G12" s="279">
        <f>[3]Brewhouse!AG487</f>
        <v>11.8</v>
      </c>
      <c r="H12" s="396"/>
      <c r="I12" s="368">
        <f>[3]Brewhouse!$AU487</f>
        <v>98.386883927142947</v>
      </c>
      <c r="J12" s="368">
        <f>[3]Brewhouse!$AV487</f>
        <v>99.509948664188954</v>
      </c>
      <c r="K12" s="281">
        <f>[3]Brewhouse!$Q487</f>
        <v>10.592592592592592</v>
      </c>
      <c r="L12" s="276">
        <f>[3]Brewhouse!$P487</f>
        <v>60</v>
      </c>
      <c r="M12" s="397">
        <f>[3]Brewhouse!$U487-[3]Brewhouse!$T487</f>
        <v>0.11041666666666672</v>
      </c>
      <c r="N12" s="370">
        <f>[3]Brewhouse!$Z487</f>
        <v>0.25138888888888894</v>
      </c>
      <c r="O12" s="420" t="str">
        <f>[3]Brewhouse!$AX487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[3]Brewhouse!$A488</f>
        <v>CA442</v>
      </c>
      <c r="D13" s="279">
        <f>[3]Brewhouse!$AF488</f>
        <v>49.9</v>
      </c>
      <c r="E13" s="279">
        <f>[3]Brewhouse!$AI488</f>
        <v>50.81</v>
      </c>
      <c r="F13" s="278">
        <f>[3]Brewhouse!$V488</f>
        <v>63</v>
      </c>
      <c r="G13" s="279">
        <f>[3]Brewhouse!AG488</f>
        <v>11.8</v>
      </c>
      <c r="H13" s="396"/>
      <c r="I13" s="368">
        <f>[3]Brewhouse!$AU488</f>
        <v>99.532719661938174</v>
      </c>
      <c r="J13" s="368">
        <f>[3]Brewhouse!$AV488</f>
        <v>100.66901489543709</v>
      </c>
      <c r="K13" s="281">
        <f>[3]Brewhouse!$Q488</f>
        <v>10.573012939001845</v>
      </c>
      <c r="L13" s="276">
        <f>[3]Brewhouse!$P488</f>
        <v>61</v>
      </c>
      <c r="M13" s="397">
        <f>[3]Brewhouse!$U488-[3]Brewhouse!$T488</f>
        <v>0.10833333333333328</v>
      </c>
      <c r="N13" s="370">
        <f>[3]Brewhouse!$Z488</f>
        <v>0.23958333333333331</v>
      </c>
      <c r="O13" s="420" t="str">
        <f>[3]Brewhouse!$AX488</f>
        <v>D. Gomaz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[3]Brewhouse!$A489</f>
        <v>CA443</v>
      </c>
      <c r="D14" s="279">
        <f>[3]Brewhouse!$AF489</f>
        <v>48.9</v>
      </c>
      <c r="E14" s="279">
        <f>[3]Brewhouse!$AI489</f>
        <v>50.4</v>
      </c>
      <c r="F14" s="278">
        <f>[3]Brewhouse!$V489</f>
        <v>57</v>
      </c>
      <c r="G14" s="279">
        <f>[3]Brewhouse!AG489</f>
        <v>11.6</v>
      </c>
      <c r="H14" s="396"/>
      <c r="I14" s="368">
        <f>[3]Brewhouse!$AU489</f>
        <v>97.09027634925161</v>
      </c>
      <c r="J14" s="368">
        <f>[3]Brewhouse!$AV489</f>
        <v>98.198614349595942</v>
      </c>
      <c r="K14" s="281">
        <f>[3]Brewhouse!$Q489</f>
        <v>12.55898366606171</v>
      </c>
      <c r="L14" s="276">
        <f>[3]Brewhouse!$P489</f>
        <v>60</v>
      </c>
      <c r="M14" s="397">
        <f>[3]Brewhouse!$U489-[3]Brewhouse!$T489</f>
        <v>0.11249999999999993</v>
      </c>
      <c r="N14" s="370">
        <f>[3]Brewhouse!$Z489</f>
        <v>0.24791666666666667</v>
      </c>
      <c r="O14" s="420" t="str">
        <f>[3]Brewhouse!$AX489</f>
        <v>D. Gomaz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[3]Brewhouse!$A490</f>
        <v>CA444</v>
      </c>
      <c r="D15" s="279">
        <f>[3]Brewhouse!$AF490</f>
        <v>50.2</v>
      </c>
      <c r="E15" s="279">
        <f>[3]Brewhouse!$AI490</f>
        <v>50.9</v>
      </c>
      <c r="F15" s="278">
        <f>[3]Brewhouse!$V490</f>
        <v>53</v>
      </c>
      <c r="G15" s="279">
        <f>[3]Brewhouse!AG490</f>
        <v>11.7</v>
      </c>
      <c r="H15" s="396"/>
      <c r="I15" s="368">
        <f>[3]Brewhouse!$AU490</f>
        <v>98.94339780001502</v>
      </c>
      <c r="J15" s="368">
        <f>[3]Brewhouse!$AV490</f>
        <v>100.0728901836855</v>
      </c>
      <c r="K15" s="281">
        <f>[3]Brewhouse!$Q490</f>
        <v>10.199637023593462</v>
      </c>
      <c r="L15" s="276">
        <f>[3]Brewhouse!$P490</f>
        <v>60</v>
      </c>
      <c r="M15" s="397">
        <f>[3]Brewhouse!$U490-[3]Brewhouse!$T490</f>
        <v>0.10277777777777775</v>
      </c>
      <c r="N15" s="370">
        <f>[3]Brewhouse!$Z490</f>
        <v>0.23819444444444438</v>
      </c>
      <c r="O15" s="420" t="str">
        <f>[3]Brewhouse!$AX490</f>
        <v>R. Regis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 t="s">
        <v>6</v>
      </c>
      <c r="C16" s="366" t="str">
        <f>[3]Brewhouse!$A491</f>
        <v>CA445</v>
      </c>
      <c r="D16" s="279">
        <f>[3]Brewhouse!$AF491</f>
        <v>50.5</v>
      </c>
      <c r="E16" s="279">
        <f>[3]Brewhouse!$AI491</f>
        <v>51</v>
      </c>
      <c r="F16" s="278">
        <f>[3]Brewhouse!$V491</f>
        <v>63</v>
      </c>
      <c r="G16" s="279">
        <f>[3]Brewhouse!AG491</f>
        <v>11.7</v>
      </c>
      <c r="H16" s="396"/>
      <c r="I16" s="368">
        <f>[3]Brewhouse!$AU491</f>
        <v>99.385578414346583</v>
      </c>
      <c r="J16" s="368">
        <f>[3]Brewhouse!$AV491</f>
        <v>100.51996734317008</v>
      </c>
      <c r="K16" s="281">
        <f>[3]Brewhouse!$Q491</f>
        <v>9.6551724137931032</v>
      </c>
      <c r="L16" s="276">
        <f>[3]Brewhouse!$P491</f>
        <v>60</v>
      </c>
      <c r="M16" s="397">
        <f>[3]Brewhouse!$U491-[3]Brewhouse!$T491</f>
        <v>0.11458333333333337</v>
      </c>
      <c r="N16" s="370">
        <f>[3]Brewhouse!$Z491</f>
        <v>0.24861111111111112</v>
      </c>
      <c r="O16" s="420" t="str">
        <f>[3]Brewhouse!$AX491</f>
        <v>R. Regis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7.25" customHeight="1">
      <c r="B17" s="29" t="s">
        <v>6</v>
      </c>
      <c r="C17" s="366" t="str">
        <f>[3]Brewhouse!$A492</f>
        <v>CA446</v>
      </c>
      <c r="D17" s="279">
        <f>[3]Brewhouse!$AF492</f>
        <v>49.9</v>
      </c>
      <c r="E17" s="279">
        <f>[3]Brewhouse!$AI492</f>
        <v>50.7</v>
      </c>
      <c r="F17" s="278">
        <f>[3]Brewhouse!$V492</f>
        <v>56</v>
      </c>
      <c r="G17" s="279">
        <f>[3]Brewhouse!AG492</f>
        <v>11.7</v>
      </c>
      <c r="H17" s="396"/>
      <c r="I17" s="368">
        <f>[3]Brewhouse!$AU492</f>
        <v>98.554622170152498</v>
      </c>
      <c r="J17" s="368">
        <f>[3]Brewhouse!$AV492</f>
        <v>99.679676469800697</v>
      </c>
      <c r="K17" s="281">
        <f>[3]Brewhouse!$Q492</f>
        <v>10.744101633393832</v>
      </c>
      <c r="L17" s="276">
        <f>[3]Brewhouse!$P492</f>
        <v>59</v>
      </c>
      <c r="M17" s="397">
        <f>[3]Brewhouse!$U492-[3]Brewhouse!$T492</f>
        <v>0.10624999999999996</v>
      </c>
      <c r="N17" s="370">
        <f>[3]Brewhouse!$Z492</f>
        <v>0.27083333333333337</v>
      </c>
      <c r="O17" s="420" t="str">
        <f>[3]Brewhouse!$AX492</f>
        <v>R. Regis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7.2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7.25" customHeight="1">
      <c r="B19" s="33" t="s">
        <v>9</v>
      </c>
      <c r="C19" s="366" t="str">
        <f>[4]Brewhouse!$A290</f>
        <v>ST235</v>
      </c>
      <c r="D19" s="279">
        <f>[4]Brewhouse!$AB290</f>
        <v>53.1</v>
      </c>
      <c r="E19" s="279">
        <f>[4]Brewhouse!$AG290</f>
        <v>48.28</v>
      </c>
      <c r="F19" s="278">
        <f>[4]Brewhouse!$V290</f>
        <v>61</v>
      </c>
      <c r="G19" s="279">
        <f>[4]Brewhouse!$AE290</f>
        <v>12</v>
      </c>
      <c r="H19" s="396"/>
      <c r="I19" s="368">
        <f>[4]Brewhouse!$AS290</f>
        <v>98.227410767009204</v>
      </c>
      <c r="J19" s="368">
        <f>[4]Brewhouse!$AT290</f>
        <v>99.159955074285634</v>
      </c>
      <c r="K19" s="281">
        <f>[4]Brewhouse!$Q290</f>
        <v>8.6158192090395538</v>
      </c>
      <c r="L19" s="276">
        <f>[4]Brewhouse!$P290</f>
        <v>61</v>
      </c>
      <c r="M19" s="374">
        <f>[4]Brewhouse!$U290-[4]Brewhouse!$T290</f>
        <v>0.10833333333333339</v>
      </c>
      <c r="N19" s="370">
        <f>[4]Brewhouse!$AW290</f>
        <v>0.24722222222222223</v>
      </c>
      <c r="O19" s="420" t="str">
        <f>[4]Brewhouse!$AV290</f>
        <v>R.Sookram</v>
      </c>
      <c r="P19" s="418"/>
      <c r="R19" s="277" t="str">
        <f t="shared" si="0"/>
        <v>STAG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1:27" ht="17.25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44"/>
      <c r="J22" s="544"/>
      <c r="K22" s="544"/>
      <c r="L22" s="544"/>
      <c r="M22" s="544"/>
      <c r="N22" s="544"/>
      <c r="O22" s="1"/>
      <c r="P22" s="12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7.25" customHeight="1" thickBot="1">
      <c r="B23" s="388" t="s">
        <v>162</v>
      </c>
      <c r="C23" s="388"/>
      <c r="D23" s="545" t="s">
        <v>35</v>
      </c>
      <c r="E23" s="546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7.25" customHeight="1">
      <c r="A24" s="28"/>
      <c r="B24" s="530"/>
      <c r="C24" s="362"/>
      <c r="D24" s="548"/>
      <c r="E24" s="549"/>
      <c r="F24" s="294"/>
      <c r="G24" s="294"/>
      <c r="H24" s="348"/>
      <c r="I24" s="29" t="s">
        <v>6</v>
      </c>
      <c r="J24" s="323">
        <f>AVERAGE(I10:I17)</f>
        <v>98.928307094276207</v>
      </c>
      <c r="K24" s="284">
        <f>COUNTA([3]Brewhouse!$A$441:$A$492)</f>
        <v>52</v>
      </c>
      <c r="L24" s="305">
        <f>AVERAGE([3]Brewhouse!$AU$441:$AU$492)</f>
        <v>99.663558236841794</v>
      </c>
      <c r="M24" s="305">
        <f>AVERAGE([3]Brewhouse!$AU$42:$AU$123,[3]Brewhouse!$AU$125:$AU$188,[3]Brewhouse!$AU$198:$AU$290,[3]Brewhouse!$AU$292:$AU$370,[3]Brewhouse!$AU$372:$AU$439,[3]Brewhouse!$AU$441:$AU$492)</f>
        <v>98.175594457783077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" customHeight="1">
      <c r="A25" s="28"/>
      <c r="B25" s="531"/>
      <c r="C25" s="362"/>
      <c r="D25" s="550"/>
      <c r="E25" s="536"/>
      <c r="F25" s="294"/>
      <c r="G25" s="294"/>
      <c r="H25" s="348"/>
      <c r="I25" s="33" t="s">
        <v>9</v>
      </c>
      <c r="J25" s="323">
        <f>I19</f>
        <v>98.227410767009204</v>
      </c>
      <c r="K25" s="284">
        <f>COUNTA([4]Brewhouse!$A$252:$A$289)</f>
        <v>38</v>
      </c>
      <c r="L25" s="302">
        <f>AVERAGE([4]Brewhouse!$AS$252:$AS$289)</f>
        <v>99.376505563106818</v>
      </c>
      <c r="M25" s="302">
        <f>AVERAGE([4]Brewhouse!$AS$52:$AS$81,[4]Brewhouse!$AS$83:$AS$124,[4]Brewhouse!$AS$134:$AS$177,[4]Brewhouse!$AS$22:$AS$179,[4]Brewhouse!$AS$214:$AS$249,[4]Brewhouse!$AS$252:$AS$289)</f>
        <v>98.129796591077522</v>
      </c>
      <c r="N25" s="30">
        <v>98</v>
      </c>
      <c r="O25" s="11"/>
      <c r="P25" s="31"/>
      <c r="R25" s="277">
        <f t="shared" ref="R25:R35" si="9">B25</f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1"/>
      <c r="C26" s="362"/>
      <c r="D26" s="540"/>
      <c r="E26" s="541"/>
      <c r="F26" s="294"/>
      <c r="G26" s="294"/>
      <c r="H26" s="348"/>
      <c r="I26" s="34" t="s">
        <v>12</v>
      </c>
      <c r="J26" s="280"/>
      <c r="K26" s="284">
        <f>COUNTA([5]Brewhouse!$A$62:$A$69)</f>
        <v>8</v>
      </c>
      <c r="L26" s="302">
        <f>AVERAGE([5]Brewhouse!$AU$62:$AU$69)</f>
        <v>95.865325586732524</v>
      </c>
      <c r="M26" s="302">
        <f>AVERAGE([5]Brewhouse!$AU$16:$AU$23,[5]Brewhouse!$AU$25:$AU$32,[5]Brewhouse!$AU$34:$AU$41,[5]Brewhouse!$AU$43:$AU$60,[5]Brewhouse!$AU$62:$AU$69)</f>
        <v>96.726835550404019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31"/>
      <c r="C27" s="362"/>
      <c r="D27" s="535"/>
      <c r="E27" s="536"/>
      <c r="F27" s="294"/>
      <c r="G27" s="294"/>
      <c r="H27" s="348"/>
      <c r="I27" s="22" t="s">
        <v>33</v>
      </c>
      <c r="J27" s="280"/>
      <c r="K27" s="284">
        <f>COUNTA([6]Brewhouse!$A$71:$A$78)</f>
        <v>8</v>
      </c>
      <c r="L27" s="302"/>
      <c r="M27" s="302">
        <f>AVERAGE([6]Brewhouse!$AV$23:$AV$34,[6]Brewhouse!$AV$36,[6]Brewhouse!$AV$38:$AV$52,[6]Brewhouse!$AV$54:$AV$60,[6]Brewhouse!$AV$62:$AV$68)</f>
        <v>97.579195177204838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31"/>
      <c r="C28" s="362"/>
      <c r="D28" s="540"/>
      <c r="E28" s="541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31"/>
      <c r="C29" s="362"/>
      <c r="D29" s="535"/>
      <c r="E29" s="536"/>
      <c r="F29" s="417"/>
      <c r="G29" s="294"/>
      <c r="H29" s="348"/>
      <c r="I29" s="36" t="s">
        <v>15</v>
      </c>
      <c r="J29" s="323"/>
      <c r="K29" s="284"/>
      <c r="L29" s="302"/>
      <c r="M29" s="302">
        <f>AVERAGE([7]Brewhouse!$AT$4:$AT$11,[7]Brewhouse!$AT$13:$AT$16)</f>
        <v>91.538375374138752</v>
      </c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31"/>
      <c r="C30" s="362"/>
      <c r="D30" s="540"/>
      <c r="E30" s="541"/>
      <c r="F30" s="417"/>
      <c r="G30" s="294"/>
      <c r="H30" s="348"/>
      <c r="I30" s="37" t="s">
        <v>16</v>
      </c>
      <c r="J30" s="323"/>
      <c r="K30" s="284">
        <f>COUNTA([8]Brewhouse!$A$66:$A$73)</f>
        <v>8</v>
      </c>
      <c r="L30" s="302">
        <f>AVERAGE([8]Brewhouse!$AY$66:$AY$73)</f>
        <v>98.225688487824243</v>
      </c>
      <c r="M30" s="302">
        <f>AVERAGE([8]Brewhouse!$AY$5:$AY$14,[8]Brewhouse!$AY$16:$AY$23,[8]Brewhouse!$AY$42,[8]Brewhouse!$AY$44:$AY$51,[8]Brewhouse!$AY$53:$AY$64,[8]Brewhouse!$AY$66:$AY$73)</f>
        <v>97.506811941025575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531"/>
      <c r="C31" s="362"/>
      <c r="D31" s="535"/>
      <c r="E31" s="536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7" ht="14.65" customHeight="1">
      <c r="A32" s="28"/>
      <c r="B32" s="531"/>
      <c r="C32" s="349"/>
      <c r="D32" s="540"/>
      <c r="E32" s="541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31"/>
      <c r="C33" s="349"/>
      <c r="D33" s="535"/>
      <c r="E33" s="536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31"/>
      <c r="C34" s="349"/>
      <c r="D34" s="548"/>
      <c r="E34" s="549"/>
      <c r="F34" s="294"/>
      <c r="G34" s="294"/>
      <c r="H34" s="348"/>
      <c r="I34" s="1"/>
      <c r="J34" s="39"/>
      <c r="K34" s="404">
        <f>SUM(K24:K33)</f>
        <v>114</v>
      </c>
      <c r="L34" s="405">
        <f>((L24*K24)+(L25*K25)+(L26*K26)+(L27*K27)+(L28*K28)+(K31*L31)+(L29*K29)+(L30*K30)+(L33*K33))/(K34)</f>
        <v>92.20649431851129</v>
      </c>
      <c r="M34" s="405">
        <f>AVERAGE('[9]Jan30th-31st'!$L$42,L34)</f>
        <v>95.017268027176385</v>
      </c>
      <c r="N34" s="40">
        <v>98</v>
      </c>
      <c r="O34" s="11"/>
      <c r="P34" s="31"/>
      <c r="R34" s="277">
        <f t="shared" si="9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47"/>
      <c r="C35" s="350"/>
      <c r="D35" s="550"/>
      <c r="E35" s="536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30"/>
      <c r="C36" s="362"/>
      <c r="D36" s="533"/>
      <c r="E36" s="534"/>
      <c r="F36" s="294"/>
      <c r="G36" s="42"/>
      <c r="H36" s="41"/>
      <c r="I36" s="42"/>
      <c r="J36" s="537" t="s">
        <v>129</v>
      </c>
      <c r="K36" s="537"/>
      <c r="L36" s="294"/>
      <c r="M36" s="294"/>
      <c r="N36" s="294"/>
      <c r="O36" s="294"/>
      <c r="P36" s="12"/>
    </row>
    <row r="37" spans="1:56" ht="15.75" thickBot="1">
      <c r="B37" s="531"/>
      <c r="C37" s="362"/>
      <c r="D37" s="535"/>
      <c r="E37" s="536"/>
      <c r="F37" s="294"/>
      <c r="G37" s="42"/>
      <c r="H37" s="42"/>
      <c r="I37" s="42"/>
      <c r="J37" s="292" t="s">
        <v>17</v>
      </c>
      <c r="K37" s="293" t="s">
        <v>170</v>
      </c>
      <c r="L37" s="538" t="s">
        <v>136</v>
      </c>
      <c r="M37" s="538"/>
      <c r="N37" s="539"/>
      <c r="O37" s="294"/>
      <c r="P37" s="12"/>
    </row>
    <row r="38" spans="1:56" ht="15" customHeight="1" thickBot="1">
      <c r="B38" s="531"/>
      <c r="C38" s="349"/>
      <c r="D38" s="540"/>
      <c r="E38" s="541"/>
      <c r="F38" s="294"/>
      <c r="G38" s="42"/>
      <c r="H38" s="42"/>
      <c r="I38" s="42"/>
      <c r="J38" s="287" t="s">
        <v>6</v>
      </c>
      <c r="K38" s="324">
        <v>8</v>
      </c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31"/>
      <c r="C39" s="349"/>
      <c r="D39" s="535"/>
      <c r="E39" s="536"/>
      <c r="F39" s="294"/>
      <c r="G39" s="42"/>
      <c r="H39" s="42"/>
      <c r="I39" s="42"/>
      <c r="J39" s="345" t="s">
        <v>9</v>
      </c>
      <c r="K39" s="324">
        <v>1</v>
      </c>
      <c r="L39" s="344">
        <f>AVERAGE('June 2nd'!K44,'June 3rd'!K52,'June 4th'!K47,'June 5th'!K46,'June 8th'!K48,'June 9th'!K56,'June 15th '!K56,'June 16th'!K50,'June 17th '!K49,'June 18th '!K48,'June 21st'!L39,'June 22nd'!K49,'June 23rd'!K45,'June 24th'!K47,'June 25th '!K54,'June 26th '!K52,'June 27th-28th'!J57,'June 27th-28th'!K57,K48)</f>
        <v>6.3492822966507179</v>
      </c>
      <c r="M39" s="325">
        <f>AVERAGE('[9]Jan30th-31st'!$L$47,L39,'[10]Feb 26th '!$L$39,'[11]Mar 31st'!$L$47,'[12]Apr 30th'!$L$46,'[13]May 29th '!$L$40)</f>
        <v>6.329524651549824</v>
      </c>
      <c r="N39" s="416">
        <v>9.1999999999999993</v>
      </c>
      <c r="O39" s="294"/>
      <c r="P39" s="12"/>
    </row>
    <row r="40" spans="1:56" ht="15" customHeight="1">
      <c r="B40" s="531"/>
      <c r="C40" s="349"/>
      <c r="D40" s="540"/>
      <c r="E40" s="541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31"/>
      <c r="C41" s="349"/>
      <c r="D41" s="535"/>
      <c r="E41" s="536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31"/>
      <c r="C42" s="349"/>
      <c r="D42" s="540"/>
      <c r="E42" s="541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31"/>
      <c r="C43" s="349"/>
      <c r="D43" s="535"/>
      <c r="E43" s="536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31"/>
      <c r="C44" s="349"/>
      <c r="D44" s="540"/>
      <c r="E44" s="541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32"/>
      <c r="C45" s="350"/>
      <c r="D45" s="542"/>
      <c r="E45" s="543"/>
      <c r="F45" s="294" t="s">
        <v>166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23"/>
      <c r="E46" s="524"/>
      <c r="F46" s="294"/>
      <c r="I46" s="42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9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15" t="s">
        <v>17</v>
      </c>
      <c r="C51" s="515" t="s">
        <v>44</v>
      </c>
      <c r="D51" s="526" t="s">
        <v>45</v>
      </c>
      <c r="E51" s="528" t="s">
        <v>46</v>
      </c>
      <c r="F51" s="521" t="s">
        <v>47</v>
      </c>
      <c r="G51" s="513" t="s">
        <v>48</v>
      </c>
      <c r="H51" s="515" t="s">
        <v>49</v>
      </c>
      <c r="I51" s="515" t="s">
        <v>50</v>
      </c>
      <c r="J51" s="507" t="s">
        <v>28</v>
      </c>
      <c r="K51" s="517" t="s">
        <v>51</v>
      </c>
      <c r="L51" s="519" t="s">
        <v>52</v>
      </c>
      <c r="M51" s="507" t="s">
        <v>53</v>
      </c>
      <c r="N51" s="13"/>
      <c r="O51" s="13"/>
      <c r="P51" s="50"/>
    </row>
    <row r="52" spans="2:57" ht="28.5" customHeight="1" thickTop="1" thickBot="1">
      <c r="B52" s="516"/>
      <c r="C52" s="525"/>
      <c r="D52" s="527"/>
      <c r="E52" s="529"/>
      <c r="F52" s="522"/>
      <c r="G52" s="514"/>
      <c r="H52" s="516"/>
      <c r="I52" s="516"/>
      <c r="J52" s="508"/>
      <c r="K52" s="518"/>
      <c r="L52" s="520"/>
      <c r="M52" s="508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503" t="str">
        <f>J39</f>
        <v>STAG</v>
      </c>
      <c r="C53" s="479">
        <v>46202</v>
      </c>
      <c r="D53" s="445">
        <f>[14]June_2026!$AF$13</f>
        <v>97.9</v>
      </c>
      <c r="E53" s="443"/>
      <c r="F53" s="444"/>
      <c r="G53" s="445">
        <f>[14]June_2026!$AF$17</f>
        <v>96.5</v>
      </c>
      <c r="H53" s="458"/>
      <c r="I53" s="458"/>
      <c r="J53" s="448" t="s">
        <v>150</v>
      </c>
      <c r="K53" s="449">
        <f>[15]June_2026!$AF$25</f>
        <v>0.33859649122807017</v>
      </c>
      <c r="L53" s="476">
        <f>(((D53+E53)-G53)/(D53+E53))*100</f>
        <v>1.4300306435137953</v>
      </c>
      <c r="M53" s="455" t="s">
        <v>196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[16]January_2019!L5</f>
        <v>0</v>
      </c>
      <c r="AC53" s="57">
        <f>[16]January_2019!M5</f>
        <v>0</v>
      </c>
      <c r="AD53" s="57">
        <f>[16]January_2019!N5</f>
        <v>0</v>
      </c>
      <c r="AE53" s="57">
        <f>[16]January_2019!O5</f>
        <v>0</v>
      </c>
      <c r="AF53" s="57">
        <f>[16]January_2019!P5</f>
        <v>0</v>
      </c>
      <c r="AG53" s="57">
        <f>[16]January_2019!Q5</f>
        <v>0</v>
      </c>
      <c r="AH53" s="57">
        <f>[16]January_2019!R5</f>
        <v>0</v>
      </c>
      <c r="AI53" s="57">
        <f>[16]January_2019!S5</f>
        <v>0</v>
      </c>
      <c r="AJ53" s="57">
        <f>[16]January_2019!T5</f>
        <v>0</v>
      </c>
      <c r="AK53" s="57">
        <f>[16]January_2019!U5</f>
        <v>0</v>
      </c>
      <c r="AL53" s="57">
        <f>[16]January_2019!V5</f>
        <v>0</v>
      </c>
      <c r="AM53" s="57">
        <f>[16]January_2019!W5</f>
        <v>0</v>
      </c>
      <c r="AN53" s="57">
        <f>[16]January_2019!X5</f>
        <v>0</v>
      </c>
      <c r="AO53" s="57">
        <f>[16]January_2019!Y5</f>
        <v>0</v>
      </c>
      <c r="AP53" s="57">
        <f>[16]January_2019!Z5</f>
        <v>0</v>
      </c>
      <c r="AQ53" s="57">
        <f>[16]January_2019!AA5</f>
        <v>0</v>
      </c>
      <c r="AR53" s="57">
        <f>[16]January_2019!AB5</f>
        <v>0</v>
      </c>
      <c r="AS53" s="57">
        <f>[16]January_2019!AC5</f>
        <v>0</v>
      </c>
      <c r="AT53" s="57">
        <f>[16]January_2019!AD5</f>
        <v>0</v>
      </c>
      <c r="AU53" s="57">
        <f>[16]January_2019!AE5</f>
        <v>0</v>
      </c>
      <c r="AV53" s="57">
        <f>[16]January_2019!AF5</f>
        <v>0</v>
      </c>
      <c r="AW53" s="57">
        <f>[16]January_2019!AG5</f>
        <v>0</v>
      </c>
      <c r="AX53" s="277">
        <f>[16]January_2019!AH5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[16]January_2019!L6</f>
        <v>0</v>
      </c>
      <c r="AC54" s="57">
        <f>[16]January_2019!M6</f>
        <v>0</v>
      </c>
      <c r="AD54" s="57">
        <f>[16]January_2019!N6</f>
        <v>0</v>
      </c>
      <c r="AE54" s="57">
        <f>[16]January_2019!O6</f>
        <v>0</v>
      </c>
      <c r="AF54" s="57">
        <f>[16]January_2019!P6</f>
        <v>0</v>
      </c>
      <c r="AG54" s="57">
        <f>[16]January_2019!Q6</f>
        <v>0</v>
      </c>
      <c r="AH54" s="57">
        <f>[16]January_2019!R6</f>
        <v>0</v>
      </c>
      <c r="AI54" s="57">
        <f>[16]January_2019!S6</f>
        <v>0</v>
      </c>
      <c r="AJ54" s="57">
        <f>[16]January_2019!T6</f>
        <v>0</v>
      </c>
      <c r="AK54" s="57">
        <f>[16]January_2019!U6</f>
        <v>0</v>
      </c>
      <c r="AL54" s="57">
        <f>[16]January_2019!V6</f>
        <v>0</v>
      </c>
      <c r="AM54" s="57">
        <f>[16]January_2019!W6</f>
        <v>0</v>
      </c>
      <c r="AN54" s="57">
        <f>[16]January_2019!X6</f>
        <v>0</v>
      </c>
      <c r="AO54" s="57">
        <f>[16]January_2019!Y6</f>
        <v>0</v>
      </c>
      <c r="AP54" s="57">
        <f>[16]January_2019!Z6</f>
        <v>0</v>
      </c>
      <c r="AQ54" s="57">
        <f>[16]January_2019!AA6</f>
        <v>0</v>
      </c>
      <c r="AR54" s="57">
        <f>[16]January_2019!AB6</f>
        <v>0</v>
      </c>
      <c r="AS54" s="57">
        <f>[16]January_2019!AC6</f>
        <v>0</v>
      </c>
      <c r="AT54" s="57">
        <f>[16]January_2019!AD6</f>
        <v>0</v>
      </c>
      <c r="AU54" s="57">
        <f>[16]January_2019!AE6</f>
        <v>0</v>
      </c>
      <c r="AV54" s="57">
        <f>[16]January_2019!AF6</f>
        <v>0</v>
      </c>
      <c r="AW54" s="57">
        <f>[16]January_2019!AG6</f>
        <v>0</v>
      </c>
      <c r="AX54" s="277">
        <f>[16]January_2019!AH6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503"/>
      <c r="C55" s="479"/>
      <c r="D55" s="442"/>
      <c r="E55" s="443"/>
      <c r="F55" s="444"/>
      <c r="G55" s="445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[16]January_2019!L7</f>
        <v>285.8</v>
      </c>
      <c r="AC55" s="57">
        <f>[16]January_2019!M7</f>
        <v>508.1</v>
      </c>
      <c r="AD55" s="57">
        <f>[16]January_2019!N7</f>
        <v>0</v>
      </c>
      <c r="AE55" s="57">
        <f>[16]January_2019!O7</f>
        <v>0</v>
      </c>
      <c r="AF55" s="57">
        <f>[16]January_2019!P7</f>
        <v>109.56666666666666</v>
      </c>
      <c r="AG55" s="57">
        <f>[16]January_2019!Q7</f>
        <v>297.64999999999998</v>
      </c>
      <c r="AH55" s="57">
        <f>[16]January_2019!R7</f>
        <v>122.3</v>
      </c>
      <c r="AI55" s="57">
        <f>[16]January_2019!S7</f>
        <v>0</v>
      </c>
      <c r="AJ55" s="57">
        <f>[16]January_2019!T7</f>
        <v>294.7</v>
      </c>
      <c r="AK55" s="57">
        <f>[16]January_2019!U7</f>
        <v>280.5</v>
      </c>
      <c r="AL55" s="57">
        <f>[16]January_2019!V7</f>
        <v>0</v>
      </c>
      <c r="AM55" s="57">
        <f>[16]January_2019!W7</f>
        <v>0</v>
      </c>
      <c r="AN55" s="57">
        <f>[16]January_2019!X7</f>
        <v>188.25</v>
      </c>
      <c r="AO55" s="57">
        <f>[16]January_2019!Y7</f>
        <v>295.7</v>
      </c>
      <c r="AP55" s="57">
        <f>[16]January_2019!Z7</f>
        <v>257.8</v>
      </c>
      <c r="AQ55" s="57">
        <f>[16]January_2019!AA7</f>
        <v>291.2</v>
      </c>
      <c r="AR55" s="57">
        <f>[16]January_2019!AB7</f>
        <v>187</v>
      </c>
      <c r="AS55" s="57">
        <f>[16]January_2019!AC7</f>
        <v>0</v>
      </c>
      <c r="AT55" s="57">
        <f>[16]January_2019!AD7</f>
        <v>0</v>
      </c>
      <c r="AU55" s="57">
        <f>[16]January_2019!AE7</f>
        <v>485.1</v>
      </c>
      <c r="AV55" s="57">
        <f>[16]January_2019!AF7</f>
        <v>171.55</v>
      </c>
      <c r="AW55" s="57">
        <f>[16]January_2019!AG7</f>
        <v>423.8</v>
      </c>
      <c r="AX55" s="277">
        <f>[16]January_2019!AH7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9.5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450000000000003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4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09" t="s">
        <v>55</v>
      </c>
      <c r="C64" s="510"/>
      <c r="D64" s="510"/>
      <c r="E64" s="510"/>
      <c r="F64" s="511"/>
      <c r="G64" s="509" t="s">
        <v>56</v>
      </c>
      <c r="H64" s="510"/>
      <c r="I64" s="510"/>
      <c r="J64" s="511"/>
      <c r="K64" s="509" t="s">
        <v>51</v>
      </c>
      <c r="L64" s="510"/>
      <c r="M64" s="510"/>
      <c r="N64" s="512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/>
      <c r="D66" s="76">
        <v>3.8658543160618839</v>
      </c>
      <c r="E66" s="76">
        <v>6.3938589380984556</v>
      </c>
      <c r="F66" s="66">
        <v>4.8</v>
      </c>
      <c r="G66" s="65"/>
      <c r="H66" s="477">
        <v>4.4851350232047578</v>
      </c>
      <c r="I66" s="477">
        <v>6.2050116685766472</v>
      </c>
      <c r="J66" s="66">
        <v>4.8</v>
      </c>
      <c r="K66" s="67"/>
      <c r="L66" s="194">
        <v>0.72988304093567247</v>
      </c>
      <c r="M66" s="194">
        <v>0.52120689914926077</v>
      </c>
      <c r="N66" s="68">
        <v>1</v>
      </c>
      <c r="O66" s="56"/>
      <c r="P66" s="69"/>
    </row>
    <row r="67" spans="2:16" ht="15">
      <c r="B67" s="33" t="s">
        <v>9</v>
      </c>
      <c r="C67" s="65">
        <f>L53</f>
        <v>1.4300306435137953</v>
      </c>
      <c r="D67" s="76">
        <v>6.5270687802256688</v>
      </c>
      <c r="E67" s="76">
        <v>5.8993893414814869</v>
      </c>
      <c r="F67" s="66">
        <v>4.8</v>
      </c>
      <c r="G67" s="65">
        <f>[14]June_2026!$AF$21</f>
        <v>3.5591419816138967</v>
      </c>
      <c r="H67" s="76">
        <v>6.9040533756401175</v>
      </c>
      <c r="I67" s="76">
        <v>5.6218333761731296</v>
      </c>
      <c r="J67" s="66">
        <v>4.8</v>
      </c>
      <c r="K67" s="67">
        <f>K53</f>
        <v>0.33859649122807017</v>
      </c>
      <c r="L67" s="194">
        <v>0.74796052631578946</v>
      </c>
      <c r="M67" s="194">
        <v>0.69593128532610038</v>
      </c>
      <c r="N67" s="68">
        <v>1</v>
      </c>
      <c r="P67" s="69"/>
    </row>
    <row r="68" spans="2:16" ht="15">
      <c r="B68" s="34" t="s">
        <v>40</v>
      </c>
      <c r="C68" s="65"/>
      <c r="D68" s="76">
        <v>12.463627546071795</v>
      </c>
      <c r="E68" s="76">
        <v>11.596009975062332</v>
      </c>
      <c r="F68" s="66">
        <v>5.5</v>
      </c>
      <c r="G68" s="65"/>
      <c r="H68" s="76">
        <v>13.176885540709748</v>
      </c>
      <c r="I68" s="76">
        <v>12.705454422449741</v>
      </c>
      <c r="J68" s="66">
        <v>5.5</v>
      </c>
      <c r="K68" s="67"/>
      <c r="L68" s="194">
        <v>0.18095238095238095</v>
      </c>
      <c r="M68" s="194">
        <v>0.25516722361459199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4.7166249493098773</v>
      </c>
      <c r="F69" s="66">
        <v>3.3</v>
      </c>
      <c r="G69" s="65"/>
      <c r="H69" s="76"/>
      <c r="I69" s="76">
        <v>4.7393662692065543</v>
      </c>
      <c r="J69" s="66">
        <v>3.3</v>
      </c>
      <c r="K69" s="67"/>
      <c r="L69" s="194"/>
      <c r="M69" s="194">
        <v>0.73604010025062661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76"/>
      <c r="D71" s="76"/>
      <c r="E71" s="76">
        <v>5.1541347251672045</v>
      </c>
      <c r="F71" s="483">
        <v>5.5</v>
      </c>
      <c r="G71" s="282"/>
      <c r="H71" s="76"/>
      <c r="I71" s="76">
        <v>7.4989046872874194</v>
      </c>
      <c r="J71" s="66">
        <v>5.5</v>
      </c>
      <c r="K71" s="67"/>
      <c r="L71" s="194"/>
      <c r="M71" s="194">
        <v>1.0201754385964912</v>
      </c>
      <c r="N71" s="68">
        <v>1</v>
      </c>
      <c r="P71" s="69"/>
    </row>
    <row r="72" spans="2:16" ht="15">
      <c r="B72" s="37" t="s">
        <v>16</v>
      </c>
      <c r="C72" s="485"/>
      <c r="D72" s="76">
        <v>3.8064469113610451</v>
      </c>
      <c r="E72" s="76">
        <v>3.7425354424032347</v>
      </c>
      <c r="F72" s="66">
        <v>3.3</v>
      </c>
      <c r="G72" s="282"/>
      <c r="H72" s="76">
        <v>5.1620200172171886</v>
      </c>
      <c r="I72" s="76">
        <v>4.8813740630219202</v>
      </c>
      <c r="J72" s="66">
        <v>3.3</v>
      </c>
      <c r="K72" s="67"/>
      <c r="L72" s="194">
        <v>0.69473684210526321</v>
      </c>
      <c r="M72" s="194">
        <v>0.82729694606887583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5.8851934568720958</v>
      </c>
      <c r="E75" s="76">
        <v>6.2765829896059735</v>
      </c>
      <c r="F75" s="341">
        <v>5.5</v>
      </c>
      <c r="H75" s="76">
        <v>6.8303137212566023</v>
      </c>
      <c r="I75" s="76">
        <v>6.4266969890247756</v>
      </c>
      <c r="J75" s="341">
        <v>5.5</v>
      </c>
      <c r="L75" s="194">
        <v>0.6730200501253133</v>
      </c>
      <c r="M75" s="194">
        <v>0.58533239000278481</v>
      </c>
      <c r="N75" s="386">
        <v>1</v>
      </c>
    </row>
  </sheetData>
  <mergeCells count="51"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367" priority="108" operator="notBetween">
      <formula>#REF!</formula>
      <formula>#REF!</formula>
    </cfRule>
  </conditionalFormatting>
  <conditionalFormatting sqref="C50">
    <cfRule type="cellIs" dxfId="366" priority="198" stopIfTrue="1" operator="greaterThan">
      <formula>100</formula>
    </cfRule>
    <cfRule type="cellIs" dxfId="365" priority="197" stopIfTrue="1" operator="lessThan">
      <formula>96</formula>
    </cfRule>
  </conditionalFormatting>
  <conditionalFormatting sqref="C66:C67">
    <cfRule type="cellIs" dxfId="364" priority="71" stopIfTrue="1" operator="lessThanOrEqual">
      <formula>0</formula>
    </cfRule>
    <cfRule type="cellIs" dxfId="363" priority="68" stopIfTrue="1" operator="greaterThan">
      <formula>$F66</formula>
    </cfRule>
    <cfRule type="cellIs" dxfId="362" priority="69" stopIfTrue="1" operator="lessThanOrEqual">
      <formula>0</formula>
    </cfRule>
    <cfRule type="cellIs" dxfId="361" priority="70" stopIfTrue="1" operator="greaterThan">
      <formula>$F66</formula>
    </cfRule>
  </conditionalFormatting>
  <conditionalFormatting sqref="C68:C70 C72:C74">
    <cfRule type="cellIs" dxfId="360" priority="78" stopIfTrue="1" operator="greaterThan">
      <formula>$F71</formula>
    </cfRule>
  </conditionalFormatting>
  <conditionalFormatting sqref="C68:C70">
    <cfRule type="cellIs" dxfId="359" priority="79" stopIfTrue="1" operator="lessThanOrEqual">
      <formula>0</formula>
    </cfRule>
  </conditionalFormatting>
  <conditionalFormatting sqref="C72:C74">
    <cfRule type="cellIs" dxfId="358" priority="80" stopIfTrue="1" operator="lessThanOrEqual">
      <formula>0</formula>
    </cfRule>
  </conditionalFormatting>
  <conditionalFormatting sqref="C77:C81">
    <cfRule type="cellIs" dxfId="357" priority="189" stopIfTrue="1" operator="lessThanOrEqual">
      <formula>0</formula>
    </cfRule>
  </conditionalFormatting>
  <conditionalFormatting sqref="C78:C81">
    <cfRule type="cellIs" dxfId="356" priority="188" stopIfTrue="1" operator="greaterThan">
      <formula>$F$77</formula>
    </cfRule>
  </conditionalFormatting>
  <conditionalFormatting sqref="C83">
    <cfRule type="cellIs" dxfId="355" priority="191" stopIfTrue="1" operator="lessThanOrEqual">
      <formula>0</formula>
    </cfRule>
    <cfRule type="cellIs" dxfId="354" priority="190" stopIfTrue="1" operator="greaterThan">
      <formula>$F$77</formula>
    </cfRule>
  </conditionalFormatting>
  <conditionalFormatting sqref="C71:D71">
    <cfRule type="cellIs" dxfId="353" priority="66" stopIfTrue="1" operator="greaterThan">
      <formula>$J71</formula>
    </cfRule>
    <cfRule type="cellIs" dxfId="352" priority="67" stopIfTrue="1" operator="lessThanOrEqual">
      <formula>0</formula>
    </cfRule>
  </conditionalFormatting>
  <conditionalFormatting sqref="C77:D77 D79:D85">
    <cfRule type="cellIs" dxfId="351" priority="183" stopIfTrue="1" operator="greaterThan">
      <formula>4.5</formula>
    </cfRule>
  </conditionalFormatting>
  <conditionalFormatting sqref="D46:D47">
    <cfRule type="cellIs" dxfId="350" priority="109" operator="notBetween">
      <formula>#REF!</formula>
      <formula>#REF!</formula>
    </cfRule>
  </conditionalFormatting>
  <conditionalFormatting sqref="D66:D70 D72:D73">
    <cfRule type="cellIs" dxfId="349" priority="77" stopIfTrue="1" operator="lessThanOrEqual">
      <formula>0</formula>
    </cfRule>
  </conditionalFormatting>
  <conditionalFormatting sqref="D66:D70 D72:D75">
    <cfRule type="cellIs" dxfId="348" priority="74" stopIfTrue="1" operator="greaterThan">
      <formula>$F66</formula>
    </cfRule>
    <cfRule type="cellIs" dxfId="347" priority="73" stopIfTrue="1" operator="lessThanOrEqual">
      <formula>0</formula>
    </cfRule>
  </conditionalFormatting>
  <conditionalFormatting sqref="D74:D75">
    <cfRule type="cellIs" dxfId="346" priority="75" stopIfTrue="1" operator="lessThanOrEqual">
      <formula>0</formula>
    </cfRule>
  </conditionalFormatting>
  <conditionalFormatting sqref="D75">
    <cfRule type="cellIs" dxfId="345" priority="76" stopIfTrue="1" operator="lessThanOrEqual">
      <formula>0</formula>
    </cfRule>
  </conditionalFormatting>
  <conditionalFormatting sqref="D77 D79:D85">
    <cfRule type="cellIs" dxfId="344" priority="184" stopIfTrue="1" operator="lessThanOrEqual">
      <formula>0</formula>
    </cfRule>
  </conditionalFormatting>
  <conditionalFormatting sqref="D78">
    <cfRule type="cellIs" dxfId="343" priority="175" stopIfTrue="1" operator="greaterThan">
      <formula>$F$77</formula>
    </cfRule>
    <cfRule type="cellIs" dxfId="342" priority="176" stopIfTrue="1" operator="lessThanOrEqual">
      <formula>0</formula>
    </cfRule>
  </conditionalFormatting>
  <conditionalFormatting sqref="E10:E21">
    <cfRule type="cellIs" dxfId="341" priority="7" operator="lessThan">
      <formula>48</formula>
    </cfRule>
  </conditionalFormatting>
  <conditionalFormatting sqref="E49 E50:F50">
    <cfRule type="cellIs" dxfId="340" priority="180" stopIfTrue="1" operator="greaterThan">
      <formula>100</formula>
    </cfRule>
  </conditionalFormatting>
  <conditionalFormatting sqref="E50">
    <cfRule type="cellIs" dxfId="339" priority="178" stopIfTrue="1" operator="greaterThan">
      <formula>100</formula>
    </cfRule>
    <cfRule type="cellIs" dxfId="338" priority="177" stopIfTrue="1" operator="lessThan">
      <formula>96.8</formula>
    </cfRule>
  </conditionalFormatting>
  <conditionalFormatting sqref="E66:E74">
    <cfRule type="cellIs" dxfId="337" priority="35" stopIfTrue="1" operator="lessThanOrEqual">
      <formula>0</formula>
    </cfRule>
  </conditionalFormatting>
  <conditionalFormatting sqref="E66:E75">
    <cfRule type="cellIs" dxfId="336" priority="37" stopIfTrue="1" operator="lessThanOrEqual">
      <formula>0</formula>
    </cfRule>
    <cfRule type="cellIs" dxfId="335" priority="36" stopIfTrue="1" operator="greaterThan">
      <formula>$F66</formula>
    </cfRule>
  </conditionalFormatting>
  <conditionalFormatting sqref="E75">
    <cfRule type="cellIs" dxfId="334" priority="38" stopIfTrue="1" operator="lessThanOrEqual">
      <formula>0</formula>
    </cfRule>
  </conditionalFormatting>
  <conditionalFormatting sqref="E77:E85">
    <cfRule type="cellIs" dxfId="333" priority="170" stopIfTrue="1" operator="lessThanOrEqual">
      <formula>0</formula>
    </cfRule>
    <cfRule type="cellIs" dxfId="332" priority="169" stopIfTrue="1" operator="greaterThan">
      <formula>4.5</formula>
    </cfRule>
  </conditionalFormatting>
  <conditionalFormatting sqref="E50:F50 E49">
    <cfRule type="cellIs" dxfId="331" priority="179" stopIfTrue="1" operator="lessThan">
      <formula>96.5</formula>
    </cfRule>
  </conditionalFormatting>
  <conditionalFormatting sqref="F10:F17">
    <cfRule type="cellIs" dxfId="330" priority="20" operator="greaterThan">
      <formula>60</formula>
    </cfRule>
  </conditionalFormatting>
  <conditionalFormatting sqref="F21">
    <cfRule type="cellIs" dxfId="329" priority="26" operator="greaterThan">
      <formula>60</formula>
    </cfRule>
  </conditionalFormatting>
  <conditionalFormatting sqref="F50">
    <cfRule type="cellIs" dxfId="328" priority="195" stopIfTrue="1" operator="lessThan">
      <formula>96.8</formula>
    </cfRule>
    <cfRule type="cellIs" dxfId="327" priority="196" stopIfTrue="1" operator="greaterThan">
      <formula>100</formula>
    </cfRule>
  </conditionalFormatting>
  <conditionalFormatting sqref="F75">
    <cfRule type="cellIs" dxfId="326" priority="46" stopIfTrue="1" operator="greaterThan">
      <formula>$F75</formula>
    </cfRule>
    <cfRule type="cellIs" dxfId="325" priority="47" stopIfTrue="1" operator="lessThanOrEqual">
      <formula>0</formula>
    </cfRule>
  </conditionalFormatting>
  <conditionalFormatting sqref="G10:G21">
    <cfRule type="expression" dxfId="324" priority="10">
      <formula>IF(+(IF(G10&lt;S10,0,IF(G10&gt;T10,0,1)))=0,1)</formula>
    </cfRule>
  </conditionalFormatting>
  <conditionalFormatting sqref="G66:G67">
    <cfRule type="cellIs" dxfId="323" priority="48" stopIfTrue="1" operator="greaterThan">
      <formula>$F66</formula>
    </cfRule>
    <cfRule type="cellIs" dxfId="322" priority="49" stopIfTrue="1" operator="lessThanOrEqual">
      <formula>0</formula>
    </cfRule>
  </conditionalFormatting>
  <conditionalFormatting sqref="G66:G69">
    <cfRule type="cellIs" dxfId="321" priority="31" stopIfTrue="1" operator="lessThanOrEqual">
      <formula>0</formula>
    </cfRule>
    <cfRule type="cellIs" dxfId="320" priority="30" stopIfTrue="1" operator="greaterThan">
      <formula>$F66</formula>
    </cfRule>
  </conditionalFormatting>
  <conditionalFormatting sqref="G68">
    <cfRule type="cellIs" dxfId="319" priority="29" stopIfTrue="1" operator="lessThanOrEqual">
      <formula>0</formula>
    </cfRule>
    <cfRule type="cellIs" dxfId="318" priority="28" stopIfTrue="1" operator="greaterThan">
      <formula>$F68</formula>
    </cfRule>
  </conditionalFormatting>
  <conditionalFormatting sqref="G69">
    <cfRule type="cellIs" dxfId="317" priority="43" stopIfTrue="1" operator="lessThanOrEqual">
      <formula>0</formula>
    </cfRule>
    <cfRule type="cellIs" dxfId="316" priority="42" stopIfTrue="1" operator="greaterThan">
      <formula>$F69</formula>
    </cfRule>
  </conditionalFormatting>
  <conditionalFormatting sqref="G70:G74">
    <cfRule type="cellIs" dxfId="315" priority="50" stopIfTrue="1" operator="greaterThan">
      <formula>$J70</formula>
    </cfRule>
    <cfRule type="cellIs" dxfId="314" priority="51" stopIfTrue="1" operator="lessThanOrEqual">
      <formula>0</formula>
    </cfRule>
  </conditionalFormatting>
  <conditionalFormatting sqref="G79:G84 C82 C84">
    <cfRule type="cellIs" dxfId="313" priority="192" stopIfTrue="1" operator="greaterThan">
      <formula>4.5</formula>
    </cfRule>
    <cfRule type="cellIs" dxfId="312" priority="193" stopIfTrue="1" operator="lessThanOrEqual">
      <formula>0</formula>
    </cfRule>
  </conditionalFormatting>
  <conditionalFormatting sqref="G78:H78">
    <cfRule type="cellIs" dxfId="311" priority="174" stopIfTrue="1" operator="lessThanOrEqual">
      <formula>0</formula>
    </cfRule>
    <cfRule type="cellIs" dxfId="310" priority="173" stopIfTrue="1" operator="greaterThan">
      <formula>$F$77</formula>
    </cfRule>
  </conditionalFormatting>
  <conditionalFormatting sqref="H10:H21 M10:N21">
    <cfRule type="expression" dxfId="309" priority="8">
      <formula>IF(+(IF(H10&lt;#REF!,0,IF(H10&gt;#REF!,0,1)))=0,1)</formula>
    </cfRule>
  </conditionalFormatting>
  <conditionalFormatting sqref="H35:H36 H49">
    <cfRule type="cellIs" dxfId="308" priority="171" stopIfTrue="1" operator="greaterThan">
      <formula>0</formula>
    </cfRule>
  </conditionalFormatting>
  <conditionalFormatting sqref="H53">
    <cfRule type="cellIs" dxfId="307" priority="53" stopIfTrue="1" operator="lessThanOrEqual">
      <formula>0</formula>
    </cfRule>
    <cfRule type="cellIs" dxfId="306" priority="64" stopIfTrue="1" operator="greaterThan">
      <formula>$F$67</formula>
    </cfRule>
    <cfRule type="cellIs" dxfId="305" priority="63" stopIfTrue="1" operator="lessThanOrEqual">
      <formula>0</formula>
    </cfRule>
    <cfRule type="cellIs" dxfId="304" priority="62" stopIfTrue="1" operator="greaterThan">
      <formula>$F$69</formula>
    </cfRule>
    <cfRule type="cellIs" dxfId="303" priority="54" stopIfTrue="1" operator="greaterThan">
      <formula>$F$66</formula>
    </cfRule>
  </conditionalFormatting>
  <conditionalFormatting sqref="H53:H55">
    <cfRule type="cellIs" dxfId="302" priority="65" stopIfTrue="1" operator="lessThanOrEqual">
      <formula>0</formula>
    </cfRule>
  </conditionalFormatting>
  <conditionalFormatting sqref="H54:H55">
    <cfRule type="cellIs" dxfId="301" priority="91" stopIfTrue="1" operator="greaterThan">
      <formula>$F$67</formula>
    </cfRule>
    <cfRule type="cellIs" dxfId="300" priority="81" stopIfTrue="1" operator="greaterThan">
      <formula>$F$66</formula>
    </cfRule>
    <cfRule type="cellIs" dxfId="299" priority="89" stopIfTrue="1" operator="greaterThan">
      <formula>$F$69</formula>
    </cfRule>
    <cfRule type="cellIs" dxfId="298" priority="90" stopIfTrue="1" operator="lessThanOrEqual">
      <formula>0</formula>
    </cfRule>
  </conditionalFormatting>
  <conditionalFormatting sqref="H54:H57">
    <cfRule type="cellIs" dxfId="297" priority="92" stopIfTrue="1" operator="lessThanOrEqual">
      <formula>0</formula>
    </cfRule>
  </conditionalFormatting>
  <conditionalFormatting sqref="H56:H57">
    <cfRule type="cellIs" dxfId="296" priority="104" stopIfTrue="1" operator="lessThanOrEqual">
      <formula>0</formula>
    </cfRule>
    <cfRule type="cellIs" dxfId="295" priority="106" stopIfTrue="1" operator="lessThanOrEqual">
      <formula>0</formula>
    </cfRule>
    <cfRule type="cellIs" dxfId="294" priority="105" stopIfTrue="1" operator="greaterThan">
      <formula>$F$67</formula>
    </cfRule>
    <cfRule type="cellIs" dxfId="293" priority="95" stopIfTrue="1" operator="greaterThan">
      <formula>$F$66</formula>
    </cfRule>
    <cfRule type="cellIs" dxfId="292" priority="103" stopIfTrue="1" operator="greaterThan">
      <formula>$F$69</formula>
    </cfRule>
  </conditionalFormatting>
  <conditionalFormatting sqref="H58:H59">
    <cfRule type="cellIs" dxfId="291" priority="144" stopIfTrue="1" operator="greaterThan">
      <formula>#REF!</formula>
    </cfRule>
    <cfRule type="cellIs" dxfId="290" priority="142" stopIfTrue="1" operator="greaterThan">
      <formula>$F$21</formula>
    </cfRule>
    <cfRule type="cellIs" dxfId="289" priority="143" stopIfTrue="1" operator="lessThanOrEqual">
      <formula>0</formula>
    </cfRule>
    <cfRule type="cellIs" dxfId="288" priority="134" stopIfTrue="1" operator="greaterThan">
      <formula>#REF!</formula>
    </cfRule>
    <cfRule type="cellIs" dxfId="287" priority="133" stopIfTrue="1" operator="lessThanOrEqual">
      <formula>0</formula>
    </cfRule>
    <cfRule type="cellIs" dxfId="286" priority="145" stopIfTrue="1" operator="lessThanOrEqual">
      <formula>0</formula>
    </cfRule>
  </conditionalFormatting>
  <conditionalFormatting sqref="H60">
    <cfRule type="cellIs" dxfId="285" priority="156" stopIfTrue="1" operator="greaterThan">
      <formula>$F$37</formula>
    </cfRule>
    <cfRule type="cellIs" dxfId="284" priority="148" stopIfTrue="1" operator="greaterThan">
      <formula>$F$34</formula>
    </cfRule>
    <cfRule type="cellIs" dxfId="283" priority="158" stopIfTrue="1" operator="greaterThan">
      <formula>$F$35</formula>
    </cfRule>
    <cfRule type="cellIs" dxfId="282" priority="159" stopIfTrue="1" operator="lessThanOrEqual">
      <formula>0</formula>
    </cfRule>
    <cfRule type="cellIs" dxfId="281" priority="157" stopIfTrue="1" operator="lessThanOrEqual">
      <formula>0</formula>
    </cfRule>
    <cfRule type="cellIs" dxfId="280" priority="147" stopIfTrue="1" operator="lessThanOrEqual">
      <formula>0</formula>
    </cfRule>
  </conditionalFormatting>
  <conditionalFormatting sqref="H61:H62">
    <cfRule type="cellIs" dxfId="279" priority="130" stopIfTrue="1" operator="greaterThan">
      <formula>#REF!</formula>
    </cfRule>
    <cfRule type="cellIs" dxfId="278" priority="120" stopIfTrue="1" operator="greaterThan">
      <formula>#REF!</formula>
    </cfRule>
    <cfRule type="cellIs" dxfId="277" priority="128" stopIfTrue="1" operator="greaterThan">
      <formula>$F$21</formula>
    </cfRule>
    <cfRule type="cellIs" dxfId="276" priority="119" stopIfTrue="1" operator="lessThanOrEqual">
      <formula>0</formula>
    </cfRule>
    <cfRule type="cellIs" dxfId="275" priority="129" stopIfTrue="1" operator="lessThanOrEqual">
      <formula>0</formula>
    </cfRule>
    <cfRule type="cellIs" dxfId="274" priority="131" stopIfTrue="1" operator="lessThanOrEqual">
      <formula>0</formula>
    </cfRule>
  </conditionalFormatting>
  <conditionalFormatting sqref="H77 H79:H85">
    <cfRule type="cellIs" dxfId="273" priority="185" stopIfTrue="1" operator="greaterThan">
      <formula>4.5</formula>
    </cfRule>
    <cfRule type="cellIs" dxfId="272" priority="186" stopIfTrue="1" operator="lessThanOrEqual">
      <formula>0</formula>
    </cfRule>
  </conditionalFormatting>
  <conditionalFormatting sqref="H53:I53">
    <cfRule type="cellIs" dxfId="271" priority="55" stopIfTrue="1" operator="lessThanOrEqual">
      <formula>0</formula>
    </cfRule>
  </conditionalFormatting>
  <conditionalFormatting sqref="H53:I57">
    <cfRule type="cellIs" dxfId="270" priority="52" stopIfTrue="1" operator="greaterThan">
      <formula>$F$68</formula>
    </cfRule>
  </conditionalFormatting>
  <conditionalFormatting sqref="H54:I55">
    <cfRule type="cellIs" dxfId="269" priority="82" stopIfTrue="1" operator="lessThanOrEqual">
      <formula>0</formula>
    </cfRule>
  </conditionalFormatting>
  <conditionalFormatting sqref="H56:I57">
    <cfRule type="cellIs" dxfId="268" priority="96" stopIfTrue="1" operator="lessThanOrEqual">
      <formula>0</formula>
    </cfRule>
  </conditionalFormatting>
  <conditionalFormatting sqref="H58:I59">
    <cfRule type="cellIs" dxfId="267" priority="132" stopIfTrue="1" operator="greaterThan">
      <formula>#REF!</formula>
    </cfRule>
    <cfRule type="cellIs" dxfId="266" priority="135" stopIfTrue="1" operator="lessThanOrEqual">
      <formula>0</formula>
    </cfRule>
  </conditionalFormatting>
  <conditionalFormatting sqref="H60:I60">
    <cfRule type="cellIs" dxfId="265" priority="149" stopIfTrue="1" operator="lessThanOrEqual">
      <formula>0</formula>
    </cfRule>
    <cfRule type="cellIs" dxfId="264" priority="146" stopIfTrue="1" operator="greaterThan">
      <formula>$F$36</formula>
    </cfRule>
  </conditionalFormatting>
  <conditionalFormatting sqref="H61:I62">
    <cfRule type="cellIs" dxfId="263" priority="121" stopIfTrue="1" operator="lessThanOrEqual">
      <formula>0</formula>
    </cfRule>
    <cfRule type="cellIs" dxfId="262" priority="118" stopIfTrue="1" operator="greaterThan">
      <formula>#REF!</formula>
    </cfRule>
  </conditionalFormatting>
  <conditionalFormatting sqref="H66:I73">
    <cfRule type="cellIs" dxfId="261" priority="34" stopIfTrue="1" operator="lessThanOrEqual">
      <formula>0</formula>
    </cfRule>
    <cfRule type="cellIs" dxfId="260" priority="33" stopIfTrue="1" operator="greaterThan">
      <formula>$J66</formula>
    </cfRule>
  </conditionalFormatting>
  <conditionalFormatting sqref="H74:I74">
    <cfRule type="cellIs" dxfId="259" priority="41" operator="greaterThan">
      <formula>5.3</formula>
    </cfRule>
  </conditionalFormatting>
  <conditionalFormatting sqref="H75:I75">
    <cfRule type="cellIs" dxfId="258" priority="40" stopIfTrue="1" operator="lessThanOrEqual">
      <formula>0</formula>
    </cfRule>
    <cfRule type="cellIs" dxfId="257" priority="39" stopIfTrue="1" operator="greaterThan">
      <formula>$J75</formula>
    </cfRule>
  </conditionalFormatting>
  <conditionalFormatting sqref="I53">
    <cfRule type="cellIs" dxfId="256" priority="56" stopIfTrue="1" operator="greaterThan">
      <formula>$F$66</formula>
    </cfRule>
    <cfRule type="cellIs" dxfId="255" priority="57" stopIfTrue="1" operator="lessThanOrEqual">
      <formula>0</formula>
    </cfRule>
    <cfRule type="cellIs" dxfId="254" priority="58" stopIfTrue="1" operator="greaterThan">
      <formula>$F$68</formula>
    </cfRule>
    <cfRule type="cellIs" dxfId="253" priority="59" stopIfTrue="1" operator="lessThanOrEqual">
      <formula>0</formula>
    </cfRule>
    <cfRule type="cellIs" dxfId="252" priority="60" stopIfTrue="1" operator="greaterThan">
      <formula>$F$66</formula>
    </cfRule>
    <cfRule type="cellIs" dxfId="251" priority="61" stopIfTrue="1" operator="lessThanOrEqual">
      <formula>0</formula>
    </cfRule>
  </conditionalFormatting>
  <conditionalFormatting sqref="I54:I55">
    <cfRule type="cellIs" dxfId="250" priority="87" stopIfTrue="1" operator="greaterThan">
      <formula>$F$66</formula>
    </cfRule>
    <cfRule type="cellIs" dxfId="249" priority="86" stopIfTrue="1" operator="lessThanOrEqual">
      <formula>0</formula>
    </cfRule>
    <cfRule type="cellIs" dxfId="248" priority="85" stopIfTrue="1" operator="greaterThan">
      <formula>$F$68</formula>
    </cfRule>
    <cfRule type="cellIs" dxfId="247" priority="83" stopIfTrue="1" operator="greaterThan">
      <formula>$F$66</formula>
    </cfRule>
    <cfRule type="cellIs" dxfId="246" priority="88" stopIfTrue="1" operator="lessThanOrEqual">
      <formula>0</formula>
    </cfRule>
    <cfRule type="cellIs" dxfId="245" priority="84" stopIfTrue="1" operator="lessThanOrEqual">
      <formula>0</formula>
    </cfRule>
  </conditionalFormatting>
  <conditionalFormatting sqref="I56:I57">
    <cfRule type="cellIs" dxfId="244" priority="97" stopIfTrue="1" operator="greaterThan">
      <formula>$F$66</formula>
    </cfRule>
    <cfRule type="cellIs" dxfId="243" priority="98" stopIfTrue="1" operator="lessThanOrEqual">
      <formula>0</formula>
    </cfRule>
    <cfRule type="cellIs" dxfId="242" priority="102" stopIfTrue="1" operator="lessThanOrEqual">
      <formula>0</formula>
    </cfRule>
    <cfRule type="cellIs" dxfId="241" priority="99" stopIfTrue="1" operator="greaterThan">
      <formula>$F$68</formula>
    </cfRule>
    <cfRule type="cellIs" dxfId="240" priority="100" stopIfTrue="1" operator="lessThanOrEqual">
      <formula>0</formula>
    </cfRule>
    <cfRule type="cellIs" dxfId="239" priority="101" stopIfTrue="1" operator="greaterThan">
      <formula>$F$66</formula>
    </cfRule>
  </conditionalFormatting>
  <conditionalFormatting sqref="I58:I59">
    <cfRule type="cellIs" dxfId="238" priority="136" stopIfTrue="1" operator="greaterThan">
      <formula>#REF!</formula>
    </cfRule>
    <cfRule type="cellIs" dxfId="237" priority="137" stopIfTrue="1" operator="lessThanOrEqual">
      <formula>0</formula>
    </cfRule>
    <cfRule type="cellIs" dxfId="236" priority="138" stopIfTrue="1" operator="greaterThan">
      <formula>#REF!</formula>
    </cfRule>
    <cfRule type="cellIs" dxfId="235" priority="139" stopIfTrue="1" operator="lessThanOrEqual">
      <formula>0</formula>
    </cfRule>
    <cfRule type="cellIs" dxfId="234" priority="140" stopIfTrue="1" operator="greaterThan">
      <formula>#REF!</formula>
    </cfRule>
    <cfRule type="cellIs" dxfId="233" priority="141" stopIfTrue="1" operator="lessThanOrEqual">
      <formula>0</formula>
    </cfRule>
  </conditionalFormatting>
  <conditionalFormatting sqref="I60">
    <cfRule type="cellIs" dxfId="232" priority="152" stopIfTrue="1" operator="greaterThan">
      <formula>$F$36</formula>
    </cfRule>
    <cfRule type="cellIs" dxfId="231" priority="150" stopIfTrue="1" operator="greaterThan">
      <formula>$F$34</formula>
    </cfRule>
    <cfRule type="cellIs" dxfId="230" priority="151" stopIfTrue="1" operator="lessThanOrEqual">
      <formula>0</formula>
    </cfRule>
    <cfRule type="cellIs" dxfId="229" priority="153" stopIfTrue="1" operator="lessThanOrEqual">
      <formula>0</formula>
    </cfRule>
    <cfRule type="cellIs" dxfId="228" priority="154" stopIfTrue="1" operator="greaterThan">
      <formula>$F$34</formula>
    </cfRule>
    <cfRule type="cellIs" dxfId="227" priority="155" stopIfTrue="1" operator="lessThanOrEqual">
      <formula>0</formula>
    </cfRule>
  </conditionalFormatting>
  <conditionalFormatting sqref="I61:I62">
    <cfRule type="cellIs" dxfId="226" priority="124" stopIfTrue="1" operator="greaterThan">
      <formula>#REF!</formula>
    </cfRule>
    <cfRule type="cellIs" dxfId="225" priority="126" stopIfTrue="1" operator="greaterThan">
      <formula>#REF!</formula>
    </cfRule>
    <cfRule type="cellIs" dxfId="224" priority="127" stopIfTrue="1" operator="lessThanOrEqual">
      <formula>0</formula>
    </cfRule>
    <cfRule type="cellIs" dxfId="223" priority="125" stopIfTrue="1" operator="lessThanOrEqual">
      <formula>0</formula>
    </cfRule>
    <cfRule type="cellIs" dxfId="222" priority="122" stopIfTrue="1" operator="greaterThan">
      <formula>#REF!</formula>
    </cfRule>
    <cfRule type="cellIs" dxfId="221" priority="123" stopIfTrue="1" operator="lessThanOrEqual">
      <formula>0</formula>
    </cfRule>
  </conditionalFormatting>
  <conditionalFormatting sqref="I77:I85">
    <cfRule type="cellIs" dxfId="220" priority="182" stopIfTrue="1" operator="lessThanOrEqual">
      <formula>0</formula>
    </cfRule>
    <cfRule type="cellIs" dxfId="219" priority="181" stopIfTrue="1" operator="greaterThan">
      <formula>4.5</formula>
    </cfRule>
  </conditionalFormatting>
  <conditionalFormatting sqref="I10:J21">
    <cfRule type="cellIs" dxfId="218" priority="1" operator="lessThan">
      <formula>97.9</formula>
    </cfRule>
  </conditionalFormatting>
  <conditionalFormatting sqref="J24:J25">
    <cfRule type="cellIs" dxfId="217" priority="94" operator="lessThan">
      <formula>97.95</formula>
    </cfRule>
  </conditionalFormatting>
  <conditionalFormatting sqref="J26">
    <cfRule type="cellIs" dxfId="216" priority="162" stopIfTrue="1" operator="greaterThan">
      <formula>100</formula>
    </cfRule>
    <cfRule type="cellIs" dxfId="215" priority="161" stopIfTrue="1" operator="lessThan">
      <formula>96.8</formula>
    </cfRule>
    <cfRule type="cellIs" dxfId="214" priority="163" operator="lessThan">
      <formula>98</formula>
    </cfRule>
  </conditionalFormatting>
  <conditionalFormatting sqref="J26:J28">
    <cfRule type="cellIs" dxfId="213" priority="160" operator="lessThan">
      <formula>97.4</formula>
    </cfRule>
  </conditionalFormatting>
  <conditionalFormatting sqref="J29:J30">
    <cfRule type="cellIs" dxfId="212" priority="164" operator="lessThan">
      <formula>98</formula>
    </cfRule>
  </conditionalFormatting>
  <conditionalFormatting sqref="J31:J32">
    <cfRule type="cellIs" dxfId="211" priority="165" stopIfTrue="1" operator="lessThan">
      <formula>96.8</formula>
    </cfRule>
    <cfRule type="cellIs" dxfId="210" priority="166" stopIfTrue="1" operator="greaterThan">
      <formula>100</formula>
    </cfRule>
  </conditionalFormatting>
  <conditionalFormatting sqref="J31:J33">
    <cfRule type="cellIs" dxfId="209" priority="167" operator="lessThan">
      <formula>98</formula>
    </cfRule>
  </conditionalFormatting>
  <conditionalFormatting sqref="J62">
    <cfRule type="cellIs" dxfId="208" priority="111" stopIfTrue="1" operator="lessThanOrEqual">
      <formula>0</formula>
    </cfRule>
    <cfRule type="cellIs" dxfId="207" priority="113" stopIfTrue="1" operator="lessThanOrEqual">
      <formula>0</formula>
    </cfRule>
    <cfRule type="cellIs" dxfId="206" priority="114" stopIfTrue="1" operator="greaterThan">
      <formula>#REF!</formula>
    </cfRule>
    <cfRule type="cellIs" dxfId="205" priority="115" stopIfTrue="1" operator="lessThanOrEqual">
      <formula>0</formula>
    </cfRule>
    <cfRule type="cellIs" dxfId="204" priority="117" stopIfTrue="1" operator="lessThanOrEqual">
      <formula>0</formula>
    </cfRule>
    <cfRule type="cellIs" dxfId="203" priority="112" stopIfTrue="1" operator="greaterThan">
      <formula>#REF!</formula>
    </cfRule>
    <cfRule type="cellIs" dxfId="202" priority="110" stopIfTrue="1" operator="greaterThan">
      <formula>#REF!</formula>
    </cfRule>
    <cfRule type="cellIs" dxfId="201" priority="116" stopIfTrue="1" operator="greaterThan">
      <formula>#REF!</formula>
    </cfRule>
  </conditionalFormatting>
  <conditionalFormatting sqref="J75">
    <cfRule type="cellIs" dxfId="200" priority="45" stopIfTrue="1" operator="lessThanOrEqual">
      <formula>0</formula>
    </cfRule>
    <cfRule type="cellIs" dxfId="199" priority="44" stopIfTrue="1" operator="greaterThan">
      <formula>$F75</formula>
    </cfRule>
  </conditionalFormatting>
  <conditionalFormatting sqref="K10:K21">
    <cfRule type="cellIs" dxfId="198" priority="3" operator="lessThan">
      <formula>4</formula>
    </cfRule>
    <cfRule type="cellIs" dxfId="197" priority="2" operator="greaterThan">
      <formula>6</formula>
    </cfRule>
    <cfRule type="cellIs" dxfId="196" priority="4" operator="greaterThan">
      <formula>6.4</formula>
    </cfRule>
  </conditionalFormatting>
  <conditionalFormatting sqref="K53:K62">
    <cfRule type="cellIs" dxfId="195" priority="93" stopIfTrue="1" operator="lessThan">
      <formula>100%</formula>
    </cfRule>
  </conditionalFormatting>
  <conditionalFormatting sqref="K66:K74">
    <cfRule type="cellIs" dxfId="194" priority="32" stopIfTrue="1" operator="lessThan">
      <formula>100%</formula>
    </cfRule>
  </conditionalFormatting>
  <conditionalFormatting sqref="K77:K82">
    <cfRule type="cellIs" dxfId="193" priority="187" stopIfTrue="1" operator="lessThan">
      <formula>100%</formula>
    </cfRule>
  </conditionalFormatting>
  <conditionalFormatting sqref="K84:K85">
    <cfRule type="cellIs" dxfId="192" priority="194" stopIfTrue="1" operator="lessThan">
      <formula>100%</formula>
    </cfRule>
  </conditionalFormatting>
  <conditionalFormatting sqref="L10:L21">
    <cfRule type="cellIs" dxfId="191" priority="6" operator="greaterThan">
      <formula>65</formula>
    </cfRule>
    <cfRule type="cellIs" dxfId="190" priority="5" operator="between">
      <formula>61</formula>
      <formula>65</formula>
    </cfRule>
  </conditionalFormatting>
  <conditionalFormatting sqref="L24:M35">
    <cfRule type="cellIs" dxfId="189" priority="107" operator="lessThan">
      <formula>97.95</formula>
    </cfRule>
  </conditionalFormatting>
  <conditionalFormatting sqref="L39:N39">
    <cfRule type="cellIs" dxfId="188" priority="72" operator="notEqual">
      <formula>#REF!</formula>
    </cfRule>
  </conditionalFormatting>
  <conditionalFormatting sqref="L66:N75">
    <cfRule type="cellIs" dxfId="187" priority="27" stopIfTrue="1" operator="lessThan">
      <formula>100%</formula>
    </cfRule>
  </conditionalFormatting>
  <conditionalFormatting sqref="L77:N85">
    <cfRule type="cellIs" dxfId="186" priority="172" stopIfTrue="1" operator="lessThan">
      <formula>100%</formula>
    </cfRule>
  </conditionalFormatting>
  <conditionalFormatting sqref="N10:N20">
    <cfRule type="expression" dxfId="185" priority="9">
      <formula>IF(+(IF(N10&lt;W10,0,IF(N10&gt;X10,0,1)))=0,1)</formula>
    </cfRule>
  </conditionalFormatting>
  <conditionalFormatting sqref="P6">
    <cfRule type="cellIs" dxfId="184" priority="168" operator="greaterThanOrEqual">
      <formula>19</formula>
    </cfRule>
  </conditionalFormatting>
  <dataValidations count="1">
    <dataValidation type="list" allowBlank="1" showInputMessage="1" showErrorMessage="1" sqref="R8" xr:uid="{E4807CAD-0658-44A9-A6E9-33FAC88AF19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4093-D17D-412C-9DDE-C189FC883CB8}">
  <sheetPr>
    <pageSetUpPr fitToPage="1"/>
  </sheetPr>
  <dimension ref="A1:BE75"/>
  <sheetViews>
    <sheetView tabSelected="1" topLeftCell="A18" zoomScale="70" zoomScaleNormal="70" workbookViewId="0">
      <selection activeCell="M34" sqref="M34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31.42578125" style="275" customWidth="1"/>
    <col min="10" max="10" width="35.140625" style="275" customWidth="1"/>
    <col min="11" max="11" width="29" style="275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109.140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65" t="s">
        <v>0</v>
      </c>
      <c r="T1" s="565"/>
      <c r="U1" s="565" t="s">
        <v>1</v>
      </c>
      <c r="V1" s="565"/>
      <c r="W1" s="565" t="s">
        <v>2</v>
      </c>
      <c r="X1" s="565"/>
      <c r="Y1" s="565" t="s">
        <v>124</v>
      </c>
      <c r="Z1" s="565"/>
    </row>
    <row r="2" spans="2:29" ht="15">
      <c r="B2" s="566" t="s">
        <v>3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46204</v>
      </c>
      <c r="J4" s="398" t="s">
        <v>167</v>
      </c>
      <c r="K4" s="398"/>
      <c r="L4" s="11"/>
      <c r="M4" s="563" t="s">
        <v>8</v>
      </c>
      <c r="N4" s="56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53"/>
      <c r="D5" s="55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17" t="s">
        <v>17</v>
      </c>
      <c r="C8" s="528" t="s">
        <v>18</v>
      </c>
      <c r="D8" s="528" t="s">
        <v>19</v>
      </c>
      <c r="E8" s="356" t="s">
        <v>20</v>
      </c>
      <c r="F8" s="356" t="s">
        <v>21</v>
      </c>
      <c r="G8" s="528" t="s">
        <v>22</v>
      </c>
      <c r="H8" s="555" t="s">
        <v>144</v>
      </c>
      <c r="I8" s="528" t="s">
        <v>165</v>
      </c>
      <c r="J8" s="557" t="s">
        <v>23</v>
      </c>
      <c r="K8" s="559" t="s">
        <v>142</v>
      </c>
      <c r="L8" s="561" t="s">
        <v>24</v>
      </c>
      <c r="M8" s="359" t="s">
        <v>25</v>
      </c>
      <c r="N8" s="17" t="s">
        <v>168</v>
      </c>
      <c r="O8" s="528" t="s">
        <v>155</v>
      </c>
      <c r="P8" s="55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4"/>
      <c r="C9" s="552"/>
      <c r="D9" s="552"/>
      <c r="E9" s="357" t="s">
        <v>30</v>
      </c>
      <c r="F9" s="357" t="s">
        <v>31</v>
      </c>
      <c r="G9" s="552"/>
      <c r="H9" s="556"/>
      <c r="I9" s="552"/>
      <c r="J9" s="558"/>
      <c r="K9" s="560"/>
      <c r="L9" s="562"/>
      <c r="M9" s="20" t="s">
        <v>32</v>
      </c>
      <c r="N9" s="21" t="s">
        <v>41</v>
      </c>
      <c r="O9" s="552"/>
      <c r="P9" s="55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29" t="s">
        <v>6</v>
      </c>
      <c r="C10" s="366" t="str">
        <f>[3]Brewhouse!$A493</f>
        <v>CA447</v>
      </c>
      <c r="D10" s="279">
        <f>[3]Brewhouse!$AF493</f>
        <v>50</v>
      </c>
      <c r="E10" s="279">
        <f>[3]Brewhouse!$AI493</f>
        <v>49.7</v>
      </c>
      <c r="F10" s="278">
        <f>[3]Brewhouse!$V493</f>
        <v>52</v>
      </c>
      <c r="G10" s="279">
        <f>[3]Brewhouse!AG493</f>
        <v>11.6</v>
      </c>
      <c r="H10" s="396"/>
      <c r="I10" s="368">
        <f>[3]Brewhouse!$AU493</f>
        <v>96.059064469639495</v>
      </c>
      <c r="J10" s="368">
        <f>[3]Brewhouse!$AV493</f>
        <v>96.834744705851563</v>
      </c>
      <c r="K10" s="281">
        <f>[3]Brewhouse!$Q493</f>
        <v>10.562613430127042</v>
      </c>
      <c r="L10" s="276">
        <f>[3]Brewhouse!$P493</f>
        <v>61</v>
      </c>
      <c r="M10" s="397">
        <f>[3]Brewhouse!$U493-[3]Brewhouse!$T493</f>
        <v>0.10833333333333328</v>
      </c>
      <c r="N10" s="370">
        <f>[3]Brewhouse!$Z493</f>
        <v>0.24791666666666667</v>
      </c>
      <c r="O10" s="420" t="str">
        <f>[3]Brewhouse!$AX493</f>
        <v>D. Gomaz</v>
      </c>
      <c r="P10" s="418"/>
      <c r="R10" s="277" t="str">
        <f t="shared" ref="R10:R19" si="0">B10</f>
        <v>CARIB</v>
      </c>
      <c r="S10" s="472">
        <f t="shared" ref="S10:S19" si="1">VLOOKUP($B10,$R$3:$X$9,2,FALSE)</f>
        <v>11.6</v>
      </c>
      <c r="T10" s="472">
        <f t="shared" ref="T10:T19" si="2">VLOOKUP($B10,$R$3:$X$9,3,FALSE)</f>
        <v>12</v>
      </c>
      <c r="U10" s="297">
        <f t="shared" ref="U10:U19" si="3">VLOOKUP($B10,$R$3:$X$9,4,FALSE)</f>
        <v>0</v>
      </c>
      <c r="V10" s="297">
        <f t="shared" ref="V10:V19" si="4">VLOOKUP($B10,$R$3:$X$9,5,FALSE)</f>
        <v>0.118055555555556</v>
      </c>
      <c r="W10" s="297">
        <f t="shared" ref="W10:W19" si="5">VLOOKUP($B10,$R$3:$X$9,6,FALSE)</f>
        <v>0.22569444444444445</v>
      </c>
      <c r="X10" s="297">
        <f t="shared" ref="X10:X19" si="6">VLOOKUP($B10,$R$3:$X$9,7,FALSE)</f>
        <v>0.2638888888888889</v>
      </c>
      <c r="Y10" s="297">
        <f t="shared" ref="Y10:Y19" si="7">VLOOKUP($B10,$R$3:$Z$9,8,FALSE)</f>
        <v>0</v>
      </c>
      <c r="Z10" s="472">
        <f t="shared" ref="Z10:Z19" si="8">VLOOKUP($B10,$R$3:$Z$9,9,FALSE)</f>
        <v>60</v>
      </c>
    </row>
    <row r="11" spans="2:29" ht="17.25" customHeight="1">
      <c r="B11" s="29" t="s">
        <v>6</v>
      </c>
      <c r="C11" s="366" t="str">
        <f>[3]Brewhouse!$A494</f>
        <v>CA448</v>
      </c>
      <c r="D11" s="279">
        <f>[3]Brewhouse!$AF494</f>
        <v>50.6</v>
      </c>
      <c r="E11" s="279">
        <f>[3]Brewhouse!$AI494</f>
        <v>51.9</v>
      </c>
      <c r="F11" s="278">
        <f>[3]Brewhouse!$V494</f>
        <v>60</v>
      </c>
      <c r="G11" s="279">
        <f>[3]Brewhouse!AG494</f>
        <v>11.6</v>
      </c>
      <c r="H11" s="396"/>
      <c r="I11" s="368">
        <f>[3]Brewhouse!$AU494</f>
        <v>99.937487991353251</v>
      </c>
      <c r="J11" s="368">
        <f>[3]Brewhouse!$AV494</f>
        <v>100.74464693683342</v>
      </c>
      <c r="K11" s="281">
        <f>[3]Brewhouse!$Q494</f>
        <v>9.4736842105263133</v>
      </c>
      <c r="L11" s="276">
        <f>[3]Brewhouse!$P494</f>
        <v>0</v>
      </c>
      <c r="M11" s="397">
        <f>[3]Brewhouse!$U494-[3]Brewhouse!$T494</f>
        <v>0.125</v>
      </c>
      <c r="N11" s="370">
        <f>[3]Brewhouse!$Z494</f>
        <v>0.26319444444444451</v>
      </c>
      <c r="O11" s="420" t="str">
        <f>[3]Brewhouse!$AX494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[3]Brewhouse!$A495</f>
        <v>CA449</v>
      </c>
      <c r="D12" s="279">
        <f>[3]Brewhouse!$AF495</f>
        <v>49.6</v>
      </c>
      <c r="E12" s="279">
        <f>[3]Brewhouse!$AI495</f>
        <v>48.01</v>
      </c>
      <c r="F12" s="278">
        <f>[3]Brewhouse!$V495</f>
        <v>71</v>
      </c>
      <c r="G12" s="279">
        <f>[3]Brewhouse!AG495</f>
        <v>11.9</v>
      </c>
      <c r="H12" s="396"/>
      <c r="I12" s="368">
        <f>[3]Brewhouse!$AU495</f>
        <v>94.84633473437168</v>
      </c>
      <c r="J12" s="368">
        <f>[3]Brewhouse!$AV495</f>
        <v>95.612424738174411</v>
      </c>
      <c r="K12" s="281">
        <f>[3]Brewhouse!$Q495</f>
        <v>11.28856624319419</v>
      </c>
      <c r="L12" s="276">
        <f>[3]Brewhouse!$P495</f>
        <v>60</v>
      </c>
      <c r="M12" s="397">
        <f>[3]Brewhouse!$U495-[3]Brewhouse!$T495</f>
        <v>0.1118055555555556</v>
      </c>
      <c r="N12" s="370">
        <f>[3]Brewhouse!$Z495</f>
        <v>0.25347222222222232</v>
      </c>
      <c r="O12" s="420" t="str">
        <f>[3]Brewhouse!$AX495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[3]Brewhouse!$A496</f>
        <v>CA450</v>
      </c>
      <c r="D13" s="279">
        <f>[3]Brewhouse!$AF496</f>
        <v>48</v>
      </c>
      <c r="E13" s="279">
        <f>[3]Brewhouse!$AI496</f>
        <v>49.1</v>
      </c>
      <c r="F13" s="278">
        <f>[3]Brewhouse!$V496</f>
        <v>54</v>
      </c>
      <c r="G13" s="279">
        <f>[3]Brewhouse!AG496</f>
        <v>12</v>
      </c>
      <c r="H13" s="396"/>
      <c r="I13" s="368">
        <f>[3]Brewhouse!$AU496</f>
        <v>98.344590350965177</v>
      </c>
      <c r="J13" s="368">
        <f>[3]Brewhouse!$AV496</f>
        <v>99.138726286962424</v>
      </c>
      <c r="K13" s="281">
        <f>[3]Brewhouse!$Q496</f>
        <v>12.606284658040664</v>
      </c>
      <c r="L13" s="276">
        <f>[3]Brewhouse!$P496</f>
        <v>61</v>
      </c>
      <c r="M13" s="397">
        <f>[3]Brewhouse!$U496-[3]Brewhouse!$T496</f>
        <v>0.11458333333333326</v>
      </c>
      <c r="N13" s="370">
        <f>[3]Brewhouse!$Z496</f>
        <v>0.2583333333333333</v>
      </c>
      <c r="O13" s="420" t="str">
        <f>[3]Brewhouse!$AX496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[3]Brewhouse!$A497</f>
        <v>CA451</v>
      </c>
      <c r="D14" s="279">
        <f>[3]Brewhouse!$AF497</f>
        <v>49.2</v>
      </c>
      <c r="E14" s="279">
        <f>[3]Brewhouse!$AI497</f>
        <v>49.9</v>
      </c>
      <c r="F14" s="278">
        <f>[3]Brewhouse!$V497</f>
        <v>56</v>
      </c>
      <c r="G14" s="279">
        <f>[3]Brewhouse!AG497</f>
        <v>11.8</v>
      </c>
      <c r="H14" s="396"/>
      <c r="I14" s="368">
        <f>[3]Brewhouse!$AU497</f>
        <v>98.441679685943271</v>
      </c>
      <c r="J14" s="368">
        <f>[3]Brewhouse!$AV497</f>
        <v>99.236493692839005</v>
      </c>
      <c r="K14" s="281">
        <f>[3]Brewhouse!$Q497</f>
        <v>10.388170055452859</v>
      </c>
      <c r="L14" s="276">
        <f>[3]Brewhouse!$P497</f>
        <v>58</v>
      </c>
      <c r="M14" s="397">
        <f>[3]Brewhouse!$U497-[3]Brewhouse!$T497</f>
        <v>0.10069444444444442</v>
      </c>
      <c r="N14" s="370">
        <f>[3]Brewhouse!$Z497</f>
        <v>0.23958333333333337</v>
      </c>
      <c r="O14" s="420" t="str">
        <f>[3]Brewhouse!$AX497</f>
        <v>R. Sookram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7.25" customHeight="1">
      <c r="B16" s="33" t="s">
        <v>9</v>
      </c>
      <c r="C16" s="366" t="str">
        <f>[4]Brewhouse!$A291</f>
        <v>ST236</v>
      </c>
      <c r="D16" s="279">
        <f>[4]Brewhouse!$AB291</f>
        <v>53.1</v>
      </c>
      <c r="E16" s="279">
        <f>[4]Brewhouse!$AG291</f>
        <v>49.1</v>
      </c>
      <c r="F16" s="278">
        <f>[4]Brewhouse!$V291</f>
        <v>58</v>
      </c>
      <c r="G16" s="279">
        <f>[4]Brewhouse!$AE291</f>
        <v>12</v>
      </c>
      <c r="H16" s="396"/>
      <c r="I16" s="368">
        <f>[4]Brewhouse!$AS291</f>
        <v>100.04439034243482</v>
      </c>
      <c r="J16" s="368">
        <f>[4]Brewhouse!$AT291</f>
        <v>100.71647489855447</v>
      </c>
      <c r="K16" s="281">
        <f>[4]Brewhouse!$Q291</f>
        <v>13.888888888888889</v>
      </c>
      <c r="L16" s="276">
        <f>[4]Brewhouse!$P291</f>
        <v>60</v>
      </c>
      <c r="M16" s="374">
        <f>[4]Brewhouse!$U291-[4]Brewhouse!$T291</f>
        <v>0.12083333333333332</v>
      </c>
      <c r="N16" s="370">
        <f>[4]Brewhouse!$AW291</f>
        <v>0.26597222222222222</v>
      </c>
      <c r="O16" s="420" t="str">
        <f>[4]Brewhouse!$AV291</f>
        <v>R.Sookram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7.25" customHeight="1">
      <c r="B17" s="33" t="s">
        <v>9</v>
      </c>
      <c r="C17" s="366" t="str">
        <f>[4]Brewhouse!$A292</f>
        <v>ST237</v>
      </c>
      <c r="D17" s="279">
        <f>[4]Brewhouse!$AB292</f>
        <v>53.1</v>
      </c>
      <c r="E17" s="279">
        <f>[4]Brewhouse!$AG292</f>
        <v>49.2</v>
      </c>
      <c r="F17" s="278">
        <f>[4]Brewhouse!$V292</f>
        <v>61</v>
      </c>
      <c r="G17" s="279">
        <f>[4]Brewhouse!$AE292</f>
        <v>11.8</v>
      </c>
      <c r="H17" s="396"/>
      <c r="I17" s="368">
        <f>[4]Brewhouse!$AS292</f>
        <v>98.617249485112069</v>
      </c>
      <c r="J17" s="368">
        <f>[4]Brewhouse!$AT292</f>
        <v>99.279523250025221</v>
      </c>
      <c r="K17" s="281">
        <f>[4]Brewhouse!$Q292</f>
        <v>11.629001883239166</v>
      </c>
      <c r="L17" s="276">
        <f>[4]Brewhouse!$P292</f>
        <v>60</v>
      </c>
      <c r="M17" s="374">
        <f>[4]Brewhouse!$U292-[4]Brewhouse!$T292</f>
        <v>0.10972222222222222</v>
      </c>
      <c r="N17" s="370">
        <f>[4]Brewhouse!$AW292</f>
        <v>0.25763888888888886</v>
      </c>
      <c r="O17" s="420" t="str">
        <f>[4]Brewhouse!$AV292</f>
        <v>R.Sookram</v>
      </c>
      <c r="P17" s="418"/>
      <c r="R17" s="277" t="str">
        <f t="shared" si="0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7.25" customHeight="1">
      <c r="B18" s="33" t="s">
        <v>9</v>
      </c>
      <c r="C18" s="366" t="str">
        <f>[4]Brewhouse!$A293</f>
        <v>ST238</v>
      </c>
      <c r="D18" s="279">
        <f>[4]Brewhouse!$AB293</f>
        <v>53.1</v>
      </c>
      <c r="E18" s="279">
        <f>[4]Brewhouse!$AG293</f>
        <v>49.1</v>
      </c>
      <c r="F18" s="278">
        <f>[4]Brewhouse!$V293</f>
        <v>60</v>
      </c>
      <c r="G18" s="279">
        <f>[4]Brewhouse!$AE293</f>
        <v>11.9</v>
      </c>
      <c r="H18" s="396"/>
      <c r="I18" s="368">
        <f>[4]Brewhouse!$AS293</f>
        <v>99.168205395168258</v>
      </c>
      <c r="J18" s="368">
        <f>[4]Brewhouse!$AT293</f>
        <v>99.834403860430172</v>
      </c>
      <c r="K18" s="281">
        <f>[4]Brewhouse!$Q293</f>
        <v>11.817325800376645</v>
      </c>
      <c r="L18" s="276">
        <f>[4]Brewhouse!$P293</f>
        <v>61</v>
      </c>
      <c r="M18" s="374">
        <f>[4]Brewhouse!$U293-[4]Brewhouse!$T293</f>
        <v>0.11319444444444449</v>
      </c>
      <c r="N18" s="370">
        <f>[4]Brewhouse!$AW293</f>
        <v>0.25416666666666671</v>
      </c>
      <c r="O18" s="420" t="str">
        <f>[4]Brewhouse!$AV293</f>
        <v>R.Sookram</v>
      </c>
      <c r="P18" s="418"/>
      <c r="R18" s="277" t="str">
        <f t="shared" si="0"/>
        <v>STAG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7" ht="17.2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ref="R20:R35" si="9">B20</f>
        <v>0</v>
      </c>
      <c r="S20" s="472" t="e">
        <f t="shared" ref="S20:S35" si="10">VLOOKUP($B20,$R$3:$X$9,2,FALSE)</f>
        <v>#N/A</v>
      </c>
      <c r="T20" s="472" t="e">
        <f t="shared" ref="T20:T35" si="11">VLOOKUP($B20,$R$3:$X$9,3,FALSE)</f>
        <v>#N/A</v>
      </c>
      <c r="U20" s="297" t="e">
        <f t="shared" ref="U20:U35" si="12">VLOOKUP($B20,$R$3:$X$9,4,FALSE)</f>
        <v>#N/A</v>
      </c>
      <c r="V20" s="297" t="e">
        <f t="shared" ref="V20:V35" si="13">VLOOKUP($B20,$R$3:$X$9,5,FALSE)</f>
        <v>#N/A</v>
      </c>
      <c r="W20" s="297" t="e">
        <f t="shared" ref="W20:W35" si="14">VLOOKUP($B20,$R$3:$X$9,6,FALSE)</f>
        <v>#N/A</v>
      </c>
      <c r="X20" s="297" t="e">
        <f t="shared" ref="X20:X35" si="15">VLOOKUP($B20,$R$3:$X$9,7,FALSE)</f>
        <v>#N/A</v>
      </c>
      <c r="Y20" s="297" t="e">
        <f t="shared" ref="Y20:Y35" si="16">VLOOKUP($B20,$R$3:$Z$9,8,FALSE)</f>
        <v>#N/A</v>
      </c>
      <c r="Z20" s="472" t="e">
        <f t="shared" ref="Z20:Z35" si="17">VLOOKUP($B20,$R$3:$Z$9,9,FALSE)</f>
        <v>#N/A</v>
      </c>
    </row>
    <row r="21" spans="1:27" ht="17.2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44"/>
      <c r="J22" s="544"/>
      <c r="K22" s="544"/>
      <c r="L22" s="544"/>
      <c r="M22" s="544"/>
      <c r="N22" s="544"/>
      <c r="O22" s="1"/>
      <c r="P22" s="12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 thickBot="1">
      <c r="B23" s="388" t="s">
        <v>162</v>
      </c>
      <c r="C23" s="388"/>
      <c r="D23" s="545" t="s">
        <v>35</v>
      </c>
      <c r="E23" s="546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7.25" customHeight="1">
      <c r="A24" s="28"/>
      <c r="B24" s="530"/>
      <c r="C24" s="362"/>
      <c r="D24" s="548"/>
      <c r="E24" s="549"/>
      <c r="F24" s="294"/>
      <c r="G24" s="294"/>
      <c r="H24" s="348"/>
      <c r="I24" s="29" t="s">
        <v>6</v>
      </c>
      <c r="J24" s="323">
        <f>AVERAGE(I10:I14)</f>
        <v>97.525831446454575</v>
      </c>
      <c r="K24" s="284">
        <f>COUNTA([3]Brewhouse!$A$441:$A$497)</f>
        <v>57</v>
      </c>
      <c r="L24" s="305">
        <f>AVERAGE([3]Brewhouse!$AU$441:$AU$497)</f>
        <v>99.476038342948172</v>
      </c>
      <c r="M24" s="305">
        <f>AVERAGE([3]Brewhouse!$AU$42:$AU$123,[3]Brewhouse!$AU$125:$AU$188,[3]Brewhouse!$AU$198:$AU$290,[3]Brewhouse!$AU$292:$AU$370,[3]Brewhouse!$AU$372:$AU$439,[3]Brewhouse!$AU$441:$AU$497)</f>
        <v>98.168244197473939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5" customHeight="1">
      <c r="A25" s="28"/>
      <c r="B25" s="531"/>
      <c r="C25" s="362"/>
      <c r="D25" s="550"/>
      <c r="E25" s="536"/>
      <c r="F25" s="294"/>
      <c r="G25" s="294"/>
      <c r="H25" s="348"/>
      <c r="I25" s="33" t="s">
        <v>9</v>
      </c>
      <c r="J25" s="323">
        <f>AVERAGE(I16:I18)</f>
        <v>99.276615074238364</v>
      </c>
      <c r="K25" s="284">
        <f>COUNTA([4]Brewhouse!$A$252:$A$293)</f>
        <v>42</v>
      </c>
      <c r="L25" s="302">
        <f>AVERAGE([4]Brewhouse!$AS$252:$AS$293)</f>
        <v>99.342011128280561</v>
      </c>
      <c r="M25" s="302">
        <f>AVERAGE([4]Brewhouse!$AS$52:$AS$81,[4]Brewhouse!$AS$83:$AS$124,[4]Brewhouse!$AS$134:$AS$177,[4]Brewhouse!$AS$22:$AS$179,[4]Brewhouse!$AS$214:$AS$249,[4]Brewhouse!$AS$252:$AS$293)</f>
        <v>98.139847925240645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1"/>
      <c r="C26" s="362"/>
      <c r="D26" s="540"/>
      <c r="E26" s="541"/>
      <c r="F26" s="294"/>
      <c r="G26" s="294"/>
      <c r="H26" s="348"/>
      <c r="I26" s="34" t="s">
        <v>12</v>
      </c>
      <c r="J26" s="280"/>
      <c r="K26" s="284">
        <f>COUNTA([5]Brewhouse!$A$62:$A$69)</f>
        <v>8</v>
      </c>
      <c r="L26" s="302">
        <f>AVERAGE([5]Brewhouse!$AU$62:$AU$69)</f>
        <v>95.865325586732524</v>
      </c>
      <c r="M26" s="302">
        <f>AVERAGE([5]Brewhouse!$AU$16:$AU$23,[5]Brewhouse!$AU$25:$AU$32,[5]Brewhouse!$AU$34:$AU$41,[5]Brewhouse!$AU$43:$AU$60,[5]Brewhouse!$AU$62:$AU$69)</f>
        <v>96.726835550404019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1"/>
      <c r="C27" s="362"/>
      <c r="D27" s="535"/>
      <c r="E27" s="536"/>
      <c r="F27" s="294"/>
      <c r="G27" s="294"/>
      <c r="H27" s="348"/>
      <c r="I27" s="22" t="s">
        <v>33</v>
      </c>
      <c r="J27" s="280"/>
      <c r="K27" s="284">
        <f>COUNTA([6]Brewhouse!$A$71:$A$78)</f>
        <v>8</v>
      </c>
      <c r="L27" s="302">
        <f>AVERAGE([6]Brewhouse!$AV$71:$AV$78)</f>
        <v>97.972872037763665</v>
      </c>
      <c r="M27" s="302">
        <f>AVERAGE([6]Brewhouse!$AV$23:$AV$34,[6]Brewhouse!$AV$36,[6]Brewhouse!$AV$38:$AV$52,[6]Brewhouse!$AV$54:$AV$60,[6]Brewhouse!$AV$62:$AV$69,[6]Brewhouse!$AV$71:$AV$78)</f>
        <v>97.576305832550744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1"/>
      <c r="C28" s="362"/>
      <c r="D28" s="540"/>
      <c r="E28" s="541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1"/>
      <c r="C29" s="362"/>
      <c r="D29" s="535"/>
      <c r="E29" s="536"/>
      <c r="F29" s="417"/>
      <c r="G29" s="294"/>
      <c r="H29" s="348"/>
      <c r="I29" s="36" t="s">
        <v>15</v>
      </c>
      <c r="J29" s="323"/>
      <c r="K29" s="284"/>
      <c r="L29" s="302"/>
      <c r="M29" s="302">
        <f>AVERAGE([7]Brewhouse!$AT$4:$AT$11,[7]Brewhouse!$AT$13:$AT$16)</f>
        <v>91.538375374138752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31"/>
      <c r="C30" s="362"/>
      <c r="D30" s="540"/>
      <c r="E30" s="541"/>
      <c r="F30" s="417"/>
      <c r="G30" s="294"/>
      <c r="H30" s="348"/>
      <c r="I30" s="37" t="s">
        <v>16</v>
      </c>
      <c r="J30" s="323"/>
      <c r="K30" s="284">
        <f>COUNTA([8]Brewhouse!$A$66:$A$73)</f>
        <v>8</v>
      </c>
      <c r="L30" s="302">
        <f>AVERAGE([8]Brewhouse!$AY$66:$AY$73)</f>
        <v>98.225688487824243</v>
      </c>
      <c r="M30" s="302">
        <f>AVERAGE([8]Brewhouse!$AY$5:$AY$14,[8]Brewhouse!$AY$16:$AY$23,[8]Brewhouse!$AY$42,[8]Brewhouse!$AY$44:$AY$51,[8]Brewhouse!$AY$53:$AY$64,[8]Brewhouse!$AY$66:$AY$73)</f>
        <v>97.506811941025575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31"/>
      <c r="C31" s="362"/>
      <c r="D31" s="535"/>
      <c r="E31" s="536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31"/>
      <c r="C32" s="349"/>
      <c r="D32" s="540"/>
      <c r="E32" s="541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31"/>
      <c r="C33" s="349"/>
      <c r="D33" s="535"/>
      <c r="E33" s="536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31"/>
      <c r="C34" s="349"/>
      <c r="D34" s="548"/>
      <c r="E34" s="549"/>
      <c r="F34" s="294"/>
      <c r="G34" s="294"/>
      <c r="H34" s="348"/>
      <c r="I34" s="1"/>
      <c r="J34" s="39"/>
      <c r="K34" s="404">
        <f>SUM(K24:K33)</f>
        <v>123</v>
      </c>
      <c r="L34" s="405">
        <f>((L24*K24)+(L25*K25)+(L26*K26)+(L27*K27)+(L28*K28)+(K31*L31)+(L29*K29)+(L30*K30)+(L33*K33))/(K34)</f>
        <v>99.016339364507246</v>
      </c>
      <c r="M34" s="405">
        <f>AVERAGE('[9]Jan30th-31st'!$L$42,'[10]Feb 27th-28th'!$L$45,'[11]Mar 31st'!$L$42,'[12]Apr 30th'!$L$41,'[13]May 29th '!$L$35,L34)</f>
        <v>98.028570804610013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47"/>
      <c r="C35" s="350"/>
      <c r="D35" s="550"/>
      <c r="E35" s="536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30"/>
      <c r="C36" s="362"/>
      <c r="D36" s="533"/>
      <c r="E36" s="534"/>
      <c r="F36" s="294"/>
      <c r="G36" s="42"/>
      <c r="H36" s="41"/>
      <c r="I36" s="42"/>
      <c r="J36" s="537" t="s">
        <v>129</v>
      </c>
      <c r="K36" s="537"/>
      <c r="L36" s="294"/>
      <c r="M36" s="294"/>
      <c r="N36" s="294"/>
      <c r="O36" s="294"/>
      <c r="P36" s="12"/>
    </row>
    <row r="37" spans="1:56" ht="15.75" thickBot="1">
      <c r="B37" s="531"/>
      <c r="C37" s="362"/>
      <c r="D37" s="535"/>
      <c r="E37" s="536"/>
      <c r="F37" s="294"/>
      <c r="G37" s="42"/>
      <c r="H37" s="42"/>
      <c r="I37" s="42"/>
      <c r="J37" s="292" t="s">
        <v>17</v>
      </c>
      <c r="K37" s="293" t="s">
        <v>170</v>
      </c>
      <c r="L37" s="538" t="s">
        <v>136</v>
      </c>
      <c r="M37" s="538"/>
      <c r="N37" s="539"/>
      <c r="O37" s="294"/>
      <c r="P37" s="12"/>
    </row>
    <row r="38" spans="1:56" ht="15" customHeight="1" thickBot="1">
      <c r="B38" s="531"/>
      <c r="C38" s="349"/>
      <c r="D38" s="540"/>
      <c r="E38" s="541"/>
      <c r="F38" s="294"/>
      <c r="G38" s="42"/>
      <c r="H38" s="42"/>
      <c r="I38" s="42"/>
      <c r="J38" s="287" t="s">
        <v>6</v>
      </c>
      <c r="K38" s="324">
        <v>5</v>
      </c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31"/>
      <c r="C39" s="349"/>
      <c r="D39" s="535"/>
      <c r="E39" s="536"/>
      <c r="F39" s="294"/>
      <c r="G39" s="42"/>
      <c r="H39" s="42"/>
      <c r="I39" s="42"/>
      <c r="J39" s="345" t="s">
        <v>9</v>
      </c>
      <c r="K39" s="324">
        <v>3</v>
      </c>
      <c r="L39" s="344">
        <f>AVERAGE('June 2nd'!K44,'June 3rd'!K52,'June 4th'!K47,'June 5th'!K46,'June 8th'!K48,'June 9th'!K56,'June 15th '!K56,'June 16th'!K50,'June 17th '!K49,'June 18th '!K48,'June 21st'!L39,'June 22nd'!K49,'June 23rd'!K45,'June 24th'!K47,'June 25th '!K54,'June 26th '!K52,'June 27th-28th'!J57,'June 27th-28th'!K57,'June 29th'!K48,K48)</f>
        <v>6.4318181818181817</v>
      </c>
      <c r="M39" s="325">
        <f>AVERAGE('[9]Jan30th-31st'!$L$47,L39,'[10]Feb 26th '!$L$39,'[11]Mar 31st'!$L$47,'[12]Apr 30th'!$L$46,'[13]May 29th '!$L$40)</f>
        <v>6.3432806324110684</v>
      </c>
      <c r="N39" s="416">
        <v>9.1999999999999993</v>
      </c>
      <c r="O39" s="294"/>
      <c r="P39" s="12"/>
    </row>
    <row r="40" spans="1:56" ht="15" customHeight="1">
      <c r="B40" s="531"/>
      <c r="C40" s="349"/>
      <c r="D40" s="540"/>
      <c r="E40" s="541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31"/>
      <c r="C41" s="349"/>
      <c r="D41" s="535"/>
      <c r="E41" s="536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31"/>
      <c r="C42" s="349"/>
      <c r="D42" s="540"/>
      <c r="E42" s="541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31"/>
      <c r="C43" s="349"/>
      <c r="D43" s="535"/>
      <c r="E43" s="536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31"/>
      <c r="C44" s="349"/>
      <c r="D44" s="540"/>
      <c r="E44" s="541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32"/>
      <c r="C45" s="350"/>
      <c r="D45" s="542"/>
      <c r="E45" s="543"/>
      <c r="F45" s="294" t="s">
        <v>166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23"/>
      <c r="E46" s="524"/>
      <c r="F46" s="294"/>
      <c r="I46" s="42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8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15" t="s">
        <v>17</v>
      </c>
      <c r="C51" s="515" t="s">
        <v>44</v>
      </c>
      <c r="D51" s="526" t="s">
        <v>45</v>
      </c>
      <c r="E51" s="528" t="s">
        <v>46</v>
      </c>
      <c r="F51" s="521" t="s">
        <v>47</v>
      </c>
      <c r="G51" s="513" t="s">
        <v>48</v>
      </c>
      <c r="H51" s="515" t="s">
        <v>49</v>
      </c>
      <c r="I51" s="515" t="s">
        <v>50</v>
      </c>
      <c r="J51" s="507" t="s">
        <v>28</v>
      </c>
      <c r="K51" s="517" t="s">
        <v>51</v>
      </c>
      <c r="L51" s="519" t="s">
        <v>52</v>
      </c>
      <c r="M51" s="507" t="s">
        <v>53</v>
      </c>
      <c r="N51" s="13"/>
      <c r="O51" s="13"/>
      <c r="P51" s="50"/>
    </row>
    <row r="52" spans="2:57" ht="28.5" customHeight="1" thickTop="1" thickBot="1">
      <c r="B52" s="516"/>
      <c r="C52" s="525"/>
      <c r="D52" s="527"/>
      <c r="E52" s="529"/>
      <c r="F52" s="522"/>
      <c r="G52" s="514"/>
      <c r="H52" s="516"/>
      <c r="I52" s="516"/>
      <c r="J52" s="508"/>
      <c r="K52" s="518"/>
      <c r="L52" s="520"/>
      <c r="M52" s="508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80" t="str">
        <f>J38</f>
        <v>CARIB</v>
      </c>
      <c r="C53" s="479">
        <v>46203</v>
      </c>
      <c r="D53" s="445">
        <f>[14]June_2026!$AG$3</f>
        <v>399.21999999999997</v>
      </c>
      <c r="E53" s="443"/>
      <c r="F53" s="444"/>
      <c r="G53" s="445">
        <f>[14]June_2026!$AG$7</f>
        <v>367.9</v>
      </c>
      <c r="H53" s="458"/>
      <c r="I53" s="458"/>
      <c r="J53" s="448" t="s">
        <v>200</v>
      </c>
      <c r="K53" s="449">
        <f>[15]June_2026!$AG$18</f>
        <v>0.43029239766081867</v>
      </c>
      <c r="L53" s="457">
        <f>(((D53+E53)-G53)/(D53+E53))*100</f>
        <v>7.8452983317469052</v>
      </c>
      <c r="M53" s="455" t="s">
        <v>196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[16]January_2019!L5</f>
        <v>0</v>
      </c>
      <c r="AC53" s="57">
        <f>[16]January_2019!M5</f>
        <v>0</v>
      </c>
      <c r="AD53" s="57">
        <f>[16]January_2019!N5</f>
        <v>0</v>
      </c>
      <c r="AE53" s="57">
        <f>[16]January_2019!O5</f>
        <v>0</v>
      </c>
      <c r="AF53" s="57">
        <f>[16]January_2019!P5</f>
        <v>0</v>
      </c>
      <c r="AG53" s="57">
        <f>[16]January_2019!Q5</f>
        <v>0</v>
      </c>
      <c r="AH53" s="57">
        <f>[16]January_2019!R5</f>
        <v>0</v>
      </c>
      <c r="AI53" s="57">
        <f>[16]January_2019!S5</f>
        <v>0</v>
      </c>
      <c r="AJ53" s="57">
        <f>[16]January_2019!T5</f>
        <v>0</v>
      </c>
      <c r="AK53" s="57">
        <f>[16]January_2019!U5</f>
        <v>0</v>
      </c>
      <c r="AL53" s="57">
        <f>[16]January_2019!V5</f>
        <v>0</v>
      </c>
      <c r="AM53" s="57">
        <f>[16]January_2019!W5</f>
        <v>0</v>
      </c>
      <c r="AN53" s="57">
        <f>[16]January_2019!X5</f>
        <v>0</v>
      </c>
      <c r="AO53" s="57">
        <f>[16]January_2019!Y5</f>
        <v>0</v>
      </c>
      <c r="AP53" s="57">
        <f>[16]January_2019!Z5</f>
        <v>0</v>
      </c>
      <c r="AQ53" s="57">
        <f>[16]January_2019!AA5</f>
        <v>0</v>
      </c>
      <c r="AR53" s="57">
        <f>[16]January_2019!AB5</f>
        <v>0</v>
      </c>
      <c r="AS53" s="57">
        <f>[16]January_2019!AC5</f>
        <v>0</v>
      </c>
      <c r="AT53" s="57">
        <f>[16]January_2019!AD5</f>
        <v>0</v>
      </c>
      <c r="AU53" s="57">
        <f>[16]January_2019!AE5</f>
        <v>0</v>
      </c>
      <c r="AV53" s="57">
        <f>[16]January_2019!AF5</f>
        <v>0</v>
      </c>
      <c r="AW53" s="57">
        <f>[16]January_2019!AG5</f>
        <v>0</v>
      </c>
      <c r="AX53" s="277">
        <f>[16]January_2019!AH5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[16]January_2019!L6</f>
        <v>0</v>
      </c>
      <c r="AC54" s="57">
        <f>[16]January_2019!M6</f>
        <v>0</v>
      </c>
      <c r="AD54" s="57">
        <f>[16]January_2019!N6</f>
        <v>0</v>
      </c>
      <c r="AE54" s="57">
        <f>[16]January_2019!O6</f>
        <v>0</v>
      </c>
      <c r="AF54" s="57">
        <f>[16]January_2019!P6</f>
        <v>0</v>
      </c>
      <c r="AG54" s="57">
        <f>[16]January_2019!Q6</f>
        <v>0</v>
      </c>
      <c r="AH54" s="57">
        <f>[16]January_2019!R6</f>
        <v>0</v>
      </c>
      <c r="AI54" s="57">
        <f>[16]January_2019!S6</f>
        <v>0</v>
      </c>
      <c r="AJ54" s="57">
        <f>[16]January_2019!T6</f>
        <v>0</v>
      </c>
      <c r="AK54" s="57">
        <f>[16]January_2019!U6</f>
        <v>0</v>
      </c>
      <c r="AL54" s="57">
        <f>[16]January_2019!V6</f>
        <v>0</v>
      </c>
      <c r="AM54" s="57">
        <f>[16]January_2019!W6</f>
        <v>0</v>
      </c>
      <c r="AN54" s="57">
        <f>[16]January_2019!X6</f>
        <v>0</v>
      </c>
      <c r="AO54" s="57">
        <f>[16]January_2019!Y6</f>
        <v>0</v>
      </c>
      <c r="AP54" s="57">
        <f>[16]January_2019!Z6</f>
        <v>0</v>
      </c>
      <c r="AQ54" s="57">
        <f>[16]January_2019!AA6</f>
        <v>0</v>
      </c>
      <c r="AR54" s="57">
        <f>[16]January_2019!AB6</f>
        <v>0</v>
      </c>
      <c r="AS54" s="57">
        <f>[16]January_2019!AC6</f>
        <v>0</v>
      </c>
      <c r="AT54" s="57">
        <f>[16]January_2019!AD6</f>
        <v>0</v>
      </c>
      <c r="AU54" s="57">
        <f>[16]January_2019!AE6</f>
        <v>0</v>
      </c>
      <c r="AV54" s="57">
        <f>[16]January_2019!AF6</f>
        <v>0</v>
      </c>
      <c r="AW54" s="57">
        <f>[16]January_2019!AG6</f>
        <v>0</v>
      </c>
      <c r="AX54" s="277">
        <f>[16]January_2019!AH6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503"/>
      <c r="C55" s="479"/>
      <c r="D55" s="442"/>
      <c r="E55" s="443"/>
      <c r="F55" s="444"/>
      <c r="G55" s="445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[16]January_2019!L7</f>
        <v>285.8</v>
      </c>
      <c r="AC55" s="57">
        <f>[16]January_2019!M7</f>
        <v>508.1</v>
      </c>
      <c r="AD55" s="57">
        <f>[16]January_2019!N7</f>
        <v>0</v>
      </c>
      <c r="AE55" s="57">
        <f>[16]January_2019!O7</f>
        <v>0</v>
      </c>
      <c r="AF55" s="57">
        <f>[16]January_2019!P7</f>
        <v>109.56666666666666</v>
      </c>
      <c r="AG55" s="57">
        <f>[16]January_2019!Q7</f>
        <v>297.64999999999998</v>
      </c>
      <c r="AH55" s="57">
        <f>[16]January_2019!R7</f>
        <v>122.3</v>
      </c>
      <c r="AI55" s="57">
        <f>[16]January_2019!S7</f>
        <v>0</v>
      </c>
      <c r="AJ55" s="57">
        <f>[16]January_2019!T7</f>
        <v>294.7</v>
      </c>
      <c r="AK55" s="57">
        <f>[16]January_2019!U7</f>
        <v>280.5</v>
      </c>
      <c r="AL55" s="57">
        <f>[16]January_2019!V7</f>
        <v>0</v>
      </c>
      <c r="AM55" s="57">
        <f>[16]January_2019!W7</f>
        <v>0</v>
      </c>
      <c r="AN55" s="57">
        <f>[16]January_2019!X7</f>
        <v>188.25</v>
      </c>
      <c r="AO55" s="57">
        <f>[16]January_2019!Y7</f>
        <v>295.7</v>
      </c>
      <c r="AP55" s="57">
        <f>[16]January_2019!Z7</f>
        <v>257.8</v>
      </c>
      <c r="AQ55" s="57">
        <f>[16]January_2019!AA7</f>
        <v>291.2</v>
      </c>
      <c r="AR55" s="57">
        <f>[16]January_2019!AB7</f>
        <v>187</v>
      </c>
      <c r="AS55" s="57">
        <f>[16]January_2019!AC7</f>
        <v>0</v>
      </c>
      <c r="AT55" s="57">
        <f>[16]January_2019!AD7</f>
        <v>0</v>
      </c>
      <c r="AU55" s="57">
        <f>[16]January_2019!AE7</f>
        <v>485.1</v>
      </c>
      <c r="AV55" s="57">
        <f>[16]January_2019!AF7</f>
        <v>171.55</v>
      </c>
      <c r="AW55" s="57">
        <f>[16]January_2019!AG7</f>
        <v>423.8</v>
      </c>
      <c r="AX55" s="277">
        <f>[16]January_2019!AH7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9.5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450000000000003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4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09" t="s">
        <v>55</v>
      </c>
      <c r="C64" s="510"/>
      <c r="D64" s="510"/>
      <c r="E64" s="510"/>
      <c r="F64" s="511"/>
      <c r="G64" s="509" t="s">
        <v>56</v>
      </c>
      <c r="H64" s="510"/>
      <c r="I64" s="510"/>
      <c r="J64" s="511"/>
      <c r="K64" s="509" t="s">
        <v>51</v>
      </c>
      <c r="L64" s="510"/>
      <c r="M64" s="510"/>
      <c r="N64" s="512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7.8452983317469052</v>
      </c>
      <c r="D66" s="76">
        <v>4.801739017737745</v>
      </c>
      <c r="E66" s="76">
        <v>6.4212237388062769</v>
      </c>
      <c r="F66" s="66">
        <v>4.8</v>
      </c>
      <c r="G66" s="65">
        <f>[14]June_2026!$AG$11</f>
        <v>10.946658484043885</v>
      </c>
      <c r="H66" s="477">
        <v>6.0143776335331669</v>
      </c>
      <c r="I66" s="477">
        <v>6.2952262389564053</v>
      </c>
      <c r="J66" s="66">
        <v>4.8</v>
      </c>
      <c r="K66" s="67">
        <f>K53</f>
        <v>0.43029239766081867</v>
      </c>
      <c r="L66" s="194">
        <v>0.65498538011695906</v>
      </c>
      <c r="M66" s="194">
        <v>0.51983647128918364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6.5270687802256688</v>
      </c>
      <c r="E67" s="76">
        <v>5.8993893414814869</v>
      </c>
      <c r="F67" s="66">
        <v>4.8</v>
      </c>
      <c r="G67" s="65"/>
      <c r="H67" s="76">
        <v>6.9040533756401175</v>
      </c>
      <c r="I67" s="76">
        <v>5.6218333761731296</v>
      </c>
      <c r="J67" s="66">
        <v>4.8</v>
      </c>
      <c r="K67" s="67"/>
      <c r="L67" s="194">
        <v>0.74796052631578946</v>
      </c>
      <c r="M67" s="194">
        <v>0.69593128532610038</v>
      </c>
      <c r="N67" s="68">
        <v>1</v>
      </c>
      <c r="P67" s="69"/>
    </row>
    <row r="68" spans="2:16" ht="15">
      <c r="B68" s="34" t="s">
        <v>40</v>
      </c>
      <c r="C68" s="65"/>
      <c r="D68" s="76">
        <v>12.463627546071795</v>
      </c>
      <c r="E68" s="76">
        <v>11.596009975062332</v>
      </c>
      <c r="F68" s="66">
        <v>5.5</v>
      </c>
      <c r="G68" s="65"/>
      <c r="H68" s="76">
        <v>13.176885540709748</v>
      </c>
      <c r="I68" s="76">
        <v>12.705454422449741</v>
      </c>
      <c r="J68" s="66">
        <v>5.5</v>
      </c>
      <c r="K68" s="67"/>
      <c r="L68" s="194">
        <v>0.18095238095238095</v>
      </c>
      <c r="M68" s="194">
        <v>0.25516722361459199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4.7166249493098773</v>
      </c>
      <c r="F69" s="66">
        <v>3.3</v>
      </c>
      <c r="G69" s="65"/>
      <c r="H69" s="76"/>
      <c r="I69" s="76">
        <v>4.7393662692065543</v>
      </c>
      <c r="J69" s="66">
        <v>3.3</v>
      </c>
      <c r="K69" s="67"/>
      <c r="L69" s="194"/>
      <c r="M69" s="194">
        <v>0.73604010025062661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76"/>
      <c r="D71" s="76"/>
      <c r="E71" s="76">
        <v>5.1541347251672045</v>
      </c>
      <c r="F71" s="483">
        <v>5.5</v>
      </c>
      <c r="G71" s="282"/>
      <c r="H71" s="76"/>
      <c r="I71" s="76">
        <v>7.4989046872874194</v>
      </c>
      <c r="J71" s="66">
        <v>5.5</v>
      </c>
      <c r="K71" s="67"/>
      <c r="L71" s="194"/>
      <c r="M71" s="194">
        <v>1.0201754385964912</v>
      </c>
      <c r="N71" s="68">
        <v>1</v>
      </c>
      <c r="P71" s="69"/>
    </row>
    <row r="72" spans="2:16" ht="15">
      <c r="B72" s="37" t="s">
        <v>16</v>
      </c>
      <c r="C72" s="485"/>
      <c r="D72" s="76">
        <v>3.8064469113610451</v>
      </c>
      <c r="E72" s="76">
        <v>3.7425354424032347</v>
      </c>
      <c r="F72" s="66">
        <v>3.3</v>
      </c>
      <c r="G72" s="282"/>
      <c r="H72" s="76">
        <v>5.1620200172171886</v>
      </c>
      <c r="I72" s="76">
        <v>4.8813740630219202</v>
      </c>
      <c r="J72" s="66">
        <v>3.3</v>
      </c>
      <c r="K72" s="67"/>
      <c r="L72" s="194">
        <v>0.69473684210526321</v>
      </c>
      <c r="M72" s="194">
        <v>0.82729694606887583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6.0959645748824203</v>
      </c>
      <c r="E75" s="76">
        <v>6.2919136350539713</v>
      </c>
      <c r="F75" s="341">
        <v>5.5</v>
      </c>
      <c r="H75" s="76">
        <v>7.2309639799884762</v>
      </c>
      <c r="I75" s="76">
        <v>6.4672291368290118</v>
      </c>
      <c r="J75" s="341">
        <v>5.5</v>
      </c>
      <c r="L75" s="194">
        <v>0.64874728487886379</v>
      </c>
      <c r="M75" s="194">
        <v>0.58405106775202464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183" priority="94" operator="notBetween">
      <formula>#REF!</formula>
      <formula>#REF!</formula>
    </cfRule>
  </conditionalFormatting>
  <conditionalFormatting sqref="C50">
    <cfRule type="cellIs" dxfId="182" priority="184" stopIfTrue="1" operator="greaterThan">
      <formula>100</formula>
    </cfRule>
    <cfRule type="cellIs" dxfId="181" priority="183" stopIfTrue="1" operator="lessThan">
      <formula>96</formula>
    </cfRule>
  </conditionalFormatting>
  <conditionalFormatting sqref="C66:C67">
    <cfRule type="cellIs" dxfId="180" priority="57" stopIfTrue="1" operator="lessThanOrEqual">
      <formula>0</formula>
    </cfRule>
    <cfRule type="cellIs" dxfId="179" priority="54" stopIfTrue="1" operator="greaterThan">
      <formula>$F66</formula>
    </cfRule>
    <cfRule type="cellIs" dxfId="178" priority="55" stopIfTrue="1" operator="lessThanOrEqual">
      <formula>0</formula>
    </cfRule>
    <cfRule type="cellIs" dxfId="177" priority="56" stopIfTrue="1" operator="greaterThan">
      <formula>$F66</formula>
    </cfRule>
  </conditionalFormatting>
  <conditionalFormatting sqref="C68:C70 C72:C74">
    <cfRule type="cellIs" dxfId="176" priority="64" stopIfTrue="1" operator="greaterThan">
      <formula>$F71</formula>
    </cfRule>
  </conditionalFormatting>
  <conditionalFormatting sqref="C68:C70">
    <cfRule type="cellIs" dxfId="175" priority="65" stopIfTrue="1" operator="lessThanOrEqual">
      <formula>0</formula>
    </cfRule>
  </conditionalFormatting>
  <conditionalFormatting sqref="C72:C74">
    <cfRule type="cellIs" dxfId="174" priority="66" stopIfTrue="1" operator="lessThanOrEqual">
      <formula>0</formula>
    </cfRule>
  </conditionalFormatting>
  <conditionalFormatting sqref="C77:C81">
    <cfRule type="cellIs" dxfId="173" priority="175" stopIfTrue="1" operator="lessThanOrEqual">
      <formula>0</formula>
    </cfRule>
  </conditionalFormatting>
  <conditionalFormatting sqref="C78:C81">
    <cfRule type="cellIs" dxfId="172" priority="174" stopIfTrue="1" operator="greaterThan">
      <formula>$F$77</formula>
    </cfRule>
  </conditionalFormatting>
  <conditionalFormatting sqref="C83">
    <cfRule type="cellIs" dxfId="171" priority="177" stopIfTrue="1" operator="lessThanOrEqual">
      <formula>0</formula>
    </cfRule>
    <cfRule type="cellIs" dxfId="170" priority="176" stopIfTrue="1" operator="greaterThan">
      <formula>$F$77</formula>
    </cfRule>
  </conditionalFormatting>
  <conditionalFormatting sqref="C71:D71">
    <cfRule type="cellIs" dxfId="169" priority="52" stopIfTrue="1" operator="greaterThan">
      <formula>$J71</formula>
    </cfRule>
    <cfRule type="cellIs" dxfId="168" priority="53" stopIfTrue="1" operator="lessThanOrEqual">
      <formula>0</formula>
    </cfRule>
  </conditionalFormatting>
  <conditionalFormatting sqref="C77:D77 D79:D85">
    <cfRule type="cellIs" dxfId="167" priority="169" stopIfTrue="1" operator="greaterThan">
      <formula>4.5</formula>
    </cfRule>
  </conditionalFormatting>
  <conditionalFormatting sqref="D46:D47">
    <cfRule type="cellIs" dxfId="166" priority="95" operator="notBetween">
      <formula>#REF!</formula>
      <formula>#REF!</formula>
    </cfRule>
  </conditionalFormatting>
  <conditionalFormatting sqref="D66:D70 D72:D73">
    <cfRule type="cellIs" dxfId="165" priority="63" stopIfTrue="1" operator="lessThanOrEqual">
      <formula>0</formula>
    </cfRule>
  </conditionalFormatting>
  <conditionalFormatting sqref="D66:D70 D72:D75">
    <cfRule type="cellIs" dxfId="164" priority="60" stopIfTrue="1" operator="greaterThan">
      <formula>$F66</formula>
    </cfRule>
    <cfRule type="cellIs" dxfId="163" priority="59" stopIfTrue="1" operator="lessThanOrEqual">
      <formula>0</formula>
    </cfRule>
  </conditionalFormatting>
  <conditionalFormatting sqref="D74:D75">
    <cfRule type="cellIs" dxfId="162" priority="61" stopIfTrue="1" operator="lessThanOrEqual">
      <formula>0</formula>
    </cfRule>
  </conditionalFormatting>
  <conditionalFormatting sqref="D75">
    <cfRule type="cellIs" dxfId="161" priority="62" stopIfTrue="1" operator="lessThanOrEqual">
      <formula>0</formula>
    </cfRule>
  </conditionalFormatting>
  <conditionalFormatting sqref="D77 D79:D85">
    <cfRule type="cellIs" dxfId="160" priority="170" stopIfTrue="1" operator="lessThanOrEqual">
      <formula>0</formula>
    </cfRule>
  </conditionalFormatting>
  <conditionalFormatting sqref="D78">
    <cfRule type="cellIs" dxfId="159" priority="161" stopIfTrue="1" operator="greaterThan">
      <formula>$F$77</formula>
    </cfRule>
    <cfRule type="cellIs" dxfId="158" priority="162" stopIfTrue="1" operator="lessThanOrEqual">
      <formula>0</formula>
    </cfRule>
  </conditionalFormatting>
  <conditionalFormatting sqref="E10:E21">
    <cfRule type="cellIs" dxfId="157" priority="7" operator="lessThan">
      <formula>48</formula>
    </cfRule>
  </conditionalFormatting>
  <conditionalFormatting sqref="E49 E50:F50">
    <cfRule type="cellIs" dxfId="156" priority="166" stopIfTrue="1" operator="greaterThan">
      <formula>100</formula>
    </cfRule>
  </conditionalFormatting>
  <conditionalFormatting sqref="E50">
    <cfRule type="cellIs" dxfId="155" priority="164" stopIfTrue="1" operator="greaterThan">
      <formula>100</formula>
    </cfRule>
    <cfRule type="cellIs" dxfId="154" priority="163" stopIfTrue="1" operator="lessThan">
      <formula>96.8</formula>
    </cfRule>
  </conditionalFormatting>
  <conditionalFormatting sqref="E66:E74">
    <cfRule type="cellIs" dxfId="153" priority="21" stopIfTrue="1" operator="lessThanOrEqual">
      <formula>0</formula>
    </cfRule>
  </conditionalFormatting>
  <conditionalFormatting sqref="E66:E75">
    <cfRule type="cellIs" dxfId="152" priority="23" stopIfTrue="1" operator="lessThanOrEqual">
      <formula>0</formula>
    </cfRule>
    <cfRule type="cellIs" dxfId="151" priority="22" stopIfTrue="1" operator="greaterThan">
      <formula>$F66</formula>
    </cfRule>
  </conditionalFormatting>
  <conditionalFormatting sqref="E75">
    <cfRule type="cellIs" dxfId="150" priority="24" stopIfTrue="1" operator="lessThanOrEqual">
      <formula>0</formula>
    </cfRule>
  </conditionalFormatting>
  <conditionalFormatting sqref="E77:E85">
    <cfRule type="cellIs" dxfId="149" priority="156" stopIfTrue="1" operator="lessThanOrEqual">
      <formula>0</formula>
    </cfRule>
    <cfRule type="cellIs" dxfId="148" priority="155" stopIfTrue="1" operator="greaterThan">
      <formula>4.5</formula>
    </cfRule>
  </conditionalFormatting>
  <conditionalFormatting sqref="E50:F50 E49">
    <cfRule type="cellIs" dxfId="147" priority="165" stopIfTrue="1" operator="lessThan">
      <formula>96.5</formula>
    </cfRule>
  </conditionalFormatting>
  <conditionalFormatting sqref="F10:F15">
    <cfRule type="cellIs" dxfId="146" priority="11" operator="greaterThan">
      <formula>60</formula>
    </cfRule>
  </conditionalFormatting>
  <conditionalFormatting sqref="F21">
    <cfRule type="cellIs" dxfId="145" priority="12" operator="greaterThan">
      <formula>60</formula>
    </cfRule>
  </conditionalFormatting>
  <conditionalFormatting sqref="F50">
    <cfRule type="cellIs" dxfId="144" priority="181" stopIfTrue="1" operator="lessThan">
      <formula>96.8</formula>
    </cfRule>
    <cfRule type="cellIs" dxfId="143" priority="182" stopIfTrue="1" operator="greaterThan">
      <formula>100</formula>
    </cfRule>
  </conditionalFormatting>
  <conditionalFormatting sqref="F75">
    <cfRule type="cellIs" dxfId="142" priority="32" stopIfTrue="1" operator="greaterThan">
      <formula>$F75</formula>
    </cfRule>
    <cfRule type="cellIs" dxfId="141" priority="33" stopIfTrue="1" operator="lessThanOrEqual">
      <formula>0</formula>
    </cfRule>
  </conditionalFormatting>
  <conditionalFormatting sqref="G10:G21">
    <cfRule type="expression" dxfId="140" priority="10">
      <formula>IF(+(IF(G10&lt;S10,0,IF(G10&gt;T10,0,1)))=0,1)</formula>
    </cfRule>
  </conditionalFormatting>
  <conditionalFormatting sqref="G66:G67">
    <cfRule type="cellIs" dxfId="139" priority="34" stopIfTrue="1" operator="greaterThan">
      <formula>$F66</formula>
    </cfRule>
    <cfRule type="cellIs" dxfId="138" priority="35" stopIfTrue="1" operator="lessThanOrEqual">
      <formula>0</formula>
    </cfRule>
  </conditionalFormatting>
  <conditionalFormatting sqref="G66:G69">
    <cfRule type="cellIs" dxfId="137" priority="17" stopIfTrue="1" operator="lessThanOrEqual">
      <formula>0</formula>
    </cfRule>
    <cfRule type="cellIs" dxfId="136" priority="16" stopIfTrue="1" operator="greaterThan">
      <formula>$F66</formula>
    </cfRule>
  </conditionalFormatting>
  <conditionalFormatting sqref="G68">
    <cfRule type="cellIs" dxfId="135" priority="15" stopIfTrue="1" operator="lessThanOrEqual">
      <formula>0</formula>
    </cfRule>
    <cfRule type="cellIs" dxfId="134" priority="14" stopIfTrue="1" operator="greaterThan">
      <formula>$F68</formula>
    </cfRule>
  </conditionalFormatting>
  <conditionalFormatting sqref="G69">
    <cfRule type="cellIs" dxfId="133" priority="29" stopIfTrue="1" operator="lessThanOrEqual">
      <formula>0</formula>
    </cfRule>
    <cfRule type="cellIs" dxfId="132" priority="28" stopIfTrue="1" operator="greaterThan">
      <formula>$F69</formula>
    </cfRule>
  </conditionalFormatting>
  <conditionalFormatting sqref="G70:G74">
    <cfRule type="cellIs" dxfId="131" priority="36" stopIfTrue="1" operator="greaterThan">
      <formula>$J70</formula>
    </cfRule>
    <cfRule type="cellIs" dxfId="130" priority="37" stopIfTrue="1" operator="lessThanOrEqual">
      <formula>0</formula>
    </cfRule>
  </conditionalFormatting>
  <conditionalFormatting sqref="G79:G84 C82 C84">
    <cfRule type="cellIs" dxfId="129" priority="178" stopIfTrue="1" operator="greaterThan">
      <formula>4.5</formula>
    </cfRule>
    <cfRule type="cellIs" dxfId="128" priority="179" stopIfTrue="1" operator="lessThanOrEqual">
      <formula>0</formula>
    </cfRule>
  </conditionalFormatting>
  <conditionalFormatting sqref="G78:H78">
    <cfRule type="cellIs" dxfId="127" priority="160" stopIfTrue="1" operator="lessThanOrEqual">
      <formula>0</formula>
    </cfRule>
    <cfRule type="cellIs" dxfId="126" priority="159" stopIfTrue="1" operator="greaterThan">
      <formula>$F$77</formula>
    </cfRule>
  </conditionalFormatting>
  <conditionalFormatting sqref="H10:H21 M10:N21">
    <cfRule type="expression" dxfId="125" priority="8">
      <formula>IF(+(IF(H10&lt;#REF!,0,IF(H10&gt;#REF!,0,1)))=0,1)</formula>
    </cfRule>
  </conditionalFormatting>
  <conditionalFormatting sqref="H35:H36 H49">
    <cfRule type="cellIs" dxfId="124" priority="157" stopIfTrue="1" operator="greaterThan">
      <formula>0</formula>
    </cfRule>
  </conditionalFormatting>
  <conditionalFormatting sqref="H53">
    <cfRule type="cellIs" dxfId="123" priority="39" stopIfTrue="1" operator="lessThanOrEqual">
      <formula>0</formula>
    </cfRule>
    <cfRule type="cellIs" dxfId="122" priority="50" stopIfTrue="1" operator="greaterThan">
      <formula>$F$67</formula>
    </cfRule>
    <cfRule type="cellIs" dxfId="121" priority="49" stopIfTrue="1" operator="lessThanOrEqual">
      <formula>0</formula>
    </cfRule>
    <cfRule type="cellIs" dxfId="120" priority="48" stopIfTrue="1" operator="greaterThan">
      <formula>$F$69</formula>
    </cfRule>
    <cfRule type="cellIs" dxfId="119" priority="40" stopIfTrue="1" operator="greaterThan">
      <formula>$F$66</formula>
    </cfRule>
  </conditionalFormatting>
  <conditionalFormatting sqref="H53:H55">
    <cfRule type="cellIs" dxfId="118" priority="51" stopIfTrue="1" operator="lessThanOrEqual">
      <formula>0</formula>
    </cfRule>
  </conditionalFormatting>
  <conditionalFormatting sqref="H54:H55">
    <cfRule type="cellIs" dxfId="117" priority="77" stopIfTrue="1" operator="greaterThan">
      <formula>$F$67</formula>
    </cfRule>
    <cfRule type="cellIs" dxfId="116" priority="67" stopIfTrue="1" operator="greaterThan">
      <formula>$F$66</formula>
    </cfRule>
    <cfRule type="cellIs" dxfId="115" priority="75" stopIfTrue="1" operator="greaterThan">
      <formula>$F$69</formula>
    </cfRule>
    <cfRule type="cellIs" dxfId="114" priority="76" stopIfTrue="1" operator="lessThanOrEqual">
      <formula>0</formula>
    </cfRule>
  </conditionalFormatting>
  <conditionalFormatting sqref="H54:H57">
    <cfRule type="cellIs" dxfId="113" priority="78" stopIfTrue="1" operator="lessThanOrEqual">
      <formula>0</formula>
    </cfRule>
  </conditionalFormatting>
  <conditionalFormatting sqref="H56:H57">
    <cfRule type="cellIs" dxfId="112" priority="90" stopIfTrue="1" operator="lessThanOrEqual">
      <formula>0</formula>
    </cfRule>
    <cfRule type="cellIs" dxfId="111" priority="92" stopIfTrue="1" operator="lessThanOrEqual">
      <formula>0</formula>
    </cfRule>
    <cfRule type="cellIs" dxfId="110" priority="91" stopIfTrue="1" operator="greaterThan">
      <formula>$F$67</formula>
    </cfRule>
    <cfRule type="cellIs" dxfId="109" priority="81" stopIfTrue="1" operator="greaterThan">
      <formula>$F$66</formula>
    </cfRule>
    <cfRule type="cellIs" dxfId="108" priority="89" stopIfTrue="1" operator="greaterThan">
      <formula>$F$69</formula>
    </cfRule>
  </conditionalFormatting>
  <conditionalFormatting sqref="H58:H59">
    <cfRule type="cellIs" dxfId="107" priority="130" stopIfTrue="1" operator="greaterThan">
      <formula>#REF!</formula>
    </cfRule>
    <cfRule type="cellIs" dxfId="106" priority="128" stopIfTrue="1" operator="greaterThan">
      <formula>$F$21</formula>
    </cfRule>
    <cfRule type="cellIs" dxfId="105" priority="129" stopIfTrue="1" operator="lessThanOrEqual">
      <formula>0</formula>
    </cfRule>
    <cfRule type="cellIs" dxfId="104" priority="120" stopIfTrue="1" operator="greaterThan">
      <formula>#REF!</formula>
    </cfRule>
    <cfRule type="cellIs" dxfId="103" priority="119" stopIfTrue="1" operator="lessThanOrEqual">
      <formula>0</formula>
    </cfRule>
    <cfRule type="cellIs" dxfId="102" priority="131" stopIfTrue="1" operator="lessThanOrEqual">
      <formula>0</formula>
    </cfRule>
  </conditionalFormatting>
  <conditionalFormatting sqref="H60">
    <cfRule type="cellIs" dxfId="101" priority="142" stopIfTrue="1" operator="greaterThan">
      <formula>$F$37</formula>
    </cfRule>
    <cfRule type="cellIs" dxfId="100" priority="134" stopIfTrue="1" operator="greaterThan">
      <formula>$F$34</formula>
    </cfRule>
    <cfRule type="cellIs" dxfId="99" priority="144" stopIfTrue="1" operator="greaterThan">
      <formula>$F$35</formula>
    </cfRule>
    <cfRule type="cellIs" dxfId="98" priority="145" stopIfTrue="1" operator="lessThanOrEqual">
      <formula>0</formula>
    </cfRule>
    <cfRule type="cellIs" dxfId="97" priority="143" stopIfTrue="1" operator="lessThanOrEqual">
      <formula>0</formula>
    </cfRule>
    <cfRule type="cellIs" dxfId="96" priority="133" stopIfTrue="1" operator="lessThanOrEqual">
      <formula>0</formula>
    </cfRule>
  </conditionalFormatting>
  <conditionalFormatting sqref="H61:H62">
    <cfRule type="cellIs" dxfId="95" priority="116" stopIfTrue="1" operator="greaterThan">
      <formula>#REF!</formula>
    </cfRule>
    <cfRule type="cellIs" dxfId="94" priority="106" stopIfTrue="1" operator="greaterThan">
      <formula>#REF!</formula>
    </cfRule>
    <cfRule type="cellIs" dxfId="93" priority="114" stopIfTrue="1" operator="greaterThan">
      <formula>$F$21</formula>
    </cfRule>
    <cfRule type="cellIs" dxfId="92" priority="105" stopIfTrue="1" operator="lessThanOrEqual">
      <formula>0</formula>
    </cfRule>
    <cfRule type="cellIs" dxfId="91" priority="115" stopIfTrue="1" operator="lessThanOrEqual">
      <formula>0</formula>
    </cfRule>
    <cfRule type="cellIs" dxfId="90" priority="117" stopIfTrue="1" operator="lessThanOrEqual">
      <formula>0</formula>
    </cfRule>
  </conditionalFormatting>
  <conditionalFormatting sqref="H77 H79:H85">
    <cfRule type="cellIs" dxfId="89" priority="171" stopIfTrue="1" operator="greaterThan">
      <formula>4.5</formula>
    </cfRule>
    <cfRule type="cellIs" dxfId="88" priority="172" stopIfTrue="1" operator="lessThanOrEqual">
      <formula>0</formula>
    </cfRule>
  </conditionalFormatting>
  <conditionalFormatting sqref="H53:I53">
    <cfRule type="cellIs" dxfId="87" priority="41" stopIfTrue="1" operator="lessThanOrEqual">
      <formula>0</formula>
    </cfRule>
  </conditionalFormatting>
  <conditionalFormatting sqref="H53:I57">
    <cfRule type="cellIs" dxfId="86" priority="38" stopIfTrue="1" operator="greaterThan">
      <formula>$F$68</formula>
    </cfRule>
  </conditionalFormatting>
  <conditionalFormatting sqref="H54:I55">
    <cfRule type="cellIs" dxfId="85" priority="68" stopIfTrue="1" operator="lessThanOrEqual">
      <formula>0</formula>
    </cfRule>
  </conditionalFormatting>
  <conditionalFormatting sqref="H56:I57">
    <cfRule type="cellIs" dxfId="84" priority="82" stopIfTrue="1" operator="lessThanOrEqual">
      <formula>0</formula>
    </cfRule>
  </conditionalFormatting>
  <conditionalFormatting sqref="H58:I59">
    <cfRule type="cellIs" dxfId="83" priority="118" stopIfTrue="1" operator="greaterThan">
      <formula>#REF!</formula>
    </cfRule>
    <cfRule type="cellIs" dxfId="82" priority="121" stopIfTrue="1" operator="lessThanOrEqual">
      <formula>0</formula>
    </cfRule>
  </conditionalFormatting>
  <conditionalFormatting sqref="H60:I60">
    <cfRule type="cellIs" dxfId="81" priority="135" stopIfTrue="1" operator="lessThanOrEqual">
      <formula>0</formula>
    </cfRule>
    <cfRule type="cellIs" dxfId="80" priority="132" stopIfTrue="1" operator="greaterThan">
      <formula>$F$36</formula>
    </cfRule>
  </conditionalFormatting>
  <conditionalFormatting sqref="H61:I62">
    <cfRule type="cellIs" dxfId="79" priority="107" stopIfTrue="1" operator="lessThanOrEqual">
      <formula>0</formula>
    </cfRule>
    <cfRule type="cellIs" dxfId="78" priority="104" stopIfTrue="1" operator="greaterThan">
      <formula>#REF!</formula>
    </cfRule>
  </conditionalFormatting>
  <conditionalFormatting sqref="H66:I73">
    <cfRule type="cellIs" dxfId="77" priority="20" stopIfTrue="1" operator="lessThanOrEqual">
      <formula>0</formula>
    </cfRule>
    <cfRule type="cellIs" dxfId="76" priority="19" stopIfTrue="1" operator="greaterThan">
      <formula>$J66</formula>
    </cfRule>
  </conditionalFormatting>
  <conditionalFormatting sqref="H74:I74">
    <cfRule type="cellIs" dxfId="75" priority="27" operator="greaterThan">
      <formula>5.3</formula>
    </cfRule>
  </conditionalFormatting>
  <conditionalFormatting sqref="H75:I75">
    <cfRule type="cellIs" dxfId="74" priority="26" stopIfTrue="1" operator="lessThanOrEqual">
      <formula>0</formula>
    </cfRule>
    <cfRule type="cellIs" dxfId="73" priority="25" stopIfTrue="1" operator="greaterThan">
      <formula>$J75</formula>
    </cfRule>
  </conditionalFormatting>
  <conditionalFormatting sqref="I53">
    <cfRule type="cellIs" dxfId="72" priority="42" stopIfTrue="1" operator="greaterThan">
      <formula>$F$66</formula>
    </cfRule>
    <cfRule type="cellIs" dxfId="71" priority="43" stopIfTrue="1" operator="lessThanOrEqual">
      <formula>0</formula>
    </cfRule>
    <cfRule type="cellIs" dxfId="70" priority="44" stopIfTrue="1" operator="greaterThan">
      <formula>$F$68</formula>
    </cfRule>
    <cfRule type="cellIs" dxfId="69" priority="45" stopIfTrue="1" operator="lessThanOrEqual">
      <formula>0</formula>
    </cfRule>
    <cfRule type="cellIs" dxfId="68" priority="46" stopIfTrue="1" operator="greaterThan">
      <formula>$F$66</formula>
    </cfRule>
    <cfRule type="cellIs" dxfId="67" priority="47" stopIfTrue="1" operator="lessThanOrEqual">
      <formula>0</formula>
    </cfRule>
  </conditionalFormatting>
  <conditionalFormatting sqref="I54:I55">
    <cfRule type="cellIs" dxfId="66" priority="73" stopIfTrue="1" operator="greaterThan">
      <formula>$F$66</formula>
    </cfRule>
    <cfRule type="cellIs" dxfId="65" priority="72" stopIfTrue="1" operator="lessThanOrEqual">
      <formula>0</formula>
    </cfRule>
    <cfRule type="cellIs" dxfId="64" priority="71" stopIfTrue="1" operator="greaterThan">
      <formula>$F$68</formula>
    </cfRule>
    <cfRule type="cellIs" dxfId="63" priority="69" stopIfTrue="1" operator="greaterThan">
      <formula>$F$66</formula>
    </cfRule>
    <cfRule type="cellIs" dxfId="62" priority="74" stopIfTrue="1" operator="lessThanOrEqual">
      <formula>0</formula>
    </cfRule>
    <cfRule type="cellIs" dxfId="61" priority="70" stopIfTrue="1" operator="lessThanOrEqual">
      <formula>0</formula>
    </cfRule>
  </conditionalFormatting>
  <conditionalFormatting sqref="I56:I57">
    <cfRule type="cellIs" dxfId="60" priority="83" stopIfTrue="1" operator="greaterThan">
      <formula>$F$66</formula>
    </cfRule>
    <cfRule type="cellIs" dxfId="59" priority="84" stopIfTrue="1" operator="lessThanOrEqual">
      <formula>0</formula>
    </cfRule>
    <cfRule type="cellIs" dxfId="58" priority="88" stopIfTrue="1" operator="lessThanOrEqual">
      <formula>0</formula>
    </cfRule>
    <cfRule type="cellIs" dxfId="57" priority="85" stopIfTrue="1" operator="greaterThan">
      <formula>$F$68</formula>
    </cfRule>
    <cfRule type="cellIs" dxfId="56" priority="86" stopIfTrue="1" operator="lessThanOrEqual">
      <formula>0</formula>
    </cfRule>
    <cfRule type="cellIs" dxfId="55" priority="87" stopIfTrue="1" operator="greaterThan">
      <formula>$F$66</formula>
    </cfRule>
  </conditionalFormatting>
  <conditionalFormatting sqref="I58:I59">
    <cfRule type="cellIs" dxfId="54" priority="122" stopIfTrue="1" operator="greaterThan">
      <formula>#REF!</formula>
    </cfRule>
    <cfRule type="cellIs" dxfId="53" priority="123" stopIfTrue="1" operator="lessThanOrEqual">
      <formula>0</formula>
    </cfRule>
    <cfRule type="cellIs" dxfId="52" priority="124" stopIfTrue="1" operator="greaterThan">
      <formula>#REF!</formula>
    </cfRule>
    <cfRule type="cellIs" dxfId="51" priority="125" stopIfTrue="1" operator="lessThanOrEqual">
      <formula>0</formula>
    </cfRule>
    <cfRule type="cellIs" dxfId="50" priority="126" stopIfTrue="1" operator="greaterThan">
      <formula>#REF!</formula>
    </cfRule>
    <cfRule type="cellIs" dxfId="49" priority="127" stopIfTrue="1" operator="lessThanOrEqual">
      <formula>0</formula>
    </cfRule>
  </conditionalFormatting>
  <conditionalFormatting sqref="I60">
    <cfRule type="cellIs" dxfId="48" priority="138" stopIfTrue="1" operator="greaterThan">
      <formula>$F$36</formula>
    </cfRule>
    <cfRule type="cellIs" dxfId="47" priority="136" stopIfTrue="1" operator="greaterThan">
      <formula>$F$34</formula>
    </cfRule>
    <cfRule type="cellIs" dxfId="46" priority="137" stopIfTrue="1" operator="lessThanOrEqual">
      <formula>0</formula>
    </cfRule>
    <cfRule type="cellIs" dxfId="45" priority="139" stopIfTrue="1" operator="lessThanOrEqual">
      <formula>0</formula>
    </cfRule>
    <cfRule type="cellIs" dxfId="44" priority="140" stopIfTrue="1" operator="greaterThan">
      <formula>$F$34</formula>
    </cfRule>
    <cfRule type="cellIs" dxfId="43" priority="141" stopIfTrue="1" operator="lessThanOrEqual">
      <formula>0</formula>
    </cfRule>
  </conditionalFormatting>
  <conditionalFormatting sqref="I61:I62">
    <cfRule type="cellIs" dxfId="42" priority="110" stopIfTrue="1" operator="greaterThan">
      <formula>#REF!</formula>
    </cfRule>
    <cfRule type="cellIs" dxfId="41" priority="112" stopIfTrue="1" operator="greaterThan">
      <formula>#REF!</formula>
    </cfRule>
    <cfRule type="cellIs" dxfId="40" priority="113" stopIfTrue="1" operator="lessThanOrEqual">
      <formula>0</formula>
    </cfRule>
    <cfRule type="cellIs" dxfId="39" priority="111" stopIfTrue="1" operator="lessThanOrEqual">
      <formula>0</formula>
    </cfRule>
    <cfRule type="cellIs" dxfId="38" priority="108" stopIfTrue="1" operator="greaterThan">
      <formula>#REF!</formula>
    </cfRule>
    <cfRule type="cellIs" dxfId="37" priority="109" stopIfTrue="1" operator="lessThanOrEqual">
      <formula>0</formula>
    </cfRule>
  </conditionalFormatting>
  <conditionalFormatting sqref="I77:I85">
    <cfRule type="cellIs" dxfId="36" priority="168" stopIfTrue="1" operator="lessThanOrEqual">
      <formula>0</formula>
    </cfRule>
    <cfRule type="cellIs" dxfId="35" priority="167" stopIfTrue="1" operator="greaterThan">
      <formula>4.5</formula>
    </cfRule>
  </conditionalFormatting>
  <conditionalFormatting sqref="I10:J21">
    <cfRule type="cellIs" dxfId="34" priority="1" operator="lessThan">
      <formula>97.9</formula>
    </cfRule>
  </conditionalFormatting>
  <conditionalFormatting sqref="J24:J25">
    <cfRule type="cellIs" dxfId="33" priority="80" operator="lessThan">
      <formula>97.95</formula>
    </cfRule>
  </conditionalFormatting>
  <conditionalFormatting sqref="J26">
    <cfRule type="cellIs" dxfId="32" priority="148" stopIfTrue="1" operator="greaterThan">
      <formula>100</formula>
    </cfRule>
    <cfRule type="cellIs" dxfId="31" priority="147" stopIfTrue="1" operator="lessThan">
      <formula>96.8</formula>
    </cfRule>
    <cfRule type="cellIs" dxfId="30" priority="149" operator="lessThan">
      <formula>98</formula>
    </cfRule>
  </conditionalFormatting>
  <conditionalFormatting sqref="J26:J28">
    <cfRule type="cellIs" dxfId="29" priority="146" operator="lessThan">
      <formula>97.4</formula>
    </cfRule>
  </conditionalFormatting>
  <conditionalFormatting sqref="J29:J30">
    <cfRule type="cellIs" dxfId="28" priority="150" operator="lessThan">
      <formula>98</formula>
    </cfRule>
  </conditionalFormatting>
  <conditionalFormatting sqref="J31:J32">
    <cfRule type="cellIs" dxfId="27" priority="151" stopIfTrue="1" operator="lessThan">
      <formula>96.8</formula>
    </cfRule>
    <cfRule type="cellIs" dxfId="26" priority="152" stopIfTrue="1" operator="greaterThan">
      <formula>100</formula>
    </cfRule>
  </conditionalFormatting>
  <conditionalFormatting sqref="J31:J33">
    <cfRule type="cellIs" dxfId="25" priority="153" operator="lessThan">
      <formula>98</formula>
    </cfRule>
  </conditionalFormatting>
  <conditionalFormatting sqref="J62">
    <cfRule type="cellIs" dxfId="24" priority="97" stopIfTrue="1" operator="lessThanOrEqual">
      <formula>0</formula>
    </cfRule>
    <cfRule type="cellIs" dxfId="23" priority="99" stopIfTrue="1" operator="lessThanOrEqual">
      <formula>0</formula>
    </cfRule>
    <cfRule type="cellIs" dxfId="22" priority="100" stopIfTrue="1" operator="greaterThan">
      <formula>#REF!</formula>
    </cfRule>
    <cfRule type="cellIs" dxfId="21" priority="101" stopIfTrue="1" operator="lessThanOrEqual">
      <formula>0</formula>
    </cfRule>
    <cfRule type="cellIs" dxfId="20" priority="103" stopIfTrue="1" operator="lessThanOrEqual">
      <formula>0</formula>
    </cfRule>
    <cfRule type="cellIs" dxfId="19" priority="98" stopIfTrue="1" operator="greaterThan">
      <formula>#REF!</formula>
    </cfRule>
    <cfRule type="cellIs" dxfId="18" priority="96" stopIfTrue="1" operator="greaterThan">
      <formula>#REF!</formula>
    </cfRule>
    <cfRule type="cellIs" dxfId="17" priority="102" stopIfTrue="1" operator="greaterThan">
      <formula>#REF!</formula>
    </cfRule>
  </conditionalFormatting>
  <conditionalFormatting sqref="J75">
    <cfRule type="cellIs" dxfId="16" priority="31" stopIfTrue="1" operator="lessThanOrEqual">
      <formula>0</formula>
    </cfRule>
    <cfRule type="cellIs" dxfId="15" priority="30" stopIfTrue="1" operator="greaterThan">
      <formula>$F75</formula>
    </cfRule>
  </conditionalFormatting>
  <conditionalFormatting sqref="K10:K21">
    <cfRule type="cellIs" dxfId="14" priority="3" operator="lessThan">
      <formula>4</formula>
    </cfRule>
    <cfRule type="cellIs" dxfId="13" priority="2" operator="greaterThan">
      <formula>6</formula>
    </cfRule>
    <cfRule type="cellIs" dxfId="12" priority="4" operator="greaterThan">
      <formula>6.4</formula>
    </cfRule>
  </conditionalFormatting>
  <conditionalFormatting sqref="K53:K62">
    <cfRule type="cellIs" dxfId="11" priority="79" stopIfTrue="1" operator="lessThan">
      <formula>100%</formula>
    </cfRule>
  </conditionalFormatting>
  <conditionalFormatting sqref="K66:K74">
    <cfRule type="cellIs" dxfId="10" priority="18" stopIfTrue="1" operator="lessThan">
      <formula>100%</formula>
    </cfRule>
  </conditionalFormatting>
  <conditionalFormatting sqref="K77:K82">
    <cfRule type="cellIs" dxfId="9" priority="173" stopIfTrue="1" operator="lessThan">
      <formula>100%</formula>
    </cfRule>
  </conditionalFormatting>
  <conditionalFormatting sqref="K84:K85">
    <cfRule type="cellIs" dxfId="8" priority="180" stopIfTrue="1" operator="lessThan">
      <formula>100%</formula>
    </cfRule>
  </conditionalFormatting>
  <conditionalFormatting sqref="L10:L21">
    <cfRule type="cellIs" dxfId="7" priority="6" operator="greaterThan">
      <formula>65</formula>
    </cfRule>
    <cfRule type="cellIs" dxfId="6" priority="5" operator="between">
      <formula>61</formula>
      <formula>65</formula>
    </cfRule>
  </conditionalFormatting>
  <conditionalFormatting sqref="L24:M35">
    <cfRule type="cellIs" dxfId="5" priority="93" operator="lessThan">
      <formula>97.95</formula>
    </cfRule>
  </conditionalFormatting>
  <conditionalFormatting sqref="L39:N39">
    <cfRule type="cellIs" dxfId="4" priority="58" operator="notEqual">
      <formula>#REF!</formula>
    </cfRule>
  </conditionalFormatting>
  <conditionalFormatting sqref="L66:N75">
    <cfRule type="cellIs" dxfId="3" priority="13" stopIfTrue="1" operator="lessThan">
      <formula>100%</formula>
    </cfRule>
  </conditionalFormatting>
  <conditionalFormatting sqref="L77:N85">
    <cfRule type="cellIs" dxfId="2" priority="158" stopIfTrue="1" operator="lessThan">
      <formula>100%</formula>
    </cfRule>
  </conditionalFormatting>
  <conditionalFormatting sqref="N10:N20">
    <cfRule type="expression" dxfId="1" priority="9">
      <formula>IF(+(IF(N10&lt;W10,0,IF(N10&gt;X10,0,1)))=0,1)</formula>
    </cfRule>
  </conditionalFormatting>
  <conditionalFormatting sqref="P6">
    <cfRule type="cellIs" dxfId="0" priority="154" operator="greaterThanOrEqual">
      <formula>19</formula>
    </cfRule>
  </conditionalFormatting>
  <dataValidations count="1">
    <dataValidation type="list" allowBlank="1" showInputMessage="1" showErrorMessage="1" sqref="R8" xr:uid="{CD5655F3-5513-4D90-A758-31B5DC05B743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4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22" t="s">
        <v>58</v>
      </c>
      <c r="C2" s="622"/>
      <c r="D2" s="622"/>
      <c r="E2" s="622"/>
      <c r="F2" s="622"/>
      <c r="G2" s="622"/>
      <c r="H2" s="622"/>
      <c r="I2" s="622"/>
      <c r="J2" s="622"/>
      <c r="K2" s="622"/>
    </row>
    <row r="3" spans="2:14" ht="15.75" hidden="1" thickBot="1">
      <c r="B3" s="79"/>
    </row>
    <row r="4" spans="2:14" ht="13.5" hidden="1" thickBot="1">
      <c r="B4" s="78" t="s">
        <v>7</v>
      </c>
      <c r="C4" s="623">
        <v>41431</v>
      </c>
      <c r="D4" s="623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20" t="s">
        <v>17</v>
      </c>
      <c r="C8" s="606" t="s">
        <v>18</v>
      </c>
      <c r="D8" s="606" t="s">
        <v>59</v>
      </c>
      <c r="E8" s="80" t="s">
        <v>20</v>
      </c>
      <c r="F8" s="81" t="s">
        <v>21</v>
      </c>
      <c r="G8" s="606" t="s">
        <v>60</v>
      </c>
      <c r="H8" s="606" t="s">
        <v>61</v>
      </c>
      <c r="I8" s="626" t="s">
        <v>62</v>
      </c>
      <c r="J8" s="82" t="s">
        <v>25</v>
      </c>
      <c r="K8" s="616" t="s">
        <v>28</v>
      </c>
    </row>
    <row r="9" spans="2:14" ht="26.25" hidden="1" thickBot="1">
      <c r="B9" s="624"/>
      <c r="C9" s="625"/>
      <c r="D9" s="625"/>
      <c r="E9" s="83" t="s">
        <v>30</v>
      </c>
      <c r="F9" s="84" t="s">
        <v>63</v>
      </c>
      <c r="G9" s="625"/>
      <c r="H9" s="625"/>
      <c r="I9" s="627"/>
      <c r="J9" s="85" t="s">
        <v>32</v>
      </c>
      <c r="K9" s="628"/>
      <c r="L9" s="86"/>
      <c r="M9" s="86"/>
      <c r="N9" s="86"/>
    </row>
    <row r="10" spans="2:14" ht="13.5" hidden="1" thickBot="1">
      <c r="B10" s="87" t="s">
        <v>64</v>
      </c>
      <c r="C10" s="88" t="str">
        <f>[36]Brewhouse!A5359</f>
        <v>CA236</v>
      </c>
      <c r="D10" s="88">
        <f>[36]Brewhouse!B5359</f>
        <v>41437</v>
      </c>
      <c r="E10" s="89">
        <f>[36]Brewhouse!AG5359</f>
        <v>49.011000000000003</v>
      </c>
      <c r="F10" s="90">
        <f>[36]Brewhouse!T5359</f>
        <v>60</v>
      </c>
      <c r="G10" s="91">
        <f>[36]Brewhouse!I5359</f>
        <v>19.79</v>
      </c>
      <c r="H10" s="92">
        <f>[36]Brewhouse!AS5359</f>
        <v>94.981545664755075</v>
      </c>
      <c r="I10" s="92">
        <f>[36]Brewhouse!AT5359</f>
        <v>97.074072469002047</v>
      </c>
      <c r="J10" s="93">
        <f>[36]Brewhouse!S5359-[36]Brewhouse!R5359</f>
        <v>0.10694444444444451</v>
      </c>
      <c r="K10" s="94"/>
      <c r="N10" s="95"/>
    </row>
    <row r="11" spans="2:14" ht="13.5" hidden="1" thickBot="1">
      <c r="B11" s="96"/>
      <c r="C11" s="88" t="str">
        <f>[36]Brewhouse!A5360</f>
        <v>CA237</v>
      </c>
      <c r="D11" s="88">
        <f>[36]Brewhouse!B5360</f>
        <v>41437</v>
      </c>
      <c r="E11" s="89">
        <f>[36]Brewhouse!AG5360</f>
        <v>48.531999999999996</v>
      </c>
      <c r="F11" s="90">
        <f>[36]Brewhouse!T5360</f>
        <v>68</v>
      </c>
      <c r="G11" s="91">
        <f>[36]Brewhouse!I5360</f>
        <v>17.7</v>
      </c>
      <c r="H11" s="92">
        <f>[36]Brewhouse!AS5360</f>
        <v>94.053260986347809</v>
      </c>
      <c r="I11" s="92">
        <f>[36]Brewhouse!AT5360</f>
        <v>96.1253368644918</v>
      </c>
      <c r="J11" s="93">
        <f>[36]Brewhouse!S5360-[36]Brewhouse!R5360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[36]Brewhouse!A5361</f>
        <v>CA238</v>
      </c>
      <c r="D12" s="88">
        <f>[36]Brewhouse!B5361</f>
        <v>41437</v>
      </c>
      <c r="E12" s="89">
        <f>[36]Brewhouse!AG5361</f>
        <v>50.466999999999999</v>
      </c>
      <c r="F12" s="90">
        <f>[36]Brewhouse!T5361</f>
        <v>61</v>
      </c>
      <c r="G12" s="91">
        <f>[36]Brewhouse!I5361</f>
        <v>19.7</v>
      </c>
      <c r="H12" s="92">
        <f>[36]Brewhouse!AS5361</f>
        <v>96.931393272913695</v>
      </c>
      <c r="I12" s="92">
        <f>[36]Brewhouse!AT5361</f>
        <v>99.066876931102286</v>
      </c>
      <c r="J12" s="93">
        <f>[36]Brewhouse!S5361-[36]Brewhouse!R5361</f>
        <v>0.10208333333333341</v>
      </c>
      <c r="K12" s="98"/>
    </row>
    <row r="13" spans="2:14" ht="13.5" hidden="1" thickBot="1">
      <c r="B13" s="99"/>
      <c r="C13" s="88" t="str">
        <f>[36]Brewhouse!A5362</f>
        <v>CA239</v>
      </c>
      <c r="D13" s="88">
        <f>[36]Brewhouse!B5362</f>
        <v>41437</v>
      </c>
      <c r="E13" s="89">
        <f>[36]Brewhouse!AG5362</f>
        <v>49.374000000000002</v>
      </c>
      <c r="F13" s="90">
        <f>[36]Brewhouse!T5362</f>
        <v>62</v>
      </c>
      <c r="G13" s="91">
        <f>[36]Brewhouse!I5362</f>
        <v>19</v>
      </c>
      <c r="H13" s="92">
        <f>[36]Brewhouse!AS5362</f>
        <v>95.68502653795305</v>
      </c>
      <c r="I13" s="92">
        <f>[36]Brewhouse!AT5362</f>
        <v>97.793051643192499</v>
      </c>
      <c r="J13" s="93">
        <f>[36]Brewhouse!S5362-[36]Brewhouse!R5362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14" t="s">
        <v>69</v>
      </c>
      <c r="G21" s="615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[36]Brewhouse!N5359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[36]Brewhouse!N5360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[36]Brewhouse!N5361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[36]Brewhouse!N5362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AVERAGE([36]Brewhouse!$AS$5347:$AS$5362)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AVERAGE([37]Brewhouse!$AQ$641:$AQ$644)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AVERAGE([38]Brewhouse!$AU$708:$AU$711)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AVERAGE([39]Brewhouse!$AY$943:$AY$946)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20" t="s">
        <v>17</v>
      </c>
      <c r="C43" s="606" t="s">
        <v>18</v>
      </c>
      <c r="D43" s="606" t="s">
        <v>44</v>
      </c>
      <c r="E43" s="606" t="s">
        <v>79</v>
      </c>
      <c r="F43" s="606" t="s">
        <v>51</v>
      </c>
      <c r="G43" s="606" t="s">
        <v>48</v>
      </c>
      <c r="H43" s="608" t="s">
        <v>28</v>
      </c>
      <c r="I43" s="609"/>
      <c r="J43" s="609"/>
      <c r="K43" s="616" t="s">
        <v>27</v>
      </c>
    </row>
    <row r="44" spans="2:15" ht="15.75" hidden="1" customHeight="1" thickBot="1">
      <c r="B44" s="621"/>
      <c r="C44" s="607"/>
      <c r="D44" s="607"/>
      <c r="E44" s="607"/>
      <c r="F44" s="607"/>
      <c r="G44" s="607"/>
      <c r="H44" s="610"/>
      <c r="I44" s="611"/>
      <c r="J44" s="611"/>
      <c r="K44" s="617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18"/>
      <c r="I45" s="619"/>
      <c r="J45" s="619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2"/>
      <c r="I46" s="613"/>
      <c r="J46" s="613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2"/>
      <c r="I47" s="613"/>
      <c r="J47" s="613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2"/>
      <c r="I48" s="613"/>
      <c r="J48" s="613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04"/>
      <c r="I49" s="605"/>
      <c r="J49" s="605"/>
      <c r="K49" s="172"/>
    </row>
    <row r="50" spans="2:11" ht="13.5" hidden="1" thickBot="1">
      <c r="B50" s="173"/>
      <c r="C50" s="160"/>
      <c r="E50" s="168"/>
      <c r="F50" s="168"/>
      <c r="G50" s="145"/>
      <c r="H50" s="604"/>
      <c r="I50" s="605"/>
      <c r="J50" s="605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04"/>
      <c r="I51" s="605"/>
      <c r="J51" s="605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95"/>
      <c r="I52" s="596"/>
      <c r="J52" s="596"/>
      <c r="K52" s="183"/>
    </row>
    <row r="53" spans="2:11" ht="13.5" thickBot="1">
      <c r="B53" s="184"/>
      <c r="C53" s="117"/>
      <c r="D53" s="597" t="s">
        <v>80</v>
      </c>
      <c r="E53" s="597"/>
      <c r="F53" s="597"/>
      <c r="G53" s="597"/>
      <c r="H53" s="597"/>
      <c r="I53" s="597"/>
      <c r="J53" s="597"/>
      <c r="K53" s="185"/>
    </row>
    <row r="54" spans="2:11" ht="13.5" thickBot="1">
      <c r="B54" s="598" t="s">
        <v>55</v>
      </c>
      <c r="C54" s="599"/>
      <c r="D54" s="599"/>
      <c r="E54" s="600"/>
      <c r="F54" s="598" t="s">
        <v>56</v>
      </c>
      <c r="G54" s="599"/>
      <c r="H54" s="600"/>
      <c r="I54" s="601" t="s">
        <v>81</v>
      </c>
      <c r="J54" s="602"/>
      <c r="K54" s="603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[35]MTD!$E5</f>
        <v>4.801739017737745</v>
      </c>
      <c r="E56" s="192">
        <v>5</v>
      </c>
      <c r="F56" s="191"/>
      <c r="G56" s="76" t="e">
        <f>[14]June_2026!$AN3</f>
        <v>#DIV/0!</v>
      </c>
      <c r="H56" s="192">
        <v>5</v>
      </c>
      <c r="I56" s="193"/>
      <c r="J56" s="194" t="e">
        <f>[15]June_2026!$AN13</f>
        <v>#DIV/0!</v>
      </c>
      <c r="K56" s="195">
        <v>1</v>
      </c>
    </row>
    <row r="57" spans="2:11" ht="15">
      <c r="B57" s="33" t="s">
        <v>72</v>
      </c>
      <c r="C57" s="191"/>
      <c r="D57" s="76">
        <f>[35]MTD!$E6</f>
        <v>6.5270687802256688</v>
      </c>
      <c r="E57" s="192">
        <v>5</v>
      </c>
      <c r="F57" s="191"/>
      <c r="G57" s="76">
        <f>[14]June_2026!$AN4</f>
        <v>6.9040533756401175</v>
      </c>
      <c r="H57" s="192">
        <v>5</v>
      </c>
      <c r="I57" s="196"/>
      <c r="J57" s="194">
        <f>[15]June_2026!$AN14</f>
        <v>0.74796052631578946</v>
      </c>
      <c r="K57" s="195">
        <v>1</v>
      </c>
    </row>
    <row r="58" spans="2:11" ht="15">
      <c r="B58" s="34" t="s">
        <v>73</v>
      </c>
      <c r="C58" s="191"/>
      <c r="D58" s="76">
        <f>[35]MTD!$E7</f>
        <v>12.463627546071795</v>
      </c>
      <c r="E58" s="192">
        <v>5</v>
      </c>
      <c r="F58" s="191"/>
      <c r="G58" s="76">
        <f>[14]June_2026!$AN5</f>
        <v>13.176885540709748</v>
      </c>
      <c r="H58" s="192">
        <v>5</v>
      </c>
      <c r="I58" s="196"/>
      <c r="J58" s="194">
        <f>[15]June_2026!$AN15</f>
        <v>0.18095238095238095</v>
      </c>
      <c r="K58" s="195">
        <v>1</v>
      </c>
    </row>
    <row r="59" spans="2:11" ht="15">
      <c r="B59" s="197" t="s">
        <v>74</v>
      </c>
      <c r="C59" s="191"/>
      <c r="D59" s="76" t="e">
        <f>[35]MTD!$E8</f>
        <v>#DIV/0!</v>
      </c>
      <c r="E59" s="192">
        <v>3.5</v>
      </c>
      <c r="F59" s="191"/>
      <c r="G59" s="76" t="e">
        <f>[14]June_2026!$AN6</f>
        <v>#DIV/0!</v>
      </c>
      <c r="H59" s="192">
        <v>3.5</v>
      </c>
      <c r="I59" s="196"/>
      <c r="J59" s="194" t="e">
        <f>[15]June_2026!$AN16</f>
        <v>#DIV/0!</v>
      </c>
      <c r="K59" s="195">
        <v>1</v>
      </c>
    </row>
    <row r="60" spans="2:11" ht="15.75" thickBot="1">
      <c r="B60" s="38" t="s">
        <v>160</v>
      </c>
      <c r="C60" s="191"/>
      <c r="D60" s="76" t="e">
        <f>[35]MTD!$E9</f>
        <v>#DIV/0!</v>
      </c>
      <c r="E60" s="192">
        <v>3.5</v>
      </c>
      <c r="F60" s="198"/>
      <c r="G60" s="76" t="e">
        <f>[14]June_2026!$AN7</f>
        <v>#DIV/0!</v>
      </c>
      <c r="H60" s="192">
        <v>3.5</v>
      </c>
      <c r="I60" s="196"/>
      <c r="J60" s="194" t="e">
        <f>[15]June_2026!$AN17</f>
        <v>#DIV/0!</v>
      </c>
      <c r="K60" s="195">
        <v>1</v>
      </c>
    </row>
    <row r="61" spans="2:11" ht="15">
      <c r="B61" s="199" t="s">
        <v>76</v>
      </c>
      <c r="C61" s="191"/>
      <c r="D61" s="76" t="e">
        <f>[35]MTD!$E10</f>
        <v>#DIV/0!</v>
      </c>
      <c r="E61" s="200">
        <v>5</v>
      </c>
      <c r="F61" s="191"/>
      <c r="G61" s="76" t="e">
        <f>[14]June_2026!$AN8</f>
        <v>#DIV/0!</v>
      </c>
      <c r="H61" s="200">
        <v>5</v>
      </c>
      <c r="I61" s="196"/>
      <c r="J61" s="194" t="e">
        <f>[15]June_2026!$AN18</f>
        <v>#DIV/0!</v>
      </c>
      <c r="K61" s="195">
        <v>1</v>
      </c>
    </row>
    <row r="62" spans="2:11" ht="15">
      <c r="B62" s="201" t="s">
        <v>82</v>
      </c>
      <c r="C62" s="202"/>
      <c r="D62" s="76">
        <f>[35]MTD!$E11</f>
        <v>3.8064469113610451</v>
      </c>
      <c r="E62" s="200">
        <v>3.3</v>
      </c>
      <c r="F62" s="202"/>
      <c r="G62" s="76">
        <f>[14]June_2026!$AN9</f>
        <v>5.1620200172171886</v>
      </c>
      <c r="H62" s="200">
        <v>3.3</v>
      </c>
      <c r="I62" s="203"/>
      <c r="J62" s="194">
        <f>[15]June_2026!$AN19</f>
        <v>0.69473684210526321</v>
      </c>
      <c r="K62" s="204">
        <v>1</v>
      </c>
    </row>
    <row r="63" spans="2:11" ht="15.75" thickBot="1">
      <c r="B63" s="38" t="s">
        <v>128</v>
      </c>
      <c r="C63" s="205"/>
      <c r="D63" s="76" t="e">
        <f>[35]MTD!$E12</f>
        <v>#DIV/0!</v>
      </c>
      <c r="E63" s="206">
        <v>3.5</v>
      </c>
      <c r="F63" s="205"/>
      <c r="G63" s="76" t="e">
        <f>[14]June_2026!$AN10</f>
        <v>#DIV/0!</v>
      </c>
      <c r="H63" s="206">
        <v>3.5</v>
      </c>
      <c r="I63" s="207"/>
      <c r="J63" s="194" t="e">
        <f>[15]June_2026!$AN20</f>
        <v>#DIV/0!</v>
      </c>
      <c r="K63" s="208">
        <v>1</v>
      </c>
    </row>
    <row r="64" spans="2:11" ht="15.75" thickBot="1">
      <c r="B64" s="413" t="s">
        <v>159</v>
      </c>
      <c r="C64" s="198"/>
      <c r="D64" s="76" t="e">
        <f>[35]MTD!$E13</f>
        <v>#DIV/0!</v>
      </c>
      <c r="E64" s="192">
        <v>5</v>
      </c>
      <c r="F64" s="198"/>
      <c r="G64" s="76" t="e">
        <f>[14]June_2026!$AN11</f>
        <v>#DIV/0!</v>
      </c>
      <c r="H64" s="192">
        <v>5</v>
      </c>
      <c r="I64" s="412"/>
      <c r="J64" s="194">
        <f>[15]June_2026!$AN21</f>
        <v>0</v>
      </c>
      <c r="K64" s="208">
        <v>1</v>
      </c>
    </row>
    <row r="65" spans="2:11">
      <c r="B65" s="209"/>
      <c r="C65" s="210"/>
      <c r="D65" s="76">
        <f>[35]MTD!$E14</f>
        <v>6.0959645748824203</v>
      </c>
      <c r="E65" s="210"/>
      <c r="F65" s="210"/>
      <c r="G65" s="76">
        <f>[14]June_2026!$AN12</f>
        <v>7.2309639799884762</v>
      </c>
      <c r="H65" s="211"/>
      <c r="I65" s="212"/>
      <c r="J65" s="194">
        <f>[15]June_2026!$AN22</f>
        <v>0.64874728487886379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3" zoomScale="115" zoomScaleNormal="115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22" t="s">
        <v>58</v>
      </c>
      <c r="C2" s="622"/>
      <c r="D2" s="622"/>
      <c r="E2" s="622"/>
      <c r="F2" s="622"/>
      <c r="G2" s="622"/>
      <c r="H2" s="622"/>
      <c r="I2" s="622"/>
      <c r="J2" s="622"/>
      <c r="K2" s="622"/>
    </row>
    <row r="3" spans="2:14" ht="15.75" hidden="1" thickBot="1">
      <c r="B3" s="79"/>
    </row>
    <row r="4" spans="2:14" ht="13.5" hidden="1" thickBot="1">
      <c r="B4" s="78" t="s">
        <v>7</v>
      </c>
      <c r="C4" s="623">
        <v>41431</v>
      </c>
      <c r="D4" s="623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20" t="s">
        <v>17</v>
      </c>
      <c r="C8" s="606" t="s">
        <v>18</v>
      </c>
      <c r="D8" s="606" t="s">
        <v>59</v>
      </c>
      <c r="E8" s="80" t="s">
        <v>20</v>
      </c>
      <c r="F8" s="81" t="s">
        <v>21</v>
      </c>
      <c r="G8" s="606" t="s">
        <v>60</v>
      </c>
      <c r="H8" s="606" t="s">
        <v>61</v>
      </c>
      <c r="I8" s="626" t="s">
        <v>62</v>
      </c>
      <c r="J8" s="82" t="s">
        <v>25</v>
      </c>
      <c r="K8" s="616" t="s">
        <v>28</v>
      </c>
    </row>
    <row r="9" spans="2:14" ht="26.25" hidden="1" thickBot="1">
      <c r="B9" s="624"/>
      <c r="C9" s="625"/>
      <c r="D9" s="625"/>
      <c r="E9" s="83" t="s">
        <v>30</v>
      </c>
      <c r="F9" s="84" t="s">
        <v>63</v>
      </c>
      <c r="G9" s="625"/>
      <c r="H9" s="625"/>
      <c r="I9" s="627"/>
      <c r="J9" s="85" t="s">
        <v>32</v>
      </c>
      <c r="K9" s="628"/>
      <c r="L9" s="86"/>
      <c r="M9" s="86"/>
      <c r="N9" s="86"/>
    </row>
    <row r="10" spans="2:14" ht="13.5" hidden="1" thickBot="1">
      <c r="B10" s="87" t="s">
        <v>64</v>
      </c>
      <c r="C10" s="88" t="str">
        <f>[36]Brewhouse!A5359</f>
        <v>CA236</v>
      </c>
      <c r="D10" s="88">
        <f>[36]Brewhouse!B5359</f>
        <v>41437</v>
      </c>
      <c r="E10" s="89">
        <f>[36]Brewhouse!AG5359</f>
        <v>49.011000000000003</v>
      </c>
      <c r="F10" s="90">
        <f>[36]Brewhouse!T5359</f>
        <v>60</v>
      </c>
      <c r="G10" s="91">
        <f>[36]Brewhouse!I5359</f>
        <v>19.79</v>
      </c>
      <c r="H10" s="92">
        <f>[36]Brewhouse!AS5359</f>
        <v>94.981545664755075</v>
      </c>
      <c r="I10" s="92">
        <f>[36]Brewhouse!AT5359</f>
        <v>97.074072469002047</v>
      </c>
      <c r="J10" s="93">
        <f>[36]Brewhouse!S5359-[36]Brewhouse!R5359</f>
        <v>0.10694444444444451</v>
      </c>
      <c r="K10" s="94"/>
      <c r="N10" s="95"/>
    </row>
    <row r="11" spans="2:14" ht="13.5" hidden="1" thickBot="1">
      <c r="B11" s="96"/>
      <c r="C11" s="88" t="str">
        <f>[36]Brewhouse!A5360</f>
        <v>CA237</v>
      </c>
      <c r="D11" s="88">
        <f>[36]Brewhouse!B5360</f>
        <v>41437</v>
      </c>
      <c r="E11" s="89">
        <f>[36]Brewhouse!AG5360</f>
        <v>48.531999999999996</v>
      </c>
      <c r="F11" s="90">
        <f>[36]Brewhouse!T5360</f>
        <v>68</v>
      </c>
      <c r="G11" s="91">
        <f>[36]Brewhouse!I5360</f>
        <v>17.7</v>
      </c>
      <c r="H11" s="92">
        <f>[36]Brewhouse!AS5360</f>
        <v>94.053260986347809</v>
      </c>
      <c r="I11" s="92">
        <f>[36]Brewhouse!AT5360</f>
        <v>96.1253368644918</v>
      </c>
      <c r="J11" s="93">
        <f>[36]Brewhouse!S5360-[36]Brewhouse!R5360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[36]Brewhouse!A5361</f>
        <v>CA238</v>
      </c>
      <c r="D12" s="88">
        <f>[36]Brewhouse!B5361</f>
        <v>41437</v>
      </c>
      <c r="E12" s="89">
        <f>[36]Brewhouse!AG5361</f>
        <v>50.466999999999999</v>
      </c>
      <c r="F12" s="90">
        <f>[36]Brewhouse!T5361</f>
        <v>61</v>
      </c>
      <c r="G12" s="91">
        <f>[36]Brewhouse!I5361</f>
        <v>19.7</v>
      </c>
      <c r="H12" s="92">
        <f>[36]Brewhouse!AS5361</f>
        <v>96.931393272913695</v>
      </c>
      <c r="I12" s="92">
        <f>[36]Brewhouse!AT5361</f>
        <v>99.066876931102286</v>
      </c>
      <c r="J12" s="93">
        <f>[36]Brewhouse!S5361-[36]Brewhouse!R5361</f>
        <v>0.10208333333333341</v>
      </c>
      <c r="K12" s="98"/>
    </row>
    <row r="13" spans="2:14" ht="13.5" hidden="1" thickBot="1">
      <c r="B13" s="99"/>
      <c r="C13" s="88" t="str">
        <f>[36]Brewhouse!A5362</f>
        <v>CA239</v>
      </c>
      <c r="D13" s="88">
        <f>[36]Brewhouse!B5362</f>
        <v>41437</v>
      </c>
      <c r="E13" s="89">
        <f>[36]Brewhouse!AG5362</f>
        <v>49.374000000000002</v>
      </c>
      <c r="F13" s="90">
        <f>[36]Brewhouse!T5362</f>
        <v>62</v>
      </c>
      <c r="G13" s="91">
        <f>[36]Brewhouse!I5362</f>
        <v>19</v>
      </c>
      <c r="H13" s="92">
        <f>[36]Brewhouse!AS5362</f>
        <v>95.68502653795305</v>
      </c>
      <c r="I13" s="92">
        <f>[36]Brewhouse!AT5362</f>
        <v>97.793051643192499</v>
      </c>
      <c r="J13" s="93">
        <f>[36]Brewhouse!S5362-[36]Brewhouse!R5362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14" t="s">
        <v>69</v>
      </c>
      <c r="G21" s="615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[36]Brewhouse!N5359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[36]Brewhouse!N5360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[36]Brewhouse!N5361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[36]Brewhouse!N5362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AVERAGE([36]Brewhouse!$AS$5347:$AS$5362)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AVERAGE([37]Brewhouse!$AQ$641:$AQ$644)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AVERAGE([38]Brewhouse!$AU$708:$AU$711)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AVERAGE([39]Brewhouse!$AY$943:$AY$946)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20" t="s">
        <v>17</v>
      </c>
      <c r="C43" s="606" t="s">
        <v>18</v>
      </c>
      <c r="D43" s="606" t="s">
        <v>44</v>
      </c>
      <c r="E43" s="606" t="s">
        <v>79</v>
      </c>
      <c r="F43" s="606" t="s">
        <v>51</v>
      </c>
      <c r="G43" s="606" t="s">
        <v>48</v>
      </c>
      <c r="H43" s="608" t="s">
        <v>28</v>
      </c>
      <c r="I43" s="609"/>
      <c r="J43" s="609"/>
      <c r="K43" s="616" t="s">
        <v>27</v>
      </c>
    </row>
    <row r="44" spans="2:15" ht="15.75" hidden="1" customHeight="1" thickBot="1">
      <c r="B44" s="621"/>
      <c r="C44" s="607"/>
      <c r="D44" s="607"/>
      <c r="E44" s="607"/>
      <c r="F44" s="607"/>
      <c r="G44" s="607"/>
      <c r="H44" s="610"/>
      <c r="I44" s="611"/>
      <c r="J44" s="611"/>
      <c r="K44" s="617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18"/>
      <c r="I45" s="619"/>
      <c r="J45" s="619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2"/>
      <c r="I46" s="613"/>
      <c r="J46" s="613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2"/>
      <c r="I47" s="613"/>
      <c r="J47" s="613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2"/>
      <c r="I48" s="613"/>
      <c r="J48" s="613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04"/>
      <c r="I49" s="605"/>
      <c r="J49" s="605"/>
      <c r="K49" s="172"/>
    </row>
    <row r="50" spans="2:11" ht="13.5" hidden="1" thickBot="1">
      <c r="B50" s="173"/>
      <c r="C50" s="160"/>
      <c r="E50" s="168"/>
      <c r="F50" s="168"/>
      <c r="G50" s="145"/>
      <c r="H50" s="604"/>
      <c r="I50" s="605"/>
      <c r="J50" s="605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04"/>
      <c r="I51" s="605"/>
      <c r="J51" s="605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95"/>
      <c r="I52" s="596"/>
      <c r="J52" s="596"/>
      <c r="K52" s="183"/>
    </row>
    <row r="53" spans="2:11" ht="13.5" thickBot="1">
      <c r="B53" s="184"/>
      <c r="C53" s="117"/>
      <c r="D53" s="597" t="s">
        <v>80</v>
      </c>
      <c r="E53" s="597"/>
      <c r="F53" s="597"/>
      <c r="G53" s="597"/>
      <c r="H53" s="597"/>
      <c r="I53" s="597"/>
      <c r="J53" s="597"/>
      <c r="K53" s="185"/>
    </row>
    <row r="54" spans="2:11" ht="13.5" thickBot="1">
      <c r="B54" s="598" t="s">
        <v>55</v>
      </c>
      <c r="C54" s="599"/>
      <c r="D54" s="599"/>
      <c r="E54" s="600"/>
      <c r="F54" s="598" t="s">
        <v>56</v>
      </c>
      <c r="G54" s="599"/>
      <c r="H54" s="600"/>
      <c r="I54" s="601" t="s">
        <v>81</v>
      </c>
      <c r="J54" s="602"/>
      <c r="K54" s="603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'[35]YTD 2026'!$E5</f>
        <v>6.4212237388062769</v>
      </c>
      <c r="E56" s="192">
        <v>5</v>
      </c>
      <c r="F56" s="191"/>
      <c r="G56" s="76">
        <f>[14]June_2026!$AQ3</f>
        <v>6.2952262389564053</v>
      </c>
      <c r="H56" s="192">
        <v>5</v>
      </c>
      <c r="I56" s="193"/>
      <c r="J56" s="194">
        <f>[15]June_2026!$AQ13</f>
        <v>0.51983647128918364</v>
      </c>
      <c r="K56" s="195">
        <v>1</v>
      </c>
    </row>
    <row r="57" spans="2:11" ht="15">
      <c r="B57" s="33" t="s">
        <v>72</v>
      </c>
      <c r="C57" s="191"/>
      <c r="D57" s="76">
        <f>'[35]YTD 2026'!$E6</f>
        <v>5.8993893414814869</v>
      </c>
      <c r="E57" s="192">
        <v>5</v>
      </c>
      <c r="F57" s="191"/>
      <c r="G57" s="76">
        <f>[14]June_2026!$AQ4</f>
        <v>5.6218333761731296</v>
      </c>
      <c r="H57" s="192">
        <v>5</v>
      </c>
      <c r="I57" s="196"/>
      <c r="J57" s="194">
        <f>[15]June_2026!$AQ14</f>
        <v>0.69593128532610038</v>
      </c>
      <c r="K57" s="195">
        <v>1</v>
      </c>
    </row>
    <row r="58" spans="2:11" ht="15">
      <c r="B58" s="34" t="s">
        <v>73</v>
      </c>
      <c r="C58" s="191"/>
      <c r="D58" s="76">
        <f>'[35]YTD 2026'!$E7</f>
        <v>11.596009975062332</v>
      </c>
      <c r="E58" s="192">
        <v>5</v>
      </c>
      <c r="F58" s="191"/>
      <c r="G58" s="76">
        <f>[14]June_2026!$AQ5</f>
        <v>12.705454422449741</v>
      </c>
      <c r="H58" s="192">
        <v>5</v>
      </c>
      <c r="I58" s="196"/>
      <c r="J58" s="194">
        <f>[15]June_2026!$AQ15</f>
        <v>0.25516722361459199</v>
      </c>
      <c r="K58" s="195">
        <v>1</v>
      </c>
    </row>
    <row r="59" spans="2:11" ht="15">
      <c r="B59" s="197" t="s">
        <v>74</v>
      </c>
      <c r="C59" s="191"/>
      <c r="D59" s="76">
        <f>'[35]YTD 2026'!$E8</f>
        <v>4.7166249493098773</v>
      </c>
      <c r="E59" s="192">
        <v>3.5</v>
      </c>
      <c r="F59" s="191"/>
      <c r="G59" s="76">
        <f>[14]June_2026!$AQ6</f>
        <v>4.7393662692065543</v>
      </c>
      <c r="H59" s="192">
        <v>3.5</v>
      </c>
      <c r="I59" s="196"/>
      <c r="J59" s="194">
        <f>[15]June_2026!$AQ16</f>
        <v>0.73604010025062661</v>
      </c>
      <c r="K59" s="195">
        <v>1</v>
      </c>
    </row>
    <row r="60" spans="2:11" ht="15.75" thickBot="1">
      <c r="B60" s="38" t="s">
        <v>160</v>
      </c>
      <c r="C60" s="191"/>
      <c r="D60" s="76" t="e">
        <f>'[35]YTD 2026'!$E9</f>
        <v>#DIV/0!</v>
      </c>
      <c r="E60" s="192">
        <v>3.5</v>
      </c>
      <c r="F60" s="198"/>
      <c r="G60" s="76" t="e">
        <f>[14]June_2026!$AQ7</f>
        <v>#DIV/0!</v>
      </c>
      <c r="H60" s="192">
        <v>3.5</v>
      </c>
      <c r="I60" s="196"/>
      <c r="J60" s="194" t="e">
        <f>[15]June_2026!$AQ17</f>
        <v>#DIV/0!</v>
      </c>
      <c r="K60" s="195">
        <v>1</v>
      </c>
    </row>
    <row r="61" spans="2:11" ht="15">
      <c r="B61" s="199" t="s">
        <v>76</v>
      </c>
      <c r="C61" s="191"/>
      <c r="D61" s="76">
        <f>'[35]YTD 2026'!$E10</f>
        <v>5.1541347251672045</v>
      </c>
      <c r="E61" s="200">
        <v>5</v>
      </c>
      <c r="F61" s="191"/>
      <c r="G61" s="76">
        <f>[14]June_2026!$AQ8</f>
        <v>7.4989046872874194</v>
      </c>
      <c r="H61" s="200">
        <v>5</v>
      </c>
      <c r="I61" s="196"/>
      <c r="J61" s="194">
        <f>[15]June_2026!$AQ18</f>
        <v>1.0201754385964912</v>
      </c>
      <c r="K61" s="195">
        <v>1</v>
      </c>
    </row>
    <row r="62" spans="2:11" ht="15">
      <c r="B62" s="201" t="s">
        <v>82</v>
      </c>
      <c r="C62" s="202"/>
      <c r="D62" s="76">
        <f>'[35]YTD 2026'!$E11</f>
        <v>3.7425354424032347</v>
      </c>
      <c r="E62" s="200">
        <v>3.3</v>
      </c>
      <c r="F62" s="202"/>
      <c r="G62" s="76">
        <f>[14]June_2026!$AQ9</f>
        <v>4.8813740630219202</v>
      </c>
      <c r="H62" s="200">
        <v>3.3</v>
      </c>
      <c r="I62" s="203"/>
      <c r="J62" s="194">
        <f>[15]June_2026!$AQ19</f>
        <v>0.82729694606887583</v>
      </c>
      <c r="K62" s="204">
        <v>1</v>
      </c>
    </row>
    <row r="63" spans="2:11" ht="15.75" thickBot="1">
      <c r="B63" s="38" t="s">
        <v>128</v>
      </c>
      <c r="C63" s="205"/>
      <c r="D63" s="76" t="e">
        <f>'[35]YTD 2026'!$E12</f>
        <v>#DIV/0!</v>
      </c>
      <c r="E63" s="206">
        <v>3.5</v>
      </c>
      <c r="F63" s="205"/>
      <c r="G63" s="76" t="e">
        <f>[14]June_2026!$AQ10</f>
        <v>#DIV/0!</v>
      </c>
      <c r="H63" s="206">
        <v>3.5</v>
      </c>
      <c r="I63" s="207"/>
      <c r="J63" s="194" t="e">
        <f>[15]June_2026!$AQ20</f>
        <v>#DIV/0!</v>
      </c>
      <c r="K63" s="208">
        <v>1</v>
      </c>
    </row>
    <row r="64" spans="2:11" ht="15.75" thickBot="1">
      <c r="B64" s="413" t="s">
        <v>159</v>
      </c>
      <c r="C64" s="205"/>
      <c r="D64" s="76" t="e">
        <f>'[35]YTD 2026'!$E13</f>
        <v>#DIV/0!</v>
      </c>
      <c r="E64" s="206">
        <v>5</v>
      </c>
      <c r="F64" s="205"/>
      <c r="G64" s="76" t="e">
        <f>[14]June_2026!$AQ11</f>
        <v>#DIV/0!</v>
      </c>
      <c r="H64" s="206">
        <v>5</v>
      </c>
      <c r="I64" s="207"/>
      <c r="J64" s="194" t="e">
        <f>[15]June_2026!$AQ21</f>
        <v>#DIV/0!</v>
      </c>
      <c r="K64" s="208">
        <v>1</v>
      </c>
    </row>
    <row r="65" spans="2:11">
      <c r="B65" s="209"/>
      <c r="C65" s="210"/>
      <c r="D65" s="76">
        <f>'[35]YTD 2026'!$E14</f>
        <v>6.2919136350539713</v>
      </c>
      <c r="E65" s="210"/>
      <c r="F65" s="210"/>
      <c r="G65" s="76">
        <f>[14]June_2026!$AQ12</f>
        <v>6.4672291368290118</v>
      </c>
      <c r="H65" s="211"/>
      <c r="I65" s="212"/>
      <c r="J65" s="194">
        <f>[15]June_2026!$AQ22</f>
        <v>0.58405106775202464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29" t="s">
        <v>34</v>
      </c>
      <c r="C2" s="629"/>
      <c r="D2" s="629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29" t="s">
        <v>100</v>
      </c>
      <c r="C14" s="629"/>
      <c r="D14" s="629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29" t="s">
        <v>101</v>
      </c>
      <c r="C27" s="629"/>
      <c r="D27" s="629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31" t="s">
        <v>102</v>
      </c>
      <c r="D3" s="632"/>
      <c r="E3" s="633">
        <f ca="1">TODAY()</f>
        <v>46210</v>
      </c>
      <c r="F3" s="633"/>
      <c r="G3" s="633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34" t="s">
        <v>143</v>
      </c>
      <c r="D14" s="634"/>
      <c r="E14" s="634"/>
      <c r="F14" s="634"/>
      <c r="G14" s="634"/>
      <c r="H14" s="634"/>
    </row>
    <row r="15" spans="3:23" ht="15" customHeight="1">
      <c r="C15" s="634"/>
      <c r="D15" s="634"/>
      <c r="E15" s="634"/>
      <c r="F15" s="634"/>
      <c r="G15" s="634"/>
      <c r="H15" s="634"/>
    </row>
    <row r="16" spans="3:23" ht="15" customHeight="1">
      <c r="C16" s="634"/>
      <c r="D16" s="634"/>
      <c r="E16" s="634"/>
      <c r="F16" s="634"/>
      <c r="G16" s="634"/>
      <c r="H16" s="634"/>
    </row>
    <row r="17" spans="3:8" ht="15" customHeight="1">
      <c r="C17" s="634"/>
      <c r="D17" s="634"/>
      <c r="E17" s="634"/>
      <c r="F17" s="634"/>
      <c r="G17" s="634"/>
      <c r="H17" s="634"/>
    </row>
    <row r="18" spans="3:8" ht="15" customHeight="1">
      <c r="C18" s="634"/>
      <c r="D18" s="634"/>
      <c r="E18" s="634"/>
      <c r="F18" s="634"/>
      <c r="G18" s="634"/>
      <c r="H18" s="634"/>
    </row>
    <row r="19" spans="3:8" ht="15" customHeight="1">
      <c r="C19" s="634"/>
      <c r="D19" s="634"/>
      <c r="E19" s="634"/>
      <c r="F19" s="634"/>
      <c r="G19" s="634"/>
      <c r="H19" s="634"/>
    </row>
    <row r="20" spans="3:8" ht="15" customHeight="1">
      <c r="C20" s="634"/>
      <c r="D20" s="634"/>
      <c r="E20" s="634"/>
      <c r="F20" s="634"/>
      <c r="G20" s="634"/>
      <c r="H20" s="634"/>
    </row>
    <row r="21" spans="3:8" ht="15" customHeight="1">
      <c r="C21" s="634"/>
      <c r="D21" s="634"/>
      <c r="E21" s="634"/>
      <c r="F21" s="634"/>
      <c r="G21" s="634"/>
      <c r="H21" s="634"/>
    </row>
    <row r="22" spans="3:8" ht="15" customHeight="1">
      <c r="C22" s="634"/>
      <c r="D22" s="634"/>
      <c r="E22" s="634"/>
      <c r="F22" s="634"/>
      <c r="G22" s="634"/>
      <c r="H22" s="634"/>
    </row>
    <row r="23" spans="3:8" ht="15" customHeight="1">
      <c r="C23" s="634"/>
      <c r="D23" s="634"/>
      <c r="E23" s="634"/>
      <c r="F23" s="634"/>
      <c r="G23" s="634"/>
      <c r="H23" s="634"/>
    </row>
    <row r="24" spans="3:8" ht="15" customHeight="1">
      <c r="C24" s="634"/>
      <c r="D24" s="634"/>
      <c r="E24" s="634"/>
      <c r="F24" s="634"/>
      <c r="G24" s="634"/>
      <c r="H24" s="634"/>
    </row>
    <row r="25" spans="3:8" ht="15" customHeight="1">
      <c r="C25" s="634"/>
      <c r="D25" s="634"/>
      <c r="E25" s="634"/>
      <c r="F25" s="634"/>
      <c r="G25" s="634"/>
      <c r="H25" s="634"/>
    </row>
    <row r="26" spans="3:8" ht="15" customHeight="1">
      <c r="C26" s="634"/>
      <c r="D26" s="634"/>
      <c r="E26" s="634"/>
      <c r="F26" s="634"/>
      <c r="G26" s="634"/>
      <c r="H26" s="634"/>
    </row>
    <row r="27" spans="3:8" ht="15" customHeight="1">
      <c r="C27" s="634"/>
      <c r="D27" s="634"/>
      <c r="E27" s="634"/>
      <c r="F27" s="634"/>
      <c r="G27" s="634"/>
      <c r="H27" s="634"/>
    </row>
    <row r="28" spans="3:8" ht="15" customHeight="1">
      <c r="C28" s="634"/>
      <c r="D28" s="634"/>
      <c r="E28" s="634"/>
      <c r="F28" s="634"/>
      <c r="G28" s="634"/>
      <c r="H28" s="634"/>
    </row>
    <row r="29" spans="3:8" ht="15" customHeight="1">
      <c r="C29" s="634"/>
      <c r="D29" s="634"/>
      <c r="E29" s="634"/>
      <c r="F29" s="634"/>
      <c r="G29" s="634"/>
      <c r="H29" s="634"/>
    </row>
    <row r="30" spans="3:8" ht="15" customHeight="1">
      <c r="C30" s="634"/>
      <c r="D30" s="634"/>
      <c r="E30" s="634"/>
      <c r="F30" s="634"/>
      <c r="G30" s="634"/>
      <c r="H30" s="634"/>
    </row>
    <row r="31" spans="3:8" ht="15" customHeight="1">
      <c r="C31" s="634"/>
      <c r="D31" s="634"/>
      <c r="E31" s="634"/>
      <c r="F31" s="634"/>
      <c r="G31" s="634"/>
      <c r="H31" s="634"/>
    </row>
    <row r="36" spans="2:17" ht="15" customHeight="1"/>
    <row r="37" spans="2:17" ht="15" customHeight="1"/>
    <row r="38" spans="2:17" ht="30.75" customHeight="1" thickBot="1">
      <c r="C38" s="635" t="s">
        <v>109</v>
      </c>
      <c r="D38" s="635"/>
      <c r="E38" s="635"/>
      <c r="F38" s="636">
        <f ca="1">TODAY()</f>
        <v>46210</v>
      </c>
      <c r="G38" s="636"/>
      <c r="H38" s="636"/>
      <c r="I38" s="636"/>
      <c r="J38" s="637" t="s">
        <v>110</v>
      </c>
      <c r="K38" s="637"/>
      <c r="L38" s="637"/>
      <c r="M38" s="637"/>
      <c r="N38" s="637"/>
      <c r="O38" s="637"/>
      <c r="P38" s="637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'[40]Brewer Performance'!D40</f>
        <v>96.507822129582451</v>
      </c>
      <c r="E40" s="259">
        <f>AVERAGE('[41]Feb. 1'!I12:I13,'[41]Feb. 2'!I11:I14,[41]Feb.4!I13,[41]Feb.8!I14:I16,[41]Feb.9!I14,[41]Feb.9!I17:I18,[41]Feb10!I13:I16,[41]Feb14!I17,[41]Feb14!I15:I17,[41]Feb17!I10,[41]Feb17!I19:I21,'[41]Feb 21'!I10:I12,'[41]Feb 22'!I11:I13,'[41]Feb 23'!I14:I16,'[41]Feb 24'!I10:I12,'[41]Feb 25'!I13:I15,'[41]Feb 28'!I15:I18)</f>
        <v>98.284801217583563</v>
      </c>
      <c r="F40" s="259">
        <v>98.226686244092193</v>
      </c>
      <c r="G40" s="259">
        <v>98.210530202427222</v>
      </c>
      <c r="H40" s="259">
        <f>'[42]Brewer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'[40]Brewer Performance'!D41</f>
        <v>97.99738587335284</v>
      </c>
      <c r="E41" s="259">
        <f>AVERAGE('[41]Feb. 1'!I10:I11,'[41]Feb. 2'!I10,[41]Feb.3!I11:I13,[41]Feb.4!I10:I12,[41]Feb.8!I10,[41]Feb.8!I13,[41]Feb.9!I10:I13,[41]Feb10!I10:I12,[41]Feb11!I11:I13,[41]Feb14!I13:I14,[41]Feb17!I16:I18,[41]Feb18!I13:I15,'[41]Feb 21'!I17:I19,'[41]Feb 22'!I10,'[41]Feb 22'!I20:I22,'[41]Feb 23'!I10:I11,'[41]Feb 23'!I21,'[41]Feb 25'!I10:I12,'[41]Feb 28'!I11:I14)</f>
        <v>97.918121549662388</v>
      </c>
      <c r="F41" s="259">
        <v>98.070081368185257</v>
      </c>
      <c r="G41" s="259">
        <v>97.79453968977019</v>
      </c>
      <c r="H41" s="259">
        <f>'[42]Brewer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'[40]Brewer Performance'!D43</f>
        <v>98.304611060419475</v>
      </c>
      <c r="E44" s="259">
        <f>AVERAGE('[41]Feb. 2'!I15,[41]Feb.3!I10,[41]Feb.4!I16:I17,[41]Feb.8!I19:I21,[41]Feb.9!I19:I20,[41]Feb10!I17:I18,[41]Feb11!I10,[41]Feb14!I10:I12,[41]Feb17!I11:I13,[41]Feb18!I10:I12,'[41]Feb 21'!I13,'[41]Feb 21'!I16,'[41]Feb 22'!I16:I19,'[41]Feb 23'!I17:I20,'[41]Feb 24'!I15:I18,'[41]Feb 25'!I16:I17,'[41]Feb 28'!I10,'[41]Feb 28'!I19:I20)</f>
        <v>97.289162940824014</v>
      </c>
      <c r="F44" s="259">
        <v>98.163642226187022</v>
      </c>
      <c r="G44" s="259">
        <v>97.964054285784258</v>
      </c>
      <c r="H44" s="259">
        <f>'[42]Brewer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'[40]Brewer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'[40]Brewer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30" t="s">
        <v>123</v>
      </c>
      <c r="C48" s="630"/>
      <c r="D48" s="630"/>
      <c r="E48" s="630"/>
      <c r="F48" s="630"/>
      <c r="G48" s="630"/>
      <c r="H48" s="630"/>
      <c r="I48" s="630"/>
      <c r="J48" s="630"/>
      <c r="K48" s="630"/>
      <c r="L48" s="630"/>
      <c r="M48" s="630"/>
      <c r="N48" s="630"/>
      <c r="O48" s="630"/>
      <c r="P48" s="630"/>
      <c r="Q48" s="630"/>
    </row>
    <row r="49" spans="2:17" ht="15" customHeight="1">
      <c r="B49" s="630"/>
      <c r="C49" s="630"/>
      <c r="D49" s="630"/>
      <c r="E49" s="630"/>
      <c r="F49" s="630"/>
      <c r="G49" s="630"/>
      <c r="H49" s="630"/>
      <c r="I49" s="630"/>
      <c r="J49" s="630"/>
      <c r="K49" s="630"/>
      <c r="L49" s="630"/>
      <c r="M49" s="630"/>
      <c r="N49" s="630"/>
      <c r="O49" s="630"/>
      <c r="P49" s="630"/>
      <c r="Q49" s="630"/>
    </row>
    <row r="50" spans="2:17" ht="15" customHeight="1"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0"/>
      <c r="P50" s="630"/>
      <c r="Q50" s="630"/>
    </row>
    <row r="51" spans="2:17" ht="15" customHeight="1">
      <c r="B51" s="630"/>
      <c r="C51" s="630"/>
      <c r="D51" s="630"/>
      <c r="E51" s="630"/>
      <c r="F51" s="630"/>
      <c r="G51" s="630"/>
      <c r="H51" s="630"/>
      <c r="I51" s="630"/>
      <c r="J51" s="630"/>
      <c r="K51" s="630"/>
      <c r="L51" s="630"/>
      <c r="M51" s="630"/>
      <c r="N51" s="630"/>
      <c r="O51" s="630"/>
      <c r="P51" s="630"/>
      <c r="Q51" s="630"/>
    </row>
    <row r="52" spans="2:17" ht="15" customHeight="1">
      <c r="B52" s="630"/>
      <c r="C52" s="630"/>
      <c r="D52" s="630"/>
      <c r="E52" s="630"/>
      <c r="F52" s="630"/>
      <c r="G52" s="630"/>
      <c r="H52" s="630"/>
      <c r="I52" s="630"/>
      <c r="J52" s="630"/>
      <c r="K52" s="630"/>
      <c r="L52" s="630"/>
      <c r="M52" s="630"/>
      <c r="N52" s="630"/>
      <c r="O52" s="630"/>
      <c r="P52" s="630"/>
      <c r="Q52" s="630"/>
    </row>
    <row r="53" spans="2:17" ht="15" customHeight="1">
      <c r="B53" s="630"/>
      <c r="C53" s="630"/>
      <c r="D53" s="630"/>
      <c r="E53" s="630"/>
      <c r="F53" s="630"/>
      <c r="G53" s="630"/>
      <c r="H53" s="630"/>
      <c r="I53" s="630"/>
      <c r="J53" s="630"/>
      <c r="K53" s="630"/>
      <c r="L53" s="630"/>
      <c r="M53" s="630"/>
      <c r="N53" s="630"/>
      <c r="O53" s="630"/>
      <c r="P53" s="630"/>
      <c r="Q53" s="630"/>
    </row>
    <row r="54" spans="2:17" ht="15" customHeight="1">
      <c r="B54" s="630"/>
      <c r="C54" s="630"/>
      <c r="D54" s="630"/>
      <c r="E54" s="630"/>
      <c r="F54" s="630"/>
      <c r="G54" s="630"/>
      <c r="H54" s="630"/>
      <c r="I54" s="630"/>
      <c r="J54" s="630"/>
      <c r="K54" s="630"/>
      <c r="L54" s="630"/>
      <c r="M54" s="630"/>
      <c r="N54" s="630"/>
      <c r="O54" s="630"/>
      <c r="P54" s="630"/>
      <c r="Q54" s="630"/>
    </row>
    <row r="55" spans="2:17" ht="15" customHeight="1">
      <c r="B55" s="630"/>
      <c r="C55" s="630"/>
      <c r="D55" s="630"/>
      <c r="E55" s="630"/>
      <c r="F55" s="630"/>
      <c r="G55" s="630"/>
      <c r="H55" s="630"/>
      <c r="I55" s="630"/>
      <c r="J55" s="630"/>
      <c r="K55" s="630"/>
      <c r="L55" s="630"/>
      <c r="M55" s="630"/>
      <c r="N55" s="630"/>
      <c r="O55" s="630"/>
      <c r="P55" s="630"/>
      <c r="Q55" s="630"/>
    </row>
    <row r="56" spans="2:17" ht="15" customHeight="1">
      <c r="B56" s="630"/>
      <c r="C56" s="630"/>
      <c r="D56" s="630"/>
      <c r="E56" s="630"/>
      <c r="F56" s="630"/>
      <c r="G56" s="630"/>
      <c r="H56" s="630"/>
      <c r="I56" s="630"/>
      <c r="J56" s="630"/>
      <c r="K56" s="630"/>
      <c r="L56" s="630"/>
      <c r="M56" s="630"/>
      <c r="N56" s="630"/>
      <c r="O56" s="630"/>
      <c r="P56" s="630"/>
      <c r="Q56" s="630"/>
    </row>
    <row r="57" spans="2:17" ht="15" customHeight="1">
      <c r="B57" s="630"/>
      <c r="C57" s="630"/>
      <c r="D57" s="630"/>
      <c r="E57" s="630"/>
      <c r="F57" s="630"/>
      <c r="G57" s="630"/>
      <c r="H57" s="630"/>
      <c r="I57" s="630"/>
      <c r="J57" s="630"/>
      <c r="K57" s="630"/>
      <c r="L57" s="630"/>
      <c r="M57" s="630"/>
      <c r="N57" s="630"/>
      <c r="O57" s="630"/>
      <c r="P57" s="630"/>
      <c r="Q57" s="630"/>
    </row>
    <row r="58" spans="2:17" ht="15" customHeight="1"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0"/>
      <c r="P58" s="630"/>
      <c r="Q58" s="630"/>
    </row>
    <row r="59" spans="2:17" ht="15" customHeight="1">
      <c r="B59" s="630"/>
      <c r="C59" s="630"/>
      <c r="D59" s="630"/>
      <c r="E59" s="630"/>
      <c r="F59" s="630"/>
      <c r="G59" s="630"/>
      <c r="H59" s="630"/>
      <c r="I59" s="630"/>
      <c r="J59" s="630"/>
      <c r="K59" s="630"/>
      <c r="L59" s="630"/>
      <c r="M59" s="630"/>
      <c r="N59" s="630"/>
      <c r="O59" s="630"/>
      <c r="P59" s="630"/>
      <c r="Q59" s="630"/>
    </row>
    <row r="60" spans="2:17" ht="15" customHeight="1">
      <c r="B60" s="630"/>
      <c r="C60" s="630"/>
      <c r="D60" s="630"/>
      <c r="E60" s="630"/>
      <c r="F60" s="630"/>
      <c r="G60" s="630"/>
      <c r="H60" s="630"/>
      <c r="I60" s="630"/>
      <c r="J60" s="630"/>
      <c r="K60" s="630"/>
      <c r="L60" s="630"/>
      <c r="M60" s="630"/>
      <c r="N60" s="630"/>
      <c r="O60" s="630"/>
      <c r="P60" s="630"/>
      <c r="Q60" s="630"/>
    </row>
    <row r="61" spans="2:17" ht="15" customHeight="1">
      <c r="B61" s="630"/>
      <c r="C61" s="630"/>
      <c r="D61" s="630"/>
      <c r="E61" s="630"/>
      <c r="F61" s="630"/>
      <c r="G61" s="630"/>
      <c r="H61" s="630"/>
      <c r="I61" s="630"/>
      <c r="J61" s="630"/>
      <c r="K61" s="630"/>
      <c r="L61" s="630"/>
      <c r="M61" s="630"/>
      <c r="N61" s="630"/>
      <c r="O61" s="630"/>
      <c r="P61" s="630"/>
      <c r="Q61" s="630"/>
    </row>
    <row r="62" spans="2:17" ht="15" customHeight="1">
      <c r="B62" s="630"/>
      <c r="C62" s="630"/>
      <c r="D62" s="630"/>
      <c r="E62" s="630"/>
      <c r="F62" s="630"/>
      <c r="G62" s="630"/>
      <c r="H62" s="630"/>
      <c r="I62" s="630"/>
      <c r="J62" s="630"/>
      <c r="K62" s="630"/>
      <c r="L62" s="630"/>
      <c r="M62" s="630"/>
      <c r="N62" s="630"/>
      <c r="O62" s="630"/>
      <c r="P62" s="630"/>
      <c r="Q62" s="630"/>
    </row>
    <row r="63" spans="2:17" ht="15" customHeight="1">
      <c r="B63" s="630"/>
      <c r="C63" s="630"/>
      <c r="D63" s="630"/>
      <c r="E63" s="630"/>
      <c r="F63" s="630"/>
      <c r="G63" s="630"/>
      <c r="H63" s="630"/>
      <c r="I63" s="630"/>
      <c r="J63" s="630"/>
      <c r="K63" s="630"/>
      <c r="L63" s="630"/>
      <c r="M63" s="630"/>
      <c r="N63" s="630"/>
      <c r="O63" s="630"/>
      <c r="P63" s="630"/>
      <c r="Q63" s="630"/>
    </row>
    <row r="64" spans="2:17" ht="15" customHeight="1"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0"/>
      <c r="Q64" s="630"/>
    </row>
    <row r="65" spans="2:17" ht="15" customHeight="1">
      <c r="B65" s="630"/>
      <c r="C65" s="630"/>
      <c r="D65" s="630"/>
      <c r="E65" s="630"/>
      <c r="F65" s="630"/>
      <c r="G65" s="630"/>
      <c r="H65" s="630"/>
      <c r="I65" s="630"/>
      <c r="J65" s="630"/>
      <c r="K65" s="630"/>
      <c r="L65" s="630"/>
      <c r="M65" s="630"/>
      <c r="N65" s="630"/>
      <c r="O65" s="630"/>
      <c r="P65" s="630"/>
      <c r="Q65" s="630"/>
    </row>
    <row r="66" spans="2:17" ht="15" customHeight="1">
      <c r="B66" s="630"/>
      <c r="C66" s="630"/>
      <c r="D66" s="630"/>
      <c r="E66" s="630"/>
      <c r="F66" s="630"/>
      <c r="G66" s="630"/>
      <c r="H66" s="630"/>
      <c r="I66" s="630"/>
      <c r="J66" s="630"/>
      <c r="K66" s="630"/>
      <c r="L66" s="630"/>
      <c r="M66" s="630"/>
      <c r="N66" s="630"/>
      <c r="O66" s="630"/>
      <c r="P66" s="630"/>
      <c r="Q66" s="630"/>
    </row>
    <row r="67" spans="2:17" ht="15" customHeight="1"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0"/>
      <c r="Q67" s="630"/>
    </row>
    <row r="68" spans="2:17" ht="15" customHeight="1">
      <c r="B68" s="630"/>
      <c r="C68" s="630"/>
      <c r="D68" s="630"/>
      <c r="E68" s="630"/>
      <c r="F68" s="630"/>
      <c r="G68" s="630"/>
      <c r="H68" s="630"/>
      <c r="I68" s="630"/>
      <c r="J68" s="630"/>
      <c r="K68" s="630"/>
      <c r="L68" s="630"/>
      <c r="M68" s="630"/>
      <c r="N68" s="630"/>
      <c r="O68" s="630"/>
      <c r="P68" s="630"/>
      <c r="Q68" s="630"/>
    </row>
    <row r="69" spans="2:17" ht="15" customHeight="1"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0"/>
      <c r="P69" s="630"/>
      <c r="Q69" s="630"/>
    </row>
    <row r="70" spans="2:17" ht="15" customHeight="1">
      <c r="B70" s="630"/>
      <c r="C70" s="630"/>
      <c r="D70" s="630"/>
      <c r="E70" s="630"/>
      <c r="F70" s="630"/>
      <c r="G70" s="630"/>
      <c r="H70" s="630"/>
      <c r="I70" s="630"/>
      <c r="J70" s="630"/>
      <c r="K70" s="630"/>
      <c r="L70" s="630"/>
      <c r="M70" s="630"/>
      <c r="N70" s="630"/>
      <c r="O70" s="630"/>
      <c r="P70" s="630"/>
      <c r="Q70" s="630"/>
    </row>
    <row r="71" spans="2:17" ht="15" customHeight="1">
      <c r="B71" s="630"/>
      <c r="C71" s="630"/>
      <c r="D71" s="630"/>
      <c r="E71" s="630"/>
      <c r="F71" s="630"/>
      <c r="G71" s="630"/>
      <c r="H71" s="630"/>
      <c r="I71" s="630"/>
      <c r="J71" s="630"/>
      <c r="K71" s="630"/>
      <c r="L71" s="630"/>
      <c r="M71" s="630"/>
      <c r="N71" s="630"/>
      <c r="O71" s="630"/>
      <c r="P71" s="630"/>
      <c r="Q71" s="630"/>
    </row>
    <row r="72" spans="2:17" ht="15" customHeight="1">
      <c r="B72" s="630"/>
      <c r="C72" s="630"/>
      <c r="D72" s="630"/>
      <c r="E72" s="630"/>
      <c r="F72" s="630"/>
      <c r="G72" s="630"/>
      <c r="H72" s="630"/>
      <c r="I72" s="630"/>
      <c r="J72" s="630"/>
      <c r="K72" s="630"/>
      <c r="L72" s="630"/>
      <c r="M72" s="630"/>
      <c r="N72" s="630"/>
      <c r="O72" s="630"/>
      <c r="P72" s="630"/>
      <c r="Q72" s="630"/>
    </row>
    <row r="73" spans="2:17" ht="15" customHeight="1">
      <c r="B73" s="630"/>
      <c r="C73" s="630"/>
      <c r="D73" s="630"/>
      <c r="E73" s="630"/>
      <c r="F73" s="630"/>
      <c r="G73" s="630"/>
      <c r="H73" s="630"/>
      <c r="I73" s="630"/>
      <c r="J73" s="630"/>
      <c r="K73" s="630"/>
      <c r="L73" s="630"/>
      <c r="M73" s="630"/>
      <c r="N73" s="630"/>
      <c r="O73" s="630"/>
      <c r="P73" s="630"/>
      <c r="Q73" s="630"/>
    </row>
    <row r="74" spans="2:17" ht="15" customHeight="1">
      <c r="B74" s="630"/>
      <c r="C74" s="630"/>
      <c r="D74" s="630"/>
      <c r="E74" s="630"/>
      <c r="F74" s="630"/>
      <c r="G74" s="630"/>
      <c r="H74" s="630"/>
      <c r="I74" s="630"/>
      <c r="J74" s="630"/>
      <c r="K74" s="630"/>
      <c r="L74" s="630"/>
      <c r="M74" s="630"/>
      <c r="N74" s="630"/>
      <c r="O74" s="630"/>
      <c r="P74" s="630"/>
      <c r="Q74" s="630"/>
    </row>
    <row r="75" spans="2:17" ht="15" customHeight="1">
      <c r="B75" s="630"/>
      <c r="C75" s="630"/>
      <c r="D75" s="630"/>
      <c r="E75" s="630"/>
      <c r="F75" s="630"/>
      <c r="G75" s="630"/>
      <c r="H75" s="630"/>
      <c r="I75" s="630"/>
      <c r="J75" s="630"/>
      <c r="K75" s="630"/>
      <c r="L75" s="630"/>
      <c r="M75" s="630"/>
      <c r="N75" s="630"/>
      <c r="O75" s="630"/>
      <c r="P75" s="630"/>
      <c r="Q75" s="630"/>
    </row>
    <row r="76" spans="2:17"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0"/>
      <c r="P76" s="630"/>
      <c r="Q76" s="630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Dec 18th</vt:lpstr>
      <vt:lpstr>June 2nd</vt:lpstr>
      <vt:lpstr>June 3rd</vt:lpstr>
      <vt:lpstr>June 4th</vt:lpstr>
      <vt:lpstr>June 5th</vt:lpstr>
      <vt:lpstr>June 8th</vt:lpstr>
      <vt:lpstr>June 9th</vt:lpstr>
      <vt:lpstr>June 12th </vt:lpstr>
      <vt:lpstr>June 15th </vt:lpstr>
      <vt:lpstr>June 16th</vt:lpstr>
      <vt:lpstr>June 17th </vt:lpstr>
      <vt:lpstr>June 18th </vt:lpstr>
      <vt:lpstr>June 21st</vt:lpstr>
      <vt:lpstr>June 22nd</vt:lpstr>
      <vt:lpstr>June 23rd</vt:lpstr>
      <vt:lpstr>June 24th</vt:lpstr>
      <vt:lpstr>June 25th </vt:lpstr>
      <vt:lpstr>June 26th </vt:lpstr>
      <vt:lpstr>June 27th-28th</vt:lpstr>
      <vt:lpstr>June 29th</vt:lpstr>
      <vt:lpstr>June 30th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2024-01-26T11:36:30Z</cp:lastPrinted>
  <dcterms:created xsi:type="dcterms:W3CDTF">2020-01-28T18:21:11Z</dcterms:created>
  <dcterms:modified xsi:type="dcterms:W3CDTF">2026-07-07T18:05:24Z</dcterms:modified>
</cp:coreProperties>
</file>