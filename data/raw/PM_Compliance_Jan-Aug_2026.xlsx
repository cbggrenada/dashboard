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Jan PM" sheetId="2" state="visible" r:id="rId4"/>
    <sheet name="Feb PM" sheetId="3" state="visible" r:id="rId5"/>
    <sheet name="Mar PM" sheetId="4" state="visible" r:id="rId6"/>
    <sheet name="Apr PM" sheetId="5" state="visible" r:id="rId7"/>
    <sheet name="May PM" sheetId="6" state="visible" r:id="rId8"/>
    <sheet name="Jun PM" sheetId="7" state="visible" r:id="rId9"/>
    <sheet name="Jul PM" sheetId="8" state="visible" r:id="rId10"/>
    <sheet name="Aug PM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January 2026, from the SCTCM report (slide 7).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February 2026, from the SCTCM report (slide 8).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March 2026, from the SCTCM report (slide 8).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April 2026, from the SCTCM report (slide 7).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May 2026, from the SCTCM report (slide 7).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June 2026, from the SCTCM report (slide 7).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July 2026, from the SCTCM report (slide 8).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Maintenance Compliance, August 2026, from the SCTCM report (slide 7 (scorecard picture)).</t>
        </r>
      </text>
    </comment>
  </commentList>
</comments>
</file>

<file path=xl/sharedStrings.xml><?xml version="1.0" encoding="utf-8"?>
<sst xmlns="http://schemas.openxmlformats.org/spreadsheetml/2006/main" count="79" uniqueCount="41">
  <si>
    <t xml:space="preserve">Maintenance compliance 2026 (from the monthly SCTCM reports)</t>
  </si>
  <si>
    <t xml:space="preserve">Each month sheet holds the figure reported on that month's SCTCM KPI scorecard. Blue figures are typed in from the reports; this summary is calculated from them.</t>
  </si>
  <si>
    <t xml:space="preserve">Month</t>
  </si>
  <si>
    <t xml:space="preserve">Sheet</t>
  </si>
  <si>
    <t xml:space="preserve">Compliance (month)</t>
  </si>
  <si>
    <t xml:space="preserve">Compliance (year to date)</t>
  </si>
  <si>
    <t xml:space="preserve">Budget</t>
  </si>
  <si>
    <t xml:space="preserve">Last year (month)</t>
  </si>
  <si>
    <t xml:space="preserve">YTD shown in the SCTCM report</t>
  </si>
  <si>
    <t xml:space="preserve">Source</t>
  </si>
  <si>
    <t xml:space="preserve">Jan PM</t>
  </si>
  <si>
    <t xml:space="preserve">–</t>
  </si>
  <si>
    <t xml:space="preserve">CBG - SCTCM report January 2026 (Supply chain).pptx, slide 7</t>
  </si>
  <si>
    <t xml:space="preserve">Feb PM</t>
  </si>
  <si>
    <t xml:space="preserve">CBG - SCTCM report February 2026 (Supply chain).pptx, slide 8</t>
  </si>
  <si>
    <t xml:space="preserve">Mar PM</t>
  </si>
  <si>
    <t xml:space="preserve">CBG - SCTCM report March 2026 (Supply chain).pptx, slide 8</t>
  </si>
  <si>
    <t xml:space="preserve">Apr PM</t>
  </si>
  <si>
    <t xml:space="preserve">CBG - SCTCM report April 2026 (Supply chain).pptx, slide 7</t>
  </si>
  <si>
    <t xml:space="preserve">May PM</t>
  </si>
  <si>
    <t xml:space="preserve">CBG - SCTCM report May 2026 (Supply chain).pptx, slide 7</t>
  </si>
  <si>
    <t xml:space="preserve">Jun PM</t>
  </si>
  <si>
    <t xml:space="preserve">CBG - SCTCM report June 2026 (Supply chain).pptx, slide 7</t>
  </si>
  <si>
    <t xml:space="preserve">Jul PM</t>
  </si>
  <si>
    <t xml:space="preserve">CBG - SCTCM report July 2026 (Supply chain).pptx, slide 8</t>
  </si>
  <si>
    <t xml:space="preserve">Aug PM</t>
  </si>
  <si>
    <t xml:space="preserve">CBG - SCTCM report August 2026 (Supply chain).pptx, slide 7 (scorecard picture)</t>
  </si>
  <si>
    <t xml:space="preserve">Year to date is the average of the monthly figures, the same way the SCTCM reports calculate it (the "YTD shown" column is there to check against).</t>
  </si>
  <si>
    <t xml:space="preserve">August is also in Finished PM Compliance.xlsx as 53.7% (the same result before rounding); with both uploaded the dashboards may show either.</t>
  </si>
  <si>
    <t xml:space="preserve">PM'S PLANNED</t>
  </si>
  <si>
    <t xml:space="preserve">EQUIPMENT</t>
  </si>
  <si>
    <t xml:space="preserve">%</t>
  </si>
  <si>
    <t xml:space="preserve">% COMPLETION</t>
  </si>
  <si>
    <t xml:space="preserve">Overall planned maintenance completion for January 2026, as reported on the KPI scorecard of CBG - SCTCM report January 2026 (Supply chain). Figure by equipment is not in the report.</t>
  </si>
  <si>
    <t xml:space="preserve">Overall planned maintenance completion for February 2026, as reported on the KPI scorecard of CBG - SCTCM report February 2026 (Supply chain). Figure by equipment is not in the report.</t>
  </si>
  <si>
    <t xml:space="preserve">Overall planned maintenance completion for March 2026, as reported on the KPI scorecard of CBG - SCTCM report March 2026 (Supply chain). Figure by equipment is not in the report.</t>
  </si>
  <si>
    <t xml:space="preserve">Overall planned maintenance completion for April 2026, as reported on the KPI scorecard of CBG - SCTCM report April 2026 (Supply chain). Figure by equipment is not in the report.</t>
  </si>
  <si>
    <t xml:space="preserve">Overall planned maintenance completion for May 2026, as reported on the KPI scorecard of CBG - SCTCM report May 2026 (Supply chain). Figure by equipment is not in the report.</t>
  </si>
  <si>
    <t xml:space="preserve">Overall planned maintenance completion for June 2026, as reported on the KPI scorecard of CBG - SCTCM report June 2026 (Supply chain). Figure by equipment is not in the report.</t>
  </si>
  <si>
    <t xml:space="preserve">Overall planned maintenance completion for July 2026, as reported on the KPI scorecard of CBG - SCTCM report July 2026 (Supply chain). Figure by equipment is not in the report.</t>
  </si>
  <si>
    <t xml:space="preserve">Overall planned maintenance completion for August 2026, as reported on the KPI scorecard of CBG - SCTCM report August 2026 (Supply chain). Figure by equipment is not in the report.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</si>
</sst>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yyyy"/>
    <numFmt numFmtId="166" formatCode="0.0%"/>
    <numFmt numFmtId="167" formatCode="mmm\-yy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46023</v>
      </c>
      <c r="B5" s="5" t="s">
        <v>10</v>
      </c>
      <c r="C5" s="6" t="n">
        <f aca="false">'Jan PM'!B7</f>
        <v>0.2703</v>
      </c>
      <c r="D5" s="6" t="n">
        <f aca="false">AVERAGE($C$5:C5)</f>
        <v>0.2703</v>
      </c>
      <c r="E5" s="6" t="n">
        <f aca="false">'Jan PM'!C7</f>
        <v>0.7</v>
      </c>
      <c r="F5" s="7" t="s">
        <v>11</v>
      </c>
      <c r="G5" s="8" t="n">
        <v>0.27</v>
      </c>
      <c r="H5" s="5" t="s">
        <v>12</v>
      </c>
    </row>
    <row r="6" customFormat="false" ht="15" hidden="false" customHeight="false" outlineLevel="0" collapsed="false">
      <c r="A6" s="4" t="n">
        <v>46054</v>
      </c>
      <c r="B6" s="5" t="s">
        <v>13</v>
      </c>
      <c r="C6" s="6" t="n">
        <f aca="false">'Feb PM'!B7</f>
        <v>0.55</v>
      </c>
      <c r="D6" s="6" t="n">
        <f aca="false">AVERAGE($C$5:C6)</f>
        <v>0.41015</v>
      </c>
      <c r="E6" s="6" t="n">
        <f aca="false">'Feb PM'!C7</f>
        <v>0.7</v>
      </c>
      <c r="F6" s="7" t="s">
        <v>11</v>
      </c>
      <c r="G6" s="8" t="n">
        <v>0.41</v>
      </c>
      <c r="H6" s="5" t="s">
        <v>14</v>
      </c>
    </row>
    <row r="7" customFormat="false" ht="15" hidden="false" customHeight="false" outlineLevel="0" collapsed="false">
      <c r="A7" s="4" t="n">
        <v>46082</v>
      </c>
      <c r="B7" s="5" t="s">
        <v>15</v>
      </c>
      <c r="C7" s="6" t="n">
        <f aca="false">'Mar PM'!B7</f>
        <v>0.32</v>
      </c>
      <c r="D7" s="6" t="n">
        <f aca="false">AVERAGE($C$5:C7)</f>
        <v>0.3801</v>
      </c>
      <c r="E7" s="6" t="n">
        <f aca="false">'Mar PM'!C7</f>
        <v>0.7</v>
      </c>
      <c r="F7" s="7" t="s">
        <v>11</v>
      </c>
      <c r="G7" s="8" t="n">
        <v>0.38</v>
      </c>
      <c r="H7" s="5" t="s">
        <v>16</v>
      </c>
    </row>
    <row r="8" customFormat="false" ht="15" hidden="false" customHeight="false" outlineLevel="0" collapsed="false">
      <c r="A8" s="4" t="n">
        <v>46113</v>
      </c>
      <c r="B8" s="5" t="s">
        <v>17</v>
      </c>
      <c r="C8" s="6" t="n">
        <f aca="false">'Apr PM'!B7</f>
        <v>0.19</v>
      </c>
      <c r="D8" s="6" t="n">
        <f aca="false">AVERAGE($C$5:C8)</f>
        <v>0.332575</v>
      </c>
      <c r="E8" s="6" t="n">
        <f aca="false">'Apr PM'!C7</f>
        <v>0.7</v>
      </c>
      <c r="F8" s="8" t="n">
        <v>0.07</v>
      </c>
      <c r="G8" s="8" t="n">
        <v>0.333</v>
      </c>
      <c r="H8" s="5" t="s">
        <v>18</v>
      </c>
    </row>
    <row r="9" customFormat="false" ht="15" hidden="false" customHeight="false" outlineLevel="0" collapsed="false">
      <c r="A9" s="4" t="n">
        <v>46143</v>
      </c>
      <c r="B9" s="5" t="s">
        <v>19</v>
      </c>
      <c r="C9" s="6" t="n">
        <f aca="false">'May PM'!B7</f>
        <v>0.21</v>
      </c>
      <c r="D9" s="6" t="n">
        <f aca="false">AVERAGE($C$5:C9)</f>
        <v>0.30806</v>
      </c>
      <c r="E9" s="6" t="n">
        <f aca="false">'May PM'!C7</f>
        <v>0.7</v>
      </c>
      <c r="F9" s="8" t="n">
        <v>0.41</v>
      </c>
      <c r="G9" s="8" t="n">
        <v>0.308</v>
      </c>
      <c r="H9" s="5" t="s">
        <v>20</v>
      </c>
    </row>
    <row r="10" customFormat="false" ht="15" hidden="false" customHeight="false" outlineLevel="0" collapsed="false">
      <c r="A10" s="4" t="n">
        <v>46174</v>
      </c>
      <c r="B10" s="5" t="s">
        <v>21</v>
      </c>
      <c r="C10" s="6" t="n">
        <f aca="false">'Jun PM'!B7</f>
        <v>0.01</v>
      </c>
      <c r="D10" s="6" t="n">
        <f aca="false">AVERAGE($C$5:C10)</f>
        <v>0.258383333333333</v>
      </c>
      <c r="E10" s="6" t="n">
        <f aca="false">'Jun PM'!C7</f>
        <v>0.7</v>
      </c>
      <c r="F10" s="8" t="n">
        <v>0.25</v>
      </c>
      <c r="G10" s="8" t="n">
        <v>0.258</v>
      </c>
      <c r="H10" s="5" t="s">
        <v>22</v>
      </c>
    </row>
    <row r="11" customFormat="false" ht="15" hidden="false" customHeight="false" outlineLevel="0" collapsed="false">
      <c r="A11" s="4" t="n">
        <v>46204</v>
      </c>
      <c r="B11" s="5" t="s">
        <v>23</v>
      </c>
      <c r="C11" s="6" t="n">
        <f aca="false">'Jul PM'!B7</f>
        <v>0.37</v>
      </c>
      <c r="D11" s="6" t="n">
        <f aca="false">AVERAGE($C$5:C11)</f>
        <v>0.274328571428571</v>
      </c>
      <c r="E11" s="6" t="n">
        <f aca="false">'Jul PM'!C7</f>
        <v>0.7</v>
      </c>
      <c r="F11" s="8" t="n">
        <v>0.35</v>
      </c>
      <c r="G11" s="8" t="n">
        <v>0.274</v>
      </c>
      <c r="H11" s="5" t="s">
        <v>24</v>
      </c>
    </row>
    <row r="12" customFormat="false" ht="15" hidden="false" customHeight="false" outlineLevel="0" collapsed="false">
      <c r="A12" s="4" t="n">
        <v>46235</v>
      </c>
      <c r="B12" s="5" t="s">
        <v>25</v>
      </c>
      <c r="C12" s="6" t="n">
        <f aca="false">'Aug PM'!B7</f>
        <v>0.54</v>
      </c>
      <c r="D12" s="6" t="n">
        <f aca="false">AVERAGE($C$5:C12)</f>
        <v>0.3075375</v>
      </c>
      <c r="E12" s="6" t="n">
        <f aca="false">'Aug PM'!C7</f>
        <v>0.7</v>
      </c>
      <c r="F12" s="8" t="n">
        <v>0.36</v>
      </c>
      <c r="G12" s="8" t="n">
        <v>0.308</v>
      </c>
      <c r="H12" s="5" t="s">
        <v>26</v>
      </c>
    </row>
    <row r="14" customFormat="false" ht="15" hidden="false" customHeight="false" outlineLevel="0" collapsed="false">
      <c r="A14" s="2" t="s">
        <v>27</v>
      </c>
    </row>
    <row r="15" customFormat="false" ht="15" hidden="false" customHeight="false" outlineLevel="0" collapsed="false">
      <c r="A1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46023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0.2703</v>
      </c>
      <c r="C7" s="13" t="n">
        <v>0.7</v>
      </c>
    </row>
    <row r="9" customFormat="false" ht="15" hidden="false" customHeight="false" outlineLevel="0" collapsed="false">
      <c r="A9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46054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0.55</v>
      </c>
      <c r="C7" s="13" t="n">
        <v>0.7</v>
      </c>
    </row>
    <row r="9" customFormat="false" ht="15" hidden="false" customHeight="false" outlineLevel="0" collapsed="false">
      <c r="A9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46082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0.32</v>
      </c>
      <c r="C7" s="13" t="n">
        <v>0.7</v>
      </c>
    </row>
    <row r="9" customFormat="false" ht="15" hidden="false" customHeight="false" outlineLevel="0" collapsed="false">
      <c r="A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46113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0.19</v>
      </c>
      <c r="C7" s="13" t="n">
        <v>0.7</v>
      </c>
    </row>
    <row r="9" customFormat="false" ht="15" hidden="false" customHeight="false" outlineLevel="0" collapsed="false">
      <c r="A9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46143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0.21</v>
      </c>
      <c r="C7" s="13" t="n">
        <v>0.7</v>
      </c>
    </row>
    <row r="9" customFormat="false" ht="15" hidden="false" customHeight="false" outlineLevel="0" collapsed="false">
      <c r="A9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46174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0.01</v>
      </c>
      <c r="C7" s="13" t="n">
        <v>0.7</v>
      </c>
    </row>
    <row r="9" customFormat="false" ht="15" hidden="false" customHeight="false" outlineLevel="0" collapsed="false">
      <c r="A9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46204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0.37</v>
      </c>
      <c r="C7" s="13" t="n">
        <v>0.7</v>
      </c>
    </row>
    <row r="9" customFormat="false" ht="15" hidden="false" customHeight="false" outlineLevel="0" collapsed="false">
      <c r="A9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n">
        <v>46235</v>
      </c>
    </row>
    <row r="6" customFormat="false" ht="15" hidden="false" customHeight="false" outlineLevel="0" collapsed="false">
      <c r="A6" s="11" t="s">
        <v>30</v>
      </c>
      <c r="B6" s="11" t="s">
        <v>31</v>
      </c>
      <c r="C6" s="11" t="s">
        <v>6</v>
      </c>
    </row>
    <row r="7" customFormat="false" ht="15" hidden="false" customHeight="false" outlineLevel="0" collapsed="false">
      <c r="A7" s="12" t="s">
        <v>32</v>
      </c>
      <c r="B7" s="8" t="n">
        <v>0.54</v>
      </c>
      <c r="C7" s="13" t="n">
        <v>0.7</v>
      </c>
    </row>
    <row r="9" customFormat="false" ht="15" hidden="false" customHeight="false" outlineLevel="0" collapsed="false">
      <c r="A9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2026-10-06T15:45:05Z</dcterms:created>
  <dc:creator>openpyxl</dc:creator>
  <dc:description/>
  <dc:language>en-US</dc:language>
  <cp:lastModifiedBy/>
  <dcterms:modified xsi:type="dcterms:W3CDTF">2026-10-06T15:45:05Z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