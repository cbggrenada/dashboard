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comments20.xml" ContentType="application/vnd.openxmlformats-officedocument.spreadsheetml.comments+xml"/>
  <Override PartName="/xl/comments21.xml" ContentType="application/vnd.openxmlformats-officedocument.spreadsheetml.comments+xml"/>
  <Override PartName="/xl/comments22.xml" ContentType="application/vnd.openxmlformats-officedocument.spreadsheetml.comments+xml"/>
  <Override PartName="/xl/drawings/drawing1.xml" ContentType="application/vnd.openxmlformats-officedocument.drawing+xml"/>
  <Override PartName="/xl/comments23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F:\Operations\Brewing\Reports Local\Daily Process Report\2026 Daily Process Report\"/>
    </mc:Choice>
  </mc:AlternateContent>
  <xr:revisionPtr revIDLastSave="0" documentId="13_ncr:1_{A5D27710-B495-46B3-989B-11CF66444808}" xr6:coauthVersionLast="47" xr6:coauthVersionMax="47" xr10:uidLastSave="{00000000-0000-0000-0000-000000000000}"/>
  <bookViews>
    <workbookView xWindow="-120" yWindow="-120" windowWidth="29040" windowHeight="15720" tabRatio="599" firstSheet="14" activeTab="21" xr2:uid="{1120807F-7390-4E10-A66F-84111922E872}"/>
  </bookViews>
  <sheets>
    <sheet name="Dec 18th" sheetId="658" state="hidden" r:id="rId1"/>
    <sheet name="Sept 1st" sheetId="1061" r:id="rId2"/>
    <sheet name="Sept 2nd" sheetId="1062" r:id="rId3"/>
    <sheet name="Sept 3rd" sheetId="1063" r:id="rId4"/>
    <sheet name="Sept 4th" sheetId="1064" r:id="rId5"/>
    <sheet name="Sept 7th" sheetId="1065" r:id="rId6"/>
    <sheet name="Sept 8th" sheetId="1066" r:id="rId7"/>
    <sheet name="Sept 9th" sheetId="1067" r:id="rId8"/>
    <sheet name="Sept 10th" sheetId="1068" r:id="rId9"/>
    <sheet name="Sept 11th " sheetId="1069" r:id="rId10"/>
    <sheet name="Sept 14th" sheetId="1070" r:id="rId11"/>
    <sheet name="Sept 15th" sheetId="1071" r:id="rId12"/>
    <sheet name="Sept 16th" sheetId="1072" r:id="rId13"/>
    <sheet name="Sept 17th " sheetId="1073" r:id="rId14"/>
    <sheet name="Sept 18th" sheetId="1074" r:id="rId15"/>
    <sheet name="Sept 21st" sheetId="1075" r:id="rId16"/>
    <sheet name="Sept 22nd" sheetId="1076" r:id="rId17"/>
    <sheet name="Sept 23rd " sheetId="1077" r:id="rId18"/>
    <sheet name="Sept 24th" sheetId="1078" r:id="rId19"/>
    <sheet name="Sept 25th " sheetId="1079" r:id="rId20"/>
    <sheet name="Sept 28th" sheetId="1080" r:id="rId21"/>
    <sheet name="Sept 29th" sheetId="1081" r:id="rId22"/>
    <sheet name="MTD_Links" sheetId="18" r:id="rId23"/>
    <sheet name="YTD_Links" sheetId="19" r:id="rId24"/>
    <sheet name="KPIs" sheetId="20" state="hidden" r:id="rId25"/>
    <sheet name="Brewer Performance" sheetId="21" state="hidden" r:id="rId26"/>
  </sheets>
  <externalReferences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</externalReferences>
  <definedNames>
    <definedName name="_xlnm.Print_Area" localSheetId="25">'Brewer Performance'!$B$2:$K$35</definedName>
    <definedName name="_xlnm.Print_Area" localSheetId="22">MTD_Links!$B$2:$K$65</definedName>
    <definedName name="_xlnm.Print_Area" localSheetId="23">YTD_Links!$B$2:$K$65</definedName>
    <definedName name="ProductList" localSheetId="25">[1]November15!$R$3:$R$9</definedName>
    <definedName name="ProductList">[2]November15!$R$3:$R$9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K68" i="1081" l="1"/>
  <c r="K55" i="1081"/>
  <c r="M29" i="1081"/>
  <c r="L29" i="1081"/>
  <c r="K29" i="1081"/>
  <c r="J29" i="1081"/>
  <c r="C11" i="1081"/>
  <c r="D11" i="1081"/>
  <c r="E11" i="1081"/>
  <c r="F11" i="1081"/>
  <c r="G11" i="1081"/>
  <c r="I11" i="1081"/>
  <c r="J11" i="1081"/>
  <c r="K11" i="1081"/>
  <c r="L11" i="1081"/>
  <c r="M11" i="1081"/>
  <c r="N11" i="1081"/>
  <c r="O11" i="1081"/>
  <c r="C12" i="1081"/>
  <c r="D12" i="1081"/>
  <c r="E12" i="1081"/>
  <c r="F12" i="1081"/>
  <c r="G12" i="1081"/>
  <c r="I12" i="1081"/>
  <c r="J12" i="1081"/>
  <c r="K12" i="1081"/>
  <c r="L12" i="1081"/>
  <c r="M12" i="1081"/>
  <c r="N12" i="1081"/>
  <c r="O12" i="1081"/>
  <c r="C13" i="1081"/>
  <c r="D13" i="1081"/>
  <c r="E13" i="1081"/>
  <c r="F13" i="1081"/>
  <c r="G13" i="1081"/>
  <c r="I13" i="1081"/>
  <c r="J13" i="1081"/>
  <c r="K13" i="1081"/>
  <c r="L13" i="1081"/>
  <c r="M13" i="1081"/>
  <c r="N13" i="1081"/>
  <c r="O13" i="1081"/>
  <c r="C14" i="1081"/>
  <c r="D14" i="1081"/>
  <c r="E14" i="1081"/>
  <c r="F14" i="1081"/>
  <c r="G14" i="1081"/>
  <c r="I14" i="1081"/>
  <c r="J14" i="1081"/>
  <c r="K14" i="1081"/>
  <c r="L14" i="1081"/>
  <c r="M14" i="1081"/>
  <c r="N14" i="1081"/>
  <c r="O14" i="1081"/>
  <c r="C15" i="1081"/>
  <c r="D15" i="1081"/>
  <c r="E15" i="1081"/>
  <c r="F15" i="1081"/>
  <c r="G15" i="1081"/>
  <c r="I15" i="1081"/>
  <c r="J15" i="1081"/>
  <c r="K15" i="1081"/>
  <c r="L15" i="1081"/>
  <c r="M15" i="1081"/>
  <c r="N15" i="1081"/>
  <c r="O15" i="1081"/>
  <c r="C16" i="1081"/>
  <c r="D16" i="1081"/>
  <c r="E16" i="1081"/>
  <c r="G16" i="1081"/>
  <c r="I16" i="1081"/>
  <c r="J16" i="1081"/>
  <c r="K16" i="1081"/>
  <c r="L16" i="1081"/>
  <c r="O16" i="1081"/>
  <c r="C17" i="1081"/>
  <c r="D17" i="1081"/>
  <c r="E17" i="1081"/>
  <c r="F17" i="1081"/>
  <c r="G17" i="1081"/>
  <c r="I17" i="1081"/>
  <c r="J17" i="1081"/>
  <c r="K17" i="1081"/>
  <c r="L17" i="1081"/>
  <c r="M17" i="1081"/>
  <c r="N17" i="1081"/>
  <c r="O17" i="1081"/>
  <c r="O10" i="1081"/>
  <c r="N10" i="1081"/>
  <c r="M10" i="1081"/>
  <c r="L10" i="1081"/>
  <c r="K10" i="1081"/>
  <c r="J10" i="1081"/>
  <c r="I10" i="1081"/>
  <c r="G10" i="1081"/>
  <c r="F10" i="1081"/>
  <c r="E10" i="1081"/>
  <c r="D10" i="1081"/>
  <c r="C10" i="1081"/>
  <c r="L41" i="1081" l="1"/>
  <c r="G55" i="1081"/>
  <c r="B55" i="1081"/>
  <c r="AX57" i="1081" l="1"/>
  <c r="AW57" i="1081"/>
  <c r="AV57" i="1081"/>
  <c r="AU57" i="1081"/>
  <c r="AT57" i="1081"/>
  <c r="AS57" i="1081"/>
  <c r="AR57" i="1081"/>
  <c r="AQ57" i="1081"/>
  <c r="AP57" i="1081"/>
  <c r="AO57" i="1081"/>
  <c r="AN57" i="1081"/>
  <c r="AM57" i="1081"/>
  <c r="AL57" i="1081"/>
  <c r="AK57" i="1081"/>
  <c r="AJ57" i="1081"/>
  <c r="AI57" i="1081"/>
  <c r="AH57" i="1081"/>
  <c r="AG57" i="1081"/>
  <c r="AF57" i="1081"/>
  <c r="AE57" i="1081"/>
  <c r="AD57" i="1081"/>
  <c r="AC57" i="1081"/>
  <c r="AB57" i="1081"/>
  <c r="K57" i="1081"/>
  <c r="G57" i="1081"/>
  <c r="B57" i="1081"/>
  <c r="AX56" i="1081"/>
  <c r="AW56" i="1081"/>
  <c r="AV56" i="1081"/>
  <c r="AU56" i="1081"/>
  <c r="AT56" i="1081"/>
  <c r="AS56" i="1081"/>
  <c r="AR56" i="1081"/>
  <c r="AQ56" i="1081"/>
  <c r="AP56" i="1081"/>
  <c r="AO56" i="1081"/>
  <c r="AN56" i="1081"/>
  <c r="AM56" i="1081"/>
  <c r="AL56" i="1081"/>
  <c r="AK56" i="1081"/>
  <c r="AJ56" i="1081"/>
  <c r="AI56" i="1081"/>
  <c r="AH56" i="1081"/>
  <c r="AG56" i="1081"/>
  <c r="AF56" i="1081"/>
  <c r="AE56" i="1081"/>
  <c r="AD56" i="1081"/>
  <c r="AC56" i="1081"/>
  <c r="AB56" i="1081"/>
  <c r="AX55" i="1081"/>
  <c r="AW55" i="1081"/>
  <c r="AV55" i="1081"/>
  <c r="AU55" i="1081"/>
  <c r="AT55" i="1081"/>
  <c r="AS55" i="1081"/>
  <c r="AR55" i="1081"/>
  <c r="AQ55" i="1081"/>
  <c r="AP55" i="1081"/>
  <c r="AO55" i="1081"/>
  <c r="AN55" i="1081"/>
  <c r="AM55" i="1081"/>
  <c r="AL55" i="1081"/>
  <c r="AK55" i="1081"/>
  <c r="AJ55" i="1081"/>
  <c r="AI55" i="1081"/>
  <c r="AH55" i="1081"/>
  <c r="AG55" i="1081"/>
  <c r="AF55" i="1081"/>
  <c r="AE55" i="1081"/>
  <c r="AD55" i="1081"/>
  <c r="AC55" i="1081"/>
  <c r="AB55" i="1081"/>
  <c r="K50" i="1081"/>
  <c r="M41" i="1081" s="1"/>
  <c r="Z37" i="1081"/>
  <c r="Y37" i="1081"/>
  <c r="X37" i="1081"/>
  <c r="W37" i="1081"/>
  <c r="V37" i="1081"/>
  <c r="U37" i="1081"/>
  <c r="T37" i="1081"/>
  <c r="S37" i="1081"/>
  <c r="R37" i="1081"/>
  <c r="Z36" i="1081"/>
  <c r="Y36" i="1081"/>
  <c r="X36" i="1081"/>
  <c r="W36" i="1081"/>
  <c r="V36" i="1081"/>
  <c r="U36" i="1081"/>
  <c r="T36" i="1081"/>
  <c r="S36" i="1081"/>
  <c r="R36" i="1081"/>
  <c r="Z35" i="1081"/>
  <c r="Y35" i="1081"/>
  <c r="X35" i="1081"/>
  <c r="W35" i="1081"/>
  <c r="V35" i="1081"/>
  <c r="U35" i="1081"/>
  <c r="T35" i="1081"/>
  <c r="S35" i="1081"/>
  <c r="R35" i="1081"/>
  <c r="Z34" i="1081"/>
  <c r="Y34" i="1081"/>
  <c r="X34" i="1081"/>
  <c r="W34" i="1081"/>
  <c r="V34" i="1081"/>
  <c r="U34" i="1081"/>
  <c r="T34" i="1081"/>
  <c r="S34" i="1081"/>
  <c r="R34" i="1081"/>
  <c r="Z33" i="1081"/>
  <c r="Y33" i="1081"/>
  <c r="X33" i="1081"/>
  <c r="W33" i="1081"/>
  <c r="V33" i="1081"/>
  <c r="U33" i="1081"/>
  <c r="T33" i="1081"/>
  <c r="S33" i="1081"/>
  <c r="R33" i="1081"/>
  <c r="Z32" i="1081"/>
  <c r="Y32" i="1081"/>
  <c r="X32" i="1081"/>
  <c r="W32" i="1081"/>
  <c r="V32" i="1081"/>
  <c r="U32" i="1081"/>
  <c r="T32" i="1081"/>
  <c r="S32" i="1081"/>
  <c r="R32" i="1081"/>
  <c r="M32" i="1081"/>
  <c r="L32" i="1081"/>
  <c r="K32" i="1081"/>
  <c r="Z31" i="1081"/>
  <c r="Y31" i="1081"/>
  <c r="X31" i="1081"/>
  <c r="W31" i="1081"/>
  <c r="V31" i="1081"/>
  <c r="U31" i="1081"/>
  <c r="T31" i="1081"/>
  <c r="S31" i="1081"/>
  <c r="R31" i="1081"/>
  <c r="M31" i="1081"/>
  <c r="L31" i="1081"/>
  <c r="K31" i="1081"/>
  <c r="Z30" i="1081"/>
  <c r="Y30" i="1081"/>
  <c r="X30" i="1081"/>
  <c r="W30" i="1081"/>
  <c r="V30" i="1081"/>
  <c r="U30" i="1081"/>
  <c r="T30" i="1081"/>
  <c r="S30" i="1081"/>
  <c r="R30" i="1081"/>
  <c r="Z29" i="1081"/>
  <c r="Y29" i="1081"/>
  <c r="X29" i="1081"/>
  <c r="W29" i="1081"/>
  <c r="V29" i="1081"/>
  <c r="U29" i="1081"/>
  <c r="T29" i="1081"/>
  <c r="S29" i="1081"/>
  <c r="R29" i="1081"/>
  <c r="Z28" i="1081"/>
  <c r="Y28" i="1081"/>
  <c r="X28" i="1081"/>
  <c r="W28" i="1081"/>
  <c r="V28" i="1081"/>
  <c r="U28" i="1081"/>
  <c r="T28" i="1081"/>
  <c r="S28" i="1081"/>
  <c r="R28" i="1081"/>
  <c r="M28" i="1081"/>
  <c r="L28" i="1081"/>
  <c r="K28" i="1081"/>
  <c r="Z27" i="1081"/>
  <c r="Y27" i="1081"/>
  <c r="X27" i="1081"/>
  <c r="W27" i="1081"/>
  <c r="V27" i="1081"/>
  <c r="U27" i="1081"/>
  <c r="T27" i="1081"/>
  <c r="S27" i="1081"/>
  <c r="R27" i="1081"/>
  <c r="M27" i="1081"/>
  <c r="L27" i="1081"/>
  <c r="K27" i="1081"/>
  <c r="Z26" i="1081"/>
  <c r="Y26" i="1081"/>
  <c r="X26" i="1081"/>
  <c r="W26" i="1081"/>
  <c r="V26" i="1081"/>
  <c r="U26" i="1081"/>
  <c r="T26" i="1081"/>
  <c r="S26" i="1081"/>
  <c r="R26" i="1081"/>
  <c r="M26" i="1081"/>
  <c r="L26" i="1081"/>
  <c r="K26" i="1081"/>
  <c r="Z25" i="1081"/>
  <c r="Y25" i="1081"/>
  <c r="X25" i="1081"/>
  <c r="W25" i="1081"/>
  <c r="V25" i="1081"/>
  <c r="U25" i="1081"/>
  <c r="T25" i="1081"/>
  <c r="S25" i="1081"/>
  <c r="R25" i="1081"/>
  <c r="Z24" i="1081"/>
  <c r="Y24" i="1081"/>
  <c r="X24" i="1081"/>
  <c r="W24" i="1081"/>
  <c r="V24" i="1081"/>
  <c r="U24" i="1081"/>
  <c r="T24" i="1081"/>
  <c r="S24" i="1081"/>
  <c r="R24" i="1081"/>
  <c r="Z23" i="1081"/>
  <c r="Y23" i="1081"/>
  <c r="X23" i="1081"/>
  <c r="W23" i="1081"/>
  <c r="V23" i="1081"/>
  <c r="U23" i="1081"/>
  <c r="T23" i="1081"/>
  <c r="S23" i="1081"/>
  <c r="R23" i="1081"/>
  <c r="Z22" i="1081"/>
  <c r="Y22" i="1081"/>
  <c r="X22" i="1081"/>
  <c r="W22" i="1081"/>
  <c r="V22" i="1081"/>
  <c r="U22" i="1081"/>
  <c r="T22" i="1081"/>
  <c r="S22" i="1081"/>
  <c r="R22" i="1081"/>
  <c r="Z21" i="1081"/>
  <c r="Y21" i="1081"/>
  <c r="X21" i="1081"/>
  <c r="W21" i="1081"/>
  <c r="V21" i="1081"/>
  <c r="U21" i="1081"/>
  <c r="T21" i="1081"/>
  <c r="S21" i="1081"/>
  <c r="R21" i="1081"/>
  <c r="Z20" i="1081"/>
  <c r="Y20" i="1081"/>
  <c r="X20" i="1081"/>
  <c r="W20" i="1081"/>
  <c r="V20" i="1081"/>
  <c r="U20" i="1081"/>
  <c r="T20" i="1081"/>
  <c r="S20" i="1081"/>
  <c r="R20" i="1081"/>
  <c r="Z19" i="1081"/>
  <c r="Y19" i="1081"/>
  <c r="X19" i="1081"/>
  <c r="W19" i="1081"/>
  <c r="V19" i="1081"/>
  <c r="U19" i="1081"/>
  <c r="T19" i="1081"/>
  <c r="S19" i="1081"/>
  <c r="R19" i="1081"/>
  <c r="Z18" i="1081"/>
  <c r="Y18" i="1081"/>
  <c r="X18" i="1081"/>
  <c r="W18" i="1081"/>
  <c r="V18" i="1081"/>
  <c r="U18" i="1081"/>
  <c r="T18" i="1081"/>
  <c r="S18" i="1081"/>
  <c r="R18" i="1081"/>
  <c r="Z17" i="1081"/>
  <c r="Y17" i="1081"/>
  <c r="X17" i="1081"/>
  <c r="W17" i="1081"/>
  <c r="V17" i="1081"/>
  <c r="U17" i="1081"/>
  <c r="T17" i="1081"/>
  <c r="S17" i="1081"/>
  <c r="R17" i="1081"/>
  <c r="Z16" i="1081"/>
  <c r="Y16" i="1081"/>
  <c r="X16" i="1081"/>
  <c r="W16" i="1081"/>
  <c r="V16" i="1081"/>
  <c r="U16" i="1081"/>
  <c r="T16" i="1081"/>
  <c r="S16" i="1081"/>
  <c r="R16" i="1081"/>
  <c r="Z15" i="1081"/>
  <c r="Y15" i="1081"/>
  <c r="X15" i="1081"/>
  <c r="W15" i="1081"/>
  <c r="V15" i="1081"/>
  <c r="U15" i="1081"/>
  <c r="T15" i="1081"/>
  <c r="S15" i="1081"/>
  <c r="R15" i="1081"/>
  <c r="Z14" i="1081"/>
  <c r="Y14" i="1081"/>
  <c r="X14" i="1081"/>
  <c r="W14" i="1081"/>
  <c r="V14" i="1081"/>
  <c r="U14" i="1081"/>
  <c r="T14" i="1081"/>
  <c r="S14" i="1081"/>
  <c r="R14" i="1081"/>
  <c r="Z13" i="1081"/>
  <c r="Y13" i="1081"/>
  <c r="X13" i="1081"/>
  <c r="W13" i="1081"/>
  <c r="V13" i="1081"/>
  <c r="U13" i="1081"/>
  <c r="T13" i="1081"/>
  <c r="S13" i="1081"/>
  <c r="R13" i="1081"/>
  <c r="Z12" i="1081"/>
  <c r="Y12" i="1081"/>
  <c r="X12" i="1081"/>
  <c r="W12" i="1081"/>
  <c r="V12" i="1081"/>
  <c r="U12" i="1081"/>
  <c r="T12" i="1081"/>
  <c r="S12" i="1081"/>
  <c r="R12" i="1081"/>
  <c r="Z11" i="1081"/>
  <c r="Y11" i="1081"/>
  <c r="X11" i="1081"/>
  <c r="W11" i="1081"/>
  <c r="V11" i="1081"/>
  <c r="U11" i="1081"/>
  <c r="T11" i="1081"/>
  <c r="S11" i="1081"/>
  <c r="R11" i="1081"/>
  <c r="Z10" i="1081"/>
  <c r="Y10" i="1081"/>
  <c r="X10" i="1081"/>
  <c r="W10" i="1081"/>
  <c r="V10" i="1081"/>
  <c r="U10" i="1081"/>
  <c r="T10" i="1081"/>
  <c r="S10" i="1081"/>
  <c r="R10" i="1081"/>
  <c r="M32" i="1080"/>
  <c r="L32" i="1080"/>
  <c r="K32" i="1080"/>
  <c r="R10" i="1080"/>
  <c r="S10" i="1080"/>
  <c r="T10" i="1080"/>
  <c r="U10" i="1080"/>
  <c r="V10" i="1080"/>
  <c r="W10" i="1080"/>
  <c r="X10" i="1080"/>
  <c r="Y10" i="1080"/>
  <c r="Z10" i="1080"/>
  <c r="R11" i="1080"/>
  <c r="S11" i="1080"/>
  <c r="T11" i="1080"/>
  <c r="U11" i="1080"/>
  <c r="V11" i="1080"/>
  <c r="W11" i="1080"/>
  <c r="X11" i="1080"/>
  <c r="Y11" i="1080"/>
  <c r="Z11" i="1080"/>
  <c r="R12" i="1080"/>
  <c r="S12" i="1080"/>
  <c r="T12" i="1080"/>
  <c r="U12" i="1080"/>
  <c r="V12" i="1080"/>
  <c r="W12" i="1080"/>
  <c r="X12" i="1080"/>
  <c r="Y12" i="1080"/>
  <c r="Z12" i="1080"/>
  <c r="R13" i="1080"/>
  <c r="S13" i="1080"/>
  <c r="T13" i="1080"/>
  <c r="U13" i="1080"/>
  <c r="V13" i="1080"/>
  <c r="W13" i="1080"/>
  <c r="X13" i="1080"/>
  <c r="Y13" i="1080"/>
  <c r="Z13" i="1080"/>
  <c r="R14" i="1080"/>
  <c r="S14" i="1080"/>
  <c r="T14" i="1080"/>
  <c r="U14" i="1080"/>
  <c r="V14" i="1080"/>
  <c r="W14" i="1080"/>
  <c r="X14" i="1080"/>
  <c r="Y14" i="1080"/>
  <c r="Z14" i="1080"/>
  <c r="R15" i="1080"/>
  <c r="S15" i="1080"/>
  <c r="T15" i="1080"/>
  <c r="U15" i="1080"/>
  <c r="V15" i="1080"/>
  <c r="W15" i="1080"/>
  <c r="X15" i="1080"/>
  <c r="Y15" i="1080"/>
  <c r="Z15" i="1080"/>
  <c r="R16" i="1080"/>
  <c r="S16" i="1080"/>
  <c r="T16" i="1080"/>
  <c r="U16" i="1080"/>
  <c r="V16" i="1080"/>
  <c r="W16" i="1080"/>
  <c r="X16" i="1080"/>
  <c r="Y16" i="1080"/>
  <c r="Z16" i="1080"/>
  <c r="R17" i="1080"/>
  <c r="S17" i="1080"/>
  <c r="T17" i="1080"/>
  <c r="U17" i="1080"/>
  <c r="V17" i="1080"/>
  <c r="W17" i="1080"/>
  <c r="X17" i="1080"/>
  <c r="Y17" i="1080"/>
  <c r="Z17" i="1080"/>
  <c r="R18" i="1080"/>
  <c r="S18" i="1080"/>
  <c r="T18" i="1080"/>
  <c r="U18" i="1080"/>
  <c r="V18" i="1080"/>
  <c r="W18" i="1080"/>
  <c r="X18" i="1080"/>
  <c r="Y18" i="1080"/>
  <c r="Z18" i="1080"/>
  <c r="R19" i="1080"/>
  <c r="S19" i="1080"/>
  <c r="T19" i="1080"/>
  <c r="U19" i="1080"/>
  <c r="V19" i="1080"/>
  <c r="W19" i="1080"/>
  <c r="X19" i="1080"/>
  <c r="Y19" i="1080"/>
  <c r="Z19" i="1080"/>
  <c r="R20" i="1080"/>
  <c r="S20" i="1080"/>
  <c r="T20" i="1080"/>
  <c r="U20" i="1080"/>
  <c r="V20" i="1080"/>
  <c r="W20" i="1080"/>
  <c r="X20" i="1080"/>
  <c r="Y20" i="1080"/>
  <c r="Z20" i="1080"/>
  <c r="R21" i="1080"/>
  <c r="S21" i="1080"/>
  <c r="T21" i="1080"/>
  <c r="U21" i="1080"/>
  <c r="V21" i="1080"/>
  <c r="W21" i="1080"/>
  <c r="X21" i="1080"/>
  <c r="Y21" i="1080"/>
  <c r="Z21" i="1080"/>
  <c r="J15" i="1080"/>
  <c r="I16" i="1080"/>
  <c r="J16" i="1080"/>
  <c r="I10" i="1080"/>
  <c r="J10" i="1080"/>
  <c r="L10" i="1080"/>
  <c r="M10" i="1080"/>
  <c r="N10" i="1080"/>
  <c r="O10" i="1080"/>
  <c r="I11" i="1080"/>
  <c r="J11" i="1080"/>
  <c r="L11" i="1080"/>
  <c r="M11" i="1080"/>
  <c r="N11" i="1080"/>
  <c r="O11" i="1080"/>
  <c r="I12" i="1080"/>
  <c r="J12" i="1080"/>
  <c r="L12" i="1080"/>
  <c r="M12" i="1080"/>
  <c r="N12" i="1080"/>
  <c r="O12" i="1080"/>
  <c r="I13" i="1080"/>
  <c r="J13" i="1080"/>
  <c r="L13" i="1080"/>
  <c r="M13" i="1080"/>
  <c r="N13" i="1080"/>
  <c r="O13" i="1080"/>
  <c r="I14" i="1080"/>
  <c r="J32" i="1080" s="1"/>
  <c r="J14" i="1080"/>
  <c r="L14" i="1080"/>
  <c r="M14" i="1080"/>
  <c r="N14" i="1080"/>
  <c r="O14" i="1080"/>
  <c r="I15" i="1080"/>
  <c r="L15" i="1080"/>
  <c r="M15" i="1080"/>
  <c r="N15" i="1080"/>
  <c r="O15" i="1080"/>
  <c r="L16" i="1080"/>
  <c r="M16" i="1080"/>
  <c r="N16" i="1080"/>
  <c r="O16" i="1080"/>
  <c r="I17" i="1080"/>
  <c r="J17" i="1080"/>
  <c r="L17" i="1080"/>
  <c r="M17" i="1080"/>
  <c r="N17" i="1080"/>
  <c r="O17" i="1080"/>
  <c r="C12" i="1080"/>
  <c r="D12" i="1080"/>
  <c r="E12" i="1080"/>
  <c r="F12" i="1080"/>
  <c r="G12" i="1080"/>
  <c r="C13" i="1080"/>
  <c r="D13" i="1080"/>
  <c r="E13" i="1080"/>
  <c r="F13" i="1080"/>
  <c r="G13" i="1080"/>
  <c r="C14" i="1080"/>
  <c r="D14" i="1080"/>
  <c r="E14" i="1080"/>
  <c r="F14" i="1080"/>
  <c r="G14" i="1080"/>
  <c r="C15" i="1080"/>
  <c r="D15" i="1080"/>
  <c r="E15" i="1080"/>
  <c r="F15" i="1080"/>
  <c r="G15" i="1080"/>
  <c r="C16" i="1080"/>
  <c r="D16" i="1080"/>
  <c r="E16" i="1080"/>
  <c r="F16" i="1080"/>
  <c r="G16" i="1080"/>
  <c r="C17" i="1080"/>
  <c r="D17" i="1080"/>
  <c r="E17" i="1080"/>
  <c r="F17" i="1080"/>
  <c r="G17" i="1080"/>
  <c r="C10" i="1080"/>
  <c r="D10" i="1080"/>
  <c r="E10" i="1080"/>
  <c r="F10" i="1080"/>
  <c r="G10" i="1080"/>
  <c r="C11" i="1080"/>
  <c r="D11" i="1080"/>
  <c r="E11" i="1080"/>
  <c r="F11" i="1080"/>
  <c r="G11" i="1080"/>
  <c r="AX57" i="1080"/>
  <c r="AW57" i="1080"/>
  <c r="AV57" i="1080"/>
  <c r="AU57" i="1080"/>
  <c r="AT57" i="1080"/>
  <c r="AS57" i="1080"/>
  <c r="AR57" i="1080"/>
  <c r="AQ57" i="1080"/>
  <c r="AP57" i="1080"/>
  <c r="AO57" i="1080"/>
  <c r="AN57" i="1080"/>
  <c r="AM57" i="1080"/>
  <c r="AL57" i="1080"/>
  <c r="AK57" i="1080"/>
  <c r="AJ57" i="1080"/>
  <c r="AI57" i="1080"/>
  <c r="AH57" i="1080"/>
  <c r="AG57" i="1080"/>
  <c r="AF57" i="1080"/>
  <c r="AE57" i="1080"/>
  <c r="AD57" i="1080"/>
  <c r="AC57" i="1080"/>
  <c r="AB57" i="1080"/>
  <c r="K57" i="1080"/>
  <c r="G57" i="1080"/>
  <c r="B57" i="1080"/>
  <c r="AX56" i="1080"/>
  <c r="AW56" i="1080"/>
  <c r="AV56" i="1080"/>
  <c r="AU56" i="1080"/>
  <c r="AT56" i="1080"/>
  <c r="AS56" i="1080"/>
  <c r="AR56" i="1080"/>
  <c r="AQ56" i="1080"/>
  <c r="AP56" i="1080"/>
  <c r="AO56" i="1080"/>
  <c r="AN56" i="1080"/>
  <c r="AM56" i="1080"/>
  <c r="AL56" i="1080"/>
  <c r="AK56" i="1080"/>
  <c r="AJ56" i="1080"/>
  <c r="AI56" i="1080"/>
  <c r="AH56" i="1080"/>
  <c r="AG56" i="1080"/>
  <c r="AF56" i="1080"/>
  <c r="AE56" i="1080"/>
  <c r="AD56" i="1080"/>
  <c r="AC56" i="1080"/>
  <c r="AB56" i="1080"/>
  <c r="AX55" i="1080"/>
  <c r="AW55" i="1080"/>
  <c r="AV55" i="1080"/>
  <c r="AU55" i="1080"/>
  <c r="AT55" i="1080"/>
  <c r="AS55" i="1080"/>
  <c r="AR55" i="1080"/>
  <c r="AQ55" i="1080"/>
  <c r="AP55" i="1080"/>
  <c r="AO55" i="1080"/>
  <c r="AN55" i="1080"/>
  <c r="AM55" i="1080"/>
  <c r="AL55" i="1080"/>
  <c r="AK55" i="1080"/>
  <c r="AJ55" i="1080"/>
  <c r="AI55" i="1080"/>
  <c r="AH55" i="1080"/>
  <c r="AG55" i="1080"/>
  <c r="AF55" i="1080"/>
  <c r="AE55" i="1080"/>
  <c r="AD55" i="1080"/>
  <c r="AC55" i="1080"/>
  <c r="AB55" i="1080"/>
  <c r="K50" i="1080"/>
  <c r="L41" i="1080"/>
  <c r="M41" i="1080" s="1"/>
  <c r="Z37" i="1080"/>
  <c r="Y37" i="1080"/>
  <c r="X37" i="1080"/>
  <c r="W37" i="1080"/>
  <c r="V37" i="1080"/>
  <c r="U37" i="1080"/>
  <c r="T37" i="1080"/>
  <c r="S37" i="1080"/>
  <c r="R37" i="1080"/>
  <c r="Z36" i="1080"/>
  <c r="Y36" i="1080"/>
  <c r="X36" i="1080"/>
  <c r="W36" i="1080"/>
  <c r="V36" i="1080"/>
  <c r="U36" i="1080"/>
  <c r="T36" i="1080"/>
  <c r="S36" i="1080"/>
  <c r="R36" i="1080"/>
  <c r="Z35" i="1080"/>
  <c r="Y35" i="1080"/>
  <c r="X35" i="1080"/>
  <c r="W35" i="1080"/>
  <c r="V35" i="1080"/>
  <c r="U35" i="1080"/>
  <c r="T35" i="1080"/>
  <c r="S35" i="1080"/>
  <c r="R35" i="1080"/>
  <c r="Z34" i="1080"/>
  <c r="Y34" i="1080"/>
  <c r="X34" i="1080"/>
  <c r="W34" i="1080"/>
  <c r="V34" i="1080"/>
  <c r="U34" i="1080"/>
  <c r="T34" i="1080"/>
  <c r="S34" i="1080"/>
  <c r="R34" i="1080"/>
  <c r="Z33" i="1080"/>
  <c r="Y33" i="1080"/>
  <c r="X33" i="1080"/>
  <c r="W33" i="1080"/>
  <c r="V33" i="1080"/>
  <c r="U33" i="1080"/>
  <c r="T33" i="1080"/>
  <c r="S33" i="1080"/>
  <c r="R33" i="1080"/>
  <c r="Z32" i="1080"/>
  <c r="Y32" i="1080"/>
  <c r="X32" i="1080"/>
  <c r="W32" i="1080"/>
  <c r="V32" i="1080"/>
  <c r="U32" i="1080"/>
  <c r="T32" i="1080"/>
  <c r="S32" i="1080"/>
  <c r="R32" i="1080"/>
  <c r="Z31" i="1080"/>
  <c r="Y31" i="1080"/>
  <c r="X31" i="1080"/>
  <c r="W31" i="1080"/>
  <c r="V31" i="1080"/>
  <c r="U31" i="1080"/>
  <c r="T31" i="1080"/>
  <c r="S31" i="1080"/>
  <c r="R31" i="1080"/>
  <c r="M31" i="1080"/>
  <c r="L31" i="1080"/>
  <c r="K31" i="1080"/>
  <c r="Z30" i="1080"/>
  <c r="Y30" i="1080"/>
  <c r="X30" i="1080"/>
  <c r="W30" i="1080"/>
  <c r="V30" i="1080"/>
  <c r="U30" i="1080"/>
  <c r="T30" i="1080"/>
  <c r="S30" i="1080"/>
  <c r="R30" i="1080"/>
  <c r="Z29" i="1080"/>
  <c r="Y29" i="1080"/>
  <c r="X29" i="1080"/>
  <c r="W29" i="1080"/>
  <c r="V29" i="1080"/>
  <c r="U29" i="1080"/>
  <c r="T29" i="1080"/>
  <c r="S29" i="1080"/>
  <c r="R29" i="1080"/>
  <c r="M29" i="1080"/>
  <c r="Z28" i="1080"/>
  <c r="Y28" i="1080"/>
  <c r="X28" i="1080"/>
  <c r="W28" i="1080"/>
  <c r="V28" i="1080"/>
  <c r="U28" i="1080"/>
  <c r="T28" i="1080"/>
  <c r="S28" i="1080"/>
  <c r="R28" i="1080"/>
  <c r="M28" i="1080"/>
  <c r="L28" i="1080"/>
  <c r="K28" i="1080"/>
  <c r="Z27" i="1080"/>
  <c r="Y27" i="1080"/>
  <c r="X27" i="1080"/>
  <c r="W27" i="1080"/>
  <c r="V27" i="1080"/>
  <c r="U27" i="1080"/>
  <c r="T27" i="1080"/>
  <c r="S27" i="1080"/>
  <c r="R27" i="1080"/>
  <c r="M27" i="1080"/>
  <c r="L27" i="1080"/>
  <c r="K27" i="1080"/>
  <c r="Z26" i="1080"/>
  <c r="Y26" i="1080"/>
  <c r="X26" i="1080"/>
  <c r="W26" i="1080"/>
  <c r="V26" i="1080"/>
  <c r="U26" i="1080"/>
  <c r="T26" i="1080"/>
  <c r="S26" i="1080"/>
  <c r="R26" i="1080"/>
  <c r="M26" i="1080"/>
  <c r="L26" i="1080"/>
  <c r="K26" i="1080"/>
  <c r="Z25" i="1080"/>
  <c r="Y25" i="1080"/>
  <c r="X25" i="1080"/>
  <c r="W25" i="1080"/>
  <c r="V25" i="1080"/>
  <c r="U25" i="1080"/>
  <c r="T25" i="1080"/>
  <c r="S25" i="1080"/>
  <c r="R25" i="1080"/>
  <c r="Z24" i="1080"/>
  <c r="Y24" i="1080"/>
  <c r="X24" i="1080"/>
  <c r="W24" i="1080"/>
  <c r="V24" i="1080"/>
  <c r="U24" i="1080"/>
  <c r="T24" i="1080"/>
  <c r="S24" i="1080"/>
  <c r="R24" i="1080"/>
  <c r="Z23" i="1080"/>
  <c r="Y23" i="1080"/>
  <c r="X23" i="1080"/>
  <c r="W23" i="1080"/>
  <c r="V23" i="1080"/>
  <c r="U23" i="1080"/>
  <c r="T23" i="1080"/>
  <c r="S23" i="1080"/>
  <c r="R23" i="1080"/>
  <c r="Z22" i="1080"/>
  <c r="Y22" i="1080"/>
  <c r="X22" i="1080"/>
  <c r="W22" i="1080"/>
  <c r="V22" i="1080"/>
  <c r="U22" i="1080"/>
  <c r="T22" i="1080"/>
  <c r="S22" i="1080"/>
  <c r="R22" i="1080"/>
  <c r="K44" i="1079"/>
  <c r="K59" i="1079" s="1"/>
  <c r="K36" i="1081" l="1"/>
  <c r="L36" i="1081"/>
  <c r="M36" i="1081" s="1"/>
  <c r="K36" i="1080"/>
  <c r="L36" i="1080" s="1"/>
  <c r="M36" i="1080" s="1"/>
  <c r="G59" i="1079"/>
  <c r="G44" i="1079"/>
  <c r="D44" i="1079"/>
  <c r="B44" i="1079"/>
  <c r="L30" i="1079"/>
  <c r="M15" i="1079"/>
  <c r="L15" i="1079"/>
  <c r="K15" i="1079"/>
  <c r="I10" i="1079"/>
  <c r="J15" i="1079" s="1"/>
  <c r="J10" i="1079"/>
  <c r="K10" i="1079"/>
  <c r="L10" i="1079"/>
  <c r="M10" i="1079"/>
  <c r="N10" i="1079"/>
  <c r="O10" i="1079"/>
  <c r="C10" i="1079"/>
  <c r="D10" i="1079"/>
  <c r="E10" i="1079"/>
  <c r="F10" i="1079"/>
  <c r="G10" i="1079"/>
  <c r="AX46" i="1079"/>
  <c r="AW46" i="1079"/>
  <c r="AV46" i="1079"/>
  <c r="AU46" i="1079"/>
  <c r="AT46" i="1079"/>
  <c r="AS46" i="1079"/>
  <c r="AR46" i="1079"/>
  <c r="AQ46" i="1079"/>
  <c r="AP46" i="1079"/>
  <c r="AO46" i="1079"/>
  <c r="AN46" i="1079"/>
  <c r="AM46" i="1079"/>
  <c r="AL46" i="1079"/>
  <c r="AK46" i="1079"/>
  <c r="AJ46" i="1079"/>
  <c r="AI46" i="1079"/>
  <c r="AH46" i="1079"/>
  <c r="AG46" i="1079"/>
  <c r="AF46" i="1079"/>
  <c r="AE46" i="1079"/>
  <c r="AD46" i="1079"/>
  <c r="AC46" i="1079"/>
  <c r="AB46" i="1079"/>
  <c r="K46" i="1079"/>
  <c r="G46" i="1079"/>
  <c r="B46" i="1079"/>
  <c r="AX45" i="1079"/>
  <c r="AW45" i="1079"/>
  <c r="AV45" i="1079"/>
  <c r="AU45" i="1079"/>
  <c r="AT45" i="1079"/>
  <c r="AS45" i="1079"/>
  <c r="AR45" i="1079"/>
  <c r="AQ45" i="1079"/>
  <c r="AP45" i="1079"/>
  <c r="AO45" i="1079"/>
  <c r="AN45" i="1079"/>
  <c r="AM45" i="1079"/>
  <c r="AL45" i="1079"/>
  <c r="AK45" i="1079"/>
  <c r="AJ45" i="1079"/>
  <c r="AI45" i="1079"/>
  <c r="AH45" i="1079"/>
  <c r="AG45" i="1079"/>
  <c r="AF45" i="1079"/>
  <c r="AE45" i="1079"/>
  <c r="AD45" i="1079"/>
  <c r="AC45" i="1079"/>
  <c r="AB45" i="1079"/>
  <c r="AX44" i="1079"/>
  <c r="AW44" i="1079"/>
  <c r="AV44" i="1079"/>
  <c r="AU44" i="1079"/>
  <c r="AT44" i="1079"/>
  <c r="AS44" i="1079"/>
  <c r="AR44" i="1079"/>
  <c r="AQ44" i="1079"/>
  <c r="AP44" i="1079"/>
  <c r="AO44" i="1079"/>
  <c r="AN44" i="1079"/>
  <c r="AM44" i="1079"/>
  <c r="AL44" i="1079"/>
  <c r="AK44" i="1079"/>
  <c r="AJ44" i="1079"/>
  <c r="AI44" i="1079"/>
  <c r="AH44" i="1079"/>
  <c r="AG44" i="1079"/>
  <c r="AF44" i="1079"/>
  <c r="AE44" i="1079"/>
  <c r="AD44" i="1079"/>
  <c r="AC44" i="1079"/>
  <c r="AB44" i="1079"/>
  <c r="K39" i="1079"/>
  <c r="M30" i="1079"/>
  <c r="Z26" i="1079"/>
  <c r="Y26" i="1079"/>
  <c r="X26" i="1079"/>
  <c r="W26" i="1079"/>
  <c r="V26" i="1079"/>
  <c r="U26" i="1079"/>
  <c r="T26" i="1079"/>
  <c r="S26" i="1079"/>
  <c r="R26" i="1079"/>
  <c r="Z25" i="1079"/>
  <c r="Y25" i="1079"/>
  <c r="X25" i="1079"/>
  <c r="W25" i="1079"/>
  <c r="V25" i="1079"/>
  <c r="U25" i="1079"/>
  <c r="T25" i="1079"/>
  <c r="S25" i="1079"/>
  <c r="R25" i="1079"/>
  <c r="Z24" i="1079"/>
  <c r="Y24" i="1079"/>
  <c r="X24" i="1079"/>
  <c r="W24" i="1079"/>
  <c r="V24" i="1079"/>
  <c r="U24" i="1079"/>
  <c r="T24" i="1079"/>
  <c r="S24" i="1079"/>
  <c r="R24" i="1079"/>
  <c r="Z23" i="1079"/>
  <c r="Y23" i="1079"/>
  <c r="X23" i="1079"/>
  <c r="W23" i="1079"/>
  <c r="V23" i="1079"/>
  <c r="U23" i="1079"/>
  <c r="T23" i="1079"/>
  <c r="S23" i="1079"/>
  <c r="R23" i="1079"/>
  <c r="Z22" i="1079"/>
  <c r="Y22" i="1079"/>
  <c r="X22" i="1079"/>
  <c r="W22" i="1079"/>
  <c r="V22" i="1079"/>
  <c r="U22" i="1079"/>
  <c r="T22" i="1079"/>
  <c r="S22" i="1079"/>
  <c r="R22" i="1079"/>
  <c r="Z21" i="1079"/>
  <c r="Y21" i="1079"/>
  <c r="X21" i="1079"/>
  <c r="W21" i="1079"/>
  <c r="V21" i="1079"/>
  <c r="U21" i="1079"/>
  <c r="T21" i="1079"/>
  <c r="S21" i="1079"/>
  <c r="R21" i="1079"/>
  <c r="M21" i="1079"/>
  <c r="Z20" i="1079"/>
  <c r="Y20" i="1079"/>
  <c r="X20" i="1079"/>
  <c r="W20" i="1079"/>
  <c r="V20" i="1079"/>
  <c r="U20" i="1079"/>
  <c r="T20" i="1079"/>
  <c r="S20" i="1079"/>
  <c r="R20" i="1079"/>
  <c r="M20" i="1079"/>
  <c r="L20" i="1079"/>
  <c r="K20" i="1079"/>
  <c r="Z19" i="1079"/>
  <c r="Y19" i="1079"/>
  <c r="X19" i="1079"/>
  <c r="W19" i="1079"/>
  <c r="V19" i="1079"/>
  <c r="U19" i="1079"/>
  <c r="T19" i="1079"/>
  <c r="S19" i="1079"/>
  <c r="R19" i="1079"/>
  <c r="Z18" i="1079"/>
  <c r="Y18" i="1079"/>
  <c r="X18" i="1079"/>
  <c r="W18" i="1079"/>
  <c r="V18" i="1079"/>
  <c r="U18" i="1079"/>
  <c r="T18" i="1079"/>
  <c r="S18" i="1079"/>
  <c r="R18" i="1079"/>
  <c r="M18" i="1079"/>
  <c r="Z17" i="1079"/>
  <c r="Y17" i="1079"/>
  <c r="X17" i="1079"/>
  <c r="W17" i="1079"/>
  <c r="V17" i="1079"/>
  <c r="U17" i="1079"/>
  <c r="T17" i="1079"/>
  <c r="S17" i="1079"/>
  <c r="R17" i="1079"/>
  <c r="M17" i="1079"/>
  <c r="L17" i="1079"/>
  <c r="K17" i="1079"/>
  <c r="Z16" i="1079"/>
  <c r="Y16" i="1079"/>
  <c r="X16" i="1079"/>
  <c r="W16" i="1079"/>
  <c r="V16" i="1079"/>
  <c r="U16" i="1079"/>
  <c r="T16" i="1079"/>
  <c r="S16" i="1079"/>
  <c r="R16" i="1079"/>
  <c r="M16" i="1079"/>
  <c r="L16" i="1079"/>
  <c r="K16" i="1079"/>
  <c r="Z15" i="1079"/>
  <c r="Y15" i="1079"/>
  <c r="X15" i="1079"/>
  <c r="W15" i="1079"/>
  <c r="V15" i="1079"/>
  <c r="U15" i="1079"/>
  <c r="T15" i="1079"/>
  <c r="S15" i="1079"/>
  <c r="R15" i="1079"/>
  <c r="Z14" i="1079"/>
  <c r="Y14" i="1079"/>
  <c r="X14" i="1079"/>
  <c r="W14" i="1079"/>
  <c r="V14" i="1079"/>
  <c r="U14" i="1079"/>
  <c r="T14" i="1079"/>
  <c r="S14" i="1079"/>
  <c r="R14" i="1079"/>
  <c r="Z13" i="1079"/>
  <c r="Y13" i="1079"/>
  <c r="X13" i="1079"/>
  <c r="W13" i="1079"/>
  <c r="V13" i="1079"/>
  <c r="U13" i="1079"/>
  <c r="T13" i="1079"/>
  <c r="S13" i="1079"/>
  <c r="R13" i="1079"/>
  <c r="Z12" i="1079"/>
  <c r="Y12" i="1079"/>
  <c r="X12" i="1079"/>
  <c r="W12" i="1079"/>
  <c r="V12" i="1079"/>
  <c r="U12" i="1079"/>
  <c r="T12" i="1079"/>
  <c r="S12" i="1079"/>
  <c r="R12" i="1079"/>
  <c r="Z11" i="1079"/>
  <c r="Y11" i="1079"/>
  <c r="X11" i="1079"/>
  <c r="W11" i="1079"/>
  <c r="V11" i="1079"/>
  <c r="U11" i="1079"/>
  <c r="T11" i="1079"/>
  <c r="S11" i="1079"/>
  <c r="R11" i="1079"/>
  <c r="Z10" i="1079"/>
  <c r="Y10" i="1079"/>
  <c r="X10" i="1079"/>
  <c r="W10" i="1079"/>
  <c r="V10" i="1079"/>
  <c r="U10" i="1079"/>
  <c r="T10" i="1079"/>
  <c r="S10" i="1079"/>
  <c r="R10" i="1079"/>
  <c r="L40" i="1078"/>
  <c r="M25" i="1078"/>
  <c r="L25" i="1078"/>
  <c r="K25" i="1078"/>
  <c r="R10" i="1078"/>
  <c r="S10" i="1078"/>
  <c r="T10" i="1078"/>
  <c r="U10" i="1078"/>
  <c r="V10" i="1078"/>
  <c r="W10" i="1078"/>
  <c r="X10" i="1078"/>
  <c r="Y10" i="1078"/>
  <c r="Z10" i="1078"/>
  <c r="R11" i="1078"/>
  <c r="S11" i="1078"/>
  <c r="T11" i="1078"/>
  <c r="U11" i="1078"/>
  <c r="V11" i="1078"/>
  <c r="W11" i="1078"/>
  <c r="X11" i="1078"/>
  <c r="Y11" i="1078"/>
  <c r="Z11" i="1078"/>
  <c r="R12" i="1078"/>
  <c r="S12" i="1078"/>
  <c r="T12" i="1078"/>
  <c r="U12" i="1078"/>
  <c r="V12" i="1078"/>
  <c r="W12" i="1078"/>
  <c r="X12" i="1078"/>
  <c r="Y12" i="1078"/>
  <c r="Z12" i="1078"/>
  <c r="R13" i="1078"/>
  <c r="S13" i="1078"/>
  <c r="T13" i="1078"/>
  <c r="U13" i="1078"/>
  <c r="V13" i="1078"/>
  <c r="W13" i="1078"/>
  <c r="X13" i="1078"/>
  <c r="Y13" i="1078"/>
  <c r="Z13" i="1078"/>
  <c r="R14" i="1078"/>
  <c r="S14" i="1078"/>
  <c r="T14" i="1078"/>
  <c r="U14" i="1078"/>
  <c r="V14" i="1078"/>
  <c r="W14" i="1078"/>
  <c r="X14" i="1078"/>
  <c r="Y14" i="1078"/>
  <c r="Z14" i="1078"/>
  <c r="R15" i="1078"/>
  <c r="S15" i="1078"/>
  <c r="T15" i="1078"/>
  <c r="U15" i="1078"/>
  <c r="V15" i="1078"/>
  <c r="W15" i="1078"/>
  <c r="X15" i="1078"/>
  <c r="Y15" i="1078"/>
  <c r="Z15" i="1078"/>
  <c r="I10" i="1078"/>
  <c r="J10" i="1078"/>
  <c r="K10" i="1078"/>
  <c r="L10" i="1078"/>
  <c r="M10" i="1078"/>
  <c r="N10" i="1078"/>
  <c r="O10" i="1078"/>
  <c r="I11" i="1078"/>
  <c r="J11" i="1078"/>
  <c r="K11" i="1078"/>
  <c r="L11" i="1078"/>
  <c r="M11" i="1078"/>
  <c r="N11" i="1078"/>
  <c r="O11" i="1078"/>
  <c r="I12" i="1078"/>
  <c r="J12" i="1078"/>
  <c r="K12" i="1078"/>
  <c r="L12" i="1078"/>
  <c r="M12" i="1078"/>
  <c r="N12" i="1078"/>
  <c r="O12" i="1078"/>
  <c r="I13" i="1078"/>
  <c r="J13" i="1078"/>
  <c r="K13" i="1078"/>
  <c r="L13" i="1078"/>
  <c r="M13" i="1078"/>
  <c r="N13" i="1078"/>
  <c r="O13" i="1078"/>
  <c r="I14" i="1078"/>
  <c r="J14" i="1078"/>
  <c r="K14" i="1078"/>
  <c r="L14" i="1078"/>
  <c r="M14" i="1078"/>
  <c r="O14" i="1078"/>
  <c r="I15" i="1078"/>
  <c r="J15" i="1078"/>
  <c r="K15" i="1078"/>
  <c r="L15" i="1078"/>
  <c r="M15" i="1078"/>
  <c r="N15" i="1078"/>
  <c r="O15" i="1078"/>
  <c r="I16" i="1078"/>
  <c r="J16" i="1078"/>
  <c r="K16" i="1078"/>
  <c r="L16" i="1078"/>
  <c r="M16" i="1078"/>
  <c r="N16" i="1078"/>
  <c r="O16" i="1078"/>
  <c r="I17" i="1078"/>
  <c r="J17" i="1078"/>
  <c r="K17" i="1078"/>
  <c r="L17" i="1078"/>
  <c r="M17" i="1078"/>
  <c r="N17" i="1078"/>
  <c r="O17" i="1078"/>
  <c r="I18" i="1078"/>
  <c r="J18" i="1078"/>
  <c r="K18" i="1078"/>
  <c r="L18" i="1078"/>
  <c r="M18" i="1078"/>
  <c r="N18" i="1078"/>
  <c r="O18" i="1078"/>
  <c r="I19" i="1078"/>
  <c r="J19" i="1078"/>
  <c r="K19" i="1078"/>
  <c r="L19" i="1078"/>
  <c r="M19" i="1078"/>
  <c r="N19" i="1078"/>
  <c r="O19" i="1078"/>
  <c r="C10" i="1078"/>
  <c r="D10" i="1078"/>
  <c r="E10" i="1078"/>
  <c r="F10" i="1078"/>
  <c r="G10" i="1078"/>
  <c r="C11" i="1078"/>
  <c r="D11" i="1078"/>
  <c r="E11" i="1078"/>
  <c r="F11" i="1078"/>
  <c r="G11" i="1078"/>
  <c r="C12" i="1078"/>
  <c r="D12" i="1078"/>
  <c r="E12" i="1078"/>
  <c r="F12" i="1078"/>
  <c r="G12" i="1078"/>
  <c r="C13" i="1078"/>
  <c r="D13" i="1078"/>
  <c r="E13" i="1078"/>
  <c r="F13" i="1078"/>
  <c r="G13" i="1078"/>
  <c r="C14" i="1078"/>
  <c r="D14" i="1078"/>
  <c r="E14" i="1078"/>
  <c r="F14" i="1078"/>
  <c r="G14" i="1078"/>
  <c r="C15" i="1078"/>
  <c r="D15" i="1078"/>
  <c r="E15" i="1078"/>
  <c r="F15" i="1078"/>
  <c r="G15" i="1078"/>
  <c r="C16" i="1078"/>
  <c r="D16" i="1078"/>
  <c r="E16" i="1078"/>
  <c r="F16" i="1078"/>
  <c r="G16" i="1078"/>
  <c r="C17" i="1078"/>
  <c r="D17" i="1078"/>
  <c r="E17" i="1078"/>
  <c r="F17" i="1078"/>
  <c r="G17" i="1078"/>
  <c r="C18" i="1078"/>
  <c r="D18" i="1078"/>
  <c r="E18" i="1078"/>
  <c r="F18" i="1078"/>
  <c r="G18" i="1078"/>
  <c r="C19" i="1078"/>
  <c r="D19" i="1078"/>
  <c r="E19" i="1078"/>
  <c r="F19" i="1078"/>
  <c r="G19" i="1078"/>
  <c r="L44" i="1079" l="1"/>
  <c r="C59" i="1079" s="1"/>
  <c r="K25" i="1079"/>
  <c r="L25" i="1079" s="1"/>
  <c r="J25" i="1078"/>
  <c r="N14" i="1078"/>
  <c r="G54" i="1078" l="1"/>
  <c r="AX56" i="1078"/>
  <c r="AW56" i="1078"/>
  <c r="AV56" i="1078"/>
  <c r="AU56" i="1078"/>
  <c r="AT56" i="1078"/>
  <c r="AS56" i="1078"/>
  <c r="AR56" i="1078"/>
  <c r="AQ56" i="1078"/>
  <c r="AP56" i="1078"/>
  <c r="AO56" i="1078"/>
  <c r="AN56" i="1078"/>
  <c r="AM56" i="1078"/>
  <c r="AL56" i="1078"/>
  <c r="AK56" i="1078"/>
  <c r="AJ56" i="1078"/>
  <c r="AI56" i="1078"/>
  <c r="AH56" i="1078"/>
  <c r="AG56" i="1078"/>
  <c r="AF56" i="1078"/>
  <c r="AE56" i="1078"/>
  <c r="AD56" i="1078"/>
  <c r="AC56" i="1078"/>
  <c r="AB56" i="1078"/>
  <c r="K56" i="1078"/>
  <c r="G56" i="1078"/>
  <c r="B56" i="1078"/>
  <c r="AX55" i="1078"/>
  <c r="AW55" i="1078"/>
  <c r="AV55" i="1078"/>
  <c r="AU55" i="1078"/>
  <c r="AT55" i="1078"/>
  <c r="AS55" i="1078"/>
  <c r="AR55" i="1078"/>
  <c r="AQ55" i="1078"/>
  <c r="AP55" i="1078"/>
  <c r="AO55" i="1078"/>
  <c r="AN55" i="1078"/>
  <c r="AM55" i="1078"/>
  <c r="AL55" i="1078"/>
  <c r="AK55" i="1078"/>
  <c r="AJ55" i="1078"/>
  <c r="AI55" i="1078"/>
  <c r="AH55" i="1078"/>
  <c r="AG55" i="1078"/>
  <c r="AF55" i="1078"/>
  <c r="AE55" i="1078"/>
  <c r="AD55" i="1078"/>
  <c r="AC55" i="1078"/>
  <c r="AB55" i="1078"/>
  <c r="AX54" i="1078"/>
  <c r="AW54" i="1078"/>
  <c r="AV54" i="1078"/>
  <c r="AU54" i="1078"/>
  <c r="AT54" i="1078"/>
  <c r="AS54" i="1078"/>
  <c r="AR54" i="1078"/>
  <c r="AQ54" i="1078"/>
  <c r="AP54" i="1078"/>
  <c r="AO54" i="1078"/>
  <c r="AN54" i="1078"/>
  <c r="AM54" i="1078"/>
  <c r="AL54" i="1078"/>
  <c r="AK54" i="1078"/>
  <c r="AJ54" i="1078"/>
  <c r="AI54" i="1078"/>
  <c r="AH54" i="1078"/>
  <c r="AG54" i="1078"/>
  <c r="AF54" i="1078"/>
  <c r="AE54" i="1078"/>
  <c r="AD54" i="1078"/>
  <c r="AC54" i="1078"/>
  <c r="AB54" i="1078"/>
  <c r="B54" i="1078"/>
  <c r="K49" i="1078"/>
  <c r="M40" i="1078"/>
  <c r="Z36" i="1078"/>
  <c r="Y36" i="1078"/>
  <c r="X36" i="1078"/>
  <c r="W36" i="1078"/>
  <c r="V36" i="1078"/>
  <c r="U36" i="1078"/>
  <c r="T36" i="1078"/>
  <c r="S36" i="1078"/>
  <c r="R36" i="1078"/>
  <c r="Z35" i="1078"/>
  <c r="Y35" i="1078"/>
  <c r="X35" i="1078"/>
  <c r="W35" i="1078"/>
  <c r="V35" i="1078"/>
  <c r="U35" i="1078"/>
  <c r="T35" i="1078"/>
  <c r="S35" i="1078"/>
  <c r="R35" i="1078"/>
  <c r="Z34" i="1078"/>
  <c r="Y34" i="1078"/>
  <c r="X34" i="1078"/>
  <c r="W34" i="1078"/>
  <c r="V34" i="1078"/>
  <c r="U34" i="1078"/>
  <c r="T34" i="1078"/>
  <c r="S34" i="1078"/>
  <c r="R34" i="1078"/>
  <c r="Z33" i="1078"/>
  <c r="Y33" i="1078"/>
  <c r="X33" i="1078"/>
  <c r="W33" i="1078"/>
  <c r="V33" i="1078"/>
  <c r="U33" i="1078"/>
  <c r="T33" i="1078"/>
  <c r="S33" i="1078"/>
  <c r="R33" i="1078"/>
  <c r="Z32" i="1078"/>
  <c r="Y32" i="1078"/>
  <c r="X32" i="1078"/>
  <c r="W32" i="1078"/>
  <c r="V32" i="1078"/>
  <c r="U32" i="1078"/>
  <c r="T32" i="1078"/>
  <c r="S32" i="1078"/>
  <c r="R32" i="1078"/>
  <c r="Z31" i="1078"/>
  <c r="Y31" i="1078"/>
  <c r="X31" i="1078"/>
  <c r="W31" i="1078"/>
  <c r="V31" i="1078"/>
  <c r="U31" i="1078"/>
  <c r="T31" i="1078"/>
  <c r="S31" i="1078"/>
  <c r="R31" i="1078"/>
  <c r="M31" i="1078"/>
  <c r="Z30" i="1078"/>
  <c r="Y30" i="1078"/>
  <c r="X30" i="1078"/>
  <c r="W30" i="1078"/>
  <c r="V30" i="1078"/>
  <c r="U30" i="1078"/>
  <c r="T30" i="1078"/>
  <c r="S30" i="1078"/>
  <c r="R30" i="1078"/>
  <c r="M30" i="1078"/>
  <c r="L30" i="1078"/>
  <c r="K30" i="1078"/>
  <c r="Z29" i="1078"/>
  <c r="Y29" i="1078"/>
  <c r="X29" i="1078"/>
  <c r="W29" i="1078"/>
  <c r="V29" i="1078"/>
  <c r="U29" i="1078"/>
  <c r="T29" i="1078"/>
  <c r="S29" i="1078"/>
  <c r="R29" i="1078"/>
  <c r="Z28" i="1078"/>
  <c r="Y28" i="1078"/>
  <c r="X28" i="1078"/>
  <c r="W28" i="1078"/>
  <c r="V28" i="1078"/>
  <c r="U28" i="1078"/>
  <c r="T28" i="1078"/>
  <c r="S28" i="1078"/>
  <c r="R28" i="1078"/>
  <c r="M28" i="1078"/>
  <c r="Z27" i="1078"/>
  <c r="Y27" i="1078"/>
  <c r="X27" i="1078"/>
  <c r="W27" i="1078"/>
  <c r="V27" i="1078"/>
  <c r="U27" i="1078"/>
  <c r="T27" i="1078"/>
  <c r="S27" i="1078"/>
  <c r="R27" i="1078"/>
  <c r="M27" i="1078"/>
  <c r="L27" i="1078"/>
  <c r="K27" i="1078"/>
  <c r="Z26" i="1078"/>
  <c r="Y26" i="1078"/>
  <c r="X26" i="1078"/>
  <c r="W26" i="1078"/>
  <c r="V26" i="1078"/>
  <c r="U26" i="1078"/>
  <c r="T26" i="1078"/>
  <c r="S26" i="1078"/>
  <c r="R26" i="1078"/>
  <c r="M26" i="1078"/>
  <c r="L26" i="1078"/>
  <c r="K26" i="1078"/>
  <c r="Z25" i="1078"/>
  <c r="Y25" i="1078"/>
  <c r="X25" i="1078"/>
  <c r="W25" i="1078"/>
  <c r="V25" i="1078"/>
  <c r="U25" i="1078"/>
  <c r="T25" i="1078"/>
  <c r="S25" i="1078"/>
  <c r="R25" i="1078"/>
  <c r="Z24" i="1078"/>
  <c r="Y24" i="1078"/>
  <c r="X24" i="1078"/>
  <c r="W24" i="1078"/>
  <c r="V24" i="1078"/>
  <c r="U24" i="1078"/>
  <c r="T24" i="1078"/>
  <c r="S24" i="1078"/>
  <c r="R24" i="1078"/>
  <c r="Z23" i="1078"/>
  <c r="Y23" i="1078"/>
  <c r="X23" i="1078"/>
  <c r="W23" i="1078"/>
  <c r="V23" i="1078"/>
  <c r="U23" i="1078"/>
  <c r="T23" i="1078"/>
  <c r="S23" i="1078"/>
  <c r="R23" i="1078"/>
  <c r="Z22" i="1078"/>
  <c r="Y22" i="1078"/>
  <c r="X22" i="1078"/>
  <c r="W22" i="1078"/>
  <c r="V22" i="1078"/>
  <c r="U22" i="1078"/>
  <c r="T22" i="1078"/>
  <c r="S22" i="1078"/>
  <c r="R22" i="1078"/>
  <c r="Z21" i="1078"/>
  <c r="Y21" i="1078"/>
  <c r="X21" i="1078"/>
  <c r="W21" i="1078"/>
  <c r="V21" i="1078"/>
  <c r="U21" i="1078"/>
  <c r="T21" i="1078"/>
  <c r="S21" i="1078"/>
  <c r="R21" i="1078"/>
  <c r="Z20" i="1078"/>
  <c r="Y20" i="1078"/>
  <c r="X20" i="1078"/>
  <c r="W20" i="1078"/>
  <c r="V20" i="1078"/>
  <c r="U20" i="1078"/>
  <c r="T20" i="1078"/>
  <c r="S20" i="1078"/>
  <c r="R20" i="1078"/>
  <c r="Z19" i="1078"/>
  <c r="Y19" i="1078"/>
  <c r="X19" i="1078"/>
  <c r="W19" i="1078"/>
  <c r="V19" i="1078"/>
  <c r="U19" i="1078"/>
  <c r="T19" i="1078"/>
  <c r="S19" i="1078"/>
  <c r="R19" i="1078"/>
  <c r="Z18" i="1078"/>
  <c r="Y18" i="1078"/>
  <c r="X18" i="1078"/>
  <c r="W18" i="1078"/>
  <c r="V18" i="1078"/>
  <c r="U18" i="1078"/>
  <c r="T18" i="1078"/>
  <c r="S18" i="1078"/>
  <c r="R18" i="1078"/>
  <c r="Z17" i="1078"/>
  <c r="Y17" i="1078"/>
  <c r="X17" i="1078"/>
  <c r="W17" i="1078"/>
  <c r="V17" i="1078"/>
  <c r="U17" i="1078"/>
  <c r="T17" i="1078"/>
  <c r="S17" i="1078"/>
  <c r="R17" i="1078"/>
  <c r="Z16" i="1078"/>
  <c r="Y16" i="1078"/>
  <c r="X16" i="1078"/>
  <c r="W16" i="1078"/>
  <c r="V16" i="1078"/>
  <c r="U16" i="1078"/>
  <c r="T16" i="1078"/>
  <c r="S16" i="1078"/>
  <c r="R16" i="1078"/>
  <c r="K56" i="1077"/>
  <c r="K69" i="1077" s="1"/>
  <c r="G56" i="1077"/>
  <c r="L42" i="1077" l="1"/>
  <c r="M27" i="1077"/>
  <c r="L27" i="1077"/>
  <c r="R10" i="1077"/>
  <c r="S10" i="1077"/>
  <c r="T10" i="1077"/>
  <c r="U10" i="1077"/>
  <c r="V10" i="1077"/>
  <c r="W10" i="1077"/>
  <c r="X10" i="1077"/>
  <c r="Y10" i="1077"/>
  <c r="Z10" i="1077"/>
  <c r="R11" i="1077"/>
  <c r="S11" i="1077"/>
  <c r="T11" i="1077"/>
  <c r="U11" i="1077"/>
  <c r="V11" i="1077"/>
  <c r="W11" i="1077"/>
  <c r="X11" i="1077"/>
  <c r="Y11" i="1077"/>
  <c r="Z11" i="1077"/>
  <c r="R12" i="1077"/>
  <c r="S12" i="1077"/>
  <c r="T12" i="1077"/>
  <c r="U12" i="1077"/>
  <c r="V12" i="1077"/>
  <c r="W12" i="1077"/>
  <c r="X12" i="1077"/>
  <c r="Y12" i="1077"/>
  <c r="Z12" i="1077"/>
  <c r="R13" i="1077"/>
  <c r="S13" i="1077"/>
  <c r="T13" i="1077"/>
  <c r="U13" i="1077"/>
  <c r="V13" i="1077"/>
  <c r="W13" i="1077"/>
  <c r="X13" i="1077"/>
  <c r="Y13" i="1077"/>
  <c r="Z13" i="1077"/>
  <c r="R14" i="1077"/>
  <c r="S14" i="1077"/>
  <c r="T14" i="1077"/>
  <c r="U14" i="1077"/>
  <c r="V14" i="1077"/>
  <c r="W14" i="1077"/>
  <c r="X14" i="1077"/>
  <c r="Y14" i="1077"/>
  <c r="Z14" i="1077"/>
  <c r="R15" i="1077"/>
  <c r="S15" i="1077"/>
  <c r="T15" i="1077"/>
  <c r="U15" i="1077"/>
  <c r="V15" i="1077"/>
  <c r="W15" i="1077"/>
  <c r="X15" i="1077"/>
  <c r="Y15" i="1077"/>
  <c r="Z15" i="1077"/>
  <c r="R16" i="1077"/>
  <c r="S16" i="1077"/>
  <c r="T16" i="1077"/>
  <c r="U16" i="1077"/>
  <c r="V16" i="1077"/>
  <c r="W16" i="1077"/>
  <c r="X16" i="1077"/>
  <c r="Y16" i="1077"/>
  <c r="Z16" i="1077"/>
  <c r="R17" i="1077"/>
  <c r="S17" i="1077"/>
  <c r="T17" i="1077"/>
  <c r="U17" i="1077"/>
  <c r="V17" i="1077"/>
  <c r="W17" i="1077"/>
  <c r="X17" i="1077"/>
  <c r="Y17" i="1077"/>
  <c r="Z17" i="1077"/>
  <c r="R18" i="1077"/>
  <c r="S18" i="1077"/>
  <c r="T18" i="1077"/>
  <c r="U18" i="1077"/>
  <c r="V18" i="1077"/>
  <c r="W18" i="1077"/>
  <c r="X18" i="1077"/>
  <c r="Y18" i="1077"/>
  <c r="Z18" i="1077"/>
  <c r="R19" i="1077"/>
  <c r="S19" i="1077"/>
  <c r="T19" i="1077"/>
  <c r="U19" i="1077"/>
  <c r="V19" i="1077"/>
  <c r="W19" i="1077"/>
  <c r="X19" i="1077"/>
  <c r="Y19" i="1077"/>
  <c r="Z19" i="1077"/>
  <c r="I10" i="1077"/>
  <c r="J10" i="1077"/>
  <c r="K10" i="1077"/>
  <c r="L10" i="1077"/>
  <c r="M10" i="1077"/>
  <c r="N10" i="1077"/>
  <c r="O10" i="1077"/>
  <c r="I11" i="1077"/>
  <c r="J11" i="1077"/>
  <c r="K11" i="1077"/>
  <c r="L11" i="1077"/>
  <c r="M11" i="1077"/>
  <c r="N11" i="1077"/>
  <c r="O11" i="1077"/>
  <c r="I12" i="1077"/>
  <c r="J12" i="1077"/>
  <c r="K12" i="1077"/>
  <c r="L12" i="1077"/>
  <c r="M12" i="1077"/>
  <c r="N12" i="1077"/>
  <c r="O12" i="1077"/>
  <c r="I13" i="1077"/>
  <c r="J13" i="1077"/>
  <c r="K13" i="1077"/>
  <c r="L13" i="1077"/>
  <c r="M13" i="1077"/>
  <c r="N13" i="1077"/>
  <c r="O13" i="1077"/>
  <c r="I14" i="1077"/>
  <c r="J14" i="1077"/>
  <c r="K14" i="1077"/>
  <c r="L14" i="1077"/>
  <c r="M14" i="1077"/>
  <c r="N14" i="1077"/>
  <c r="O14" i="1077"/>
  <c r="I15" i="1077"/>
  <c r="J15" i="1077"/>
  <c r="K15" i="1077"/>
  <c r="L15" i="1077"/>
  <c r="M15" i="1077"/>
  <c r="N15" i="1077"/>
  <c r="O15" i="1077"/>
  <c r="I16" i="1077"/>
  <c r="J16" i="1077"/>
  <c r="K16" i="1077"/>
  <c r="L16" i="1077"/>
  <c r="M16" i="1077"/>
  <c r="N16" i="1077"/>
  <c r="O16" i="1077"/>
  <c r="I17" i="1077"/>
  <c r="J17" i="1077"/>
  <c r="K17" i="1077"/>
  <c r="L17" i="1077"/>
  <c r="M17" i="1077"/>
  <c r="N17" i="1077"/>
  <c r="O17" i="1077"/>
  <c r="D10" i="1077"/>
  <c r="E10" i="1077"/>
  <c r="F10" i="1077"/>
  <c r="G10" i="1077"/>
  <c r="D11" i="1077"/>
  <c r="E11" i="1077"/>
  <c r="F11" i="1077"/>
  <c r="G11" i="1077"/>
  <c r="D12" i="1077"/>
  <c r="E12" i="1077"/>
  <c r="F12" i="1077"/>
  <c r="G12" i="1077"/>
  <c r="D13" i="1077"/>
  <c r="E13" i="1077"/>
  <c r="F13" i="1077"/>
  <c r="G13" i="1077"/>
  <c r="D14" i="1077"/>
  <c r="E14" i="1077"/>
  <c r="F14" i="1077"/>
  <c r="G14" i="1077"/>
  <c r="D15" i="1077"/>
  <c r="E15" i="1077"/>
  <c r="F15" i="1077"/>
  <c r="G15" i="1077"/>
  <c r="D16" i="1077"/>
  <c r="E16" i="1077"/>
  <c r="F16" i="1077"/>
  <c r="G16" i="1077"/>
  <c r="D17" i="1077"/>
  <c r="E17" i="1077"/>
  <c r="F17" i="1077"/>
  <c r="G17" i="1077"/>
  <c r="J27" i="1077" l="1"/>
  <c r="AX58" i="1077"/>
  <c r="AW58" i="1077"/>
  <c r="AV58" i="1077"/>
  <c r="AU58" i="1077"/>
  <c r="AT58" i="1077"/>
  <c r="AS58" i="1077"/>
  <c r="AR58" i="1077"/>
  <c r="AQ58" i="1077"/>
  <c r="AP58" i="1077"/>
  <c r="AO58" i="1077"/>
  <c r="AN58" i="1077"/>
  <c r="AM58" i="1077"/>
  <c r="AL58" i="1077"/>
  <c r="AK58" i="1077"/>
  <c r="AJ58" i="1077"/>
  <c r="AI58" i="1077"/>
  <c r="AH58" i="1077"/>
  <c r="AG58" i="1077"/>
  <c r="AF58" i="1077"/>
  <c r="AE58" i="1077"/>
  <c r="AD58" i="1077"/>
  <c r="AC58" i="1077"/>
  <c r="AB58" i="1077"/>
  <c r="K58" i="1077"/>
  <c r="G58" i="1077"/>
  <c r="B58" i="1077"/>
  <c r="AX57" i="1077"/>
  <c r="AW57" i="1077"/>
  <c r="AV57" i="1077"/>
  <c r="AU57" i="1077"/>
  <c r="AT57" i="1077"/>
  <c r="AS57" i="1077"/>
  <c r="AR57" i="1077"/>
  <c r="AQ57" i="1077"/>
  <c r="AP57" i="1077"/>
  <c r="AO57" i="1077"/>
  <c r="AN57" i="1077"/>
  <c r="AM57" i="1077"/>
  <c r="AL57" i="1077"/>
  <c r="AK57" i="1077"/>
  <c r="AJ57" i="1077"/>
  <c r="AI57" i="1077"/>
  <c r="AH57" i="1077"/>
  <c r="AG57" i="1077"/>
  <c r="AF57" i="1077"/>
  <c r="AE57" i="1077"/>
  <c r="AD57" i="1077"/>
  <c r="AC57" i="1077"/>
  <c r="AB57" i="1077"/>
  <c r="AX56" i="1077"/>
  <c r="AW56" i="1077"/>
  <c r="AV56" i="1077"/>
  <c r="AU56" i="1077"/>
  <c r="AT56" i="1077"/>
  <c r="AS56" i="1077"/>
  <c r="AR56" i="1077"/>
  <c r="AQ56" i="1077"/>
  <c r="AP56" i="1077"/>
  <c r="AO56" i="1077"/>
  <c r="AN56" i="1077"/>
  <c r="AM56" i="1077"/>
  <c r="AL56" i="1077"/>
  <c r="AK56" i="1077"/>
  <c r="AJ56" i="1077"/>
  <c r="AI56" i="1077"/>
  <c r="AH56" i="1077"/>
  <c r="AG56" i="1077"/>
  <c r="AF56" i="1077"/>
  <c r="AE56" i="1077"/>
  <c r="AD56" i="1077"/>
  <c r="AC56" i="1077"/>
  <c r="AB56" i="1077"/>
  <c r="B56" i="1077"/>
  <c r="K51" i="1077"/>
  <c r="M42" i="1077" s="1"/>
  <c r="Z38" i="1077"/>
  <c r="Y38" i="1077"/>
  <c r="X38" i="1077"/>
  <c r="W38" i="1077"/>
  <c r="V38" i="1077"/>
  <c r="U38" i="1077"/>
  <c r="T38" i="1077"/>
  <c r="S38" i="1077"/>
  <c r="R38" i="1077"/>
  <c r="Z37" i="1077"/>
  <c r="Y37" i="1077"/>
  <c r="X37" i="1077"/>
  <c r="W37" i="1077"/>
  <c r="V37" i="1077"/>
  <c r="U37" i="1077"/>
  <c r="T37" i="1077"/>
  <c r="S37" i="1077"/>
  <c r="R37" i="1077"/>
  <c r="Z36" i="1077"/>
  <c r="Y36" i="1077"/>
  <c r="X36" i="1077"/>
  <c r="W36" i="1077"/>
  <c r="V36" i="1077"/>
  <c r="U36" i="1077"/>
  <c r="T36" i="1077"/>
  <c r="S36" i="1077"/>
  <c r="R36" i="1077"/>
  <c r="Z35" i="1077"/>
  <c r="Y35" i="1077"/>
  <c r="X35" i="1077"/>
  <c r="W35" i="1077"/>
  <c r="V35" i="1077"/>
  <c r="U35" i="1077"/>
  <c r="T35" i="1077"/>
  <c r="S35" i="1077"/>
  <c r="R35" i="1077"/>
  <c r="Z34" i="1077"/>
  <c r="Y34" i="1077"/>
  <c r="X34" i="1077"/>
  <c r="W34" i="1077"/>
  <c r="V34" i="1077"/>
  <c r="U34" i="1077"/>
  <c r="T34" i="1077"/>
  <c r="S34" i="1077"/>
  <c r="R34" i="1077"/>
  <c r="Z33" i="1077"/>
  <c r="Y33" i="1077"/>
  <c r="X33" i="1077"/>
  <c r="W33" i="1077"/>
  <c r="V33" i="1077"/>
  <c r="U33" i="1077"/>
  <c r="T33" i="1077"/>
  <c r="S33" i="1077"/>
  <c r="R33" i="1077"/>
  <c r="M33" i="1077"/>
  <c r="Z32" i="1077"/>
  <c r="Y32" i="1077"/>
  <c r="X32" i="1077"/>
  <c r="W32" i="1077"/>
  <c r="V32" i="1077"/>
  <c r="U32" i="1077"/>
  <c r="T32" i="1077"/>
  <c r="S32" i="1077"/>
  <c r="R32" i="1077"/>
  <c r="M32" i="1077"/>
  <c r="L32" i="1077"/>
  <c r="K32" i="1077"/>
  <c r="Z31" i="1077"/>
  <c r="Y31" i="1077"/>
  <c r="X31" i="1077"/>
  <c r="W31" i="1077"/>
  <c r="V31" i="1077"/>
  <c r="U31" i="1077"/>
  <c r="T31" i="1077"/>
  <c r="S31" i="1077"/>
  <c r="R31" i="1077"/>
  <c r="Z30" i="1077"/>
  <c r="Y30" i="1077"/>
  <c r="X30" i="1077"/>
  <c r="W30" i="1077"/>
  <c r="V30" i="1077"/>
  <c r="U30" i="1077"/>
  <c r="T30" i="1077"/>
  <c r="S30" i="1077"/>
  <c r="R30" i="1077"/>
  <c r="M30" i="1077"/>
  <c r="Z29" i="1077"/>
  <c r="Y29" i="1077"/>
  <c r="X29" i="1077"/>
  <c r="W29" i="1077"/>
  <c r="V29" i="1077"/>
  <c r="U29" i="1077"/>
  <c r="T29" i="1077"/>
  <c r="S29" i="1077"/>
  <c r="R29" i="1077"/>
  <c r="M29" i="1077"/>
  <c r="L29" i="1077"/>
  <c r="K29" i="1077"/>
  <c r="Z28" i="1077"/>
  <c r="Y28" i="1077"/>
  <c r="X28" i="1077"/>
  <c r="W28" i="1077"/>
  <c r="V28" i="1077"/>
  <c r="U28" i="1077"/>
  <c r="T28" i="1077"/>
  <c r="S28" i="1077"/>
  <c r="R28" i="1077"/>
  <c r="M28" i="1077"/>
  <c r="L28" i="1077"/>
  <c r="K28" i="1077"/>
  <c r="Z27" i="1077"/>
  <c r="Y27" i="1077"/>
  <c r="X27" i="1077"/>
  <c r="W27" i="1077"/>
  <c r="V27" i="1077"/>
  <c r="U27" i="1077"/>
  <c r="T27" i="1077"/>
  <c r="S27" i="1077"/>
  <c r="R27" i="1077"/>
  <c r="Z26" i="1077"/>
  <c r="Y26" i="1077"/>
  <c r="X26" i="1077"/>
  <c r="W26" i="1077"/>
  <c r="V26" i="1077"/>
  <c r="U26" i="1077"/>
  <c r="T26" i="1077"/>
  <c r="S26" i="1077"/>
  <c r="R26" i="1077"/>
  <c r="Z25" i="1077"/>
  <c r="Y25" i="1077"/>
  <c r="X25" i="1077"/>
  <c r="W25" i="1077"/>
  <c r="V25" i="1077"/>
  <c r="U25" i="1077"/>
  <c r="T25" i="1077"/>
  <c r="S25" i="1077"/>
  <c r="R25" i="1077"/>
  <c r="Z24" i="1077"/>
  <c r="Y24" i="1077"/>
  <c r="X24" i="1077"/>
  <c r="W24" i="1077"/>
  <c r="V24" i="1077"/>
  <c r="U24" i="1077"/>
  <c r="T24" i="1077"/>
  <c r="S24" i="1077"/>
  <c r="R24" i="1077"/>
  <c r="Z23" i="1077"/>
  <c r="Y23" i="1077"/>
  <c r="X23" i="1077"/>
  <c r="W23" i="1077"/>
  <c r="V23" i="1077"/>
  <c r="U23" i="1077"/>
  <c r="T23" i="1077"/>
  <c r="S23" i="1077"/>
  <c r="R23" i="1077"/>
  <c r="Z22" i="1077"/>
  <c r="Y22" i="1077"/>
  <c r="X22" i="1077"/>
  <c r="W22" i="1077"/>
  <c r="V22" i="1077"/>
  <c r="U22" i="1077"/>
  <c r="T22" i="1077"/>
  <c r="S22" i="1077"/>
  <c r="R22" i="1077"/>
  <c r="Z21" i="1077"/>
  <c r="Y21" i="1077"/>
  <c r="X21" i="1077"/>
  <c r="W21" i="1077"/>
  <c r="V21" i="1077"/>
  <c r="U21" i="1077"/>
  <c r="T21" i="1077"/>
  <c r="S21" i="1077"/>
  <c r="R21" i="1077"/>
  <c r="Z20" i="1077"/>
  <c r="Y20" i="1077"/>
  <c r="X20" i="1077"/>
  <c r="W20" i="1077"/>
  <c r="V20" i="1077"/>
  <c r="U20" i="1077"/>
  <c r="T20" i="1077"/>
  <c r="S20" i="1077"/>
  <c r="R20" i="1077"/>
  <c r="K53" i="1076"/>
  <c r="G53" i="1076" l="1"/>
  <c r="L37" i="1076"/>
  <c r="M22" i="1076"/>
  <c r="L22" i="1076"/>
  <c r="I10" i="1076"/>
  <c r="J10" i="1076"/>
  <c r="K10" i="1076"/>
  <c r="L10" i="1076"/>
  <c r="M10" i="1076"/>
  <c r="N10" i="1076"/>
  <c r="O10" i="1076"/>
  <c r="I11" i="1076"/>
  <c r="J11" i="1076"/>
  <c r="K11" i="1076"/>
  <c r="L11" i="1076"/>
  <c r="M11" i="1076"/>
  <c r="N11" i="1076"/>
  <c r="O11" i="1076"/>
  <c r="I12" i="1076"/>
  <c r="J12" i="1076"/>
  <c r="K12" i="1076"/>
  <c r="L12" i="1076"/>
  <c r="M12" i="1076"/>
  <c r="N12" i="1076"/>
  <c r="O12" i="1076"/>
  <c r="I13" i="1076"/>
  <c r="J13" i="1076"/>
  <c r="K13" i="1076"/>
  <c r="L13" i="1076"/>
  <c r="M13" i="1076"/>
  <c r="N13" i="1076"/>
  <c r="O13" i="1076"/>
  <c r="I14" i="1076"/>
  <c r="J14" i="1076"/>
  <c r="K14" i="1076"/>
  <c r="L14" i="1076"/>
  <c r="M14" i="1076"/>
  <c r="N14" i="1076"/>
  <c r="O14" i="1076"/>
  <c r="D10" i="1076"/>
  <c r="E10" i="1076"/>
  <c r="F10" i="1076"/>
  <c r="G10" i="1076"/>
  <c r="D11" i="1076"/>
  <c r="E11" i="1076"/>
  <c r="F11" i="1076"/>
  <c r="G11" i="1076"/>
  <c r="D12" i="1076"/>
  <c r="E12" i="1076"/>
  <c r="F12" i="1076"/>
  <c r="G12" i="1076"/>
  <c r="D13" i="1076"/>
  <c r="E13" i="1076"/>
  <c r="F13" i="1076"/>
  <c r="G13" i="1076"/>
  <c r="D14" i="1076"/>
  <c r="E14" i="1076"/>
  <c r="F14" i="1076"/>
  <c r="G14" i="1076"/>
  <c r="AX53" i="1076"/>
  <c r="AW53" i="1076"/>
  <c r="AV53" i="1076"/>
  <c r="AU53" i="1076"/>
  <c r="AT53" i="1076"/>
  <c r="AS53" i="1076"/>
  <c r="AR53" i="1076"/>
  <c r="AQ53" i="1076"/>
  <c r="AP53" i="1076"/>
  <c r="AO53" i="1076"/>
  <c r="AN53" i="1076"/>
  <c r="AM53" i="1076"/>
  <c r="AL53" i="1076"/>
  <c r="AK53" i="1076"/>
  <c r="AJ53" i="1076"/>
  <c r="AI53" i="1076"/>
  <c r="AH53" i="1076"/>
  <c r="AG53" i="1076"/>
  <c r="AF53" i="1076"/>
  <c r="AE53" i="1076"/>
  <c r="AD53" i="1076"/>
  <c r="AC53" i="1076"/>
  <c r="AB53" i="1076"/>
  <c r="K65" i="1076"/>
  <c r="B53" i="1076"/>
  <c r="AX52" i="1076"/>
  <c r="AW52" i="1076"/>
  <c r="AV52" i="1076"/>
  <c r="AU52" i="1076"/>
  <c r="AT52" i="1076"/>
  <c r="AS52" i="1076"/>
  <c r="AR52" i="1076"/>
  <c r="AQ52" i="1076"/>
  <c r="AP52" i="1076"/>
  <c r="AO52" i="1076"/>
  <c r="AN52" i="1076"/>
  <c r="AM52" i="1076"/>
  <c r="AL52" i="1076"/>
  <c r="AK52" i="1076"/>
  <c r="AJ52" i="1076"/>
  <c r="AI52" i="1076"/>
  <c r="AH52" i="1076"/>
  <c r="AG52" i="1076"/>
  <c r="AF52" i="1076"/>
  <c r="AE52" i="1076"/>
  <c r="AD52" i="1076"/>
  <c r="AC52" i="1076"/>
  <c r="AB52" i="1076"/>
  <c r="AX51" i="1076"/>
  <c r="AW51" i="1076"/>
  <c r="AV51" i="1076"/>
  <c r="AU51" i="1076"/>
  <c r="AT51" i="1076"/>
  <c r="AS51" i="1076"/>
  <c r="AR51" i="1076"/>
  <c r="AQ51" i="1076"/>
  <c r="AP51" i="1076"/>
  <c r="AO51" i="1076"/>
  <c r="AN51" i="1076"/>
  <c r="AM51" i="1076"/>
  <c r="AL51" i="1076"/>
  <c r="AK51" i="1076"/>
  <c r="AJ51" i="1076"/>
  <c r="AI51" i="1076"/>
  <c r="AH51" i="1076"/>
  <c r="AG51" i="1076"/>
  <c r="AF51" i="1076"/>
  <c r="AE51" i="1076"/>
  <c r="AD51" i="1076"/>
  <c r="AC51" i="1076"/>
  <c r="AB51" i="1076"/>
  <c r="K51" i="1076"/>
  <c r="G51" i="1076"/>
  <c r="B51" i="1076"/>
  <c r="K46" i="1076"/>
  <c r="M37" i="1076" s="1"/>
  <c r="Z33" i="1076"/>
  <c r="Y33" i="1076"/>
  <c r="X33" i="1076"/>
  <c r="W33" i="1076"/>
  <c r="V33" i="1076"/>
  <c r="U33" i="1076"/>
  <c r="T33" i="1076"/>
  <c r="S33" i="1076"/>
  <c r="R33" i="1076"/>
  <c r="Z32" i="1076"/>
  <c r="Y32" i="1076"/>
  <c r="X32" i="1076"/>
  <c r="W32" i="1076"/>
  <c r="V32" i="1076"/>
  <c r="U32" i="1076"/>
  <c r="T32" i="1076"/>
  <c r="S32" i="1076"/>
  <c r="R32" i="1076"/>
  <c r="Z31" i="1076"/>
  <c r="Y31" i="1076"/>
  <c r="X31" i="1076"/>
  <c r="W31" i="1076"/>
  <c r="V31" i="1076"/>
  <c r="U31" i="1076"/>
  <c r="T31" i="1076"/>
  <c r="S31" i="1076"/>
  <c r="R31" i="1076"/>
  <c r="Z30" i="1076"/>
  <c r="Y30" i="1076"/>
  <c r="X30" i="1076"/>
  <c r="W30" i="1076"/>
  <c r="V30" i="1076"/>
  <c r="U30" i="1076"/>
  <c r="T30" i="1076"/>
  <c r="S30" i="1076"/>
  <c r="R30" i="1076"/>
  <c r="Z29" i="1076"/>
  <c r="Y29" i="1076"/>
  <c r="X29" i="1076"/>
  <c r="W29" i="1076"/>
  <c r="V29" i="1076"/>
  <c r="U29" i="1076"/>
  <c r="T29" i="1076"/>
  <c r="S29" i="1076"/>
  <c r="R29" i="1076"/>
  <c r="Z28" i="1076"/>
  <c r="Y28" i="1076"/>
  <c r="X28" i="1076"/>
  <c r="W28" i="1076"/>
  <c r="V28" i="1076"/>
  <c r="U28" i="1076"/>
  <c r="T28" i="1076"/>
  <c r="S28" i="1076"/>
  <c r="R28" i="1076"/>
  <c r="M28" i="1076"/>
  <c r="Z27" i="1076"/>
  <c r="Y27" i="1076"/>
  <c r="X27" i="1076"/>
  <c r="W27" i="1076"/>
  <c r="V27" i="1076"/>
  <c r="U27" i="1076"/>
  <c r="T27" i="1076"/>
  <c r="S27" i="1076"/>
  <c r="R27" i="1076"/>
  <c r="M27" i="1076"/>
  <c r="L27" i="1076"/>
  <c r="K27" i="1076"/>
  <c r="Z26" i="1076"/>
  <c r="Y26" i="1076"/>
  <c r="X26" i="1076"/>
  <c r="W26" i="1076"/>
  <c r="V26" i="1076"/>
  <c r="U26" i="1076"/>
  <c r="T26" i="1076"/>
  <c r="S26" i="1076"/>
  <c r="R26" i="1076"/>
  <c r="Z25" i="1076"/>
  <c r="Y25" i="1076"/>
  <c r="X25" i="1076"/>
  <c r="W25" i="1076"/>
  <c r="V25" i="1076"/>
  <c r="U25" i="1076"/>
  <c r="T25" i="1076"/>
  <c r="S25" i="1076"/>
  <c r="R25" i="1076"/>
  <c r="M25" i="1076"/>
  <c r="Z24" i="1076"/>
  <c r="Y24" i="1076"/>
  <c r="X24" i="1076"/>
  <c r="W24" i="1076"/>
  <c r="V24" i="1076"/>
  <c r="U24" i="1076"/>
  <c r="T24" i="1076"/>
  <c r="S24" i="1076"/>
  <c r="R24" i="1076"/>
  <c r="M24" i="1076"/>
  <c r="L24" i="1076"/>
  <c r="K24" i="1076"/>
  <c r="Z23" i="1076"/>
  <c r="Y23" i="1076"/>
  <c r="X23" i="1076"/>
  <c r="W23" i="1076"/>
  <c r="V23" i="1076"/>
  <c r="U23" i="1076"/>
  <c r="T23" i="1076"/>
  <c r="S23" i="1076"/>
  <c r="R23" i="1076"/>
  <c r="M23" i="1076"/>
  <c r="L23" i="1076"/>
  <c r="K23" i="1076"/>
  <c r="Z22" i="1076"/>
  <c r="Y22" i="1076"/>
  <c r="X22" i="1076"/>
  <c r="W22" i="1076"/>
  <c r="V22" i="1076"/>
  <c r="U22" i="1076"/>
  <c r="T22" i="1076"/>
  <c r="S22" i="1076"/>
  <c r="R22" i="1076"/>
  <c r="Z21" i="1076"/>
  <c r="Y21" i="1076"/>
  <c r="X21" i="1076"/>
  <c r="W21" i="1076"/>
  <c r="V21" i="1076"/>
  <c r="U21" i="1076"/>
  <c r="T21" i="1076"/>
  <c r="S21" i="1076"/>
  <c r="R21" i="1076"/>
  <c r="Z20" i="1076"/>
  <c r="Y20" i="1076"/>
  <c r="X20" i="1076"/>
  <c r="W20" i="1076"/>
  <c r="V20" i="1076"/>
  <c r="U20" i="1076"/>
  <c r="T20" i="1076"/>
  <c r="S20" i="1076"/>
  <c r="R20" i="1076"/>
  <c r="Z19" i="1076"/>
  <c r="Y19" i="1076"/>
  <c r="X19" i="1076"/>
  <c r="W19" i="1076"/>
  <c r="V19" i="1076"/>
  <c r="U19" i="1076"/>
  <c r="T19" i="1076"/>
  <c r="S19" i="1076"/>
  <c r="R19" i="1076"/>
  <c r="Z18" i="1076"/>
  <c r="Y18" i="1076"/>
  <c r="X18" i="1076"/>
  <c r="W18" i="1076"/>
  <c r="V18" i="1076"/>
  <c r="U18" i="1076"/>
  <c r="T18" i="1076"/>
  <c r="S18" i="1076"/>
  <c r="R18" i="1076"/>
  <c r="Z17" i="1076"/>
  <c r="Y17" i="1076"/>
  <c r="X17" i="1076"/>
  <c r="W17" i="1076"/>
  <c r="V17" i="1076"/>
  <c r="U17" i="1076"/>
  <c r="T17" i="1076"/>
  <c r="S17" i="1076"/>
  <c r="R17" i="1076"/>
  <c r="Z16" i="1076"/>
  <c r="Y16" i="1076"/>
  <c r="X16" i="1076"/>
  <c r="W16" i="1076"/>
  <c r="V16" i="1076"/>
  <c r="U16" i="1076"/>
  <c r="T16" i="1076"/>
  <c r="S16" i="1076"/>
  <c r="R16" i="1076"/>
  <c r="Z15" i="1076"/>
  <c r="Y15" i="1076"/>
  <c r="X15" i="1076"/>
  <c r="W15" i="1076"/>
  <c r="V15" i="1076"/>
  <c r="U15" i="1076"/>
  <c r="T15" i="1076"/>
  <c r="S15" i="1076"/>
  <c r="R15" i="1076"/>
  <c r="Z14" i="1076"/>
  <c r="Y14" i="1076"/>
  <c r="X14" i="1076"/>
  <c r="W14" i="1076"/>
  <c r="V14" i="1076"/>
  <c r="U14" i="1076"/>
  <c r="T14" i="1076"/>
  <c r="S14" i="1076"/>
  <c r="R14" i="1076"/>
  <c r="Z13" i="1076"/>
  <c r="Y13" i="1076"/>
  <c r="X13" i="1076"/>
  <c r="W13" i="1076"/>
  <c r="V13" i="1076"/>
  <c r="U13" i="1076"/>
  <c r="T13" i="1076"/>
  <c r="S13" i="1076"/>
  <c r="R13" i="1076"/>
  <c r="Z12" i="1076"/>
  <c r="Y12" i="1076"/>
  <c r="X12" i="1076"/>
  <c r="W12" i="1076"/>
  <c r="V12" i="1076"/>
  <c r="U12" i="1076"/>
  <c r="T12" i="1076"/>
  <c r="S12" i="1076"/>
  <c r="R12" i="1076"/>
  <c r="Z11" i="1076"/>
  <c r="Y11" i="1076"/>
  <c r="X11" i="1076"/>
  <c r="W11" i="1076"/>
  <c r="V11" i="1076"/>
  <c r="U11" i="1076"/>
  <c r="T11" i="1076"/>
  <c r="S11" i="1076"/>
  <c r="R11" i="1076"/>
  <c r="Z10" i="1076"/>
  <c r="Y10" i="1076"/>
  <c r="X10" i="1076"/>
  <c r="W10" i="1076"/>
  <c r="V10" i="1076"/>
  <c r="U10" i="1076"/>
  <c r="T10" i="1076"/>
  <c r="S10" i="1076"/>
  <c r="R10" i="1076"/>
  <c r="R10" i="1075"/>
  <c r="S10" i="1075"/>
  <c r="T10" i="1075"/>
  <c r="U10" i="1075"/>
  <c r="V10" i="1075"/>
  <c r="W10" i="1075"/>
  <c r="X10" i="1075"/>
  <c r="Y10" i="1075"/>
  <c r="Z10" i="1075"/>
  <c r="R11" i="1075"/>
  <c r="S11" i="1075"/>
  <c r="T11" i="1075"/>
  <c r="U11" i="1075"/>
  <c r="V11" i="1075"/>
  <c r="W11" i="1075"/>
  <c r="X11" i="1075"/>
  <c r="Y11" i="1075"/>
  <c r="Z11" i="1075"/>
  <c r="R12" i="1075"/>
  <c r="S12" i="1075"/>
  <c r="T12" i="1075"/>
  <c r="U12" i="1075"/>
  <c r="V12" i="1075"/>
  <c r="W12" i="1075"/>
  <c r="X12" i="1075"/>
  <c r="Y12" i="1075"/>
  <c r="Z12" i="1075"/>
  <c r="R13" i="1075"/>
  <c r="S13" i="1075"/>
  <c r="T13" i="1075"/>
  <c r="U13" i="1075"/>
  <c r="V13" i="1075"/>
  <c r="W13" i="1075"/>
  <c r="X13" i="1075"/>
  <c r="Y13" i="1075"/>
  <c r="Z13" i="1075"/>
  <c r="R14" i="1075"/>
  <c r="S14" i="1075"/>
  <c r="T14" i="1075"/>
  <c r="U14" i="1075"/>
  <c r="V14" i="1075"/>
  <c r="W14" i="1075"/>
  <c r="X14" i="1075"/>
  <c r="Y14" i="1075"/>
  <c r="Z14" i="1075"/>
  <c r="R15" i="1075"/>
  <c r="S15" i="1075"/>
  <c r="T15" i="1075"/>
  <c r="U15" i="1075"/>
  <c r="V15" i="1075"/>
  <c r="W15" i="1075"/>
  <c r="X15" i="1075"/>
  <c r="Y15" i="1075"/>
  <c r="Z15" i="1075"/>
  <c r="R16" i="1075"/>
  <c r="S16" i="1075"/>
  <c r="T16" i="1075"/>
  <c r="U16" i="1075"/>
  <c r="V16" i="1075"/>
  <c r="W16" i="1075"/>
  <c r="X16" i="1075"/>
  <c r="Y16" i="1075"/>
  <c r="Z16" i="1075"/>
  <c r="R17" i="1075"/>
  <c r="S17" i="1075"/>
  <c r="T17" i="1075"/>
  <c r="U17" i="1075"/>
  <c r="V17" i="1075"/>
  <c r="W17" i="1075"/>
  <c r="X17" i="1075"/>
  <c r="Y17" i="1075"/>
  <c r="Z17" i="1075"/>
  <c r="R18" i="1075"/>
  <c r="S18" i="1075"/>
  <c r="T18" i="1075"/>
  <c r="U18" i="1075"/>
  <c r="V18" i="1075"/>
  <c r="W18" i="1075"/>
  <c r="X18" i="1075"/>
  <c r="Y18" i="1075"/>
  <c r="Z18" i="1075"/>
  <c r="R19" i="1075"/>
  <c r="S19" i="1075"/>
  <c r="T19" i="1075"/>
  <c r="U19" i="1075"/>
  <c r="V19" i="1075"/>
  <c r="W19" i="1075"/>
  <c r="X19" i="1075"/>
  <c r="Y19" i="1075"/>
  <c r="Z19" i="1075"/>
  <c r="R20" i="1075"/>
  <c r="S20" i="1075"/>
  <c r="T20" i="1075"/>
  <c r="U20" i="1075"/>
  <c r="V20" i="1075"/>
  <c r="W20" i="1075"/>
  <c r="X20" i="1075"/>
  <c r="Y20" i="1075"/>
  <c r="Z20" i="1075"/>
  <c r="R21" i="1075"/>
  <c r="S21" i="1075"/>
  <c r="T21" i="1075"/>
  <c r="U21" i="1075"/>
  <c r="V21" i="1075"/>
  <c r="W21" i="1075"/>
  <c r="X21" i="1075"/>
  <c r="Y21" i="1075"/>
  <c r="Z21" i="1075"/>
  <c r="R22" i="1075"/>
  <c r="S22" i="1075"/>
  <c r="T22" i="1075"/>
  <c r="U22" i="1075"/>
  <c r="V22" i="1075"/>
  <c r="W22" i="1075"/>
  <c r="X22" i="1075"/>
  <c r="Y22" i="1075"/>
  <c r="Z22" i="1075"/>
  <c r="R23" i="1075"/>
  <c r="S23" i="1075"/>
  <c r="T23" i="1075"/>
  <c r="U23" i="1075"/>
  <c r="V23" i="1075"/>
  <c r="W23" i="1075"/>
  <c r="X23" i="1075"/>
  <c r="Y23" i="1075"/>
  <c r="Z23" i="1075"/>
  <c r="K55" i="1075"/>
  <c r="K67" i="1075" s="1"/>
  <c r="K53" i="1075"/>
  <c r="K66" i="1075" s="1"/>
  <c r="J22" i="1076" l="1"/>
  <c r="G55" i="1075"/>
  <c r="G53" i="1075"/>
  <c r="B53" i="1075" l="1"/>
  <c r="B55" i="1075"/>
  <c r="L39" i="1075"/>
  <c r="M25" i="1075"/>
  <c r="L25" i="1075"/>
  <c r="K25" i="1075"/>
  <c r="I10" i="1075"/>
  <c r="J10" i="1075"/>
  <c r="L10" i="1075"/>
  <c r="M10" i="1075"/>
  <c r="N10" i="1075"/>
  <c r="O10" i="1075"/>
  <c r="I11" i="1075"/>
  <c r="J11" i="1075"/>
  <c r="L11" i="1075"/>
  <c r="M11" i="1075"/>
  <c r="N11" i="1075"/>
  <c r="O11" i="1075"/>
  <c r="I12" i="1075"/>
  <c r="J12" i="1075"/>
  <c r="L12" i="1075"/>
  <c r="M12" i="1075"/>
  <c r="N12" i="1075"/>
  <c r="O12" i="1075"/>
  <c r="I13" i="1075"/>
  <c r="J13" i="1075"/>
  <c r="L13" i="1075"/>
  <c r="M13" i="1075"/>
  <c r="N13" i="1075"/>
  <c r="O13" i="1075"/>
  <c r="I14" i="1075"/>
  <c r="J14" i="1075"/>
  <c r="L14" i="1075"/>
  <c r="M14" i="1075"/>
  <c r="N14" i="1075"/>
  <c r="O14" i="1075"/>
  <c r="I15" i="1075"/>
  <c r="J15" i="1075"/>
  <c r="L15" i="1075"/>
  <c r="M15" i="1075"/>
  <c r="N15" i="1075"/>
  <c r="O15" i="1075"/>
  <c r="I16" i="1075"/>
  <c r="J16" i="1075"/>
  <c r="L16" i="1075"/>
  <c r="M16" i="1075"/>
  <c r="N16" i="1075"/>
  <c r="O16" i="1075"/>
  <c r="I17" i="1075"/>
  <c r="J17" i="1075"/>
  <c r="L17" i="1075"/>
  <c r="M17" i="1075"/>
  <c r="N17" i="1075"/>
  <c r="O17" i="1075"/>
  <c r="C13" i="1075"/>
  <c r="D13" i="1075"/>
  <c r="E13" i="1075"/>
  <c r="F13" i="1075"/>
  <c r="G13" i="1075"/>
  <c r="C14" i="1075"/>
  <c r="D14" i="1075"/>
  <c r="E14" i="1075"/>
  <c r="F14" i="1075"/>
  <c r="G14" i="1075"/>
  <c r="C15" i="1075"/>
  <c r="D15" i="1075"/>
  <c r="E15" i="1075"/>
  <c r="F15" i="1075"/>
  <c r="G15" i="1075"/>
  <c r="C16" i="1075"/>
  <c r="D16" i="1075"/>
  <c r="E16" i="1075"/>
  <c r="F16" i="1075"/>
  <c r="G16" i="1075"/>
  <c r="C17" i="1075"/>
  <c r="D17" i="1075"/>
  <c r="E17" i="1075"/>
  <c r="F17" i="1075"/>
  <c r="G17" i="1075"/>
  <c r="C10" i="1075"/>
  <c r="D10" i="1075"/>
  <c r="E10" i="1075"/>
  <c r="F10" i="1075"/>
  <c r="G10" i="1075"/>
  <c r="C11" i="1075"/>
  <c r="D11" i="1075"/>
  <c r="E11" i="1075"/>
  <c r="F11" i="1075"/>
  <c r="G11" i="1075"/>
  <c r="C12" i="1075"/>
  <c r="D12" i="1075"/>
  <c r="E12" i="1075"/>
  <c r="F12" i="1075"/>
  <c r="G12" i="1075"/>
  <c r="AX55" i="1075"/>
  <c r="AW55" i="1075"/>
  <c r="AV55" i="1075"/>
  <c r="AU55" i="1075"/>
  <c r="AT55" i="1075"/>
  <c r="AS55" i="1075"/>
  <c r="AR55" i="1075"/>
  <c r="AQ55" i="1075"/>
  <c r="AP55" i="1075"/>
  <c r="AO55" i="1075"/>
  <c r="AN55" i="1075"/>
  <c r="AM55" i="1075"/>
  <c r="AL55" i="1075"/>
  <c r="AK55" i="1075"/>
  <c r="AJ55" i="1075"/>
  <c r="AI55" i="1075"/>
  <c r="AH55" i="1075"/>
  <c r="AG55" i="1075"/>
  <c r="AF55" i="1075"/>
  <c r="AE55" i="1075"/>
  <c r="AD55" i="1075"/>
  <c r="AC55" i="1075"/>
  <c r="AB55" i="1075"/>
  <c r="AX54" i="1075"/>
  <c r="AW54" i="1075"/>
  <c r="AV54" i="1075"/>
  <c r="AU54" i="1075"/>
  <c r="AT54" i="1075"/>
  <c r="AS54" i="1075"/>
  <c r="AR54" i="1075"/>
  <c r="AQ54" i="1075"/>
  <c r="AP54" i="1075"/>
  <c r="AO54" i="1075"/>
  <c r="AN54" i="1075"/>
  <c r="AM54" i="1075"/>
  <c r="AL54" i="1075"/>
  <c r="AK54" i="1075"/>
  <c r="AJ54" i="1075"/>
  <c r="AI54" i="1075"/>
  <c r="AH54" i="1075"/>
  <c r="AG54" i="1075"/>
  <c r="AF54" i="1075"/>
  <c r="AE54" i="1075"/>
  <c r="AD54" i="1075"/>
  <c r="AC54" i="1075"/>
  <c r="AB54" i="1075"/>
  <c r="AX53" i="1075"/>
  <c r="AW53" i="1075"/>
  <c r="AV53" i="1075"/>
  <c r="AU53" i="1075"/>
  <c r="AT53" i="1075"/>
  <c r="AS53" i="1075"/>
  <c r="AR53" i="1075"/>
  <c r="AQ53" i="1075"/>
  <c r="AP53" i="1075"/>
  <c r="AO53" i="1075"/>
  <c r="AN53" i="1075"/>
  <c r="AM53" i="1075"/>
  <c r="AL53" i="1075"/>
  <c r="AK53" i="1075"/>
  <c r="AJ53" i="1075"/>
  <c r="AI53" i="1075"/>
  <c r="AH53" i="1075"/>
  <c r="AG53" i="1075"/>
  <c r="AF53" i="1075"/>
  <c r="AE53" i="1075"/>
  <c r="AD53" i="1075"/>
  <c r="AC53" i="1075"/>
  <c r="AB53" i="1075"/>
  <c r="K48" i="1075"/>
  <c r="M39" i="1075" s="1"/>
  <c r="Z35" i="1075"/>
  <c r="Y35" i="1075"/>
  <c r="X35" i="1075"/>
  <c r="W35" i="1075"/>
  <c r="V35" i="1075"/>
  <c r="U35" i="1075"/>
  <c r="T35" i="1075"/>
  <c r="S35" i="1075"/>
  <c r="R35" i="1075"/>
  <c r="Z34" i="1075"/>
  <c r="Y34" i="1075"/>
  <c r="X34" i="1075"/>
  <c r="W34" i="1075"/>
  <c r="V34" i="1075"/>
  <c r="U34" i="1075"/>
  <c r="T34" i="1075"/>
  <c r="S34" i="1075"/>
  <c r="R34" i="1075"/>
  <c r="Z33" i="1075"/>
  <c r="Y33" i="1075"/>
  <c r="X33" i="1075"/>
  <c r="W33" i="1075"/>
  <c r="V33" i="1075"/>
  <c r="U33" i="1075"/>
  <c r="T33" i="1075"/>
  <c r="S33" i="1075"/>
  <c r="R33" i="1075"/>
  <c r="Z32" i="1075"/>
  <c r="Y32" i="1075"/>
  <c r="X32" i="1075"/>
  <c r="W32" i="1075"/>
  <c r="V32" i="1075"/>
  <c r="U32" i="1075"/>
  <c r="T32" i="1075"/>
  <c r="S32" i="1075"/>
  <c r="R32" i="1075"/>
  <c r="Z31" i="1075"/>
  <c r="Y31" i="1075"/>
  <c r="X31" i="1075"/>
  <c r="W31" i="1075"/>
  <c r="V31" i="1075"/>
  <c r="U31" i="1075"/>
  <c r="T31" i="1075"/>
  <c r="S31" i="1075"/>
  <c r="R31" i="1075"/>
  <c r="Z30" i="1075"/>
  <c r="Y30" i="1075"/>
  <c r="X30" i="1075"/>
  <c r="W30" i="1075"/>
  <c r="V30" i="1075"/>
  <c r="U30" i="1075"/>
  <c r="T30" i="1075"/>
  <c r="S30" i="1075"/>
  <c r="R30" i="1075"/>
  <c r="M30" i="1075"/>
  <c r="Z29" i="1075"/>
  <c r="Y29" i="1075"/>
  <c r="X29" i="1075"/>
  <c r="W29" i="1075"/>
  <c r="V29" i="1075"/>
  <c r="U29" i="1075"/>
  <c r="T29" i="1075"/>
  <c r="S29" i="1075"/>
  <c r="R29" i="1075"/>
  <c r="M29" i="1075"/>
  <c r="L29" i="1075"/>
  <c r="K29" i="1075"/>
  <c r="Z28" i="1075"/>
  <c r="Y28" i="1075"/>
  <c r="X28" i="1075"/>
  <c r="W28" i="1075"/>
  <c r="V28" i="1075"/>
  <c r="U28" i="1075"/>
  <c r="T28" i="1075"/>
  <c r="S28" i="1075"/>
  <c r="R28" i="1075"/>
  <c r="Z27" i="1075"/>
  <c r="Y27" i="1075"/>
  <c r="X27" i="1075"/>
  <c r="W27" i="1075"/>
  <c r="V27" i="1075"/>
  <c r="U27" i="1075"/>
  <c r="T27" i="1075"/>
  <c r="S27" i="1075"/>
  <c r="R27" i="1075"/>
  <c r="M27" i="1075"/>
  <c r="Z26" i="1075"/>
  <c r="Y26" i="1075"/>
  <c r="X26" i="1075"/>
  <c r="W26" i="1075"/>
  <c r="V26" i="1075"/>
  <c r="U26" i="1075"/>
  <c r="T26" i="1075"/>
  <c r="S26" i="1075"/>
  <c r="R26" i="1075"/>
  <c r="M26" i="1075"/>
  <c r="L26" i="1075"/>
  <c r="K26" i="1075"/>
  <c r="Z25" i="1075"/>
  <c r="Y25" i="1075"/>
  <c r="X25" i="1075"/>
  <c r="W25" i="1075"/>
  <c r="V25" i="1075"/>
  <c r="U25" i="1075"/>
  <c r="T25" i="1075"/>
  <c r="S25" i="1075"/>
  <c r="R25" i="1075"/>
  <c r="Z24" i="1075"/>
  <c r="Y24" i="1075"/>
  <c r="X24" i="1075"/>
  <c r="W24" i="1075"/>
  <c r="V24" i="1075"/>
  <c r="U24" i="1075"/>
  <c r="T24" i="1075"/>
  <c r="S24" i="1075"/>
  <c r="R24" i="1075"/>
  <c r="M24" i="1075"/>
  <c r="L24" i="1075"/>
  <c r="L33" i="1074"/>
  <c r="M20" i="1074"/>
  <c r="L20" i="1074"/>
  <c r="K20" i="1074"/>
  <c r="I10" i="1074"/>
  <c r="J20" i="1074" s="1"/>
  <c r="J10" i="1074"/>
  <c r="K10" i="1074"/>
  <c r="L10" i="1074"/>
  <c r="M10" i="1074"/>
  <c r="N10" i="1074"/>
  <c r="O10" i="1074"/>
  <c r="C10" i="1074"/>
  <c r="D10" i="1074"/>
  <c r="E10" i="1074"/>
  <c r="F10" i="1074"/>
  <c r="G10" i="1074"/>
  <c r="AX49" i="1074"/>
  <c r="AW49" i="1074"/>
  <c r="AV49" i="1074"/>
  <c r="AU49" i="1074"/>
  <c r="AT49" i="1074"/>
  <c r="AS49" i="1074"/>
  <c r="AR49" i="1074"/>
  <c r="AQ49" i="1074"/>
  <c r="AP49" i="1074"/>
  <c r="AO49" i="1074"/>
  <c r="AN49" i="1074"/>
  <c r="AM49" i="1074"/>
  <c r="AL49" i="1074"/>
  <c r="AK49" i="1074"/>
  <c r="AJ49" i="1074"/>
  <c r="AI49" i="1074"/>
  <c r="AH49" i="1074"/>
  <c r="AG49" i="1074"/>
  <c r="AF49" i="1074"/>
  <c r="AE49" i="1074"/>
  <c r="AD49" i="1074"/>
  <c r="AC49" i="1074"/>
  <c r="AB49" i="1074"/>
  <c r="AX48" i="1074"/>
  <c r="AW48" i="1074"/>
  <c r="AV48" i="1074"/>
  <c r="AU48" i="1074"/>
  <c r="AT48" i="1074"/>
  <c r="AS48" i="1074"/>
  <c r="AR48" i="1074"/>
  <c r="AQ48" i="1074"/>
  <c r="AP48" i="1074"/>
  <c r="AO48" i="1074"/>
  <c r="AN48" i="1074"/>
  <c r="AM48" i="1074"/>
  <c r="AL48" i="1074"/>
  <c r="AK48" i="1074"/>
  <c r="AJ48" i="1074"/>
  <c r="AI48" i="1074"/>
  <c r="AH48" i="1074"/>
  <c r="AG48" i="1074"/>
  <c r="AF48" i="1074"/>
  <c r="AE48" i="1074"/>
  <c r="AD48" i="1074"/>
  <c r="AC48" i="1074"/>
  <c r="AB48" i="1074"/>
  <c r="AX47" i="1074"/>
  <c r="AW47" i="1074"/>
  <c r="AV47" i="1074"/>
  <c r="AU47" i="1074"/>
  <c r="AT47" i="1074"/>
  <c r="AS47" i="1074"/>
  <c r="AR47" i="1074"/>
  <c r="AQ47" i="1074"/>
  <c r="AP47" i="1074"/>
  <c r="AO47" i="1074"/>
  <c r="AN47" i="1074"/>
  <c r="AM47" i="1074"/>
  <c r="AL47" i="1074"/>
  <c r="AK47" i="1074"/>
  <c r="AJ47" i="1074"/>
  <c r="AI47" i="1074"/>
  <c r="AH47" i="1074"/>
  <c r="AG47" i="1074"/>
  <c r="AF47" i="1074"/>
  <c r="AE47" i="1074"/>
  <c r="AD47" i="1074"/>
  <c r="AC47" i="1074"/>
  <c r="AB47" i="1074"/>
  <c r="L47" i="1074"/>
  <c r="K42" i="1074"/>
  <c r="M33" i="1074" s="1"/>
  <c r="Z29" i="1074"/>
  <c r="Y29" i="1074"/>
  <c r="X29" i="1074"/>
  <c r="W29" i="1074"/>
  <c r="V29" i="1074"/>
  <c r="U29" i="1074"/>
  <c r="T29" i="1074"/>
  <c r="S29" i="1074"/>
  <c r="R29" i="1074"/>
  <c r="Z28" i="1074"/>
  <c r="Y28" i="1074"/>
  <c r="X28" i="1074"/>
  <c r="W28" i="1074"/>
  <c r="V28" i="1074"/>
  <c r="U28" i="1074"/>
  <c r="T28" i="1074"/>
  <c r="S28" i="1074"/>
  <c r="R28" i="1074"/>
  <c r="Z27" i="1074"/>
  <c r="Y27" i="1074"/>
  <c r="X27" i="1074"/>
  <c r="W27" i="1074"/>
  <c r="V27" i="1074"/>
  <c r="U27" i="1074"/>
  <c r="T27" i="1074"/>
  <c r="S27" i="1074"/>
  <c r="R27" i="1074"/>
  <c r="Z26" i="1074"/>
  <c r="Y26" i="1074"/>
  <c r="X26" i="1074"/>
  <c r="W26" i="1074"/>
  <c r="V26" i="1074"/>
  <c r="U26" i="1074"/>
  <c r="T26" i="1074"/>
  <c r="S26" i="1074"/>
  <c r="R26" i="1074"/>
  <c r="Z25" i="1074"/>
  <c r="Y25" i="1074"/>
  <c r="X25" i="1074"/>
  <c r="W25" i="1074"/>
  <c r="V25" i="1074"/>
  <c r="U25" i="1074"/>
  <c r="T25" i="1074"/>
  <c r="S25" i="1074"/>
  <c r="R25" i="1074"/>
  <c r="Z24" i="1074"/>
  <c r="Y24" i="1074"/>
  <c r="X24" i="1074"/>
  <c r="W24" i="1074"/>
  <c r="V24" i="1074"/>
  <c r="U24" i="1074"/>
  <c r="T24" i="1074"/>
  <c r="S24" i="1074"/>
  <c r="R24" i="1074"/>
  <c r="M24" i="1074"/>
  <c r="Z23" i="1074"/>
  <c r="Y23" i="1074"/>
  <c r="X23" i="1074"/>
  <c r="W23" i="1074"/>
  <c r="V23" i="1074"/>
  <c r="U23" i="1074"/>
  <c r="T23" i="1074"/>
  <c r="S23" i="1074"/>
  <c r="R23" i="1074"/>
  <c r="M23" i="1074"/>
  <c r="L23" i="1074"/>
  <c r="K23" i="1074"/>
  <c r="Z22" i="1074"/>
  <c r="Y22" i="1074"/>
  <c r="X22" i="1074"/>
  <c r="W22" i="1074"/>
  <c r="V22" i="1074"/>
  <c r="U22" i="1074"/>
  <c r="T22" i="1074"/>
  <c r="S22" i="1074"/>
  <c r="R22" i="1074"/>
  <c r="Z21" i="1074"/>
  <c r="Y21" i="1074"/>
  <c r="X21" i="1074"/>
  <c r="W21" i="1074"/>
  <c r="V21" i="1074"/>
  <c r="U21" i="1074"/>
  <c r="T21" i="1074"/>
  <c r="S21" i="1074"/>
  <c r="R21" i="1074"/>
  <c r="M21" i="1074"/>
  <c r="Z20" i="1074"/>
  <c r="Y20" i="1074"/>
  <c r="X20" i="1074"/>
  <c r="W20" i="1074"/>
  <c r="V20" i="1074"/>
  <c r="U20" i="1074"/>
  <c r="T20" i="1074"/>
  <c r="S20" i="1074"/>
  <c r="R20" i="1074"/>
  <c r="Z19" i="1074"/>
  <c r="Y19" i="1074"/>
  <c r="X19" i="1074"/>
  <c r="W19" i="1074"/>
  <c r="V19" i="1074"/>
  <c r="U19" i="1074"/>
  <c r="T19" i="1074"/>
  <c r="S19" i="1074"/>
  <c r="R19" i="1074"/>
  <c r="M19" i="1074"/>
  <c r="L19" i="1074"/>
  <c r="K19" i="1074"/>
  <c r="Z18" i="1074"/>
  <c r="Y18" i="1074"/>
  <c r="X18" i="1074"/>
  <c r="W18" i="1074"/>
  <c r="V18" i="1074"/>
  <c r="U18" i="1074"/>
  <c r="T18" i="1074"/>
  <c r="S18" i="1074"/>
  <c r="R18" i="1074"/>
  <c r="M18" i="1074"/>
  <c r="L18" i="1074"/>
  <c r="Z17" i="1074"/>
  <c r="Y17" i="1074"/>
  <c r="X17" i="1074"/>
  <c r="W17" i="1074"/>
  <c r="V17" i="1074"/>
  <c r="U17" i="1074"/>
  <c r="T17" i="1074"/>
  <c r="S17" i="1074"/>
  <c r="R17" i="1074"/>
  <c r="Z16" i="1074"/>
  <c r="Y16" i="1074"/>
  <c r="X16" i="1074"/>
  <c r="W16" i="1074"/>
  <c r="V16" i="1074"/>
  <c r="U16" i="1074"/>
  <c r="T16" i="1074"/>
  <c r="S16" i="1074"/>
  <c r="R16" i="1074"/>
  <c r="Z15" i="1074"/>
  <c r="Y15" i="1074"/>
  <c r="X15" i="1074"/>
  <c r="W15" i="1074"/>
  <c r="V15" i="1074"/>
  <c r="U15" i="1074"/>
  <c r="T15" i="1074"/>
  <c r="S15" i="1074"/>
  <c r="R15" i="1074"/>
  <c r="Z14" i="1074"/>
  <c r="Y14" i="1074"/>
  <c r="X14" i="1074"/>
  <c r="W14" i="1074"/>
  <c r="V14" i="1074"/>
  <c r="U14" i="1074"/>
  <c r="T14" i="1074"/>
  <c r="S14" i="1074"/>
  <c r="R14" i="1074"/>
  <c r="Z13" i="1074"/>
  <c r="Y13" i="1074"/>
  <c r="X13" i="1074"/>
  <c r="W13" i="1074"/>
  <c r="V13" i="1074"/>
  <c r="U13" i="1074"/>
  <c r="T13" i="1074"/>
  <c r="S13" i="1074"/>
  <c r="R13" i="1074"/>
  <c r="Z12" i="1074"/>
  <c r="Y12" i="1074"/>
  <c r="X12" i="1074"/>
  <c r="W12" i="1074"/>
  <c r="V12" i="1074"/>
  <c r="U12" i="1074"/>
  <c r="T12" i="1074"/>
  <c r="S12" i="1074"/>
  <c r="R12" i="1074"/>
  <c r="Z11" i="1074"/>
  <c r="Y11" i="1074"/>
  <c r="X11" i="1074"/>
  <c r="W11" i="1074"/>
  <c r="V11" i="1074"/>
  <c r="U11" i="1074"/>
  <c r="T11" i="1074"/>
  <c r="S11" i="1074"/>
  <c r="R11" i="1074"/>
  <c r="Z10" i="1074"/>
  <c r="Y10" i="1074"/>
  <c r="X10" i="1074"/>
  <c r="W10" i="1074"/>
  <c r="V10" i="1074"/>
  <c r="U10" i="1074"/>
  <c r="T10" i="1074"/>
  <c r="S10" i="1074"/>
  <c r="R10" i="1074"/>
  <c r="G57" i="1073"/>
  <c r="J25" i="1075" l="1"/>
  <c r="B57" i="1073"/>
  <c r="L43" i="1073"/>
  <c r="M30" i="1073"/>
  <c r="L30" i="1073"/>
  <c r="K30" i="1073"/>
  <c r="K18" i="1073"/>
  <c r="K19" i="1073"/>
  <c r="C13" i="1073"/>
  <c r="D13" i="1073"/>
  <c r="E13" i="1073"/>
  <c r="F13" i="1073"/>
  <c r="G13" i="1073"/>
  <c r="I13" i="1073"/>
  <c r="J13" i="1073"/>
  <c r="K13" i="1073"/>
  <c r="L13" i="1073"/>
  <c r="M13" i="1073"/>
  <c r="O13" i="1073"/>
  <c r="C15" i="1073"/>
  <c r="D15" i="1073"/>
  <c r="E15" i="1073"/>
  <c r="F15" i="1073"/>
  <c r="G15" i="1073"/>
  <c r="I15" i="1073"/>
  <c r="J15" i="1073"/>
  <c r="K15" i="1073"/>
  <c r="L15" i="1073"/>
  <c r="M15" i="1073"/>
  <c r="O15" i="1073"/>
  <c r="C16" i="1073"/>
  <c r="D16" i="1073"/>
  <c r="E16" i="1073"/>
  <c r="F16" i="1073"/>
  <c r="G16" i="1073"/>
  <c r="I16" i="1073"/>
  <c r="J16" i="1073"/>
  <c r="K16" i="1073"/>
  <c r="L16" i="1073"/>
  <c r="M16" i="1073"/>
  <c r="O16" i="1073"/>
  <c r="C17" i="1073"/>
  <c r="D17" i="1073"/>
  <c r="E17" i="1073"/>
  <c r="F17" i="1073"/>
  <c r="G17" i="1073"/>
  <c r="I17" i="1073"/>
  <c r="J17" i="1073"/>
  <c r="K17" i="1073"/>
  <c r="L17" i="1073"/>
  <c r="M17" i="1073"/>
  <c r="O17" i="1073"/>
  <c r="C18" i="1073"/>
  <c r="D18" i="1073"/>
  <c r="E18" i="1073"/>
  <c r="F18" i="1073"/>
  <c r="G18" i="1073"/>
  <c r="I18" i="1073"/>
  <c r="J18" i="1073"/>
  <c r="L18" i="1073"/>
  <c r="M18" i="1073"/>
  <c r="O18" i="1073"/>
  <c r="C19" i="1073"/>
  <c r="D19" i="1073"/>
  <c r="E19" i="1073"/>
  <c r="F19" i="1073"/>
  <c r="G19" i="1073"/>
  <c r="I19" i="1073"/>
  <c r="J19" i="1073"/>
  <c r="L19" i="1073"/>
  <c r="M19" i="1073"/>
  <c r="O19" i="1073"/>
  <c r="O14" i="1073"/>
  <c r="M14" i="1073"/>
  <c r="L14" i="1073"/>
  <c r="K14" i="1073"/>
  <c r="J14" i="1073"/>
  <c r="I14" i="1073"/>
  <c r="G14" i="1073"/>
  <c r="F14" i="1073"/>
  <c r="E14" i="1073"/>
  <c r="D14" i="1073"/>
  <c r="C14" i="1073"/>
  <c r="J30" i="1073" l="1"/>
  <c r="M28" i="1073"/>
  <c r="L28" i="1073"/>
  <c r="I11" i="1073"/>
  <c r="J11" i="1073"/>
  <c r="K11" i="1073"/>
  <c r="L11" i="1073"/>
  <c r="M11" i="1073"/>
  <c r="N11" i="1073"/>
  <c r="O11" i="1073"/>
  <c r="D11" i="1073"/>
  <c r="E11" i="1073"/>
  <c r="F11" i="1073"/>
  <c r="G11" i="1073"/>
  <c r="R10" i="1073"/>
  <c r="S10" i="1073"/>
  <c r="T10" i="1073"/>
  <c r="U10" i="1073"/>
  <c r="V10" i="1073"/>
  <c r="W10" i="1073"/>
  <c r="X10" i="1073"/>
  <c r="Y10" i="1073"/>
  <c r="Z10" i="1073"/>
  <c r="R11" i="1073"/>
  <c r="S11" i="1073"/>
  <c r="T11" i="1073"/>
  <c r="U11" i="1073"/>
  <c r="V11" i="1073"/>
  <c r="W11" i="1073"/>
  <c r="X11" i="1073"/>
  <c r="Y11" i="1073"/>
  <c r="Z11" i="1073"/>
  <c r="R13" i="1073"/>
  <c r="S13" i="1073"/>
  <c r="T13" i="1073"/>
  <c r="U13" i="1073"/>
  <c r="V13" i="1073"/>
  <c r="W13" i="1073"/>
  <c r="X13" i="1073"/>
  <c r="Y13" i="1073"/>
  <c r="Z13" i="1073"/>
  <c r="R14" i="1073"/>
  <c r="S14" i="1073"/>
  <c r="T14" i="1073"/>
  <c r="U14" i="1073"/>
  <c r="V14" i="1073"/>
  <c r="W14" i="1073"/>
  <c r="X14" i="1073"/>
  <c r="Y14" i="1073"/>
  <c r="Z14" i="1073"/>
  <c r="R15" i="1073"/>
  <c r="S15" i="1073"/>
  <c r="T15" i="1073"/>
  <c r="U15" i="1073"/>
  <c r="V15" i="1073"/>
  <c r="W15" i="1073"/>
  <c r="X15" i="1073"/>
  <c r="Y15" i="1073"/>
  <c r="Z15" i="1073"/>
  <c r="R16" i="1073"/>
  <c r="S16" i="1073"/>
  <c r="T16" i="1073"/>
  <c r="U16" i="1073"/>
  <c r="V16" i="1073"/>
  <c r="W16" i="1073"/>
  <c r="X16" i="1073"/>
  <c r="Y16" i="1073"/>
  <c r="Z16" i="1073"/>
  <c r="R17" i="1073"/>
  <c r="S17" i="1073"/>
  <c r="T17" i="1073"/>
  <c r="U17" i="1073"/>
  <c r="V17" i="1073"/>
  <c r="W17" i="1073"/>
  <c r="X17" i="1073"/>
  <c r="Y17" i="1073"/>
  <c r="Z17" i="1073"/>
  <c r="R18" i="1073"/>
  <c r="S18" i="1073"/>
  <c r="T18" i="1073"/>
  <c r="U18" i="1073"/>
  <c r="V18" i="1073"/>
  <c r="W18" i="1073"/>
  <c r="X18" i="1073"/>
  <c r="Y18" i="1073"/>
  <c r="Z18" i="1073"/>
  <c r="R19" i="1073"/>
  <c r="S19" i="1073"/>
  <c r="T19" i="1073"/>
  <c r="U19" i="1073"/>
  <c r="V19" i="1073"/>
  <c r="W19" i="1073"/>
  <c r="X19" i="1073"/>
  <c r="Y19" i="1073"/>
  <c r="Z19" i="1073"/>
  <c r="I10" i="1073"/>
  <c r="J10" i="1073"/>
  <c r="K10" i="1073"/>
  <c r="L10" i="1073"/>
  <c r="M10" i="1073"/>
  <c r="N10" i="1073"/>
  <c r="O10" i="1073"/>
  <c r="D10" i="1073"/>
  <c r="E10" i="1073"/>
  <c r="F10" i="1073"/>
  <c r="G10" i="1073"/>
  <c r="AX59" i="1073"/>
  <c r="AW59" i="1073"/>
  <c r="AV59" i="1073"/>
  <c r="AU59" i="1073"/>
  <c r="AT59" i="1073"/>
  <c r="AS59" i="1073"/>
  <c r="AR59" i="1073"/>
  <c r="AQ59" i="1073"/>
  <c r="AP59" i="1073"/>
  <c r="AO59" i="1073"/>
  <c r="AN59" i="1073"/>
  <c r="AM59" i="1073"/>
  <c r="AL59" i="1073"/>
  <c r="AK59" i="1073"/>
  <c r="AJ59" i="1073"/>
  <c r="AI59" i="1073"/>
  <c r="AH59" i="1073"/>
  <c r="AG59" i="1073"/>
  <c r="AF59" i="1073"/>
  <c r="AE59" i="1073"/>
  <c r="AD59" i="1073"/>
  <c r="AC59" i="1073"/>
  <c r="AB59" i="1073"/>
  <c r="AX58" i="1073"/>
  <c r="AW58" i="1073"/>
  <c r="AV58" i="1073"/>
  <c r="AU58" i="1073"/>
  <c r="AT58" i="1073"/>
  <c r="AS58" i="1073"/>
  <c r="AR58" i="1073"/>
  <c r="AQ58" i="1073"/>
  <c r="AP58" i="1073"/>
  <c r="AO58" i="1073"/>
  <c r="AN58" i="1073"/>
  <c r="AM58" i="1073"/>
  <c r="AL58" i="1073"/>
  <c r="AK58" i="1073"/>
  <c r="AJ58" i="1073"/>
  <c r="AI58" i="1073"/>
  <c r="AH58" i="1073"/>
  <c r="AG58" i="1073"/>
  <c r="AF58" i="1073"/>
  <c r="AE58" i="1073"/>
  <c r="AD58" i="1073"/>
  <c r="AC58" i="1073"/>
  <c r="AB58" i="1073"/>
  <c r="AX57" i="1073"/>
  <c r="AW57" i="1073"/>
  <c r="AV57" i="1073"/>
  <c r="AU57" i="1073"/>
  <c r="AT57" i="1073"/>
  <c r="AS57" i="1073"/>
  <c r="AR57" i="1073"/>
  <c r="AQ57" i="1073"/>
  <c r="AP57" i="1073"/>
  <c r="AO57" i="1073"/>
  <c r="AN57" i="1073"/>
  <c r="AM57" i="1073"/>
  <c r="AL57" i="1073"/>
  <c r="AK57" i="1073"/>
  <c r="AJ57" i="1073"/>
  <c r="AI57" i="1073"/>
  <c r="AH57" i="1073"/>
  <c r="AG57" i="1073"/>
  <c r="AF57" i="1073"/>
  <c r="AE57" i="1073"/>
  <c r="AD57" i="1073"/>
  <c r="AC57" i="1073"/>
  <c r="AB57" i="1073"/>
  <c r="K52" i="1073"/>
  <c r="M43" i="1073" s="1"/>
  <c r="Z39" i="1073"/>
  <c r="Y39" i="1073"/>
  <c r="X39" i="1073"/>
  <c r="W39" i="1073"/>
  <c r="V39" i="1073"/>
  <c r="U39" i="1073"/>
  <c r="T39" i="1073"/>
  <c r="S39" i="1073"/>
  <c r="R39" i="1073"/>
  <c r="Z38" i="1073"/>
  <c r="Y38" i="1073"/>
  <c r="X38" i="1073"/>
  <c r="W38" i="1073"/>
  <c r="V38" i="1073"/>
  <c r="U38" i="1073"/>
  <c r="T38" i="1073"/>
  <c r="S38" i="1073"/>
  <c r="R38" i="1073"/>
  <c r="Z37" i="1073"/>
  <c r="Y37" i="1073"/>
  <c r="X37" i="1073"/>
  <c r="W37" i="1073"/>
  <c r="V37" i="1073"/>
  <c r="U37" i="1073"/>
  <c r="T37" i="1073"/>
  <c r="S37" i="1073"/>
  <c r="R37" i="1073"/>
  <c r="Z36" i="1073"/>
  <c r="Y36" i="1073"/>
  <c r="X36" i="1073"/>
  <c r="W36" i="1073"/>
  <c r="V36" i="1073"/>
  <c r="U36" i="1073"/>
  <c r="T36" i="1073"/>
  <c r="S36" i="1073"/>
  <c r="R36" i="1073"/>
  <c r="Z35" i="1073"/>
  <c r="Y35" i="1073"/>
  <c r="X35" i="1073"/>
  <c r="W35" i="1073"/>
  <c r="V35" i="1073"/>
  <c r="U35" i="1073"/>
  <c r="T35" i="1073"/>
  <c r="S35" i="1073"/>
  <c r="R35" i="1073"/>
  <c r="Z34" i="1073"/>
  <c r="Y34" i="1073"/>
  <c r="X34" i="1073"/>
  <c r="W34" i="1073"/>
  <c r="V34" i="1073"/>
  <c r="U34" i="1073"/>
  <c r="T34" i="1073"/>
  <c r="S34" i="1073"/>
  <c r="R34" i="1073"/>
  <c r="M34" i="1073"/>
  <c r="Z33" i="1073"/>
  <c r="Y33" i="1073"/>
  <c r="X33" i="1073"/>
  <c r="W33" i="1073"/>
  <c r="V33" i="1073"/>
  <c r="U33" i="1073"/>
  <c r="T33" i="1073"/>
  <c r="S33" i="1073"/>
  <c r="R33" i="1073"/>
  <c r="M33" i="1073"/>
  <c r="L33" i="1073"/>
  <c r="K33" i="1073"/>
  <c r="Z32" i="1073"/>
  <c r="Y32" i="1073"/>
  <c r="X32" i="1073"/>
  <c r="W32" i="1073"/>
  <c r="V32" i="1073"/>
  <c r="U32" i="1073"/>
  <c r="T32" i="1073"/>
  <c r="S32" i="1073"/>
  <c r="R32" i="1073"/>
  <c r="Z31" i="1073"/>
  <c r="Y31" i="1073"/>
  <c r="X31" i="1073"/>
  <c r="W31" i="1073"/>
  <c r="V31" i="1073"/>
  <c r="U31" i="1073"/>
  <c r="T31" i="1073"/>
  <c r="S31" i="1073"/>
  <c r="R31" i="1073"/>
  <c r="M31" i="1073"/>
  <c r="Z30" i="1073"/>
  <c r="Y30" i="1073"/>
  <c r="X30" i="1073"/>
  <c r="W30" i="1073"/>
  <c r="V30" i="1073"/>
  <c r="U30" i="1073"/>
  <c r="T30" i="1073"/>
  <c r="S30" i="1073"/>
  <c r="R30" i="1073"/>
  <c r="Z29" i="1073"/>
  <c r="Y29" i="1073"/>
  <c r="X29" i="1073"/>
  <c r="W29" i="1073"/>
  <c r="V29" i="1073"/>
  <c r="U29" i="1073"/>
  <c r="T29" i="1073"/>
  <c r="S29" i="1073"/>
  <c r="R29" i="1073"/>
  <c r="M29" i="1073"/>
  <c r="L29" i="1073"/>
  <c r="K29" i="1073"/>
  <c r="Z28" i="1073"/>
  <c r="Y28" i="1073"/>
  <c r="X28" i="1073"/>
  <c r="W28" i="1073"/>
  <c r="V28" i="1073"/>
  <c r="U28" i="1073"/>
  <c r="T28" i="1073"/>
  <c r="S28" i="1073"/>
  <c r="R28" i="1073"/>
  <c r="Z27" i="1073"/>
  <c r="Y27" i="1073"/>
  <c r="X27" i="1073"/>
  <c r="W27" i="1073"/>
  <c r="V27" i="1073"/>
  <c r="U27" i="1073"/>
  <c r="T27" i="1073"/>
  <c r="S27" i="1073"/>
  <c r="R27" i="1073"/>
  <c r="Z26" i="1073"/>
  <c r="Y26" i="1073"/>
  <c r="X26" i="1073"/>
  <c r="W26" i="1073"/>
  <c r="V26" i="1073"/>
  <c r="U26" i="1073"/>
  <c r="T26" i="1073"/>
  <c r="S26" i="1073"/>
  <c r="R26" i="1073"/>
  <c r="Z25" i="1073"/>
  <c r="Y25" i="1073"/>
  <c r="X25" i="1073"/>
  <c r="W25" i="1073"/>
  <c r="V25" i="1073"/>
  <c r="U25" i="1073"/>
  <c r="T25" i="1073"/>
  <c r="S25" i="1073"/>
  <c r="R25" i="1073"/>
  <c r="Z24" i="1073"/>
  <c r="Y24" i="1073"/>
  <c r="X24" i="1073"/>
  <c r="W24" i="1073"/>
  <c r="V24" i="1073"/>
  <c r="U24" i="1073"/>
  <c r="T24" i="1073"/>
  <c r="S24" i="1073"/>
  <c r="R24" i="1073"/>
  <c r="Z23" i="1073"/>
  <c r="Y23" i="1073"/>
  <c r="X23" i="1073"/>
  <c r="W23" i="1073"/>
  <c r="V23" i="1073"/>
  <c r="U23" i="1073"/>
  <c r="T23" i="1073"/>
  <c r="S23" i="1073"/>
  <c r="R23" i="1073"/>
  <c r="Z22" i="1073"/>
  <c r="Y22" i="1073"/>
  <c r="X22" i="1073"/>
  <c r="W22" i="1073"/>
  <c r="V22" i="1073"/>
  <c r="U22" i="1073"/>
  <c r="T22" i="1073"/>
  <c r="S22" i="1073"/>
  <c r="R22" i="1073"/>
  <c r="Z21" i="1073"/>
  <c r="Y21" i="1073"/>
  <c r="X21" i="1073"/>
  <c r="W21" i="1073"/>
  <c r="V21" i="1073"/>
  <c r="U21" i="1073"/>
  <c r="T21" i="1073"/>
  <c r="S21" i="1073"/>
  <c r="R21" i="1073"/>
  <c r="Z20" i="1073"/>
  <c r="Y20" i="1073"/>
  <c r="X20" i="1073"/>
  <c r="W20" i="1073"/>
  <c r="V20" i="1073"/>
  <c r="U20" i="1073"/>
  <c r="T20" i="1073"/>
  <c r="S20" i="1073"/>
  <c r="R20" i="1073"/>
  <c r="L42" i="1072"/>
  <c r="K27" i="1072"/>
  <c r="R11" i="1072"/>
  <c r="S11" i="1072"/>
  <c r="T11" i="1072"/>
  <c r="U11" i="1072"/>
  <c r="V11" i="1072"/>
  <c r="W11" i="1072"/>
  <c r="X11" i="1072"/>
  <c r="Y11" i="1072"/>
  <c r="Z11" i="1072"/>
  <c r="R12" i="1072"/>
  <c r="S12" i="1072"/>
  <c r="T12" i="1072"/>
  <c r="U12" i="1072"/>
  <c r="V12" i="1072"/>
  <c r="W12" i="1072"/>
  <c r="X12" i="1072"/>
  <c r="Y12" i="1072"/>
  <c r="Z12" i="1072"/>
  <c r="R13" i="1072"/>
  <c r="S13" i="1072"/>
  <c r="T13" i="1072"/>
  <c r="U13" i="1072"/>
  <c r="V13" i="1072"/>
  <c r="W13" i="1072"/>
  <c r="X13" i="1072"/>
  <c r="Y13" i="1072"/>
  <c r="Z13" i="1072"/>
  <c r="R14" i="1072"/>
  <c r="S14" i="1072"/>
  <c r="T14" i="1072"/>
  <c r="U14" i="1072"/>
  <c r="V14" i="1072"/>
  <c r="W14" i="1072"/>
  <c r="X14" i="1072"/>
  <c r="Y14" i="1072"/>
  <c r="Z14" i="1072"/>
  <c r="R15" i="1072"/>
  <c r="S15" i="1072"/>
  <c r="T15" i="1072"/>
  <c r="U15" i="1072"/>
  <c r="V15" i="1072"/>
  <c r="W15" i="1072"/>
  <c r="X15" i="1072"/>
  <c r="Y15" i="1072"/>
  <c r="Z15" i="1072"/>
  <c r="R16" i="1072"/>
  <c r="S16" i="1072"/>
  <c r="T16" i="1072"/>
  <c r="U16" i="1072"/>
  <c r="V16" i="1072"/>
  <c r="W16" i="1072"/>
  <c r="X16" i="1072"/>
  <c r="Y16" i="1072"/>
  <c r="Z16" i="1072"/>
  <c r="R17" i="1072"/>
  <c r="S17" i="1072"/>
  <c r="T17" i="1072"/>
  <c r="U17" i="1072"/>
  <c r="V17" i="1072"/>
  <c r="W17" i="1072"/>
  <c r="X17" i="1072"/>
  <c r="Y17" i="1072"/>
  <c r="Z17" i="1072"/>
  <c r="R18" i="1072"/>
  <c r="S18" i="1072"/>
  <c r="T18" i="1072"/>
  <c r="U18" i="1072"/>
  <c r="V18" i="1072"/>
  <c r="W18" i="1072"/>
  <c r="X18" i="1072"/>
  <c r="Y18" i="1072"/>
  <c r="Z18" i="1072"/>
  <c r="R19" i="1072"/>
  <c r="S19" i="1072"/>
  <c r="T19" i="1072"/>
  <c r="U19" i="1072"/>
  <c r="V19" i="1072"/>
  <c r="W19" i="1072"/>
  <c r="X19" i="1072"/>
  <c r="Y19" i="1072"/>
  <c r="Z19" i="1072"/>
  <c r="R20" i="1072"/>
  <c r="S20" i="1072"/>
  <c r="T20" i="1072"/>
  <c r="U20" i="1072"/>
  <c r="V20" i="1072"/>
  <c r="W20" i="1072"/>
  <c r="X20" i="1072"/>
  <c r="Y20" i="1072"/>
  <c r="Z20" i="1072"/>
  <c r="R21" i="1072"/>
  <c r="S21" i="1072"/>
  <c r="T21" i="1072"/>
  <c r="U21" i="1072"/>
  <c r="V21" i="1072"/>
  <c r="W21" i="1072"/>
  <c r="X21" i="1072"/>
  <c r="Y21" i="1072"/>
  <c r="Z21" i="1072"/>
  <c r="R22" i="1072"/>
  <c r="S22" i="1072"/>
  <c r="T22" i="1072"/>
  <c r="U22" i="1072"/>
  <c r="V22" i="1072"/>
  <c r="W22" i="1072"/>
  <c r="X22" i="1072"/>
  <c r="Y22" i="1072"/>
  <c r="Z22" i="1072"/>
  <c r="R23" i="1072"/>
  <c r="S23" i="1072"/>
  <c r="T23" i="1072"/>
  <c r="U23" i="1072"/>
  <c r="V23" i="1072"/>
  <c r="W23" i="1072"/>
  <c r="X23" i="1072"/>
  <c r="Y23" i="1072"/>
  <c r="Z23" i="1072"/>
  <c r="R24" i="1072"/>
  <c r="S24" i="1072"/>
  <c r="T24" i="1072"/>
  <c r="U24" i="1072"/>
  <c r="V24" i="1072"/>
  <c r="W24" i="1072"/>
  <c r="X24" i="1072"/>
  <c r="Y24" i="1072"/>
  <c r="Z24" i="1072"/>
  <c r="R25" i="1072"/>
  <c r="S25" i="1072"/>
  <c r="T25" i="1072"/>
  <c r="U25" i="1072"/>
  <c r="V25" i="1072"/>
  <c r="W25" i="1072"/>
  <c r="X25" i="1072"/>
  <c r="Y25" i="1072"/>
  <c r="Z25" i="1072"/>
  <c r="R26" i="1072"/>
  <c r="S26" i="1072"/>
  <c r="T26" i="1072"/>
  <c r="U26" i="1072"/>
  <c r="V26" i="1072"/>
  <c r="W26" i="1072"/>
  <c r="X26" i="1072"/>
  <c r="Y26" i="1072"/>
  <c r="Z26" i="1072"/>
  <c r="R27" i="1072"/>
  <c r="S27" i="1072"/>
  <c r="T27" i="1072"/>
  <c r="U27" i="1072"/>
  <c r="V27" i="1072"/>
  <c r="W27" i="1072"/>
  <c r="X27" i="1072"/>
  <c r="Y27" i="1072"/>
  <c r="Z27" i="1072"/>
  <c r="R28" i="1072"/>
  <c r="S28" i="1072"/>
  <c r="T28" i="1072"/>
  <c r="U28" i="1072"/>
  <c r="V28" i="1072"/>
  <c r="W28" i="1072"/>
  <c r="X28" i="1072"/>
  <c r="Y28" i="1072"/>
  <c r="Z28" i="1072"/>
  <c r="R29" i="1072"/>
  <c r="S29" i="1072"/>
  <c r="T29" i="1072"/>
  <c r="U29" i="1072"/>
  <c r="V29" i="1072"/>
  <c r="W29" i="1072"/>
  <c r="X29" i="1072"/>
  <c r="Y29" i="1072"/>
  <c r="Z29" i="1072"/>
  <c r="I10" i="1072"/>
  <c r="J10" i="1072"/>
  <c r="K10" i="1072"/>
  <c r="L10" i="1072"/>
  <c r="M10" i="1072"/>
  <c r="N10" i="1072"/>
  <c r="O10" i="1072"/>
  <c r="I11" i="1072"/>
  <c r="J11" i="1072"/>
  <c r="K11" i="1072"/>
  <c r="L11" i="1072"/>
  <c r="M11" i="1072"/>
  <c r="N11" i="1072"/>
  <c r="O11" i="1072"/>
  <c r="I12" i="1072"/>
  <c r="J12" i="1072"/>
  <c r="K12" i="1072"/>
  <c r="L12" i="1072"/>
  <c r="M12" i="1072"/>
  <c r="N12" i="1072"/>
  <c r="O12" i="1072"/>
  <c r="I13" i="1072"/>
  <c r="J13" i="1072"/>
  <c r="K13" i="1072"/>
  <c r="L13" i="1072"/>
  <c r="M13" i="1072"/>
  <c r="N13" i="1072"/>
  <c r="O13" i="1072"/>
  <c r="I14" i="1072"/>
  <c r="J14" i="1072"/>
  <c r="K14" i="1072"/>
  <c r="L14" i="1072"/>
  <c r="M14" i="1072"/>
  <c r="N14" i="1072"/>
  <c r="O14" i="1072"/>
  <c r="I15" i="1072"/>
  <c r="J15" i="1072"/>
  <c r="K15" i="1072"/>
  <c r="L15" i="1072"/>
  <c r="M15" i="1072"/>
  <c r="N15" i="1072"/>
  <c r="O15" i="1072"/>
  <c r="I16" i="1072"/>
  <c r="J16" i="1072"/>
  <c r="K16" i="1072"/>
  <c r="L16" i="1072"/>
  <c r="M16" i="1072"/>
  <c r="N16" i="1072"/>
  <c r="O16" i="1072"/>
  <c r="I17" i="1072"/>
  <c r="J17" i="1072"/>
  <c r="K17" i="1072"/>
  <c r="L17" i="1072"/>
  <c r="M17" i="1072"/>
  <c r="N17" i="1072"/>
  <c r="O17" i="1072"/>
  <c r="K18" i="1072"/>
  <c r="L18" i="1072"/>
  <c r="M18" i="1072"/>
  <c r="N18" i="1072"/>
  <c r="O18" i="1072"/>
  <c r="C10" i="1072"/>
  <c r="D10" i="1072"/>
  <c r="E10" i="1072"/>
  <c r="F10" i="1072"/>
  <c r="G10" i="1072"/>
  <c r="C11" i="1072"/>
  <c r="D11" i="1072"/>
  <c r="E11" i="1072"/>
  <c r="F11" i="1072"/>
  <c r="G11" i="1072"/>
  <c r="C12" i="1072"/>
  <c r="D12" i="1072"/>
  <c r="E12" i="1072"/>
  <c r="F12" i="1072"/>
  <c r="G12" i="1072"/>
  <c r="C13" i="1072"/>
  <c r="D13" i="1072"/>
  <c r="E13" i="1072"/>
  <c r="F13" i="1072"/>
  <c r="G13" i="1072"/>
  <c r="C14" i="1072"/>
  <c r="D14" i="1072"/>
  <c r="E14" i="1072"/>
  <c r="F14" i="1072"/>
  <c r="G14" i="1072"/>
  <c r="C15" i="1072"/>
  <c r="D15" i="1072"/>
  <c r="E15" i="1072"/>
  <c r="F15" i="1072"/>
  <c r="G15" i="1072"/>
  <c r="C16" i="1072"/>
  <c r="D16" i="1072"/>
  <c r="E16" i="1072"/>
  <c r="F16" i="1072"/>
  <c r="G16" i="1072"/>
  <c r="C17" i="1072"/>
  <c r="D17" i="1072"/>
  <c r="E17" i="1072"/>
  <c r="F17" i="1072"/>
  <c r="G17" i="1072"/>
  <c r="C18" i="1072"/>
  <c r="D18" i="1072"/>
  <c r="E18" i="1072"/>
  <c r="F18" i="1072"/>
  <c r="G18" i="1072"/>
  <c r="AX58" i="1072"/>
  <c r="AW58" i="1072"/>
  <c r="AV58" i="1072"/>
  <c r="AU58" i="1072"/>
  <c r="AT58" i="1072"/>
  <c r="AS58" i="1072"/>
  <c r="AR58" i="1072"/>
  <c r="AQ58" i="1072"/>
  <c r="AP58" i="1072"/>
  <c r="AO58" i="1072"/>
  <c r="AN58" i="1072"/>
  <c r="AM58" i="1072"/>
  <c r="AL58" i="1072"/>
  <c r="AK58" i="1072"/>
  <c r="AJ58" i="1072"/>
  <c r="AI58" i="1072"/>
  <c r="AH58" i="1072"/>
  <c r="AG58" i="1072"/>
  <c r="AF58" i="1072"/>
  <c r="AE58" i="1072"/>
  <c r="AD58" i="1072"/>
  <c r="AC58" i="1072"/>
  <c r="AB58" i="1072"/>
  <c r="AX57" i="1072"/>
  <c r="AW57" i="1072"/>
  <c r="AV57" i="1072"/>
  <c r="AU57" i="1072"/>
  <c r="AT57" i="1072"/>
  <c r="AS57" i="1072"/>
  <c r="AR57" i="1072"/>
  <c r="AQ57" i="1072"/>
  <c r="AP57" i="1072"/>
  <c r="AO57" i="1072"/>
  <c r="AN57" i="1072"/>
  <c r="AM57" i="1072"/>
  <c r="AL57" i="1072"/>
  <c r="AK57" i="1072"/>
  <c r="AJ57" i="1072"/>
  <c r="AI57" i="1072"/>
  <c r="AH57" i="1072"/>
  <c r="AG57" i="1072"/>
  <c r="AF57" i="1072"/>
  <c r="AE57" i="1072"/>
  <c r="AD57" i="1072"/>
  <c r="AC57" i="1072"/>
  <c r="AB57" i="1072"/>
  <c r="AX56" i="1072"/>
  <c r="AW56" i="1072"/>
  <c r="AV56" i="1072"/>
  <c r="AU56" i="1072"/>
  <c r="AT56" i="1072"/>
  <c r="AS56" i="1072"/>
  <c r="AR56" i="1072"/>
  <c r="AQ56" i="1072"/>
  <c r="AP56" i="1072"/>
  <c r="AO56" i="1072"/>
  <c r="AN56" i="1072"/>
  <c r="AM56" i="1072"/>
  <c r="AL56" i="1072"/>
  <c r="AK56" i="1072"/>
  <c r="AJ56" i="1072"/>
  <c r="AI56" i="1072"/>
  <c r="AH56" i="1072"/>
  <c r="AG56" i="1072"/>
  <c r="AF56" i="1072"/>
  <c r="AE56" i="1072"/>
  <c r="AD56" i="1072"/>
  <c r="AC56" i="1072"/>
  <c r="AB56" i="1072"/>
  <c r="L56" i="1072"/>
  <c r="K51" i="1072"/>
  <c r="M42" i="1072"/>
  <c r="Z38" i="1072"/>
  <c r="Y38" i="1072"/>
  <c r="X38" i="1072"/>
  <c r="W38" i="1072"/>
  <c r="V38" i="1072"/>
  <c r="U38" i="1072"/>
  <c r="T38" i="1072"/>
  <c r="S38" i="1072"/>
  <c r="R38" i="1072"/>
  <c r="Z37" i="1072"/>
  <c r="Y37" i="1072"/>
  <c r="X37" i="1072"/>
  <c r="W37" i="1072"/>
  <c r="V37" i="1072"/>
  <c r="U37" i="1072"/>
  <c r="T37" i="1072"/>
  <c r="S37" i="1072"/>
  <c r="R37" i="1072"/>
  <c r="Z36" i="1072"/>
  <c r="Y36" i="1072"/>
  <c r="X36" i="1072"/>
  <c r="W36" i="1072"/>
  <c r="V36" i="1072"/>
  <c r="U36" i="1072"/>
  <c r="T36" i="1072"/>
  <c r="S36" i="1072"/>
  <c r="R36" i="1072"/>
  <c r="Z35" i="1072"/>
  <c r="Y35" i="1072"/>
  <c r="X35" i="1072"/>
  <c r="W35" i="1072"/>
  <c r="V35" i="1072"/>
  <c r="U35" i="1072"/>
  <c r="T35" i="1072"/>
  <c r="S35" i="1072"/>
  <c r="R35" i="1072"/>
  <c r="Z34" i="1072"/>
  <c r="Y34" i="1072"/>
  <c r="X34" i="1072"/>
  <c r="W34" i="1072"/>
  <c r="V34" i="1072"/>
  <c r="U34" i="1072"/>
  <c r="T34" i="1072"/>
  <c r="S34" i="1072"/>
  <c r="R34" i="1072"/>
  <c r="Z33" i="1072"/>
  <c r="Y33" i="1072"/>
  <c r="X33" i="1072"/>
  <c r="W33" i="1072"/>
  <c r="V33" i="1072"/>
  <c r="U33" i="1072"/>
  <c r="T33" i="1072"/>
  <c r="S33" i="1072"/>
  <c r="R33" i="1072"/>
  <c r="M33" i="1072"/>
  <c r="Z32" i="1072"/>
  <c r="Y32" i="1072"/>
  <c r="X32" i="1072"/>
  <c r="W32" i="1072"/>
  <c r="V32" i="1072"/>
  <c r="U32" i="1072"/>
  <c r="T32" i="1072"/>
  <c r="S32" i="1072"/>
  <c r="R32" i="1072"/>
  <c r="M32" i="1072"/>
  <c r="L32" i="1072"/>
  <c r="K32" i="1072"/>
  <c r="Z31" i="1072"/>
  <c r="Y31" i="1072"/>
  <c r="X31" i="1072"/>
  <c r="W31" i="1072"/>
  <c r="V31" i="1072"/>
  <c r="U31" i="1072"/>
  <c r="T31" i="1072"/>
  <c r="S31" i="1072"/>
  <c r="R31" i="1072"/>
  <c r="Z30" i="1072"/>
  <c r="Y30" i="1072"/>
  <c r="X30" i="1072"/>
  <c r="W30" i="1072"/>
  <c r="V30" i="1072"/>
  <c r="U30" i="1072"/>
  <c r="T30" i="1072"/>
  <c r="S30" i="1072"/>
  <c r="R30" i="1072"/>
  <c r="M30" i="1072"/>
  <c r="M29" i="1072"/>
  <c r="M28" i="1072"/>
  <c r="L28" i="1072"/>
  <c r="K28" i="1072"/>
  <c r="Z10" i="1072"/>
  <c r="Y10" i="1072"/>
  <c r="X10" i="1072"/>
  <c r="W10" i="1072"/>
  <c r="V10" i="1072"/>
  <c r="U10" i="1072"/>
  <c r="T10" i="1072"/>
  <c r="S10" i="1072"/>
  <c r="R10" i="1072"/>
  <c r="K53" i="1071"/>
  <c r="K66" i="1071" s="1"/>
  <c r="G53" i="1071"/>
  <c r="J28" i="1073" l="1"/>
  <c r="K37" i="1072"/>
  <c r="M24" i="1071"/>
  <c r="L24" i="1071"/>
  <c r="K24" i="1071"/>
  <c r="I16" i="1071"/>
  <c r="J16" i="1071"/>
  <c r="K16" i="1071"/>
  <c r="L16" i="1071"/>
  <c r="M16" i="1071"/>
  <c r="N16" i="1071"/>
  <c r="O16" i="1071"/>
  <c r="C16" i="1071"/>
  <c r="D16" i="1071"/>
  <c r="E16" i="1071"/>
  <c r="F16" i="1071"/>
  <c r="G16" i="1071"/>
  <c r="B53" i="1071"/>
  <c r="L39" i="1071"/>
  <c r="M39" i="1071" s="1"/>
  <c r="R10" i="1071"/>
  <c r="S10" i="1071"/>
  <c r="T10" i="1071"/>
  <c r="U10" i="1071"/>
  <c r="V10" i="1071"/>
  <c r="W10" i="1071"/>
  <c r="X10" i="1071"/>
  <c r="Y10" i="1071"/>
  <c r="Z10" i="1071"/>
  <c r="R11" i="1071"/>
  <c r="S11" i="1071"/>
  <c r="T11" i="1071"/>
  <c r="U11" i="1071"/>
  <c r="V11" i="1071"/>
  <c r="W11" i="1071"/>
  <c r="X11" i="1071"/>
  <c r="Y11" i="1071"/>
  <c r="Z11" i="1071"/>
  <c r="R12" i="1071"/>
  <c r="S12" i="1071"/>
  <c r="T12" i="1071"/>
  <c r="U12" i="1071"/>
  <c r="V12" i="1071"/>
  <c r="W12" i="1071"/>
  <c r="X12" i="1071"/>
  <c r="Y12" i="1071"/>
  <c r="Z12" i="1071"/>
  <c r="R13" i="1071"/>
  <c r="S13" i="1071"/>
  <c r="T13" i="1071"/>
  <c r="U13" i="1071"/>
  <c r="V13" i="1071"/>
  <c r="W13" i="1071"/>
  <c r="X13" i="1071"/>
  <c r="Y13" i="1071"/>
  <c r="Z13" i="1071"/>
  <c r="R14" i="1071"/>
  <c r="S14" i="1071"/>
  <c r="T14" i="1071"/>
  <c r="U14" i="1071"/>
  <c r="V14" i="1071"/>
  <c r="W14" i="1071"/>
  <c r="X14" i="1071"/>
  <c r="Y14" i="1071"/>
  <c r="Z14" i="1071"/>
  <c r="R15" i="1071"/>
  <c r="S15" i="1071"/>
  <c r="T15" i="1071"/>
  <c r="U15" i="1071"/>
  <c r="V15" i="1071"/>
  <c r="W15" i="1071"/>
  <c r="X15" i="1071"/>
  <c r="Y15" i="1071"/>
  <c r="Z15" i="1071"/>
  <c r="R16" i="1071"/>
  <c r="S16" i="1071"/>
  <c r="T16" i="1071"/>
  <c r="U16" i="1071"/>
  <c r="V16" i="1071"/>
  <c r="W16" i="1071"/>
  <c r="X16" i="1071"/>
  <c r="Y16" i="1071"/>
  <c r="Z16" i="1071"/>
  <c r="R17" i="1071"/>
  <c r="S17" i="1071"/>
  <c r="T17" i="1071"/>
  <c r="U17" i="1071"/>
  <c r="V17" i="1071"/>
  <c r="W17" i="1071"/>
  <c r="X17" i="1071"/>
  <c r="Y17" i="1071"/>
  <c r="Z17" i="1071"/>
  <c r="R18" i="1071"/>
  <c r="S18" i="1071"/>
  <c r="T18" i="1071"/>
  <c r="U18" i="1071"/>
  <c r="V18" i="1071"/>
  <c r="W18" i="1071"/>
  <c r="X18" i="1071"/>
  <c r="Y18" i="1071"/>
  <c r="Z18" i="1071"/>
  <c r="I10" i="1071"/>
  <c r="J10" i="1071"/>
  <c r="K10" i="1071"/>
  <c r="L10" i="1071"/>
  <c r="M10" i="1071"/>
  <c r="N10" i="1071"/>
  <c r="O10" i="1071"/>
  <c r="I11" i="1071"/>
  <c r="J11" i="1071"/>
  <c r="K11" i="1071"/>
  <c r="L11" i="1071"/>
  <c r="M11" i="1071"/>
  <c r="N11" i="1071"/>
  <c r="O11" i="1071"/>
  <c r="I12" i="1071"/>
  <c r="J12" i="1071"/>
  <c r="K12" i="1071"/>
  <c r="L12" i="1071"/>
  <c r="M12" i="1071"/>
  <c r="N12" i="1071"/>
  <c r="O12" i="1071"/>
  <c r="I13" i="1071"/>
  <c r="J13" i="1071"/>
  <c r="K13" i="1071"/>
  <c r="L13" i="1071"/>
  <c r="M13" i="1071"/>
  <c r="N13" i="1071"/>
  <c r="O13" i="1071"/>
  <c r="I14" i="1071"/>
  <c r="J14" i="1071"/>
  <c r="K14" i="1071"/>
  <c r="L14" i="1071"/>
  <c r="M14" i="1071"/>
  <c r="N14" i="1071"/>
  <c r="O14" i="1071"/>
  <c r="I15" i="1071"/>
  <c r="J15" i="1071"/>
  <c r="K15" i="1071"/>
  <c r="L15" i="1071"/>
  <c r="M15" i="1071"/>
  <c r="N15" i="1071"/>
  <c r="O15" i="1071"/>
  <c r="C10" i="1071"/>
  <c r="D10" i="1071"/>
  <c r="E10" i="1071"/>
  <c r="F10" i="1071"/>
  <c r="G10" i="1071"/>
  <c r="C11" i="1071"/>
  <c r="D11" i="1071"/>
  <c r="E11" i="1071"/>
  <c r="F11" i="1071"/>
  <c r="G11" i="1071"/>
  <c r="C12" i="1071"/>
  <c r="D12" i="1071"/>
  <c r="E12" i="1071"/>
  <c r="F12" i="1071"/>
  <c r="G12" i="1071"/>
  <c r="C13" i="1071"/>
  <c r="D13" i="1071"/>
  <c r="E13" i="1071"/>
  <c r="F13" i="1071"/>
  <c r="G13" i="1071"/>
  <c r="C14" i="1071"/>
  <c r="D14" i="1071"/>
  <c r="E14" i="1071"/>
  <c r="F14" i="1071"/>
  <c r="G14" i="1071"/>
  <c r="C15" i="1071"/>
  <c r="D15" i="1071"/>
  <c r="E15" i="1071"/>
  <c r="F15" i="1071"/>
  <c r="G15" i="1071"/>
  <c r="AX55" i="1071"/>
  <c r="AW55" i="1071"/>
  <c r="AV55" i="1071"/>
  <c r="AU55" i="1071"/>
  <c r="AT55" i="1071"/>
  <c r="AS55" i="1071"/>
  <c r="AR55" i="1071"/>
  <c r="AQ55" i="1071"/>
  <c r="AP55" i="1071"/>
  <c r="AO55" i="1071"/>
  <c r="AN55" i="1071"/>
  <c r="AM55" i="1071"/>
  <c r="AL55" i="1071"/>
  <c r="AK55" i="1071"/>
  <c r="AJ55" i="1071"/>
  <c r="AI55" i="1071"/>
  <c r="AH55" i="1071"/>
  <c r="AG55" i="1071"/>
  <c r="AF55" i="1071"/>
  <c r="AE55" i="1071"/>
  <c r="AD55" i="1071"/>
  <c r="AC55" i="1071"/>
  <c r="AB55" i="1071"/>
  <c r="AX54" i="1071"/>
  <c r="AW54" i="1071"/>
  <c r="AV54" i="1071"/>
  <c r="AU54" i="1071"/>
  <c r="AT54" i="1071"/>
  <c r="AS54" i="1071"/>
  <c r="AR54" i="1071"/>
  <c r="AQ54" i="1071"/>
  <c r="AP54" i="1071"/>
  <c r="AO54" i="1071"/>
  <c r="AN54" i="1071"/>
  <c r="AM54" i="1071"/>
  <c r="AL54" i="1071"/>
  <c r="AK54" i="1071"/>
  <c r="AJ54" i="1071"/>
  <c r="AI54" i="1071"/>
  <c r="AH54" i="1071"/>
  <c r="AG54" i="1071"/>
  <c r="AF54" i="1071"/>
  <c r="AE54" i="1071"/>
  <c r="AD54" i="1071"/>
  <c r="AC54" i="1071"/>
  <c r="AB54" i="1071"/>
  <c r="AX53" i="1071"/>
  <c r="AW53" i="1071"/>
  <c r="AV53" i="1071"/>
  <c r="AU53" i="1071"/>
  <c r="AT53" i="1071"/>
  <c r="AS53" i="1071"/>
  <c r="AR53" i="1071"/>
  <c r="AQ53" i="1071"/>
  <c r="AP53" i="1071"/>
  <c r="AO53" i="1071"/>
  <c r="AN53" i="1071"/>
  <c r="AM53" i="1071"/>
  <c r="AL53" i="1071"/>
  <c r="AK53" i="1071"/>
  <c r="AJ53" i="1071"/>
  <c r="AI53" i="1071"/>
  <c r="AH53" i="1071"/>
  <c r="AG53" i="1071"/>
  <c r="AF53" i="1071"/>
  <c r="AE53" i="1071"/>
  <c r="AD53" i="1071"/>
  <c r="AC53" i="1071"/>
  <c r="AB53" i="1071"/>
  <c r="K48" i="1071"/>
  <c r="Z35" i="1071"/>
  <c r="Y35" i="1071"/>
  <c r="X35" i="1071"/>
  <c r="W35" i="1071"/>
  <c r="V35" i="1071"/>
  <c r="U35" i="1071"/>
  <c r="T35" i="1071"/>
  <c r="S35" i="1071"/>
  <c r="R35" i="1071"/>
  <c r="Z34" i="1071"/>
  <c r="Y34" i="1071"/>
  <c r="X34" i="1071"/>
  <c r="W34" i="1071"/>
  <c r="V34" i="1071"/>
  <c r="U34" i="1071"/>
  <c r="T34" i="1071"/>
  <c r="S34" i="1071"/>
  <c r="R34" i="1071"/>
  <c r="Z33" i="1071"/>
  <c r="Y33" i="1071"/>
  <c r="X33" i="1071"/>
  <c r="W33" i="1071"/>
  <c r="V33" i="1071"/>
  <c r="U33" i="1071"/>
  <c r="T33" i="1071"/>
  <c r="S33" i="1071"/>
  <c r="R33" i="1071"/>
  <c r="Z32" i="1071"/>
  <c r="Y32" i="1071"/>
  <c r="X32" i="1071"/>
  <c r="W32" i="1071"/>
  <c r="V32" i="1071"/>
  <c r="U32" i="1071"/>
  <c r="T32" i="1071"/>
  <c r="S32" i="1071"/>
  <c r="R32" i="1071"/>
  <c r="Z31" i="1071"/>
  <c r="Y31" i="1071"/>
  <c r="X31" i="1071"/>
  <c r="W31" i="1071"/>
  <c r="V31" i="1071"/>
  <c r="U31" i="1071"/>
  <c r="T31" i="1071"/>
  <c r="S31" i="1071"/>
  <c r="R31" i="1071"/>
  <c r="Z30" i="1071"/>
  <c r="Y30" i="1071"/>
  <c r="X30" i="1071"/>
  <c r="W30" i="1071"/>
  <c r="V30" i="1071"/>
  <c r="U30" i="1071"/>
  <c r="T30" i="1071"/>
  <c r="S30" i="1071"/>
  <c r="R30" i="1071"/>
  <c r="M30" i="1071"/>
  <c r="Z29" i="1071"/>
  <c r="Y29" i="1071"/>
  <c r="X29" i="1071"/>
  <c r="W29" i="1071"/>
  <c r="V29" i="1071"/>
  <c r="U29" i="1071"/>
  <c r="T29" i="1071"/>
  <c r="S29" i="1071"/>
  <c r="R29" i="1071"/>
  <c r="M29" i="1071"/>
  <c r="L29" i="1071"/>
  <c r="K29" i="1071"/>
  <c r="Z28" i="1071"/>
  <c r="Y28" i="1071"/>
  <c r="X28" i="1071"/>
  <c r="W28" i="1071"/>
  <c r="V28" i="1071"/>
  <c r="U28" i="1071"/>
  <c r="T28" i="1071"/>
  <c r="S28" i="1071"/>
  <c r="R28" i="1071"/>
  <c r="Z27" i="1071"/>
  <c r="Y27" i="1071"/>
  <c r="X27" i="1071"/>
  <c r="W27" i="1071"/>
  <c r="V27" i="1071"/>
  <c r="U27" i="1071"/>
  <c r="T27" i="1071"/>
  <c r="S27" i="1071"/>
  <c r="R27" i="1071"/>
  <c r="M27" i="1071"/>
  <c r="Z26" i="1071"/>
  <c r="Y26" i="1071"/>
  <c r="X26" i="1071"/>
  <c r="W26" i="1071"/>
  <c r="V26" i="1071"/>
  <c r="U26" i="1071"/>
  <c r="T26" i="1071"/>
  <c r="S26" i="1071"/>
  <c r="R26" i="1071"/>
  <c r="M26" i="1071"/>
  <c r="Z25" i="1071"/>
  <c r="Y25" i="1071"/>
  <c r="X25" i="1071"/>
  <c r="W25" i="1071"/>
  <c r="V25" i="1071"/>
  <c r="U25" i="1071"/>
  <c r="T25" i="1071"/>
  <c r="S25" i="1071"/>
  <c r="R25" i="1071"/>
  <c r="M25" i="1071"/>
  <c r="L25" i="1071"/>
  <c r="K25" i="1071"/>
  <c r="Z24" i="1071"/>
  <c r="Y24" i="1071"/>
  <c r="X24" i="1071"/>
  <c r="W24" i="1071"/>
  <c r="V24" i="1071"/>
  <c r="U24" i="1071"/>
  <c r="T24" i="1071"/>
  <c r="S24" i="1071"/>
  <c r="R24" i="1071"/>
  <c r="Z23" i="1071"/>
  <c r="Y23" i="1071"/>
  <c r="X23" i="1071"/>
  <c r="W23" i="1071"/>
  <c r="V23" i="1071"/>
  <c r="U23" i="1071"/>
  <c r="T23" i="1071"/>
  <c r="S23" i="1071"/>
  <c r="R23" i="1071"/>
  <c r="Z22" i="1071"/>
  <c r="Y22" i="1071"/>
  <c r="X22" i="1071"/>
  <c r="W22" i="1071"/>
  <c r="V22" i="1071"/>
  <c r="U22" i="1071"/>
  <c r="T22" i="1071"/>
  <c r="S22" i="1071"/>
  <c r="R22" i="1071"/>
  <c r="Z21" i="1071"/>
  <c r="Y21" i="1071"/>
  <c r="X21" i="1071"/>
  <c r="W21" i="1071"/>
  <c r="V21" i="1071"/>
  <c r="U21" i="1071"/>
  <c r="T21" i="1071"/>
  <c r="S21" i="1071"/>
  <c r="R21" i="1071"/>
  <c r="Z20" i="1071"/>
  <c r="Y20" i="1071"/>
  <c r="X20" i="1071"/>
  <c r="W20" i="1071"/>
  <c r="V20" i="1071"/>
  <c r="U20" i="1071"/>
  <c r="T20" i="1071"/>
  <c r="S20" i="1071"/>
  <c r="R20" i="1071"/>
  <c r="Z19" i="1071"/>
  <c r="Y19" i="1071"/>
  <c r="X19" i="1071"/>
  <c r="W19" i="1071"/>
  <c r="V19" i="1071"/>
  <c r="U19" i="1071"/>
  <c r="T19" i="1071"/>
  <c r="S19" i="1071"/>
  <c r="R19" i="1071"/>
  <c r="K50" i="1070"/>
  <c r="K63" i="1070" s="1"/>
  <c r="G50" i="1070"/>
  <c r="J24" i="1071" l="1"/>
  <c r="K34" i="1071"/>
  <c r="L34" i="1071" s="1"/>
  <c r="L36" i="1070"/>
  <c r="M21" i="1070"/>
  <c r="L21" i="1070"/>
  <c r="K21" i="1070"/>
  <c r="R10" i="1070"/>
  <c r="S10" i="1070"/>
  <c r="T10" i="1070"/>
  <c r="U10" i="1070"/>
  <c r="V10" i="1070"/>
  <c r="W10" i="1070"/>
  <c r="X10" i="1070"/>
  <c r="Y10" i="1070"/>
  <c r="Z10" i="1070"/>
  <c r="R11" i="1070"/>
  <c r="S11" i="1070"/>
  <c r="T11" i="1070"/>
  <c r="U11" i="1070"/>
  <c r="V11" i="1070"/>
  <c r="W11" i="1070"/>
  <c r="X11" i="1070"/>
  <c r="Y11" i="1070"/>
  <c r="Z11" i="1070"/>
  <c r="R12" i="1070"/>
  <c r="S12" i="1070"/>
  <c r="T12" i="1070"/>
  <c r="U12" i="1070"/>
  <c r="V12" i="1070"/>
  <c r="W12" i="1070"/>
  <c r="X12" i="1070"/>
  <c r="Y12" i="1070"/>
  <c r="Z12" i="1070"/>
  <c r="R13" i="1070"/>
  <c r="S13" i="1070"/>
  <c r="T13" i="1070"/>
  <c r="U13" i="1070"/>
  <c r="V13" i="1070"/>
  <c r="W13" i="1070"/>
  <c r="X13" i="1070"/>
  <c r="Y13" i="1070"/>
  <c r="Z13" i="1070"/>
  <c r="R14" i="1070"/>
  <c r="S14" i="1070"/>
  <c r="T14" i="1070"/>
  <c r="U14" i="1070"/>
  <c r="V14" i="1070"/>
  <c r="W14" i="1070"/>
  <c r="X14" i="1070"/>
  <c r="Y14" i="1070"/>
  <c r="Z14" i="1070"/>
  <c r="R15" i="1070"/>
  <c r="S15" i="1070"/>
  <c r="T15" i="1070"/>
  <c r="U15" i="1070"/>
  <c r="V15" i="1070"/>
  <c r="W15" i="1070"/>
  <c r="X15" i="1070"/>
  <c r="Y15" i="1070"/>
  <c r="Z15" i="1070"/>
  <c r="I10" i="1070"/>
  <c r="J10" i="1070"/>
  <c r="K10" i="1070"/>
  <c r="L10" i="1070"/>
  <c r="M10" i="1070"/>
  <c r="N10" i="1070"/>
  <c r="O10" i="1070"/>
  <c r="I11" i="1070"/>
  <c r="J11" i="1070"/>
  <c r="K11" i="1070"/>
  <c r="L11" i="1070"/>
  <c r="M11" i="1070"/>
  <c r="N11" i="1070"/>
  <c r="O11" i="1070"/>
  <c r="I12" i="1070"/>
  <c r="J12" i="1070"/>
  <c r="K12" i="1070"/>
  <c r="L12" i="1070"/>
  <c r="M12" i="1070"/>
  <c r="N12" i="1070"/>
  <c r="O12" i="1070"/>
  <c r="I13" i="1070"/>
  <c r="J13" i="1070"/>
  <c r="K13" i="1070"/>
  <c r="L13" i="1070"/>
  <c r="M13" i="1070"/>
  <c r="N13" i="1070"/>
  <c r="O13" i="1070"/>
  <c r="I14" i="1070"/>
  <c r="J14" i="1070"/>
  <c r="K14" i="1070"/>
  <c r="L14" i="1070"/>
  <c r="M14" i="1070"/>
  <c r="N14" i="1070"/>
  <c r="O14" i="1070"/>
  <c r="I15" i="1070"/>
  <c r="J15" i="1070"/>
  <c r="K15" i="1070"/>
  <c r="L15" i="1070"/>
  <c r="M15" i="1070"/>
  <c r="N15" i="1070"/>
  <c r="O15" i="1070"/>
  <c r="C10" i="1070"/>
  <c r="D10" i="1070"/>
  <c r="E10" i="1070"/>
  <c r="F10" i="1070"/>
  <c r="G10" i="1070"/>
  <c r="C11" i="1070"/>
  <c r="D11" i="1070"/>
  <c r="E11" i="1070"/>
  <c r="F11" i="1070"/>
  <c r="G11" i="1070"/>
  <c r="C12" i="1070"/>
  <c r="D12" i="1070"/>
  <c r="E12" i="1070"/>
  <c r="F12" i="1070"/>
  <c r="G12" i="1070"/>
  <c r="C13" i="1070"/>
  <c r="D13" i="1070"/>
  <c r="E13" i="1070"/>
  <c r="F13" i="1070"/>
  <c r="G13" i="1070"/>
  <c r="C14" i="1070"/>
  <c r="D14" i="1070"/>
  <c r="E14" i="1070"/>
  <c r="F14" i="1070"/>
  <c r="G14" i="1070"/>
  <c r="C15" i="1070"/>
  <c r="D15" i="1070"/>
  <c r="E15" i="1070"/>
  <c r="F15" i="1070"/>
  <c r="G15" i="1070"/>
  <c r="B50" i="1070"/>
  <c r="AX52" i="1070"/>
  <c r="AW52" i="1070"/>
  <c r="AV52" i="1070"/>
  <c r="AU52" i="1070"/>
  <c r="AT52" i="1070"/>
  <c r="AS52" i="1070"/>
  <c r="AR52" i="1070"/>
  <c r="AQ52" i="1070"/>
  <c r="AP52" i="1070"/>
  <c r="AO52" i="1070"/>
  <c r="AN52" i="1070"/>
  <c r="AM52" i="1070"/>
  <c r="AL52" i="1070"/>
  <c r="AK52" i="1070"/>
  <c r="AJ52" i="1070"/>
  <c r="AI52" i="1070"/>
  <c r="AH52" i="1070"/>
  <c r="AG52" i="1070"/>
  <c r="AF52" i="1070"/>
  <c r="AE52" i="1070"/>
  <c r="AD52" i="1070"/>
  <c r="AC52" i="1070"/>
  <c r="AB52" i="1070"/>
  <c r="AX51" i="1070"/>
  <c r="AW51" i="1070"/>
  <c r="AV51" i="1070"/>
  <c r="AU51" i="1070"/>
  <c r="AT51" i="1070"/>
  <c r="AS51" i="1070"/>
  <c r="AR51" i="1070"/>
  <c r="AQ51" i="1070"/>
  <c r="AP51" i="1070"/>
  <c r="AO51" i="1070"/>
  <c r="AN51" i="1070"/>
  <c r="AM51" i="1070"/>
  <c r="AL51" i="1070"/>
  <c r="AK51" i="1070"/>
  <c r="AJ51" i="1070"/>
  <c r="AI51" i="1070"/>
  <c r="AH51" i="1070"/>
  <c r="AG51" i="1070"/>
  <c r="AF51" i="1070"/>
  <c r="AE51" i="1070"/>
  <c r="AD51" i="1070"/>
  <c r="AC51" i="1070"/>
  <c r="AB51" i="1070"/>
  <c r="AX50" i="1070"/>
  <c r="AW50" i="1070"/>
  <c r="AV50" i="1070"/>
  <c r="AU50" i="1070"/>
  <c r="AT50" i="1070"/>
  <c r="AS50" i="1070"/>
  <c r="AR50" i="1070"/>
  <c r="AQ50" i="1070"/>
  <c r="AP50" i="1070"/>
  <c r="AO50" i="1070"/>
  <c r="AN50" i="1070"/>
  <c r="AM50" i="1070"/>
  <c r="AL50" i="1070"/>
  <c r="AK50" i="1070"/>
  <c r="AJ50" i="1070"/>
  <c r="AI50" i="1070"/>
  <c r="AH50" i="1070"/>
  <c r="AG50" i="1070"/>
  <c r="AF50" i="1070"/>
  <c r="AE50" i="1070"/>
  <c r="AD50" i="1070"/>
  <c r="AC50" i="1070"/>
  <c r="AB50" i="1070"/>
  <c r="K45" i="1070"/>
  <c r="M36" i="1070"/>
  <c r="Z32" i="1070"/>
  <c r="Y32" i="1070"/>
  <c r="X32" i="1070"/>
  <c r="W32" i="1070"/>
  <c r="V32" i="1070"/>
  <c r="U32" i="1070"/>
  <c r="T32" i="1070"/>
  <c r="S32" i="1070"/>
  <c r="R32" i="1070"/>
  <c r="Z31" i="1070"/>
  <c r="Y31" i="1070"/>
  <c r="X31" i="1070"/>
  <c r="W31" i="1070"/>
  <c r="V31" i="1070"/>
  <c r="U31" i="1070"/>
  <c r="T31" i="1070"/>
  <c r="S31" i="1070"/>
  <c r="R31" i="1070"/>
  <c r="Z30" i="1070"/>
  <c r="Y30" i="1070"/>
  <c r="X30" i="1070"/>
  <c r="W30" i="1070"/>
  <c r="V30" i="1070"/>
  <c r="U30" i="1070"/>
  <c r="T30" i="1070"/>
  <c r="S30" i="1070"/>
  <c r="R30" i="1070"/>
  <c r="Z29" i="1070"/>
  <c r="Y29" i="1070"/>
  <c r="X29" i="1070"/>
  <c r="W29" i="1070"/>
  <c r="V29" i="1070"/>
  <c r="U29" i="1070"/>
  <c r="T29" i="1070"/>
  <c r="S29" i="1070"/>
  <c r="R29" i="1070"/>
  <c r="Z28" i="1070"/>
  <c r="Y28" i="1070"/>
  <c r="X28" i="1070"/>
  <c r="W28" i="1070"/>
  <c r="V28" i="1070"/>
  <c r="U28" i="1070"/>
  <c r="T28" i="1070"/>
  <c r="S28" i="1070"/>
  <c r="R28" i="1070"/>
  <c r="Z27" i="1070"/>
  <c r="Y27" i="1070"/>
  <c r="X27" i="1070"/>
  <c r="W27" i="1070"/>
  <c r="V27" i="1070"/>
  <c r="U27" i="1070"/>
  <c r="T27" i="1070"/>
  <c r="S27" i="1070"/>
  <c r="R27" i="1070"/>
  <c r="M27" i="1070"/>
  <c r="Z26" i="1070"/>
  <c r="Y26" i="1070"/>
  <c r="X26" i="1070"/>
  <c r="W26" i="1070"/>
  <c r="V26" i="1070"/>
  <c r="U26" i="1070"/>
  <c r="T26" i="1070"/>
  <c r="S26" i="1070"/>
  <c r="R26" i="1070"/>
  <c r="M26" i="1070"/>
  <c r="L26" i="1070"/>
  <c r="K26" i="1070"/>
  <c r="Z25" i="1070"/>
  <c r="Y25" i="1070"/>
  <c r="X25" i="1070"/>
  <c r="W25" i="1070"/>
  <c r="V25" i="1070"/>
  <c r="U25" i="1070"/>
  <c r="T25" i="1070"/>
  <c r="S25" i="1070"/>
  <c r="R25" i="1070"/>
  <c r="Z24" i="1070"/>
  <c r="Y24" i="1070"/>
  <c r="X24" i="1070"/>
  <c r="W24" i="1070"/>
  <c r="V24" i="1070"/>
  <c r="U24" i="1070"/>
  <c r="T24" i="1070"/>
  <c r="S24" i="1070"/>
  <c r="R24" i="1070"/>
  <c r="M24" i="1070"/>
  <c r="Z23" i="1070"/>
  <c r="Y23" i="1070"/>
  <c r="X23" i="1070"/>
  <c r="W23" i="1070"/>
  <c r="V23" i="1070"/>
  <c r="U23" i="1070"/>
  <c r="T23" i="1070"/>
  <c r="S23" i="1070"/>
  <c r="R23" i="1070"/>
  <c r="M23" i="1070"/>
  <c r="Z22" i="1070"/>
  <c r="Y22" i="1070"/>
  <c r="X22" i="1070"/>
  <c r="W22" i="1070"/>
  <c r="V22" i="1070"/>
  <c r="U22" i="1070"/>
  <c r="T22" i="1070"/>
  <c r="S22" i="1070"/>
  <c r="R22" i="1070"/>
  <c r="M22" i="1070"/>
  <c r="L22" i="1070"/>
  <c r="K22" i="1070"/>
  <c r="Z21" i="1070"/>
  <c r="Y21" i="1070"/>
  <c r="X21" i="1070"/>
  <c r="W21" i="1070"/>
  <c r="V21" i="1070"/>
  <c r="U21" i="1070"/>
  <c r="T21" i="1070"/>
  <c r="S21" i="1070"/>
  <c r="R21" i="1070"/>
  <c r="Z20" i="1070"/>
  <c r="Y20" i="1070"/>
  <c r="X20" i="1070"/>
  <c r="W20" i="1070"/>
  <c r="V20" i="1070"/>
  <c r="U20" i="1070"/>
  <c r="T20" i="1070"/>
  <c r="S20" i="1070"/>
  <c r="R20" i="1070"/>
  <c r="Z19" i="1070"/>
  <c r="Y19" i="1070"/>
  <c r="X19" i="1070"/>
  <c r="W19" i="1070"/>
  <c r="V19" i="1070"/>
  <c r="U19" i="1070"/>
  <c r="T19" i="1070"/>
  <c r="S19" i="1070"/>
  <c r="R19" i="1070"/>
  <c r="Z18" i="1070"/>
  <c r="Y18" i="1070"/>
  <c r="X18" i="1070"/>
  <c r="W18" i="1070"/>
  <c r="V18" i="1070"/>
  <c r="U18" i="1070"/>
  <c r="T18" i="1070"/>
  <c r="S18" i="1070"/>
  <c r="R18" i="1070"/>
  <c r="Z17" i="1070"/>
  <c r="Y17" i="1070"/>
  <c r="X17" i="1070"/>
  <c r="W17" i="1070"/>
  <c r="V17" i="1070"/>
  <c r="U17" i="1070"/>
  <c r="T17" i="1070"/>
  <c r="S17" i="1070"/>
  <c r="R17" i="1070"/>
  <c r="Z16" i="1070"/>
  <c r="Y16" i="1070"/>
  <c r="X16" i="1070"/>
  <c r="W16" i="1070"/>
  <c r="V16" i="1070"/>
  <c r="U16" i="1070"/>
  <c r="T16" i="1070"/>
  <c r="S16" i="1070"/>
  <c r="R16" i="1070"/>
  <c r="K52" i="1069"/>
  <c r="J21" i="1070" l="1"/>
  <c r="K31" i="1070"/>
  <c r="L31" i="1070" s="1"/>
  <c r="G52" i="1069"/>
  <c r="E52" i="1069"/>
  <c r="B52" i="1069"/>
  <c r="K50" i="1069"/>
  <c r="K68" i="1069" s="1"/>
  <c r="E50" i="1069"/>
  <c r="G50" i="1069"/>
  <c r="B50" i="1069" l="1"/>
  <c r="L36" i="1069"/>
  <c r="M21" i="1069"/>
  <c r="L21" i="1069"/>
  <c r="K21" i="1069"/>
  <c r="R14" i="1069"/>
  <c r="S14" i="1069"/>
  <c r="T14" i="1069"/>
  <c r="U14" i="1069"/>
  <c r="V14" i="1069"/>
  <c r="W14" i="1069"/>
  <c r="X14" i="1069"/>
  <c r="Y14" i="1069"/>
  <c r="Z14" i="1069"/>
  <c r="R15" i="1069"/>
  <c r="S15" i="1069"/>
  <c r="T15" i="1069"/>
  <c r="U15" i="1069"/>
  <c r="V15" i="1069"/>
  <c r="W15" i="1069"/>
  <c r="X15" i="1069"/>
  <c r="Y15" i="1069"/>
  <c r="Z15" i="1069"/>
  <c r="R16" i="1069"/>
  <c r="S16" i="1069"/>
  <c r="T16" i="1069"/>
  <c r="U16" i="1069"/>
  <c r="V16" i="1069"/>
  <c r="W16" i="1069"/>
  <c r="X16" i="1069"/>
  <c r="Y16" i="1069"/>
  <c r="Z16" i="1069"/>
  <c r="R17" i="1069"/>
  <c r="S17" i="1069"/>
  <c r="T17" i="1069"/>
  <c r="U17" i="1069"/>
  <c r="V17" i="1069"/>
  <c r="W17" i="1069"/>
  <c r="X17" i="1069"/>
  <c r="Y17" i="1069"/>
  <c r="Z17" i="1069"/>
  <c r="R18" i="1069"/>
  <c r="S18" i="1069"/>
  <c r="T18" i="1069"/>
  <c r="U18" i="1069"/>
  <c r="V18" i="1069"/>
  <c r="W18" i="1069"/>
  <c r="X18" i="1069"/>
  <c r="Y18" i="1069"/>
  <c r="Z18" i="1069"/>
  <c r="R19" i="1069"/>
  <c r="S19" i="1069"/>
  <c r="T19" i="1069"/>
  <c r="U19" i="1069"/>
  <c r="V19" i="1069"/>
  <c r="W19" i="1069"/>
  <c r="X19" i="1069"/>
  <c r="Y19" i="1069"/>
  <c r="Z19" i="1069"/>
  <c r="R20" i="1069"/>
  <c r="S20" i="1069"/>
  <c r="T20" i="1069"/>
  <c r="U20" i="1069"/>
  <c r="V20" i="1069"/>
  <c r="W20" i="1069"/>
  <c r="X20" i="1069"/>
  <c r="Y20" i="1069"/>
  <c r="Z20" i="1069"/>
  <c r="R21" i="1069"/>
  <c r="S21" i="1069"/>
  <c r="T21" i="1069"/>
  <c r="U21" i="1069"/>
  <c r="V21" i="1069"/>
  <c r="W21" i="1069"/>
  <c r="X21" i="1069"/>
  <c r="Y21" i="1069"/>
  <c r="Z21" i="1069"/>
  <c r="R22" i="1069"/>
  <c r="S22" i="1069"/>
  <c r="T22" i="1069"/>
  <c r="U22" i="1069"/>
  <c r="V22" i="1069"/>
  <c r="W22" i="1069"/>
  <c r="X22" i="1069"/>
  <c r="Y22" i="1069"/>
  <c r="Z22" i="1069"/>
  <c r="R23" i="1069"/>
  <c r="S23" i="1069"/>
  <c r="T23" i="1069"/>
  <c r="U23" i="1069"/>
  <c r="V23" i="1069"/>
  <c r="W23" i="1069"/>
  <c r="X23" i="1069"/>
  <c r="Y23" i="1069"/>
  <c r="Z23" i="1069"/>
  <c r="I15" i="1069"/>
  <c r="J15" i="1069"/>
  <c r="K15" i="1069"/>
  <c r="L15" i="1069"/>
  <c r="M15" i="1069"/>
  <c r="N15" i="1069"/>
  <c r="O15" i="1069"/>
  <c r="C15" i="1069"/>
  <c r="D15" i="1069"/>
  <c r="E15" i="1069"/>
  <c r="F15" i="1069"/>
  <c r="G15" i="1069"/>
  <c r="I11" i="1069"/>
  <c r="J11" i="1069"/>
  <c r="K11" i="1069"/>
  <c r="L11" i="1069"/>
  <c r="M11" i="1069"/>
  <c r="N11" i="1069"/>
  <c r="O11" i="1069"/>
  <c r="I12" i="1069"/>
  <c r="J12" i="1069"/>
  <c r="K12" i="1069"/>
  <c r="L12" i="1069"/>
  <c r="M12" i="1069"/>
  <c r="N12" i="1069"/>
  <c r="O12" i="1069"/>
  <c r="I13" i="1069"/>
  <c r="J13" i="1069"/>
  <c r="K13" i="1069"/>
  <c r="L13" i="1069"/>
  <c r="M13" i="1069"/>
  <c r="N13" i="1069"/>
  <c r="O13" i="1069"/>
  <c r="I14" i="1069"/>
  <c r="J14" i="1069"/>
  <c r="K14" i="1069"/>
  <c r="L14" i="1069"/>
  <c r="M14" i="1069"/>
  <c r="N14" i="1069"/>
  <c r="O14" i="1069"/>
  <c r="C11" i="1069"/>
  <c r="D11" i="1069"/>
  <c r="E11" i="1069"/>
  <c r="F11" i="1069"/>
  <c r="G11" i="1069"/>
  <c r="C12" i="1069"/>
  <c r="D12" i="1069"/>
  <c r="E12" i="1069"/>
  <c r="F12" i="1069"/>
  <c r="G12" i="1069"/>
  <c r="C13" i="1069"/>
  <c r="D13" i="1069"/>
  <c r="E13" i="1069"/>
  <c r="F13" i="1069"/>
  <c r="G13" i="1069"/>
  <c r="C14" i="1069"/>
  <c r="D14" i="1069"/>
  <c r="E14" i="1069"/>
  <c r="F14" i="1069"/>
  <c r="G14" i="1069"/>
  <c r="AX52" i="1069"/>
  <c r="AW52" i="1069"/>
  <c r="AV52" i="1069"/>
  <c r="AU52" i="1069"/>
  <c r="AT52" i="1069"/>
  <c r="AS52" i="1069"/>
  <c r="AR52" i="1069"/>
  <c r="AQ52" i="1069"/>
  <c r="AP52" i="1069"/>
  <c r="AO52" i="1069"/>
  <c r="AN52" i="1069"/>
  <c r="AM52" i="1069"/>
  <c r="AL52" i="1069"/>
  <c r="AK52" i="1069"/>
  <c r="AJ52" i="1069"/>
  <c r="AI52" i="1069"/>
  <c r="AH52" i="1069"/>
  <c r="AG52" i="1069"/>
  <c r="AF52" i="1069"/>
  <c r="AE52" i="1069"/>
  <c r="AD52" i="1069"/>
  <c r="AC52" i="1069"/>
  <c r="AB52" i="1069"/>
  <c r="AX51" i="1069"/>
  <c r="AW51" i="1069"/>
  <c r="AV51" i="1069"/>
  <c r="AU51" i="1069"/>
  <c r="AT51" i="1069"/>
  <c r="AS51" i="1069"/>
  <c r="AR51" i="1069"/>
  <c r="AQ51" i="1069"/>
  <c r="AP51" i="1069"/>
  <c r="AO51" i="1069"/>
  <c r="AN51" i="1069"/>
  <c r="AM51" i="1069"/>
  <c r="AL51" i="1069"/>
  <c r="AK51" i="1069"/>
  <c r="AJ51" i="1069"/>
  <c r="AI51" i="1069"/>
  <c r="AH51" i="1069"/>
  <c r="AG51" i="1069"/>
  <c r="AF51" i="1069"/>
  <c r="AE51" i="1069"/>
  <c r="AD51" i="1069"/>
  <c r="AC51" i="1069"/>
  <c r="AB51" i="1069"/>
  <c r="AX50" i="1069"/>
  <c r="AW50" i="1069"/>
  <c r="AV50" i="1069"/>
  <c r="AU50" i="1069"/>
  <c r="AT50" i="1069"/>
  <c r="AS50" i="1069"/>
  <c r="AR50" i="1069"/>
  <c r="AQ50" i="1069"/>
  <c r="AP50" i="1069"/>
  <c r="AO50" i="1069"/>
  <c r="AN50" i="1069"/>
  <c r="AM50" i="1069"/>
  <c r="AL50" i="1069"/>
  <c r="AK50" i="1069"/>
  <c r="AJ50" i="1069"/>
  <c r="AI50" i="1069"/>
  <c r="AH50" i="1069"/>
  <c r="AG50" i="1069"/>
  <c r="AF50" i="1069"/>
  <c r="AE50" i="1069"/>
  <c r="AD50" i="1069"/>
  <c r="AC50" i="1069"/>
  <c r="AB50" i="1069"/>
  <c r="K45" i="1069"/>
  <c r="M36" i="1069"/>
  <c r="Z32" i="1069"/>
  <c r="Y32" i="1069"/>
  <c r="X32" i="1069"/>
  <c r="W32" i="1069"/>
  <c r="V32" i="1069"/>
  <c r="U32" i="1069"/>
  <c r="T32" i="1069"/>
  <c r="S32" i="1069"/>
  <c r="R32" i="1069"/>
  <c r="Z31" i="1069"/>
  <c r="Y31" i="1069"/>
  <c r="X31" i="1069"/>
  <c r="W31" i="1069"/>
  <c r="V31" i="1069"/>
  <c r="U31" i="1069"/>
  <c r="T31" i="1069"/>
  <c r="S31" i="1069"/>
  <c r="R31" i="1069"/>
  <c r="Z30" i="1069"/>
  <c r="Y30" i="1069"/>
  <c r="X30" i="1069"/>
  <c r="W30" i="1069"/>
  <c r="V30" i="1069"/>
  <c r="U30" i="1069"/>
  <c r="T30" i="1069"/>
  <c r="S30" i="1069"/>
  <c r="R30" i="1069"/>
  <c r="Z29" i="1069"/>
  <c r="Y29" i="1069"/>
  <c r="X29" i="1069"/>
  <c r="W29" i="1069"/>
  <c r="V29" i="1069"/>
  <c r="U29" i="1069"/>
  <c r="T29" i="1069"/>
  <c r="S29" i="1069"/>
  <c r="R29" i="1069"/>
  <c r="Z28" i="1069"/>
  <c r="Y28" i="1069"/>
  <c r="X28" i="1069"/>
  <c r="W28" i="1069"/>
  <c r="V28" i="1069"/>
  <c r="U28" i="1069"/>
  <c r="T28" i="1069"/>
  <c r="S28" i="1069"/>
  <c r="R28" i="1069"/>
  <c r="Z27" i="1069"/>
  <c r="Y27" i="1069"/>
  <c r="X27" i="1069"/>
  <c r="W27" i="1069"/>
  <c r="V27" i="1069"/>
  <c r="U27" i="1069"/>
  <c r="T27" i="1069"/>
  <c r="S27" i="1069"/>
  <c r="R27" i="1069"/>
  <c r="M27" i="1069"/>
  <c r="Z26" i="1069"/>
  <c r="Y26" i="1069"/>
  <c r="X26" i="1069"/>
  <c r="W26" i="1069"/>
  <c r="V26" i="1069"/>
  <c r="U26" i="1069"/>
  <c r="T26" i="1069"/>
  <c r="S26" i="1069"/>
  <c r="R26" i="1069"/>
  <c r="M26" i="1069"/>
  <c r="L26" i="1069"/>
  <c r="K26" i="1069"/>
  <c r="Z25" i="1069"/>
  <c r="Y25" i="1069"/>
  <c r="X25" i="1069"/>
  <c r="W25" i="1069"/>
  <c r="V25" i="1069"/>
  <c r="U25" i="1069"/>
  <c r="T25" i="1069"/>
  <c r="S25" i="1069"/>
  <c r="R25" i="1069"/>
  <c r="Z24" i="1069"/>
  <c r="Y24" i="1069"/>
  <c r="X24" i="1069"/>
  <c r="W24" i="1069"/>
  <c r="V24" i="1069"/>
  <c r="U24" i="1069"/>
  <c r="T24" i="1069"/>
  <c r="S24" i="1069"/>
  <c r="R24" i="1069"/>
  <c r="M24" i="1069"/>
  <c r="M23" i="1069"/>
  <c r="M22" i="1069"/>
  <c r="L22" i="1069"/>
  <c r="K22" i="1069"/>
  <c r="Z13" i="1069"/>
  <c r="Y13" i="1069"/>
  <c r="X13" i="1069"/>
  <c r="W13" i="1069"/>
  <c r="V13" i="1069"/>
  <c r="U13" i="1069"/>
  <c r="T13" i="1069"/>
  <c r="S13" i="1069"/>
  <c r="R13" i="1069"/>
  <c r="Z12" i="1069"/>
  <c r="Y12" i="1069"/>
  <c r="X12" i="1069"/>
  <c r="W12" i="1069"/>
  <c r="V12" i="1069"/>
  <c r="U12" i="1069"/>
  <c r="T12" i="1069"/>
  <c r="S12" i="1069"/>
  <c r="R12" i="1069"/>
  <c r="Z11" i="1069"/>
  <c r="Y11" i="1069"/>
  <c r="X11" i="1069"/>
  <c r="W11" i="1069"/>
  <c r="V11" i="1069"/>
  <c r="U11" i="1069"/>
  <c r="T11" i="1069"/>
  <c r="S11" i="1069"/>
  <c r="R11" i="1069"/>
  <c r="Z10" i="1069"/>
  <c r="Y10" i="1069"/>
  <c r="X10" i="1069"/>
  <c r="W10" i="1069"/>
  <c r="V10" i="1069"/>
  <c r="U10" i="1069"/>
  <c r="T10" i="1069"/>
  <c r="S10" i="1069"/>
  <c r="R10" i="1069"/>
  <c r="O10" i="1069"/>
  <c r="N10" i="1069"/>
  <c r="M10" i="1069"/>
  <c r="L10" i="1069"/>
  <c r="K10" i="1069"/>
  <c r="J10" i="1069"/>
  <c r="I10" i="1069"/>
  <c r="G10" i="1069"/>
  <c r="F10" i="1069"/>
  <c r="E10" i="1069"/>
  <c r="D10" i="1069"/>
  <c r="C10" i="1069"/>
  <c r="K54" i="1068"/>
  <c r="G54" i="1068"/>
  <c r="K31" i="1069" l="1"/>
  <c r="L31" i="1069" s="1"/>
  <c r="J21" i="1069"/>
  <c r="L40" i="1068" l="1"/>
  <c r="K25" i="1068"/>
  <c r="R12" i="1068"/>
  <c r="S12" i="1068"/>
  <c r="T12" i="1068"/>
  <c r="U12" i="1068"/>
  <c r="V12" i="1068"/>
  <c r="W12" i="1068"/>
  <c r="X12" i="1068"/>
  <c r="Y12" i="1068"/>
  <c r="Z12" i="1068"/>
  <c r="R13" i="1068"/>
  <c r="S13" i="1068"/>
  <c r="T13" i="1068"/>
  <c r="U13" i="1068"/>
  <c r="V13" i="1068"/>
  <c r="W13" i="1068"/>
  <c r="X13" i="1068"/>
  <c r="Y13" i="1068"/>
  <c r="Z13" i="1068"/>
  <c r="R14" i="1068"/>
  <c r="S14" i="1068"/>
  <c r="T14" i="1068"/>
  <c r="U14" i="1068"/>
  <c r="V14" i="1068"/>
  <c r="W14" i="1068"/>
  <c r="X14" i="1068"/>
  <c r="Y14" i="1068"/>
  <c r="Z14" i="1068"/>
  <c r="R15" i="1068"/>
  <c r="S15" i="1068"/>
  <c r="T15" i="1068"/>
  <c r="U15" i="1068"/>
  <c r="V15" i="1068"/>
  <c r="W15" i="1068"/>
  <c r="X15" i="1068"/>
  <c r="Y15" i="1068"/>
  <c r="Z15" i="1068"/>
  <c r="R17" i="1068"/>
  <c r="S17" i="1068"/>
  <c r="T17" i="1068"/>
  <c r="U17" i="1068"/>
  <c r="V17" i="1068"/>
  <c r="W17" i="1068"/>
  <c r="X17" i="1068"/>
  <c r="Y17" i="1068"/>
  <c r="Z17" i="1068"/>
  <c r="R18" i="1068"/>
  <c r="S18" i="1068"/>
  <c r="T18" i="1068"/>
  <c r="U18" i="1068"/>
  <c r="V18" i="1068"/>
  <c r="W18" i="1068"/>
  <c r="X18" i="1068"/>
  <c r="Y18" i="1068"/>
  <c r="Z18" i="1068"/>
  <c r="R19" i="1068"/>
  <c r="S19" i="1068"/>
  <c r="T19" i="1068"/>
  <c r="U19" i="1068"/>
  <c r="V19" i="1068"/>
  <c r="W19" i="1068"/>
  <c r="X19" i="1068"/>
  <c r="Y19" i="1068"/>
  <c r="Z19" i="1068"/>
  <c r="R20" i="1068"/>
  <c r="S20" i="1068"/>
  <c r="T20" i="1068"/>
  <c r="U20" i="1068"/>
  <c r="V20" i="1068"/>
  <c r="W20" i="1068"/>
  <c r="X20" i="1068"/>
  <c r="Y20" i="1068"/>
  <c r="Z20" i="1068"/>
  <c r="R21" i="1068"/>
  <c r="S21" i="1068"/>
  <c r="T21" i="1068"/>
  <c r="U21" i="1068"/>
  <c r="V21" i="1068"/>
  <c r="W21" i="1068"/>
  <c r="X21" i="1068"/>
  <c r="Y21" i="1068"/>
  <c r="Z21" i="1068"/>
  <c r="R22" i="1068"/>
  <c r="S22" i="1068"/>
  <c r="T22" i="1068"/>
  <c r="U22" i="1068"/>
  <c r="V22" i="1068"/>
  <c r="W22" i="1068"/>
  <c r="X22" i="1068"/>
  <c r="Y22" i="1068"/>
  <c r="Z22" i="1068"/>
  <c r="R23" i="1068"/>
  <c r="S23" i="1068"/>
  <c r="T23" i="1068"/>
  <c r="U23" i="1068"/>
  <c r="V23" i="1068"/>
  <c r="W23" i="1068"/>
  <c r="X23" i="1068"/>
  <c r="Y23" i="1068"/>
  <c r="Z23" i="1068"/>
  <c r="R24" i="1068"/>
  <c r="S24" i="1068"/>
  <c r="T24" i="1068"/>
  <c r="U24" i="1068"/>
  <c r="V24" i="1068"/>
  <c r="W24" i="1068"/>
  <c r="X24" i="1068"/>
  <c r="Y24" i="1068"/>
  <c r="Z24" i="1068"/>
  <c r="R25" i="1068"/>
  <c r="S25" i="1068"/>
  <c r="T25" i="1068"/>
  <c r="U25" i="1068"/>
  <c r="V25" i="1068"/>
  <c r="W25" i="1068"/>
  <c r="X25" i="1068"/>
  <c r="Y25" i="1068"/>
  <c r="Z25" i="1068"/>
  <c r="R26" i="1068"/>
  <c r="S26" i="1068"/>
  <c r="T26" i="1068"/>
  <c r="U26" i="1068"/>
  <c r="V26" i="1068"/>
  <c r="W26" i="1068"/>
  <c r="X26" i="1068"/>
  <c r="Y26" i="1068"/>
  <c r="Z26" i="1068"/>
  <c r="K10" i="1068"/>
  <c r="L10" i="1068"/>
  <c r="M10" i="1068"/>
  <c r="N10" i="1068"/>
  <c r="O10" i="1068"/>
  <c r="K11" i="1068"/>
  <c r="L11" i="1068"/>
  <c r="M11" i="1068"/>
  <c r="N11" i="1068"/>
  <c r="O11" i="1068"/>
  <c r="K12" i="1068"/>
  <c r="L12" i="1068"/>
  <c r="M12" i="1068"/>
  <c r="N12" i="1068"/>
  <c r="O12" i="1068"/>
  <c r="K13" i="1068"/>
  <c r="L13" i="1068"/>
  <c r="M13" i="1068"/>
  <c r="N13" i="1068"/>
  <c r="O13" i="1068"/>
  <c r="K14" i="1068"/>
  <c r="L14" i="1068"/>
  <c r="M14" i="1068"/>
  <c r="N14" i="1068"/>
  <c r="O14" i="1068"/>
  <c r="K15" i="1068"/>
  <c r="L15" i="1068"/>
  <c r="M15" i="1068"/>
  <c r="N15" i="1068"/>
  <c r="O15" i="1068"/>
  <c r="K17" i="1068"/>
  <c r="L17" i="1068"/>
  <c r="M17" i="1068"/>
  <c r="N17" i="1068"/>
  <c r="O17" i="1068"/>
  <c r="C10" i="1068"/>
  <c r="D10" i="1068"/>
  <c r="E10" i="1068"/>
  <c r="F10" i="1068"/>
  <c r="G10" i="1068"/>
  <c r="C11" i="1068"/>
  <c r="D11" i="1068"/>
  <c r="E11" i="1068"/>
  <c r="F11" i="1068"/>
  <c r="G11" i="1068"/>
  <c r="C12" i="1068"/>
  <c r="D12" i="1068"/>
  <c r="E12" i="1068"/>
  <c r="F12" i="1068"/>
  <c r="G12" i="1068"/>
  <c r="C13" i="1068"/>
  <c r="D13" i="1068"/>
  <c r="E13" i="1068"/>
  <c r="F13" i="1068"/>
  <c r="G13" i="1068"/>
  <c r="C14" i="1068"/>
  <c r="D14" i="1068"/>
  <c r="E14" i="1068"/>
  <c r="F14" i="1068"/>
  <c r="G14" i="1068"/>
  <c r="C15" i="1068"/>
  <c r="D15" i="1068"/>
  <c r="E15" i="1068"/>
  <c r="F15" i="1068"/>
  <c r="G15" i="1068"/>
  <c r="C17" i="1068"/>
  <c r="D17" i="1068"/>
  <c r="E17" i="1068"/>
  <c r="F17" i="1068"/>
  <c r="G17" i="1068"/>
  <c r="AX56" i="1068"/>
  <c r="AW56" i="1068"/>
  <c r="AV56" i="1068"/>
  <c r="AU56" i="1068"/>
  <c r="AT56" i="1068"/>
  <c r="AS56" i="1068"/>
  <c r="AR56" i="1068"/>
  <c r="AQ56" i="1068"/>
  <c r="AP56" i="1068"/>
  <c r="AO56" i="1068"/>
  <c r="AN56" i="1068"/>
  <c r="AM56" i="1068"/>
  <c r="AL56" i="1068"/>
  <c r="AK56" i="1068"/>
  <c r="AJ56" i="1068"/>
  <c r="AI56" i="1068"/>
  <c r="AH56" i="1068"/>
  <c r="AG56" i="1068"/>
  <c r="AF56" i="1068"/>
  <c r="AE56" i="1068"/>
  <c r="AD56" i="1068"/>
  <c r="AC56" i="1068"/>
  <c r="AB56" i="1068"/>
  <c r="AX55" i="1068"/>
  <c r="AW55" i="1068"/>
  <c r="AV55" i="1068"/>
  <c r="AU55" i="1068"/>
  <c r="AT55" i="1068"/>
  <c r="AS55" i="1068"/>
  <c r="AR55" i="1068"/>
  <c r="AQ55" i="1068"/>
  <c r="AP55" i="1068"/>
  <c r="AO55" i="1068"/>
  <c r="AN55" i="1068"/>
  <c r="AM55" i="1068"/>
  <c r="AL55" i="1068"/>
  <c r="AK55" i="1068"/>
  <c r="AJ55" i="1068"/>
  <c r="AI55" i="1068"/>
  <c r="AH55" i="1068"/>
  <c r="AG55" i="1068"/>
  <c r="AF55" i="1068"/>
  <c r="AE55" i="1068"/>
  <c r="AD55" i="1068"/>
  <c r="AC55" i="1068"/>
  <c r="AB55" i="1068"/>
  <c r="AX54" i="1068"/>
  <c r="AW54" i="1068"/>
  <c r="AV54" i="1068"/>
  <c r="AU54" i="1068"/>
  <c r="AT54" i="1068"/>
  <c r="AS54" i="1068"/>
  <c r="AR54" i="1068"/>
  <c r="AQ54" i="1068"/>
  <c r="AP54" i="1068"/>
  <c r="AO54" i="1068"/>
  <c r="AN54" i="1068"/>
  <c r="AM54" i="1068"/>
  <c r="AL54" i="1068"/>
  <c r="AK54" i="1068"/>
  <c r="AJ54" i="1068"/>
  <c r="AI54" i="1068"/>
  <c r="AH54" i="1068"/>
  <c r="AG54" i="1068"/>
  <c r="AF54" i="1068"/>
  <c r="AE54" i="1068"/>
  <c r="AD54" i="1068"/>
  <c r="AC54" i="1068"/>
  <c r="AB54" i="1068"/>
  <c r="B54" i="1068"/>
  <c r="K49" i="1068"/>
  <c r="Z36" i="1068"/>
  <c r="Y36" i="1068"/>
  <c r="X36" i="1068"/>
  <c r="W36" i="1068"/>
  <c r="V36" i="1068"/>
  <c r="U36" i="1068"/>
  <c r="T36" i="1068"/>
  <c r="S36" i="1068"/>
  <c r="R36" i="1068"/>
  <c r="Z35" i="1068"/>
  <c r="Y35" i="1068"/>
  <c r="X35" i="1068"/>
  <c r="W35" i="1068"/>
  <c r="V35" i="1068"/>
  <c r="U35" i="1068"/>
  <c r="T35" i="1068"/>
  <c r="S35" i="1068"/>
  <c r="R35" i="1068"/>
  <c r="Z34" i="1068"/>
  <c r="Y34" i="1068"/>
  <c r="X34" i="1068"/>
  <c r="W34" i="1068"/>
  <c r="V34" i="1068"/>
  <c r="U34" i="1068"/>
  <c r="T34" i="1068"/>
  <c r="S34" i="1068"/>
  <c r="R34" i="1068"/>
  <c r="Z33" i="1068"/>
  <c r="Y33" i="1068"/>
  <c r="X33" i="1068"/>
  <c r="W33" i="1068"/>
  <c r="V33" i="1068"/>
  <c r="U33" i="1068"/>
  <c r="T33" i="1068"/>
  <c r="S33" i="1068"/>
  <c r="R33" i="1068"/>
  <c r="Z32" i="1068"/>
  <c r="Y32" i="1068"/>
  <c r="X32" i="1068"/>
  <c r="W32" i="1068"/>
  <c r="V32" i="1068"/>
  <c r="U32" i="1068"/>
  <c r="T32" i="1068"/>
  <c r="S32" i="1068"/>
  <c r="R32" i="1068"/>
  <c r="Z31" i="1068"/>
  <c r="Y31" i="1068"/>
  <c r="X31" i="1068"/>
  <c r="W31" i="1068"/>
  <c r="V31" i="1068"/>
  <c r="U31" i="1068"/>
  <c r="T31" i="1068"/>
  <c r="S31" i="1068"/>
  <c r="R31" i="1068"/>
  <c r="M31" i="1068"/>
  <c r="Z30" i="1068"/>
  <c r="Y30" i="1068"/>
  <c r="X30" i="1068"/>
  <c r="W30" i="1068"/>
  <c r="V30" i="1068"/>
  <c r="U30" i="1068"/>
  <c r="T30" i="1068"/>
  <c r="S30" i="1068"/>
  <c r="R30" i="1068"/>
  <c r="M30" i="1068"/>
  <c r="L30" i="1068"/>
  <c r="K30" i="1068"/>
  <c r="Z29" i="1068"/>
  <c r="Y29" i="1068"/>
  <c r="X29" i="1068"/>
  <c r="W29" i="1068"/>
  <c r="V29" i="1068"/>
  <c r="U29" i="1068"/>
  <c r="T29" i="1068"/>
  <c r="S29" i="1068"/>
  <c r="R29" i="1068"/>
  <c r="Z28" i="1068"/>
  <c r="Y28" i="1068"/>
  <c r="X28" i="1068"/>
  <c r="W28" i="1068"/>
  <c r="V28" i="1068"/>
  <c r="U28" i="1068"/>
  <c r="T28" i="1068"/>
  <c r="S28" i="1068"/>
  <c r="R28" i="1068"/>
  <c r="M28" i="1068"/>
  <c r="Z27" i="1068"/>
  <c r="Y27" i="1068"/>
  <c r="X27" i="1068"/>
  <c r="W27" i="1068"/>
  <c r="V27" i="1068"/>
  <c r="U27" i="1068"/>
  <c r="T27" i="1068"/>
  <c r="S27" i="1068"/>
  <c r="R27" i="1068"/>
  <c r="M27" i="1068"/>
  <c r="M26" i="1068"/>
  <c r="L26" i="1068"/>
  <c r="K26" i="1068"/>
  <c r="Z11" i="1068"/>
  <c r="Y11" i="1068"/>
  <c r="X11" i="1068"/>
  <c r="W11" i="1068"/>
  <c r="V11" i="1068"/>
  <c r="U11" i="1068"/>
  <c r="T11" i="1068"/>
  <c r="S11" i="1068"/>
  <c r="R11" i="1068"/>
  <c r="Z10" i="1068"/>
  <c r="Y10" i="1068"/>
  <c r="X10" i="1068"/>
  <c r="W10" i="1068"/>
  <c r="V10" i="1068"/>
  <c r="U10" i="1068"/>
  <c r="T10" i="1068"/>
  <c r="S10" i="1068"/>
  <c r="R10" i="1068"/>
  <c r="B57" i="1067"/>
  <c r="G57" i="1067"/>
  <c r="G55" i="1067"/>
  <c r="M40" i="1068" l="1"/>
  <c r="K35" i="1068"/>
  <c r="R11" i="1067"/>
  <c r="S11" i="1067"/>
  <c r="T11" i="1067"/>
  <c r="U11" i="1067"/>
  <c r="V11" i="1067"/>
  <c r="W11" i="1067"/>
  <c r="X11" i="1067"/>
  <c r="Y11" i="1067"/>
  <c r="Z11" i="1067"/>
  <c r="R12" i="1067"/>
  <c r="S12" i="1067"/>
  <c r="T12" i="1067"/>
  <c r="U12" i="1067"/>
  <c r="V12" i="1067"/>
  <c r="W12" i="1067"/>
  <c r="X12" i="1067"/>
  <c r="Y12" i="1067"/>
  <c r="Z12" i="1067"/>
  <c r="R13" i="1067"/>
  <c r="S13" i="1067"/>
  <c r="T13" i="1067"/>
  <c r="U13" i="1067"/>
  <c r="V13" i="1067"/>
  <c r="W13" i="1067"/>
  <c r="X13" i="1067"/>
  <c r="Y13" i="1067"/>
  <c r="Z13" i="1067"/>
  <c r="R14" i="1067"/>
  <c r="S14" i="1067"/>
  <c r="T14" i="1067"/>
  <c r="U14" i="1067"/>
  <c r="V14" i="1067"/>
  <c r="W14" i="1067"/>
  <c r="X14" i="1067"/>
  <c r="Y14" i="1067"/>
  <c r="Z14" i="1067"/>
  <c r="R15" i="1067"/>
  <c r="S15" i="1067"/>
  <c r="T15" i="1067"/>
  <c r="U15" i="1067"/>
  <c r="V15" i="1067"/>
  <c r="W15" i="1067"/>
  <c r="X15" i="1067"/>
  <c r="Y15" i="1067"/>
  <c r="Z15" i="1067"/>
  <c r="R16" i="1067"/>
  <c r="S16" i="1067"/>
  <c r="T16" i="1067"/>
  <c r="U16" i="1067"/>
  <c r="V16" i="1067"/>
  <c r="W16" i="1067"/>
  <c r="X16" i="1067"/>
  <c r="Y16" i="1067"/>
  <c r="Z16" i="1067"/>
  <c r="R17" i="1067"/>
  <c r="S17" i="1067"/>
  <c r="T17" i="1067"/>
  <c r="U17" i="1067"/>
  <c r="V17" i="1067"/>
  <c r="W17" i="1067"/>
  <c r="X17" i="1067"/>
  <c r="Y17" i="1067"/>
  <c r="Z17" i="1067"/>
  <c r="R18" i="1067"/>
  <c r="S18" i="1067"/>
  <c r="T18" i="1067"/>
  <c r="U18" i="1067"/>
  <c r="V18" i="1067"/>
  <c r="W18" i="1067"/>
  <c r="X18" i="1067"/>
  <c r="Y18" i="1067"/>
  <c r="Z18" i="1067"/>
  <c r="R19" i="1067"/>
  <c r="S19" i="1067"/>
  <c r="T19" i="1067"/>
  <c r="U19" i="1067"/>
  <c r="V19" i="1067"/>
  <c r="W19" i="1067"/>
  <c r="X19" i="1067"/>
  <c r="Y19" i="1067"/>
  <c r="Z19" i="1067"/>
  <c r="R20" i="1067"/>
  <c r="S20" i="1067"/>
  <c r="T20" i="1067"/>
  <c r="U20" i="1067"/>
  <c r="V20" i="1067"/>
  <c r="W20" i="1067"/>
  <c r="X20" i="1067"/>
  <c r="Y20" i="1067"/>
  <c r="Z20" i="1067"/>
  <c r="R21" i="1067"/>
  <c r="S21" i="1067"/>
  <c r="T21" i="1067"/>
  <c r="U21" i="1067"/>
  <c r="V21" i="1067"/>
  <c r="W21" i="1067"/>
  <c r="X21" i="1067"/>
  <c r="Y21" i="1067"/>
  <c r="Z21" i="1067"/>
  <c r="R22" i="1067"/>
  <c r="S22" i="1067"/>
  <c r="T22" i="1067"/>
  <c r="U22" i="1067"/>
  <c r="V22" i="1067"/>
  <c r="W22" i="1067"/>
  <c r="X22" i="1067"/>
  <c r="Y22" i="1067"/>
  <c r="Z22" i="1067"/>
  <c r="R23" i="1067"/>
  <c r="S23" i="1067"/>
  <c r="T23" i="1067"/>
  <c r="U23" i="1067"/>
  <c r="V23" i="1067"/>
  <c r="W23" i="1067"/>
  <c r="X23" i="1067"/>
  <c r="Y23" i="1067"/>
  <c r="Z23" i="1067"/>
  <c r="R24" i="1067"/>
  <c r="S24" i="1067"/>
  <c r="T24" i="1067"/>
  <c r="U24" i="1067"/>
  <c r="V24" i="1067"/>
  <c r="W24" i="1067"/>
  <c r="X24" i="1067"/>
  <c r="Y24" i="1067"/>
  <c r="Z24" i="1067"/>
  <c r="R25" i="1067"/>
  <c r="S25" i="1067"/>
  <c r="T25" i="1067"/>
  <c r="U25" i="1067"/>
  <c r="V25" i="1067"/>
  <c r="W25" i="1067"/>
  <c r="X25" i="1067"/>
  <c r="Y25" i="1067"/>
  <c r="Z25" i="1067"/>
  <c r="R26" i="1067"/>
  <c r="S26" i="1067"/>
  <c r="T26" i="1067"/>
  <c r="U26" i="1067"/>
  <c r="V26" i="1067"/>
  <c r="W26" i="1067"/>
  <c r="X26" i="1067"/>
  <c r="Y26" i="1067"/>
  <c r="Z26" i="1067"/>
  <c r="R27" i="1067"/>
  <c r="S27" i="1067"/>
  <c r="T27" i="1067"/>
  <c r="U27" i="1067"/>
  <c r="V27" i="1067"/>
  <c r="W27" i="1067"/>
  <c r="X27" i="1067"/>
  <c r="Y27" i="1067"/>
  <c r="Z27" i="1067"/>
  <c r="R28" i="1067"/>
  <c r="S28" i="1067"/>
  <c r="T28" i="1067"/>
  <c r="U28" i="1067"/>
  <c r="V28" i="1067"/>
  <c r="W28" i="1067"/>
  <c r="X28" i="1067"/>
  <c r="Y28" i="1067"/>
  <c r="Z28" i="1067"/>
  <c r="L41" i="1067"/>
  <c r="M26" i="1067"/>
  <c r="L26" i="1067"/>
  <c r="K26" i="1067"/>
  <c r="I11" i="1067"/>
  <c r="J11" i="1067"/>
  <c r="K11" i="1067"/>
  <c r="L11" i="1067"/>
  <c r="M11" i="1067"/>
  <c r="N11" i="1067"/>
  <c r="O11" i="1067"/>
  <c r="I12" i="1067"/>
  <c r="J12" i="1067"/>
  <c r="K12" i="1067"/>
  <c r="L12" i="1067"/>
  <c r="M12" i="1067"/>
  <c r="N12" i="1067"/>
  <c r="O12" i="1067"/>
  <c r="I13" i="1067"/>
  <c r="J13" i="1067"/>
  <c r="K13" i="1067"/>
  <c r="L13" i="1067"/>
  <c r="M13" i="1067"/>
  <c r="N13" i="1067"/>
  <c r="O13" i="1067"/>
  <c r="I14" i="1067"/>
  <c r="J14" i="1067"/>
  <c r="K14" i="1067"/>
  <c r="L14" i="1067"/>
  <c r="M14" i="1067"/>
  <c r="N14" i="1067"/>
  <c r="O14" i="1067"/>
  <c r="I15" i="1067"/>
  <c r="J15" i="1067"/>
  <c r="K15" i="1067"/>
  <c r="L15" i="1067"/>
  <c r="M15" i="1067"/>
  <c r="N15" i="1067"/>
  <c r="O15" i="1067"/>
  <c r="I16" i="1067"/>
  <c r="J16" i="1067"/>
  <c r="K16" i="1067"/>
  <c r="L16" i="1067"/>
  <c r="M16" i="1067"/>
  <c r="N16" i="1067"/>
  <c r="O16" i="1067"/>
  <c r="C11" i="1067"/>
  <c r="D11" i="1067"/>
  <c r="E11" i="1067"/>
  <c r="F11" i="1067"/>
  <c r="G11" i="1067"/>
  <c r="C12" i="1067"/>
  <c r="D12" i="1067"/>
  <c r="E12" i="1067"/>
  <c r="F12" i="1067"/>
  <c r="G12" i="1067"/>
  <c r="C13" i="1067"/>
  <c r="D13" i="1067"/>
  <c r="E13" i="1067"/>
  <c r="F13" i="1067"/>
  <c r="G13" i="1067"/>
  <c r="C14" i="1067"/>
  <c r="D14" i="1067"/>
  <c r="E14" i="1067"/>
  <c r="F14" i="1067"/>
  <c r="G14" i="1067"/>
  <c r="C15" i="1067"/>
  <c r="D15" i="1067"/>
  <c r="E15" i="1067"/>
  <c r="F15" i="1067"/>
  <c r="G15" i="1067"/>
  <c r="C16" i="1067"/>
  <c r="D16" i="1067"/>
  <c r="E16" i="1067"/>
  <c r="F16" i="1067"/>
  <c r="G16" i="1067"/>
  <c r="AX57" i="1067"/>
  <c r="AW57" i="1067"/>
  <c r="AV57" i="1067"/>
  <c r="AU57" i="1067"/>
  <c r="AT57" i="1067"/>
  <c r="AS57" i="1067"/>
  <c r="AR57" i="1067"/>
  <c r="AQ57" i="1067"/>
  <c r="AP57" i="1067"/>
  <c r="AO57" i="1067"/>
  <c r="AN57" i="1067"/>
  <c r="AM57" i="1067"/>
  <c r="AL57" i="1067"/>
  <c r="AK57" i="1067"/>
  <c r="AJ57" i="1067"/>
  <c r="AI57" i="1067"/>
  <c r="AH57" i="1067"/>
  <c r="AG57" i="1067"/>
  <c r="AF57" i="1067"/>
  <c r="AE57" i="1067"/>
  <c r="AD57" i="1067"/>
  <c r="AC57" i="1067"/>
  <c r="AB57" i="1067"/>
  <c r="AX56" i="1067"/>
  <c r="AW56" i="1067"/>
  <c r="AV56" i="1067"/>
  <c r="AU56" i="1067"/>
  <c r="AT56" i="1067"/>
  <c r="AS56" i="1067"/>
  <c r="AR56" i="1067"/>
  <c r="AQ56" i="1067"/>
  <c r="AP56" i="1067"/>
  <c r="AO56" i="1067"/>
  <c r="AN56" i="1067"/>
  <c r="AM56" i="1067"/>
  <c r="AL56" i="1067"/>
  <c r="AK56" i="1067"/>
  <c r="AJ56" i="1067"/>
  <c r="AI56" i="1067"/>
  <c r="AH56" i="1067"/>
  <c r="AG56" i="1067"/>
  <c r="AF56" i="1067"/>
  <c r="AE56" i="1067"/>
  <c r="AD56" i="1067"/>
  <c r="AC56" i="1067"/>
  <c r="AB56" i="1067"/>
  <c r="AX55" i="1067"/>
  <c r="AW55" i="1067"/>
  <c r="AV55" i="1067"/>
  <c r="AU55" i="1067"/>
  <c r="AT55" i="1067"/>
  <c r="AS55" i="1067"/>
  <c r="AR55" i="1067"/>
  <c r="AQ55" i="1067"/>
  <c r="AP55" i="1067"/>
  <c r="AO55" i="1067"/>
  <c r="AN55" i="1067"/>
  <c r="AM55" i="1067"/>
  <c r="AL55" i="1067"/>
  <c r="AK55" i="1067"/>
  <c r="AJ55" i="1067"/>
  <c r="AI55" i="1067"/>
  <c r="AH55" i="1067"/>
  <c r="AG55" i="1067"/>
  <c r="AF55" i="1067"/>
  <c r="AE55" i="1067"/>
  <c r="AD55" i="1067"/>
  <c r="AC55" i="1067"/>
  <c r="AB55" i="1067"/>
  <c r="B55" i="1067"/>
  <c r="K50" i="1067"/>
  <c r="M41" i="1067"/>
  <c r="Z37" i="1067"/>
  <c r="Y37" i="1067"/>
  <c r="X37" i="1067"/>
  <c r="W37" i="1067"/>
  <c r="V37" i="1067"/>
  <c r="U37" i="1067"/>
  <c r="T37" i="1067"/>
  <c r="S37" i="1067"/>
  <c r="R37" i="1067"/>
  <c r="Z36" i="1067"/>
  <c r="Y36" i="1067"/>
  <c r="X36" i="1067"/>
  <c r="W36" i="1067"/>
  <c r="V36" i="1067"/>
  <c r="U36" i="1067"/>
  <c r="T36" i="1067"/>
  <c r="S36" i="1067"/>
  <c r="R36" i="1067"/>
  <c r="Z35" i="1067"/>
  <c r="Y35" i="1067"/>
  <c r="X35" i="1067"/>
  <c r="W35" i="1067"/>
  <c r="V35" i="1067"/>
  <c r="U35" i="1067"/>
  <c r="T35" i="1067"/>
  <c r="S35" i="1067"/>
  <c r="R35" i="1067"/>
  <c r="Z34" i="1067"/>
  <c r="Y34" i="1067"/>
  <c r="X34" i="1067"/>
  <c r="W34" i="1067"/>
  <c r="V34" i="1067"/>
  <c r="U34" i="1067"/>
  <c r="T34" i="1067"/>
  <c r="S34" i="1067"/>
  <c r="R34" i="1067"/>
  <c r="Z33" i="1067"/>
  <c r="Y33" i="1067"/>
  <c r="X33" i="1067"/>
  <c r="W33" i="1067"/>
  <c r="V33" i="1067"/>
  <c r="U33" i="1067"/>
  <c r="T33" i="1067"/>
  <c r="S33" i="1067"/>
  <c r="R33" i="1067"/>
  <c r="Z32" i="1067"/>
  <c r="Y32" i="1067"/>
  <c r="X32" i="1067"/>
  <c r="W32" i="1067"/>
  <c r="V32" i="1067"/>
  <c r="U32" i="1067"/>
  <c r="T32" i="1067"/>
  <c r="S32" i="1067"/>
  <c r="R32" i="1067"/>
  <c r="M32" i="1067"/>
  <c r="Z31" i="1067"/>
  <c r="Y31" i="1067"/>
  <c r="X31" i="1067"/>
  <c r="W31" i="1067"/>
  <c r="V31" i="1067"/>
  <c r="U31" i="1067"/>
  <c r="T31" i="1067"/>
  <c r="S31" i="1067"/>
  <c r="R31" i="1067"/>
  <c r="M31" i="1067"/>
  <c r="L31" i="1067"/>
  <c r="K31" i="1067"/>
  <c r="Z30" i="1067"/>
  <c r="Y30" i="1067"/>
  <c r="X30" i="1067"/>
  <c r="W30" i="1067"/>
  <c r="V30" i="1067"/>
  <c r="U30" i="1067"/>
  <c r="T30" i="1067"/>
  <c r="S30" i="1067"/>
  <c r="R30" i="1067"/>
  <c r="Z29" i="1067"/>
  <c r="Y29" i="1067"/>
  <c r="X29" i="1067"/>
  <c r="W29" i="1067"/>
  <c r="V29" i="1067"/>
  <c r="U29" i="1067"/>
  <c r="T29" i="1067"/>
  <c r="S29" i="1067"/>
  <c r="R29" i="1067"/>
  <c r="M29" i="1067"/>
  <c r="M28" i="1067"/>
  <c r="M27" i="1067"/>
  <c r="L27" i="1067"/>
  <c r="K27" i="1067"/>
  <c r="Z10" i="1067"/>
  <c r="Y10" i="1067"/>
  <c r="X10" i="1067"/>
  <c r="W10" i="1067"/>
  <c r="V10" i="1067"/>
  <c r="U10" i="1067"/>
  <c r="T10" i="1067"/>
  <c r="S10" i="1067"/>
  <c r="R10" i="1067"/>
  <c r="O10" i="1067"/>
  <c r="N10" i="1067"/>
  <c r="M10" i="1067"/>
  <c r="L10" i="1067"/>
  <c r="K10" i="1067"/>
  <c r="J10" i="1067"/>
  <c r="I10" i="1067"/>
  <c r="G10" i="1067"/>
  <c r="F10" i="1067"/>
  <c r="E10" i="1067"/>
  <c r="D10" i="1067"/>
  <c r="C10" i="1067"/>
  <c r="G53" i="1066"/>
  <c r="L39" i="1066"/>
  <c r="M24" i="1066"/>
  <c r="L24" i="1066"/>
  <c r="K24" i="1066"/>
  <c r="M25" i="1066"/>
  <c r="L25" i="1066"/>
  <c r="K25" i="1066"/>
  <c r="R10" i="1066"/>
  <c r="S10" i="1066"/>
  <c r="T10" i="1066"/>
  <c r="U10" i="1066"/>
  <c r="V10" i="1066"/>
  <c r="W10" i="1066"/>
  <c r="X10" i="1066"/>
  <c r="Y10" i="1066"/>
  <c r="Z10" i="1066"/>
  <c r="R11" i="1066"/>
  <c r="S11" i="1066"/>
  <c r="T11" i="1066"/>
  <c r="U11" i="1066"/>
  <c r="V11" i="1066"/>
  <c r="W11" i="1066"/>
  <c r="X11" i="1066"/>
  <c r="Y11" i="1066"/>
  <c r="Z11" i="1066"/>
  <c r="R12" i="1066"/>
  <c r="S12" i="1066"/>
  <c r="T12" i="1066"/>
  <c r="U12" i="1066"/>
  <c r="V12" i="1066"/>
  <c r="W12" i="1066"/>
  <c r="X12" i="1066"/>
  <c r="Y12" i="1066"/>
  <c r="Z12" i="1066"/>
  <c r="R13" i="1066"/>
  <c r="S13" i="1066"/>
  <c r="T13" i="1066"/>
  <c r="U13" i="1066"/>
  <c r="V13" i="1066"/>
  <c r="W13" i="1066"/>
  <c r="X13" i="1066"/>
  <c r="Y13" i="1066"/>
  <c r="Z13" i="1066"/>
  <c r="R14" i="1066"/>
  <c r="S14" i="1066"/>
  <c r="T14" i="1066"/>
  <c r="U14" i="1066"/>
  <c r="V14" i="1066"/>
  <c r="W14" i="1066"/>
  <c r="X14" i="1066"/>
  <c r="Y14" i="1066"/>
  <c r="Z14" i="1066"/>
  <c r="R15" i="1066"/>
  <c r="S15" i="1066"/>
  <c r="T15" i="1066"/>
  <c r="U15" i="1066"/>
  <c r="V15" i="1066"/>
  <c r="W15" i="1066"/>
  <c r="X15" i="1066"/>
  <c r="Y15" i="1066"/>
  <c r="Z15" i="1066"/>
  <c r="R16" i="1066"/>
  <c r="S16" i="1066"/>
  <c r="T16" i="1066"/>
  <c r="U16" i="1066"/>
  <c r="V16" i="1066"/>
  <c r="W16" i="1066"/>
  <c r="X16" i="1066"/>
  <c r="Y16" i="1066"/>
  <c r="Z16" i="1066"/>
  <c r="C12" i="1066"/>
  <c r="D12" i="1066"/>
  <c r="E12" i="1066"/>
  <c r="F12" i="1066"/>
  <c r="G12" i="1066"/>
  <c r="K12" i="1066"/>
  <c r="L12" i="1066"/>
  <c r="M12" i="1066"/>
  <c r="N12" i="1066"/>
  <c r="O12" i="1066"/>
  <c r="C13" i="1066"/>
  <c r="D13" i="1066"/>
  <c r="E13" i="1066"/>
  <c r="F13" i="1066"/>
  <c r="G13" i="1066"/>
  <c r="K13" i="1066"/>
  <c r="L13" i="1066"/>
  <c r="M13" i="1066"/>
  <c r="N13" i="1066"/>
  <c r="O13" i="1066"/>
  <c r="C14" i="1066"/>
  <c r="D14" i="1066"/>
  <c r="E14" i="1066"/>
  <c r="F14" i="1066"/>
  <c r="G14" i="1066"/>
  <c r="K14" i="1066"/>
  <c r="L14" i="1066"/>
  <c r="M14" i="1066"/>
  <c r="N14" i="1066"/>
  <c r="O14" i="1066"/>
  <c r="C15" i="1066"/>
  <c r="D15" i="1066"/>
  <c r="E15" i="1066"/>
  <c r="F15" i="1066"/>
  <c r="G15" i="1066"/>
  <c r="K15" i="1066"/>
  <c r="L15" i="1066"/>
  <c r="M15" i="1066"/>
  <c r="N15" i="1066"/>
  <c r="O15" i="1066"/>
  <c r="C16" i="1066"/>
  <c r="D16" i="1066"/>
  <c r="E16" i="1066"/>
  <c r="F16" i="1066"/>
  <c r="G16" i="1066"/>
  <c r="K16" i="1066"/>
  <c r="L16" i="1066"/>
  <c r="M16" i="1066"/>
  <c r="N16" i="1066"/>
  <c r="O16" i="1066"/>
  <c r="C19" i="1066"/>
  <c r="D19" i="1066"/>
  <c r="E19" i="1066"/>
  <c r="F19" i="1066"/>
  <c r="G19" i="1066"/>
  <c r="K19" i="1066"/>
  <c r="L19" i="1066"/>
  <c r="M19" i="1066"/>
  <c r="N19" i="1066"/>
  <c r="O19" i="1066"/>
  <c r="I10" i="1066"/>
  <c r="J25" i="1066" s="1"/>
  <c r="J10" i="1066"/>
  <c r="L10" i="1066"/>
  <c r="M10" i="1066"/>
  <c r="N10" i="1066"/>
  <c r="O10" i="1066"/>
  <c r="C10" i="1066"/>
  <c r="D10" i="1066"/>
  <c r="E10" i="1066"/>
  <c r="F10" i="1066"/>
  <c r="G10" i="1066"/>
  <c r="AX55" i="1066"/>
  <c r="AW55" i="1066"/>
  <c r="AV55" i="1066"/>
  <c r="AU55" i="1066"/>
  <c r="AT55" i="1066"/>
  <c r="AS55" i="1066"/>
  <c r="AR55" i="1066"/>
  <c r="AQ55" i="1066"/>
  <c r="AP55" i="1066"/>
  <c r="AO55" i="1066"/>
  <c r="AN55" i="1066"/>
  <c r="AM55" i="1066"/>
  <c r="AL55" i="1066"/>
  <c r="AK55" i="1066"/>
  <c r="AJ55" i="1066"/>
  <c r="AI55" i="1066"/>
  <c r="AH55" i="1066"/>
  <c r="AG55" i="1066"/>
  <c r="AF55" i="1066"/>
  <c r="AE55" i="1066"/>
  <c r="AD55" i="1066"/>
  <c r="AC55" i="1066"/>
  <c r="AB55" i="1066"/>
  <c r="AX54" i="1066"/>
  <c r="AW54" i="1066"/>
  <c r="AV54" i="1066"/>
  <c r="AU54" i="1066"/>
  <c r="AT54" i="1066"/>
  <c r="AS54" i="1066"/>
  <c r="AR54" i="1066"/>
  <c r="AQ54" i="1066"/>
  <c r="AP54" i="1066"/>
  <c r="AO54" i="1066"/>
  <c r="AN54" i="1066"/>
  <c r="AM54" i="1066"/>
  <c r="AL54" i="1066"/>
  <c r="AK54" i="1066"/>
  <c r="AJ54" i="1066"/>
  <c r="AI54" i="1066"/>
  <c r="AH54" i="1066"/>
  <c r="AG54" i="1066"/>
  <c r="AF54" i="1066"/>
  <c r="AE54" i="1066"/>
  <c r="AD54" i="1066"/>
  <c r="AC54" i="1066"/>
  <c r="AB54" i="1066"/>
  <c r="AX53" i="1066"/>
  <c r="AW53" i="1066"/>
  <c r="AV53" i="1066"/>
  <c r="AU53" i="1066"/>
  <c r="AT53" i="1066"/>
  <c r="AS53" i="1066"/>
  <c r="AR53" i="1066"/>
  <c r="AQ53" i="1066"/>
  <c r="AP53" i="1066"/>
  <c r="AO53" i="1066"/>
  <c r="AN53" i="1066"/>
  <c r="AM53" i="1066"/>
  <c r="AL53" i="1066"/>
  <c r="AK53" i="1066"/>
  <c r="AJ53" i="1066"/>
  <c r="AI53" i="1066"/>
  <c r="AH53" i="1066"/>
  <c r="AG53" i="1066"/>
  <c r="AF53" i="1066"/>
  <c r="AE53" i="1066"/>
  <c r="AD53" i="1066"/>
  <c r="AC53" i="1066"/>
  <c r="AB53" i="1066"/>
  <c r="B53" i="1066"/>
  <c r="K48" i="1066"/>
  <c r="M39" i="1066" s="1"/>
  <c r="Z35" i="1066"/>
  <c r="Y35" i="1066"/>
  <c r="X35" i="1066"/>
  <c r="W35" i="1066"/>
  <c r="V35" i="1066"/>
  <c r="U35" i="1066"/>
  <c r="T35" i="1066"/>
  <c r="S35" i="1066"/>
  <c r="R35" i="1066"/>
  <c r="Z34" i="1066"/>
  <c r="Y34" i="1066"/>
  <c r="X34" i="1066"/>
  <c r="W34" i="1066"/>
  <c r="V34" i="1066"/>
  <c r="U34" i="1066"/>
  <c r="T34" i="1066"/>
  <c r="S34" i="1066"/>
  <c r="R34" i="1066"/>
  <c r="Z33" i="1066"/>
  <c r="Y33" i="1066"/>
  <c r="X33" i="1066"/>
  <c r="W33" i="1066"/>
  <c r="V33" i="1066"/>
  <c r="U33" i="1066"/>
  <c r="T33" i="1066"/>
  <c r="S33" i="1066"/>
  <c r="R33" i="1066"/>
  <c r="Z32" i="1066"/>
  <c r="Y32" i="1066"/>
  <c r="X32" i="1066"/>
  <c r="W32" i="1066"/>
  <c r="V32" i="1066"/>
  <c r="U32" i="1066"/>
  <c r="T32" i="1066"/>
  <c r="S32" i="1066"/>
  <c r="R32" i="1066"/>
  <c r="Z31" i="1066"/>
  <c r="Y31" i="1066"/>
  <c r="X31" i="1066"/>
  <c r="W31" i="1066"/>
  <c r="V31" i="1066"/>
  <c r="U31" i="1066"/>
  <c r="T31" i="1066"/>
  <c r="S31" i="1066"/>
  <c r="R31" i="1066"/>
  <c r="Z30" i="1066"/>
  <c r="Y30" i="1066"/>
  <c r="X30" i="1066"/>
  <c r="W30" i="1066"/>
  <c r="V30" i="1066"/>
  <c r="U30" i="1066"/>
  <c r="T30" i="1066"/>
  <c r="S30" i="1066"/>
  <c r="R30" i="1066"/>
  <c r="M30" i="1066"/>
  <c r="Z29" i="1066"/>
  <c r="Y29" i="1066"/>
  <c r="X29" i="1066"/>
  <c r="W29" i="1066"/>
  <c r="V29" i="1066"/>
  <c r="U29" i="1066"/>
  <c r="T29" i="1066"/>
  <c r="S29" i="1066"/>
  <c r="R29" i="1066"/>
  <c r="M29" i="1066"/>
  <c r="L29" i="1066"/>
  <c r="K29" i="1066"/>
  <c r="Z28" i="1066"/>
  <c r="Y28" i="1066"/>
  <c r="X28" i="1066"/>
  <c r="W28" i="1066"/>
  <c r="V28" i="1066"/>
  <c r="U28" i="1066"/>
  <c r="T28" i="1066"/>
  <c r="S28" i="1066"/>
  <c r="R28" i="1066"/>
  <c r="Z27" i="1066"/>
  <c r="Y27" i="1066"/>
  <c r="X27" i="1066"/>
  <c r="W27" i="1066"/>
  <c r="V27" i="1066"/>
  <c r="U27" i="1066"/>
  <c r="T27" i="1066"/>
  <c r="S27" i="1066"/>
  <c r="R27" i="1066"/>
  <c r="M27" i="1066"/>
  <c r="Z26" i="1066"/>
  <c r="Y26" i="1066"/>
  <c r="X26" i="1066"/>
  <c r="W26" i="1066"/>
  <c r="V26" i="1066"/>
  <c r="U26" i="1066"/>
  <c r="T26" i="1066"/>
  <c r="S26" i="1066"/>
  <c r="R26" i="1066"/>
  <c r="M26" i="1066"/>
  <c r="Z25" i="1066"/>
  <c r="Y25" i="1066"/>
  <c r="X25" i="1066"/>
  <c r="W25" i="1066"/>
  <c r="V25" i="1066"/>
  <c r="U25" i="1066"/>
  <c r="T25" i="1066"/>
  <c r="S25" i="1066"/>
  <c r="R25" i="1066"/>
  <c r="Z24" i="1066"/>
  <c r="Y24" i="1066"/>
  <c r="X24" i="1066"/>
  <c r="W24" i="1066"/>
  <c r="V24" i="1066"/>
  <c r="U24" i="1066"/>
  <c r="T24" i="1066"/>
  <c r="S24" i="1066"/>
  <c r="R24" i="1066"/>
  <c r="Z23" i="1066"/>
  <c r="Y23" i="1066"/>
  <c r="X23" i="1066"/>
  <c r="W23" i="1066"/>
  <c r="V23" i="1066"/>
  <c r="U23" i="1066"/>
  <c r="T23" i="1066"/>
  <c r="S23" i="1066"/>
  <c r="R23" i="1066"/>
  <c r="Z22" i="1066"/>
  <c r="Y22" i="1066"/>
  <c r="X22" i="1066"/>
  <c r="W22" i="1066"/>
  <c r="V22" i="1066"/>
  <c r="U22" i="1066"/>
  <c r="T22" i="1066"/>
  <c r="S22" i="1066"/>
  <c r="R22" i="1066"/>
  <c r="Z21" i="1066"/>
  <c r="Y21" i="1066"/>
  <c r="X21" i="1066"/>
  <c r="W21" i="1066"/>
  <c r="V21" i="1066"/>
  <c r="U21" i="1066"/>
  <c r="T21" i="1066"/>
  <c r="S21" i="1066"/>
  <c r="R21" i="1066"/>
  <c r="Z20" i="1066"/>
  <c r="Y20" i="1066"/>
  <c r="X20" i="1066"/>
  <c r="W20" i="1066"/>
  <c r="V20" i="1066"/>
  <c r="U20" i="1066"/>
  <c r="T20" i="1066"/>
  <c r="S20" i="1066"/>
  <c r="R20" i="1066"/>
  <c r="Z19" i="1066"/>
  <c r="Y19" i="1066"/>
  <c r="X19" i="1066"/>
  <c r="W19" i="1066"/>
  <c r="V19" i="1066"/>
  <c r="U19" i="1066"/>
  <c r="T19" i="1066"/>
  <c r="S19" i="1066"/>
  <c r="R19" i="1066"/>
  <c r="J26" i="1067" l="1"/>
  <c r="K53" i="1066"/>
  <c r="K66" i="1066" s="1"/>
  <c r="K36" i="1067"/>
  <c r="L36" i="1067" s="1"/>
  <c r="K34" i="1066"/>
  <c r="L34" i="1066" s="1"/>
  <c r="K55" i="1067" l="1"/>
  <c r="K67" i="1068"/>
  <c r="K57" i="1067"/>
  <c r="J13" i="1066"/>
  <c r="J12" i="1066"/>
  <c r="J19" i="1066"/>
  <c r="J16" i="1066"/>
  <c r="J15" i="1066"/>
  <c r="J14" i="1066"/>
  <c r="K68" i="1067" l="1"/>
  <c r="I14" i="1066"/>
  <c r="I15" i="1066"/>
  <c r="I16" i="1066"/>
  <c r="I19" i="1066"/>
  <c r="I12" i="1066"/>
  <c r="I13" i="1066"/>
  <c r="J24" i="1066" l="1"/>
  <c r="G53" i="1065"/>
  <c r="B53" i="1065"/>
  <c r="K53" i="1065" l="1"/>
  <c r="K66" i="1065" s="1"/>
  <c r="M25" i="1065" l="1"/>
  <c r="L25" i="1065"/>
  <c r="K25" i="1065"/>
  <c r="R10" i="1065"/>
  <c r="S10" i="1065"/>
  <c r="T10" i="1065"/>
  <c r="U10" i="1065"/>
  <c r="V10" i="1065"/>
  <c r="W10" i="1065"/>
  <c r="X10" i="1065"/>
  <c r="Y10" i="1065"/>
  <c r="Z10" i="1065"/>
  <c r="R11" i="1065"/>
  <c r="S11" i="1065"/>
  <c r="T11" i="1065"/>
  <c r="U11" i="1065"/>
  <c r="V11" i="1065"/>
  <c r="W11" i="1065"/>
  <c r="X11" i="1065"/>
  <c r="Y11" i="1065"/>
  <c r="Z11" i="1065"/>
  <c r="R12" i="1065"/>
  <c r="S12" i="1065"/>
  <c r="T12" i="1065"/>
  <c r="U12" i="1065"/>
  <c r="V12" i="1065"/>
  <c r="W12" i="1065"/>
  <c r="X12" i="1065"/>
  <c r="Y12" i="1065"/>
  <c r="Z12" i="1065"/>
  <c r="R13" i="1065"/>
  <c r="S13" i="1065"/>
  <c r="T13" i="1065"/>
  <c r="U13" i="1065"/>
  <c r="V13" i="1065"/>
  <c r="W13" i="1065"/>
  <c r="X13" i="1065"/>
  <c r="Y13" i="1065"/>
  <c r="Z13" i="1065"/>
  <c r="R14" i="1065"/>
  <c r="S14" i="1065"/>
  <c r="T14" i="1065"/>
  <c r="U14" i="1065"/>
  <c r="V14" i="1065"/>
  <c r="W14" i="1065"/>
  <c r="X14" i="1065"/>
  <c r="Y14" i="1065"/>
  <c r="Z14" i="1065"/>
  <c r="R15" i="1065"/>
  <c r="S15" i="1065"/>
  <c r="T15" i="1065"/>
  <c r="U15" i="1065"/>
  <c r="V15" i="1065"/>
  <c r="W15" i="1065"/>
  <c r="X15" i="1065"/>
  <c r="Y15" i="1065"/>
  <c r="Z15" i="1065"/>
  <c r="R16" i="1065"/>
  <c r="S16" i="1065"/>
  <c r="T16" i="1065"/>
  <c r="U16" i="1065"/>
  <c r="V16" i="1065"/>
  <c r="W16" i="1065"/>
  <c r="X16" i="1065"/>
  <c r="Y16" i="1065"/>
  <c r="Z16" i="1065"/>
  <c r="I10" i="1065"/>
  <c r="J10" i="1065"/>
  <c r="L10" i="1065"/>
  <c r="M10" i="1065"/>
  <c r="N10" i="1065"/>
  <c r="O10" i="1065"/>
  <c r="I11" i="1065"/>
  <c r="J11" i="1065"/>
  <c r="L11" i="1065"/>
  <c r="M11" i="1065"/>
  <c r="N11" i="1065"/>
  <c r="O11" i="1065"/>
  <c r="I12" i="1065"/>
  <c r="J12" i="1065"/>
  <c r="L12" i="1065"/>
  <c r="M12" i="1065"/>
  <c r="N12" i="1065"/>
  <c r="O12" i="1065"/>
  <c r="I13" i="1065"/>
  <c r="J13" i="1065"/>
  <c r="L13" i="1065"/>
  <c r="M13" i="1065"/>
  <c r="N13" i="1065"/>
  <c r="O13" i="1065"/>
  <c r="I14" i="1065"/>
  <c r="J14" i="1065"/>
  <c r="L14" i="1065"/>
  <c r="M14" i="1065"/>
  <c r="N14" i="1065"/>
  <c r="O14" i="1065"/>
  <c r="I15" i="1065"/>
  <c r="J15" i="1065"/>
  <c r="L15" i="1065"/>
  <c r="M15" i="1065"/>
  <c r="N15" i="1065"/>
  <c r="O15" i="1065"/>
  <c r="I16" i="1065"/>
  <c r="J16" i="1065"/>
  <c r="L16" i="1065"/>
  <c r="M16" i="1065"/>
  <c r="N16" i="1065"/>
  <c r="O16" i="1065"/>
  <c r="I17" i="1065"/>
  <c r="J17" i="1065"/>
  <c r="L17" i="1065"/>
  <c r="M17" i="1065"/>
  <c r="N17" i="1065"/>
  <c r="O17" i="1065"/>
  <c r="I18" i="1065"/>
  <c r="J18" i="1065"/>
  <c r="L18" i="1065"/>
  <c r="M18" i="1065"/>
  <c r="N18" i="1065"/>
  <c r="O18" i="1065"/>
  <c r="C15" i="1065"/>
  <c r="D15" i="1065"/>
  <c r="E15" i="1065"/>
  <c r="F15" i="1065"/>
  <c r="G15" i="1065"/>
  <c r="C16" i="1065"/>
  <c r="D16" i="1065"/>
  <c r="E16" i="1065"/>
  <c r="F16" i="1065"/>
  <c r="G16" i="1065"/>
  <c r="C17" i="1065"/>
  <c r="D17" i="1065"/>
  <c r="E17" i="1065"/>
  <c r="F17" i="1065"/>
  <c r="G17" i="1065"/>
  <c r="C18" i="1065"/>
  <c r="D18" i="1065"/>
  <c r="E18" i="1065"/>
  <c r="F18" i="1065"/>
  <c r="G18" i="1065"/>
  <c r="J25" i="1065" l="1"/>
  <c r="C10" i="1065"/>
  <c r="D10" i="1065"/>
  <c r="E10" i="1065"/>
  <c r="F10" i="1065"/>
  <c r="G10" i="1065"/>
  <c r="C11" i="1065"/>
  <c r="D11" i="1065"/>
  <c r="E11" i="1065"/>
  <c r="F11" i="1065"/>
  <c r="G11" i="1065"/>
  <c r="C12" i="1065"/>
  <c r="D12" i="1065"/>
  <c r="E12" i="1065"/>
  <c r="F12" i="1065"/>
  <c r="G12" i="1065"/>
  <c r="C13" i="1065"/>
  <c r="D13" i="1065"/>
  <c r="E13" i="1065"/>
  <c r="F13" i="1065"/>
  <c r="G13" i="1065"/>
  <c r="C14" i="1065"/>
  <c r="D14" i="1065"/>
  <c r="E14" i="1065"/>
  <c r="F14" i="1065"/>
  <c r="G14" i="1065"/>
  <c r="AX55" i="1065" l="1"/>
  <c r="AW55" i="1065"/>
  <c r="AV55" i="1065"/>
  <c r="AU55" i="1065"/>
  <c r="AT55" i="1065"/>
  <c r="AS55" i="1065"/>
  <c r="AR55" i="1065"/>
  <c r="AQ55" i="1065"/>
  <c r="AP55" i="1065"/>
  <c r="AO55" i="1065"/>
  <c r="AN55" i="1065"/>
  <c r="AM55" i="1065"/>
  <c r="AL55" i="1065"/>
  <c r="AK55" i="1065"/>
  <c r="AJ55" i="1065"/>
  <c r="AI55" i="1065"/>
  <c r="AH55" i="1065"/>
  <c r="AG55" i="1065"/>
  <c r="AF55" i="1065"/>
  <c r="AE55" i="1065"/>
  <c r="AD55" i="1065"/>
  <c r="AC55" i="1065"/>
  <c r="AB55" i="1065"/>
  <c r="AX54" i="1065"/>
  <c r="AW54" i="1065"/>
  <c r="AV54" i="1065"/>
  <c r="AU54" i="1065"/>
  <c r="AT54" i="1065"/>
  <c r="AS54" i="1065"/>
  <c r="AR54" i="1065"/>
  <c r="AQ54" i="1065"/>
  <c r="AP54" i="1065"/>
  <c r="AO54" i="1065"/>
  <c r="AN54" i="1065"/>
  <c r="AM54" i="1065"/>
  <c r="AL54" i="1065"/>
  <c r="AK54" i="1065"/>
  <c r="AJ54" i="1065"/>
  <c r="AI54" i="1065"/>
  <c r="AH54" i="1065"/>
  <c r="AG54" i="1065"/>
  <c r="AF54" i="1065"/>
  <c r="AE54" i="1065"/>
  <c r="AD54" i="1065"/>
  <c r="AC54" i="1065"/>
  <c r="AB54" i="1065"/>
  <c r="AX53" i="1065"/>
  <c r="AW53" i="1065"/>
  <c r="AV53" i="1065"/>
  <c r="AU53" i="1065"/>
  <c r="AT53" i="1065"/>
  <c r="AS53" i="1065"/>
  <c r="AR53" i="1065"/>
  <c r="AQ53" i="1065"/>
  <c r="AP53" i="1065"/>
  <c r="AO53" i="1065"/>
  <c r="AN53" i="1065"/>
  <c r="AM53" i="1065"/>
  <c r="AL53" i="1065"/>
  <c r="AK53" i="1065"/>
  <c r="AJ53" i="1065"/>
  <c r="AI53" i="1065"/>
  <c r="AH53" i="1065"/>
  <c r="AG53" i="1065"/>
  <c r="AF53" i="1065"/>
  <c r="AE53" i="1065"/>
  <c r="AD53" i="1065"/>
  <c r="AC53" i="1065"/>
  <c r="AB53" i="1065"/>
  <c r="K48" i="1065"/>
  <c r="L39" i="1065"/>
  <c r="M39" i="1065" s="1"/>
  <c r="Z35" i="1065"/>
  <c r="Y35" i="1065"/>
  <c r="X35" i="1065"/>
  <c r="W35" i="1065"/>
  <c r="V35" i="1065"/>
  <c r="U35" i="1065"/>
  <c r="T35" i="1065"/>
  <c r="S35" i="1065"/>
  <c r="R35" i="1065"/>
  <c r="Z34" i="1065"/>
  <c r="Y34" i="1065"/>
  <c r="X34" i="1065"/>
  <c r="W34" i="1065"/>
  <c r="V34" i="1065"/>
  <c r="U34" i="1065"/>
  <c r="T34" i="1065"/>
  <c r="S34" i="1065"/>
  <c r="R34" i="1065"/>
  <c r="Z33" i="1065"/>
  <c r="Y33" i="1065"/>
  <c r="X33" i="1065"/>
  <c r="W33" i="1065"/>
  <c r="V33" i="1065"/>
  <c r="U33" i="1065"/>
  <c r="T33" i="1065"/>
  <c r="S33" i="1065"/>
  <c r="R33" i="1065"/>
  <c r="Z32" i="1065"/>
  <c r="Y32" i="1065"/>
  <c r="X32" i="1065"/>
  <c r="W32" i="1065"/>
  <c r="V32" i="1065"/>
  <c r="U32" i="1065"/>
  <c r="T32" i="1065"/>
  <c r="S32" i="1065"/>
  <c r="R32" i="1065"/>
  <c r="Z31" i="1065"/>
  <c r="Y31" i="1065"/>
  <c r="X31" i="1065"/>
  <c r="W31" i="1065"/>
  <c r="V31" i="1065"/>
  <c r="U31" i="1065"/>
  <c r="T31" i="1065"/>
  <c r="S31" i="1065"/>
  <c r="R31" i="1065"/>
  <c r="Z30" i="1065"/>
  <c r="Y30" i="1065"/>
  <c r="X30" i="1065"/>
  <c r="W30" i="1065"/>
  <c r="V30" i="1065"/>
  <c r="U30" i="1065"/>
  <c r="T30" i="1065"/>
  <c r="S30" i="1065"/>
  <c r="R30" i="1065"/>
  <c r="M30" i="1065"/>
  <c r="Z29" i="1065"/>
  <c r="Y29" i="1065"/>
  <c r="X29" i="1065"/>
  <c r="W29" i="1065"/>
  <c r="V29" i="1065"/>
  <c r="U29" i="1065"/>
  <c r="T29" i="1065"/>
  <c r="S29" i="1065"/>
  <c r="R29" i="1065"/>
  <c r="M29" i="1065"/>
  <c r="L29" i="1065"/>
  <c r="K29" i="1065"/>
  <c r="Z28" i="1065"/>
  <c r="Y28" i="1065"/>
  <c r="X28" i="1065"/>
  <c r="W28" i="1065"/>
  <c r="V28" i="1065"/>
  <c r="U28" i="1065"/>
  <c r="T28" i="1065"/>
  <c r="S28" i="1065"/>
  <c r="R28" i="1065"/>
  <c r="Z27" i="1065"/>
  <c r="Y27" i="1065"/>
  <c r="X27" i="1065"/>
  <c r="W27" i="1065"/>
  <c r="V27" i="1065"/>
  <c r="U27" i="1065"/>
  <c r="T27" i="1065"/>
  <c r="S27" i="1065"/>
  <c r="R27" i="1065"/>
  <c r="M27" i="1065"/>
  <c r="Z26" i="1065"/>
  <c r="Y26" i="1065"/>
  <c r="X26" i="1065"/>
  <c r="W26" i="1065"/>
  <c r="V26" i="1065"/>
  <c r="U26" i="1065"/>
  <c r="T26" i="1065"/>
  <c r="S26" i="1065"/>
  <c r="R26" i="1065"/>
  <c r="M26" i="1065"/>
  <c r="Z25" i="1065"/>
  <c r="Y25" i="1065"/>
  <c r="X25" i="1065"/>
  <c r="W25" i="1065"/>
  <c r="V25" i="1065"/>
  <c r="U25" i="1065"/>
  <c r="T25" i="1065"/>
  <c r="S25" i="1065"/>
  <c r="R25" i="1065"/>
  <c r="Z24" i="1065"/>
  <c r="Y24" i="1065"/>
  <c r="X24" i="1065"/>
  <c r="W24" i="1065"/>
  <c r="V24" i="1065"/>
  <c r="U24" i="1065"/>
  <c r="T24" i="1065"/>
  <c r="S24" i="1065"/>
  <c r="R24" i="1065"/>
  <c r="M24" i="1065"/>
  <c r="L24" i="1065"/>
  <c r="K24" i="1065"/>
  <c r="Z23" i="1065"/>
  <c r="Y23" i="1065"/>
  <c r="X23" i="1065"/>
  <c r="W23" i="1065"/>
  <c r="V23" i="1065"/>
  <c r="U23" i="1065"/>
  <c r="T23" i="1065"/>
  <c r="S23" i="1065"/>
  <c r="R23" i="1065"/>
  <c r="Z22" i="1065"/>
  <c r="Y22" i="1065"/>
  <c r="X22" i="1065"/>
  <c r="W22" i="1065"/>
  <c r="V22" i="1065"/>
  <c r="U22" i="1065"/>
  <c r="T22" i="1065"/>
  <c r="S22" i="1065"/>
  <c r="R22" i="1065"/>
  <c r="Z21" i="1065"/>
  <c r="Y21" i="1065"/>
  <c r="X21" i="1065"/>
  <c r="W21" i="1065"/>
  <c r="V21" i="1065"/>
  <c r="U21" i="1065"/>
  <c r="T21" i="1065"/>
  <c r="S21" i="1065"/>
  <c r="R21" i="1065"/>
  <c r="Z20" i="1065"/>
  <c r="Y20" i="1065"/>
  <c r="X20" i="1065"/>
  <c r="W20" i="1065"/>
  <c r="V20" i="1065"/>
  <c r="U20" i="1065"/>
  <c r="T20" i="1065"/>
  <c r="S20" i="1065"/>
  <c r="R20" i="1065"/>
  <c r="Z19" i="1065"/>
  <c r="Y19" i="1065"/>
  <c r="X19" i="1065"/>
  <c r="W19" i="1065"/>
  <c r="V19" i="1065"/>
  <c r="U19" i="1065"/>
  <c r="T19" i="1065"/>
  <c r="S19" i="1065"/>
  <c r="R19" i="1065"/>
  <c r="Z18" i="1065"/>
  <c r="Y18" i="1065"/>
  <c r="X18" i="1065"/>
  <c r="W18" i="1065"/>
  <c r="V18" i="1065"/>
  <c r="U18" i="1065"/>
  <c r="T18" i="1065"/>
  <c r="S18" i="1065"/>
  <c r="R18" i="1065"/>
  <c r="Z17" i="1065"/>
  <c r="Y17" i="1065"/>
  <c r="X17" i="1065"/>
  <c r="W17" i="1065"/>
  <c r="V17" i="1065"/>
  <c r="U17" i="1065"/>
  <c r="T17" i="1065"/>
  <c r="S17" i="1065"/>
  <c r="R17" i="1065"/>
  <c r="L37" i="1064"/>
  <c r="M27" i="1064"/>
  <c r="L27" i="1064"/>
  <c r="K27" i="1064"/>
  <c r="R10" i="1064"/>
  <c r="S10" i="1064"/>
  <c r="T10" i="1064"/>
  <c r="U10" i="1064"/>
  <c r="V10" i="1064"/>
  <c r="W10" i="1064"/>
  <c r="X10" i="1064"/>
  <c r="Y10" i="1064"/>
  <c r="Z10" i="1064"/>
  <c r="R11" i="1064"/>
  <c r="S11" i="1064"/>
  <c r="T11" i="1064"/>
  <c r="U11" i="1064"/>
  <c r="V11" i="1064"/>
  <c r="W11" i="1064"/>
  <c r="X11" i="1064"/>
  <c r="Y11" i="1064"/>
  <c r="Z11" i="1064"/>
  <c r="R12" i="1064"/>
  <c r="S12" i="1064"/>
  <c r="T12" i="1064"/>
  <c r="U12" i="1064"/>
  <c r="V12" i="1064"/>
  <c r="W12" i="1064"/>
  <c r="X12" i="1064"/>
  <c r="Y12" i="1064"/>
  <c r="Z12" i="1064"/>
  <c r="R13" i="1064"/>
  <c r="S13" i="1064"/>
  <c r="T13" i="1064"/>
  <c r="U13" i="1064"/>
  <c r="V13" i="1064"/>
  <c r="W13" i="1064"/>
  <c r="X13" i="1064"/>
  <c r="Y13" i="1064"/>
  <c r="Z13" i="1064"/>
  <c r="R14" i="1064"/>
  <c r="S14" i="1064"/>
  <c r="T14" i="1064"/>
  <c r="U14" i="1064"/>
  <c r="V14" i="1064"/>
  <c r="W14" i="1064"/>
  <c r="X14" i="1064"/>
  <c r="Y14" i="1064"/>
  <c r="Z14" i="1064"/>
  <c r="R15" i="1064"/>
  <c r="S15" i="1064"/>
  <c r="T15" i="1064"/>
  <c r="U15" i="1064"/>
  <c r="V15" i="1064"/>
  <c r="W15" i="1064"/>
  <c r="X15" i="1064"/>
  <c r="Y15" i="1064"/>
  <c r="Z15" i="1064"/>
  <c r="R16" i="1064"/>
  <c r="S16" i="1064"/>
  <c r="T16" i="1064"/>
  <c r="U16" i="1064"/>
  <c r="V16" i="1064"/>
  <c r="W16" i="1064"/>
  <c r="X16" i="1064"/>
  <c r="Y16" i="1064"/>
  <c r="Z16" i="1064"/>
  <c r="R17" i="1064"/>
  <c r="S17" i="1064"/>
  <c r="T17" i="1064"/>
  <c r="U17" i="1064"/>
  <c r="V17" i="1064"/>
  <c r="W17" i="1064"/>
  <c r="X17" i="1064"/>
  <c r="Y17" i="1064"/>
  <c r="Z17" i="1064"/>
  <c r="R18" i="1064"/>
  <c r="S18" i="1064"/>
  <c r="T18" i="1064"/>
  <c r="U18" i="1064"/>
  <c r="V18" i="1064"/>
  <c r="W18" i="1064"/>
  <c r="X18" i="1064"/>
  <c r="Y18" i="1064"/>
  <c r="Z18" i="1064"/>
  <c r="R19" i="1064"/>
  <c r="S19" i="1064"/>
  <c r="T19" i="1064"/>
  <c r="U19" i="1064"/>
  <c r="V19" i="1064"/>
  <c r="W19" i="1064"/>
  <c r="X19" i="1064"/>
  <c r="Y19" i="1064"/>
  <c r="Z19" i="1064"/>
  <c r="R20" i="1064"/>
  <c r="S20" i="1064"/>
  <c r="T20" i="1064"/>
  <c r="U20" i="1064"/>
  <c r="V20" i="1064"/>
  <c r="W20" i="1064"/>
  <c r="X20" i="1064"/>
  <c r="Y20" i="1064"/>
  <c r="Z20" i="1064"/>
  <c r="I10" i="1064"/>
  <c r="J10" i="1064"/>
  <c r="K10" i="1064"/>
  <c r="L10" i="1064"/>
  <c r="M10" i="1064"/>
  <c r="N10" i="1064"/>
  <c r="O10" i="1064"/>
  <c r="I11" i="1064"/>
  <c r="J11" i="1064"/>
  <c r="K11" i="1064"/>
  <c r="L11" i="1064"/>
  <c r="M11" i="1064"/>
  <c r="N11" i="1064"/>
  <c r="O11" i="1064"/>
  <c r="I12" i="1064"/>
  <c r="J12" i="1064"/>
  <c r="K12" i="1064"/>
  <c r="L12" i="1064"/>
  <c r="M12" i="1064"/>
  <c r="N12" i="1064"/>
  <c r="O12" i="1064"/>
  <c r="I13" i="1064"/>
  <c r="J13" i="1064"/>
  <c r="K13" i="1064"/>
  <c r="L13" i="1064"/>
  <c r="M13" i="1064"/>
  <c r="N13" i="1064"/>
  <c r="O13" i="1064"/>
  <c r="I14" i="1064"/>
  <c r="J14" i="1064"/>
  <c r="K14" i="1064"/>
  <c r="L14" i="1064"/>
  <c r="M14" i="1064"/>
  <c r="N14" i="1064"/>
  <c r="O14" i="1064"/>
  <c r="J27" i="1064" l="1"/>
  <c r="K34" i="1065"/>
  <c r="L34" i="1065" s="1"/>
  <c r="C10" i="1064"/>
  <c r="D10" i="1064"/>
  <c r="E10" i="1064"/>
  <c r="F10" i="1064"/>
  <c r="G10" i="1064"/>
  <c r="C11" i="1064"/>
  <c r="D11" i="1064"/>
  <c r="E11" i="1064"/>
  <c r="F11" i="1064"/>
  <c r="G11" i="1064"/>
  <c r="C12" i="1064"/>
  <c r="D12" i="1064"/>
  <c r="E12" i="1064"/>
  <c r="F12" i="1064"/>
  <c r="G12" i="1064"/>
  <c r="C13" i="1064"/>
  <c r="D13" i="1064"/>
  <c r="E13" i="1064"/>
  <c r="F13" i="1064"/>
  <c r="G13" i="1064"/>
  <c r="C14" i="1064"/>
  <c r="D14" i="1064"/>
  <c r="E14" i="1064"/>
  <c r="F14" i="1064"/>
  <c r="G14" i="1064"/>
  <c r="AX53" i="1064"/>
  <c r="AW53" i="1064"/>
  <c r="AV53" i="1064"/>
  <c r="AU53" i="1064"/>
  <c r="AT53" i="1064"/>
  <c r="AS53" i="1064"/>
  <c r="AR53" i="1064"/>
  <c r="AQ53" i="1064"/>
  <c r="AP53" i="1064"/>
  <c r="AO53" i="1064"/>
  <c r="AN53" i="1064"/>
  <c r="AM53" i="1064"/>
  <c r="AL53" i="1064"/>
  <c r="AK53" i="1064"/>
  <c r="AJ53" i="1064"/>
  <c r="AI53" i="1064"/>
  <c r="AH53" i="1064"/>
  <c r="AG53" i="1064"/>
  <c r="AF53" i="1064"/>
  <c r="AE53" i="1064"/>
  <c r="AD53" i="1064"/>
  <c r="AC53" i="1064"/>
  <c r="AB53" i="1064"/>
  <c r="AX52" i="1064"/>
  <c r="AW52" i="1064"/>
  <c r="AV52" i="1064"/>
  <c r="AU52" i="1064"/>
  <c r="AT52" i="1064"/>
  <c r="AS52" i="1064"/>
  <c r="AR52" i="1064"/>
  <c r="AQ52" i="1064"/>
  <c r="AP52" i="1064"/>
  <c r="AO52" i="1064"/>
  <c r="AN52" i="1064"/>
  <c r="AM52" i="1064"/>
  <c r="AL52" i="1064"/>
  <c r="AK52" i="1064"/>
  <c r="AJ52" i="1064"/>
  <c r="AI52" i="1064"/>
  <c r="AH52" i="1064"/>
  <c r="AG52" i="1064"/>
  <c r="AF52" i="1064"/>
  <c r="AE52" i="1064"/>
  <c r="AD52" i="1064"/>
  <c r="AC52" i="1064"/>
  <c r="AB52" i="1064"/>
  <c r="AX51" i="1064"/>
  <c r="AW51" i="1064"/>
  <c r="AV51" i="1064"/>
  <c r="AU51" i="1064"/>
  <c r="AT51" i="1064"/>
  <c r="AS51" i="1064"/>
  <c r="AR51" i="1064"/>
  <c r="AQ51" i="1064"/>
  <c r="AP51" i="1064"/>
  <c r="AO51" i="1064"/>
  <c r="AN51" i="1064"/>
  <c r="AM51" i="1064"/>
  <c r="AL51" i="1064"/>
  <c r="AK51" i="1064"/>
  <c r="AJ51" i="1064"/>
  <c r="AI51" i="1064"/>
  <c r="AH51" i="1064"/>
  <c r="AG51" i="1064"/>
  <c r="AF51" i="1064"/>
  <c r="AE51" i="1064"/>
  <c r="AD51" i="1064"/>
  <c r="AC51" i="1064"/>
  <c r="AB51" i="1064"/>
  <c r="L51" i="1064"/>
  <c r="K46" i="1064"/>
  <c r="M37" i="1064" s="1"/>
  <c r="Z33" i="1064"/>
  <c r="Y33" i="1064"/>
  <c r="X33" i="1064"/>
  <c r="W33" i="1064"/>
  <c r="V33" i="1064"/>
  <c r="U33" i="1064"/>
  <c r="T33" i="1064"/>
  <c r="S33" i="1064"/>
  <c r="R33" i="1064"/>
  <c r="Z32" i="1064"/>
  <c r="Y32" i="1064"/>
  <c r="X32" i="1064"/>
  <c r="W32" i="1064"/>
  <c r="V32" i="1064"/>
  <c r="U32" i="1064"/>
  <c r="T32" i="1064"/>
  <c r="S32" i="1064"/>
  <c r="R32" i="1064"/>
  <c r="Z31" i="1064"/>
  <c r="Y31" i="1064"/>
  <c r="X31" i="1064"/>
  <c r="W31" i="1064"/>
  <c r="V31" i="1064"/>
  <c r="U31" i="1064"/>
  <c r="T31" i="1064"/>
  <c r="S31" i="1064"/>
  <c r="R31" i="1064"/>
  <c r="Z30" i="1064"/>
  <c r="Y30" i="1064"/>
  <c r="X30" i="1064"/>
  <c r="W30" i="1064"/>
  <c r="V30" i="1064"/>
  <c r="U30" i="1064"/>
  <c r="T30" i="1064"/>
  <c r="S30" i="1064"/>
  <c r="R30" i="1064"/>
  <c r="Z29" i="1064"/>
  <c r="Y29" i="1064"/>
  <c r="X29" i="1064"/>
  <c r="W29" i="1064"/>
  <c r="V29" i="1064"/>
  <c r="U29" i="1064"/>
  <c r="T29" i="1064"/>
  <c r="S29" i="1064"/>
  <c r="R29" i="1064"/>
  <c r="Z28" i="1064"/>
  <c r="Y28" i="1064"/>
  <c r="X28" i="1064"/>
  <c r="W28" i="1064"/>
  <c r="V28" i="1064"/>
  <c r="U28" i="1064"/>
  <c r="T28" i="1064"/>
  <c r="S28" i="1064"/>
  <c r="R28" i="1064"/>
  <c r="M28" i="1064"/>
  <c r="Z27" i="1064"/>
  <c r="Y27" i="1064"/>
  <c r="X27" i="1064"/>
  <c r="W27" i="1064"/>
  <c r="V27" i="1064"/>
  <c r="U27" i="1064"/>
  <c r="T27" i="1064"/>
  <c r="S27" i="1064"/>
  <c r="R27" i="1064"/>
  <c r="Z26" i="1064"/>
  <c r="Y26" i="1064"/>
  <c r="X26" i="1064"/>
  <c r="W26" i="1064"/>
  <c r="V26" i="1064"/>
  <c r="U26" i="1064"/>
  <c r="T26" i="1064"/>
  <c r="S26" i="1064"/>
  <c r="R26" i="1064"/>
  <c r="Z25" i="1064"/>
  <c r="Y25" i="1064"/>
  <c r="X25" i="1064"/>
  <c r="W25" i="1064"/>
  <c r="V25" i="1064"/>
  <c r="U25" i="1064"/>
  <c r="T25" i="1064"/>
  <c r="S25" i="1064"/>
  <c r="R25" i="1064"/>
  <c r="M25" i="1064"/>
  <c r="Z24" i="1064"/>
  <c r="Y24" i="1064"/>
  <c r="X24" i="1064"/>
  <c r="W24" i="1064"/>
  <c r="V24" i="1064"/>
  <c r="U24" i="1064"/>
  <c r="T24" i="1064"/>
  <c r="S24" i="1064"/>
  <c r="R24" i="1064"/>
  <c r="M24" i="1064"/>
  <c r="Z23" i="1064"/>
  <c r="Y23" i="1064"/>
  <c r="X23" i="1064"/>
  <c r="W23" i="1064"/>
  <c r="V23" i="1064"/>
  <c r="U23" i="1064"/>
  <c r="T23" i="1064"/>
  <c r="S23" i="1064"/>
  <c r="R23" i="1064"/>
  <c r="M23" i="1064"/>
  <c r="Z22" i="1064"/>
  <c r="Y22" i="1064"/>
  <c r="X22" i="1064"/>
  <c r="W22" i="1064"/>
  <c r="V22" i="1064"/>
  <c r="U22" i="1064"/>
  <c r="T22" i="1064"/>
  <c r="S22" i="1064"/>
  <c r="R22" i="1064"/>
  <c r="M22" i="1064"/>
  <c r="L22" i="1064"/>
  <c r="K22" i="1064"/>
  <c r="Z21" i="1064"/>
  <c r="Y21" i="1064"/>
  <c r="X21" i="1064"/>
  <c r="W21" i="1064"/>
  <c r="V21" i="1064"/>
  <c r="U21" i="1064"/>
  <c r="T21" i="1064"/>
  <c r="S21" i="1064"/>
  <c r="R21" i="1064"/>
  <c r="M23" i="1062"/>
  <c r="L23" i="1062"/>
  <c r="K23" i="1062"/>
  <c r="I18" i="1062"/>
  <c r="J18" i="1062"/>
  <c r="K18" i="1062"/>
  <c r="L18" i="1062"/>
  <c r="M18" i="1062"/>
  <c r="N18" i="1062"/>
  <c r="O18" i="1062"/>
  <c r="C18" i="1062"/>
  <c r="D18" i="1062"/>
  <c r="E18" i="1062"/>
  <c r="F18" i="1062"/>
  <c r="G18" i="1062"/>
  <c r="L21" i="1061"/>
  <c r="K21" i="1061"/>
  <c r="K49" i="1063"/>
  <c r="K63" i="1063" s="1"/>
  <c r="K32" i="1064" l="1"/>
  <c r="L32" i="1064" s="1"/>
  <c r="G49" i="1063"/>
  <c r="B49" i="1063"/>
  <c r="M25" i="1063"/>
  <c r="L25" i="1063"/>
  <c r="K25" i="1063"/>
  <c r="N16" i="1063"/>
  <c r="R16" i="1063"/>
  <c r="S16" i="1063"/>
  <c r="T16" i="1063"/>
  <c r="U16" i="1063"/>
  <c r="V16" i="1063"/>
  <c r="W16" i="1063"/>
  <c r="X16" i="1063"/>
  <c r="Y16" i="1063"/>
  <c r="Z16" i="1063"/>
  <c r="R17" i="1063"/>
  <c r="S17" i="1063"/>
  <c r="T17" i="1063"/>
  <c r="U17" i="1063"/>
  <c r="V17" i="1063"/>
  <c r="W17" i="1063"/>
  <c r="X17" i="1063"/>
  <c r="Y17" i="1063"/>
  <c r="Z17" i="1063"/>
  <c r="R18" i="1063"/>
  <c r="S18" i="1063"/>
  <c r="T18" i="1063"/>
  <c r="U18" i="1063"/>
  <c r="V18" i="1063"/>
  <c r="W18" i="1063"/>
  <c r="X18" i="1063"/>
  <c r="Y18" i="1063"/>
  <c r="Z18" i="1063"/>
  <c r="R19" i="1063"/>
  <c r="S19" i="1063"/>
  <c r="T19" i="1063"/>
  <c r="U19" i="1063"/>
  <c r="V19" i="1063"/>
  <c r="W19" i="1063"/>
  <c r="X19" i="1063"/>
  <c r="Y19" i="1063"/>
  <c r="Z19" i="1063"/>
  <c r="R20" i="1063"/>
  <c r="S20" i="1063"/>
  <c r="T20" i="1063"/>
  <c r="U20" i="1063"/>
  <c r="V20" i="1063"/>
  <c r="W20" i="1063"/>
  <c r="X20" i="1063"/>
  <c r="Y20" i="1063"/>
  <c r="Z20" i="1063"/>
  <c r="R21" i="1063"/>
  <c r="S21" i="1063"/>
  <c r="T21" i="1063"/>
  <c r="U21" i="1063"/>
  <c r="V21" i="1063"/>
  <c r="W21" i="1063"/>
  <c r="X21" i="1063"/>
  <c r="Y21" i="1063"/>
  <c r="Z21" i="1063"/>
  <c r="R22" i="1063"/>
  <c r="S22" i="1063"/>
  <c r="T22" i="1063"/>
  <c r="U22" i="1063"/>
  <c r="V22" i="1063"/>
  <c r="W22" i="1063"/>
  <c r="X22" i="1063"/>
  <c r="Y22" i="1063"/>
  <c r="Z22" i="1063"/>
  <c r="R23" i="1063"/>
  <c r="S23" i="1063"/>
  <c r="T23" i="1063"/>
  <c r="U23" i="1063"/>
  <c r="V23" i="1063"/>
  <c r="W23" i="1063"/>
  <c r="X23" i="1063"/>
  <c r="Y23" i="1063"/>
  <c r="Z23" i="1063"/>
  <c r="R24" i="1063"/>
  <c r="S24" i="1063"/>
  <c r="T24" i="1063"/>
  <c r="U24" i="1063"/>
  <c r="V24" i="1063"/>
  <c r="W24" i="1063"/>
  <c r="X24" i="1063"/>
  <c r="Y24" i="1063"/>
  <c r="Z24" i="1063"/>
  <c r="R25" i="1063"/>
  <c r="S25" i="1063"/>
  <c r="T25" i="1063"/>
  <c r="U25" i="1063"/>
  <c r="V25" i="1063"/>
  <c r="W25" i="1063"/>
  <c r="X25" i="1063"/>
  <c r="Y25" i="1063"/>
  <c r="Z25" i="1063"/>
  <c r="R26" i="1063"/>
  <c r="S26" i="1063"/>
  <c r="T26" i="1063"/>
  <c r="U26" i="1063"/>
  <c r="V26" i="1063"/>
  <c r="W26" i="1063"/>
  <c r="X26" i="1063"/>
  <c r="Y26" i="1063"/>
  <c r="Z26" i="1063"/>
  <c r="C16" i="1063"/>
  <c r="D16" i="1063"/>
  <c r="E16" i="1063"/>
  <c r="F16" i="1063"/>
  <c r="G16" i="1063"/>
  <c r="I16" i="1063"/>
  <c r="J16" i="1063"/>
  <c r="K16" i="1063"/>
  <c r="L16" i="1063"/>
  <c r="M16" i="1063"/>
  <c r="O16" i="1063"/>
  <c r="C17" i="1063"/>
  <c r="D17" i="1063"/>
  <c r="E17" i="1063"/>
  <c r="F17" i="1063"/>
  <c r="G17" i="1063"/>
  <c r="I17" i="1063"/>
  <c r="J17" i="1063"/>
  <c r="K17" i="1063"/>
  <c r="L17" i="1063"/>
  <c r="M17" i="1063"/>
  <c r="N17" i="1063"/>
  <c r="O17" i="1063"/>
  <c r="C15" i="1063"/>
  <c r="D15" i="1063"/>
  <c r="E15" i="1063"/>
  <c r="F15" i="1063"/>
  <c r="G15" i="1063"/>
  <c r="I15" i="1063"/>
  <c r="J15" i="1063"/>
  <c r="K15" i="1063"/>
  <c r="L15" i="1063"/>
  <c r="M15" i="1063"/>
  <c r="N15" i="1063"/>
  <c r="O15" i="1063"/>
  <c r="J25" i="1063" l="1"/>
  <c r="M20" i="1063"/>
  <c r="L20" i="1063"/>
  <c r="K20" i="1063"/>
  <c r="K30" i="1063" s="1"/>
  <c r="R10" i="1063"/>
  <c r="S10" i="1063"/>
  <c r="T10" i="1063"/>
  <c r="U10" i="1063"/>
  <c r="V10" i="1063"/>
  <c r="W10" i="1063"/>
  <c r="X10" i="1063"/>
  <c r="Y10" i="1063"/>
  <c r="Z10" i="1063"/>
  <c r="R11" i="1063"/>
  <c r="S11" i="1063"/>
  <c r="T11" i="1063"/>
  <c r="U11" i="1063"/>
  <c r="V11" i="1063"/>
  <c r="W11" i="1063"/>
  <c r="X11" i="1063"/>
  <c r="Y11" i="1063"/>
  <c r="Z11" i="1063"/>
  <c r="R12" i="1063"/>
  <c r="S12" i="1063"/>
  <c r="T12" i="1063"/>
  <c r="U12" i="1063"/>
  <c r="V12" i="1063"/>
  <c r="W12" i="1063"/>
  <c r="X12" i="1063"/>
  <c r="Y12" i="1063"/>
  <c r="Z12" i="1063"/>
  <c r="R13" i="1063"/>
  <c r="S13" i="1063"/>
  <c r="T13" i="1063"/>
  <c r="U13" i="1063"/>
  <c r="V13" i="1063"/>
  <c r="W13" i="1063"/>
  <c r="X13" i="1063"/>
  <c r="Y13" i="1063"/>
  <c r="Z13" i="1063"/>
  <c r="R14" i="1063"/>
  <c r="S14" i="1063"/>
  <c r="T14" i="1063"/>
  <c r="U14" i="1063"/>
  <c r="V14" i="1063"/>
  <c r="W14" i="1063"/>
  <c r="X14" i="1063"/>
  <c r="Y14" i="1063"/>
  <c r="Z14" i="1063"/>
  <c r="I10" i="1063"/>
  <c r="J10" i="1063"/>
  <c r="L10" i="1063"/>
  <c r="M10" i="1063"/>
  <c r="N10" i="1063"/>
  <c r="O10" i="1063"/>
  <c r="I11" i="1063"/>
  <c r="J11" i="1063"/>
  <c r="L11" i="1063"/>
  <c r="M11" i="1063"/>
  <c r="N11" i="1063"/>
  <c r="O11" i="1063"/>
  <c r="I12" i="1063"/>
  <c r="J12" i="1063"/>
  <c r="L12" i="1063"/>
  <c r="M12" i="1063"/>
  <c r="N12" i="1063"/>
  <c r="O12" i="1063"/>
  <c r="I13" i="1063"/>
  <c r="J13" i="1063"/>
  <c r="L13" i="1063"/>
  <c r="M13" i="1063"/>
  <c r="N13" i="1063"/>
  <c r="O13" i="1063"/>
  <c r="C10" i="1063"/>
  <c r="D10" i="1063"/>
  <c r="E10" i="1063"/>
  <c r="F10" i="1063"/>
  <c r="G10" i="1063"/>
  <c r="C11" i="1063"/>
  <c r="D11" i="1063"/>
  <c r="E11" i="1063"/>
  <c r="F11" i="1063"/>
  <c r="G11" i="1063"/>
  <c r="C12" i="1063"/>
  <c r="D12" i="1063"/>
  <c r="E12" i="1063"/>
  <c r="F12" i="1063"/>
  <c r="G12" i="1063"/>
  <c r="C13" i="1063"/>
  <c r="D13" i="1063"/>
  <c r="E13" i="1063"/>
  <c r="F13" i="1063"/>
  <c r="G13" i="1063"/>
  <c r="AX51" i="1063"/>
  <c r="AW51" i="1063"/>
  <c r="AV51" i="1063"/>
  <c r="AU51" i="1063"/>
  <c r="AT51" i="1063"/>
  <c r="AS51" i="1063"/>
  <c r="AR51" i="1063"/>
  <c r="AQ51" i="1063"/>
  <c r="AP51" i="1063"/>
  <c r="AO51" i="1063"/>
  <c r="AN51" i="1063"/>
  <c r="AM51" i="1063"/>
  <c r="AL51" i="1063"/>
  <c r="AK51" i="1063"/>
  <c r="AJ51" i="1063"/>
  <c r="AI51" i="1063"/>
  <c r="AH51" i="1063"/>
  <c r="AG51" i="1063"/>
  <c r="AF51" i="1063"/>
  <c r="AE51" i="1063"/>
  <c r="AD51" i="1063"/>
  <c r="AC51" i="1063"/>
  <c r="AB51" i="1063"/>
  <c r="AX50" i="1063"/>
  <c r="AW50" i="1063"/>
  <c r="AV50" i="1063"/>
  <c r="AU50" i="1063"/>
  <c r="AT50" i="1063"/>
  <c r="AS50" i="1063"/>
  <c r="AR50" i="1063"/>
  <c r="AQ50" i="1063"/>
  <c r="AP50" i="1063"/>
  <c r="AO50" i="1063"/>
  <c r="AN50" i="1063"/>
  <c r="AM50" i="1063"/>
  <c r="AL50" i="1063"/>
  <c r="AK50" i="1063"/>
  <c r="AJ50" i="1063"/>
  <c r="AI50" i="1063"/>
  <c r="AH50" i="1063"/>
  <c r="AG50" i="1063"/>
  <c r="AF50" i="1063"/>
  <c r="AE50" i="1063"/>
  <c r="AD50" i="1063"/>
  <c r="AC50" i="1063"/>
  <c r="AB50" i="1063"/>
  <c r="AX49" i="1063"/>
  <c r="AW49" i="1063"/>
  <c r="AV49" i="1063"/>
  <c r="AU49" i="1063"/>
  <c r="AT49" i="1063"/>
  <c r="AS49" i="1063"/>
  <c r="AR49" i="1063"/>
  <c r="AQ49" i="1063"/>
  <c r="AP49" i="1063"/>
  <c r="AO49" i="1063"/>
  <c r="AN49" i="1063"/>
  <c r="AM49" i="1063"/>
  <c r="AL49" i="1063"/>
  <c r="AK49" i="1063"/>
  <c r="AJ49" i="1063"/>
  <c r="AI49" i="1063"/>
  <c r="AH49" i="1063"/>
  <c r="AG49" i="1063"/>
  <c r="AF49" i="1063"/>
  <c r="AE49" i="1063"/>
  <c r="AD49" i="1063"/>
  <c r="AC49" i="1063"/>
  <c r="AB49" i="1063"/>
  <c r="K44" i="1063"/>
  <c r="Z31" i="1063"/>
  <c r="Y31" i="1063"/>
  <c r="X31" i="1063"/>
  <c r="W31" i="1063"/>
  <c r="V31" i="1063"/>
  <c r="U31" i="1063"/>
  <c r="T31" i="1063"/>
  <c r="S31" i="1063"/>
  <c r="R31" i="1063"/>
  <c r="Z30" i="1063"/>
  <c r="Y30" i="1063"/>
  <c r="X30" i="1063"/>
  <c r="W30" i="1063"/>
  <c r="V30" i="1063"/>
  <c r="U30" i="1063"/>
  <c r="T30" i="1063"/>
  <c r="S30" i="1063"/>
  <c r="R30" i="1063"/>
  <c r="Z29" i="1063"/>
  <c r="Y29" i="1063"/>
  <c r="X29" i="1063"/>
  <c r="W29" i="1063"/>
  <c r="V29" i="1063"/>
  <c r="U29" i="1063"/>
  <c r="T29" i="1063"/>
  <c r="S29" i="1063"/>
  <c r="R29" i="1063"/>
  <c r="Z28" i="1063"/>
  <c r="Y28" i="1063"/>
  <c r="X28" i="1063"/>
  <c r="W28" i="1063"/>
  <c r="V28" i="1063"/>
  <c r="U28" i="1063"/>
  <c r="T28" i="1063"/>
  <c r="S28" i="1063"/>
  <c r="R28" i="1063"/>
  <c r="Z27" i="1063"/>
  <c r="Y27" i="1063"/>
  <c r="X27" i="1063"/>
  <c r="W27" i="1063"/>
  <c r="V27" i="1063"/>
  <c r="U27" i="1063"/>
  <c r="T27" i="1063"/>
  <c r="S27" i="1063"/>
  <c r="R27" i="1063"/>
  <c r="M26" i="1063"/>
  <c r="M23" i="1063"/>
  <c r="M22" i="1063"/>
  <c r="M21" i="1063"/>
  <c r="Z15" i="1063"/>
  <c r="Y15" i="1063"/>
  <c r="X15" i="1063"/>
  <c r="W15" i="1063"/>
  <c r="V15" i="1063"/>
  <c r="U15" i="1063"/>
  <c r="T15" i="1063"/>
  <c r="S15" i="1063"/>
  <c r="R15" i="1063"/>
  <c r="L30" i="1063" l="1"/>
  <c r="J20" i="1063"/>
  <c r="K10" i="1063" l="1"/>
  <c r="K11" i="1063"/>
  <c r="K12" i="1063"/>
  <c r="K13" i="1063"/>
  <c r="I12" i="1062" l="1"/>
  <c r="I13" i="1062"/>
  <c r="J14" i="1062"/>
  <c r="I15" i="1062"/>
  <c r="I16" i="1062"/>
  <c r="I17" i="1062"/>
  <c r="I14" i="1062"/>
  <c r="R10" i="1062"/>
  <c r="S10" i="1062"/>
  <c r="T10" i="1062"/>
  <c r="U10" i="1062"/>
  <c r="V10" i="1062"/>
  <c r="W10" i="1062"/>
  <c r="X10" i="1062"/>
  <c r="Y10" i="1062"/>
  <c r="Z10" i="1062"/>
  <c r="R11" i="1062"/>
  <c r="S11" i="1062"/>
  <c r="T11" i="1062"/>
  <c r="U11" i="1062"/>
  <c r="V11" i="1062"/>
  <c r="W11" i="1062"/>
  <c r="X11" i="1062"/>
  <c r="Y11" i="1062"/>
  <c r="Z11" i="1062"/>
  <c r="R12" i="1062"/>
  <c r="S12" i="1062"/>
  <c r="T12" i="1062"/>
  <c r="U12" i="1062"/>
  <c r="V12" i="1062"/>
  <c r="W12" i="1062"/>
  <c r="X12" i="1062"/>
  <c r="Y12" i="1062"/>
  <c r="Z12" i="1062"/>
  <c r="R13" i="1062"/>
  <c r="S13" i="1062"/>
  <c r="T13" i="1062"/>
  <c r="U13" i="1062"/>
  <c r="V13" i="1062"/>
  <c r="W13" i="1062"/>
  <c r="X13" i="1062"/>
  <c r="Y13" i="1062"/>
  <c r="Z13" i="1062"/>
  <c r="R14" i="1062"/>
  <c r="S14" i="1062"/>
  <c r="T14" i="1062"/>
  <c r="U14" i="1062"/>
  <c r="V14" i="1062"/>
  <c r="W14" i="1062"/>
  <c r="X14" i="1062"/>
  <c r="Y14" i="1062"/>
  <c r="Z14" i="1062"/>
  <c r="R15" i="1062"/>
  <c r="S15" i="1062"/>
  <c r="T15" i="1062"/>
  <c r="U15" i="1062"/>
  <c r="V15" i="1062"/>
  <c r="W15" i="1062"/>
  <c r="X15" i="1062"/>
  <c r="Y15" i="1062"/>
  <c r="Z15" i="1062"/>
  <c r="R16" i="1062"/>
  <c r="S16" i="1062"/>
  <c r="T16" i="1062"/>
  <c r="U16" i="1062"/>
  <c r="V16" i="1062"/>
  <c r="W16" i="1062"/>
  <c r="X16" i="1062"/>
  <c r="Y16" i="1062"/>
  <c r="Z16" i="1062"/>
  <c r="R17" i="1062"/>
  <c r="S17" i="1062"/>
  <c r="T17" i="1062"/>
  <c r="U17" i="1062"/>
  <c r="V17" i="1062"/>
  <c r="W17" i="1062"/>
  <c r="X17" i="1062"/>
  <c r="Y17" i="1062"/>
  <c r="Z17" i="1062"/>
  <c r="R18" i="1062"/>
  <c r="S18" i="1062"/>
  <c r="T18" i="1062"/>
  <c r="U18" i="1062"/>
  <c r="V18" i="1062"/>
  <c r="W18" i="1062"/>
  <c r="X18" i="1062"/>
  <c r="Y18" i="1062"/>
  <c r="Z18" i="1062"/>
  <c r="I11" i="1062"/>
  <c r="J11" i="1062"/>
  <c r="L11" i="1062"/>
  <c r="M11" i="1062"/>
  <c r="N11" i="1062"/>
  <c r="O11" i="1062"/>
  <c r="L12" i="1062"/>
  <c r="M12" i="1062"/>
  <c r="N12" i="1062"/>
  <c r="O12" i="1062"/>
  <c r="L13" i="1062"/>
  <c r="M13" i="1062"/>
  <c r="N13" i="1062"/>
  <c r="O13" i="1062"/>
  <c r="L14" i="1062"/>
  <c r="M14" i="1062"/>
  <c r="N14" i="1062"/>
  <c r="O14" i="1062"/>
  <c r="L15" i="1062"/>
  <c r="M15" i="1062"/>
  <c r="N15" i="1062"/>
  <c r="O15" i="1062"/>
  <c r="L16" i="1062"/>
  <c r="M16" i="1062"/>
  <c r="N16" i="1062"/>
  <c r="O16" i="1062"/>
  <c r="L17" i="1062"/>
  <c r="M17" i="1062"/>
  <c r="N17" i="1062"/>
  <c r="O17" i="1062"/>
  <c r="C17" i="1062"/>
  <c r="D17" i="1062"/>
  <c r="E17" i="1062"/>
  <c r="F17" i="1062"/>
  <c r="G17" i="1062"/>
  <c r="C11" i="1062"/>
  <c r="D11" i="1062"/>
  <c r="E11" i="1062"/>
  <c r="F11" i="1062"/>
  <c r="G11" i="1062"/>
  <c r="C12" i="1062"/>
  <c r="D12" i="1062"/>
  <c r="E12" i="1062"/>
  <c r="F12" i="1062"/>
  <c r="G12" i="1062"/>
  <c r="C13" i="1062"/>
  <c r="D13" i="1062"/>
  <c r="E13" i="1062"/>
  <c r="F13" i="1062"/>
  <c r="G13" i="1062"/>
  <c r="C14" i="1062"/>
  <c r="D14" i="1062"/>
  <c r="E14" i="1062"/>
  <c r="F14" i="1062"/>
  <c r="G14" i="1062"/>
  <c r="C15" i="1062"/>
  <c r="D15" i="1062"/>
  <c r="E15" i="1062"/>
  <c r="F15" i="1062"/>
  <c r="G15" i="1062"/>
  <c r="C16" i="1062"/>
  <c r="D16" i="1062"/>
  <c r="E16" i="1062"/>
  <c r="F16" i="1062"/>
  <c r="G16" i="1062"/>
  <c r="J17" i="1062" l="1"/>
  <c r="J16" i="1062"/>
  <c r="J15" i="1062"/>
  <c r="J13" i="1062"/>
  <c r="J12" i="1062"/>
  <c r="AX54" i="1062"/>
  <c r="AW54" i="1062"/>
  <c r="AV54" i="1062"/>
  <c r="AU54" i="1062"/>
  <c r="AT54" i="1062"/>
  <c r="AS54" i="1062"/>
  <c r="AR54" i="1062"/>
  <c r="AQ54" i="1062"/>
  <c r="AP54" i="1062"/>
  <c r="AO54" i="1062"/>
  <c r="AN54" i="1062"/>
  <c r="AM54" i="1062"/>
  <c r="AL54" i="1062"/>
  <c r="AK54" i="1062"/>
  <c r="AJ54" i="1062"/>
  <c r="AI54" i="1062"/>
  <c r="AH54" i="1062"/>
  <c r="AG54" i="1062"/>
  <c r="AF54" i="1062"/>
  <c r="AE54" i="1062"/>
  <c r="AD54" i="1062"/>
  <c r="AC54" i="1062"/>
  <c r="AB54" i="1062"/>
  <c r="AX53" i="1062"/>
  <c r="AW53" i="1062"/>
  <c r="AV53" i="1062"/>
  <c r="AU53" i="1062"/>
  <c r="AT53" i="1062"/>
  <c r="AS53" i="1062"/>
  <c r="AR53" i="1062"/>
  <c r="AQ53" i="1062"/>
  <c r="AP53" i="1062"/>
  <c r="AO53" i="1062"/>
  <c r="AN53" i="1062"/>
  <c r="AM53" i="1062"/>
  <c r="AL53" i="1062"/>
  <c r="AK53" i="1062"/>
  <c r="AJ53" i="1062"/>
  <c r="AI53" i="1062"/>
  <c r="AH53" i="1062"/>
  <c r="AG53" i="1062"/>
  <c r="AF53" i="1062"/>
  <c r="AE53" i="1062"/>
  <c r="AD53" i="1062"/>
  <c r="AC53" i="1062"/>
  <c r="AB53" i="1062"/>
  <c r="AX52" i="1062"/>
  <c r="AW52" i="1062"/>
  <c r="AV52" i="1062"/>
  <c r="AU52" i="1062"/>
  <c r="AT52" i="1062"/>
  <c r="AS52" i="1062"/>
  <c r="AR52" i="1062"/>
  <c r="AQ52" i="1062"/>
  <c r="AP52" i="1062"/>
  <c r="AO52" i="1062"/>
  <c r="AN52" i="1062"/>
  <c r="AM52" i="1062"/>
  <c r="AL52" i="1062"/>
  <c r="AK52" i="1062"/>
  <c r="AJ52" i="1062"/>
  <c r="AI52" i="1062"/>
  <c r="AH52" i="1062"/>
  <c r="AG52" i="1062"/>
  <c r="AF52" i="1062"/>
  <c r="AE52" i="1062"/>
  <c r="AD52" i="1062"/>
  <c r="AC52" i="1062"/>
  <c r="AB52" i="1062"/>
  <c r="B52" i="1062"/>
  <c r="K47" i="1062"/>
  <c r="Z34" i="1062"/>
  <c r="Y34" i="1062"/>
  <c r="X34" i="1062"/>
  <c r="W34" i="1062"/>
  <c r="V34" i="1062"/>
  <c r="U34" i="1062"/>
  <c r="T34" i="1062"/>
  <c r="S34" i="1062"/>
  <c r="R34" i="1062"/>
  <c r="Z33" i="1062"/>
  <c r="Y33" i="1062"/>
  <c r="X33" i="1062"/>
  <c r="W33" i="1062"/>
  <c r="V33" i="1062"/>
  <c r="U33" i="1062"/>
  <c r="T33" i="1062"/>
  <c r="S33" i="1062"/>
  <c r="R33" i="1062"/>
  <c r="Z32" i="1062"/>
  <c r="Y32" i="1062"/>
  <c r="X32" i="1062"/>
  <c r="W32" i="1062"/>
  <c r="V32" i="1062"/>
  <c r="U32" i="1062"/>
  <c r="T32" i="1062"/>
  <c r="S32" i="1062"/>
  <c r="R32" i="1062"/>
  <c r="Z31" i="1062"/>
  <c r="Y31" i="1062"/>
  <c r="X31" i="1062"/>
  <c r="W31" i="1062"/>
  <c r="V31" i="1062"/>
  <c r="U31" i="1062"/>
  <c r="T31" i="1062"/>
  <c r="S31" i="1062"/>
  <c r="R31" i="1062"/>
  <c r="Z30" i="1062"/>
  <c r="Y30" i="1062"/>
  <c r="X30" i="1062"/>
  <c r="W30" i="1062"/>
  <c r="V30" i="1062"/>
  <c r="U30" i="1062"/>
  <c r="T30" i="1062"/>
  <c r="S30" i="1062"/>
  <c r="R30" i="1062"/>
  <c r="Z29" i="1062"/>
  <c r="Y29" i="1062"/>
  <c r="X29" i="1062"/>
  <c r="W29" i="1062"/>
  <c r="V29" i="1062"/>
  <c r="U29" i="1062"/>
  <c r="T29" i="1062"/>
  <c r="S29" i="1062"/>
  <c r="R29" i="1062"/>
  <c r="M29" i="1062"/>
  <c r="Z28" i="1062"/>
  <c r="Y28" i="1062"/>
  <c r="X28" i="1062"/>
  <c r="W28" i="1062"/>
  <c r="V28" i="1062"/>
  <c r="U28" i="1062"/>
  <c r="T28" i="1062"/>
  <c r="S28" i="1062"/>
  <c r="R28" i="1062"/>
  <c r="M28" i="1062"/>
  <c r="Z27" i="1062"/>
  <c r="Y27" i="1062"/>
  <c r="X27" i="1062"/>
  <c r="W27" i="1062"/>
  <c r="V27" i="1062"/>
  <c r="U27" i="1062"/>
  <c r="T27" i="1062"/>
  <c r="S27" i="1062"/>
  <c r="R27" i="1062"/>
  <c r="Z26" i="1062"/>
  <c r="Y26" i="1062"/>
  <c r="X26" i="1062"/>
  <c r="W26" i="1062"/>
  <c r="V26" i="1062"/>
  <c r="U26" i="1062"/>
  <c r="T26" i="1062"/>
  <c r="S26" i="1062"/>
  <c r="R26" i="1062"/>
  <c r="M26" i="1062"/>
  <c r="Z25" i="1062"/>
  <c r="Y25" i="1062"/>
  <c r="X25" i="1062"/>
  <c r="W25" i="1062"/>
  <c r="V25" i="1062"/>
  <c r="U25" i="1062"/>
  <c r="T25" i="1062"/>
  <c r="S25" i="1062"/>
  <c r="R25" i="1062"/>
  <c r="M25" i="1062"/>
  <c r="Z24" i="1062"/>
  <c r="Y24" i="1062"/>
  <c r="X24" i="1062"/>
  <c r="W24" i="1062"/>
  <c r="V24" i="1062"/>
  <c r="U24" i="1062"/>
  <c r="T24" i="1062"/>
  <c r="S24" i="1062"/>
  <c r="R24" i="1062"/>
  <c r="M24" i="1062"/>
  <c r="Z23" i="1062"/>
  <c r="Y23" i="1062"/>
  <c r="X23" i="1062"/>
  <c r="W23" i="1062"/>
  <c r="V23" i="1062"/>
  <c r="U23" i="1062"/>
  <c r="T23" i="1062"/>
  <c r="S23" i="1062"/>
  <c r="R23" i="1062"/>
  <c r="K33" i="1062"/>
  <c r="L33" i="1062" s="1"/>
  <c r="Z22" i="1062"/>
  <c r="Y22" i="1062"/>
  <c r="X22" i="1062"/>
  <c r="W22" i="1062"/>
  <c r="V22" i="1062"/>
  <c r="U22" i="1062"/>
  <c r="T22" i="1062"/>
  <c r="S22" i="1062"/>
  <c r="R22" i="1062"/>
  <c r="Z21" i="1062"/>
  <c r="Y21" i="1062"/>
  <c r="X21" i="1062"/>
  <c r="W21" i="1062"/>
  <c r="V21" i="1062"/>
  <c r="U21" i="1062"/>
  <c r="T21" i="1062"/>
  <c r="S21" i="1062"/>
  <c r="R21" i="1062"/>
  <c r="Z20" i="1062"/>
  <c r="Y20" i="1062"/>
  <c r="X20" i="1062"/>
  <c r="W20" i="1062"/>
  <c r="V20" i="1062"/>
  <c r="U20" i="1062"/>
  <c r="T20" i="1062"/>
  <c r="S20" i="1062"/>
  <c r="R20" i="1062"/>
  <c r="Z19" i="1062"/>
  <c r="Y19" i="1062"/>
  <c r="X19" i="1062"/>
  <c r="W19" i="1062"/>
  <c r="V19" i="1062"/>
  <c r="U19" i="1062"/>
  <c r="T19" i="1062"/>
  <c r="S19" i="1062"/>
  <c r="R19" i="1062"/>
  <c r="O10" i="1062"/>
  <c r="N10" i="1062"/>
  <c r="M10" i="1062"/>
  <c r="L10" i="1062"/>
  <c r="J10" i="1062"/>
  <c r="I10" i="1062"/>
  <c r="J23" i="1062" s="1"/>
  <c r="G10" i="1062"/>
  <c r="F10" i="1062"/>
  <c r="E10" i="1062"/>
  <c r="D10" i="1062"/>
  <c r="C10" i="1062"/>
  <c r="O11" i="1061"/>
  <c r="O12" i="1061"/>
  <c r="O13" i="1061"/>
  <c r="O14" i="1061"/>
  <c r="O15" i="1061"/>
  <c r="O16" i="1061"/>
  <c r="K50" i="1061"/>
  <c r="K63" i="1061" s="1"/>
  <c r="B50" i="1061" l="1"/>
  <c r="M21" i="1061"/>
  <c r="G11" i="1061"/>
  <c r="G12" i="1061"/>
  <c r="G13" i="1061"/>
  <c r="G14" i="1061"/>
  <c r="G15" i="1061"/>
  <c r="G16" i="1061"/>
  <c r="D11" i="1061"/>
  <c r="D12" i="1061"/>
  <c r="D13" i="1061"/>
  <c r="D14" i="1061"/>
  <c r="D15" i="1061"/>
  <c r="D16" i="1061"/>
  <c r="D10" i="1061"/>
  <c r="C16" i="1061"/>
  <c r="E16" i="1061"/>
  <c r="F16" i="1061"/>
  <c r="I16" i="1061"/>
  <c r="J16" i="1061"/>
  <c r="L16" i="1061"/>
  <c r="M16" i="1061"/>
  <c r="N16" i="1061"/>
  <c r="N15" i="1061"/>
  <c r="N14" i="1061"/>
  <c r="N13" i="1061"/>
  <c r="N12" i="1061"/>
  <c r="L15" i="1061"/>
  <c r="L14" i="1061"/>
  <c r="L13" i="1061"/>
  <c r="L12" i="1061"/>
  <c r="M12" i="1061"/>
  <c r="M13" i="1061"/>
  <c r="M14" i="1061"/>
  <c r="M15" i="1061"/>
  <c r="C12" i="1061"/>
  <c r="E12" i="1061"/>
  <c r="F12" i="1061"/>
  <c r="C13" i="1061"/>
  <c r="E13" i="1061"/>
  <c r="F13" i="1061"/>
  <c r="C14" i="1061"/>
  <c r="E14" i="1061"/>
  <c r="F14" i="1061"/>
  <c r="C15" i="1061"/>
  <c r="E15" i="1061"/>
  <c r="F15" i="1061"/>
  <c r="J57" i="19"/>
  <c r="J58" i="19"/>
  <c r="J59" i="19"/>
  <c r="J60" i="19"/>
  <c r="J61" i="19"/>
  <c r="J62" i="19"/>
  <c r="J63" i="19"/>
  <c r="J64" i="19"/>
  <c r="G60" i="19"/>
  <c r="G63" i="19"/>
  <c r="G64" i="19"/>
  <c r="J57" i="18"/>
  <c r="J58" i="18"/>
  <c r="J59" i="18"/>
  <c r="J60" i="18"/>
  <c r="J61" i="18"/>
  <c r="J62" i="18"/>
  <c r="J63" i="18"/>
  <c r="J64" i="18"/>
  <c r="G58" i="18"/>
  <c r="G59" i="18"/>
  <c r="G60" i="18"/>
  <c r="G62" i="18"/>
  <c r="G63" i="18"/>
  <c r="G64" i="18"/>
  <c r="D59" i="18"/>
  <c r="D60" i="18"/>
  <c r="D62" i="18"/>
  <c r="D63" i="18"/>
  <c r="D64" i="18"/>
  <c r="C11" i="1061" l="1"/>
  <c r="E11" i="1061"/>
  <c r="F11" i="1061"/>
  <c r="L10" i="1061"/>
  <c r="M10" i="1061"/>
  <c r="N10" i="1061"/>
  <c r="L11" i="1061"/>
  <c r="M11" i="1061"/>
  <c r="N11" i="1061"/>
  <c r="O10" i="1061"/>
  <c r="C10" i="1061"/>
  <c r="E10" i="1061"/>
  <c r="F10" i="1061"/>
  <c r="G10" i="1061"/>
  <c r="AX52" i="1061" l="1"/>
  <c r="AW52" i="1061"/>
  <c r="AV52" i="1061"/>
  <c r="AU52" i="1061"/>
  <c r="AT52" i="1061"/>
  <c r="AS52" i="1061"/>
  <c r="AR52" i="1061"/>
  <c r="AQ52" i="1061"/>
  <c r="AP52" i="1061"/>
  <c r="AO52" i="1061"/>
  <c r="AN52" i="1061"/>
  <c r="AM52" i="1061"/>
  <c r="AL52" i="1061"/>
  <c r="AK52" i="1061"/>
  <c r="AJ52" i="1061"/>
  <c r="AI52" i="1061"/>
  <c r="AH52" i="1061"/>
  <c r="AG52" i="1061"/>
  <c r="AF52" i="1061"/>
  <c r="AE52" i="1061"/>
  <c r="AD52" i="1061"/>
  <c r="AC52" i="1061"/>
  <c r="AB52" i="1061"/>
  <c r="AX51" i="1061"/>
  <c r="AW51" i="1061"/>
  <c r="AV51" i="1061"/>
  <c r="AU51" i="1061"/>
  <c r="AT51" i="1061"/>
  <c r="AS51" i="1061"/>
  <c r="AR51" i="1061"/>
  <c r="AQ51" i="1061"/>
  <c r="AP51" i="1061"/>
  <c r="AO51" i="1061"/>
  <c r="AN51" i="1061"/>
  <c r="AM51" i="1061"/>
  <c r="AL51" i="1061"/>
  <c r="AK51" i="1061"/>
  <c r="AJ51" i="1061"/>
  <c r="AI51" i="1061"/>
  <c r="AH51" i="1061"/>
  <c r="AG51" i="1061"/>
  <c r="AF51" i="1061"/>
  <c r="AE51" i="1061"/>
  <c r="AD51" i="1061"/>
  <c r="AC51" i="1061"/>
  <c r="AB51" i="1061"/>
  <c r="AX50" i="1061"/>
  <c r="AW50" i="1061"/>
  <c r="AV50" i="1061"/>
  <c r="AU50" i="1061"/>
  <c r="AT50" i="1061"/>
  <c r="AS50" i="1061"/>
  <c r="AR50" i="1061"/>
  <c r="AQ50" i="1061"/>
  <c r="AP50" i="1061"/>
  <c r="AO50" i="1061"/>
  <c r="AN50" i="1061"/>
  <c r="AM50" i="1061"/>
  <c r="AL50" i="1061"/>
  <c r="AK50" i="1061"/>
  <c r="AJ50" i="1061"/>
  <c r="AI50" i="1061"/>
  <c r="AH50" i="1061"/>
  <c r="AG50" i="1061"/>
  <c r="AF50" i="1061"/>
  <c r="AE50" i="1061"/>
  <c r="AD50" i="1061"/>
  <c r="AC50" i="1061"/>
  <c r="AB50" i="1061"/>
  <c r="K45" i="1061"/>
  <c r="Z32" i="1061"/>
  <c r="Y32" i="1061"/>
  <c r="X32" i="1061"/>
  <c r="W32" i="1061"/>
  <c r="V32" i="1061"/>
  <c r="U32" i="1061"/>
  <c r="T32" i="1061"/>
  <c r="S32" i="1061"/>
  <c r="R32" i="1061"/>
  <c r="Z31" i="1061"/>
  <c r="Y31" i="1061"/>
  <c r="X31" i="1061"/>
  <c r="W31" i="1061"/>
  <c r="V31" i="1061"/>
  <c r="U31" i="1061"/>
  <c r="T31" i="1061"/>
  <c r="S31" i="1061"/>
  <c r="R31" i="1061"/>
  <c r="Z30" i="1061"/>
  <c r="Y30" i="1061"/>
  <c r="X30" i="1061"/>
  <c r="W30" i="1061"/>
  <c r="V30" i="1061"/>
  <c r="U30" i="1061"/>
  <c r="T30" i="1061"/>
  <c r="S30" i="1061"/>
  <c r="R30" i="1061"/>
  <c r="Z29" i="1061"/>
  <c r="Y29" i="1061"/>
  <c r="X29" i="1061"/>
  <c r="W29" i="1061"/>
  <c r="V29" i="1061"/>
  <c r="U29" i="1061"/>
  <c r="T29" i="1061"/>
  <c r="S29" i="1061"/>
  <c r="R29" i="1061"/>
  <c r="Z28" i="1061"/>
  <c r="Y28" i="1061"/>
  <c r="X28" i="1061"/>
  <c r="W28" i="1061"/>
  <c r="V28" i="1061"/>
  <c r="U28" i="1061"/>
  <c r="T28" i="1061"/>
  <c r="S28" i="1061"/>
  <c r="R28" i="1061"/>
  <c r="Z27" i="1061"/>
  <c r="Y27" i="1061"/>
  <c r="X27" i="1061"/>
  <c r="W27" i="1061"/>
  <c r="V27" i="1061"/>
  <c r="U27" i="1061"/>
  <c r="T27" i="1061"/>
  <c r="S27" i="1061"/>
  <c r="R27" i="1061"/>
  <c r="M27" i="1061"/>
  <c r="Z26" i="1061"/>
  <c r="Y26" i="1061"/>
  <c r="X26" i="1061"/>
  <c r="W26" i="1061"/>
  <c r="V26" i="1061"/>
  <c r="U26" i="1061"/>
  <c r="T26" i="1061"/>
  <c r="S26" i="1061"/>
  <c r="R26" i="1061"/>
  <c r="M26" i="1061"/>
  <c r="Z25" i="1061"/>
  <c r="Y25" i="1061"/>
  <c r="X25" i="1061"/>
  <c r="W25" i="1061"/>
  <c r="V25" i="1061"/>
  <c r="U25" i="1061"/>
  <c r="T25" i="1061"/>
  <c r="S25" i="1061"/>
  <c r="R25" i="1061"/>
  <c r="Z24" i="1061"/>
  <c r="Y24" i="1061"/>
  <c r="X24" i="1061"/>
  <c r="W24" i="1061"/>
  <c r="V24" i="1061"/>
  <c r="U24" i="1061"/>
  <c r="T24" i="1061"/>
  <c r="S24" i="1061"/>
  <c r="R24" i="1061"/>
  <c r="M24" i="1061"/>
  <c r="Z23" i="1061"/>
  <c r="Y23" i="1061"/>
  <c r="X23" i="1061"/>
  <c r="W23" i="1061"/>
  <c r="V23" i="1061"/>
  <c r="U23" i="1061"/>
  <c r="T23" i="1061"/>
  <c r="S23" i="1061"/>
  <c r="R23" i="1061"/>
  <c r="M23" i="1061"/>
  <c r="Z22" i="1061"/>
  <c r="Y22" i="1061"/>
  <c r="X22" i="1061"/>
  <c r="W22" i="1061"/>
  <c r="V22" i="1061"/>
  <c r="U22" i="1061"/>
  <c r="T22" i="1061"/>
  <c r="S22" i="1061"/>
  <c r="R22" i="1061"/>
  <c r="M22" i="1061"/>
  <c r="Z21" i="1061"/>
  <c r="Y21" i="1061"/>
  <c r="X21" i="1061"/>
  <c r="W21" i="1061"/>
  <c r="V21" i="1061"/>
  <c r="U21" i="1061"/>
  <c r="T21" i="1061"/>
  <c r="S21" i="1061"/>
  <c r="R21" i="1061"/>
  <c r="Z20" i="1061"/>
  <c r="Y20" i="1061"/>
  <c r="X20" i="1061"/>
  <c r="W20" i="1061"/>
  <c r="V20" i="1061"/>
  <c r="U20" i="1061"/>
  <c r="T20" i="1061"/>
  <c r="S20" i="1061"/>
  <c r="R20" i="1061"/>
  <c r="Z19" i="1061"/>
  <c r="Y19" i="1061"/>
  <c r="X19" i="1061"/>
  <c r="W19" i="1061"/>
  <c r="V19" i="1061"/>
  <c r="U19" i="1061"/>
  <c r="T19" i="1061"/>
  <c r="S19" i="1061"/>
  <c r="R19" i="1061"/>
  <c r="Z18" i="1061"/>
  <c r="Y18" i="1061"/>
  <c r="X18" i="1061"/>
  <c r="W18" i="1061"/>
  <c r="V18" i="1061"/>
  <c r="U18" i="1061"/>
  <c r="T18" i="1061"/>
  <c r="S18" i="1061"/>
  <c r="R18" i="1061"/>
  <c r="Z17" i="1061"/>
  <c r="Y17" i="1061"/>
  <c r="X17" i="1061"/>
  <c r="W17" i="1061"/>
  <c r="V17" i="1061"/>
  <c r="U17" i="1061"/>
  <c r="T17" i="1061"/>
  <c r="S17" i="1061"/>
  <c r="R17" i="1061"/>
  <c r="L36" i="1061" l="1"/>
  <c r="M36" i="1061" s="1"/>
  <c r="L35" i="1063"/>
  <c r="M35" i="1063" s="1"/>
  <c r="L38" i="1062"/>
  <c r="M38" i="1062" s="1"/>
  <c r="K31" i="1061"/>
  <c r="O47" i="21" l="1"/>
  <c r="N47" i="21"/>
  <c r="M47" i="21"/>
  <c r="L47" i="21"/>
  <c r="K47" i="21"/>
  <c r="J47" i="21"/>
  <c r="I47" i="21"/>
  <c r="G47" i="21"/>
  <c r="F47" i="21"/>
  <c r="D47" i="21"/>
  <c r="D45" i="21"/>
  <c r="P45" i="21" s="1"/>
  <c r="F9" i="21" s="1"/>
  <c r="H44" i="21"/>
  <c r="E44" i="21"/>
  <c r="D44" i="21"/>
  <c r="P42" i="21"/>
  <c r="H41" i="21"/>
  <c r="E41" i="21"/>
  <c r="D41" i="21"/>
  <c r="H40" i="21"/>
  <c r="E40" i="21"/>
  <c r="D40" i="21"/>
  <c r="F38" i="21"/>
  <c r="E9" i="21"/>
  <c r="E8" i="21"/>
  <c r="F7" i="21"/>
  <c r="E7" i="21"/>
  <c r="E6" i="21"/>
  <c r="E5" i="21"/>
  <c r="E3" i="21"/>
  <c r="D37" i="19"/>
  <c r="D36" i="19"/>
  <c r="D34" i="19"/>
  <c r="D33" i="19"/>
  <c r="E29" i="19"/>
  <c r="E27" i="19"/>
  <c r="K26" i="19"/>
  <c r="K25" i="19"/>
  <c r="K24" i="19"/>
  <c r="K23" i="19"/>
  <c r="J13" i="19"/>
  <c r="I13" i="19"/>
  <c r="H13" i="19"/>
  <c r="G13" i="19"/>
  <c r="F13" i="19"/>
  <c r="E13" i="19"/>
  <c r="D13" i="19"/>
  <c r="C13" i="19"/>
  <c r="E26" i="19" s="1"/>
  <c r="J12" i="19"/>
  <c r="I12" i="19"/>
  <c r="H12" i="19"/>
  <c r="G12" i="19"/>
  <c r="F12" i="19"/>
  <c r="E12" i="19"/>
  <c r="D12" i="19"/>
  <c r="C12" i="19"/>
  <c r="E25" i="19" s="1"/>
  <c r="J11" i="19"/>
  <c r="I11" i="19"/>
  <c r="H11" i="19"/>
  <c r="G11" i="19"/>
  <c r="F11" i="19"/>
  <c r="E11" i="19"/>
  <c r="D11" i="19"/>
  <c r="C11" i="19"/>
  <c r="E24" i="19" s="1"/>
  <c r="J10" i="19"/>
  <c r="I10" i="19"/>
  <c r="H10" i="19"/>
  <c r="G10" i="19"/>
  <c r="F10" i="19"/>
  <c r="E10" i="19"/>
  <c r="D10" i="19"/>
  <c r="C10" i="19"/>
  <c r="E23" i="19" s="1"/>
  <c r="D37" i="18"/>
  <c r="D36" i="18"/>
  <c r="D34" i="18"/>
  <c r="D33" i="18"/>
  <c r="E29" i="18"/>
  <c r="E27" i="18"/>
  <c r="K26" i="18"/>
  <c r="K25" i="18"/>
  <c r="K24" i="18"/>
  <c r="K23" i="18"/>
  <c r="J13" i="18"/>
  <c r="I13" i="18"/>
  <c r="H13" i="18"/>
  <c r="G13" i="18"/>
  <c r="F13" i="18"/>
  <c r="E13" i="18"/>
  <c r="D13" i="18"/>
  <c r="C13" i="18"/>
  <c r="E26" i="18" s="1"/>
  <c r="J12" i="18"/>
  <c r="I12" i="18"/>
  <c r="H12" i="18"/>
  <c r="G12" i="18"/>
  <c r="F12" i="18"/>
  <c r="E12" i="18"/>
  <c r="D12" i="18"/>
  <c r="C12" i="18"/>
  <c r="E25" i="18" s="1"/>
  <c r="J11" i="18"/>
  <c r="I11" i="18"/>
  <c r="H11" i="18"/>
  <c r="G11" i="18"/>
  <c r="F11" i="18"/>
  <c r="E11" i="18"/>
  <c r="D11" i="18"/>
  <c r="C11" i="18"/>
  <c r="E24" i="18" s="1"/>
  <c r="J10" i="18"/>
  <c r="I10" i="18"/>
  <c r="H10" i="18"/>
  <c r="G10" i="18"/>
  <c r="F10" i="18"/>
  <c r="E10" i="18"/>
  <c r="D10" i="18"/>
  <c r="C10" i="18"/>
  <c r="E23" i="18" s="1"/>
  <c r="F94" i="658"/>
  <c r="G90" i="658"/>
  <c r="AY80" i="658"/>
  <c r="AX80" i="658"/>
  <c r="AW80" i="658"/>
  <c r="AV80" i="658"/>
  <c r="AU80" i="658"/>
  <c r="AT80" i="658"/>
  <c r="AS80" i="658"/>
  <c r="AR80" i="658"/>
  <c r="AQ80" i="658"/>
  <c r="AP80" i="658"/>
  <c r="AO80" i="658"/>
  <c r="AN80" i="658"/>
  <c r="AM80" i="658"/>
  <c r="AL80" i="658"/>
  <c r="AK80" i="658"/>
  <c r="AJ80" i="658"/>
  <c r="AI80" i="658"/>
  <c r="AH80" i="658"/>
  <c r="AG80" i="658"/>
  <c r="AF80" i="658"/>
  <c r="AE80" i="658"/>
  <c r="AD80" i="658"/>
  <c r="AC80" i="658"/>
  <c r="AB80" i="658"/>
  <c r="AA80" i="658"/>
  <c r="Z80" i="658"/>
  <c r="Y80" i="658"/>
  <c r="X80" i="658"/>
  <c r="W80" i="658"/>
  <c r="V80" i="658"/>
  <c r="U80" i="658"/>
  <c r="K79" i="658"/>
  <c r="K90" i="658" s="1"/>
  <c r="G79" i="658"/>
  <c r="D79" i="658"/>
  <c r="K74" i="658"/>
  <c r="D72" i="658"/>
  <c r="M65" i="658"/>
  <c r="L65" i="658"/>
  <c r="M58" i="658"/>
  <c r="M57" i="658"/>
  <c r="M56" i="658"/>
  <c r="L56" i="658"/>
  <c r="K56" i="658"/>
  <c r="M55" i="658"/>
  <c r="M53" i="658"/>
  <c r="L53" i="658"/>
  <c r="K53" i="658"/>
  <c r="M52" i="658"/>
  <c r="L52" i="658"/>
  <c r="K52" i="658"/>
  <c r="M51" i="658"/>
  <c r="L51" i="658"/>
  <c r="K51" i="658"/>
  <c r="M50" i="658"/>
  <c r="L50" i="658"/>
  <c r="K50" i="658"/>
  <c r="AA47" i="658"/>
  <c r="Z47" i="658"/>
  <c r="Y47" i="658"/>
  <c r="X47" i="658"/>
  <c r="W47" i="658"/>
  <c r="V47" i="658"/>
  <c r="U47" i="658"/>
  <c r="T47" i="658"/>
  <c r="S47" i="658"/>
  <c r="AA46" i="658"/>
  <c r="Z46" i="658"/>
  <c r="Y46" i="658"/>
  <c r="X46" i="658"/>
  <c r="W46" i="658"/>
  <c r="V46" i="658"/>
  <c r="U46" i="658"/>
  <c r="T46" i="658"/>
  <c r="S46" i="658"/>
  <c r="AA45" i="658"/>
  <c r="Z45" i="658"/>
  <c r="Y45" i="658"/>
  <c r="X45" i="658"/>
  <c r="W45" i="658"/>
  <c r="V45" i="658"/>
  <c r="U45" i="658"/>
  <c r="T45" i="658"/>
  <c r="S45" i="658"/>
  <c r="AA44" i="658"/>
  <c r="Z44" i="658"/>
  <c r="Y44" i="658"/>
  <c r="X44" i="658"/>
  <c r="W44" i="658"/>
  <c r="V44" i="658"/>
  <c r="U44" i="658"/>
  <c r="T44" i="658"/>
  <c r="S44" i="658"/>
  <c r="AA43" i="658"/>
  <c r="Z43" i="658"/>
  <c r="Y43" i="658"/>
  <c r="X43" i="658"/>
  <c r="W43" i="658"/>
  <c r="V43" i="658"/>
  <c r="U43" i="658"/>
  <c r="T43" i="658"/>
  <c r="S43" i="658"/>
  <c r="AA42" i="658"/>
  <c r="Z42" i="658"/>
  <c r="Y42" i="658"/>
  <c r="X42" i="658"/>
  <c r="W42" i="658"/>
  <c r="V42" i="658"/>
  <c r="U42" i="658"/>
  <c r="T42" i="658"/>
  <c r="S42" i="658"/>
  <c r="AA41" i="658"/>
  <c r="Z41" i="658"/>
  <c r="Y41" i="658"/>
  <c r="X41" i="658"/>
  <c r="W41" i="658"/>
  <c r="V41" i="658"/>
  <c r="U41" i="658"/>
  <c r="T41" i="658"/>
  <c r="S41" i="658"/>
  <c r="AA40" i="658"/>
  <c r="Z40" i="658"/>
  <c r="Y40" i="658"/>
  <c r="X40" i="658"/>
  <c r="W40" i="658"/>
  <c r="V40" i="658"/>
  <c r="U40" i="658"/>
  <c r="T40" i="658"/>
  <c r="S40" i="658"/>
  <c r="AA39" i="658"/>
  <c r="Z39" i="658"/>
  <c r="Y39" i="658"/>
  <c r="X39" i="658"/>
  <c r="W39" i="658"/>
  <c r="V39" i="658"/>
  <c r="U39" i="658"/>
  <c r="T39" i="658"/>
  <c r="S39" i="658"/>
  <c r="AA38" i="658"/>
  <c r="Z38" i="658"/>
  <c r="Y38" i="658"/>
  <c r="X38" i="658"/>
  <c r="W38" i="658"/>
  <c r="V38" i="658"/>
  <c r="U38" i="658"/>
  <c r="T38" i="658"/>
  <c r="S38" i="658"/>
  <c r="AA37" i="658"/>
  <c r="Z37" i="658"/>
  <c r="Y37" i="658"/>
  <c r="X37" i="658"/>
  <c r="W37" i="658"/>
  <c r="V37" i="658"/>
  <c r="U37" i="658"/>
  <c r="T37" i="658"/>
  <c r="S37" i="658"/>
  <c r="AA36" i="658"/>
  <c r="Z36" i="658"/>
  <c r="Y36" i="658"/>
  <c r="X36" i="658"/>
  <c r="W36" i="658"/>
  <c r="V36" i="658"/>
  <c r="U36" i="658"/>
  <c r="T36" i="658"/>
  <c r="S36" i="658"/>
  <c r="AA35" i="658"/>
  <c r="Z35" i="658"/>
  <c r="Y35" i="658"/>
  <c r="X35" i="658"/>
  <c r="W35" i="658"/>
  <c r="V35" i="658"/>
  <c r="U35" i="658"/>
  <c r="T35" i="658"/>
  <c r="S35" i="658"/>
  <c r="AA34" i="658"/>
  <c r="Z34" i="658"/>
  <c r="Y34" i="658"/>
  <c r="X34" i="658"/>
  <c r="W34" i="658"/>
  <c r="V34" i="658"/>
  <c r="U34" i="658"/>
  <c r="T34" i="658"/>
  <c r="S34" i="658"/>
  <c r="AA33" i="658"/>
  <c r="Z33" i="658"/>
  <c r="Y33" i="658"/>
  <c r="X33" i="658"/>
  <c r="W33" i="658"/>
  <c r="V33" i="658"/>
  <c r="U33" i="658"/>
  <c r="T33" i="658"/>
  <c r="S33" i="658"/>
  <c r="AA32" i="658"/>
  <c r="Z32" i="658"/>
  <c r="Y32" i="658"/>
  <c r="X32" i="658"/>
  <c r="W32" i="658"/>
  <c r="V32" i="658"/>
  <c r="U32" i="658"/>
  <c r="T32" i="658"/>
  <c r="S32" i="658"/>
  <c r="AA31" i="658"/>
  <c r="Z31" i="658"/>
  <c r="Y31" i="658"/>
  <c r="X31" i="658"/>
  <c r="W31" i="658"/>
  <c r="V31" i="658"/>
  <c r="U31" i="658"/>
  <c r="T31" i="658"/>
  <c r="S31" i="658"/>
  <c r="AA30" i="658"/>
  <c r="Z30" i="658"/>
  <c r="Y30" i="658"/>
  <c r="X30" i="658"/>
  <c r="W30" i="658"/>
  <c r="V30" i="658"/>
  <c r="U30" i="658"/>
  <c r="T30" i="658"/>
  <c r="S30" i="658"/>
  <c r="AA29" i="658"/>
  <c r="Z29" i="658"/>
  <c r="Y29" i="658"/>
  <c r="X29" i="658"/>
  <c r="W29" i="658"/>
  <c r="V29" i="658"/>
  <c r="U29" i="658"/>
  <c r="T29" i="658"/>
  <c r="S29" i="658"/>
  <c r="AA28" i="658"/>
  <c r="Z28" i="658"/>
  <c r="Y28" i="658"/>
  <c r="X28" i="658"/>
  <c r="W28" i="658"/>
  <c r="V28" i="658"/>
  <c r="U28" i="658"/>
  <c r="T28" i="658"/>
  <c r="S28" i="658"/>
  <c r="AA27" i="658"/>
  <c r="Z27" i="658"/>
  <c r="Y27" i="658"/>
  <c r="X27" i="658"/>
  <c r="W27" i="658"/>
  <c r="V27" i="658"/>
  <c r="U27" i="658"/>
  <c r="T27" i="658"/>
  <c r="S27" i="658"/>
  <c r="AA26" i="658"/>
  <c r="Z26" i="658"/>
  <c r="Y26" i="658"/>
  <c r="X26" i="658"/>
  <c r="W26" i="658"/>
  <c r="V26" i="658"/>
  <c r="U26" i="658"/>
  <c r="T26" i="658"/>
  <c r="S26" i="658"/>
  <c r="AA25" i="658"/>
  <c r="Z25" i="658"/>
  <c r="Y25" i="658"/>
  <c r="X25" i="658"/>
  <c r="W25" i="658"/>
  <c r="V25" i="658"/>
  <c r="U25" i="658"/>
  <c r="T25" i="658"/>
  <c r="S25" i="658"/>
  <c r="AA24" i="658"/>
  <c r="Z24" i="658"/>
  <c r="Y24" i="658"/>
  <c r="X24" i="658"/>
  <c r="W24" i="658"/>
  <c r="V24" i="658"/>
  <c r="U24" i="658"/>
  <c r="T24" i="658"/>
  <c r="S24" i="658"/>
  <c r="AA23" i="658"/>
  <c r="Z23" i="658"/>
  <c r="Y23" i="658"/>
  <c r="X23" i="658"/>
  <c r="W23" i="658"/>
  <c r="V23" i="658"/>
  <c r="U23" i="658"/>
  <c r="T23" i="658"/>
  <c r="S23" i="658"/>
  <c r="AA22" i="658"/>
  <c r="Z22" i="658"/>
  <c r="Y22" i="658"/>
  <c r="X22" i="658"/>
  <c r="W22" i="658"/>
  <c r="V22" i="658"/>
  <c r="U22" i="658"/>
  <c r="T22" i="658"/>
  <c r="S22" i="658"/>
  <c r="AA21" i="658"/>
  <c r="Z21" i="658"/>
  <c r="Y21" i="658"/>
  <c r="X21" i="658"/>
  <c r="W21" i="658"/>
  <c r="V21" i="658"/>
  <c r="U21" i="658"/>
  <c r="T21" i="658"/>
  <c r="S21" i="658"/>
  <c r="AA20" i="658"/>
  <c r="Z20" i="658"/>
  <c r="Y20" i="658"/>
  <c r="X20" i="658"/>
  <c r="W20" i="658"/>
  <c r="V20" i="658"/>
  <c r="U20" i="658"/>
  <c r="T20" i="658"/>
  <c r="S20" i="658"/>
  <c r="AA19" i="658"/>
  <c r="Z19" i="658"/>
  <c r="Y19" i="658"/>
  <c r="X19" i="658"/>
  <c r="W19" i="658"/>
  <c r="V19" i="658"/>
  <c r="U19" i="658"/>
  <c r="T19" i="658"/>
  <c r="S19" i="658"/>
  <c r="AA18" i="658"/>
  <c r="Z18" i="658"/>
  <c r="Y18" i="658"/>
  <c r="X18" i="658"/>
  <c r="W18" i="658"/>
  <c r="V18" i="658"/>
  <c r="U18" i="658"/>
  <c r="T18" i="658"/>
  <c r="S18" i="658"/>
  <c r="AA17" i="658"/>
  <c r="Z17" i="658"/>
  <c r="Y17" i="658"/>
  <c r="X17" i="658"/>
  <c r="W17" i="658"/>
  <c r="V17" i="658"/>
  <c r="U17" i="658"/>
  <c r="T17" i="658"/>
  <c r="S17" i="658"/>
  <c r="AA16" i="658"/>
  <c r="Z16" i="658"/>
  <c r="Y16" i="658"/>
  <c r="X16" i="658"/>
  <c r="W16" i="658"/>
  <c r="V16" i="658"/>
  <c r="U16" i="658"/>
  <c r="T16" i="658"/>
  <c r="S16" i="658"/>
  <c r="AA15" i="658"/>
  <c r="Z15" i="658"/>
  <c r="Y15" i="658"/>
  <c r="X15" i="658"/>
  <c r="W15" i="658"/>
  <c r="V15" i="658"/>
  <c r="U15" i="658"/>
  <c r="T15" i="658"/>
  <c r="S15" i="658"/>
  <c r="AA14" i="658"/>
  <c r="Z14" i="658"/>
  <c r="Y14" i="658"/>
  <c r="X14" i="658"/>
  <c r="W14" i="658"/>
  <c r="V14" i="658"/>
  <c r="U14" i="658"/>
  <c r="T14" i="658"/>
  <c r="S14" i="658"/>
  <c r="AA13" i="658"/>
  <c r="Z13" i="658"/>
  <c r="Y13" i="658"/>
  <c r="X13" i="658"/>
  <c r="W13" i="658"/>
  <c r="V13" i="658"/>
  <c r="U13" i="658"/>
  <c r="T13" i="658"/>
  <c r="S13" i="658"/>
  <c r="AA12" i="658"/>
  <c r="Z12" i="658"/>
  <c r="Y12" i="658"/>
  <c r="X12" i="658"/>
  <c r="W12" i="658"/>
  <c r="V12" i="658"/>
  <c r="U12" i="658"/>
  <c r="T12" i="658"/>
  <c r="S12" i="658"/>
  <c r="AA11" i="658"/>
  <c r="Z11" i="658"/>
  <c r="Y11" i="658"/>
  <c r="X11" i="658"/>
  <c r="W11" i="658"/>
  <c r="V11" i="658"/>
  <c r="U11" i="658"/>
  <c r="T11" i="658"/>
  <c r="S11" i="658"/>
  <c r="AA10" i="658"/>
  <c r="Z10" i="658"/>
  <c r="Y10" i="658"/>
  <c r="X10" i="658"/>
  <c r="W10" i="658"/>
  <c r="V10" i="658"/>
  <c r="U10" i="658"/>
  <c r="T10" i="658"/>
  <c r="S10" i="658"/>
  <c r="K59" i="658" l="1"/>
  <c r="L59" i="658" s="1"/>
  <c r="M59" i="658" s="1"/>
  <c r="C33" i="18"/>
  <c r="P44" i="21"/>
  <c r="F8" i="21" s="1"/>
  <c r="L79" i="658"/>
  <c r="C90" i="658" s="1"/>
  <c r="I20" i="18"/>
  <c r="E10" i="21"/>
  <c r="I20" i="19"/>
  <c r="C33" i="19"/>
  <c r="P40" i="21"/>
  <c r="F5" i="21" s="1"/>
  <c r="E47" i="21"/>
  <c r="H47" i="21"/>
  <c r="P41" i="21"/>
  <c r="F6" i="21" s="1"/>
  <c r="D40" i="18"/>
  <c r="D40" i="19"/>
  <c r="P47" i="21" l="1"/>
  <c r="F10" i="21" s="1"/>
  <c r="J15" i="1061" l="1"/>
  <c r="I15" i="1061"/>
  <c r="J14" i="1061"/>
  <c r="I14" i="1061"/>
  <c r="J13" i="1061"/>
  <c r="I13" i="1061"/>
  <c r="J12" i="1061"/>
  <c r="I12" i="1061"/>
  <c r="J11" i="1061"/>
  <c r="I11" i="1061"/>
  <c r="J10" i="1061"/>
  <c r="L31" i="1061" l="1"/>
  <c r="I10" i="1061"/>
  <c r="J21" i="1061" s="1"/>
  <c r="K11" i="1062" l="1"/>
  <c r="K12" i="1062"/>
  <c r="K13" i="1062"/>
  <c r="K14" i="1062"/>
  <c r="K15" i="1062"/>
  <c r="K16" i="1062"/>
  <c r="K17" i="1062"/>
  <c r="G52" i="1062" l="1"/>
  <c r="G50" i="1061" l="1"/>
  <c r="K10" i="1062" l="1"/>
  <c r="K10" i="1061" l="1"/>
  <c r="K11" i="1061"/>
  <c r="K12" i="1061"/>
  <c r="K13" i="1061"/>
  <c r="K14" i="1061"/>
  <c r="K15" i="1061"/>
  <c r="K16" i="1061"/>
  <c r="G62" i="19" l="1"/>
  <c r="G59" i="19"/>
  <c r="J10" i="1068" l="1"/>
  <c r="J12" i="1068"/>
  <c r="J11" i="1068"/>
  <c r="J17" i="1068"/>
  <c r="J15" i="1068"/>
  <c r="J14" i="1068"/>
  <c r="J13" i="1068"/>
  <c r="I13" i="1068" l="1"/>
  <c r="I14" i="1068"/>
  <c r="I15" i="1068"/>
  <c r="I17" i="1068"/>
  <c r="I11" i="1068"/>
  <c r="I12" i="1068"/>
  <c r="I10" i="1068" l="1"/>
  <c r="J25" i="1068" s="1"/>
  <c r="M25" i="1068"/>
  <c r="L25" i="1068"/>
  <c r="L35" i="1068" s="1"/>
  <c r="M27" i="1072" l="1"/>
  <c r="L27" i="1072"/>
  <c r="L37" i="1072" s="1"/>
  <c r="I18" i="1072"/>
  <c r="J27" i="1072" s="1"/>
  <c r="J18" i="1072"/>
  <c r="N19" i="1073" l="1"/>
  <c r="N18" i="1073"/>
  <c r="N17" i="1073"/>
  <c r="N16" i="1073"/>
  <c r="N15" i="1073"/>
  <c r="N14" i="1073"/>
  <c r="N13" i="1073"/>
  <c r="K10" i="1075"/>
  <c r="K11" i="1075"/>
  <c r="K12" i="1075"/>
  <c r="K13" i="1075"/>
  <c r="K14" i="1075"/>
  <c r="K15" i="1075"/>
  <c r="K16" i="1075"/>
  <c r="K17" i="1075"/>
  <c r="K10" i="1065" l="1"/>
  <c r="K11" i="1065"/>
  <c r="K12" i="1065"/>
  <c r="K13" i="1065"/>
  <c r="K14" i="1065"/>
  <c r="K15" i="1065"/>
  <c r="K16" i="1065"/>
  <c r="K17" i="1065"/>
  <c r="K18" i="1065"/>
  <c r="K10" i="1066"/>
  <c r="K54" i="1078" l="1"/>
  <c r="K67" i="1078" s="1"/>
  <c r="C17" i="1077" l="1"/>
  <c r="C10" i="1077" l="1"/>
  <c r="C16" i="1077"/>
  <c r="C13" i="1076"/>
  <c r="C15" i="1077"/>
  <c r="C14" i="1077"/>
  <c r="C11" i="1077"/>
  <c r="C14" i="1076"/>
  <c r="C11" i="1073"/>
  <c r="C12" i="1077"/>
  <c r="C12" i="1076"/>
  <c r="C11" i="1076"/>
  <c r="C10" i="1076"/>
  <c r="C13" i="1077"/>
  <c r="K27" i="1077"/>
  <c r="K37" i="1077" s="1"/>
  <c r="L37" i="1077" s="1"/>
  <c r="K22" i="1076"/>
  <c r="K32" i="1076" s="1"/>
  <c r="L32" i="1076" s="1"/>
  <c r="K24" i="1075"/>
  <c r="K34" i="1075" s="1"/>
  <c r="L34" i="1075" s="1"/>
  <c r="K18" i="1074"/>
  <c r="K28" i="1074" s="1"/>
  <c r="L28" i="1074" s="1"/>
  <c r="K28" i="1073"/>
  <c r="K38" i="1073" s="1"/>
  <c r="L38" i="1073" s="1"/>
  <c r="C10" i="1073"/>
  <c r="K35" i="1078" l="1"/>
  <c r="L35" i="1078" s="1"/>
  <c r="G58" i="19" l="1"/>
  <c r="M25" i="1079" l="1"/>
  <c r="M34" i="1071"/>
  <c r="M31" i="1070"/>
  <c r="M31" i="1069"/>
  <c r="M36" i="1067"/>
  <c r="M34" i="1066"/>
  <c r="M34" i="1065"/>
  <c r="M32" i="1064"/>
  <c r="M30" i="1063"/>
  <c r="M33" i="1062"/>
  <c r="M31" i="1061"/>
  <c r="M35" i="1068"/>
  <c r="M37" i="1072"/>
  <c r="M28" i="1074"/>
  <c r="M37" i="1077"/>
  <c r="M34" i="1075"/>
  <c r="M38" i="1073"/>
  <c r="M32" i="1076"/>
  <c r="M35" i="1078"/>
  <c r="K17" i="1080" l="1"/>
  <c r="K16" i="1080"/>
  <c r="K13" i="1080"/>
  <c r="K15" i="1080"/>
  <c r="K14" i="1080"/>
  <c r="K12" i="1080"/>
  <c r="K11" i="1080"/>
  <c r="K10" i="1080"/>
  <c r="D60" i="19" l="1"/>
  <c r="D63" i="19"/>
  <c r="D64" i="19"/>
  <c r="D62" i="19"/>
  <c r="D59" i="19"/>
  <c r="D55" i="1081" l="1"/>
  <c r="L55" i="1081" s="1"/>
  <c r="C68" i="1081" s="1"/>
  <c r="D52" i="1069"/>
  <c r="L52" i="1069" s="1"/>
  <c r="G66" i="1065"/>
  <c r="D53" i="1065"/>
  <c r="L53" i="1065" s="1"/>
  <c r="C66" i="1065" s="1"/>
  <c r="G67" i="1068"/>
  <c r="D54" i="1068"/>
  <c r="L54" i="1068" s="1"/>
  <c r="C67" i="1068" s="1"/>
  <c r="G65" i="1076"/>
  <c r="D57" i="1080"/>
  <c r="L57" i="1080" s="1"/>
  <c r="D57" i="1081"/>
  <c r="L57" i="1081" s="1"/>
  <c r="D46" i="1079"/>
  <c r="L46" i="1079" s="1"/>
  <c r="D56" i="1078"/>
  <c r="L56" i="1078" s="1"/>
  <c r="D58" i="1077"/>
  <c r="L58" i="1077" s="1"/>
  <c r="D53" i="1076"/>
  <c r="L53" i="1076" s="1"/>
  <c r="C65" i="1076" s="1"/>
  <c r="D57" i="18"/>
  <c r="G66" i="1071" l="1"/>
  <c r="D53" i="1071"/>
  <c r="L53" i="1071" s="1"/>
  <c r="C66" i="1071" s="1"/>
  <c r="D57" i="1073"/>
  <c r="L57" i="1073" s="1"/>
  <c r="C70" i="1073" s="1"/>
  <c r="G64" i="1070"/>
  <c r="D50" i="1070"/>
  <c r="L50" i="1070" s="1"/>
  <c r="C64" i="1070" s="1"/>
  <c r="D52" i="1062"/>
  <c r="L52" i="1062" s="1"/>
  <c r="C65" i="1062" s="1"/>
  <c r="D49" i="1063"/>
  <c r="L49" i="1063" s="1"/>
  <c r="C63" i="1063" s="1"/>
  <c r="G66" i="1066"/>
  <c r="D53" i="1066"/>
  <c r="L53" i="1066" s="1"/>
  <c r="C66" i="1066" s="1"/>
  <c r="G68" i="1067"/>
  <c r="D57" i="1067"/>
  <c r="L57" i="1067" s="1"/>
  <c r="G67" i="1078"/>
  <c r="D54" i="1078"/>
  <c r="L54" i="1078" s="1"/>
  <c r="C67" i="1078" s="1"/>
  <c r="G68" i="1069"/>
  <c r="D50" i="1069"/>
  <c r="L50" i="1069" s="1"/>
  <c r="C68" i="1069" s="1"/>
  <c r="D57" i="19"/>
  <c r="D50" i="1061"/>
  <c r="L50" i="1061" s="1"/>
  <c r="C63" i="1061" s="1"/>
  <c r="D56" i="1077"/>
  <c r="L56" i="1077" s="1"/>
  <c r="C69" i="1077" s="1"/>
  <c r="D55" i="1067"/>
  <c r="L55" i="1067" s="1"/>
  <c r="G66" i="1075"/>
  <c r="D51" i="1076"/>
  <c r="L51" i="1076" s="1"/>
  <c r="D53" i="1075"/>
  <c r="L53" i="1075" s="1"/>
  <c r="C66" i="1075" s="1"/>
  <c r="G67" i="1075"/>
  <c r="D55" i="1075"/>
  <c r="L55" i="1075" s="1"/>
  <c r="C67" i="1075" s="1"/>
  <c r="D56" i="18"/>
  <c r="D61" i="19"/>
  <c r="D61" i="18"/>
  <c r="D58" i="18"/>
  <c r="G63" i="1063" l="1"/>
  <c r="C68" i="1067"/>
  <c r="G63" i="1061"/>
  <c r="D56" i="19"/>
  <c r="D58" i="19"/>
  <c r="J56" i="18" l="1"/>
  <c r="G56" i="18"/>
  <c r="G61" i="18"/>
  <c r="G57" i="18"/>
  <c r="D65" i="19"/>
  <c r="D65" i="18"/>
  <c r="J65" i="18" l="1"/>
  <c r="G61" i="19"/>
  <c r="G57" i="19"/>
  <c r="G65" i="18"/>
  <c r="J56" i="19" l="1"/>
  <c r="J65" i="19"/>
  <c r="G56" i="19"/>
  <c r="G65" i="1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Reshelle Fleming</author>
  </authors>
  <commentList>
    <comment ref="V3" authorId="0" shapeId="0" xr:uid="{EF1F6E66-18DD-4077-9D03-81A5E75AC25C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
2:30am</t>
        </r>
      </text>
    </comment>
    <comment ref="V4" authorId="0" shapeId="0" xr:uid="{36C2866C-0128-443E-900A-885D0ED88552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V5" authorId="0" shapeId="0" xr:uid="{C38040F8-D023-429E-B8F5-09C5137BA51C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W5" authorId="0" shapeId="0" xr:uid="{842231B0-DF58-4498-B8AB-6E6315122795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170</t>
        </r>
      </text>
    </comment>
    <comment ref="T6" authorId="0" shapeId="0" xr:uid="{6F888C63-44F1-4C10-BE19-1703D7AA656F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13.4</t>
        </r>
      </text>
    </comment>
    <comment ref="U6" authorId="0" shapeId="0" xr:uid="{30DC34E3-879A-491E-8A28-2320E6267A86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13.6</t>
        </r>
      </text>
    </comment>
    <comment ref="V6" authorId="0" shapeId="0" xr:uid="{388573A8-AFDB-4EC6-8147-E3D5E698611D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165
2:45:50am</t>
        </r>
      </text>
    </comment>
    <comment ref="T7" authorId="0" shapeId="0" xr:uid="{33B133D5-4EE7-48E7-9932-35D5829D8A52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Spec changed in October 2019- Sherilyn</t>
        </r>
      </text>
    </comment>
    <comment ref="V7" authorId="0" shapeId="0" xr:uid="{0313F1B7-8B43-4B82-84C2-5D1CF95A9B45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175
2:55:55am</t>
        </r>
      </text>
    </comment>
    <comment ref="V9" authorId="0" shapeId="0" xr:uid="{EA1037DD-8911-4DFC-A38E-43C64558C9FF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180
3:00:14am</t>
        </r>
      </text>
    </comment>
    <comment ref="K63" authorId="0" shapeId="0" xr:uid="{EF0D0E60-B8D7-4708-80DC-7BF0A8CA0411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No Cacl2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Reshelle Fleming</author>
    <author>Kaylil Baptiste</author>
  </authors>
  <commentList>
    <comment ref="U3" authorId="0" shapeId="0" xr:uid="{3E188C20-160B-4BA1-B9C1-36239B036C9C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
2:30am</t>
        </r>
      </text>
    </comment>
    <comment ref="U4" authorId="0" shapeId="0" xr:uid="{3F1A61DB-4780-4D42-88F5-87D753AD565B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U5" authorId="0" shapeId="0" xr:uid="{0461EDCE-63A7-42A9-99BA-65FD17AE6F57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V5" authorId="0" shapeId="0" xr:uid="{E310A95A-8780-4A39-B608-0D51A600DA8D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170</t>
        </r>
      </text>
    </comment>
    <comment ref="S6" authorId="0" shapeId="0" xr:uid="{F531667F-9F23-430C-9B56-ED982D39404B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13.4</t>
        </r>
      </text>
    </comment>
    <comment ref="T6" authorId="0" shapeId="0" xr:uid="{A889BEC8-72B7-4756-A8DE-DDDA1AC1B41D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13.6</t>
        </r>
      </text>
    </comment>
    <comment ref="U6" authorId="0" shapeId="0" xr:uid="{2CEE31A8-BB38-4044-8120-A9FF099C4EA4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165
2:45:50am</t>
        </r>
      </text>
    </comment>
    <comment ref="S7" authorId="0" shapeId="0" xr:uid="{B1374CFF-9F04-4BB4-9514-AC8DD2646F8A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7" authorId="0" shapeId="0" xr:uid="{A2C5A97F-A1A3-4612-A69F-49FC278B2DF2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175
2:55:55am</t>
        </r>
      </text>
    </comment>
    <comment ref="S9" authorId="1" shapeId="0" xr:uid="{76864A78-D6EC-4ECC-9849-D2D5859BD28D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9" authorId="0" shapeId="0" xr:uid="{1D32940E-7152-4897-805B-746FADACF537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180
3:00:14am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Reshelle Fleming</author>
    <author>Kaylil Baptiste</author>
  </authors>
  <commentList>
    <comment ref="U3" authorId="0" shapeId="0" xr:uid="{BB7FA099-4BC7-4602-A157-ECABA1A8C971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
2:30am</t>
        </r>
      </text>
    </comment>
    <comment ref="U4" authorId="0" shapeId="0" xr:uid="{7A3808C1-B4AE-4C49-80CA-91B97C3EF19A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U5" authorId="0" shapeId="0" xr:uid="{DD9906B1-6475-4DBA-91CC-109B076F4A83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V5" authorId="0" shapeId="0" xr:uid="{E447D31E-9984-4905-B47B-D28CC95945ED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170</t>
        </r>
      </text>
    </comment>
    <comment ref="S6" authorId="0" shapeId="0" xr:uid="{93123264-6A7D-436E-96DF-9BA331DFBE5B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13.4</t>
        </r>
      </text>
    </comment>
    <comment ref="T6" authorId="0" shapeId="0" xr:uid="{F35D0703-3178-43AE-ADF9-903C42103FC4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13.6</t>
        </r>
      </text>
    </comment>
    <comment ref="U6" authorId="0" shapeId="0" xr:uid="{35BA034D-5279-4037-9A35-FBA68F38725A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165
2:45:50am</t>
        </r>
      </text>
    </comment>
    <comment ref="S7" authorId="0" shapeId="0" xr:uid="{0FD8740E-A973-4854-933C-F44B741142CB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7" authorId="0" shapeId="0" xr:uid="{2B1CBE08-6AAB-4085-915D-B43C3DACE564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175
2:55:55am</t>
        </r>
      </text>
    </comment>
    <comment ref="S9" authorId="1" shapeId="0" xr:uid="{70657B2D-8C36-4F51-94E8-C9E0395886AD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9" authorId="0" shapeId="0" xr:uid="{C1E61976-E926-4141-8AE9-D33779CF8E88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180
3:00:14am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Reshelle Fleming</author>
    <author>Kaylil Baptiste</author>
  </authors>
  <commentList>
    <comment ref="U3" authorId="0" shapeId="0" xr:uid="{9D51918E-230E-4D85-9DDE-B4E373A4BD90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
2:30am</t>
        </r>
      </text>
    </comment>
    <comment ref="U4" authorId="0" shapeId="0" xr:uid="{22B88290-7FC2-4ECB-8E1C-5CD1AA74FA7E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U5" authorId="0" shapeId="0" xr:uid="{219999E1-15A8-4E92-AA3C-53F039922B3C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V5" authorId="0" shapeId="0" xr:uid="{06EA424B-FF33-44F7-87A7-332F306ECB14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170</t>
        </r>
      </text>
    </comment>
    <comment ref="S6" authorId="0" shapeId="0" xr:uid="{3B0372DE-4878-423F-8E12-C6E070E68AD8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13.4</t>
        </r>
      </text>
    </comment>
    <comment ref="T6" authorId="0" shapeId="0" xr:uid="{9F8DAF7E-3834-42B3-AF7D-16C05C394B15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13.6</t>
        </r>
      </text>
    </comment>
    <comment ref="U6" authorId="0" shapeId="0" xr:uid="{17F485CB-755D-46E2-B6B8-4967B127EEE0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165
2:45:50am</t>
        </r>
      </text>
    </comment>
    <comment ref="S7" authorId="0" shapeId="0" xr:uid="{39D5B843-936E-4C5B-A567-CF40284F3D7F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7" authorId="0" shapeId="0" xr:uid="{50887CDC-AEA0-45AD-BD86-FFE8DBD84C7F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175
2:55:55am</t>
        </r>
      </text>
    </comment>
    <comment ref="S9" authorId="1" shapeId="0" xr:uid="{D701F75C-B7F4-4BD6-BDEE-D284A9777642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9" authorId="0" shapeId="0" xr:uid="{D5920389-FA7D-47AD-9100-5E6C241BB540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180
3:00:14am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Reshelle Fleming</author>
    <author>Kaylil Baptiste</author>
  </authors>
  <commentList>
    <comment ref="U3" authorId="0" shapeId="0" xr:uid="{AE02B9FE-D7A0-4C1C-90E9-B052859CDFFE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
2:30am</t>
        </r>
      </text>
    </comment>
    <comment ref="U4" authorId="0" shapeId="0" xr:uid="{C56EB10A-6A1C-4485-94C2-FDED0947085A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U5" authorId="0" shapeId="0" xr:uid="{EE136432-8F9F-426E-BA84-5FA2FC008EFD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V5" authorId="0" shapeId="0" xr:uid="{7760BDB3-FE85-4FE4-8373-0BC5F6D40B9E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170</t>
        </r>
      </text>
    </comment>
    <comment ref="S6" authorId="0" shapeId="0" xr:uid="{151973F5-65EB-4B12-BEB7-5AF0E6213142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13.4</t>
        </r>
      </text>
    </comment>
    <comment ref="T6" authorId="0" shapeId="0" xr:uid="{F046E61E-1CC7-4A4C-AA13-912EFDC63E10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13.6</t>
        </r>
      </text>
    </comment>
    <comment ref="U6" authorId="0" shapeId="0" xr:uid="{DC540277-F191-4974-B48B-146329AFB423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165
2:45:50am</t>
        </r>
      </text>
    </comment>
    <comment ref="S7" authorId="0" shapeId="0" xr:uid="{712768F2-5F66-4458-A395-CD076939D053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7" authorId="0" shapeId="0" xr:uid="{9BCD23A0-F353-4B56-B296-0A717FDFC958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175
2:55:55am</t>
        </r>
      </text>
    </comment>
    <comment ref="S9" authorId="1" shapeId="0" xr:uid="{83DFE52D-8793-4310-926D-34A810724112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9" authorId="0" shapeId="0" xr:uid="{1FA7AD97-8375-44E7-964D-9EFA0C80591F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180
3:00:14am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Reshelle Fleming</author>
    <author>Kaylil Baptiste</author>
  </authors>
  <commentList>
    <comment ref="U3" authorId="0" shapeId="0" xr:uid="{E20D81D7-0912-4561-8EAA-C27D0B1745B9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
2:30am</t>
        </r>
      </text>
    </comment>
    <comment ref="U4" authorId="0" shapeId="0" xr:uid="{D15F257E-D906-4176-849C-BC255145637F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U5" authorId="0" shapeId="0" xr:uid="{B86A4BC5-2015-4A78-A133-47690E2287C2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V5" authorId="0" shapeId="0" xr:uid="{9AB88490-5237-44E3-8613-5AB6BB005637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170</t>
        </r>
      </text>
    </comment>
    <comment ref="S6" authorId="0" shapeId="0" xr:uid="{C0278B33-99A9-47E5-B653-54259842FCF5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13.4</t>
        </r>
      </text>
    </comment>
    <comment ref="T6" authorId="0" shapeId="0" xr:uid="{85052291-8137-4AB8-94CA-ABF77C555E67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13.6</t>
        </r>
      </text>
    </comment>
    <comment ref="U6" authorId="0" shapeId="0" xr:uid="{998A8B59-7F33-4A9C-B628-CFD63E1C53CD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165
2:45:50am</t>
        </r>
      </text>
    </comment>
    <comment ref="S7" authorId="0" shapeId="0" xr:uid="{CF285A5E-806B-4AD7-814D-7EA56D7BB740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7" authorId="0" shapeId="0" xr:uid="{D2A12B42-88E3-4F21-A447-12893F0B2D67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175
2:55:55am</t>
        </r>
      </text>
    </comment>
    <comment ref="S9" authorId="1" shapeId="0" xr:uid="{956EC2E4-2B3A-4375-818A-35F416EB59D5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9" authorId="0" shapeId="0" xr:uid="{831B8036-78CD-4914-A2FF-D4F3C35717F8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180
3:00:14am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Reshelle Fleming</author>
    <author>Kaylil Baptiste</author>
  </authors>
  <commentList>
    <comment ref="U3" authorId="0" shapeId="0" xr:uid="{D401A5D5-E668-4D54-8107-FBBD4AD5E121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
2:30am</t>
        </r>
      </text>
    </comment>
    <comment ref="U4" authorId="0" shapeId="0" xr:uid="{8F05EE6E-6F70-4A60-935B-201C1959B176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U5" authorId="0" shapeId="0" xr:uid="{DEC998A8-1F0A-46F5-8F70-0E75E5C95B17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V5" authorId="0" shapeId="0" xr:uid="{3CAD60EE-C958-47D4-87F9-71E81529E9FC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170</t>
        </r>
      </text>
    </comment>
    <comment ref="S6" authorId="0" shapeId="0" xr:uid="{389D0174-08EC-4757-A8FD-FD34F81354D4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13.4</t>
        </r>
      </text>
    </comment>
    <comment ref="T6" authorId="0" shapeId="0" xr:uid="{B6C85079-EFB5-4AE8-9619-5AA50DB2891D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13.6</t>
        </r>
      </text>
    </comment>
    <comment ref="U6" authorId="0" shapeId="0" xr:uid="{FD847FD5-E5F7-406A-841A-4978FB262D18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165
2:45:50am</t>
        </r>
      </text>
    </comment>
    <comment ref="S7" authorId="0" shapeId="0" xr:uid="{313D99F3-5B99-4391-8849-6F1373D21D9B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7" authorId="0" shapeId="0" xr:uid="{0B5CDEB2-37F3-4510-AB87-0FCFF607FB1B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175
2:55:55am</t>
        </r>
      </text>
    </comment>
    <comment ref="S9" authorId="1" shapeId="0" xr:uid="{50529E32-C585-4FF2-8169-94F85A549D03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9" authorId="0" shapeId="0" xr:uid="{6280D9BD-D619-450E-80C5-3F767396F218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180
3:00:14am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Reshelle Fleming</author>
    <author>Kaylil Baptiste</author>
  </authors>
  <commentList>
    <comment ref="U3" authorId="0" shapeId="0" xr:uid="{29965414-C786-407A-B1C8-B594ED74C887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
2:30am</t>
        </r>
      </text>
    </comment>
    <comment ref="U4" authorId="0" shapeId="0" xr:uid="{BB9C2D0D-E0B5-410F-B5CC-38526C046AF0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U5" authorId="0" shapeId="0" xr:uid="{748D0237-4D98-45BF-92F8-5DDFEF68FF14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V5" authorId="0" shapeId="0" xr:uid="{92296DAA-7DE6-49E1-8DE8-882AA70BE4BE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170</t>
        </r>
      </text>
    </comment>
    <comment ref="S6" authorId="0" shapeId="0" xr:uid="{3088ADF6-FF5F-4A32-B288-0D82E749B401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13.4</t>
        </r>
      </text>
    </comment>
    <comment ref="T6" authorId="0" shapeId="0" xr:uid="{51EB8858-12A3-455E-BD9C-25B26ED4035B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13.6</t>
        </r>
      </text>
    </comment>
    <comment ref="U6" authorId="0" shapeId="0" xr:uid="{041A27E1-F00C-4E27-8FF0-DAC805D8D2B3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165
2:45:50am</t>
        </r>
      </text>
    </comment>
    <comment ref="S7" authorId="0" shapeId="0" xr:uid="{EBB2A679-0823-4889-86C7-835B6791CB62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7" authorId="0" shapeId="0" xr:uid="{172B0351-A0A5-4562-8B98-5AEC6508C801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175
2:55:55am</t>
        </r>
      </text>
    </comment>
    <comment ref="S9" authorId="1" shapeId="0" xr:uid="{2ACB87D7-B9BF-4DF0-85BA-9AE2FE540F19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9" authorId="0" shapeId="0" xr:uid="{0650DF01-2E00-497F-8DC2-80948AA60C8F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180
3:00:14am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Reshelle Fleming</author>
    <author>Kaylil Baptiste</author>
  </authors>
  <commentList>
    <comment ref="U3" authorId="0" shapeId="0" xr:uid="{E82C3E04-88EE-4E45-B552-8E05B8286AEA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
2:30am</t>
        </r>
      </text>
    </comment>
    <comment ref="U4" authorId="0" shapeId="0" xr:uid="{E10956D7-3169-4455-BA8C-4E3E49DD275F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U5" authorId="0" shapeId="0" xr:uid="{958E5266-F154-49B2-89A6-8E3F7CD7636E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V5" authorId="0" shapeId="0" xr:uid="{9A2DB85D-1FDA-420D-8C23-7E2703599515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170</t>
        </r>
      </text>
    </comment>
    <comment ref="S6" authorId="0" shapeId="0" xr:uid="{08A0E165-96DF-4067-9522-375E0481B60E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13.4</t>
        </r>
      </text>
    </comment>
    <comment ref="T6" authorId="0" shapeId="0" xr:uid="{0A741304-B6BC-483C-9074-FDBB3AFC356E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13.6</t>
        </r>
      </text>
    </comment>
    <comment ref="U6" authorId="0" shapeId="0" xr:uid="{83FE62A2-176B-496C-9FD7-8A89B98D5EA2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165
2:45:50am</t>
        </r>
      </text>
    </comment>
    <comment ref="S7" authorId="0" shapeId="0" xr:uid="{13D067F1-B9B1-4D65-9748-E8811313A9A8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7" authorId="0" shapeId="0" xr:uid="{38ACA9CA-CA3B-432A-AC0A-D33F16E7077E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175
2:55:55am</t>
        </r>
      </text>
    </comment>
    <comment ref="S9" authorId="1" shapeId="0" xr:uid="{F622B57A-9894-4AF1-8793-95E788F50213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9" authorId="0" shapeId="0" xr:uid="{262D1977-07A0-4444-B045-C2AD0A6877B3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180
3:00:14am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Reshelle Fleming</author>
    <author>Kaylil Baptiste</author>
  </authors>
  <commentList>
    <comment ref="U3" authorId="0" shapeId="0" xr:uid="{0C8F3268-0CBC-4C4F-A21E-871DEECF14DF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
2:30am</t>
        </r>
      </text>
    </comment>
    <comment ref="U4" authorId="0" shapeId="0" xr:uid="{26FD10B3-F85F-4ED3-9D17-D1867DECA151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U5" authorId="0" shapeId="0" xr:uid="{6B32141A-2D7C-4F41-BF5B-F97ADE3B817D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V5" authorId="0" shapeId="0" xr:uid="{49245567-2CC5-4C7F-A087-AFA3D5E23386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170</t>
        </r>
      </text>
    </comment>
    <comment ref="S6" authorId="0" shapeId="0" xr:uid="{2A9CF26E-B492-44A6-97AC-1DCCF992335F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13.4</t>
        </r>
      </text>
    </comment>
    <comment ref="T6" authorId="0" shapeId="0" xr:uid="{2C1E10C3-9355-455F-A637-A819DCC225DA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13.6</t>
        </r>
      </text>
    </comment>
    <comment ref="U6" authorId="0" shapeId="0" xr:uid="{1C15CA45-FAB7-4EC9-BD4C-79ABBC8634F1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165
2:45:50am</t>
        </r>
      </text>
    </comment>
    <comment ref="S7" authorId="0" shapeId="0" xr:uid="{051E7711-D145-41AE-BB56-AC89FF9DD996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7" authorId="0" shapeId="0" xr:uid="{362500C8-89C8-4063-8CD3-9183D2CB8ECE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175
2:55:55am</t>
        </r>
      </text>
    </comment>
    <comment ref="S9" authorId="1" shapeId="0" xr:uid="{6A3EA920-94B6-40B2-AB6D-DFC8782178E5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9" authorId="0" shapeId="0" xr:uid="{94701972-4B68-4706-911F-13E5A0A0C66F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180
3:00:14am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Reshelle Fleming</author>
    <author>Kaylil Baptiste</author>
  </authors>
  <commentList>
    <comment ref="U3" authorId="0" shapeId="0" xr:uid="{3C67970C-342A-42AB-8AF6-37F82E245D96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
2:30am</t>
        </r>
      </text>
    </comment>
    <comment ref="U4" authorId="0" shapeId="0" xr:uid="{F4B1D8FD-1B60-460F-88AC-E7C8F8571EEF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U5" authorId="0" shapeId="0" xr:uid="{E8CE3760-8965-4F53-9A4B-CCF763B14C51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V5" authorId="0" shapeId="0" xr:uid="{D2FDF9F6-57C8-4B5C-AE18-ABA218861CB7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170</t>
        </r>
      </text>
    </comment>
    <comment ref="S6" authorId="0" shapeId="0" xr:uid="{2CB3D69C-22FF-47A0-962D-3EB4481B6AE7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13.4</t>
        </r>
      </text>
    </comment>
    <comment ref="T6" authorId="0" shapeId="0" xr:uid="{84D3414F-8EDC-4542-921D-941A616AC05E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13.6</t>
        </r>
      </text>
    </comment>
    <comment ref="U6" authorId="0" shapeId="0" xr:uid="{35FC1633-4FD6-4254-820F-D68DB7462F81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165
2:45:50am</t>
        </r>
      </text>
    </comment>
    <comment ref="S7" authorId="0" shapeId="0" xr:uid="{9DEF5325-EDB2-478B-8D0E-2668BA721EAC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7" authorId="0" shapeId="0" xr:uid="{E591C33C-8372-48A2-9D75-CC2B5B777E7D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175
2:55:55am</t>
        </r>
      </text>
    </comment>
    <comment ref="S9" authorId="1" shapeId="0" xr:uid="{6611A546-D4A1-4ACF-B379-62B4DC17D431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9" authorId="0" shapeId="0" xr:uid="{A967A777-1C1B-4178-90DC-363E769FD8EF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180
3:00:14am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Reshelle Fleming</author>
    <author>Kaylil Baptiste</author>
  </authors>
  <commentList>
    <comment ref="U3" authorId="0" shapeId="0" xr:uid="{55D4EC10-C484-4362-851E-E4869108AF75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
2:30am</t>
        </r>
      </text>
    </comment>
    <comment ref="U4" authorId="0" shapeId="0" xr:uid="{BFC99E51-C94E-4B50-8843-F7226DA9FAE0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U5" authorId="0" shapeId="0" xr:uid="{487DB424-6A2F-48B6-A519-9B5F4EFDEE0A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V5" authorId="0" shapeId="0" xr:uid="{78BCDAFF-D59E-4A53-9638-61B9A0B76974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170</t>
        </r>
      </text>
    </comment>
    <comment ref="S6" authorId="0" shapeId="0" xr:uid="{98EC6F03-E266-4162-91F4-586D76757DDD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13.4</t>
        </r>
      </text>
    </comment>
    <comment ref="T6" authorId="0" shapeId="0" xr:uid="{D12EBAF0-37EE-43E2-9FE1-8401208784DB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13.6</t>
        </r>
      </text>
    </comment>
    <comment ref="U6" authorId="0" shapeId="0" xr:uid="{9B76BB3C-266A-4E01-98F8-BF84EA37E3AE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165
2:45:50am</t>
        </r>
      </text>
    </comment>
    <comment ref="S7" authorId="0" shapeId="0" xr:uid="{8D23FDFE-509A-4445-BCEA-1DDD6BDE8C7A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7" authorId="0" shapeId="0" xr:uid="{5ABFEB37-26AE-4107-9F1D-9CBBB73AF301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175
2:55:55am</t>
        </r>
      </text>
    </comment>
    <comment ref="S9" authorId="1" shapeId="0" xr:uid="{07DBA186-BAC2-4604-9A19-2016E33F8855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9" authorId="0" shapeId="0" xr:uid="{B6646920-D2E3-4AC9-8474-9B5FE373C250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180
3:00:14am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Reshelle Fleming</author>
    <author>Kaylil Baptiste</author>
  </authors>
  <commentList>
    <comment ref="U3" authorId="0" shapeId="0" xr:uid="{7D522047-FF59-4633-8AB5-5D8877850806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
2:30am</t>
        </r>
      </text>
    </comment>
    <comment ref="U4" authorId="0" shapeId="0" xr:uid="{7F0F8025-7CB2-4BB6-B0FC-4029E04DB20D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U5" authorId="0" shapeId="0" xr:uid="{CE5FF46B-F59E-493B-84B5-443736740664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V5" authorId="0" shapeId="0" xr:uid="{ED556E1C-327E-4CFF-87AE-88698B0AFD55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170</t>
        </r>
      </text>
    </comment>
    <comment ref="S6" authorId="0" shapeId="0" xr:uid="{E0B630B1-89A2-4217-8E85-FA4557A04753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13.4</t>
        </r>
      </text>
    </comment>
    <comment ref="T6" authorId="0" shapeId="0" xr:uid="{E78EC149-4967-4D8D-B50C-078FCDCF20A3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13.6</t>
        </r>
      </text>
    </comment>
    <comment ref="U6" authorId="0" shapeId="0" xr:uid="{9F09A65D-CA58-4DC7-9405-95936A9EE046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165
2:45:50am</t>
        </r>
      </text>
    </comment>
    <comment ref="S7" authorId="0" shapeId="0" xr:uid="{7258F539-7AAD-4DEF-9316-7105B0624792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7" authorId="0" shapeId="0" xr:uid="{8A3E10C5-3E59-4938-8C0B-6ABC1D209445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175
2:55:55am</t>
        </r>
      </text>
    </comment>
    <comment ref="S9" authorId="1" shapeId="0" xr:uid="{4A99F227-ADC1-405B-B87C-CEB5922C0DDE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9" authorId="0" shapeId="0" xr:uid="{B6E581DC-4EFC-46CC-8A19-D5890919844D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180
3:00:14am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Reshelle Fleming</author>
    <author>Kaylil Baptiste</author>
  </authors>
  <commentList>
    <comment ref="U3" authorId="0" shapeId="0" xr:uid="{8C346745-2D3E-4446-AC23-02C7E6B9BEAD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
2:30am</t>
        </r>
      </text>
    </comment>
    <comment ref="U4" authorId="0" shapeId="0" xr:uid="{4E911CA8-5C16-47D1-AAE2-5A4C119AE7B2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U5" authorId="0" shapeId="0" xr:uid="{3AA86C14-4288-499C-A53B-419EBF56CE92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V5" authorId="0" shapeId="0" xr:uid="{60926524-1FEE-446D-BC4B-311804323167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170</t>
        </r>
      </text>
    </comment>
    <comment ref="S6" authorId="0" shapeId="0" xr:uid="{22B392F4-CB8D-4F45-B041-D08AF9102937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13.4</t>
        </r>
      </text>
    </comment>
    <comment ref="T6" authorId="0" shapeId="0" xr:uid="{9D3FBD65-6634-4743-BDAC-9E3117FC7AA4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13.6</t>
        </r>
      </text>
    </comment>
    <comment ref="U6" authorId="0" shapeId="0" xr:uid="{AA2B3992-451E-46E1-9181-8C9528946ADA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165
2:45:50am</t>
        </r>
      </text>
    </comment>
    <comment ref="S7" authorId="0" shapeId="0" xr:uid="{C4F14063-7801-4091-B042-639ADA8A723A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7" authorId="0" shapeId="0" xr:uid="{3EE54700-5C36-4D05-9A81-701E0F926EDC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175
2:55:55am</t>
        </r>
      </text>
    </comment>
    <comment ref="S9" authorId="1" shapeId="0" xr:uid="{97BBC0FE-D871-49E8-A2FA-9984C683A24B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9" authorId="0" shapeId="0" xr:uid="{4D6E6967-CAF1-451E-A5F7-244EE4EB58F7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180
3:00:14am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Reshelle Fleming</author>
    <author>Kaylil Baptiste</author>
  </authors>
  <commentList>
    <comment ref="U3" authorId="0" shapeId="0" xr:uid="{529C79F5-0892-4B8B-8978-1D252C34EA4C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
2:30am</t>
        </r>
      </text>
    </comment>
    <comment ref="U4" authorId="0" shapeId="0" xr:uid="{7FBBFEAC-07A5-4151-997B-C75E1473379E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U5" authorId="0" shapeId="0" xr:uid="{5C241697-FA8C-4E3A-893E-6D4D59CF2650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V5" authorId="0" shapeId="0" xr:uid="{809CB03D-BF30-44FD-AB61-D363F4755342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170</t>
        </r>
      </text>
    </comment>
    <comment ref="S6" authorId="0" shapeId="0" xr:uid="{7D1201A9-6A0C-4D1B-B789-662AC09201A4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13.4</t>
        </r>
      </text>
    </comment>
    <comment ref="T6" authorId="0" shapeId="0" xr:uid="{33834228-8E72-4B0C-9D22-880B0F212897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13.6</t>
        </r>
      </text>
    </comment>
    <comment ref="U6" authorId="0" shapeId="0" xr:uid="{8AE80040-7F8A-4CD3-A24E-663E792C3D24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165
2:45:50am</t>
        </r>
      </text>
    </comment>
    <comment ref="S7" authorId="0" shapeId="0" xr:uid="{EC867A97-278C-40B1-8AFF-3B9054202351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7" authorId="0" shapeId="0" xr:uid="{056C47DF-B707-47B1-BA6C-892A430A5255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175
2:55:55am</t>
        </r>
      </text>
    </comment>
    <comment ref="S9" authorId="1" shapeId="0" xr:uid="{DDBE59E3-357D-4D8F-9FF5-7EBF0EA4C62C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9" authorId="0" shapeId="0" xr:uid="{DEF1B2C5-7447-47C0-A311-E7B973F084DF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180
3:00:14am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Reshelle Fleming</author>
    <author>Kaylil Baptiste</author>
  </authors>
  <commentList>
    <comment ref="U3" authorId="0" shapeId="0" xr:uid="{273E8C75-51F2-4A66-83C3-5594990F3270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
2:30am</t>
        </r>
      </text>
    </comment>
    <comment ref="U4" authorId="0" shapeId="0" xr:uid="{1748A5BF-B5B8-4F38-AB77-811DA175C1EE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U5" authorId="0" shapeId="0" xr:uid="{CC003B98-834A-4479-BAED-CED66C8E8EBE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V5" authorId="0" shapeId="0" xr:uid="{6EB3CE06-FE88-4D35-B920-5259EB524085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170</t>
        </r>
      </text>
    </comment>
    <comment ref="S6" authorId="0" shapeId="0" xr:uid="{20CE1E63-5537-422B-B771-F711F20A8439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13.4</t>
        </r>
      </text>
    </comment>
    <comment ref="T6" authorId="0" shapeId="0" xr:uid="{D109E89E-6281-4213-8393-6CE1CB4E71CE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13.6</t>
        </r>
      </text>
    </comment>
    <comment ref="U6" authorId="0" shapeId="0" xr:uid="{BD4C81B6-D691-403A-9EC9-B5C5B550905D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165
2:45:50am</t>
        </r>
      </text>
    </comment>
    <comment ref="S7" authorId="0" shapeId="0" xr:uid="{EB12E662-D729-4F71-9C5B-C497BE4FB809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7" authorId="0" shapeId="0" xr:uid="{A222ADA6-8427-4149-B6FF-A6A94E51E776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175
2:55:55am</t>
        </r>
      </text>
    </comment>
    <comment ref="S9" authorId="1" shapeId="0" xr:uid="{5213FA09-0FEE-43DE-88B1-481B0A41979B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9" authorId="0" shapeId="0" xr:uid="{3355A62A-101C-4850-95B9-14EF14727A79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180
3:00:14am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Reshelle Fleming</author>
    <author>Kaylil Baptiste</author>
  </authors>
  <commentList>
    <comment ref="U3" authorId="0" shapeId="0" xr:uid="{4A3B436A-ACD9-42DA-BA69-8B91A3A3C48F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
2:30am</t>
        </r>
      </text>
    </comment>
    <comment ref="U4" authorId="0" shapeId="0" xr:uid="{8AAB863C-B104-4C92-AA58-523C936CF77F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U5" authorId="0" shapeId="0" xr:uid="{142C5116-4131-4A14-9744-BEDB7B9D91D5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V5" authorId="0" shapeId="0" xr:uid="{2BA0A9B5-DCE4-4CC4-90B7-0119FDB4038A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170</t>
        </r>
      </text>
    </comment>
    <comment ref="S6" authorId="0" shapeId="0" xr:uid="{3C0F0778-4599-4D2C-855F-16F294CA6722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13.4</t>
        </r>
      </text>
    </comment>
    <comment ref="T6" authorId="0" shapeId="0" xr:uid="{FEF54464-DF70-442D-90E1-980E205B6E9E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13.6</t>
        </r>
      </text>
    </comment>
    <comment ref="U6" authorId="0" shapeId="0" xr:uid="{5FD20020-1D29-4E7B-B067-85DBA38AC5EE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165
2:45:50am</t>
        </r>
      </text>
    </comment>
    <comment ref="S7" authorId="0" shapeId="0" xr:uid="{47D87392-81D3-4050-B79A-61FC43C4EC1D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7" authorId="0" shapeId="0" xr:uid="{2CC288DB-D6AD-4E6B-8A06-E3C00704698E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175
2:55:55am</t>
        </r>
      </text>
    </comment>
    <comment ref="S9" authorId="1" shapeId="0" xr:uid="{7F145C52-2DB4-43DC-8C25-A92E2D32D0EC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9" authorId="0" shapeId="0" xr:uid="{E3A49BCC-4800-4B3B-A064-5210C406E8F3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180
3:00:14am</t>
        </r>
      </text>
    </comment>
    <comment ref="K36" authorId="1" shapeId="0" xr:uid="{F3604F7A-5F0C-4502-826E-363E60FA352C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TANK AVAILABLITY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Reshelle Fleming</author>
    <author>Kaylil Baptiste</author>
  </authors>
  <commentList>
    <comment ref="U3" authorId="0" shapeId="0" xr:uid="{F99E55DA-886C-4D00-83CA-703493A17FB1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
2:30am</t>
        </r>
      </text>
    </comment>
    <comment ref="U4" authorId="0" shapeId="0" xr:uid="{56146A4F-CD59-4D62-9517-9A108DB0B6F4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U5" authorId="0" shapeId="0" xr:uid="{A448A160-2A60-4227-BB58-E701BA81507C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V5" authorId="0" shapeId="0" xr:uid="{DDC94943-B6BE-4E60-891A-950080A0D209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170</t>
        </r>
      </text>
    </comment>
    <comment ref="S6" authorId="0" shapeId="0" xr:uid="{62407125-A686-49C3-A582-9821FA15F72A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13.4</t>
        </r>
      </text>
    </comment>
    <comment ref="T6" authorId="0" shapeId="0" xr:uid="{5F19C1B1-9D0C-4D58-87CE-6A1D8DCD2369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13.6</t>
        </r>
      </text>
    </comment>
    <comment ref="U6" authorId="0" shapeId="0" xr:uid="{3946B9A5-3192-4604-A424-77E67F0D83D4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165
2:45:50am</t>
        </r>
      </text>
    </comment>
    <comment ref="S7" authorId="0" shapeId="0" xr:uid="{63CC8BF7-93B9-41BF-BE47-898FDE31F127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7" authorId="0" shapeId="0" xr:uid="{EEB28224-EDF9-4B42-B1CF-484067C31DF0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175
2:55:55am</t>
        </r>
      </text>
    </comment>
    <comment ref="S9" authorId="1" shapeId="0" xr:uid="{D7E7AD21-F40F-4CCD-B281-3170C12E8C69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9" authorId="0" shapeId="0" xr:uid="{7FB45D10-484D-4685-AE27-BB77B20D2FC6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180
3:00:14am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Reshelle Fleming</author>
    <author>Kaylil Baptiste</author>
  </authors>
  <commentList>
    <comment ref="U3" authorId="0" shapeId="0" xr:uid="{AAC0F056-021A-4F4F-B08F-10FDC071F1B1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
2:30am</t>
        </r>
      </text>
    </comment>
    <comment ref="U4" authorId="0" shapeId="0" xr:uid="{B31FE5DF-793F-4DC3-84C7-49887F646ECE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U5" authorId="0" shapeId="0" xr:uid="{B1A02BA9-93CC-4FE5-A3E8-9ECC7AB9A17E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V5" authorId="0" shapeId="0" xr:uid="{4DFD9991-66B1-4905-8FFC-BEF7BA079C3E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170</t>
        </r>
      </text>
    </comment>
    <comment ref="S6" authorId="0" shapeId="0" xr:uid="{3A9885D2-AE52-4223-B9A6-D40995DFCD82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13.4</t>
        </r>
      </text>
    </comment>
    <comment ref="T6" authorId="0" shapeId="0" xr:uid="{A5A03DD5-9CCC-4F28-ACC8-EC57C722713C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13.6</t>
        </r>
      </text>
    </comment>
    <comment ref="U6" authorId="0" shapeId="0" xr:uid="{2A0E6522-071D-4BEA-B469-52160CA2D0BA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165
2:45:50am</t>
        </r>
      </text>
    </comment>
    <comment ref="S7" authorId="0" shapeId="0" xr:uid="{623226C2-69C5-4C82-8CD8-91837BC354EE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7" authorId="0" shapeId="0" xr:uid="{D90D3B0F-774B-4624-BC53-DC9806C1E3B7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175
2:55:55am</t>
        </r>
      </text>
    </comment>
    <comment ref="S9" authorId="1" shapeId="0" xr:uid="{8B2085A4-FF0C-416D-AFCE-543E25FA2A16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9" authorId="0" shapeId="0" xr:uid="{EAEE0726-4884-4B10-9A50-627A0C271538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180
3:00:14am</t>
        </r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Reshelle Fleming</author>
    <author>Kaylil Baptiste</author>
  </authors>
  <commentList>
    <comment ref="U3" authorId="0" shapeId="0" xr:uid="{AD1059E2-CEA0-42BA-9229-6A5AF0E8432A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
2:30am</t>
        </r>
      </text>
    </comment>
    <comment ref="U4" authorId="0" shapeId="0" xr:uid="{F86306C7-DFF4-4C7A-B2F2-3582F967D303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U5" authorId="0" shapeId="0" xr:uid="{B22811EF-BD53-46DA-9032-70CEE2D63A37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V5" authorId="0" shapeId="0" xr:uid="{38400205-65D3-42A7-996F-3542C1ECB63E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170</t>
        </r>
      </text>
    </comment>
    <comment ref="S6" authorId="0" shapeId="0" xr:uid="{0C64311A-3537-4B18-B97D-364D6B8B1C69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13.4</t>
        </r>
      </text>
    </comment>
    <comment ref="T6" authorId="0" shapeId="0" xr:uid="{778F14D2-5D1B-49C2-AB79-48CBC6EB506F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13.6</t>
        </r>
      </text>
    </comment>
    <comment ref="U6" authorId="0" shapeId="0" xr:uid="{8B255AA8-8852-4416-B33E-B749BBB8405C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165
2:45:50am</t>
        </r>
      </text>
    </comment>
    <comment ref="S7" authorId="0" shapeId="0" xr:uid="{AB06FFF3-10A0-41F8-86DD-96BB08016756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7" authorId="0" shapeId="0" xr:uid="{7D6B2FCA-3271-4A52-9646-24A05AB71CA2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175
2:55:55am</t>
        </r>
      </text>
    </comment>
    <comment ref="S9" authorId="1" shapeId="0" xr:uid="{A0C75FFE-519D-4E34-AE9B-62BF23A67A78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9" authorId="0" shapeId="0" xr:uid="{95207425-374E-4C17-A37C-5FFAEF6322CC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180
3:00:14am</t>
        </r>
      </text>
    </comment>
  </commentList>
</comments>
</file>

<file path=xl/comments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Reshelle Fleming</author>
    <author>Kaylil Baptiste</author>
  </authors>
  <commentList>
    <comment ref="U3" authorId="0" shapeId="0" xr:uid="{22C36B49-38E2-4A04-A85E-5039E21CF121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
2:30am</t>
        </r>
      </text>
    </comment>
    <comment ref="U4" authorId="0" shapeId="0" xr:uid="{F32261D0-EE2B-43BB-B8C8-A9D60B3FAEA9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U5" authorId="0" shapeId="0" xr:uid="{C4A1DD00-EF7B-4261-BA2A-4F73E8957B5B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V5" authorId="0" shapeId="0" xr:uid="{64A7D181-4082-4225-9914-9675AC21D302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170</t>
        </r>
      </text>
    </comment>
    <comment ref="S6" authorId="0" shapeId="0" xr:uid="{ED6361AA-AB19-4281-9C18-51C3B448924A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13.4</t>
        </r>
      </text>
    </comment>
    <comment ref="T6" authorId="0" shapeId="0" xr:uid="{BB256AAE-0EED-4D97-9B9D-07EC75DC047E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13.6</t>
        </r>
      </text>
    </comment>
    <comment ref="U6" authorId="0" shapeId="0" xr:uid="{30B0C3F2-9423-4478-8717-37CC15A4B466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165
2:45:50am</t>
        </r>
      </text>
    </comment>
    <comment ref="S7" authorId="0" shapeId="0" xr:uid="{830348CA-F615-46A3-9820-5C3E0CDBDD22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7" authorId="0" shapeId="0" xr:uid="{8CFBD03E-F5FB-4183-ABBD-D0EBC2F84B80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175
2:55:55am</t>
        </r>
      </text>
    </comment>
    <comment ref="S9" authorId="1" shapeId="0" xr:uid="{70FA0D1C-6851-4515-9D81-A553324D4FC5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9" authorId="0" shapeId="0" xr:uid="{9E6D2513-A386-4461-9F2E-8953979BF5A7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180
3:00:14am</t>
        </r>
      </text>
    </comment>
  </commentList>
</comments>
</file>

<file path=xl/comments2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Reshelle Fleming</author>
    <author>Kaylil Baptiste</author>
  </authors>
  <commentList>
    <comment ref="U3" authorId="0" shapeId="0" xr:uid="{4F6F6B77-B0CA-47D5-B9D4-6E2CD0C035FA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
2:30am</t>
        </r>
      </text>
    </comment>
    <comment ref="U4" authorId="0" shapeId="0" xr:uid="{6B4C6062-5241-47D8-A494-0E7615EAAB55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U5" authorId="0" shapeId="0" xr:uid="{114CF5E3-C5E2-4AAC-9FC0-05ECF36E1C5D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V5" authorId="0" shapeId="0" xr:uid="{17E8372B-BB9D-4D43-91A0-302192F2274F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170</t>
        </r>
      </text>
    </comment>
    <comment ref="S6" authorId="0" shapeId="0" xr:uid="{4BE4E934-A827-412F-94E3-AE83DCF1EA9C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13.4</t>
        </r>
      </text>
    </comment>
    <comment ref="T6" authorId="0" shapeId="0" xr:uid="{EEDE0895-A36F-4739-A66B-520AB5BFEBA9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13.6</t>
        </r>
      </text>
    </comment>
    <comment ref="U6" authorId="0" shapeId="0" xr:uid="{F60DCF41-2B90-41D9-83E5-59ABBA8E2D36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165
2:45:50am</t>
        </r>
      </text>
    </comment>
    <comment ref="S7" authorId="0" shapeId="0" xr:uid="{B2843B39-22BD-46E7-89F2-98627980AC48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7" authorId="0" shapeId="0" xr:uid="{6D66D4FA-702E-435B-8869-87846315C8D8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175
2:55:55am</t>
        </r>
      </text>
    </comment>
    <comment ref="S9" authorId="1" shapeId="0" xr:uid="{2E6FE7B8-2073-4CCC-9AB3-A3598F510659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9" authorId="0" shapeId="0" xr:uid="{F182AAB9-2EA6-490F-BC35-8FCFC2F0056A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180
3:00:14am</t>
        </r>
      </text>
    </comment>
  </commentList>
</comments>
</file>

<file path=xl/comments2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Kaylil Baptiste</author>
  </authors>
  <commentList>
    <comment ref="G42" authorId="0" shapeId="0" xr:uid="{D8E8AFA0-D691-4A54-AD3E-8CFCB2EDDCE7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2days</t>
        </r>
      </text>
    </comment>
    <comment ref="D45" authorId="0" shapeId="0" xr:uid="{FF1551A6-B51A-4CE8-B073-D15FFA344B45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Brewed for 5days</t>
        </r>
      </text>
    </comment>
  </commentList>
</comments>
</file>

<file path=xl/sharedStrings.xml><?xml version="1.0" encoding="utf-8"?>
<sst xmlns="http://schemas.openxmlformats.org/spreadsheetml/2006/main" count="3175" uniqueCount="186">
  <si>
    <t>P.G.</t>
  </si>
  <si>
    <t>Hot Time</t>
  </si>
  <si>
    <t>Process Time</t>
  </si>
  <si>
    <t>Brewing Department Daily Process Loss Report</t>
  </si>
  <si>
    <t>Lower</t>
  </si>
  <si>
    <t>Upper</t>
  </si>
  <si>
    <t>CARIB</t>
  </si>
  <si>
    <t>Date:</t>
  </si>
  <si>
    <r>
      <t xml:space="preserve">Filter Sheets </t>
    </r>
    <r>
      <rPr>
        <b/>
        <i/>
        <sz val="9"/>
        <rFont val="Arial"/>
        <family val="2"/>
      </rPr>
      <t xml:space="preserve">(Target </t>
    </r>
    <r>
      <rPr>
        <b/>
        <i/>
        <u/>
        <sz val="9"/>
        <rFont val="Arial"/>
        <family val="2"/>
      </rPr>
      <t>20</t>
    </r>
    <r>
      <rPr>
        <b/>
        <i/>
        <sz val="9"/>
        <rFont val="Arial"/>
        <family val="2"/>
      </rPr>
      <t xml:space="preserve"> days)</t>
    </r>
  </si>
  <si>
    <t>STAG</t>
  </si>
  <si>
    <t>Double</t>
  </si>
  <si>
    <t>Single</t>
  </si>
  <si>
    <t>GUINNESS</t>
  </si>
  <si>
    <t>Brewhouse:</t>
  </si>
  <si>
    <t>Sheet Day</t>
  </si>
  <si>
    <t>MACKESON</t>
  </si>
  <si>
    <t>STARMALT</t>
  </si>
  <si>
    <t>Brand</t>
  </si>
  <si>
    <t>Brew no.</t>
  </si>
  <si>
    <t>Kett. Hls</t>
  </si>
  <si>
    <t>Wort</t>
  </si>
  <si>
    <t>Cool Time(Mins)</t>
  </si>
  <si>
    <t>Cast. P.G. (Lab Result)</t>
  </si>
  <si>
    <t>Theor. Extr. (77.5%)</t>
  </si>
  <si>
    <t xml:space="preserve"> Boil Time</t>
  </si>
  <si>
    <t>Total Hot</t>
  </si>
  <si>
    <t>Brewing</t>
  </si>
  <si>
    <t>Operator</t>
  </si>
  <si>
    <t>Comments</t>
  </si>
  <si>
    <t>MAXIMALT</t>
  </si>
  <si>
    <t>Meter (Hls)</t>
  </si>
  <si>
    <t>Target(&lt; 60Mins)</t>
  </si>
  <si>
    <t>Time</t>
  </si>
  <si>
    <t>VITAMALT</t>
  </si>
  <si>
    <t>EXTRACT RECOVERY</t>
  </si>
  <si>
    <t>BBT P.G./ O.G</t>
  </si>
  <si>
    <t>Actual</t>
  </si>
  <si>
    <t>MTD</t>
  </si>
  <si>
    <t>YTD</t>
  </si>
  <si>
    <t>Target</t>
  </si>
  <si>
    <t>GUINN</t>
  </si>
  <si>
    <t xml:space="preserve"> </t>
  </si>
  <si>
    <t>Process:</t>
  </si>
  <si>
    <t>Fermentation/Filtration</t>
  </si>
  <si>
    <t>Filt. Date</t>
  </si>
  <si>
    <t>FV Hls</t>
  </si>
  <si>
    <t xml:space="preserve">GFE/ Prim/ Vita Blend (Hls) </t>
  </si>
  <si>
    <t>SV Hls</t>
  </si>
  <si>
    <t>BBT Hls</t>
  </si>
  <si>
    <t xml:space="preserve"> Loss (%) Ferm</t>
  </si>
  <si>
    <t xml:space="preserve"> Loss (%) Filt</t>
  </si>
  <si>
    <t>Throughput</t>
  </si>
  <si>
    <t>Process Loss (%)</t>
  </si>
  <si>
    <t>Filt. Operator</t>
  </si>
  <si>
    <t>hls</t>
  </si>
  <si>
    <t>Process Loss (Volume)</t>
  </si>
  <si>
    <t>Process Loss (Extract)</t>
  </si>
  <si>
    <t>:</t>
  </si>
  <si>
    <t>Process Department Daily Loss Report</t>
  </si>
  <si>
    <t>Date</t>
  </si>
  <si>
    <t>1st Run</t>
  </si>
  <si>
    <r>
      <t xml:space="preserve">Extr. Rec </t>
    </r>
    <r>
      <rPr>
        <b/>
        <sz val="9"/>
        <rFont val="Arial"/>
        <family val="2"/>
      </rPr>
      <t>(79.5%)</t>
    </r>
  </si>
  <si>
    <r>
      <t xml:space="preserve">Theor. Extr. </t>
    </r>
    <r>
      <rPr>
        <b/>
        <sz val="9"/>
        <rFont val="Arial"/>
        <family val="2"/>
      </rPr>
      <t>(</t>
    </r>
    <r>
      <rPr>
        <b/>
        <i/>
        <sz val="9"/>
        <rFont val="Arial"/>
        <family val="2"/>
      </rPr>
      <t>77.5</t>
    </r>
    <r>
      <rPr>
        <b/>
        <sz val="9"/>
        <rFont val="Arial"/>
        <family val="2"/>
      </rPr>
      <t>%)</t>
    </r>
  </si>
  <si>
    <t>Target(65Mins)</t>
  </si>
  <si>
    <t>Carib</t>
  </si>
  <si>
    <t>.</t>
  </si>
  <si>
    <t>Cooling Temperatures</t>
  </si>
  <si>
    <t>RU 5</t>
  </si>
  <si>
    <t>Brew No.</t>
  </si>
  <si>
    <t>Alcohol Temp.</t>
  </si>
  <si>
    <t>Start</t>
  </si>
  <si>
    <t>End</t>
  </si>
  <si>
    <t>Stag</t>
  </si>
  <si>
    <t>Guinn</t>
  </si>
  <si>
    <t>Vitamalt</t>
  </si>
  <si>
    <t>Maximalt</t>
  </si>
  <si>
    <t>Mackeson</t>
  </si>
  <si>
    <t>MaltaCarib</t>
  </si>
  <si>
    <t>Filtration</t>
  </si>
  <si>
    <t>GFE/ Prim</t>
  </si>
  <si>
    <t>Without VitaMalt adjustment</t>
  </si>
  <si>
    <t>Filtration Throughput</t>
  </si>
  <si>
    <t>StarMalt</t>
  </si>
  <si>
    <t>Bad Dog</t>
  </si>
  <si>
    <t>TARGET</t>
  </si>
  <si>
    <t>BRANDS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</si>
  <si>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</si>
  <si>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</si>
  <si>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</si>
  <si>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</si>
  <si>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</si>
  <si>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</si>
  <si>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</si>
  <si>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</si>
  <si>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</si>
  <si>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</si>
  <si>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Guinness</t>
  </si>
  <si>
    <t xml:space="preserve">Maximalt </t>
  </si>
  <si>
    <t>Star Malt</t>
  </si>
  <si>
    <t>OVERALL</t>
  </si>
  <si>
    <t>PROCESS VOLUME LOSSES</t>
  </si>
  <si>
    <t>PROCESS VOLUME EXTRACT</t>
  </si>
  <si>
    <t xml:space="preserve">BREWER PERFORMANCE MTD </t>
  </si>
  <si>
    <t>NAME</t>
  </si>
  <si>
    <t>LAST BREW</t>
  </si>
  <si>
    <t>KEIRAN BENJAMIN</t>
  </si>
  <si>
    <t>JOHNNY GREENIDGE</t>
  </si>
  <si>
    <t>JAMES GRANT</t>
  </si>
  <si>
    <t>RODNEY REGIS</t>
  </si>
  <si>
    <t xml:space="preserve">    OVERALL MONTHLY PROGRESSION</t>
  </si>
  <si>
    <t>TARGET OF 98%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</si>
  <si>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</si>
  <si>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</si>
  <si>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</si>
  <si>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</si>
  <si>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</si>
  <si>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</si>
  <si>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</si>
  <si>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</si>
  <si>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</si>
  <si>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</si>
  <si>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</si>
  <si>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</si>
  <si>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MONTHLY PROGESSION GRAPH</t>
  </si>
  <si>
    <t>Cooling  Time</t>
  </si>
  <si>
    <t>Hurricane Reef</t>
  </si>
  <si>
    <t>Actual Pilsen Malt</t>
  </si>
  <si>
    <t>HURRICANE REEF</t>
  </si>
  <si>
    <t>HR</t>
  </si>
  <si>
    <t>Daily Brewing Plan</t>
  </si>
  <si>
    <t>Total</t>
  </si>
  <si>
    <t>CARIBE</t>
  </si>
  <si>
    <t>DESEAN EMERY</t>
  </si>
  <si>
    <t xml:space="preserve">Date: </t>
  </si>
  <si>
    <t xml:space="preserve">HR- PILSNER </t>
  </si>
  <si>
    <t>HR- PISNER</t>
  </si>
  <si>
    <t>Average Brews per day</t>
  </si>
  <si>
    <t>HR- P</t>
  </si>
  <si>
    <t>MTD No. of Brews</t>
  </si>
  <si>
    <t xml:space="preserve">AVERAGE </t>
  </si>
  <si>
    <t xml:space="preserve">GEMMON MASON </t>
  </si>
  <si>
    <t>CAMULUS PHILLIP</t>
  </si>
  <si>
    <t>Boil Off /Vol.  (4-6%)</t>
  </si>
  <si>
    <t xml:space="preserve">      MTD GRAPH OCTOBER 2022</t>
  </si>
  <si>
    <t>Cast P.G. (Cellar Operator)-gravity</t>
  </si>
  <si>
    <t>BRAND</t>
  </si>
  <si>
    <t xml:space="preserve">Actual </t>
  </si>
  <si>
    <t xml:space="preserve">Brews Achieved </t>
  </si>
  <si>
    <t>HURRICANE REEF- APA</t>
  </si>
  <si>
    <t>HURRICANE REEF- IPA</t>
  </si>
  <si>
    <t>NO BREAK</t>
  </si>
  <si>
    <t xml:space="preserve"> MALT LOT: Lot 8</t>
  </si>
  <si>
    <t>Extr. Rec (79.1%)</t>
  </si>
  <si>
    <t>LOT WORT COLOUR: 3.4</t>
  </si>
  <si>
    <t xml:space="preserve">K.Hosten </t>
  </si>
  <si>
    <t xml:space="preserve">Operator </t>
  </si>
  <si>
    <t>HR- APA</t>
  </si>
  <si>
    <t>HR- IPA</t>
  </si>
  <si>
    <t>HR- Pils</t>
  </si>
  <si>
    <t>HR PILS</t>
  </si>
  <si>
    <t>HR APA</t>
  </si>
  <si>
    <t>HURRICANE REEF PILS</t>
  </si>
  <si>
    <t xml:space="preserve">BRAND </t>
  </si>
  <si>
    <t>IPA</t>
  </si>
  <si>
    <t>APA</t>
  </si>
  <si>
    <t xml:space="preserve">  </t>
  </si>
  <si>
    <t>Brewing Time</t>
  </si>
  <si>
    <t>Extr. Rec (78%)</t>
  </si>
  <si>
    <t xml:space="preserve"> MALT LOT: Lot #15</t>
  </si>
  <si>
    <t>3 SBF</t>
  </si>
  <si>
    <t>K. Neptune</t>
  </si>
  <si>
    <t>4 SBF</t>
  </si>
  <si>
    <t>Wort kettle pump problems</t>
  </si>
  <si>
    <t>D. Emery</t>
  </si>
  <si>
    <t>NO SBF</t>
  </si>
  <si>
    <t>T.Charles</t>
  </si>
  <si>
    <t>K. Hosten</t>
  </si>
  <si>
    <t>1 SBF</t>
  </si>
  <si>
    <t>G. Mason</t>
  </si>
  <si>
    <t>R. Regis</t>
  </si>
  <si>
    <t>5 SBF</t>
  </si>
  <si>
    <t>J. Nelson</t>
  </si>
  <si>
    <t>Low sparge water level and temp in HLT</t>
  </si>
  <si>
    <t xml:space="preserve">Held back dueto eelays on previous tank </t>
  </si>
  <si>
    <t>2 SBF</t>
  </si>
  <si>
    <t>14..9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</si>
</sst>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-* #,##0.00_-;\-* #,##0.00_-;_-* &quot;-&quot;??_-;_-@_-"/>
    <numFmt numFmtId="165" formatCode="[$-409]mmmm\ d\,\ yyyy;@"/>
    <numFmt numFmtId="166" formatCode="0.0"/>
    <numFmt numFmtId="167" formatCode="[m]"/>
    <numFmt numFmtId="168" formatCode="0.000"/>
    <numFmt numFmtId="169" formatCode="[$-409]d\-mmm;@"/>
    <numFmt numFmtId="170" formatCode="0.0%"/>
    <numFmt numFmtId="171" formatCode="#,##0.0"/>
  </numFmts>
  <fonts count="88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sz val="11"/>
      <name val="Calibri"/>
      <family val="2"/>
      <scheme val="minor"/>
    </font>
    <font>
      <b/>
      <sz val="11"/>
      <color theme="1"/>
      <name val="Tahoma"/>
      <family val="2"/>
    </font>
    <font>
      <sz val="11"/>
      <name val="Tahoma"/>
      <family val="2"/>
    </font>
    <font>
      <b/>
      <sz val="11"/>
      <color rgb="FF963634"/>
      <name val="Arial"/>
      <family val="2"/>
    </font>
    <font>
      <b/>
      <sz val="9"/>
      <name val="Arial"/>
      <family val="2"/>
    </font>
    <font>
      <b/>
      <i/>
      <sz val="9"/>
      <name val="Arial"/>
      <family val="2"/>
    </font>
    <font>
      <b/>
      <i/>
      <u/>
      <sz val="9"/>
      <name val="Arial"/>
      <family val="2"/>
    </font>
    <font>
      <i/>
      <sz val="11"/>
      <name val="Calibri"/>
      <family val="2"/>
    </font>
    <font>
      <b/>
      <sz val="11"/>
      <name val="Tahoma"/>
      <family val="2"/>
    </font>
    <font>
      <b/>
      <u/>
      <sz val="11"/>
      <name val="Arial"/>
      <family val="2"/>
    </font>
    <font>
      <b/>
      <sz val="11"/>
      <color rgb="FF0000FF"/>
      <name val="Arial"/>
      <family val="2"/>
    </font>
    <font>
      <sz val="11"/>
      <color theme="1"/>
      <name val="Arial"/>
      <family val="2"/>
    </font>
    <font>
      <b/>
      <i/>
      <sz val="11"/>
      <name val="Arial"/>
      <family val="2"/>
    </font>
    <font>
      <b/>
      <sz val="11"/>
      <color indexed="53"/>
      <name val="Arial"/>
      <family val="2"/>
    </font>
    <font>
      <sz val="11"/>
      <color theme="0"/>
      <name val="Arial"/>
      <family val="2"/>
    </font>
    <font>
      <i/>
      <sz val="11"/>
      <color theme="1"/>
      <name val="Arial"/>
      <family val="2"/>
    </font>
    <font>
      <b/>
      <sz val="11"/>
      <color indexed="12"/>
      <name val="Arial"/>
      <family val="2"/>
    </font>
    <font>
      <b/>
      <sz val="11"/>
      <color indexed="17"/>
      <name val="Arial"/>
      <family val="2"/>
    </font>
    <font>
      <b/>
      <sz val="11"/>
      <color indexed="10"/>
      <name val="Arial"/>
      <family val="2"/>
    </font>
    <font>
      <b/>
      <sz val="11"/>
      <color indexed="20"/>
      <name val="Arial"/>
      <family val="2"/>
    </font>
    <font>
      <b/>
      <sz val="11"/>
      <color indexed="16"/>
      <name val="Arial"/>
      <family val="2"/>
    </font>
    <font>
      <b/>
      <sz val="11"/>
      <color theme="1"/>
      <name val="Arial"/>
      <family val="2"/>
    </font>
    <font>
      <b/>
      <sz val="11"/>
      <color rgb="FF0070C0"/>
      <name val="Arial"/>
      <family val="2"/>
    </font>
    <font>
      <b/>
      <sz val="11"/>
      <color theme="0"/>
      <name val="Arial"/>
      <family val="2"/>
    </font>
    <font>
      <b/>
      <sz val="11"/>
      <color theme="1"/>
      <name val="Arial Narrow"/>
      <family val="2"/>
    </font>
    <font>
      <b/>
      <sz val="11"/>
      <color theme="2" tint="-0.89999084444715716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0"/>
      <color theme="2" tint="-0.89999084444715716"/>
      <name val="Arial"/>
      <family val="2"/>
    </font>
    <font>
      <sz val="12"/>
      <name val="Tahoma"/>
      <family val="2"/>
    </font>
    <font>
      <b/>
      <sz val="10"/>
      <name val="Arial"/>
      <family val="2"/>
    </font>
    <font>
      <b/>
      <u/>
      <sz val="10"/>
      <name val="Arial"/>
      <family val="2"/>
    </font>
    <font>
      <b/>
      <sz val="9"/>
      <color indexed="10"/>
      <name val="Arial"/>
      <family val="2"/>
    </font>
    <font>
      <b/>
      <sz val="10"/>
      <color indexed="12"/>
      <name val="Arial"/>
      <family val="2"/>
    </font>
    <font>
      <sz val="10"/>
      <color indexed="8"/>
      <name val="Arial"/>
      <family val="2"/>
    </font>
    <font>
      <sz val="10"/>
      <color theme="1"/>
      <name val="Arial"/>
      <family val="2"/>
    </font>
    <font>
      <b/>
      <sz val="8"/>
      <color rgb="FFFF0000"/>
      <name val="Arial"/>
      <family val="2"/>
    </font>
    <font>
      <b/>
      <sz val="9"/>
      <color rgb="FFFF0000"/>
      <name val="Arial"/>
      <family val="2"/>
    </font>
    <font>
      <b/>
      <sz val="10"/>
      <color indexed="17"/>
      <name val="Arial"/>
      <family val="2"/>
    </font>
    <font>
      <b/>
      <sz val="10"/>
      <color indexed="10"/>
      <name val="Arial"/>
      <family val="2"/>
    </font>
    <font>
      <b/>
      <sz val="10"/>
      <color indexed="16"/>
      <name val="Arial"/>
      <family val="2"/>
    </font>
    <font>
      <sz val="9"/>
      <name val="Arial"/>
      <family val="2"/>
    </font>
    <font>
      <sz val="10"/>
      <color indexed="12"/>
      <name val="Arial"/>
      <family val="2"/>
    </font>
    <font>
      <sz val="12"/>
      <name val="Arial"/>
      <family val="2"/>
    </font>
    <font>
      <b/>
      <sz val="10"/>
      <color theme="1"/>
      <name val="Arial"/>
      <family val="2"/>
    </font>
    <font>
      <b/>
      <sz val="10"/>
      <color indexed="53"/>
      <name val="Arial"/>
      <family val="2"/>
    </font>
    <font>
      <b/>
      <sz val="10"/>
      <color indexed="20"/>
      <name val="Arial"/>
      <family val="2"/>
    </font>
    <font>
      <b/>
      <sz val="9"/>
      <color indexed="63"/>
      <name val="Arial"/>
      <family val="2"/>
    </font>
    <font>
      <sz val="10"/>
      <color indexed="10"/>
      <name val="Arial"/>
      <family val="2"/>
    </font>
    <font>
      <b/>
      <sz val="8"/>
      <name val="Arial"/>
      <family val="2"/>
    </font>
    <font>
      <b/>
      <sz val="8"/>
      <color theme="2" tint="-0.89999084444715716"/>
      <name val="Arial"/>
      <family val="2"/>
    </font>
    <font>
      <sz val="10"/>
      <color theme="2" tint="-0.89999084444715716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8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6"/>
      <color theme="1"/>
      <name val="BankGothic Lt BT"/>
      <family val="2"/>
    </font>
    <font>
      <b/>
      <i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i/>
      <sz val="14"/>
      <color theme="0"/>
      <name val="BankGothic Md BT"/>
      <family val="2"/>
    </font>
    <font>
      <b/>
      <i/>
      <sz val="14"/>
      <color theme="0"/>
      <name val="Calibri"/>
      <family val="2"/>
      <scheme val="minor"/>
    </font>
    <font>
      <sz val="16"/>
      <color theme="1"/>
      <name val="BankGothic Md BT"/>
      <family val="2"/>
    </font>
    <font>
      <b/>
      <sz val="14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name val="Arial"/>
      <family val="2"/>
    </font>
    <font>
      <b/>
      <sz val="11"/>
      <color rgb="FFCC66FF"/>
      <name val="Arial"/>
      <family val="2"/>
    </font>
    <font>
      <b/>
      <sz val="11"/>
      <color rgb="FFFFC000"/>
      <name val="Arial"/>
      <family val="2"/>
    </font>
    <font>
      <b/>
      <sz val="11"/>
      <color rgb="FFFF0000"/>
      <name val="Arial"/>
      <family val="2"/>
    </font>
    <font>
      <b/>
      <sz val="11"/>
      <color rgb="FF008200"/>
      <name val="Arial"/>
      <family val="2"/>
    </font>
    <font>
      <b/>
      <sz val="11"/>
      <color rgb="FF00B050"/>
      <name val="Arial"/>
      <family val="2"/>
    </font>
    <font>
      <b/>
      <sz val="11"/>
      <color theme="8" tint="0.39997558519241921"/>
      <name val="Arial"/>
      <family val="2"/>
    </font>
    <font>
      <b/>
      <sz val="11"/>
      <color rgb="FFFF66FF"/>
      <name val="Arial"/>
      <family val="2"/>
    </font>
    <font>
      <b/>
      <sz val="11"/>
      <color theme="9" tint="0.39997558519241921"/>
      <name val="Arial"/>
      <family val="2"/>
    </font>
    <font>
      <b/>
      <sz val="11"/>
      <color rgb="FFC00000"/>
      <name val="Arial"/>
      <family val="2"/>
    </font>
    <font>
      <b/>
      <sz val="11"/>
      <color theme="5" tint="-0.249977111117893"/>
      <name val="Arial"/>
      <family val="2"/>
    </font>
  </fonts>
  <fills count="28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rgb="FFFF8080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2" tint="-0.24994659260841701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2" tint="-9.9978637043366805E-2"/>
        <bgColor indexed="64"/>
      </patternFill>
    </fill>
  </fills>
  <borders count="9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ck">
        <color auto="1"/>
      </left>
      <right/>
      <top style="thick">
        <color auto="1"/>
      </top>
      <bottom style="medium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 style="medium">
        <color theme="1"/>
      </left>
      <right/>
      <top style="medium">
        <color theme="1"/>
      </top>
      <bottom style="medium">
        <color theme="1"/>
      </bottom>
      <diagonal/>
    </border>
    <border>
      <left/>
      <right/>
      <top style="medium">
        <color theme="1"/>
      </top>
      <bottom style="medium">
        <color theme="1"/>
      </bottom>
      <diagonal/>
    </border>
    <border>
      <left/>
      <right style="medium">
        <color theme="1"/>
      </right>
      <top style="medium">
        <color theme="1"/>
      </top>
      <bottom style="medium">
        <color theme="1"/>
      </bottom>
      <diagonal/>
    </border>
    <border>
      <left/>
      <right style="medium">
        <color indexed="64"/>
      </right>
      <top style="medium">
        <color theme="1"/>
      </top>
      <bottom style="medium">
        <color theme="1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theme="1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theme="1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theme="1"/>
      </right>
      <top style="thin">
        <color indexed="64"/>
      </top>
      <bottom style="medium">
        <color theme="1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thick">
        <color auto="1"/>
      </top>
      <bottom style="medium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Dash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Dashed">
        <color indexed="64"/>
      </bottom>
      <diagonal/>
    </border>
    <border>
      <left style="thin">
        <color indexed="64"/>
      </left>
      <right style="medium">
        <color auto="1"/>
      </right>
      <top style="medium">
        <color indexed="64"/>
      </top>
      <bottom style="mediumDashed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theme="1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7">
    <xf numFmtId="165" fontId="0" fillId="0" borderId="0"/>
    <xf numFmtId="164" fontId="8" fillId="0" borderId="0" applyFont="0" applyFill="0" applyBorder="0" applyAlignment="0" applyProtection="0"/>
    <xf numFmtId="0" fontId="6" fillId="2" borderId="0" applyNumberFormat="0" applyBorder="0" applyAlignment="0" applyProtection="0"/>
    <xf numFmtId="165" fontId="8" fillId="0" borderId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</cellStyleXfs>
  <cellXfs count="634">
    <xf numFmtId="165" fontId="0" fillId="0" borderId="0" xfId="0"/>
    <xf numFmtId="165" fontId="10" fillId="0" borderId="0" xfId="3" applyFont="1"/>
    <xf numFmtId="165" fontId="10" fillId="0" borderId="0" xfId="3" applyFont="1" applyAlignment="1">
      <alignment wrapText="1"/>
    </xf>
    <xf numFmtId="165" fontId="11" fillId="3" borderId="1" xfId="0" applyFont="1" applyFill="1" applyBorder="1"/>
    <xf numFmtId="165" fontId="12" fillId="0" borderId="0" xfId="3" applyFont="1" applyAlignment="1">
      <alignment horizontal="center" wrapText="1"/>
    </xf>
    <xf numFmtId="165" fontId="13" fillId="0" borderId="0" xfId="3" applyFont="1"/>
    <xf numFmtId="165" fontId="9" fillId="0" borderId="0" xfId="3" applyFont="1" applyAlignment="1">
      <alignment wrapText="1"/>
    </xf>
    <xf numFmtId="166" fontId="11" fillId="3" borderId="1" xfId="0" applyNumberFormat="1" applyFont="1" applyFill="1" applyBorder="1"/>
    <xf numFmtId="166" fontId="11" fillId="3" borderId="2" xfId="0" applyNumberFormat="1" applyFont="1" applyFill="1" applyBorder="1"/>
    <xf numFmtId="167" fontId="10" fillId="3" borderId="1" xfId="3" applyNumberFormat="1" applyFont="1" applyFill="1" applyBorder="1" applyAlignment="1">
      <alignment horizontal="right"/>
    </xf>
    <xf numFmtId="167" fontId="10" fillId="3" borderId="1" xfId="3" applyNumberFormat="1" applyFont="1" applyFill="1" applyBorder="1" applyAlignment="1">
      <alignment horizontal="right" vertical="center"/>
    </xf>
    <xf numFmtId="166" fontId="9" fillId="0" borderId="0" xfId="3" applyNumberFormat="1" applyFont="1"/>
    <xf numFmtId="165" fontId="10" fillId="0" borderId="0" xfId="3" applyFont="1" applyAlignment="1">
      <alignment horizontal="center" wrapText="1"/>
    </xf>
    <xf numFmtId="165" fontId="10" fillId="0" borderId="0" xfId="3" applyFont="1" applyAlignment="1">
      <alignment vertical="center"/>
    </xf>
    <xf numFmtId="165" fontId="18" fillId="0" borderId="1" xfId="3" applyFont="1" applyBorder="1"/>
    <xf numFmtId="165" fontId="19" fillId="0" borderId="0" xfId="3" applyFont="1"/>
    <xf numFmtId="1" fontId="9" fillId="0" borderId="0" xfId="3" applyNumberFormat="1" applyFont="1" applyAlignment="1">
      <alignment horizontal="center" wrapText="1"/>
    </xf>
    <xf numFmtId="165" fontId="10" fillId="5" borderId="7" xfId="3" applyFont="1" applyFill="1" applyBorder="1" applyAlignment="1">
      <alignment horizontal="center" vertical="center" wrapText="1"/>
    </xf>
    <xf numFmtId="165" fontId="9" fillId="0" borderId="9" xfId="3" applyFont="1" applyBorder="1" applyAlignment="1">
      <alignment horizontal="center"/>
    </xf>
    <xf numFmtId="20" fontId="10" fillId="0" borderId="0" xfId="3" applyNumberFormat="1" applyFont="1"/>
    <xf numFmtId="165" fontId="10" fillId="0" borderId="11" xfId="3" applyFont="1" applyBorder="1" applyAlignment="1">
      <alignment horizontal="center" vertical="top" wrapText="1"/>
    </xf>
    <xf numFmtId="165" fontId="10" fillId="5" borderId="11" xfId="3" applyFont="1" applyFill="1" applyBorder="1" applyAlignment="1">
      <alignment horizontal="center" vertical="top" wrapText="1"/>
    </xf>
    <xf numFmtId="165" fontId="24" fillId="0" borderId="13" xfId="3" applyFont="1" applyBorder="1" applyAlignment="1">
      <alignment horizontal="left"/>
    </xf>
    <xf numFmtId="2" fontId="10" fillId="0" borderId="0" xfId="3" applyNumberFormat="1" applyFont="1"/>
    <xf numFmtId="165" fontId="10" fillId="0" borderId="20" xfId="3" applyFont="1" applyBorder="1" applyAlignment="1">
      <alignment horizontal="left"/>
    </xf>
    <xf numFmtId="165" fontId="10" fillId="0" borderId="21" xfId="3" applyFont="1" applyBorder="1" applyAlignment="1">
      <alignment horizontal="center"/>
    </xf>
    <xf numFmtId="165" fontId="10" fillId="0" borderId="21" xfId="3" applyFont="1" applyBorder="1" applyAlignment="1">
      <alignment horizontal="center" wrapText="1"/>
    </xf>
    <xf numFmtId="165" fontId="10" fillId="0" borderId="22" xfId="3" applyFont="1" applyBorder="1" applyAlignment="1">
      <alignment horizontal="center"/>
    </xf>
    <xf numFmtId="165" fontId="25" fillId="0" borderId="0" xfId="3" applyFont="1"/>
    <xf numFmtId="165" fontId="27" fillId="0" borderId="13" xfId="3" applyFont="1" applyBorder="1" applyAlignment="1">
      <alignment horizontal="left"/>
    </xf>
    <xf numFmtId="166" fontId="9" fillId="0" borderId="15" xfId="3" applyNumberFormat="1" applyFont="1" applyBorder="1"/>
    <xf numFmtId="166" fontId="9" fillId="0" borderId="0" xfId="3" applyNumberFormat="1" applyFont="1" applyAlignment="1">
      <alignment wrapText="1"/>
    </xf>
    <xf numFmtId="2" fontId="9" fillId="0" borderId="0" xfId="3" quotePrefix="1" applyNumberFormat="1" applyFont="1" applyAlignment="1">
      <alignment horizontal="center"/>
    </xf>
    <xf numFmtId="165" fontId="28" fillId="0" borderId="13" xfId="3" applyFont="1" applyBorder="1"/>
    <xf numFmtId="165" fontId="29" fillId="0" borderId="13" xfId="3" applyFont="1" applyBorder="1"/>
    <xf numFmtId="165" fontId="30" fillId="0" borderId="13" xfId="3" applyFont="1" applyBorder="1"/>
    <xf numFmtId="165" fontId="31" fillId="0" borderId="13" xfId="3" applyFont="1" applyBorder="1" applyAlignment="1">
      <alignment horizontal="left"/>
    </xf>
    <xf numFmtId="165" fontId="14" fillId="0" borderId="13" xfId="3" applyFont="1" applyBorder="1"/>
    <xf numFmtId="165" fontId="33" fillId="0" borderId="31" xfId="3" applyFont="1" applyBorder="1"/>
    <xf numFmtId="166" fontId="9" fillId="0" borderId="0" xfId="3" applyNumberFormat="1" applyFont="1" applyAlignment="1">
      <alignment horizontal="right"/>
    </xf>
    <xf numFmtId="166" fontId="9" fillId="4" borderId="0" xfId="3" applyNumberFormat="1" applyFont="1" applyFill="1"/>
    <xf numFmtId="2" fontId="9" fillId="0" borderId="0" xfId="3" applyNumberFormat="1" applyFont="1" applyAlignment="1">
      <alignment horizontal="center"/>
    </xf>
    <xf numFmtId="2" fontId="10" fillId="0" borderId="0" xfId="3" applyNumberFormat="1" applyFont="1" applyAlignment="1">
      <alignment horizontal="center"/>
    </xf>
    <xf numFmtId="166" fontId="10" fillId="0" borderId="0" xfId="3" applyNumberFormat="1" applyFont="1" applyAlignment="1">
      <alignment horizontal="center"/>
    </xf>
    <xf numFmtId="2" fontId="25" fillId="0" borderId="0" xfId="3" applyNumberFormat="1" applyFont="1"/>
    <xf numFmtId="165" fontId="14" fillId="0" borderId="0" xfId="3" applyFont="1"/>
    <xf numFmtId="2" fontId="34" fillId="0" borderId="0" xfId="3" applyNumberFormat="1" applyFont="1" applyAlignment="1">
      <alignment horizontal="center"/>
    </xf>
    <xf numFmtId="165" fontId="9" fillId="0" borderId="4" xfId="3" applyFont="1" applyBorder="1" applyAlignment="1">
      <alignment horizontal="center"/>
    </xf>
    <xf numFmtId="165" fontId="9" fillId="0" borderId="0" xfId="3" applyFont="1" applyAlignment="1">
      <alignment horizontal="center"/>
    </xf>
    <xf numFmtId="165" fontId="9" fillId="0" borderId="0" xfId="3" applyFont="1" applyAlignment="1">
      <alignment horizontal="center" wrapText="1"/>
    </xf>
    <xf numFmtId="165" fontId="10" fillId="0" borderId="0" xfId="3" applyFont="1" applyAlignment="1">
      <alignment horizontal="center" vertical="center" wrapText="1"/>
    </xf>
    <xf numFmtId="169" fontId="35" fillId="0" borderId="41" xfId="0" applyNumberFormat="1" applyFont="1" applyBorder="1" applyAlignment="1">
      <alignment horizontal="center" vertical="center"/>
    </xf>
    <xf numFmtId="170" fontId="9" fillId="0" borderId="42" xfId="4" applyNumberFormat="1" applyFont="1" applyBorder="1" applyAlignment="1">
      <alignment horizontal="center" vertical="center"/>
    </xf>
    <xf numFmtId="2" fontId="32" fillId="0" borderId="2" xfId="3" applyNumberFormat="1" applyFont="1" applyBorder="1" applyAlignment="1">
      <alignment horizontal="center" vertical="center"/>
    </xf>
    <xf numFmtId="165" fontId="9" fillId="0" borderId="0" xfId="3" applyFont="1" applyAlignment="1">
      <alignment horizontal="center" vertical="center"/>
    </xf>
    <xf numFmtId="165" fontId="10" fillId="0" borderId="43" xfId="3" applyFont="1" applyBorder="1" applyAlignment="1">
      <alignment vertical="center" wrapText="1"/>
    </xf>
    <xf numFmtId="165" fontId="10" fillId="0" borderId="0" xfId="3" applyFont="1" applyAlignment="1">
      <alignment vertical="center" wrapText="1"/>
    </xf>
    <xf numFmtId="170" fontId="9" fillId="0" borderId="0" xfId="3" applyNumberFormat="1" applyFont="1" applyAlignment="1">
      <alignment horizontal="center" vertical="center"/>
    </xf>
    <xf numFmtId="165" fontId="10" fillId="0" borderId="44" xfId="3" applyFont="1" applyBorder="1" applyAlignment="1">
      <alignment horizontal="center" shrinkToFit="1"/>
    </xf>
    <xf numFmtId="165" fontId="10" fillId="0" borderId="45" xfId="3" applyFont="1" applyBorder="1" applyAlignment="1">
      <alignment horizontal="center" shrinkToFit="1"/>
    </xf>
    <xf numFmtId="165" fontId="10" fillId="0" borderId="0" xfId="3" applyFont="1" applyAlignment="1">
      <alignment horizontal="center" wrapText="1" shrinkToFit="1"/>
    </xf>
    <xf numFmtId="165" fontId="10" fillId="0" borderId="50" xfId="3" applyFont="1" applyBorder="1" applyAlignment="1">
      <alignment horizontal="left"/>
    </xf>
    <xf numFmtId="165" fontId="10" fillId="0" borderId="10" xfId="3" applyFont="1" applyBorder="1" applyAlignment="1">
      <alignment horizontal="left"/>
    </xf>
    <xf numFmtId="165" fontId="10" fillId="0" borderId="12" xfId="3" applyFont="1" applyBorder="1" applyAlignment="1">
      <alignment horizontal="left"/>
    </xf>
    <xf numFmtId="165" fontId="10" fillId="0" borderId="0" xfId="3" applyFont="1" applyAlignment="1">
      <alignment horizontal="left" wrapText="1"/>
    </xf>
    <xf numFmtId="2" fontId="36" fillId="0" borderId="1" xfId="3" applyNumberFormat="1" applyFont="1" applyBorder="1" applyAlignment="1">
      <alignment horizontal="right"/>
    </xf>
    <xf numFmtId="166" fontId="9" fillId="0" borderId="15" xfId="3" applyNumberFormat="1" applyFont="1" applyBorder="1" applyAlignment="1">
      <alignment horizontal="right"/>
    </xf>
    <xf numFmtId="170" fontId="32" fillId="0" borderId="1" xfId="3" applyNumberFormat="1" applyFont="1" applyBorder="1" applyAlignment="1">
      <alignment horizontal="right"/>
    </xf>
    <xf numFmtId="9" fontId="9" fillId="0" borderId="15" xfId="3" applyNumberFormat="1" applyFont="1" applyBorder="1" applyAlignment="1">
      <alignment horizontal="right"/>
    </xf>
    <xf numFmtId="9" fontId="9" fillId="0" borderId="0" xfId="3" applyNumberFormat="1" applyFont="1" applyAlignment="1">
      <alignment horizontal="right" wrapText="1"/>
    </xf>
    <xf numFmtId="166" fontId="9" fillId="0" borderId="51" xfId="3" applyNumberFormat="1" applyFont="1" applyBorder="1" applyAlignment="1">
      <alignment horizontal="right"/>
    </xf>
    <xf numFmtId="9" fontId="9" fillId="0" borderId="51" xfId="3" applyNumberFormat="1" applyFont="1" applyBorder="1" applyAlignment="1">
      <alignment horizontal="right"/>
    </xf>
    <xf numFmtId="166" fontId="9" fillId="0" borderId="36" xfId="3" applyNumberFormat="1" applyFont="1" applyBorder="1" applyAlignment="1">
      <alignment horizontal="right"/>
    </xf>
    <xf numFmtId="2" fontId="10" fillId="0" borderId="31" xfId="3" applyNumberFormat="1" applyFont="1" applyBorder="1" applyAlignment="1">
      <alignment horizontal="right"/>
    </xf>
    <xf numFmtId="165" fontId="9" fillId="0" borderId="0" xfId="3" applyFont="1" applyAlignment="1">
      <alignment horizontal="right"/>
    </xf>
    <xf numFmtId="165" fontId="9" fillId="0" borderId="0" xfId="3" applyFont="1" applyAlignment="1">
      <alignment horizontal="right" wrapText="1"/>
    </xf>
    <xf numFmtId="2" fontId="39" fillId="0" borderId="1" xfId="3" applyNumberFormat="1" applyFont="1" applyBorder="1" applyAlignment="1">
      <alignment horizontal="right"/>
    </xf>
    <xf numFmtId="165" fontId="10" fillId="0" borderId="37" xfId="3" applyFont="1" applyBorder="1" applyAlignment="1">
      <alignment vertical="center"/>
    </xf>
    <xf numFmtId="165" fontId="8" fillId="0" borderId="0" xfId="3"/>
    <xf numFmtId="165" fontId="40" fillId="0" borderId="0" xfId="3" applyFont="1"/>
    <xf numFmtId="165" fontId="41" fillId="0" borderId="6" xfId="3" applyFont="1" applyBorder="1" applyAlignment="1">
      <alignment horizontal="center" vertical="center" wrapText="1"/>
    </xf>
    <xf numFmtId="165" fontId="15" fillId="0" borderId="6" xfId="3" applyFont="1" applyBorder="1" applyAlignment="1">
      <alignment horizontal="center" vertical="center" wrapText="1"/>
    </xf>
    <xf numFmtId="165" fontId="41" fillId="0" borderId="7" xfId="3" applyFont="1" applyBorder="1" applyAlignment="1">
      <alignment horizontal="center" vertical="center" wrapText="1"/>
    </xf>
    <xf numFmtId="165" fontId="41" fillId="0" borderId="10" xfId="3" applyFont="1" applyBorder="1" applyAlignment="1">
      <alignment horizontal="center" vertical="center" wrapText="1"/>
    </xf>
    <xf numFmtId="165" fontId="43" fillId="0" borderId="10" xfId="3" applyFont="1" applyBorder="1" applyAlignment="1">
      <alignment horizontal="center" vertical="center" wrapText="1"/>
    </xf>
    <xf numFmtId="165" fontId="41" fillId="0" borderId="11" xfId="3" applyFont="1" applyBorder="1" applyAlignment="1">
      <alignment horizontal="center" vertical="center" wrapText="1"/>
    </xf>
    <xf numFmtId="165" fontId="41" fillId="0" borderId="0" xfId="3" applyFont="1" applyAlignment="1">
      <alignment horizontal="left"/>
    </xf>
    <xf numFmtId="165" fontId="44" fillId="0" borderId="13" xfId="3" applyFont="1" applyBorder="1" applyAlignment="1">
      <alignment horizontal="left"/>
    </xf>
    <xf numFmtId="16" fontId="8" fillId="0" borderId="10" xfId="3" applyNumberFormat="1" applyBorder="1" applyAlignment="1">
      <alignment horizontal="center"/>
    </xf>
    <xf numFmtId="166" fontId="45" fillId="0" borderId="1" xfId="3" applyNumberFormat="1" applyFont="1" applyBorder="1" applyAlignment="1">
      <alignment horizontal="center"/>
    </xf>
    <xf numFmtId="1" fontId="45" fillId="0" borderId="10" xfId="3" applyNumberFormat="1" applyFont="1" applyBorder="1" applyAlignment="1">
      <alignment horizontal="center"/>
    </xf>
    <xf numFmtId="166" fontId="46" fillId="0" borderId="10" xfId="3" applyNumberFormat="1" applyFont="1" applyBorder="1" applyAlignment="1">
      <alignment horizontal="center"/>
    </xf>
    <xf numFmtId="166" fontId="8" fillId="0" borderId="1" xfId="3" applyNumberFormat="1" applyBorder="1" applyAlignment="1">
      <alignment horizontal="center"/>
    </xf>
    <xf numFmtId="167" fontId="8" fillId="0" borderId="11" xfId="3" applyNumberFormat="1" applyBorder="1" applyAlignment="1">
      <alignment horizontal="center"/>
    </xf>
    <xf numFmtId="165" fontId="47" fillId="8" borderId="43" xfId="3" applyFont="1" applyFill="1" applyBorder="1" applyAlignment="1">
      <alignment horizontal="center" wrapText="1"/>
    </xf>
    <xf numFmtId="165" fontId="41" fillId="0" borderId="0" xfId="3" applyFont="1"/>
    <xf numFmtId="165" fontId="8" fillId="0" borderId="13" xfId="3" applyBorder="1"/>
    <xf numFmtId="166" fontId="8" fillId="0" borderId="0" xfId="3" applyNumberFormat="1" applyAlignment="1">
      <alignment horizontal="center"/>
    </xf>
    <xf numFmtId="165" fontId="48" fillId="8" borderId="43" xfId="3" applyFont="1" applyFill="1" applyBorder="1" applyAlignment="1">
      <alignment horizontal="center" wrapText="1"/>
    </xf>
    <xf numFmtId="165" fontId="49" fillId="0" borderId="13" xfId="3" applyFont="1" applyBorder="1"/>
    <xf numFmtId="166" fontId="8" fillId="0" borderId="0" xfId="3" applyNumberFormat="1"/>
    <xf numFmtId="165" fontId="50" fillId="0" borderId="13" xfId="3" applyFont="1" applyBorder="1"/>
    <xf numFmtId="165" fontId="51" fillId="0" borderId="52" xfId="3" applyFont="1" applyBorder="1" applyAlignment="1">
      <alignment horizontal="left"/>
    </xf>
    <xf numFmtId="15" fontId="8" fillId="0" borderId="10" xfId="3" applyNumberFormat="1" applyBorder="1" applyAlignment="1">
      <alignment horizontal="center"/>
    </xf>
    <xf numFmtId="166" fontId="8" fillId="8" borderId="1" xfId="3" applyNumberFormat="1" applyFill="1" applyBorder="1" applyAlignment="1">
      <alignment horizontal="center"/>
    </xf>
    <xf numFmtId="166" fontId="8" fillId="8" borderId="11" xfId="3" applyNumberFormat="1" applyFill="1" applyBorder="1" applyAlignment="1">
      <alignment horizontal="center"/>
    </xf>
    <xf numFmtId="165" fontId="15" fillId="8" borderId="43" xfId="3" applyFont="1" applyFill="1" applyBorder="1" applyAlignment="1">
      <alignment horizontal="center"/>
    </xf>
    <xf numFmtId="165" fontId="49" fillId="0" borderId="31" xfId="3" applyFont="1" applyBorder="1"/>
    <xf numFmtId="16" fontId="8" fillId="0" borderId="32" xfId="3" applyNumberFormat="1" applyBorder="1" applyAlignment="1">
      <alignment horizontal="center"/>
    </xf>
    <xf numFmtId="15" fontId="8" fillId="0" borderId="32" xfId="3" applyNumberFormat="1" applyBorder="1" applyAlignment="1">
      <alignment horizontal="center"/>
    </xf>
    <xf numFmtId="166" fontId="8" fillId="0" borderId="32" xfId="3" applyNumberFormat="1" applyBorder="1" applyAlignment="1">
      <alignment horizontal="center"/>
    </xf>
    <xf numFmtId="1" fontId="45" fillId="0" borderId="32" xfId="3" applyNumberFormat="1" applyFont="1" applyBorder="1" applyAlignment="1">
      <alignment horizontal="center"/>
    </xf>
    <xf numFmtId="166" fontId="46" fillId="0" borderId="32" xfId="3" applyNumberFormat="1" applyFont="1" applyBorder="1" applyAlignment="1">
      <alignment horizontal="center"/>
    </xf>
    <xf numFmtId="166" fontId="8" fillId="8" borderId="32" xfId="3" applyNumberFormat="1" applyFill="1" applyBorder="1" applyAlignment="1">
      <alignment horizontal="center"/>
    </xf>
    <xf numFmtId="166" fontId="8" fillId="8" borderId="53" xfId="3" applyNumberFormat="1" applyFill="1" applyBorder="1" applyAlignment="1">
      <alignment horizontal="center"/>
    </xf>
    <xf numFmtId="167" fontId="8" fillId="0" borderId="53" xfId="3" applyNumberFormat="1" applyBorder="1" applyAlignment="1">
      <alignment horizontal="center"/>
    </xf>
    <xf numFmtId="165" fontId="52" fillId="0" borderId="54" xfId="3" applyFont="1" applyBorder="1" applyAlignment="1">
      <alignment horizontal="center"/>
    </xf>
    <xf numFmtId="165" fontId="8" fillId="0" borderId="0" xfId="3" applyAlignment="1">
      <alignment horizontal="center"/>
    </xf>
    <xf numFmtId="15" fontId="8" fillId="0" borderId="0" xfId="3" applyNumberFormat="1" applyAlignment="1">
      <alignment horizontal="center"/>
    </xf>
    <xf numFmtId="166" fontId="53" fillId="0" borderId="0" xfId="3" applyNumberFormat="1" applyFont="1" applyAlignment="1">
      <alignment horizontal="center"/>
    </xf>
    <xf numFmtId="2" fontId="8" fillId="0" borderId="0" xfId="3" applyNumberFormat="1" applyAlignment="1">
      <alignment horizontal="center"/>
    </xf>
    <xf numFmtId="166" fontId="41" fillId="0" borderId="33" xfId="3" applyNumberFormat="1" applyFont="1" applyBorder="1"/>
    <xf numFmtId="165" fontId="52" fillId="0" borderId="0" xfId="3" applyFont="1" applyAlignment="1">
      <alignment horizontal="center"/>
    </xf>
    <xf numFmtId="166" fontId="45" fillId="0" borderId="20" xfId="3" applyNumberFormat="1" applyFont="1" applyBorder="1" applyAlignment="1">
      <alignment horizontal="center"/>
    </xf>
    <xf numFmtId="166" fontId="45" fillId="0" borderId="21" xfId="3" applyNumberFormat="1" applyFont="1" applyBorder="1" applyAlignment="1">
      <alignment horizontal="center"/>
    </xf>
    <xf numFmtId="2" fontId="41" fillId="0" borderId="0" xfId="3" applyNumberFormat="1" applyFont="1" applyAlignment="1">
      <alignment horizontal="center"/>
    </xf>
    <xf numFmtId="2" fontId="41" fillId="0" borderId="57" xfId="3" applyNumberFormat="1" applyFont="1" applyBorder="1" applyAlignment="1">
      <alignment horizontal="center"/>
    </xf>
    <xf numFmtId="166" fontId="8" fillId="0" borderId="13" xfId="3" applyNumberFormat="1" applyBorder="1" applyAlignment="1">
      <alignment horizontal="center"/>
    </xf>
    <xf numFmtId="2" fontId="8" fillId="0" borderId="1" xfId="3" applyNumberFormat="1" applyBorder="1" applyAlignment="1">
      <alignment horizontal="center"/>
    </xf>
    <xf numFmtId="165" fontId="8" fillId="0" borderId="2" xfId="3" applyBorder="1" applyAlignment="1">
      <alignment horizontal="center"/>
    </xf>
    <xf numFmtId="165" fontId="50" fillId="0" borderId="58" xfId="3" applyFont="1" applyBorder="1" applyAlignment="1">
      <alignment horizontal="center"/>
    </xf>
    <xf numFmtId="165" fontId="54" fillId="0" borderId="13" xfId="3" applyFont="1" applyBorder="1" applyAlignment="1">
      <alignment horizontal="center"/>
    </xf>
    <xf numFmtId="2" fontId="46" fillId="0" borderId="15" xfId="3" applyNumberFormat="1" applyFont="1" applyBorder="1" applyAlignment="1">
      <alignment horizontal="center"/>
    </xf>
    <xf numFmtId="2" fontId="46" fillId="0" borderId="2" xfId="3" applyNumberFormat="1" applyFont="1" applyBorder="1" applyAlignment="1">
      <alignment horizontal="center"/>
    </xf>
    <xf numFmtId="166" fontId="41" fillId="0" borderId="0" xfId="3" applyNumberFormat="1" applyFont="1" applyAlignment="1">
      <alignment horizontal="center"/>
    </xf>
    <xf numFmtId="1" fontId="8" fillId="0" borderId="58" xfId="3" applyNumberFormat="1" applyBorder="1" applyAlignment="1">
      <alignment horizontal="center"/>
    </xf>
    <xf numFmtId="166" fontId="55" fillId="0" borderId="59" xfId="3" applyNumberFormat="1" applyFont="1" applyBorder="1" applyAlignment="1">
      <alignment horizontal="center"/>
    </xf>
    <xf numFmtId="15" fontId="8" fillId="0" borderId="31" xfId="3" applyNumberFormat="1" applyBorder="1" applyAlignment="1">
      <alignment horizontal="center"/>
    </xf>
    <xf numFmtId="2" fontId="8" fillId="0" borderId="36" xfId="3" applyNumberFormat="1" applyBorder="1" applyAlignment="1">
      <alignment horizontal="center"/>
    </xf>
    <xf numFmtId="2" fontId="8" fillId="0" borderId="53" xfId="3" applyNumberFormat="1" applyBorder="1" applyAlignment="1">
      <alignment horizontal="center"/>
    </xf>
    <xf numFmtId="166" fontId="8" fillId="0" borderId="61" xfId="3" applyNumberFormat="1" applyBorder="1" applyAlignment="1">
      <alignment horizontal="center"/>
    </xf>
    <xf numFmtId="165" fontId="41" fillId="0" borderId="20" xfId="3" applyFont="1" applyBorder="1" applyAlignment="1">
      <alignment horizontal="left"/>
    </xf>
    <xf numFmtId="165" fontId="41" fillId="0" borderId="21" xfId="3" applyFont="1" applyBorder="1" applyAlignment="1">
      <alignment horizontal="center"/>
    </xf>
    <xf numFmtId="165" fontId="41" fillId="0" borderId="56" xfId="3" applyFont="1" applyBorder="1" applyAlignment="1">
      <alignment horizontal="center"/>
    </xf>
    <xf numFmtId="165" fontId="41" fillId="0" borderId="0" xfId="3" applyFont="1" applyAlignment="1">
      <alignment horizontal="center"/>
    </xf>
    <xf numFmtId="166" fontId="8" fillId="0" borderId="1" xfId="3" applyNumberFormat="1" applyBorder="1" applyAlignment="1">
      <alignment horizontal="right"/>
    </xf>
    <xf numFmtId="166" fontId="41" fillId="0" borderId="1" xfId="3" applyNumberFormat="1" applyFont="1" applyBorder="1" applyAlignment="1">
      <alignment horizontal="right"/>
    </xf>
    <xf numFmtId="166" fontId="8" fillId="0" borderId="59" xfId="3" applyNumberFormat="1" applyBorder="1"/>
    <xf numFmtId="165" fontId="56" fillId="0" borderId="13" xfId="3" applyFont="1" applyBorder="1" applyAlignment="1">
      <alignment horizontal="left"/>
    </xf>
    <xf numFmtId="166" fontId="55" fillId="0" borderId="1" xfId="3" applyNumberFormat="1" applyFont="1" applyBorder="1" applyAlignment="1">
      <alignment horizontal="right"/>
    </xf>
    <xf numFmtId="165" fontId="57" fillId="0" borderId="13" xfId="3" applyFont="1" applyBorder="1"/>
    <xf numFmtId="166" fontId="41" fillId="0" borderId="1" xfId="3" applyNumberFormat="1" applyFont="1" applyBorder="1"/>
    <xf numFmtId="166" fontId="46" fillId="0" borderId="1" xfId="3" applyNumberFormat="1" applyFont="1" applyBorder="1" applyAlignment="1">
      <alignment horizontal="right"/>
    </xf>
    <xf numFmtId="166" fontId="55" fillId="0" borderId="14" xfId="3" applyNumberFormat="1" applyFont="1" applyBorder="1"/>
    <xf numFmtId="165" fontId="58" fillId="0" borderId="31" xfId="3" applyFont="1" applyBorder="1"/>
    <xf numFmtId="166" fontId="8" fillId="0" borderId="32" xfId="3" applyNumberFormat="1" applyBorder="1" applyAlignment="1">
      <alignment horizontal="right"/>
    </xf>
    <xf numFmtId="166" fontId="41" fillId="0" borderId="14" xfId="3" applyNumberFormat="1" applyFont="1" applyBorder="1"/>
    <xf numFmtId="166" fontId="8" fillId="0" borderId="60" xfId="3" applyNumberFormat="1" applyBorder="1"/>
    <xf numFmtId="165" fontId="58" fillId="0" borderId="0" xfId="3" applyFont="1"/>
    <xf numFmtId="166" fontId="8" fillId="0" borderId="0" xfId="3" applyNumberFormat="1" applyAlignment="1">
      <alignment horizontal="right"/>
    </xf>
    <xf numFmtId="16" fontId="8" fillId="0" borderId="10" xfId="3" applyNumberFormat="1" applyBorder="1" applyAlignment="1">
      <alignment horizontal="center" vertical="center"/>
    </xf>
    <xf numFmtId="15" fontId="8" fillId="0" borderId="6" xfId="3" applyNumberFormat="1" applyBorder="1" applyAlignment="1">
      <alignment vertical="center"/>
    </xf>
    <xf numFmtId="2" fontId="8" fillId="0" borderId="1" xfId="3" applyNumberFormat="1" applyBorder="1" applyAlignment="1">
      <alignment horizontal="right" vertical="center"/>
    </xf>
    <xf numFmtId="166" fontId="8" fillId="0" borderId="1" xfId="3" applyNumberFormat="1" applyBorder="1" applyAlignment="1">
      <alignment horizontal="center" vertical="center"/>
    </xf>
    <xf numFmtId="170" fontId="8" fillId="0" borderId="6" xfId="3" applyNumberFormat="1" applyBorder="1" applyAlignment="1">
      <alignment vertical="center"/>
    </xf>
    <xf numFmtId="165" fontId="41" fillId="0" borderId="23" xfId="3" applyFont="1" applyBorder="1" applyAlignment="1">
      <alignment vertical="center" wrapText="1"/>
    </xf>
    <xf numFmtId="165" fontId="59" fillId="0" borderId="0" xfId="3" applyFont="1"/>
    <xf numFmtId="15" fontId="8" fillId="0" borderId="1" xfId="3" applyNumberFormat="1" applyBorder="1" applyAlignment="1">
      <alignment horizontal="center" vertical="center"/>
    </xf>
    <xf numFmtId="165" fontId="8" fillId="0" borderId="1" xfId="3" applyBorder="1"/>
    <xf numFmtId="165" fontId="60" fillId="0" borderId="43" xfId="3" applyFont="1" applyBorder="1" applyAlignment="1">
      <alignment vertical="center" wrapText="1"/>
    </xf>
    <xf numFmtId="2" fontId="8" fillId="0" borderId="1" xfId="3" applyNumberFormat="1" applyBorder="1" applyAlignment="1">
      <alignment horizontal="center" vertical="center"/>
    </xf>
    <xf numFmtId="2" fontId="8" fillId="0" borderId="1" xfId="3" applyNumberFormat="1" applyBorder="1" applyAlignment="1">
      <alignment horizontal="right"/>
    </xf>
    <xf numFmtId="165" fontId="41" fillId="0" borderId="43" xfId="3" applyFont="1" applyBorder="1" applyAlignment="1">
      <alignment vertical="center" wrapText="1"/>
    </xf>
    <xf numFmtId="165" fontId="53" fillId="0" borderId="13" xfId="3" applyFont="1" applyBorder="1"/>
    <xf numFmtId="165" fontId="53" fillId="0" borderId="52" xfId="3" applyFont="1" applyBorder="1"/>
    <xf numFmtId="165" fontId="8" fillId="0" borderId="14" xfId="3" applyBorder="1"/>
    <xf numFmtId="166" fontId="8" fillId="0" borderId="14" xfId="3" applyNumberFormat="1" applyBorder="1" applyAlignment="1">
      <alignment horizontal="right"/>
    </xf>
    <xf numFmtId="165" fontId="41" fillId="0" borderId="66" xfId="3" applyFont="1" applyBorder="1" applyAlignment="1">
      <alignment vertical="center" wrapText="1"/>
    </xf>
    <xf numFmtId="165" fontId="41" fillId="0" borderId="31" xfId="3" applyFont="1" applyBorder="1" applyAlignment="1">
      <alignment horizontal="center" shrinkToFit="1"/>
    </xf>
    <xf numFmtId="165" fontId="8" fillId="0" borderId="32" xfId="3" applyBorder="1" applyAlignment="1">
      <alignment horizontal="center"/>
    </xf>
    <xf numFmtId="15" fontId="8" fillId="0" borderId="39" xfId="3" applyNumberFormat="1" applyBorder="1"/>
    <xf numFmtId="165" fontId="8" fillId="0" borderId="32" xfId="3" applyBorder="1"/>
    <xf numFmtId="165" fontId="8" fillId="0" borderId="32" xfId="3" applyBorder="1" applyAlignment="1">
      <alignment horizontal="right"/>
    </xf>
    <xf numFmtId="165" fontId="41" fillId="0" borderId="54" xfId="3" applyFont="1" applyBorder="1" applyAlignment="1">
      <alignment vertical="center" wrapText="1"/>
    </xf>
    <xf numFmtId="165" fontId="41" fillId="0" borderId="0" xfId="3" applyFont="1" applyAlignment="1">
      <alignment horizontal="center" shrinkToFit="1"/>
    </xf>
    <xf numFmtId="165" fontId="41" fillId="0" borderId="0" xfId="3" applyFont="1" applyAlignment="1">
      <alignment vertical="center" wrapText="1"/>
    </xf>
    <xf numFmtId="165" fontId="39" fillId="0" borderId="50" xfId="3" applyFont="1" applyBorder="1" applyAlignment="1">
      <alignment horizontal="left"/>
    </xf>
    <xf numFmtId="165" fontId="39" fillId="0" borderId="10" xfId="3" applyFont="1" applyBorder="1" applyAlignment="1">
      <alignment horizontal="left"/>
    </xf>
    <xf numFmtId="165" fontId="39" fillId="0" borderId="12" xfId="3" applyFont="1" applyBorder="1" applyAlignment="1">
      <alignment horizontal="left"/>
    </xf>
    <xf numFmtId="165" fontId="41" fillId="0" borderId="10" xfId="3" applyFont="1" applyBorder="1" applyAlignment="1">
      <alignment horizontal="left"/>
    </xf>
    <xf numFmtId="165" fontId="41" fillId="0" borderId="12" xfId="3" applyFont="1" applyBorder="1" applyAlignment="1">
      <alignment horizontal="left"/>
    </xf>
    <xf numFmtId="2" fontId="62" fillId="0" borderId="1" xfId="4" applyNumberFormat="1" applyFont="1" applyBorder="1" applyAlignment="1">
      <alignment horizontal="right"/>
    </xf>
    <xf numFmtId="166" fontId="62" fillId="0" borderId="15" xfId="3" applyNumberFormat="1" applyFont="1" applyBorder="1" applyAlignment="1">
      <alignment horizontal="right"/>
    </xf>
    <xf numFmtId="170" fontId="8" fillId="0" borderId="52" xfId="4" applyNumberFormat="1" applyBorder="1" applyAlignment="1">
      <alignment horizontal="right" vertical="center"/>
    </xf>
    <xf numFmtId="170" fontId="55" fillId="0" borderId="1" xfId="3" applyNumberFormat="1" applyFont="1" applyBorder="1" applyAlignment="1">
      <alignment horizontal="right"/>
    </xf>
    <xf numFmtId="9" fontId="8" fillId="0" borderId="15" xfId="3" applyNumberFormat="1" applyBorder="1" applyAlignment="1">
      <alignment horizontal="right"/>
    </xf>
    <xf numFmtId="170" fontId="8" fillId="0" borderId="1" xfId="4" applyNumberFormat="1" applyBorder="1" applyAlignment="1">
      <alignment horizontal="right"/>
    </xf>
    <xf numFmtId="165" fontId="24" fillId="0" borderId="13" xfId="3" applyFont="1" applyBorder="1"/>
    <xf numFmtId="2" fontId="62" fillId="0" borderId="0" xfId="3" applyNumberFormat="1" applyFont="1" applyAlignment="1">
      <alignment horizontal="right"/>
    </xf>
    <xf numFmtId="165" fontId="31" fillId="0" borderId="52" xfId="3" applyFont="1" applyBorder="1" applyAlignment="1">
      <alignment horizontal="left"/>
    </xf>
    <xf numFmtId="166" fontId="62" fillId="0" borderId="51" xfId="3" applyNumberFormat="1" applyFont="1" applyBorder="1" applyAlignment="1">
      <alignment horizontal="right"/>
    </xf>
    <xf numFmtId="165" fontId="32" fillId="0" borderId="52" xfId="3" applyFont="1" applyBorder="1" applyAlignment="1">
      <alignment horizontal="left"/>
    </xf>
    <xf numFmtId="2" fontId="62" fillId="0" borderId="14" xfId="4" applyNumberFormat="1" applyFont="1" applyBorder="1" applyAlignment="1">
      <alignment horizontal="right"/>
    </xf>
    <xf numFmtId="170" fontId="8" fillId="0" borderId="14" xfId="4" applyNumberFormat="1" applyBorder="1" applyAlignment="1">
      <alignment horizontal="right"/>
    </xf>
    <xf numFmtId="9" fontId="8" fillId="0" borderId="51" xfId="3" applyNumberFormat="1" applyBorder="1" applyAlignment="1">
      <alignment horizontal="right"/>
    </xf>
    <xf numFmtId="2" fontId="62" fillId="0" borderId="32" xfId="3" applyNumberFormat="1" applyFont="1" applyBorder="1" applyAlignment="1">
      <alignment horizontal="right"/>
    </xf>
    <xf numFmtId="166" fontId="62" fillId="0" borderId="36" xfId="3" applyNumberFormat="1" applyFont="1" applyBorder="1" applyAlignment="1">
      <alignment horizontal="right"/>
    </xf>
    <xf numFmtId="170" fontId="8" fillId="0" borderId="32" xfId="3" applyNumberFormat="1" applyBorder="1" applyAlignment="1">
      <alignment horizontal="right"/>
    </xf>
    <xf numFmtId="9" fontId="8" fillId="0" borderId="36" xfId="3" applyNumberFormat="1" applyBorder="1" applyAlignment="1">
      <alignment horizontal="right"/>
    </xf>
    <xf numFmtId="165" fontId="62" fillId="0" borderId="0" xfId="3" applyFont="1"/>
    <xf numFmtId="165" fontId="62" fillId="0" borderId="0" xfId="3" applyFont="1" applyAlignment="1">
      <alignment horizontal="right"/>
    </xf>
    <xf numFmtId="2" fontId="39" fillId="0" borderId="0" xfId="3" applyNumberFormat="1" applyFont="1" applyAlignment="1">
      <alignment horizontal="right"/>
    </xf>
    <xf numFmtId="2" fontId="41" fillId="0" borderId="0" xfId="3" applyNumberFormat="1" applyFont="1" applyAlignment="1">
      <alignment horizontal="right"/>
    </xf>
    <xf numFmtId="165" fontId="8" fillId="0" borderId="0" xfId="3" applyAlignment="1">
      <alignment horizontal="right"/>
    </xf>
    <xf numFmtId="165" fontId="63" fillId="0" borderId="0" xfId="3" applyFont="1"/>
    <xf numFmtId="165" fontId="54" fillId="0" borderId="0" xfId="0" applyFont="1"/>
    <xf numFmtId="165" fontId="54" fillId="0" borderId="0" xfId="0" applyFont="1" applyAlignment="1">
      <alignment horizontal="center"/>
    </xf>
    <xf numFmtId="165" fontId="64" fillId="3" borderId="1" xfId="0" applyFont="1" applyFill="1" applyBorder="1"/>
    <xf numFmtId="165" fontId="64" fillId="9" borderId="1" xfId="0" applyFont="1" applyFill="1" applyBorder="1" applyAlignment="1">
      <alignment horizontal="center"/>
    </xf>
    <xf numFmtId="165" fontId="0" fillId="0" borderId="0" xfId="0" applyAlignment="1">
      <alignment horizontal="center"/>
    </xf>
    <xf numFmtId="166" fontId="54" fillId="3" borderId="1" xfId="0" applyNumberFormat="1" applyFont="1" applyFill="1" applyBorder="1" applyAlignment="1">
      <alignment horizontal="center"/>
    </xf>
    <xf numFmtId="40" fontId="54" fillId="10" borderId="27" xfId="1" applyNumberFormat="1" applyFont="1" applyFill="1" applyBorder="1" applyAlignment="1">
      <alignment horizontal="center"/>
    </xf>
    <xf numFmtId="2" fontId="54" fillId="11" borderId="1" xfId="0" applyNumberFormat="1" applyFont="1" applyFill="1" applyBorder="1" applyAlignment="1">
      <alignment horizontal="center"/>
    </xf>
    <xf numFmtId="2" fontId="54" fillId="0" borderId="1" xfId="0" applyNumberFormat="1" applyFont="1" applyBorder="1" applyAlignment="1">
      <alignment horizontal="center"/>
    </xf>
    <xf numFmtId="40" fontId="54" fillId="12" borderId="27" xfId="1" applyNumberFormat="1" applyFont="1" applyFill="1" applyBorder="1" applyAlignment="1">
      <alignment horizontal="center"/>
    </xf>
    <xf numFmtId="40" fontId="54" fillId="13" borderId="27" xfId="1" applyNumberFormat="1" applyFont="1" applyFill="1" applyBorder="1" applyAlignment="1">
      <alignment horizontal="center"/>
    </xf>
    <xf numFmtId="40" fontId="54" fillId="14" borderId="27" xfId="1" applyNumberFormat="1" applyFont="1" applyFill="1" applyBorder="1" applyAlignment="1">
      <alignment horizontal="center"/>
    </xf>
    <xf numFmtId="40" fontId="54" fillId="15" borderId="27" xfId="1" applyNumberFormat="1" applyFont="1" applyFill="1" applyBorder="1" applyAlignment="1">
      <alignment horizontal="center"/>
    </xf>
    <xf numFmtId="40" fontId="54" fillId="16" borderId="27" xfId="1" applyNumberFormat="1" applyFont="1" applyFill="1" applyBorder="1" applyAlignment="1">
      <alignment horizontal="center"/>
    </xf>
    <xf numFmtId="40" fontId="54" fillId="17" borderId="27" xfId="1" applyNumberFormat="1" applyFont="1" applyFill="1" applyBorder="1" applyAlignment="1">
      <alignment horizontal="center"/>
    </xf>
    <xf numFmtId="40" fontId="54" fillId="18" borderId="27" xfId="1" applyNumberFormat="1" applyFont="1" applyFill="1" applyBorder="1" applyAlignment="1">
      <alignment horizontal="center"/>
    </xf>
    <xf numFmtId="166" fontId="64" fillId="4" borderId="1" xfId="0" applyNumberFormat="1" applyFont="1" applyFill="1" applyBorder="1" applyAlignment="1">
      <alignment horizontal="center"/>
    </xf>
    <xf numFmtId="165" fontId="64" fillId="19" borderId="1" xfId="0" applyFont="1" applyFill="1" applyBorder="1" applyAlignment="1">
      <alignment horizontal="center"/>
    </xf>
    <xf numFmtId="2" fontId="64" fillId="19" borderId="1" xfId="0" applyNumberFormat="1" applyFont="1" applyFill="1" applyBorder="1" applyAlignment="1">
      <alignment horizontal="center"/>
    </xf>
    <xf numFmtId="2" fontId="64" fillId="0" borderId="1" xfId="0" applyNumberFormat="1" applyFont="1" applyBorder="1" applyAlignment="1">
      <alignment horizontal="center"/>
    </xf>
    <xf numFmtId="165" fontId="64" fillId="9" borderId="3" xfId="0" applyFont="1" applyFill="1" applyBorder="1" applyAlignment="1">
      <alignment horizontal="center"/>
    </xf>
    <xf numFmtId="40" fontId="54" fillId="10" borderId="68" xfId="1" applyNumberFormat="1" applyFont="1" applyFill="1" applyBorder="1" applyAlignment="1">
      <alignment horizontal="center"/>
    </xf>
    <xf numFmtId="2" fontId="54" fillId="11" borderId="1" xfId="0" applyNumberFormat="1" applyFont="1" applyFill="1" applyBorder="1"/>
    <xf numFmtId="40" fontId="54" fillId="12" borderId="68" xfId="1" applyNumberFormat="1" applyFont="1" applyFill="1" applyBorder="1" applyAlignment="1">
      <alignment horizontal="center"/>
    </xf>
    <xf numFmtId="2" fontId="54" fillId="0" borderId="1" xfId="0" applyNumberFormat="1" applyFont="1" applyBorder="1"/>
    <xf numFmtId="40" fontId="54" fillId="13" borderId="68" xfId="1" applyNumberFormat="1" applyFont="1" applyFill="1" applyBorder="1" applyAlignment="1">
      <alignment horizontal="center"/>
    </xf>
    <xf numFmtId="40" fontId="54" fillId="14" borderId="68" xfId="1" applyNumberFormat="1" applyFont="1" applyFill="1" applyBorder="1" applyAlignment="1">
      <alignment horizontal="center"/>
    </xf>
    <xf numFmtId="40" fontId="54" fillId="15" borderId="68" xfId="1" applyNumberFormat="1" applyFont="1" applyFill="1" applyBorder="1" applyAlignment="1">
      <alignment horizontal="center"/>
    </xf>
    <xf numFmtId="2" fontId="54" fillId="11" borderId="1" xfId="0" applyNumberFormat="1" applyFont="1" applyFill="1" applyBorder="1" applyAlignment="1">
      <alignment horizontal="right"/>
    </xf>
    <xf numFmtId="40" fontId="54" fillId="16" borderId="68" xfId="1" applyNumberFormat="1" applyFont="1" applyFill="1" applyBorder="1" applyAlignment="1">
      <alignment horizontal="center"/>
    </xf>
    <xf numFmtId="2" fontId="54" fillId="0" borderId="1" xfId="0" applyNumberFormat="1" applyFont="1" applyBorder="1" applyAlignment="1">
      <alignment horizontal="right"/>
    </xf>
    <xf numFmtId="40" fontId="54" fillId="17" borderId="68" xfId="1" applyNumberFormat="1" applyFont="1" applyFill="1" applyBorder="1" applyAlignment="1">
      <alignment horizontal="center"/>
    </xf>
    <xf numFmtId="40" fontId="54" fillId="18" borderId="68" xfId="1" applyNumberFormat="1" applyFont="1" applyFill="1" applyBorder="1" applyAlignment="1">
      <alignment horizontal="center"/>
    </xf>
    <xf numFmtId="165" fontId="64" fillId="19" borderId="3" xfId="0" applyFont="1" applyFill="1" applyBorder="1"/>
    <xf numFmtId="2" fontId="64" fillId="19" borderId="1" xfId="0" applyNumberFormat="1" applyFont="1" applyFill="1" applyBorder="1"/>
    <xf numFmtId="165" fontId="7" fillId="0" borderId="0" xfId="0" applyFont="1"/>
    <xf numFmtId="165" fontId="11" fillId="0" borderId="0" xfId="0" applyFont="1"/>
    <xf numFmtId="165" fontId="66" fillId="0" borderId="0" xfId="0" applyFont="1"/>
    <xf numFmtId="165" fontId="67" fillId="19" borderId="70" xfId="0" applyFont="1" applyFill="1" applyBorder="1" applyAlignment="1">
      <alignment vertical="center"/>
    </xf>
    <xf numFmtId="165" fontId="67" fillId="19" borderId="71" xfId="0" applyFont="1" applyFill="1" applyBorder="1" applyAlignment="1">
      <alignment vertical="center"/>
    </xf>
    <xf numFmtId="165" fontId="67" fillId="19" borderId="72" xfId="0" applyFont="1" applyFill="1" applyBorder="1" applyAlignment="1">
      <alignment vertical="center"/>
    </xf>
    <xf numFmtId="165" fontId="67" fillId="21" borderId="72" xfId="0" applyFont="1" applyFill="1" applyBorder="1" applyAlignment="1">
      <alignment vertical="center"/>
    </xf>
    <xf numFmtId="165" fontId="68" fillId="0" borderId="50" xfId="0" applyFont="1" applyBorder="1"/>
    <xf numFmtId="2" fontId="69" fillId="0" borderId="12" xfId="0" applyNumberFormat="1" applyFont="1" applyBorder="1"/>
    <xf numFmtId="2" fontId="69" fillId="0" borderId="10" xfId="0" applyNumberFormat="1" applyFont="1" applyBorder="1"/>
    <xf numFmtId="2" fontId="69" fillId="6" borderId="10" xfId="0" applyNumberFormat="1" applyFont="1" applyFill="1" applyBorder="1"/>
    <xf numFmtId="166" fontId="68" fillId="21" borderId="12" xfId="0" applyNumberFormat="1" applyFont="1" applyFill="1" applyBorder="1"/>
    <xf numFmtId="2" fontId="70" fillId="0" borderId="73" xfId="0" applyNumberFormat="1" applyFont="1" applyBorder="1"/>
    <xf numFmtId="165" fontId="68" fillId="0" borderId="13" xfId="0" applyFont="1" applyBorder="1"/>
    <xf numFmtId="165" fontId="71" fillId="20" borderId="38" xfId="0" applyFont="1" applyFill="1" applyBorder="1" applyAlignment="1">
      <alignment vertical="center"/>
    </xf>
    <xf numFmtId="2" fontId="72" fillId="20" borderId="39" xfId="0" applyNumberFormat="1" applyFont="1" applyFill="1" applyBorder="1" applyAlignment="1">
      <alignment vertical="center"/>
    </xf>
    <xf numFmtId="165" fontId="67" fillId="22" borderId="72" xfId="0" applyFont="1" applyFill="1" applyBorder="1" applyAlignment="1">
      <alignment vertical="center"/>
    </xf>
    <xf numFmtId="2" fontId="69" fillId="0" borderId="12" xfId="0" applyNumberFormat="1" applyFont="1" applyBorder="1" applyAlignment="1">
      <alignment horizontal="right" vertical="center"/>
    </xf>
    <xf numFmtId="2" fontId="75" fillId="22" borderId="12" xfId="0" applyNumberFormat="1" applyFont="1" applyFill="1" applyBorder="1"/>
    <xf numFmtId="165" fontId="71" fillId="20" borderId="31" xfId="0" applyFont="1" applyFill="1" applyBorder="1" applyAlignment="1">
      <alignment vertical="center"/>
    </xf>
    <xf numFmtId="2" fontId="72" fillId="20" borderId="32" xfId="0" applyNumberFormat="1" applyFont="1" applyFill="1" applyBorder="1" applyAlignment="1">
      <alignment vertical="center"/>
    </xf>
    <xf numFmtId="2" fontId="72" fillId="22" borderId="36" xfId="0" applyNumberFormat="1" applyFont="1" applyFill="1" applyBorder="1" applyAlignment="1">
      <alignment vertical="center"/>
    </xf>
    <xf numFmtId="165" fontId="10" fillId="0" borderId="0" xfId="3" applyFont="1" applyAlignment="1">
      <alignment horizontal="center" vertical="center"/>
    </xf>
    <xf numFmtId="1" fontId="11" fillId="3" borderId="1" xfId="0" applyNumberFormat="1" applyFont="1" applyFill="1" applyBorder="1" applyAlignment="1">
      <alignment horizontal="center"/>
    </xf>
    <xf numFmtId="166" fontId="11" fillId="3" borderId="14" xfId="0" applyNumberFormat="1" applyFont="1" applyFill="1" applyBorder="1"/>
    <xf numFmtId="165" fontId="9" fillId="0" borderId="0" xfId="3" applyFont="1"/>
    <xf numFmtId="1" fontId="9" fillId="0" borderId="1" xfId="3" applyNumberFormat="1" applyFont="1" applyBorder="1" applyAlignment="1">
      <alignment horizontal="center" vertical="center"/>
    </xf>
    <xf numFmtId="165" fontId="9" fillId="0" borderId="0" xfId="3" applyFont="1" applyAlignment="1">
      <alignment vertical="center"/>
    </xf>
    <xf numFmtId="1" fontId="10" fillId="0" borderId="1" xfId="3" applyNumberFormat="1" applyFont="1" applyBorder="1" applyAlignment="1">
      <alignment horizontal="center" vertical="center"/>
    </xf>
    <xf numFmtId="166" fontId="9" fillId="0" borderId="1" xfId="3" applyNumberFormat="1" applyFont="1" applyBorder="1" applyAlignment="1">
      <alignment horizontal="center" vertical="center"/>
    </xf>
    <xf numFmtId="166" fontId="10" fillId="0" borderId="14" xfId="3" applyNumberFormat="1" applyFont="1" applyBorder="1" applyAlignment="1">
      <alignment horizontal="center" vertical="center"/>
    </xf>
    <xf numFmtId="2" fontId="10" fillId="0" borderId="1" xfId="3" applyNumberFormat="1" applyFont="1" applyBorder="1" applyAlignment="1">
      <alignment horizontal="center" vertical="center"/>
    </xf>
    <xf numFmtId="2" fontId="10" fillId="0" borderId="1" xfId="3" applyNumberFormat="1" applyFont="1" applyBorder="1" applyAlignment="1">
      <alignment horizontal="right"/>
    </xf>
    <xf numFmtId="16" fontId="9" fillId="0" borderId="10" xfId="3" applyNumberFormat="1" applyFont="1" applyBorder="1" applyAlignment="1">
      <alignment horizontal="center" vertical="center"/>
    </xf>
    <xf numFmtId="1" fontId="10" fillId="0" borderId="1" xfId="3" applyNumberFormat="1" applyFont="1" applyBorder="1" applyAlignment="1">
      <alignment horizontal="right"/>
    </xf>
    <xf numFmtId="166" fontId="11" fillId="23" borderId="0" xfId="0" applyNumberFormat="1" applyFont="1" applyFill="1"/>
    <xf numFmtId="170" fontId="9" fillId="0" borderId="42" xfId="4" applyNumberFormat="1" applyFont="1" applyFill="1" applyBorder="1" applyAlignment="1">
      <alignment horizontal="center" vertical="center"/>
    </xf>
    <xf numFmtId="165" fontId="27" fillId="4" borderId="1" xfId="3" applyFont="1" applyFill="1" applyBorder="1" applyAlignment="1">
      <alignment horizontal="left"/>
    </xf>
    <xf numFmtId="165" fontId="29" fillId="4" borderId="1" xfId="3" applyFont="1" applyFill="1" applyBorder="1"/>
    <xf numFmtId="165" fontId="24" fillId="4" borderId="1" xfId="3" applyFont="1" applyFill="1" applyBorder="1" applyAlignment="1">
      <alignment horizontal="left"/>
    </xf>
    <xf numFmtId="165" fontId="30" fillId="4" borderId="1" xfId="3" applyFont="1" applyFill="1" applyBorder="1"/>
    <xf numFmtId="165" fontId="31" fillId="4" borderId="1" xfId="3" applyFont="1" applyFill="1" applyBorder="1" applyAlignment="1">
      <alignment horizontal="left"/>
    </xf>
    <xf numFmtId="165" fontId="10" fillId="4" borderId="1" xfId="3" applyFont="1" applyFill="1" applyBorder="1" applyAlignment="1">
      <alignment horizontal="left" vertical="center" wrapText="1"/>
    </xf>
    <xf numFmtId="1" fontId="10" fillId="4" borderId="1" xfId="3" applyNumberFormat="1" applyFont="1" applyFill="1" applyBorder="1" applyAlignment="1">
      <alignment horizontal="center" vertical="center" wrapText="1"/>
    </xf>
    <xf numFmtId="165" fontId="10" fillId="0" borderId="0" xfId="3" applyFont="1" applyAlignment="1">
      <alignment horizontal="center"/>
    </xf>
    <xf numFmtId="165" fontId="78" fillId="4" borderId="1" xfId="3" applyFont="1" applyFill="1" applyBorder="1" applyAlignment="1">
      <alignment horizontal="left"/>
    </xf>
    <xf numFmtId="166" fontId="11" fillId="0" borderId="0" xfId="0" applyNumberFormat="1" applyFont="1" applyAlignment="1">
      <alignment vertical="center"/>
    </xf>
    <xf numFmtId="167" fontId="10" fillId="0" borderId="0" xfId="3" applyNumberFormat="1" applyFont="1" applyAlignment="1">
      <alignment horizontal="right" vertical="center"/>
    </xf>
    <xf numFmtId="166" fontId="72" fillId="20" borderId="39" xfId="0" applyNumberFormat="1" applyFont="1" applyFill="1" applyBorder="1" applyAlignment="1">
      <alignment vertical="center"/>
    </xf>
    <xf numFmtId="166" fontId="70" fillId="0" borderId="73" xfId="0" applyNumberFormat="1" applyFont="1" applyBorder="1"/>
    <xf numFmtId="1" fontId="70" fillId="0" borderId="73" xfId="0" applyNumberFormat="1" applyFont="1" applyBorder="1"/>
    <xf numFmtId="14" fontId="10" fillId="0" borderId="0" xfId="3" applyNumberFormat="1" applyFont="1"/>
    <xf numFmtId="166" fontId="10" fillId="0" borderId="1" xfId="3" applyNumberFormat="1" applyFont="1" applyBorder="1" applyAlignment="1">
      <alignment horizontal="right"/>
    </xf>
    <xf numFmtId="4" fontId="9" fillId="0" borderId="11" xfId="3" applyNumberFormat="1" applyFont="1" applyBorder="1" applyAlignment="1">
      <alignment horizontal="center" vertical="center"/>
    </xf>
    <xf numFmtId="4" fontId="9" fillId="0" borderId="1" xfId="3" applyNumberFormat="1" applyFont="1" applyBorder="1" applyAlignment="1">
      <alignment horizontal="center" vertical="center"/>
    </xf>
    <xf numFmtId="166" fontId="10" fillId="0" borderId="14" xfId="3" applyNumberFormat="1" applyFont="1" applyBorder="1" applyAlignment="1">
      <alignment horizontal="right"/>
    </xf>
    <xf numFmtId="165" fontId="79" fillId="0" borderId="52" xfId="3" applyFont="1" applyBorder="1"/>
    <xf numFmtId="20" fontId="10" fillId="4" borderId="18" xfId="0" applyNumberFormat="1" applyFont="1" applyFill="1" applyBorder="1" applyAlignment="1">
      <alignment horizontal="center" vertical="center" wrapText="1"/>
    </xf>
    <xf numFmtId="1" fontId="10" fillId="0" borderId="63" xfId="3" applyNumberFormat="1" applyFont="1" applyBorder="1" applyAlignment="1">
      <alignment horizontal="center"/>
    </xf>
    <xf numFmtId="16" fontId="9" fillId="0" borderId="77" xfId="3" applyNumberFormat="1" applyFont="1" applyBorder="1" applyAlignment="1">
      <alignment vertical="center"/>
    </xf>
    <xf numFmtId="16" fontId="9" fillId="0" borderId="32" xfId="3" applyNumberFormat="1" applyFont="1" applyBorder="1" applyAlignment="1">
      <alignment vertical="center"/>
    </xf>
    <xf numFmtId="165" fontId="10" fillId="0" borderId="3" xfId="3" applyFont="1" applyBorder="1" applyAlignment="1">
      <alignment horizontal="center"/>
    </xf>
    <xf numFmtId="2" fontId="10" fillId="7" borderId="34" xfId="3" applyNumberFormat="1" applyFont="1" applyFill="1" applyBorder="1" applyAlignment="1">
      <alignment horizontal="center" vertical="center"/>
    </xf>
    <xf numFmtId="2" fontId="26" fillId="7" borderId="34" xfId="3" applyNumberFormat="1" applyFont="1" applyFill="1" applyBorder="1" applyAlignment="1">
      <alignment horizontal="center" vertical="center"/>
    </xf>
    <xf numFmtId="2" fontId="80" fillId="0" borderId="1" xfId="3" applyNumberFormat="1" applyFont="1" applyBorder="1" applyAlignment="1">
      <alignment horizontal="center" vertical="center"/>
    </xf>
    <xf numFmtId="2" fontId="9" fillId="0" borderId="0" xfId="3" applyNumberFormat="1" applyFont="1"/>
    <xf numFmtId="165" fontId="68" fillId="0" borderId="52" xfId="0" applyFont="1" applyBorder="1"/>
    <xf numFmtId="2" fontId="69" fillId="0" borderId="76" xfId="0" applyNumberFormat="1" applyFont="1" applyBorder="1"/>
    <xf numFmtId="2" fontId="69" fillId="0" borderId="80" xfId="0" applyNumberFormat="1" applyFont="1" applyBorder="1"/>
    <xf numFmtId="2" fontId="75" fillId="22" borderId="81" xfId="0" applyNumberFormat="1" applyFont="1" applyFill="1" applyBorder="1"/>
    <xf numFmtId="2" fontId="32" fillId="0" borderId="10" xfId="4" applyNumberFormat="1" applyFont="1" applyFill="1" applyBorder="1" applyAlignment="1">
      <alignment horizontal="center" vertical="center"/>
    </xf>
    <xf numFmtId="2" fontId="32" fillId="0" borderId="2" xfId="4" applyNumberFormat="1" applyFont="1" applyBorder="1" applyAlignment="1">
      <alignment horizontal="center" vertical="center"/>
    </xf>
    <xf numFmtId="2" fontId="32" fillId="0" borderId="2" xfId="4" applyNumberFormat="1" applyFont="1" applyFill="1" applyBorder="1" applyAlignment="1">
      <alignment horizontal="center" vertical="center"/>
    </xf>
    <xf numFmtId="166" fontId="10" fillId="0" borderId="1" xfId="3" applyNumberFormat="1" applyFont="1" applyBorder="1" applyAlignment="1">
      <alignment horizontal="center"/>
    </xf>
    <xf numFmtId="1" fontId="10" fillId="0" borderId="1" xfId="3" applyNumberFormat="1" applyFont="1" applyBorder="1" applyAlignment="1">
      <alignment horizontal="center"/>
    </xf>
    <xf numFmtId="1" fontId="10" fillId="0" borderId="18" xfId="3" applyNumberFormat="1" applyFont="1" applyBorder="1" applyAlignment="1">
      <alignment horizontal="center"/>
    </xf>
    <xf numFmtId="166" fontId="10" fillId="0" borderId="14" xfId="3" applyNumberFormat="1" applyFont="1" applyBorder="1" applyAlignment="1">
      <alignment horizontal="center"/>
    </xf>
    <xf numFmtId="166" fontId="10" fillId="0" borderId="32" xfId="3" applyNumberFormat="1" applyFont="1" applyBorder="1" applyAlignment="1">
      <alignment horizontal="center"/>
    </xf>
    <xf numFmtId="166" fontId="10" fillId="0" borderId="14" xfId="3" applyNumberFormat="1" applyFont="1" applyBorder="1"/>
    <xf numFmtId="166" fontId="10" fillId="4" borderId="33" xfId="3" applyNumberFormat="1" applyFont="1" applyFill="1" applyBorder="1"/>
    <xf numFmtId="1" fontId="10" fillId="4" borderId="33" xfId="3" applyNumberFormat="1" applyFont="1" applyFill="1" applyBorder="1"/>
    <xf numFmtId="2" fontId="69" fillId="4" borderId="12" xfId="0" applyNumberFormat="1" applyFont="1" applyFill="1" applyBorder="1"/>
    <xf numFmtId="2" fontId="69" fillId="4" borderId="12" xfId="0" quotePrefix="1" applyNumberFormat="1" applyFont="1" applyFill="1" applyBorder="1"/>
    <xf numFmtId="2" fontId="69" fillId="4" borderId="80" xfId="0" applyNumberFormat="1" applyFont="1" applyFill="1" applyBorder="1"/>
    <xf numFmtId="2" fontId="9" fillId="0" borderId="0" xfId="3" applyNumberFormat="1" applyFont="1" applyAlignment="1">
      <alignment wrapText="1"/>
    </xf>
    <xf numFmtId="165" fontId="8" fillId="0" borderId="0" xfId="3" applyAlignment="1">
      <alignment horizontal="left"/>
    </xf>
    <xf numFmtId="2" fontId="8" fillId="0" borderId="60" xfId="3" applyNumberFormat="1" applyBorder="1" applyAlignment="1">
      <alignment horizontal="center"/>
    </xf>
    <xf numFmtId="2" fontId="41" fillId="0" borderId="26" xfId="3" applyNumberFormat="1" applyFont="1" applyBorder="1" applyAlignment="1">
      <alignment horizontal="center"/>
    </xf>
    <xf numFmtId="165" fontId="8" fillId="0" borderId="56" xfId="3" applyBorder="1" applyAlignment="1">
      <alignment horizontal="center"/>
    </xf>
    <xf numFmtId="165" fontId="10" fillId="0" borderId="1" xfId="3" applyFont="1" applyBorder="1" applyAlignment="1">
      <alignment horizontal="center" vertical="center" wrapText="1"/>
    </xf>
    <xf numFmtId="1" fontId="9" fillId="0" borderId="1" xfId="3" applyNumberFormat="1" applyFont="1" applyBorder="1"/>
    <xf numFmtId="2" fontId="36" fillId="23" borderId="1" xfId="3" applyNumberFormat="1" applyFont="1" applyFill="1" applyBorder="1" applyAlignment="1">
      <alignment horizontal="right"/>
    </xf>
    <xf numFmtId="2" fontId="10" fillId="23" borderId="21" xfId="3" applyNumberFormat="1" applyFont="1" applyFill="1" applyBorder="1" applyAlignment="1">
      <alignment horizontal="right"/>
    </xf>
    <xf numFmtId="20" fontId="10" fillId="4" borderId="17" xfId="0" applyNumberFormat="1" applyFont="1" applyFill="1" applyBorder="1" applyAlignment="1">
      <alignment horizontal="center" vertical="center" wrapText="1"/>
    </xf>
    <xf numFmtId="1" fontId="10" fillId="0" borderId="19" xfId="3" applyNumberFormat="1" applyFont="1" applyBorder="1" applyAlignment="1">
      <alignment horizontal="center"/>
    </xf>
    <xf numFmtId="165" fontId="28" fillId="4" borderId="1" xfId="3" applyFont="1" applyFill="1" applyBorder="1"/>
    <xf numFmtId="2" fontId="77" fillId="6" borderId="1" xfId="3" applyNumberFormat="1" applyFont="1" applyFill="1" applyBorder="1"/>
    <xf numFmtId="0" fontId="23" fillId="0" borderId="59" xfId="3" applyNumberFormat="1" applyFont="1" applyBorder="1" applyAlignment="1">
      <alignment vertical="top" wrapText="1"/>
    </xf>
    <xf numFmtId="166" fontId="10" fillId="0" borderId="0" xfId="3" applyNumberFormat="1" applyFont="1"/>
    <xf numFmtId="2" fontId="26" fillId="0" borderId="43" xfId="3" applyNumberFormat="1" applyFont="1" applyBorder="1" applyAlignment="1">
      <alignment horizontal="center" vertical="center"/>
    </xf>
    <xf numFmtId="2" fontId="26" fillId="0" borderId="54" xfId="3" applyNumberFormat="1" applyFont="1" applyBorder="1" applyAlignment="1">
      <alignment horizontal="center" vertical="center"/>
    </xf>
    <xf numFmtId="1" fontId="10" fillId="0" borderId="0" xfId="3" applyNumberFormat="1" applyFont="1"/>
    <xf numFmtId="2" fontId="10" fillId="0" borderId="76" xfId="6" applyNumberFormat="1" applyFont="1" applyBorder="1" applyAlignment="1">
      <alignment horizontal="center" vertical="center"/>
    </xf>
    <xf numFmtId="2" fontId="10" fillId="0" borderId="80" xfId="3" applyNumberFormat="1" applyFont="1" applyBorder="1" applyAlignment="1">
      <alignment horizontal="center" vertical="center"/>
    </xf>
    <xf numFmtId="165" fontId="10" fillId="0" borderId="1" xfId="3" applyFont="1" applyBorder="1" applyAlignment="1">
      <alignment vertical="center" wrapText="1"/>
    </xf>
    <xf numFmtId="165" fontId="10" fillId="0" borderId="0" xfId="3" applyFont="1" applyAlignment="1">
      <alignment horizontal="left"/>
    </xf>
    <xf numFmtId="165" fontId="10" fillId="0" borderId="6" xfId="3" applyFont="1" applyBorder="1" applyAlignment="1">
      <alignment horizontal="center" vertical="center" wrapText="1"/>
    </xf>
    <xf numFmtId="165" fontId="10" fillId="0" borderId="10" xfId="3" applyFont="1" applyBorder="1" applyAlignment="1">
      <alignment horizontal="center" vertical="center" wrapText="1"/>
    </xf>
    <xf numFmtId="165" fontId="10" fillId="0" borderId="4" xfId="3" applyFont="1" applyBorder="1" applyAlignment="1">
      <alignment horizontal="center"/>
    </xf>
    <xf numFmtId="165" fontId="10" fillId="0" borderId="7" xfId="3" applyFont="1" applyBorder="1" applyAlignment="1">
      <alignment horizontal="center" vertical="center" wrapText="1"/>
    </xf>
    <xf numFmtId="2" fontId="10" fillId="4" borderId="23" xfId="3" applyNumberFormat="1" applyFont="1" applyFill="1" applyBorder="1" applyAlignment="1">
      <alignment horizontal="center" vertical="center"/>
    </xf>
    <xf numFmtId="165" fontId="27" fillId="0" borderId="13" xfId="3" applyFont="1" applyBorder="1" applyAlignment="1">
      <alignment horizontal="left" vertical="center"/>
    </xf>
    <xf numFmtId="2" fontId="26" fillId="0" borderId="35" xfId="3" applyNumberFormat="1" applyFont="1" applyBorder="1" applyAlignment="1">
      <alignment horizontal="center" vertical="center"/>
    </xf>
    <xf numFmtId="2" fontId="10" fillId="7" borderId="0" xfId="3" applyNumberFormat="1" applyFont="1" applyFill="1" applyAlignment="1">
      <alignment horizontal="center" vertical="center"/>
    </xf>
    <xf numFmtId="2" fontId="26" fillId="7" borderId="0" xfId="3" applyNumberFormat="1" applyFont="1" applyFill="1" applyAlignment="1">
      <alignment horizontal="center" vertical="center"/>
    </xf>
    <xf numFmtId="166" fontId="10" fillId="7" borderId="0" xfId="3" applyNumberFormat="1" applyFont="1" applyFill="1" applyAlignment="1">
      <alignment horizontal="center" vertical="center"/>
    </xf>
    <xf numFmtId="16" fontId="9" fillId="0" borderId="1" xfId="3" applyNumberFormat="1" applyFont="1" applyBorder="1" applyAlignment="1">
      <alignment horizontal="center" vertical="center"/>
    </xf>
    <xf numFmtId="166" fontId="9" fillId="4" borderId="1" xfId="3" applyNumberFormat="1" applyFont="1" applyFill="1" applyBorder="1" applyAlignment="1">
      <alignment horizontal="center" vertical="center"/>
    </xf>
    <xf numFmtId="166" fontId="10" fillId="0" borderId="1" xfId="3" applyNumberFormat="1" applyFont="1" applyBorder="1" applyAlignment="1">
      <alignment horizontal="center" vertical="center"/>
    </xf>
    <xf numFmtId="1" fontId="32" fillId="0" borderId="1" xfId="3" applyNumberFormat="1" applyFont="1" applyBorder="1" applyAlignment="1">
      <alignment vertical="center" wrapText="1"/>
    </xf>
    <xf numFmtId="167" fontId="22" fillId="5" borderId="11" xfId="3" applyNumberFormat="1" applyFont="1" applyFill="1" applyBorder="1" applyAlignment="1">
      <alignment horizontal="center" vertical="center"/>
    </xf>
    <xf numFmtId="165" fontId="9" fillId="0" borderId="2" xfId="3" applyFont="1" applyBorder="1" applyAlignment="1">
      <alignment vertical="center"/>
    </xf>
    <xf numFmtId="170" fontId="9" fillId="0" borderId="1" xfId="4" applyNumberFormat="1" applyFont="1" applyBorder="1" applyAlignment="1">
      <alignment horizontal="center" vertical="center"/>
    </xf>
    <xf numFmtId="165" fontId="21" fillId="0" borderId="13" xfId="3" applyFont="1" applyBorder="1"/>
    <xf numFmtId="167" fontId="22" fillId="0" borderId="11" xfId="3" applyNumberFormat="1" applyFont="1" applyBorder="1" applyAlignment="1">
      <alignment horizontal="center" vertical="center"/>
    </xf>
    <xf numFmtId="1" fontId="32" fillId="0" borderId="51" xfId="3" applyNumberFormat="1" applyFont="1" applyBorder="1" applyAlignment="1">
      <alignment vertical="center" wrapText="1"/>
    </xf>
    <xf numFmtId="170" fontId="9" fillId="0" borderId="3" xfId="4" applyNumberFormat="1" applyFont="1" applyBorder="1" applyAlignment="1">
      <alignment horizontal="center" vertical="center"/>
    </xf>
    <xf numFmtId="4" fontId="9" fillId="0" borderId="10" xfId="3" applyNumberFormat="1" applyFont="1" applyBorder="1" applyAlignment="1">
      <alignment horizontal="center" vertical="center"/>
    </xf>
    <xf numFmtId="171" fontId="9" fillId="0" borderId="10" xfId="3" applyNumberFormat="1" applyFont="1" applyBorder="1" applyAlignment="1">
      <alignment horizontal="center" vertical="center"/>
    </xf>
    <xf numFmtId="2" fontId="9" fillId="0" borderId="10" xfId="3" applyNumberFormat="1" applyFont="1" applyBorder="1" applyAlignment="1">
      <alignment horizontal="center" vertical="center"/>
    </xf>
    <xf numFmtId="170" fontId="9" fillId="0" borderId="10" xfId="4" applyNumberFormat="1" applyFont="1" applyBorder="1" applyAlignment="1">
      <alignment horizontal="center" vertical="center"/>
    </xf>
    <xf numFmtId="2" fontId="32" fillId="0" borderId="1" xfId="4" applyNumberFormat="1" applyFont="1" applyFill="1" applyBorder="1" applyAlignment="1">
      <alignment horizontal="center" vertical="center"/>
    </xf>
    <xf numFmtId="2" fontId="32" fillId="0" borderId="1" xfId="4" applyNumberFormat="1" applyFont="1" applyBorder="1" applyAlignment="1">
      <alignment horizontal="center" vertical="center"/>
    </xf>
    <xf numFmtId="166" fontId="9" fillId="0" borderId="1" xfId="3" applyNumberFormat="1" applyFont="1" applyBorder="1" applyAlignment="1">
      <alignment horizontal="center"/>
    </xf>
    <xf numFmtId="2" fontId="10" fillId="0" borderId="1" xfId="3" applyNumberFormat="1" applyFont="1" applyBorder="1" applyAlignment="1">
      <alignment horizontal="left" vertical="center"/>
    </xf>
    <xf numFmtId="165" fontId="28" fillId="0" borderId="13" xfId="3" applyFont="1" applyBorder="1" applyAlignment="1">
      <alignment vertical="center"/>
    </xf>
    <xf numFmtId="170" fontId="10" fillId="23" borderId="1" xfId="3" applyNumberFormat="1" applyFont="1" applyFill="1" applyBorder="1" applyAlignment="1">
      <alignment horizontal="right"/>
    </xf>
    <xf numFmtId="165" fontId="27" fillId="0" borderId="13" xfId="3" applyFont="1" applyBorder="1" applyAlignment="1">
      <alignment horizontal="center" vertical="center"/>
    </xf>
    <xf numFmtId="165" fontId="10" fillId="0" borderId="18" xfId="3" applyFont="1" applyBorder="1"/>
    <xf numFmtId="2" fontId="10" fillId="0" borderId="10" xfId="3" applyNumberFormat="1" applyFont="1" applyBorder="1" applyAlignment="1">
      <alignment horizontal="center" vertical="center"/>
    </xf>
    <xf numFmtId="2" fontId="10" fillId="4" borderId="18" xfId="3" applyNumberFormat="1" applyFont="1" applyFill="1" applyBorder="1" applyAlignment="1">
      <alignment horizontal="center" vertical="center"/>
    </xf>
    <xf numFmtId="2" fontId="32" fillId="0" borderId="1" xfId="3" applyNumberFormat="1" applyFont="1" applyBorder="1" applyAlignment="1">
      <alignment horizontal="center" vertical="center"/>
    </xf>
    <xf numFmtId="2" fontId="10" fillId="4" borderId="1" xfId="3" applyNumberFormat="1" applyFont="1" applyFill="1" applyBorder="1" applyAlignment="1">
      <alignment horizontal="center" vertical="center"/>
    </xf>
    <xf numFmtId="165" fontId="28" fillId="0" borderId="1" xfId="3" applyFont="1" applyBorder="1" applyAlignment="1">
      <alignment vertical="center"/>
    </xf>
    <xf numFmtId="166" fontId="22" fillId="4" borderId="1" xfId="3" applyNumberFormat="1" applyFont="1" applyFill="1" applyBorder="1" applyAlignment="1">
      <alignment horizontal="center" vertical="center"/>
    </xf>
    <xf numFmtId="167" fontId="9" fillId="0" borderId="1" xfId="3" applyNumberFormat="1" applyFont="1" applyBorder="1" applyAlignment="1">
      <alignment horizontal="center" vertical="center"/>
    </xf>
    <xf numFmtId="166" fontId="9" fillId="7" borderId="1" xfId="3" applyNumberFormat="1" applyFont="1" applyFill="1" applyBorder="1" applyAlignment="1">
      <alignment horizontal="center" vertical="center"/>
    </xf>
    <xf numFmtId="167" fontId="9" fillId="0" borderId="11" xfId="3" applyNumberFormat="1" applyFont="1" applyBorder="1" applyAlignment="1">
      <alignment horizontal="center"/>
    </xf>
    <xf numFmtId="165" fontId="14" fillId="4" borderId="0" xfId="3" applyFont="1" applyFill="1" applyAlignment="1">
      <alignment horizontal="center" vertical="center"/>
    </xf>
    <xf numFmtId="165" fontId="14" fillId="4" borderId="25" xfId="3" applyFont="1" applyFill="1" applyBorder="1" applyAlignment="1">
      <alignment horizontal="center" vertical="center"/>
    </xf>
    <xf numFmtId="165" fontId="14" fillId="4" borderId="26" xfId="3" applyFont="1" applyFill="1" applyBorder="1" applyAlignment="1">
      <alignment horizontal="center" vertical="center"/>
    </xf>
    <xf numFmtId="165" fontId="14" fillId="4" borderId="75" xfId="3" applyFont="1" applyFill="1" applyBorder="1" applyAlignment="1">
      <alignment horizontal="center" vertical="center"/>
    </xf>
    <xf numFmtId="165" fontId="14" fillId="4" borderId="63" xfId="3" applyFont="1" applyFill="1" applyBorder="1" applyAlignment="1">
      <alignment horizontal="center" vertical="center"/>
    </xf>
    <xf numFmtId="165" fontId="14" fillId="4" borderId="4" xfId="3" applyFont="1" applyFill="1" applyBorder="1" applyAlignment="1">
      <alignment horizontal="center" vertical="center"/>
    </xf>
    <xf numFmtId="1" fontId="10" fillId="4" borderId="34" xfId="3" applyNumberFormat="1" applyFont="1" applyFill="1" applyBorder="1"/>
    <xf numFmtId="166" fontId="10" fillId="4" borderId="34" xfId="3" applyNumberFormat="1" applyFont="1" applyFill="1" applyBorder="1"/>
    <xf numFmtId="165" fontId="79" fillId="0" borderId="31" xfId="3" applyFont="1" applyBorder="1"/>
    <xf numFmtId="1" fontId="10" fillId="0" borderId="32" xfId="3" applyNumberFormat="1" applyFont="1" applyBorder="1" applyAlignment="1">
      <alignment horizontal="right"/>
    </xf>
    <xf numFmtId="166" fontId="10" fillId="0" borderId="32" xfId="3" applyNumberFormat="1" applyFont="1" applyBorder="1"/>
    <xf numFmtId="166" fontId="9" fillId="0" borderId="36" xfId="3" applyNumberFormat="1" applyFont="1" applyBorder="1"/>
    <xf numFmtId="165" fontId="82" fillId="0" borderId="52" xfId="3" applyFont="1" applyBorder="1"/>
    <xf numFmtId="165" fontId="83" fillId="0" borderId="52" xfId="3" applyFont="1" applyBorder="1"/>
    <xf numFmtId="170" fontId="8" fillId="0" borderId="0" xfId="3" applyNumberFormat="1" applyAlignment="1">
      <alignment horizontal="right"/>
    </xf>
    <xf numFmtId="165" fontId="84" fillId="0" borderId="31" xfId="3" applyFont="1" applyBorder="1"/>
    <xf numFmtId="165" fontId="85" fillId="0" borderId="31" xfId="3" applyFont="1" applyBorder="1"/>
    <xf numFmtId="166" fontId="9" fillId="0" borderId="0" xfId="3" applyNumberFormat="1" applyFont="1" applyAlignment="1">
      <alignment horizontal="center" vertical="center"/>
    </xf>
    <xf numFmtId="166" fontId="10" fillId="26" borderId="63" xfId="3" applyNumberFormat="1" applyFont="1" applyFill="1" applyBorder="1" applyAlignment="1">
      <alignment horizontal="center"/>
    </xf>
    <xf numFmtId="0" fontId="10" fillId="0" borderId="0" xfId="3" applyNumberFormat="1" applyFont="1" applyAlignment="1">
      <alignment horizontal="center"/>
    </xf>
    <xf numFmtId="0" fontId="23" fillId="0" borderId="1" xfId="3" applyNumberFormat="1" applyFont="1" applyBorder="1" applyAlignment="1">
      <alignment vertical="top" wrapText="1"/>
    </xf>
    <xf numFmtId="165" fontId="9" fillId="0" borderId="0" xfId="3" applyFont="1" applyAlignment="1">
      <alignment horizontal="left" vertical="center"/>
    </xf>
    <xf numFmtId="165" fontId="9" fillId="23" borderId="2" xfId="3" applyFont="1" applyFill="1" applyBorder="1" applyAlignment="1">
      <alignment vertical="center"/>
    </xf>
    <xf numFmtId="165" fontId="10" fillId="0" borderId="81" xfId="3" applyFont="1" applyBorder="1" applyAlignment="1">
      <alignment vertical="center" wrapText="1"/>
    </xf>
    <xf numFmtId="165" fontId="10" fillId="0" borderId="40" xfId="3" applyFont="1" applyBorder="1" applyAlignment="1">
      <alignment horizontal="center" vertical="center" wrapText="1"/>
    </xf>
    <xf numFmtId="16" fontId="9" fillId="0" borderId="39" xfId="3" applyNumberFormat="1" applyFont="1" applyBorder="1" applyAlignment="1">
      <alignment horizontal="center" vertical="center"/>
    </xf>
    <xf numFmtId="4" fontId="9" fillId="0" borderId="39" xfId="3" applyNumberFormat="1" applyFont="1" applyBorder="1" applyAlignment="1">
      <alignment horizontal="center" vertical="center"/>
    </xf>
    <xf numFmtId="171" fontId="9" fillId="0" borderId="39" xfId="3" applyNumberFormat="1" applyFont="1" applyBorder="1" applyAlignment="1">
      <alignment horizontal="center" vertical="center"/>
    </xf>
    <xf numFmtId="2" fontId="9" fillId="0" borderId="39" xfId="3" applyNumberFormat="1" applyFont="1" applyBorder="1" applyAlignment="1">
      <alignment horizontal="center" vertical="center"/>
    </xf>
    <xf numFmtId="4" fontId="9" fillId="0" borderId="62" xfId="3" applyNumberFormat="1" applyFont="1" applyBorder="1" applyAlignment="1">
      <alignment horizontal="center" vertical="center"/>
    </xf>
    <xf numFmtId="2" fontId="32" fillId="0" borderId="39" xfId="4" applyNumberFormat="1" applyFont="1" applyFill="1" applyBorder="1" applyAlignment="1">
      <alignment horizontal="center" vertical="center"/>
    </xf>
    <xf numFmtId="170" fontId="9" fillId="0" borderId="79" xfId="4" applyNumberFormat="1" applyFont="1" applyFill="1" applyBorder="1" applyAlignment="1">
      <alignment horizontal="center" vertical="center"/>
    </xf>
    <xf numFmtId="16" fontId="10" fillId="0" borderId="76" xfId="3" applyNumberFormat="1" applyFont="1" applyBorder="1" applyAlignment="1">
      <alignment horizontal="center" vertical="center"/>
    </xf>
    <xf numFmtId="4" fontId="9" fillId="0" borderId="76" xfId="3" applyNumberFormat="1" applyFont="1" applyBorder="1" applyAlignment="1">
      <alignment horizontal="center" vertical="center"/>
    </xf>
    <xf numFmtId="171" fontId="9" fillId="0" borderId="76" xfId="3" applyNumberFormat="1" applyFont="1" applyBorder="1" applyAlignment="1">
      <alignment horizontal="center" vertical="center"/>
    </xf>
    <xf numFmtId="2" fontId="9" fillId="0" borderId="76" xfId="3" applyNumberFormat="1" applyFont="1" applyBorder="1" applyAlignment="1">
      <alignment horizontal="center" vertical="center"/>
    </xf>
    <xf numFmtId="4" fontId="9" fillId="0" borderId="80" xfId="3" applyNumberFormat="1" applyFont="1" applyBorder="1" applyAlignment="1">
      <alignment horizontal="center" vertical="center"/>
    </xf>
    <xf numFmtId="2" fontId="32" fillId="0" borderId="76" xfId="4" applyNumberFormat="1" applyFont="1" applyFill="1" applyBorder="1" applyAlignment="1">
      <alignment horizontal="center" vertical="center"/>
    </xf>
    <xf numFmtId="170" fontId="9" fillId="0" borderId="9" xfId="4" applyNumberFormat="1" applyFont="1" applyFill="1" applyBorder="1" applyAlignment="1">
      <alignment horizontal="center" vertical="center"/>
    </xf>
    <xf numFmtId="165" fontId="86" fillId="0" borderId="38" xfId="3" applyFont="1" applyBorder="1" applyAlignment="1">
      <alignment horizontal="center" vertical="center"/>
    </xf>
    <xf numFmtId="2" fontId="32" fillId="0" borderId="62" xfId="4" applyNumberFormat="1" applyFont="1" applyFill="1" applyBorder="1" applyAlignment="1">
      <alignment horizontal="center" vertical="center"/>
    </xf>
    <xf numFmtId="2" fontId="10" fillId="0" borderId="39" xfId="3" applyNumberFormat="1" applyFont="1" applyBorder="1" applyAlignment="1">
      <alignment horizontal="center" vertical="center"/>
    </xf>
    <xf numFmtId="2" fontId="80" fillId="0" borderId="39" xfId="3" applyNumberFormat="1" applyFont="1" applyBorder="1" applyAlignment="1">
      <alignment horizontal="center" vertical="center"/>
    </xf>
    <xf numFmtId="16" fontId="10" fillId="0" borderId="84" xfId="3" applyNumberFormat="1" applyFont="1" applyBorder="1" applyAlignment="1">
      <alignment horizontal="center" vertical="center"/>
    </xf>
    <xf numFmtId="4" fontId="9" fillId="0" borderId="84" xfId="3" applyNumberFormat="1" applyFont="1" applyBorder="1" applyAlignment="1">
      <alignment horizontal="center" vertical="center"/>
    </xf>
    <xf numFmtId="171" fontId="9" fillId="0" borderId="84" xfId="3" applyNumberFormat="1" applyFont="1" applyBorder="1" applyAlignment="1">
      <alignment horizontal="center" vertical="center"/>
    </xf>
    <xf numFmtId="2" fontId="9" fillId="0" borderId="84" xfId="3" applyNumberFormat="1" applyFont="1" applyBorder="1" applyAlignment="1">
      <alignment horizontal="center" vertical="center"/>
    </xf>
    <xf numFmtId="4" fontId="9" fillId="0" borderId="85" xfId="3" applyNumberFormat="1" applyFont="1" applyBorder="1" applyAlignment="1">
      <alignment horizontal="center" vertical="center"/>
    </xf>
    <xf numFmtId="2" fontId="32" fillId="0" borderId="84" xfId="4" applyNumberFormat="1" applyFont="1" applyFill="1" applyBorder="1" applyAlignment="1">
      <alignment horizontal="center" vertical="center"/>
    </xf>
    <xf numFmtId="2" fontId="32" fillId="0" borderId="85" xfId="4" applyNumberFormat="1" applyFont="1" applyFill="1" applyBorder="1" applyAlignment="1">
      <alignment horizontal="center" vertical="center"/>
    </xf>
    <xf numFmtId="2" fontId="10" fillId="4" borderId="84" xfId="3" applyNumberFormat="1" applyFont="1" applyFill="1" applyBorder="1" applyAlignment="1">
      <alignment horizontal="center" vertical="center"/>
    </xf>
    <xf numFmtId="170" fontId="9" fillId="0" borderId="86" xfId="4" applyNumberFormat="1" applyFont="1" applyFill="1" applyBorder="1" applyAlignment="1">
      <alignment horizontal="center" vertical="center"/>
    </xf>
    <xf numFmtId="2" fontId="32" fillId="0" borderId="80" xfId="4" applyNumberFormat="1" applyFont="1" applyFill="1" applyBorder="1" applyAlignment="1">
      <alignment horizontal="center" vertical="center"/>
    </xf>
    <xf numFmtId="2" fontId="10" fillId="0" borderId="76" xfId="3" applyNumberFormat="1" applyFont="1" applyBorder="1" applyAlignment="1">
      <alignment horizontal="center" vertical="center"/>
    </xf>
    <xf numFmtId="2" fontId="80" fillId="0" borderId="76" xfId="3" applyNumberFormat="1" applyFont="1" applyBorder="1" applyAlignment="1">
      <alignment horizontal="center" vertical="center"/>
    </xf>
    <xf numFmtId="165" fontId="87" fillId="0" borderId="88" xfId="3" applyFont="1" applyBorder="1" applyAlignment="1">
      <alignment horizontal="center" vertical="center"/>
    </xf>
    <xf numFmtId="165" fontId="10" fillId="0" borderId="87" xfId="3" applyFont="1" applyBorder="1" applyAlignment="1">
      <alignment horizontal="center" vertical="center" wrapText="1"/>
    </xf>
    <xf numFmtId="165" fontId="10" fillId="0" borderId="18" xfId="3" applyFont="1" applyBorder="1" applyAlignment="1">
      <alignment horizontal="center" vertical="center" wrapText="1"/>
    </xf>
    <xf numFmtId="165" fontId="21" fillId="0" borderId="13" xfId="3" applyFont="1" applyBorder="1" applyAlignment="1">
      <alignment horizontal="center" vertical="center"/>
    </xf>
    <xf numFmtId="2" fontId="80" fillId="0" borderId="84" xfId="3" applyNumberFormat="1" applyFont="1" applyBorder="1" applyAlignment="1">
      <alignment horizontal="center" vertical="center"/>
    </xf>
    <xf numFmtId="2" fontId="32" fillId="0" borderId="84" xfId="4" applyNumberFormat="1" applyFont="1" applyBorder="1" applyAlignment="1">
      <alignment horizontal="center" vertical="center"/>
    </xf>
    <xf numFmtId="170" fontId="10" fillId="0" borderId="86" xfId="4" applyNumberFormat="1" applyFont="1" applyFill="1" applyBorder="1" applyAlignment="1">
      <alignment horizontal="center" vertical="center"/>
    </xf>
    <xf numFmtId="4" fontId="9" fillId="0" borderId="0" xfId="3" applyNumberFormat="1" applyFont="1" applyAlignment="1">
      <alignment horizontal="center" vertical="center"/>
    </xf>
    <xf numFmtId="171" fontId="9" fillId="0" borderId="0" xfId="3" applyNumberFormat="1" applyFont="1" applyAlignment="1">
      <alignment horizontal="center" vertical="center"/>
    </xf>
    <xf numFmtId="2" fontId="9" fillId="0" borderId="0" xfId="3" applyNumberFormat="1" applyFont="1" applyAlignment="1">
      <alignment horizontal="center" vertical="center"/>
    </xf>
    <xf numFmtId="2" fontId="32" fillId="0" borderId="0" xfId="4" applyNumberFormat="1" applyFont="1" applyFill="1" applyBorder="1" applyAlignment="1">
      <alignment horizontal="center" vertical="center"/>
    </xf>
    <xf numFmtId="170" fontId="9" fillId="0" borderId="0" xfId="4" applyNumberFormat="1" applyFont="1" applyFill="1" applyBorder="1" applyAlignment="1">
      <alignment horizontal="center" vertical="center"/>
    </xf>
    <xf numFmtId="2" fontId="80" fillId="0" borderId="0" xfId="3" applyNumberFormat="1" applyFont="1" applyAlignment="1">
      <alignment horizontal="center" vertical="center"/>
    </xf>
    <xf numFmtId="165" fontId="28" fillId="0" borderId="0" xfId="3" applyFont="1" applyAlignment="1">
      <alignment horizontal="center" vertical="center"/>
    </xf>
    <xf numFmtId="165" fontId="11" fillId="3" borderId="1" xfId="3" applyFont="1" applyFill="1" applyBorder="1"/>
    <xf numFmtId="166" fontId="11" fillId="3" borderId="1" xfId="3" applyNumberFormat="1" applyFont="1" applyFill="1" applyBorder="1"/>
    <xf numFmtId="166" fontId="11" fillId="3" borderId="2" xfId="3" applyNumberFormat="1" applyFont="1" applyFill="1" applyBorder="1"/>
    <xf numFmtId="1" fontId="11" fillId="3" borderId="1" xfId="3" applyNumberFormat="1" applyFont="1" applyFill="1" applyBorder="1" applyAlignment="1">
      <alignment horizontal="center"/>
    </xf>
    <xf numFmtId="166" fontId="11" fillId="3" borderId="14" xfId="3" applyNumberFormat="1" applyFont="1" applyFill="1" applyBorder="1"/>
    <xf numFmtId="166" fontId="11" fillId="0" borderId="0" xfId="3" applyNumberFormat="1" applyFont="1" applyAlignment="1">
      <alignment vertical="center"/>
    </xf>
    <xf numFmtId="20" fontId="10" fillId="4" borderId="17" xfId="3" applyNumberFormat="1" applyFont="1" applyFill="1" applyBorder="1" applyAlignment="1">
      <alignment horizontal="center" vertical="center" wrapText="1"/>
    </xf>
    <xf numFmtId="20" fontId="10" fillId="4" borderId="18" xfId="3" applyNumberFormat="1" applyFont="1" applyFill="1" applyBorder="1" applyAlignment="1">
      <alignment horizontal="center" vertical="center" wrapText="1"/>
    </xf>
    <xf numFmtId="169" fontId="35" fillId="0" borderId="41" xfId="3" applyNumberFormat="1" applyFont="1" applyBorder="1" applyAlignment="1">
      <alignment horizontal="center" vertical="center"/>
    </xf>
    <xf numFmtId="2" fontId="10" fillId="0" borderId="84" xfId="3" applyNumberFormat="1" applyFont="1" applyBorder="1" applyAlignment="1">
      <alignment horizontal="center" vertical="center"/>
    </xf>
    <xf numFmtId="2" fontId="41" fillId="0" borderId="1" xfId="3" applyNumberFormat="1" applyFont="1" applyBorder="1" applyAlignment="1">
      <alignment horizontal="right"/>
    </xf>
    <xf numFmtId="165" fontId="10" fillId="0" borderId="27" xfId="3" applyFont="1" applyBorder="1" applyAlignment="1">
      <alignment vertical="center" wrapText="1"/>
    </xf>
    <xf numFmtId="16" fontId="10" fillId="0" borderId="86" xfId="3" applyNumberFormat="1" applyFont="1" applyBorder="1" applyAlignment="1">
      <alignment horizontal="center" vertical="center"/>
    </xf>
    <xf numFmtId="165" fontId="21" fillId="0" borderId="18" xfId="3" applyFont="1" applyBorder="1" applyAlignment="1">
      <alignment horizontal="center" vertical="center"/>
    </xf>
    <xf numFmtId="165" fontId="86" fillId="0" borderId="18" xfId="3" applyFont="1" applyBorder="1" applyAlignment="1">
      <alignment horizontal="center" vertical="center"/>
    </xf>
    <xf numFmtId="2" fontId="80" fillId="0" borderId="1" xfId="3" applyNumberFormat="1" applyFont="1" applyBorder="1" applyAlignment="1">
      <alignment horizontal="right"/>
    </xf>
    <xf numFmtId="165" fontId="10" fillId="0" borderId="23" xfId="3" applyFont="1" applyBorder="1"/>
    <xf numFmtId="2" fontId="26" fillId="0" borderId="89" xfId="3" applyNumberFormat="1" applyFont="1" applyBorder="1" applyAlignment="1">
      <alignment horizontal="center" vertical="center"/>
    </xf>
    <xf numFmtId="166" fontId="10" fillId="0" borderId="19" xfId="3" applyNumberFormat="1" applyFont="1" applyBorder="1" applyAlignment="1">
      <alignment horizontal="center"/>
    </xf>
    <xf numFmtId="166" fontId="10" fillId="0" borderId="18" xfId="3" applyNumberFormat="1" applyFont="1" applyBorder="1" applyAlignment="1">
      <alignment horizontal="center"/>
    </xf>
    <xf numFmtId="165" fontId="27" fillId="0" borderId="18" xfId="3" applyFont="1" applyBorder="1" applyAlignment="1">
      <alignment horizontal="center" vertical="center"/>
    </xf>
    <xf numFmtId="166" fontId="80" fillId="0" borderId="1" xfId="3" applyNumberFormat="1" applyFont="1" applyBorder="1" applyAlignment="1">
      <alignment horizontal="center" vertical="center"/>
    </xf>
    <xf numFmtId="166" fontId="10" fillId="23" borderId="1" xfId="3" applyNumberFormat="1" applyFont="1" applyFill="1" applyBorder="1" applyAlignment="1">
      <alignment horizontal="center" vertical="center"/>
    </xf>
    <xf numFmtId="2" fontId="10" fillId="23" borderId="1" xfId="3" applyNumberFormat="1" applyFont="1" applyFill="1" applyBorder="1" applyAlignment="1">
      <alignment horizontal="center" vertical="center"/>
    </xf>
    <xf numFmtId="165" fontId="81" fillId="0" borderId="13" xfId="3" applyFont="1" applyBorder="1" applyAlignment="1">
      <alignment horizontal="center" vertical="center"/>
    </xf>
    <xf numFmtId="165" fontId="32" fillId="0" borderId="13" xfId="3" applyFont="1" applyBorder="1" applyAlignment="1">
      <alignment horizontal="left"/>
    </xf>
    <xf numFmtId="166" fontId="80" fillId="7" borderId="1" xfId="3" applyNumberFormat="1" applyFont="1" applyFill="1" applyBorder="1" applyAlignment="1">
      <alignment horizontal="center" vertical="center"/>
    </xf>
    <xf numFmtId="165" fontId="10" fillId="0" borderId="13" xfId="3" applyFont="1" applyBorder="1" applyAlignment="1">
      <alignment horizontal="left"/>
    </xf>
    <xf numFmtId="165" fontId="86" fillId="0" borderId="13" xfId="3" applyFont="1" applyBorder="1" applyAlignment="1">
      <alignment horizontal="center" vertical="center"/>
    </xf>
    <xf numFmtId="165" fontId="80" fillId="0" borderId="13" xfId="3" applyFont="1" applyBorder="1" applyAlignment="1">
      <alignment horizontal="center" vertical="center"/>
    </xf>
    <xf numFmtId="165" fontId="10" fillId="0" borderId="23" xfId="3" applyFont="1" applyBorder="1" applyAlignment="1">
      <alignment horizontal="center" vertical="center"/>
    </xf>
    <xf numFmtId="165" fontId="10" fillId="0" borderId="34" xfId="3" applyFont="1" applyBorder="1" applyAlignment="1">
      <alignment horizontal="center" vertical="center"/>
    </xf>
    <xf numFmtId="165" fontId="10" fillId="0" borderId="46" xfId="3" applyFont="1" applyBorder="1" applyAlignment="1">
      <alignment horizontal="center" vertical="center"/>
    </xf>
    <xf numFmtId="165" fontId="10" fillId="0" borderId="47" xfId="3" applyFont="1" applyBorder="1" applyAlignment="1">
      <alignment horizontal="center" vertical="center"/>
    </xf>
    <xf numFmtId="165" fontId="10" fillId="0" borderId="48" xfId="3" applyFont="1" applyBorder="1" applyAlignment="1">
      <alignment horizontal="center" vertical="center"/>
    </xf>
    <xf numFmtId="165" fontId="10" fillId="0" borderId="49" xfId="3" applyFont="1" applyBorder="1" applyAlignment="1">
      <alignment horizontal="center" vertical="center"/>
    </xf>
    <xf numFmtId="165" fontId="10" fillId="0" borderId="25" xfId="3" applyFont="1" applyBorder="1" applyAlignment="1">
      <alignment horizontal="center" vertical="center" wrapText="1"/>
    </xf>
    <xf numFmtId="165" fontId="10" fillId="0" borderId="75" xfId="3" applyFont="1" applyBorder="1" applyAlignment="1">
      <alignment horizontal="center" vertical="center" wrapText="1"/>
    </xf>
    <xf numFmtId="165" fontId="10" fillId="0" borderId="23" xfId="3" applyFont="1" applyBorder="1" applyAlignment="1">
      <alignment horizontal="center" vertical="center" wrapText="1"/>
    </xf>
    <xf numFmtId="165" fontId="10" fillId="0" borderId="27" xfId="3" applyFont="1" applyBorder="1" applyAlignment="1">
      <alignment horizontal="center" vertical="center" wrapText="1"/>
    </xf>
    <xf numFmtId="165" fontId="10" fillId="0" borderId="5" xfId="3" applyFont="1" applyBorder="1" applyAlignment="1">
      <alignment horizontal="center" vertical="center" wrapText="1"/>
    </xf>
    <xf numFmtId="165" fontId="10" fillId="0" borderId="38" xfId="3" applyFont="1" applyBorder="1" applyAlignment="1">
      <alignment horizontal="center" vertical="center" wrapText="1"/>
    </xf>
    <xf numFmtId="165" fontId="10" fillId="0" borderId="8" xfId="3" applyFont="1" applyBorder="1" applyAlignment="1">
      <alignment horizontal="center" vertical="center" wrapText="1"/>
    </xf>
    <xf numFmtId="165" fontId="10" fillId="0" borderId="40" xfId="3" applyFont="1" applyBorder="1" applyAlignment="1">
      <alignment horizontal="center" vertical="center" wrapText="1"/>
    </xf>
    <xf numFmtId="166" fontId="10" fillId="27" borderId="83" xfId="3" applyNumberFormat="1" applyFont="1" applyFill="1" applyBorder="1" applyAlignment="1">
      <alignment horizontal="center" vertical="center"/>
    </xf>
    <xf numFmtId="166" fontId="10" fillId="27" borderId="19" xfId="3" applyNumberFormat="1" applyFont="1" applyFill="1" applyBorder="1" applyAlignment="1">
      <alignment horizontal="center" vertical="center"/>
    </xf>
    <xf numFmtId="165" fontId="10" fillId="0" borderId="34" xfId="3" applyFont="1" applyBorder="1" applyAlignment="1">
      <alignment horizontal="center" vertical="center" wrapText="1"/>
    </xf>
    <xf numFmtId="168" fontId="10" fillId="0" borderId="78" xfId="3" applyNumberFormat="1" applyFont="1" applyBorder="1" applyAlignment="1">
      <alignment horizontal="center" vertical="center" wrapText="1"/>
    </xf>
    <xf numFmtId="168" fontId="10" fillId="0" borderId="79" xfId="3" applyNumberFormat="1" applyFont="1" applyBorder="1" applyAlignment="1">
      <alignment horizontal="center" vertical="center" wrapText="1"/>
    </xf>
    <xf numFmtId="165" fontId="10" fillId="0" borderId="6" xfId="3" applyFont="1" applyBorder="1" applyAlignment="1">
      <alignment horizontal="center" vertical="center" wrapText="1"/>
    </xf>
    <xf numFmtId="165" fontId="10" fillId="0" borderId="39" xfId="3" applyFont="1" applyBorder="1" applyAlignment="1">
      <alignment horizontal="center" vertical="center" wrapText="1"/>
    </xf>
    <xf numFmtId="165" fontId="10" fillId="0" borderId="7" xfId="3" applyFont="1" applyBorder="1" applyAlignment="1">
      <alignment horizontal="center" vertical="center" wrapText="1"/>
    </xf>
    <xf numFmtId="165" fontId="10" fillId="0" borderId="62" xfId="3" applyFont="1" applyBorder="1" applyAlignment="1">
      <alignment horizontal="center" vertical="center" wrapText="1"/>
    </xf>
    <xf numFmtId="165" fontId="21" fillId="0" borderId="23" xfId="3" applyFont="1" applyBorder="1" applyAlignment="1">
      <alignment horizontal="center" vertical="center"/>
    </xf>
    <xf numFmtId="165" fontId="21" fillId="0" borderId="27" xfId="3" applyFont="1" applyBorder="1" applyAlignment="1">
      <alignment horizontal="center" vertical="center"/>
    </xf>
    <xf numFmtId="165" fontId="21" fillId="0" borderId="35" xfId="3" applyFont="1" applyBorder="1" applyAlignment="1">
      <alignment horizontal="center" vertical="center"/>
    </xf>
    <xf numFmtId="166" fontId="9" fillId="0" borderId="0" xfId="3" applyNumberFormat="1" applyFont="1" applyAlignment="1">
      <alignment horizontal="center" vertical="center"/>
    </xf>
    <xf numFmtId="166" fontId="9" fillId="0" borderId="68" xfId="3" applyNumberFormat="1" applyFont="1" applyBorder="1" applyAlignment="1">
      <alignment horizontal="center" vertical="center"/>
    </xf>
    <xf numFmtId="166" fontId="9" fillId="0" borderId="74" xfId="3" applyNumberFormat="1" applyFont="1" applyBorder="1" applyAlignment="1">
      <alignment horizontal="center" vertical="center"/>
    </xf>
    <xf numFmtId="166" fontId="9" fillId="0" borderId="24" xfId="3" applyNumberFormat="1" applyFont="1" applyBorder="1" applyAlignment="1">
      <alignment horizontal="center" vertical="center"/>
    </xf>
    <xf numFmtId="2" fontId="32" fillId="24" borderId="1" xfId="3" applyNumberFormat="1" applyFont="1" applyFill="1" applyBorder="1" applyAlignment="1">
      <alignment horizontal="center"/>
    </xf>
    <xf numFmtId="165" fontId="10" fillId="25" borderId="16" xfId="3" applyFont="1" applyFill="1" applyBorder="1" applyAlignment="1">
      <alignment horizontal="center"/>
    </xf>
    <xf numFmtId="165" fontId="10" fillId="25" borderId="19" xfId="3" applyFont="1" applyFill="1" applyBorder="1" applyAlignment="1">
      <alignment horizontal="center"/>
    </xf>
    <xf numFmtId="166" fontId="9" fillId="0" borderId="29" xfId="3" applyNumberFormat="1" applyFont="1" applyBorder="1" applyAlignment="1">
      <alignment horizontal="center" vertical="center"/>
    </xf>
    <xf numFmtId="166" fontId="9" fillId="0" borderId="30" xfId="3" applyNumberFormat="1" applyFont="1" applyBorder="1" applyAlignment="1">
      <alignment horizontal="center" vertical="center"/>
    </xf>
    <xf numFmtId="166" fontId="9" fillId="0" borderId="28" xfId="3" applyNumberFormat="1" applyFont="1" applyBorder="1" applyAlignment="1">
      <alignment horizontal="center" vertical="center"/>
    </xf>
    <xf numFmtId="166" fontId="9" fillId="0" borderId="75" xfId="3" applyNumberFormat="1" applyFont="1" applyBorder="1" applyAlignment="1">
      <alignment horizontal="center" vertical="center"/>
    </xf>
    <xf numFmtId="166" fontId="9" fillId="0" borderId="63" xfId="3" applyNumberFormat="1" applyFont="1" applyBorder="1" applyAlignment="1">
      <alignment horizontal="center" vertical="center"/>
    </xf>
    <xf numFmtId="165" fontId="10" fillId="0" borderId="4" xfId="3" applyFont="1" applyBorder="1" applyAlignment="1">
      <alignment horizontal="center"/>
    </xf>
    <xf numFmtId="165" fontId="10" fillId="0" borderId="83" xfId="3" applyFont="1" applyBorder="1" applyAlignment="1">
      <alignment horizontal="center" wrapText="1"/>
    </xf>
    <xf numFmtId="165" fontId="10" fillId="0" borderId="19" xfId="3" applyFont="1" applyBorder="1" applyAlignment="1">
      <alignment horizontal="center" wrapText="1"/>
    </xf>
    <xf numFmtId="165" fontId="81" fillId="0" borderId="66" xfId="3" applyFont="1" applyBorder="1" applyAlignment="1">
      <alignment horizontal="center" vertical="center"/>
    </xf>
    <xf numFmtId="165" fontId="81" fillId="0" borderId="27" xfId="3" applyFont="1" applyBorder="1" applyAlignment="1">
      <alignment horizontal="center" vertical="center"/>
    </xf>
    <xf numFmtId="165" fontId="81" fillId="0" borderId="34" xfId="3" applyFont="1" applyBorder="1" applyAlignment="1">
      <alignment horizontal="center" vertical="center"/>
    </xf>
    <xf numFmtId="165" fontId="10" fillId="0" borderId="10" xfId="3" applyFont="1" applyBorder="1" applyAlignment="1">
      <alignment horizontal="center" vertical="center" wrapText="1"/>
    </xf>
    <xf numFmtId="165" fontId="6" fillId="2" borderId="6" xfId="2" applyNumberFormat="1" applyBorder="1" applyAlignment="1">
      <alignment horizontal="center" vertical="center" wrapText="1"/>
    </xf>
    <xf numFmtId="165" fontId="6" fillId="2" borderId="10" xfId="2" applyNumberFormat="1" applyBorder="1" applyAlignment="1">
      <alignment horizontal="center" vertical="center" wrapText="1"/>
    </xf>
    <xf numFmtId="165" fontId="10" fillId="4" borderId="6" xfId="3" applyFont="1" applyFill="1" applyBorder="1" applyAlignment="1">
      <alignment horizontal="center" vertical="center" wrapText="1"/>
    </xf>
    <xf numFmtId="165" fontId="10" fillId="4" borderId="10" xfId="3" applyFont="1" applyFill="1" applyBorder="1" applyAlignment="1">
      <alignment horizontal="center" vertical="center" wrapText="1"/>
    </xf>
    <xf numFmtId="165" fontId="20" fillId="0" borderId="6" xfId="3" applyFont="1" applyBorder="1" applyAlignment="1">
      <alignment horizontal="center" vertical="center" wrapText="1"/>
    </xf>
    <xf numFmtId="165" fontId="20" fillId="0" borderId="10" xfId="3" applyFont="1" applyBorder="1" applyAlignment="1">
      <alignment horizontal="center" vertical="center" wrapText="1"/>
    </xf>
    <xf numFmtId="165" fontId="10" fillId="0" borderId="14" xfId="3" applyFont="1" applyBorder="1" applyAlignment="1">
      <alignment horizontal="center" vertical="center" wrapText="1"/>
    </xf>
    <xf numFmtId="165" fontId="10" fillId="0" borderId="0" xfId="3" applyFont="1" applyAlignment="1">
      <alignment horizontal="left"/>
    </xf>
    <xf numFmtId="165" fontId="10" fillId="0" borderId="50" xfId="3" applyFont="1" applyBorder="1" applyAlignment="1">
      <alignment horizontal="center" vertical="center" wrapText="1"/>
    </xf>
    <xf numFmtId="165" fontId="10" fillId="7" borderId="6" xfId="3" applyFont="1" applyFill="1" applyBorder="1" applyAlignment="1">
      <alignment horizontal="center" vertical="center" wrapText="1"/>
    </xf>
    <xf numFmtId="165" fontId="10" fillId="7" borderId="10" xfId="3" applyFont="1" applyFill="1" applyBorder="1" applyAlignment="1">
      <alignment horizontal="center" vertical="center" wrapText="1"/>
    </xf>
    <xf numFmtId="165" fontId="11" fillId="3" borderId="1" xfId="3" applyFont="1" applyFill="1" applyBorder="1" applyAlignment="1">
      <alignment horizontal="center"/>
    </xf>
    <xf numFmtId="165" fontId="12" fillId="0" borderId="0" xfId="3" applyFont="1" applyAlignment="1">
      <alignment horizontal="center"/>
    </xf>
    <xf numFmtId="165" fontId="15" fillId="0" borderId="2" xfId="3" applyFont="1" applyBorder="1" applyAlignment="1">
      <alignment horizontal="center" wrapText="1"/>
    </xf>
    <xf numFmtId="165" fontId="15" fillId="0" borderId="3" xfId="3" applyFont="1" applyBorder="1" applyAlignment="1">
      <alignment horizontal="center" wrapText="1"/>
    </xf>
    <xf numFmtId="165" fontId="14" fillId="4" borderId="0" xfId="3" applyFont="1" applyFill="1" applyAlignment="1">
      <alignment horizontal="center" vertical="center"/>
    </xf>
    <xf numFmtId="165" fontId="14" fillId="4" borderId="4" xfId="3" applyFont="1" applyFill="1" applyBorder="1" applyAlignment="1">
      <alignment horizontal="center" vertical="center"/>
    </xf>
    <xf numFmtId="165" fontId="11" fillId="3" borderId="1" xfId="0" applyFont="1" applyFill="1" applyBorder="1" applyAlignment="1">
      <alignment horizontal="center"/>
    </xf>
    <xf numFmtId="165" fontId="14" fillId="4" borderId="25" xfId="3" applyFont="1" applyFill="1" applyBorder="1" applyAlignment="1">
      <alignment horizontal="center" vertical="center"/>
    </xf>
    <xf numFmtId="165" fontId="14" fillId="4" borderId="26" xfId="3" applyFont="1" applyFill="1" applyBorder="1" applyAlignment="1">
      <alignment horizontal="center" vertical="center"/>
    </xf>
    <xf numFmtId="165" fontId="14" fillId="4" borderId="75" xfId="3" applyFont="1" applyFill="1" applyBorder="1" applyAlignment="1">
      <alignment horizontal="center" vertical="center"/>
    </xf>
    <xf numFmtId="165" fontId="14" fillId="4" borderId="63" xfId="3" applyFont="1" applyFill="1" applyBorder="1" applyAlignment="1">
      <alignment horizontal="center" vertical="center"/>
    </xf>
    <xf numFmtId="165" fontId="10" fillId="0" borderId="12" xfId="3" applyFont="1" applyBorder="1" applyAlignment="1">
      <alignment horizontal="center" vertical="center" wrapText="1"/>
    </xf>
    <xf numFmtId="165" fontId="10" fillId="0" borderId="78" xfId="3" applyFont="1" applyBorder="1" applyAlignment="1">
      <alignment horizontal="center" vertical="center" wrapText="1"/>
    </xf>
    <xf numFmtId="165" fontId="10" fillId="0" borderId="42" xfId="3" applyFont="1" applyBorder="1" applyAlignment="1">
      <alignment horizontal="center" vertical="center" wrapText="1"/>
    </xf>
    <xf numFmtId="165" fontId="81" fillId="0" borderId="23" xfId="3" applyFont="1" applyBorder="1" applyAlignment="1">
      <alignment horizontal="center" vertical="center"/>
    </xf>
    <xf numFmtId="165" fontId="81" fillId="0" borderId="35" xfId="3" applyFont="1" applyBorder="1" applyAlignment="1">
      <alignment horizontal="center" vertical="center"/>
    </xf>
    <xf numFmtId="166" fontId="9" fillId="0" borderId="82" xfId="3" applyNumberFormat="1" applyFont="1" applyBorder="1" applyAlignment="1">
      <alignment horizontal="center"/>
    </xf>
    <xf numFmtId="166" fontId="9" fillId="0" borderId="30" xfId="3" applyNumberFormat="1" applyFont="1" applyBorder="1" applyAlignment="1">
      <alignment horizontal="center"/>
    </xf>
    <xf numFmtId="166" fontId="9" fillId="0" borderId="74" xfId="3" applyNumberFormat="1" applyFont="1" applyBorder="1" applyAlignment="1">
      <alignment horizontal="center"/>
    </xf>
    <xf numFmtId="166" fontId="9" fillId="0" borderId="24" xfId="3" applyNumberFormat="1" applyFont="1" applyBorder="1" applyAlignment="1">
      <alignment horizontal="center"/>
    </xf>
    <xf numFmtId="166" fontId="9" fillId="0" borderId="0" xfId="3" applyNumberFormat="1" applyFont="1" applyAlignment="1">
      <alignment horizontal="center"/>
    </xf>
    <xf numFmtId="166" fontId="9" fillId="0" borderId="68" xfId="3" applyNumberFormat="1" applyFont="1" applyBorder="1" applyAlignment="1">
      <alignment horizontal="center"/>
    </xf>
    <xf numFmtId="165" fontId="27" fillId="0" borderId="66" xfId="3" applyFont="1" applyBorder="1" applyAlignment="1">
      <alignment horizontal="center" vertical="center"/>
    </xf>
    <xf numFmtId="165" fontId="27" fillId="0" borderId="27" xfId="3" applyFont="1" applyBorder="1" applyAlignment="1">
      <alignment horizontal="center" vertical="center"/>
    </xf>
    <xf numFmtId="165" fontId="27" fillId="0" borderId="35" xfId="3" applyFont="1" applyBorder="1" applyAlignment="1">
      <alignment horizontal="center" vertical="center"/>
    </xf>
    <xf numFmtId="166" fontId="9" fillId="0" borderId="25" xfId="3" applyNumberFormat="1" applyFont="1" applyBorder="1" applyAlignment="1">
      <alignment horizontal="center" vertical="center"/>
    </xf>
    <xf numFmtId="166" fontId="9" fillId="0" borderId="26" xfId="3" applyNumberFormat="1" applyFont="1" applyBorder="1" applyAlignment="1">
      <alignment horizontal="center" vertical="center"/>
    </xf>
    <xf numFmtId="2" fontId="32" fillId="24" borderId="74" xfId="3" applyNumberFormat="1" applyFont="1" applyFill="1" applyBorder="1" applyAlignment="1">
      <alignment horizontal="center"/>
    </xf>
    <xf numFmtId="166" fontId="9" fillId="0" borderId="37" xfId="3" applyNumberFormat="1" applyFont="1" applyBorder="1" applyAlignment="1">
      <alignment horizontal="center" vertical="center"/>
    </xf>
    <xf numFmtId="166" fontId="9" fillId="0" borderId="29" xfId="3" applyNumberFormat="1" applyFont="1" applyBorder="1" applyAlignment="1">
      <alignment horizontal="center"/>
    </xf>
    <xf numFmtId="166" fontId="9" fillId="0" borderId="75" xfId="3" applyNumberFormat="1" applyFont="1" applyBorder="1" applyAlignment="1">
      <alignment horizontal="center"/>
    </xf>
    <xf numFmtId="166" fontId="9" fillId="0" borderId="63" xfId="3" applyNumberFormat="1" applyFont="1" applyBorder="1" applyAlignment="1">
      <alignment horizontal="center"/>
    </xf>
    <xf numFmtId="166" fontId="10" fillId="7" borderId="75" xfId="3" applyNumberFormat="1" applyFont="1" applyFill="1" applyBorder="1" applyAlignment="1">
      <alignment horizontal="center" vertical="center"/>
    </xf>
    <xf numFmtId="166" fontId="10" fillId="7" borderId="63" xfId="3" applyNumberFormat="1" applyFont="1" applyFill="1" applyBorder="1" applyAlignment="1">
      <alignment horizontal="center" vertical="center"/>
    </xf>
    <xf numFmtId="165" fontId="10" fillId="0" borderId="26" xfId="3" applyFont="1" applyBorder="1" applyAlignment="1">
      <alignment horizontal="center" vertical="center" wrapText="1"/>
    </xf>
    <xf numFmtId="165" fontId="10" fillId="0" borderId="63" xfId="3" applyFont="1" applyBorder="1" applyAlignment="1">
      <alignment horizontal="center" vertical="center" wrapText="1"/>
    </xf>
    <xf numFmtId="165" fontId="40" fillId="0" borderId="0" xfId="3" applyFont="1" applyAlignment="1">
      <alignment horizontal="center"/>
    </xf>
    <xf numFmtId="165" fontId="8" fillId="0" borderId="0" xfId="3" applyAlignment="1">
      <alignment horizontal="left"/>
    </xf>
    <xf numFmtId="165" fontId="41" fillId="0" borderId="5" xfId="3" applyFont="1" applyBorder="1" applyAlignment="1">
      <alignment horizontal="center" vertical="center" wrapText="1"/>
    </xf>
    <xf numFmtId="165" fontId="41" fillId="0" borderId="50" xfId="3" applyFont="1" applyBorder="1" applyAlignment="1">
      <alignment horizontal="center" vertical="center" wrapText="1"/>
    </xf>
    <xf numFmtId="165" fontId="41" fillId="0" borderId="6" xfId="3" applyFont="1" applyBorder="1" applyAlignment="1">
      <alignment horizontal="center" vertical="center" wrapText="1"/>
    </xf>
    <xf numFmtId="165" fontId="41" fillId="0" borderId="10" xfId="3" applyFont="1" applyBorder="1" applyAlignment="1">
      <alignment horizontal="center" vertical="center" wrapText="1"/>
    </xf>
    <xf numFmtId="165" fontId="42" fillId="0" borderId="6" xfId="3" applyFont="1" applyBorder="1" applyAlignment="1">
      <alignment horizontal="center" vertical="center" wrapText="1"/>
    </xf>
    <xf numFmtId="165" fontId="42" fillId="0" borderId="10" xfId="3" applyFont="1" applyBorder="1" applyAlignment="1">
      <alignment horizontal="center" vertical="center" wrapText="1"/>
    </xf>
    <xf numFmtId="165" fontId="41" fillId="0" borderId="23" xfId="3" applyFont="1" applyBorder="1" applyAlignment="1">
      <alignment horizontal="center" vertical="center"/>
    </xf>
    <xf numFmtId="165" fontId="41" fillId="0" borderId="35" xfId="3" applyFont="1" applyBorder="1" applyAlignment="1">
      <alignment horizontal="center" vertical="center"/>
    </xf>
    <xf numFmtId="2" fontId="8" fillId="0" borderId="55" xfId="3" applyNumberFormat="1" applyBorder="1" applyAlignment="1">
      <alignment horizontal="center"/>
    </xf>
    <xf numFmtId="2" fontId="8" fillId="0" borderId="56" xfId="3" applyNumberFormat="1" applyBorder="1" applyAlignment="1">
      <alignment horizontal="center"/>
    </xf>
    <xf numFmtId="165" fontId="41" fillId="0" borderId="34" xfId="3" applyFont="1" applyBorder="1" applyAlignment="1">
      <alignment horizontal="center" vertical="center"/>
    </xf>
    <xf numFmtId="165" fontId="41" fillId="0" borderId="55" xfId="3" applyFont="1" applyBorder="1" applyAlignment="1">
      <alignment horizontal="center" vertical="center"/>
    </xf>
    <xf numFmtId="165" fontId="41" fillId="0" borderId="64" xfId="3" applyFont="1" applyBorder="1" applyAlignment="1">
      <alignment horizontal="center" vertical="center"/>
    </xf>
    <xf numFmtId="165" fontId="41" fillId="0" borderId="38" xfId="3" applyFont="1" applyBorder="1" applyAlignment="1">
      <alignment horizontal="center" vertical="center" wrapText="1"/>
    </xf>
    <xf numFmtId="165" fontId="41" fillId="0" borderId="39" xfId="3" applyFont="1" applyBorder="1" applyAlignment="1">
      <alignment horizontal="center" vertical="center" wrapText="1"/>
    </xf>
    <xf numFmtId="165" fontId="8" fillId="0" borderId="2" xfId="3" applyBorder="1" applyAlignment="1">
      <alignment horizontal="center"/>
    </xf>
    <xf numFmtId="165" fontId="8" fillId="0" borderId="65" xfId="3" applyBorder="1" applyAlignment="1">
      <alignment horizontal="center"/>
    </xf>
    <xf numFmtId="165" fontId="41" fillId="0" borderId="7" xfId="3" applyFont="1" applyBorder="1" applyAlignment="1">
      <alignment horizontal="center" vertical="center" wrapText="1"/>
    </xf>
    <xf numFmtId="165" fontId="41" fillId="0" borderId="17" xfId="3" applyFont="1" applyBorder="1" applyAlignment="1">
      <alignment horizontal="center" vertical="center" wrapText="1"/>
    </xf>
    <xf numFmtId="165" fontId="41" fillId="0" borderId="62" xfId="3" applyFont="1" applyBorder="1" applyAlignment="1">
      <alignment horizontal="center" vertical="center" wrapText="1"/>
    </xf>
    <xf numFmtId="165" fontId="41" fillId="0" borderId="4" xfId="3" applyFont="1" applyBorder="1" applyAlignment="1">
      <alignment horizontal="center" vertical="center" wrapText="1"/>
    </xf>
    <xf numFmtId="165" fontId="41" fillId="0" borderId="2" xfId="3" applyFont="1" applyBorder="1" applyAlignment="1">
      <alignment horizontal="center"/>
    </xf>
    <xf numFmtId="165" fontId="41" fillId="0" borderId="65" xfId="3" applyFont="1" applyBorder="1" applyAlignment="1">
      <alignment horizontal="center"/>
    </xf>
    <xf numFmtId="165" fontId="8" fillId="0" borderId="53" xfId="3" applyBorder="1" applyAlignment="1">
      <alignment horizontal="center"/>
    </xf>
    <xf numFmtId="165" fontId="8" fillId="0" borderId="67" xfId="3" applyBorder="1" applyAlignment="1">
      <alignment horizontal="center"/>
    </xf>
    <xf numFmtId="15" fontId="41" fillId="0" borderId="44" xfId="3" applyNumberFormat="1" applyFont="1" applyBorder="1" applyAlignment="1">
      <alignment horizontal="center"/>
    </xf>
    <xf numFmtId="165" fontId="61" fillId="0" borderId="46" xfId="3" applyFont="1" applyBorder="1" applyAlignment="1">
      <alignment horizontal="center" vertical="center"/>
    </xf>
    <xf numFmtId="165" fontId="61" fillId="0" borderId="47" xfId="3" applyFont="1" applyBorder="1" applyAlignment="1">
      <alignment horizontal="center" vertical="center"/>
    </xf>
    <xf numFmtId="165" fontId="61" fillId="0" borderId="48" xfId="3" applyFont="1" applyBorder="1" applyAlignment="1">
      <alignment horizontal="center" vertical="center"/>
    </xf>
    <xf numFmtId="165" fontId="60" fillId="0" borderId="46" xfId="3" applyFont="1" applyBorder="1" applyAlignment="1">
      <alignment horizontal="center" vertical="center"/>
    </xf>
    <xf numFmtId="165" fontId="60" fillId="0" borderId="47" xfId="3" applyFont="1" applyBorder="1" applyAlignment="1">
      <alignment horizontal="center" vertical="center"/>
    </xf>
    <xf numFmtId="165" fontId="60" fillId="0" borderId="48" xfId="3" applyFont="1" applyBorder="1" applyAlignment="1">
      <alignment horizontal="center" vertical="center"/>
    </xf>
    <xf numFmtId="165" fontId="64" fillId="4" borderId="0" xfId="0" applyFont="1" applyFill="1" applyAlignment="1">
      <alignment horizontal="center"/>
    </xf>
    <xf numFmtId="165" fontId="76" fillId="0" borderId="0" xfId="0" applyFont="1" applyAlignment="1">
      <alignment horizontal="center" vertical="top"/>
    </xf>
    <xf numFmtId="165" fontId="65" fillId="20" borderId="41" xfId="0" applyFont="1" applyFill="1" applyBorder="1" applyAlignment="1">
      <alignment horizontal="left" vertical="center"/>
    </xf>
    <xf numFmtId="165" fontId="65" fillId="20" borderId="69" xfId="0" applyFont="1" applyFill="1" applyBorder="1" applyAlignment="1">
      <alignment horizontal="left" vertical="center"/>
    </xf>
    <xf numFmtId="165" fontId="65" fillId="20" borderId="69" xfId="0" applyFont="1" applyFill="1" applyBorder="1" applyAlignment="1">
      <alignment horizontal="center" vertical="center"/>
    </xf>
    <xf numFmtId="165" fontId="73" fillId="0" borderId="0" xfId="0" applyFont="1" applyAlignment="1">
      <alignment horizontal="center" vertical="top"/>
    </xf>
    <xf numFmtId="165" fontId="65" fillId="20" borderId="4" xfId="0" applyFont="1" applyFill="1" applyBorder="1" applyAlignment="1">
      <alignment horizontal="center" vertical="center"/>
    </xf>
    <xf numFmtId="165" fontId="65" fillId="20" borderId="4" xfId="0" applyFont="1" applyFill="1" applyBorder="1" applyAlignment="1">
      <alignment horizontal="left" vertical="center"/>
    </xf>
    <xf numFmtId="165" fontId="74" fillId="20" borderId="4" xfId="0" applyFont="1" applyFill="1" applyBorder="1" applyAlignment="1">
      <alignment horizontal="right" vertical="center"/>
    </xf>
    <xf numFmtId="167" fontId="22" fillId="4" borderId="11" xfId="3" applyNumberFormat="1" applyFont="1" applyFill="1" applyBorder="1" applyAlignment="1">
      <alignment horizontal="center" vertical="center"/>
    </xf>
    <xf numFmtId="1" fontId="10" fillId="4" borderId="1" xfId="3" applyNumberFormat="1" applyFont="1" applyFill="1" applyBorder="1" applyAlignment="1">
      <alignment horizontal="center" vertical="center"/>
    </xf>
  </cellXfs>
  <cellStyles count="17">
    <cellStyle name="Comma" xfId="1" builtinId="3"/>
    <cellStyle name="Neutral" xfId="2" builtinId="28"/>
    <cellStyle name="Normal" xfId="0" builtinId="0"/>
    <cellStyle name="Normal 2" xfId="3" xr:uid="{C80A2C66-3E2C-4179-9159-DBCA8D9B0E56}"/>
    <cellStyle name="Normal 3" xfId="9" xr:uid="{CF2ABADC-5070-4BF5-85BE-C6735585C6D9}"/>
    <cellStyle name="Normal 3 2" xfId="15" xr:uid="{DC2ABFCD-8089-4D58-B99E-08E1FAD9FF32}"/>
    <cellStyle name="Percent 2" xfId="4" xr:uid="{CE2CDC16-AD31-4ED8-AE2A-FCD60A61219D}"/>
    <cellStyle name="Percent 3" xfId="5" xr:uid="{146671D8-AF93-4F7C-A417-29B4344625B7}"/>
    <cellStyle name="Percent 3 2" xfId="7" xr:uid="{D9E4557F-C4B0-46CD-A4D0-A5F6371463AD}"/>
    <cellStyle name="Percent 3 2 2" xfId="13" xr:uid="{34DF29C9-CC1F-489C-9B5C-86DA23AE2EAD}"/>
    <cellStyle name="Percent 3 3" xfId="11" xr:uid="{53D3FD01-33B0-466D-ADE6-A919A36CECBE}"/>
    <cellStyle name="Percent 4" xfId="6" xr:uid="{4AD98EB2-9BB4-4842-A408-0E56A74ED11E}"/>
    <cellStyle name="Percent 4 2" xfId="8" xr:uid="{4E10984A-3ADE-4C2D-B6E7-76DD6D94E726}"/>
    <cellStyle name="Percent 4 2 2" xfId="14" xr:uid="{F0B979ED-7081-4CE5-AE73-A7A6E88041FF}"/>
    <cellStyle name="Percent 4 3" xfId="10" xr:uid="{01053475-F444-4128-81F2-2F08DC4F4A0B}"/>
    <cellStyle name="Percent 4 3 2" xfId="16" xr:uid="{53801A28-4BCE-44B4-904F-9AF37504C028}"/>
    <cellStyle name="Percent 4 4" xfId="12" xr:uid="{5B270DAE-7FD6-4620-B6C7-8E73E3C84DBE}"/>
  </cellStyles>
  <dxfs count="4220"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theme="1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theme="1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theme="1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theme="1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theme="1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theme="1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theme="1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theme="1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  <fill>
        <patternFill>
          <bgColor theme="0"/>
        </patternFill>
      </fill>
    </dxf>
  </dxfs>
  <tableStyles count="0" defaultTableStyle="TableStyleMedium2" defaultPivotStyle="PivotStyleLight16"/>
  <colors>
    <mruColors>
      <color rgb="FF0000FF"/>
      <color rgb="FF008200"/>
      <color rgb="FFCC3300"/>
      <color rgb="FFFF3300"/>
      <color rgb="FFFF0000"/>
      <color rgb="FFFF66FF"/>
      <color rgb="FFFF0066"/>
      <color rgb="FFFF9999"/>
      <color rgb="FFCC66FF"/>
      <color rgb="FFC288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externalLink" Target="externalLinks/externalLink16.xml"/><Relationship Id="rId47" Type="http://schemas.openxmlformats.org/officeDocument/2006/relationships/externalLink" Target="externalLinks/externalLink21.xml"/><Relationship Id="rId63" Type="http://schemas.openxmlformats.org/officeDocument/2006/relationships/externalLink" Target="externalLinks/externalLink37.xml"/><Relationship Id="rId68" Type="http://schemas.openxmlformats.org/officeDocument/2006/relationships/externalLink" Target="externalLinks/externalLink4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externalLink" Target="externalLinks/externalLink3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6.xml"/><Relationship Id="rId37" Type="http://schemas.openxmlformats.org/officeDocument/2006/relationships/externalLink" Target="externalLinks/externalLink11.xml"/><Relationship Id="rId40" Type="http://schemas.openxmlformats.org/officeDocument/2006/relationships/externalLink" Target="externalLinks/externalLink14.xml"/><Relationship Id="rId45" Type="http://schemas.openxmlformats.org/officeDocument/2006/relationships/externalLink" Target="externalLinks/externalLink19.xml"/><Relationship Id="rId53" Type="http://schemas.openxmlformats.org/officeDocument/2006/relationships/externalLink" Target="externalLinks/externalLink27.xml"/><Relationship Id="rId58" Type="http://schemas.openxmlformats.org/officeDocument/2006/relationships/externalLink" Target="externalLinks/externalLink32.xml"/><Relationship Id="rId66" Type="http://schemas.openxmlformats.org/officeDocument/2006/relationships/externalLink" Target="externalLinks/externalLink40.xml"/><Relationship Id="rId7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61" Type="http://schemas.openxmlformats.org/officeDocument/2006/relationships/externalLink" Target="externalLinks/externalLink35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externalLink" Target="externalLinks/externalLink1.xml"/><Relationship Id="rId30" Type="http://schemas.openxmlformats.org/officeDocument/2006/relationships/externalLink" Target="externalLinks/externalLink4.xml"/><Relationship Id="rId35" Type="http://schemas.openxmlformats.org/officeDocument/2006/relationships/externalLink" Target="externalLinks/externalLink9.xml"/><Relationship Id="rId43" Type="http://schemas.openxmlformats.org/officeDocument/2006/relationships/externalLink" Target="externalLinks/externalLink17.xml"/><Relationship Id="rId48" Type="http://schemas.openxmlformats.org/officeDocument/2006/relationships/externalLink" Target="externalLinks/externalLink22.xml"/><Relationship Id="rId56" Type="http://schemas.openxmlformats.org/officeDocument/2006/relationships/externalLink" Target="externalLinks/externalLink30.xml"/><Relationship Id="rId64" Type="http://schemas.openxmlformats.org/officeDocument/2006/relationships/externalLink" Target="externalLinks/externalLink38.xml"/><Relationship Id="rId69" Type="http://schemas.openxmlformats.org/officeDocument/2006/relationships/externalLink" Target="externalLinks/externalLink43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25.xml"/><Relationship Id="rId72" Type="http://schemas.openxmlformats.org/officeDocument/2006/relationships/theme" Target="theme/theme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7.xml"/><Relationship Id="rId38" Type="http://schemas.openxmlformats.org/officeDocument/2006/relationships/externalLink" Target="externalLinks/externalLink12.xml"/><Relationship Id="rId46" Type="http://schemas.openxmlformats.org/officeDocument/2006/relationships/externalLink" Target="externalLinks/externalLink20.xml"/><Relationship Id="rId59" Type="http://schemas.openxmlformats.org/officeDocument/2006/relationships/externalLink" Target="externalLinks/externalLink33.xml"/><Relationship Id="rId67" Type="http://schemas.openxmlformats.org/officeDocument/2006/relationships/externalLink" Target="externalLinks/externalLink41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15.xml"/><Relationship Id="rId54" Type="http://schemas.openxmlformats.org/officeDocument/2006/relationships/externalLink" Target="externalLinks/externalLink28.xml"/><Relationship Id="rId62" Type="http://schemas.openxmlformats.org/officeDocument/2006/relationships/externalLink" Target="externalLinks/externalLink36.xml"/><Relationship Id="rId70" Type="http://schemas.openxmlformats.org/officeDocument/2006/relationships/externalLink" Target="externalLinks/externalLink44.xml"/><Relationship Id="rId75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externalLink" Target="externalLinks/externalLink2.xml"/><Relationship Id="rId36" Type="http://schemas.openxmlformats.org/officeDocument/2006/relationships/externalLink" Target="externalLinks/externalLink10.xml"/><Relationship Id="rId49" Type="http://schemas.openxmlformats.org/officeDocument/2006/relationships/externalLink" Target="externalLinks/externalLink23.xml"/><Relationship Id="rId57" Type="http://schemas.openxmlformats.org/officeDocument/2006/relationships/externalLink" Target="externalLinks/externalLink31.xml"/><Relationship Id="rId10" Type="http://schemas.openxmlformats.org/officeDocument/2006/relationships/worksheet" Target="worksheets/sheet10.xml"/><Relationship Id="rId31" Type="http://schemas.openxmlformats.org/officeDocument/2006/relationships/externalLink" Target="externalLinks/externalLink5.xml"/><Relationship Id="rId44" Type="http://schemas.openxmlformats.org/officeDocument/2006/relationships/externalLink" Target="externalLinks/externalLink18.xml"/><Relationship Id="rId52" Type="http://schemas.openxmlformats.org/officeDocument/2006/relationships/externalLink" Target="externalLinks/externalLink26.xml"/><Relationship Id="rId60" Type="http://schemas.openxmlformats.org/officeDocument/2006/relationships/externalLink" Target="externalLinks/externalLink34.xml"/><Relationship Id="rId65" Type="http://schemas.openxmlformats.org/officeDocument/2006/relationships/externalLink" Target="externalLinks/externalLink39.xml"/><Relationship Id="rId73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externalLink" Target="externalLinks/externalLink13.xml"/><Relationship Id="rId34" Type="http://schemas.openxmlformats.org/officeDocument/2006/relationships/externalLink" Target="externalLinks/externalLink8.xml"/><Relationship Id="rId50" Type="http://schemas.openxmlformats.org/officeDocument/2006/relationships/externalLink" Target="externalLinks/externalLink24.xml"/><Relationship Id="rId55" Type="http://schemas.openxmlformats.org/officeDocument/2006/relationships/externalLink" Target="externalLinks/externalLink29.xml"/><Relationship Id="rId7" Type="http://schemas.openxmlformats.org/officeDocument/2006/relationships/worksheet" Target="worksheets/sheet7.xml"/><Relationship Id="rId71" Type="http://schemas.openxmlformats.org/officeDocument/2006/relationships/externalLink" Target="externalLinks/externalLink4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'Brewer Performance'!$E$4</c:f>
              <c:strCache>
                <c:ptCount val="1"/>
                <c:pt idx="0">
                  <c:v>MTD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</c:spPr>
          <c:invertIfNegative val="0"/>
          <c:cat>
            <c:strRef>
              <c:f>'Brewer Performance'!$C$5:$C$9</c:f>
              <c:strCache>
                <c:ptCount val="5"/>
                <c:pt idx="0">
                  <c:v>KEIRAN BENJAMIN</c:v>
                </c:pt>
                <c:pt idx="1">
                  <c:v>JOHNNY GREENIDGE</c:v>
                </c:pt>
                <c:pt idx="2">
                  <c:v>JAMES GRANT</c:v>
                </c:pt>
                <c:pt idx="3">
                  <c:v>RODNEY REGIS</c:v>
                </c:pt>
                <c:pt idx="4">
                  <c:v>DESEAN EMERY</c:v>
                </c:pt>
              </c:strCache>
            </c:strRef>
          </c:cat>
          <c:val>
            <c:numRef>
              <c:f>'Brewer Performance'!$E$5:$E$9</c:f>
              <c:numCache>
                <c:formatCode>0.00</c:formatCode>
                <c:ptCount val="5"/>
                <c:pt idx="0">
                  <c:v>98.214734207097663</c:v>
                </c:pt>
                <c:pt idx="1">
                  <c:v>97.831216272750581</c:v>
                </c:pt>
                <c:pt idx="2">
                  <c:v>100.82497251003979</c:v>
                </c:pt>
                <c:pt idx="3">
                  <c:v>97.759800403711807</c:v>
                </c:pt>
                <c:pt idx="4">
                  <c:v>98.186950219332687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12-4AB4-ABF6-AFB5CBFC33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73214208"/>
        <c:axId val="373216000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'Brewer Performance'!$G$4</c15:sqref>
                        </c15:formulaRef>
                      </c:ext>
                    </c:extLst>
                    <c:strCache>
                      <c:ptCount val="1"/>
                      <c:pt idx="0">
                        <c:v>TARGET</c:v>
                      </c:pt>
                    </c:strCache>
                  </c:strRef>
                </c:tx>
                <c:spPr>
                  <a:solidFill>
                    <a:schemeClr val="accent3">
                      <a:lumMod val="75000"/>
                    </a:schemeClr>
                  </a:solidFill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'Brewer Performance'!$C$5:$C$9</c15:sqref>
                        </c15:formulaRef>
                      </c:ext>
                    </c:extLst>
                    <c:strCache>
                      <c:ptCount val="5"/>
                      <c:pt idx="0">
                        <c:v>KEIRAN BENJAMIN</c:v>
                      </c:pt>
                      <c:pt idx="1">
                        <c:v>JOHNNY GREENIDGE</c:v>
                      </c:pt>
                      <c:pt idx="2">
                        <c:v>JAMES GRANT</c:v>
                      </c:pt>
                      <c:pt idx="3">
                        <c:v>RODNEY REGIS</c:v>
                      </c:pt>
                      <c:pt idx="4">
                        <c:v>DESEAN EMERY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'Brewer Performance'!$G$5:$G$9</c15:sqref>
                        </c15:formulaRef>
                      </c:ext>
                    </c:extLst>
                    <c:numCache>
                      <c:formatCode>0.0</c:formatCode>
                      <c:ptCount val="5"/>
                      <c:pt idx="0">
                        <c:v>98</c:v>
                      </c:pt>
                      <c:pt idx="1">
                        <c:v>98</c:v>
                      </c:pt>
                      <c:pt idx="2">
                        <c:v>98</c:v>
                      </c:pt>
                      <c:pt idx="3">
                        <c:v>98</c:v>
                      </c:pt>
                      <c:pt idx="4">
                        <c:v>98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9F12-4AB4-ABF6-AFB5CBFC33A6}"/>
                  </c:ext>
                </c:extLst>
              </c15:ser>
            </c15:filteredBarSeries>
          </c:ext>
        </c:extLst>
      </c:barChart>
      <c:catAx>
        <c:axId val="37321420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sz="1200" b="1"/>
            </a:pPr>
            <a:endParaRPr lang="en-US"/>
          </a:p>
        </c:txPr>
        <c:crossAx val="373216000"/>
        <c:crosses val="autoZero"/>
        <c:auto val="1"/>
        <c:lblAlgn val="ctr"/>
        <c:lblOffset val="100"/>
        <c:noMultiLvlLbl val="0"/>
      </c:catAx>
      <c:valAx>
        <c:axId val="373216000"/>
        <c:scaling>
          <c:orientation val="minMax"/>
          <c:max val="100"/>
          <c:min val="90"/>
        </c:scaling>
        <c:delete val="0"/>
        <c:axPos val="l"/>
        <c:majorGridlines/>
        <c:numFmt formatCode="#,##0.00" sourceLinked="0"/>
        <c:majorTickMark val="out"/>
        <c:minorTickMark val="none"/>
        <c:tickLblPos val="nextTo"/>
        <c:txPr>
          <a:bodyPr/>
          <a:lstStyle/>
          <a:p>
            <a:pPr>
              <a:defRPr sz="1200" b="1"/>
            </a:pPr>
            <a:endParaRPr lang="en-US"/>
          </a:p>
        </c:txPr>
        <c:crossAx val="373214208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sz="1100" b="1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02" l="0.70000000000000062" r="0.70000000000000062" t="0.750000000000002" header="0.30000000000000032" footer="0.30000000000000032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34"/>
    </mc:Choice>
    <mc:Fallback>
      <c:style val="34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'Brewer Performance'!$C$40</c:f>
              <c:strCache>
                <c:ptCount val="1"/>
                <c:pt idx="0">
                  <c:v>KEIRAN BENJAMIN</c:v>
                </c:pt>
              </c:strCache>
            </c:strRef>
          </c:tx>
          <c:cat>
            <c:strRef>
              <c:f>'Brewer Performance'!$D$39:$O$39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'Brewer Performance'!$D$40:$O$40</c:f>
              <c:numCache>
                <c:formatCode>0.00</c:formatCode>
                <c:ptCount val="12"/>
                <c:pt idx="0">
                  <c:v>96.507822129582451</c:v>
                </c:pt>
                <c:pt idx="1">
                  <c:v>98.284801217583563</c:v>
                </c:pt>
                <c:pt idx="2">
                  <c:v>98.226686244092193</c:v>
                </c:pt>
                <c:pt idx="3">
                  <c:v>98.210530202427222</c:v>
                </c:pt>
                <c:pt idx="4">
                  <c:v>98.517352497406634</c:v>
                </c:pt>
                <c:pt idx="5">
                  <c:v>98.214734207097663</c:v>
                </c:pt>
                <c:pt idx="6">
                  <c:v>98.198803831827249</c:v>
                </c:pt>
                <c:pt idx="7">
                  <c:v>97.486490472733735</c:v>
                </c:pt>
                <c:pt idx="8">
                  <c:v>97.932459358923822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EC4-4B61-A360-434F4872A4EA}"/>
            </c:ext>
          </c:extLst>
        </c:ser>
        <c:ser>
          <c:idx val="1"/>
          <c:order val="1"/>
          <c:tx>
            <c:strRef>
              <c:f>'Brewer Performance'!$C$41</c:f>
              <c:strCache>
                <c:ptCount val="1"/>
                <c:pt idx="0">
                  <c:v>JOHNNY GREENIDGE</c:v>
                </c:pt>
              </c:strCache>
            </c:strRef>
          </c:tx>
          <c:cat>
            <c:strRef>
              <c:f>'Brewer Performance'!$D$39:$O$39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'Brewer Performance'!$D$41:$O$41</c:f>
              <c:numCache>
                <c:formatCode>0.00</c:formatCode>
                <c:ptCount val="12"/>
                <c:pt idx="0">
                  <c:v>97.99738587335284</c:v>
                </c:pt>
                <c:pt idx="1">
                  <c:v>97.918121549662388</c:v>
                </c:pt>
                <c:pt idx="2">
                  <c:v>98.070081368185257</c:v>
                </c:pt>
                <c:pt idx="3">
                  <c:v>97.79453968977019</c:v>
                </c:pt>
                <c:pt idx="4">
                  <c:v>98.442574874312371</c:v>
                </c:pt>
                <c:pt idx="5">
                  <c:v>97.831216272750581</c:v>
                </c:pt>
                <c:pt idx="6">
                  <c:v>98.459260197488078</c:v>
                </c:pt>
                <c:pt idx="7">
                  <c:v>98.711428992063503</c:v>
                </c:pt>
                <c:pt idx="8">
                  <c:v>97.854862054451985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EC4-4B61-A360-434F4872A4EA}"/>
            </c:ext>
          </c:extLst>
        </c:ser>
        <c:ser>
          <c:idx val="2"/>
          <c:order val="2"/>
          <c:tx>
            <c:strRef>
              <c:f>'Brewer Performance'!$C$42</c:f>
              <c:strCache>
                <c:ptCount val="1"/>
                <c:pt idx="0">
                  <c:v>JAMES GRANT</c:v>
                </c:pt>
              </c:strCache>
            </c:strRef>
          </c:tx>
          <c:cat>
            <c:strRef>
              <c:f>'Brewer Performance'!$D$39:$O$39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'Brewer Performance'!$D$42:$O$42</c:f>
              <c:numCache>
                <c:formatCode>0.00</c:formatCode>
                <c:ptCount val="12"/>
                <c:pt idx="3">
                  <c:v>98.305001734453086</c:v>
                </c:pt>
                <c:pt idx="5">
                  <c:v>100.82497251003979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EC4-4B61-A360-434F4872A4EA}"/>
            </c:ext>
          </c:extLst>
        </c:ser>
        <c:ser>
          <c:idx val="3"/>
          <c:order val="3"/>
          <c:tx>
            <c:strRef>
              <c:f>'Brewer Performance'!$C$44</c:f>
              <c:strCache>
                <c:ptCount val="1"/>
                <c:pt idx="0">
                  <c:v>RODNEY REGIS</c:v>
                </c:pt>
              </c:strCache>
              <c:extLst xmlns:c15="http://schemas.microsoft.com/office/drawing/2012/chart"/>
            </c:strRef>
          </c:tx>
          <c:marker>
            <c:spPr>
              <a:solidFill>
                <a:srgbClr val="7030A0"/>
              </a:solidFill>
            </c:spPr>
          </c:marker>
          <c:cat>
            <c:strRef>
              <c:f>'Brewer Performance'!$D$39:$O$39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  <c:extLst xmlns:c15="http://schemas.microsoft.com/office/drawing/2012/chart"/>
            </c:strRef>
          </c:cat>
          <c:val>
            <c:numRef>
              <c:f>'Brewer Performance'!$D$44:$O$44</c:f>
              <c:numCache>
                <c:formatCode>0.00</c:formatCode>
                <c:ptCount val="12"/>
                <c:pt idx="0">
                  <c:v>98.304611060419475</c:v>
                </c:pt>
                <c:pt idx="1">
                  <c:v>97.289162940824014</c:v>
                </c:pt>
                <c:pt idx="2">
                  <c:v>98.163642226187022</c:v>
                </c:pt>
                <c:pt idx="3">
                  <c:v>97.964054285784258</c:v>
                </c:pt>
                <c:pt idx="4">
                  <c:v>98.685415156420575</c:v>
                </c:pt>
                <c:pt idx="5">
                  <c:v>97.759800403711807</c:v>
                </c:pt>
                <c:pt idx="6">
                  <c:v>98.532266745142223</c:v>
                </c:pt>
                <c:pt idx="7">
                  <c:v>98.484140672420295</c:v>
                </c:pt>
                <c:pt idx="8">
                  <c:v>97.916815501712691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3-AEC4-4B61-A360-434F4872A4EA}"/>
            </c:ext>
          </c:extLst>
        </c:ser>
        <c:ser>
          <c:idx val="4"/>
          <c:order val="4"/>
          <c:tx>
            <c:strRef>
              <c:f>'Brewer Performance'!$C$45</c:f>
              <c:strCache>
                <c:ptCount val="1"/>
                <c:pt idx="0">
                  <c:v>DESEAN EMERY</c:v>
                </c:pt>
              </c:strCache>
              <c:extLst xmlns:c15="http://schemas.microsoft.com/office/drawing/2012/chart"/>
            </c:strRef>
          </c:tx>
          <c:cat>
            <c:strRef>
              <c:f>'Brewer Performance'!$D$39:$O$39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  <c:extLst xmlns:c15="http://schemas.microsoft.com/office/drawing/2012/chart"/>
            </c:strRef>
          </c:cat>
          <c:val>
            <c:numRef>
              <c:f>'Brewer Performance'!$D$45:$O$45</c:f>
              <c:numCache>
                <c:formatCode>0.00</c:formatCode>
                <c:ptCount val="12"/>
                <c:pt idx="0">
                  <c:v>98.673584433402866</c:v>
                </c:pt>
                <c:pt idx="5">
                  <c:v>98.186950219332687</c:v>
                </c:pt>
                <c:pt idx="6">
                  <c:v>97.888270164748889</c:v>
                </c:pt>
                <c:pt idx="7">
                  <c:v>97.609604379501235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4-AEC4-4B61-A360-434F4872A4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73286016"/>
        <c:axId val="373287552"/>
        <c:extLst>
          <c:ext xmlns:c15="http://schemas.microsoft.com/office/drawing/2012/chart" uri="{02D57815-91ED-43cb-92C2-25804820EDAC}">
            <c15:filteredLineSeries>
              <c15:ser>
                <c:idx val="5"/>
                <c:order val="5"/>
                <c:tx>
                  <c:strRef>
                    <c:extLst>
                      <c:ext uri="{02D57815-91ED-43cb-92C2-25804820EDAC}">
                        <c15:formulaRef>
                          <c15:sqref>'Brewer Performance'!#REF!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:tx>
                <c:cat>
                  <c:strRef>
                    <c:extLst>
                      <c:ext uri="{02D57815-91ED-43cb-92C2-25804820EDAC}">
                        <c15:formulaRef>
                          <c15:sqref>'Brewer Performance'!$D$39:$O$39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'Brewer Performance'!#REF!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5-AEC4-4B61-A360-434F4872A4EA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'Brewer Performance'!#REF!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:tx>
                <c:marker>
                  <c:spPr>
                    <a:solidFill>
                      <a:srgbClr val="FFFF99"/>
                    </a:solidFill>
                    <a:ln>
                      <a:solidFill>
                        <a:srgbClr val="FFFF00"/>
                      </a:solidFill>
                    </a:ln>
                  </c:spPr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'Brewer Performance'!$D$39:$O$39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'Brewer Performance'!#REF!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AEC4-4B61-A360-434F4872A4EA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'Brewer Performance'!#REF!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:tx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'Brewer Performance'!$D$39:$O$39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'Brewer Performance'!#REF!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AEC4-4B61-A360-434F4872A4EA}"/>
                  </c:ext>
                </c:extLst>
              </c15:ser>
            </c15:filteredLineSeries>
            <c15:filteredLine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'Brewer Performance'!#REF!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:tx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'Brewer Performance'!$D$39:$O$39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'Brewer Performance'!#REF!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AEC4-4B61-A360-434F4872A4EA}"/>
                  </c:ext>
                </c:extLst>
              </c15:ser>
            </c15:filteredLineSeries>
          </c:ext>
        </c:extLst>
      </c:lineChart>
      <c:catAx>
        <c:axId val="3732860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400" b="1"/>
            </a:pPr>
            <a:endParaRPr lang="en-US"/>
          </a:p>
        </c:txPr>
        <c:crossAx val="373287552"/>
        <c:crosses val="autoZero"/>
        <c:auto val="1"/>
        <c:lblAlgn val="ctr"/>
        <c:lblOffset val="100"/>
        <c:noMultiLvlLbl val="0"/>
      </c:catAx>
      <c:valAx>
        <c:axId val="373287552"/>
        <c:scaling>
          <c:orientation val="minMax"/>
          <c:max val="100"/>
          <c:min val="90.5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txPr>
          <a:bodyPr/>
          <a:lstStyle/>
          <a:p>
            <a:pPr>
              <a:defRPr sz="1300" b="1"/>
            </a:pPr>
            <a:endParaRPr lang="en-US"/>
          </a:p>
        </c:txPr>
        <c:crossAx val="373286016"/>
        <c:crosses val="autoZero"/>
        <c:crossBetween val="between"/>
      </c:valAx>
      <c:spPr>
        <a:gradFill rotWithShape="1">
          <a:gsLst>
            <a:gs pos="0">
              <a:schemeClr val="dk1">
                <a:tint val="50000"/>
                <a:satMod val="300000"/>
              </a:schemeClr>
            </a:gs>
            <a:gs pos="35000">
              <a:schemeClr val="dk1">
                <a:tint val="37000"/>
                <a:satMod val="300000"/>
              </a:schemeClr>
            </a:gs>
            <a:gs pos="100000">
              <a:schemeClr val="dk1">
                <a:tint val="15000"/>
                <a:satMod val="350000"/>
              </a:schemeClr>
            </a:gs>
          </a:gsLst>
          <a:lin ang="16200000" scaled="1"/>
        </a:gradFill>
        <a:ln w="9525" cap="flat" cmpd="sng" algn="ctr">
          <a:solidFill>
            <a:schemeClr val="dk1">
              <a:shade val="95000"/>
              <a:satMod val="105000"/>
            </a:schemeClr>
          </a:solidFill>
          <a:prstDash val="solid"/>
        </a:ln>
        <a:effectLst>
          <a:outerShdw blurRad="40000" dist="20000" dir="5400000" rotWithShape="0">
            <a:srgbClr val="000000">
              <a:alpha val="38000"/>
            </a:srgbClr>
          </a:outerShdw>
        </a:effectLst>
      </c:spPr>
    </c:plotArea>
    <c:legend>
      <c:legendPos val="r"/>
      <c:overlay val="0"/>
      <c:txPr>
        <a:bodyPr/>
        <a:lstStyle/>
        <a:p>
          <a:pPr>
            <a:defRPr sz="1400" b="1" i="1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0178" l="0.70000000000000062" r="0.70000000000000062" t="0.75000000000000178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352283</xdr:colOff>
      <xdr:row>14</xdr:row>
      <xdr:rowOff>16246</xdr:rowOff>
    </xdr:from>
    <xdr:to>
      <xdr:col>8</xdr:col>
      <xdr:colOff>27873</xdr:colOff>
      <xdr:row>33</xdr:row>
      <xdr:rowOff>106174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E51162C-1400-4B7D-927D-16D885EB38D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251011</xdr:colOff>
      <xdr:row>48</xdr:row>
      <xdr:rowOff>79841</xdr:rowOff>
    </xdr:from>
    <xdr:to>
      <xdr:col>15</xdr:col>
      <xdr:colOff>679636</xdr:colOff>
      <xdr:row>75</xdr:row>
      <xdr:rowOff>36979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53D5D15-1D00-488B-99AD-7941550F4D2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ren-dc\shared\Operations\Brewing\Reports%20Local\Daily%20Process%20Report\May'18%20Daily%20Process%20Report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ren-dc\shared\Operations\Brewing\Reports%20Local\Daily%20Process%20Report\January'20%20Daily%20Process%20Report.xlsx" TargetMode="External"/></Relationships>
</file>

<file path=xl/externalLinks/_rels/externalLink3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Logbooks/Logbooks%202026/NewSMaltLog2026.xls" TargetMode="External"/><Relationship Id="rId2" Type="http://schemas.openxmlformats.org/officeDocument/2006/relationships/externalLinkPath" Target="file:///F:\Operations\Brewing\Logbooks\Logbooks%202026\NewSMaltLog2026.xls" TargetMode="External"/><Relationship Id="rId1" Type="http://schemas.openxmlformats.org/officeDocument/2006/relationships/externalLinkPath" Target="/Operations/Brewing/Logbooks/Logbooks%202026/NewSMaltLog2026.xls" TargetMode="External"/></Relationships>
</file>

<file path=xl/externalLinks/_rels/externalLink4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Logbooks/Logbooks%202026/NewCaribLog2026.xlsx" TargetMode="External"/><Relationship Id="rId2" Type="http://schemas.openxmlformats.org/officeDocument/2006/relationships/externalLinkPath" Target="file:///F:\Operations\Brewing\Logbooks\Logbooks%202026\NewCaribLog2026.xlsx" TargetMode="External"/><Relationship Id="rId1" Type="http://schemas.openxmlformats.org/officeDocument/2006/relationships/externalLinkPath" Target="/Operations/Brewing/Logbooks/Logbooks%202026/NewCaribLog2026.xlsx" TargetMode="External"/></Relationships>
</file>

<file path=xl/externalLinks/_rels/externalLink5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Logbooks/Logbooks%202026/NewStagLog2026.xls" TargetMode="External"/><Relationship Id="rId2" Type="http://schemas.openxmlformats.org/officeDocument/2006/relationships/externalLinkPath" Target="file:///F:\Operations\Brewing\Logbooks\Logbooks%202026\NewStagLog2026.xls" TargetMode="External"/><Relationship Id="rId1" Type="http://schemas.openxmlformats.org/officeDocument/2006/relationships/externalLinkPath" Target="/Operations/Brewing/Logbooks/Logbooks%202026/NewStagLog2026.xls" TargetMode="External"/></Relationships>
</file>

<file path=xl/externalLinks/_rels/externalLink6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Logbooks/Logbooks%202026/NewGuinnLog2026.xls" TargetMode="External"/><Relationship Id="rId2" Type="http://schemas.openxmlformats.org/officeDocument/2006/relationships/externalLinkPath" Target="file:///F:\Operations\Brewing\Logbooks\Logbooks%202026\NewGuinnLog2026.xls" TargetMode="External"/><Relationship Id="rId1" Type="http://schemas.openxmlformats.org/officeDocument/2006/relationships/externalLinkPath" Target="/Operations/Brewing/Logbooks/Logbooks%202026/NewGuinnLog2026.xls" TargetMode="External"/></Relationships>
</file>

<file path=xl/externalLinks/_rels/externalLink7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Logbooks/Logbooks%202026/NewVMaltLog2026.xls" TargetMode="External"/><Relationship Id="rId2" Type="http://schemas.openxmlformats.org/officeDocument/2006/relationships/externalLinkPath" Target="file:///F:\Operations\Brewing\Logbooks\Logbooks%202026\NewVMaltLog2026.xls" TargetMode="External"/><Relationship Id="rId1" Type="http://schemas.openxmlformats.org/officeDocument/2006/relationships/externalLinkPath" Target="/Operations/Brewing/Logbooks/Logbooks%202026/NewVMaltLog2026.xls" TargetMode="External"/></Relationships>
</file>

<file path=xl/externalLinks/_rels/externalLink8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Logbooks/Logbooks%202026/NewMackLog2026.xls" TargetMode="External"/><Relationship Id="rId2" Type="http://schemas.openxmlformats.org/officeDocument/2006/relationships/externalLinkPath" Target="file:///F:\Operations\Brewing\Logbooks\Logbooks%202026\NewMackLog2026.xls" TargetMode="External"/><Relationship Id="rId1" Type="http://schemas.openxmlformats.org/officeDocument/2006/relationships/externalLinkPath" Target="/Operations/Brewing/Logbooks/Logbooks%202026/NewMackLog2026.xls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Operations\Brewing\Reports%20Local\Daily%20Process%20Report\2026%20Daily%20Process%20Report\January%20'26%20Daily%20Process%20Report%202026.xlsx" TargetMode="External"/><Relationship Id="rId1" Type="http://schemas.openxmlformats.org/officeDocument/2006/relationships/externalLinkPath" Target="January%20'26%20Daily%20Process%20Report%202026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Operations\Brewing\Reports%20Local\Daily%20Process%20Report\2026%20Daily%20Process%20Report\February%20'26%20Daily%20Process%20Report%202026.xlsx" TargetMode="External"/><Relationship Id="rId1" Type="http://schemas.openxmlformats.org/officeDocument/2006/relationships/externalLinkPath" Target="February%20'26%20Daily%20Process%20Report%202026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Operations\Brewing\Reports%20Local\Daily%20Process%20Report\2026%20Daily%20Process%20Report\March'26%20Daily%20Process%20Report%202026.xlsx" TargetMode="External"/><Relationship Id="rId1" Type="http://schemas.openxmlformats.org/officeDocument/2006/relationships/externalLinkPath" Target="March'26%20Daily%20Process%20Report%202026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Operations\Brewing\Reports%20Local\Daily%20Process%20Report\2026%20Daily%20Process%20Report\April%20'26%20Daily%20Process%20Report%202026.xlsx" TargetMode="External"/><Relationship Id="rId1" Type="http://schemas.openxmlformats.org/officeDocument/2006/relationships/externalLinkPath" Target="April%20'26%20Daily%20Process%20Report%202026.xlsx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Operations\Brewing\Reports%20Local\Daily%20Process%20Report\2026%20Daily%20Process%20Report\May'26%20Daily%20Process%20Report%202026.xlsx" TargetMode="External"/><Relationship Id="rId1" Type="http://schemas.openxmlformats.org/officeDocument/2006/relationships/externalLinkPath" Target="May'26%20Daily%20Process%20Report%202026.xlsx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Operations\Brewing\Reports%20Local\Daily%20Process%20Report\2026%20Daily%20Process%20Report\June'26%20Daily%20Process%20Report%202026.xlsx" TargetMode="External"/><Relationship Id="rId1" Type="http://schemas.openxmlformats.org/officeDocument/2006/relationships/externalLinkPath" Target="June'26%20Daily%20Process%20Report%202026.xlsx" TargetMode="External"/></Relationships>
</file>

<file path=xl/externalLinks/_rels/externalLink1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Operations\Brewing\Reports%20Local\Daily%20Process%20Report\2026%20Daily%20Process%20Report\July'26%20Daily%20Process%20Report%202026.xlsx" TargetMode="External"/><Relationship Id="rId1" Type="http://schemas.openxmlformats.org/officeDocument/2006/relationships/externalLinkPath" Target="July'26%20Daily%20Process%20Report%202026.xlsx" TargetMode="External"/></Relationships>
</file>

<file path=xl/externalLinks/_rels/externalLink1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Operations\Brewing\Reports%20Local\Daily%20Process%20Report\2026%20Daily%20Process%20Report\August'26%20Daily%20Process%20Report%202026.xlsx" TargetMode="External"/><Relationship Id="rId1" Type="http://schemas.openxmlformats.org/officeDocument/2006/relationships/externalLinkPath" Target="August'26%20Daily%20Process%20Report%202026.xlsx" TargetMode="External"/></Relationships>
</file>

<file path=xl/externalLinks/_rels/externalLink17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Royd/Brewing/Filtration_Throughput/Filtration_Throughput_2019.xlsx" TargetMode="External"/><Relationship Id="rId1" Type="http://schemas.openxmlformats.org/officeDocument/2006/relationships/externalLinkPath" Target="/Operations/Royd/Brewing/Filtration_Throughput/Filtration_Throughput_2019.xlsx" TargetMode="External"/></Relationships>
</file>

<file path=xl/externalLinks/_rels/externalLink18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Reshelle/Brewing/Daily_Brewhouse_Efficiency/Daily_Brewhouse_Efficiency_2026.xls" TargetMode="External"/><Relationship Id="rId2" Type="http://schemas.openxmlformats.org/officeDocument/2006/relationships/externalLinkPath" Target="file:///F:\Operations\Reshelle\Brewing\Daily_Brewhouse_Efficiency\Daily_Brewhouse_Efficiency_2026.xls" TargetMode="External"/><Relationship Id="rId1" Type="http://schemas.openxmlformats.org/officeDocument/2006/relationships/externalLinkPath" Target="/Operations/Reshelle/Brewing/Daily_Brewhouse_Efficiency/Daily_Brewhouse_Efficiency_2026.xls" TargetMode="External"/></Relationships>
</file>

<file path=xl/externalLinks/_rels/externalLink19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Reshelle/Brewing/Filtration_Throughput/Filtration_Throughput_2026.xlsx" TargetMode="External"/><Relationship Id="rId2" Type="http://schemas.openxmlformats.org/officeDocument/2006/relationships/externalLinkPath" Target="file:///F:\Operations\Reshelle\Brewing\Filtration_Throughput\Filtration_Throughput_2026.xlsx" TargetMode="External"/><Relationship Id="rId1" Type="http://schemas.openxmlformats.org/officeDocument/2006/relationships/externalLinkPath" Target="/Operations/Reshelle/Brewing/Filtration_Throughput/Filtration_Throughput_2026.xlsx" TargetMode="External"/></Relationships>
</file>

<file path=xl/externalLinks/_rels/externalLink20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Logbooks/Logbooks%202022/NewCaribLog2022.xlsx" TargetMode="External"/><Relationship Id="rId2" Type="http://schemas.openxmlformats.org/officeDocument/2006/relationships/externalLinkPath" Target="file:///F:\Operations\Brewing\Logbooks\Logbooks%202022\NewCaribLog2022.xlsx" TargetMode="External"/><Relationship Id="rId1" Type="http://schemas.openxmlformats.org/officeDocument/2006/relationships/externalLinkPath" Target="/Operations/Brewing/Logbooks/Logbooks%202022/NewCaribLog2022.xlsx" TargetMode="External"/></Relationships>
</file>

<file path=xl/externalLinks/_rels/externalLink2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Logbooks/Logbooks%202022/NewStagLog2022.xls" TargetMode="External"/><Relationship Id="rId2" Type="http://schemas.openxmlformats.org/officeDocument/2006/relationships/externalLinkPath" Target="file:///F:\Operations\Brewing\Logbooks\Logbooks%202022\NewStagLog2022.xls" TargetMode="External"/><Relationship Id="rId1" Type="http://schemas.openxmlformats.org/officeDocument/2006/relationships/externalLinkPath" Target="/Operations/Brewing/Logbooks/Logbooks%202022/NewStagLog2022.xls" TargetMode="External"/></Relationships>
</file>

<file path=xl/externalLinks/_rels/externalLink2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Logbooks/Logbooks%202022/NewGuinnLog2022.xls" TargetMode="External"/><Relationship Id="rId2" Type="http://schemas.openxmlformats.org/officeDocument/2006/relationships/externalLinkPath" Target="file:///F:\Operations\Brewing\Logbooks\Logbooks%202022\NewGuinnLog2022.xls" TargetMode="External"/><Relationship Id="rId1" Type="http://schemas.openxmlformats.org/officeDocument/2006/relationships/externalLinkPath" Target="/Operations/Brewing/Logbooks/Logbooks%202022/NewGuinnLog2022.xls" TargetMode="External"/></Relationships>
</file>

<file path=xl/externalLinks/_rels/externalLink23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Logbooks/Logbooks%202022/NewVMaltLog2022.xls" TargetMode="External"/><Relationship Id="rId2" Type="http://schemas.openxmlformats.org/officeDocument/2006/relationships/externalLinkPath" Target="file:///F:\Operations\Brewing\Logbooks\Logbooks%202022\NewVMaltLog2022.xls" TargetMode="External"/><Relationship Id="rId1" Type="http://schemas.openxmlformats.org/officeDocument/2006/relationships/externalLinkPath" Target="/Operations/Brewing/Logbooks/Logbooks%202022/NewVMaltLog2022.xls" TargetMode="External"/></Relationships>
</file>

<file path=xl/externalLinks/_rels/externalLink24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Logbooks/Logbooks%202022/NewMackLog2022.xls" TargetMode="External"/><Relationship Id="rId2" Type="http://schemas.openxmlformats.org/officeDocument/2006/relationships/externalLinkPath" Target="file:///F:\Operations\Brewing\Logbooks\Logbooks%202022\NewMackLog2022.xls" TargetMode="External"/><Relationship Id="rId1" Type="http://schemas.openxmlformats.org/officeDocument/2006/relationships/externalLinkPath" Target="/Operations/Brewing/Logbooks/Logbooks%202022/NewMackLog2022.xls" TargetMode="External"/></Relationships>
</file>

<file path=xl/externalLinks/_rels/externalLink25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Logbooks/Logbooks%202022/NewSMaltLog2022.xls" TargetMode="External"/><Relationship Id="rId2" Type="http://schemas.openxmlformats.org/officeDocument/2006/relationships/externalLinkPath" Target="file:///F:\Operations\Brewing\Logbooks\Logbooks%202022\NewSMaltLog2022.xls" TargetMode="External"/><Relationship Id="rId1" Type="http://schemas.openxmlformats.org/officeDocument/2006/relationships/externalLinkPath" Target="/Operations/Brewing/Logbooks/Logbooks%202022/NewSMaltLog2022.xls" TargetMode="External"/></Relationships>
</file>

<file path=xl/externalLinks/_rels/externalLink26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Logbooks/Logbooks%202022/NewHRLog2022.xls" TargetMode="External"/><Relationship Id="rId2" Type="http://schemas.openxmlformats.org/officeDocument/2006/relationships/externalLinkPath" Target="file:///F:\Operations\Brewing\Logbooks\Logbooks%202022\NewHRLog2022.xls" TargetMode="External"/><Relationship Id="rId1" Type="http://schemas.openxmlformats.org/officeDocument/2006/relationships/externalLinkPath" Target="/Operations/Brewing/Logbooks/Logbooks%202022/NewHRLog2022.xls" TargetMode="External"/></Relationships>
</file>

<file path=xl/externalLinks/_rels/externalLink27.xml.rels><?xml version="1.0" encoding="UTF-8" standalone="yes"?>
<Relationships xmlns="http://schemas.openxmlformats.org/package/2006/relationships"><Relationship Id="rId3" Type="http://schemas.openxmlformats.org/officeDocument/2006/relationships/externalLinkPath" Target="../2023%20Daily%20Process%20Report/January%20'23%20Daily%20Process%20Report%202023.xlsx" TargetMode="External"/><Relationship Id="rId2" Type="http://schemas.openxmlformats.org/officeDocument/2006/relationships/externalLinkPath" Target="file:///F:\Operations\Brewing\Reports%20Local\Daily%20Process%20Report\2023%20Daily%20Process%20Report\January%20'23%20Daily%20Process%20Report%202023.xlsx" TargetMode="External"/><Relationship Id="rId1" Type="http://schemas.openxmlformats.org/officeDocument/2006/relationships/externalLinkPath" Target="/Operations/Brewing/Reports%20Local/Daily%20Process%20Report/2023%20Daily%20Process%20Report/January%20'23%20Daily%20Process%20Report%202023.xlsx" TargetMode="External"/></Relationships>
</file>

<file path=xl/externalLinks/_rels/externalLink28.xml.rels><?xml version="1.0" encoding="UTF-8" standalone="yes"?>
<Relationships xmlns="http://schemas.openxmlformats.org/package/2006/relationships"><Relationship Id="rId3" Type="http://schemas.openxmlformats.org/officeDocument/2006/relationships/externalLinkPath" Target="../2023%20Daily%20Process%20Report/February%20'23%20Daily%20Process%20Report%202023.xlsx" TargetMode="External"/><Relationship Id="rId2" Type="http://schemas.openxmlformats.org/officeDocument/2006/relationships/externalLinkPath" Target="file:///F:\Operations\Brewing\Reports%20Local\Daily%20Process%20Report\2023%20Daily%20Process%20Report\February%20'23%20Daily%20Process%20Report%202023.xlsx" TargetMode="External"/><Relationship Id="rId1" Type="http://schemas.openxmlformats.org/officeDocument/2006/relationships/externalLinkPath" Target="/Operations/Brewing/Reports%20Local/Daily%20Process%20Report/2023%20Daily%20Process%20Report/February%20'23%20Daily%20Process%20Report%202023.xlsx" TargetMode="External"/></Relationships>
</file>

<file path=xl/externalLinks/_rels/externalLink29.xml.rels><?xml version="1.0" encoding="UTF-8" standalone="yes"?>
<Relationships xmlns="http://schemas.openxmlformats.org/package/2006/relationships"><Relationship Id="rId3" Type="http://schemas.openxmlformats.org/officeDocument/2006/relationships/externalLinkPath" Target="../2023%20Daily%20Process%20Report/March%20'23%20Daily%20Process%20Report%202023.xlsx" TargetMode="External"/><Relationship Id="rId2" Type="http://schemas.openxmlformats.org/officeDocument/2006/relationships/externalLinkPath" Target="file:///F:\Operations\Brewing\Reports%20Local\Daily%20Process%20Report\2023%20Daily%20Process%20Report\March%20'23%20Daily%20Process%20Report%202023.xlsx" TargetMode="External"/><Relationship Id="rId1" Type="http://schemas.openxmlformats.org/officeDocument/2006/relationships/externalLinkPath" Target="/Operations/Brewing/Reports%20Local/Daily%20Process%20Report/2023%20Daily%20Process%20Report/March%20'23%20Daily%20Process%20Report%202023.xlsx" TargetMode="External"/></Relationships>
</file>

<file path=xl/externalLinks/_rels/externalLink30.xml.rels><?xml version="1.0" encoding="UTF-8" standalone="yes"?>
<Relationships xmlns="http://schemas.openxmlformats.org/package/2006/relationships"><Relationship Id="rId3" Type="http://schemas.openxmlformats.org/officeDocument/2006/relationships/externalLinkPath" Target="../2023%20Daily%20Process%20Report/April%20'23%20Daily%20Process%20Report%202023.xlsx" TargetMode="External"/><Relationship Id="rId2" Type="http://schemas.openxmlformats.org/officeDocument/2006/relationships/externalLinkPath" Target="file:///F:\Operations\Brewing\Reports%20Local\Daily%20Process%20Report\2023%20Daily%20Process%20Report\April%20'23%20Daily%20Process%20Report%202023.xlsx" TargetMode="External"/><Relationship Id="rId1" Type="http://schemas.openxmlformats.org/officeDocument/2006/relationships/externalLinkPath" Target="/Operations/Brewing/Reports%20Local/Daily%20Process%20Report/2023%20Daily%20Process%20Report/April%20'23%20Daily%20Process%20Report%202023.xlsx" TargetMode="External"/></Relationships>
</file>

<file path=xl/externalLinks/_rels/externalLink31.xml.rels><?xml version="1.0" encoding="UTF-8" standalone="yes"?>
<Relationships xmlns="http://schemas.openxmlformats.org/package/2006/relationships"><Relationship Id="rId3" Type="http://schemas.openxmlformats.org/officeDocument/2006/relationships/externalLinkPath" Target="../2023%20Daily%20Process%20Report/June%20'23%20Daily%20Process%20Report%202023.xlsx" TargetMode="External"/><Relationship Id="rId2" Type="http://schemas.openxmlformats.org/officeDocument/2006/relationships/externalLinkPath" Target="file:///F:\Operations\Brewing\Reports%20Local\Daily%20Process%20Report\2023%20Daily%20Process%20Report\June%20'23%20Daily%20Process%20Report%202023.xlsx" TargetMode="External"/><Relationship Id="rId1" Type="http://schemas.openxmlformats.org/officeDocument/2006/relationships/externalLinkPath" Target="/Operations/Brewing/Reports%20Local/Daily%20Process%20Report/2023%20Daily%20Process%20Report/June%20'23%20Daily%20Process%20Report%202023.xlsx" TargetMode="External"/></Relationships>
</file>

<file path=xl/externalLinks/_rels/externalLink32.xml.rels><?xml version="1.0" encoding="UTF-8" standalone="yes"?>
<Relationships xmlns="http://schemas.openxmlformats.org/package/2006/relationships"><Relationship Id="rId3" Type="http://schemas.openxmlformats.org/officeDocument/2006/relationships/externalLinkPath" Target="../2023%20Daily%20Process%20Report/July%20'23%20Daily%20Process%20Report%202023.xlsx" TargetMode="External"/><Relationship Id="rId2" Type="http://schemas.openxmlformats.org/officeDocument/2006/relationships/externalLinkPath" Target="file:///F:\Operations\Brewing\Reports%20Local\Daily%20Process%20Report\2023%20Daily%20Process%20Report\July%20'23%20Daily%20Process%20Report%202023.xlsx" TargetMode="External"/><Relationship Id="rId1" Type="http://schemas.openxmlformats.org/officeDocument/2006/relationships/externalLinkPath" Target="/Operations/Brewing/Reports%20Local/Daily%20Process%20Report/2023%20Daily%20Process%20Report/July%20'23%20Daily%20Process%20Report%202023.xlsx" TargetMode="External"/></Relationships>
</file>

<file path=xl/externalLinks/_rels/externalLink33.xml.rels><?xml version="1.0" encoding="UTF-8" standalone="yes"?>
<Relationships xmlns="http://schemas.openxmlformats.org/package/2006/relationships"><Relationship Id="rId3" Type="http://schemas.openxmlformats.org/officeDocument/2006/relationships/externalLinkPath" Target="../2023%20Daily%20Process%20Report/August%20'23%20Daily%20Process%20Report%202023.xlsx" TargetMode="External"/><Relationship Id="rId2" Type="http://schemas.openxmlformats.org/officeDocument/2006/relationships/externalLinkPath" Target="file:///F:\Operations\Brewing\Reports%20Local\Daily%20Process%20Report\2023%20Daily%20Process%20Report\August%20'23%20Daily%20Process%20Report%202023.xlsx" TargetMode="External"/><Relationship Id="rId1" Type="http://schemas.openxmlformats.org/officeDocument/2006/relationships/externalLinkPath" Target="/Operations/Brewing/Reports%20Local/Daily%20Process%20Report/2023%20Daily%20Process%20Report/August%20'23%20Daily%20Process%20Report%202023.xlsx" TargetMode="External"/></Relationships>
</file>

<file path=xl/externalLinks/_rels/externalLink34.xml.rels><?xml version="1.0" encoding="UTF-8" standalone="yes"?>
<Relationships xmlns="http://schemas.openxmlformats.org/package/2006/relationships"><Relationship Id="rId3" Type="http://schemas.openxmlformats.org/officeDocument/2006/relationships/externalLinkPath" Target="../2023%20Daily%20Process%20Report/October%20'23%20Daily%20Process%20Report%202023.xlsx" TargetMode="External"/><Relationship Id="rId2" Type="http://schemas.openxmlformats.org/officeDocument/2006/relationships/externalLinkPath" Target="file:///F:\Operations\Brewing\Reports%20Local\Daily%20Process%20Report\2023%20Daily%20Process%20Report\October%20'23%20Daily%20Process%20Report%202023.xlsx" TargetMode="External"/><Relationship Id="rId1" Type="http://schemas.openxmlformats.org/officeDocument/2006/relationships/externalLinkPath" Target="/Operations/Brewing/Reports%20Local/Daily%20Process%20Report/2023%20Daily%20Process%20Report/October%20'23%20Daily%20Process%20Report%202023.xlsx" TargetMode="External"/></Relationships>
</file>

<file path=xl/externalLinks/_rels/externalLink35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Reshelle/Brewing/Daily_Brewhouse_Efficiency/Daily_Brewhouse_Efficiency_2023.xls" TargetMode="External"/><Relationship Id="rId2" Type="http://schemas.openxmlformats.org/officeDocument/2006/relationships/externalLinkPath" Target="file:///F:\Operations\Reshelle\Brewing\Daily_Brewhouse_Efficiency\Daily_Brewhouse_Efficiency_2023.xls" TargetMode="External"/><Relationship Id="rId1" Type="http://schemas.openxmlformats.org/officeDocument/2006/relationships/externalLinkPath" Target="/Operations/Reshelle/Brewing/Daily_Brewhouse_Efficiency/Daily_Brewhouse_Efficiency_2023.xls" TargetMode="External"/></Relationships>
</file>

<file path=xl/externalLinks/_rels/externalLink36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Reshelle/Brewing/Filtration_Throughput/Filtration_Throughput_2023.xlsx" TargetMode="External"/><Relationship Id="rId2" Type="http://schemas.openxmlformats.org/officeDocument/2006/relationships/externalLinkPath" Target="file:///F:\Operations\Reshelle\Brewing\Filtration_Throughput\Filtration_Throughput_2023.xlsx" TargetMode="External"/><Relationship Id="rId1" Type="http://schemas.openxmlformats.org/officeDocument/2006/relationships/externalLinkPath" Target="/Operations/Reshelle/Brewing/Filtration_Throughput/Filtration_Throughput_2023.xlsx" TargetMode="External"/></Relationships>
</file>

<file path=xl/externalLinks/_rels/externalLink37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Royd/Brewing/Daily_Brewhouse_Efficiency/Daily_Brewhouse_Efficiency_2022.xls" TargetMode="External"/><Relationship Id="rId1" Type="http://schemas.openxmlformats.org/officeDocument/2006/relationships/externalLinkPath" Target="/Operations/Royd/Brewing/Daily_Brewhouse_Efficiency/Daily_Brewhouse_Efficiency_2022.xls" TargetMode="External"/></Relationships>
</file>

<file path=xl/externalLinks/_rels/externalLink38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Losses%202026/September_2026.xls" TargetMode="External"/><Relationship Id="rId2" Type="http://schemas.openxmlformats.org/officeDocument/2006/relationships/externalLinkPath" Target="file:///F:\Operations\Brewing\Reports%20Local\Losses%202026\September_2026.xls" TargetMode="External"/><Relationship Id="rId1" Type="http://schemas.openxmlformats.org/officeDocument/2006/relationships/externalLinkPath" Target="/Operations/Brewing/Reports%20Local/Losses%202026/September_2026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REN-DC\Shared\Operations\Brewing\Logbooks\Copy%20of%20NewCaribLog2.xlsx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REN-DC\Shared\Operations\Brewing\Logbooks\Copy%20of%20NewStagLog2.xls" TargetMode="External"/></Relationships>
</file>

<file path=xl/externalLinks/_rels/externalLink4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Logbooks/NewVMaltLog.xls" TargetMode="External"/><Relationship Id="rId2" Type="http://schemas.openxmlformats.org/officeDocument/2006/relationships/externalLinkPath" Target="file:///F:\Operations\Brewing\Logbooks\NewVMaltLog.xls" TargetMode="External"/><Relationship Id="rId1" Type="http://schemas.openxmlformats.org/officeDocument/2006/relationships/externalLinkPath" Target="/Operations/Brewing/Logbooks/NewVMaltLog.xls" TargetMode="External"/></Relationships>
</file>

<file path=xl/externalLinks/_rels/externalLink4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Logbooks/NewMMaltLog.xls" TargetMode="External"/><Relationship Id="rId2" Type="http://schemas.openxmlformats.org/officeDocument/2006/relationships/externalLinkPath" Target="file:///F:\Operations\Brewing\Logbooks\NewMMaltLog.xls" TargetMode="External"/><Relationship Id="rId1" Type="http://schemas.openxmlformats.org/officeDocument/2006/relationships/externalLinkPath" Target="/Operations/Brewing/Logbooks/NewMMaltLog.xls" TargetMode="External"/></Relationships>
</file>

<file path=xl/externalLinks/_rels/externalLink43.xml.rels><?xml version="1.0" encoding="UTF-8" standalone="yes"?>
<Relationships xmlns="http://schemas.openxmlformats.org/package/2006/relationships"><Relationship Id="rId3" Type="http://schemas.openxmlformats.org/officeDocument/2006/relationships/externalLinkPath" Target="../2022%20Daily%20Process%20Report/January%20'22%20Daily%20Process%20Report%202022.xlsx" TargetMode="External"/><Relationship Id="rId2" Type="http://schemas.openxmlformats.org/officeDocument/2006/relationships/externalLinkPath" Target="file:///F:\Operations\Brewing\Reports%20Local\Daily%20Process%20Report\2022%20Daily%20Process%20Report\January%20'22%20Daily%20Process%20Report%202022.xlsx" TargetMode="External"/><Relationship Id="rId1" Type="http://schemas.openxmlformats.org/officeDocument/2006/relationships/externalLinkPath" Target="/Operations/Brewing/Reports%20Local/Daily%20Process%20Report/2022%20Daily%20Process%20Report/January%20'22%20Daily%20Process%20Report%202022.xlsx" TargetMode="External"/></Relationships>
</file>

<file path=xl/externalLinks/_rels/externalLink44.xml.rels><?xml version="1.0" encoding="UTF-8" standalone="yes"?>
<Relationships xmlns="http://schemas.openxmlformats.org/package/2006/relationships"><Relationship Id="rId3" Type="http://schemas.openxmlformats.org/officeDocument/2006/relationships/externalLinkPath" Target="../2022%20Daily%20Process%20Report/February%20'22%20Daily%20Process%20Report%202022.xlsx" TargetMode="External"/><Relationship Id="rId2" Type="http://schemas.openxmlformats.org/officeDocument/2006/relationships/externalLinkPath" Target="file:///F:\Operations\Brewing\Reports%20Local\Daily%20Process%20Report\2022%20Daily%20Process%20Report\February%20'22%20Daily%20Process%20Report%202022.xlsx" TargetMode="External"/><Relationship Id="rId1" Type="http://schemas.openxmlformats.org/officeDocument/2006/relationships/externalLinkPath" Target="/Operations/Brewing/Reports%20Local/Daily%20Process%20Report/2022%20Daily%20Process%20Report/February%20'22%20Daily%20Process%20Report%202022.xlsx" TargetMode="External"/></Relationships>
</file>

<file path=xl/externalLinks/_rels/externalLink45.xml.rels><?xml version="1.0" encoding="UTF-8" standalone="yes"?>
<Relationships xmlns="http://schemas.openxmlformats.org/package/2006/relationships"><Relationship Id="rId3" Type="http://schemas.openxmlformats.org/officeDocument/2006/relationships/externalLinkPath" Target="../2022%20Daily%20Process%20Report/May%20'22%20Daily%20Process%20Report%202022.xlsx" TargetMode="External"/><Relationship Id="rId2" Type="http://schemas.openxmlformats.org/officeDocument/2006/relationships/externalLinkPath" Target="file:///F:\Operations\Brewing\Reports%20Local\Daily%20Process%20Report\2022%20Daily%20Process%20Report\May%20'22%20Daily%20Process%20Report%202022.xlsx" TargetMode="External"/><Relationship Id="rId1" Type="http://schemas.openxmlformats.org/officeDocument/2006/relationships/externalLinkPath" Target="/Operations/Brewing/Reports%20Local/Daily%20Process%20Report/2022%20Daily%20Process%20Report/May%20'22%20Daily%20Process%20Report%20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uly3"/>
      <sheetName val="July 4"/>
      <sheetName val="July 5"/>
      <sheetName val="July 6"/>
      <sheetName val="July 7"/>
      <sheetName val="July 10"/>
      <sheetName val="July11"/>
      <sheetName val="July12"/>
      <sheetName val="July13"/>
      <sheetName val="July14"/>
      <sheetName val="July15"/>
      <sheetName val="July16"/>
      <sheetName val="July17"/>
      <sheetName val="July18"/>
      <sheetName val="July19"/>
      <sheetName val="July20"/>
      <sheetName val="July21"/>
      <sheetName val="July24"/>
      <sheetName val="July25"/>
      <sheetName val="July26"/>
      <sheetName val="July27"/>
      <sheetName val="July28"/>
      <sheetName val="July31"/>
      <sheetName val="August1"/>
      <sheetName val="August2"/>
      <sheetName val="August3"/>
      <sheetName val="August4"/>
      <sheetName val="August7"/>
      <sheetName val="August8"/>
      <sheetName val="August9"/>
      <sheetName val="August10"/>
      <sheetName val="August11&amp;13"/>
      <sheetName val="August16"/>
      <sheetName val="August17"/>
      <sheetName val="August18"/>
      <sheetName val="August21"/>
      <sheetName val="August22"/>
      <sheetName val="August23"/>
      <sheetName val="August24"/>
      <sheetName val="August28"/>
      <sheetName val="August29"/>
      <sheetName val="August30"/>
      <sheetName val="August31"/>
      <sheetName val="September1"/>
      <sheetName val="September4"/>
      <sheetName val="September5"/>
      <sheetName val="September6"/>
      <sheetName val="September 7"/>
      <sheetName val="September 8"/>
      <sheetName val="September 11"/>
      <sheetName val="September12"/>
      <sheetName val="September13"/>
      <sheetName val="September14"/>
      <sheetName val="September15"/>
      <sheetName val="September16"/>
      <sheetName val="September18"/>
      <sheetName val="September19"/>
      <sheetName val="September20"/>
      <sheetName val="September21"/>
      <sheetName val="September22"/>
      <sheetName val="September25"/>
      <sheetName val="September26"/>
      <sheetName val="September27"/>
      <sheetName val="September28"/>
      <sheetName val="September29"/>
      <sheetName val="October02 "/>
      <sheetName val="October03"/>
      <sheetName val="October04"/>
      <sheetName val="October05"/>
      <sheetName val="October06"/>
      <sheetName val="October07 "/>
      <sheetName val="October09"/>
      <sheetName val="October10"/>
      <sheetName val="October11"/>
      <sheetName val="October12"/>
      <sheetName val="October13"/>
      <sheetName val="October16"/>
      <sheetName val="October17"/>
      <sheetName val="October18"/>
      <sheetName val="October19"/>
      <sheetName val="October20"/>
      <sheetName val="October23"/>
      <sheetName val="October24"/>
      <sheetName val="October26"/>
      <sheetName val="October27"/>
      <sheetName val="October30"/>
      <sheetName val="October31"/>
      <sheetName val="November 1"/>
      <sheetName val="November 2"/>
      <sheetName val="November 3"/>
      <sheetName val="November 4"/>
      <sheetName val="November 6"/>
      <sheetName val="November 8"/>
      <sheetName val="November 9"/>
      <sheetName val="November10"/>
      <sheetName val="November11"/>
      <sheetName val="November13"/>
      <sheetName val="November14"/>
      <sheetName val="November15"/>
      <sheetName val="November16"/>
      <sheetName val="November17"/>
      <sheetName val="November18"/>
      <sheetName val="November20"/>
      <sheetName val="November21"/>
      <sheetName val="November22"/>
      <sheetName val="November23"/>
      <sheetName val="November24"/>
      <sheetName val="November25"/>
      <sheetName val="November27"/>
      <sheetName val="November28"/>
      <sheetName val="November29"/>
      <sheetName val="November30"/>
      <sheetName val="December1 "/>
      <sheetName val="December2"/>
      <sheetName val="December3"/>
      <sheetName val="December4"/>
      <sheetName val="December5"/>
      <sheetName val="December6"/>
      <sheetName val="December7"/>
      <sheetName val="December 8"/>
      <sheetName val="December 9-10"/>
      <sheetName val="December 11"/>
      <sheetName val="December12"/>
      <sheetName val="December13"/>
      <sheetName val="December14"/>
      <sheetName val="December15"/>
      <sheetName val="December16"/>
      <sheetName val="December18"/>
      <sheetName val="December19"/>
      <sheetName val="December20"/>
      <sheetName val="December21"/>
      <sheetName val="December22"/>
      <sheetName val="December27"/>
      <sheetName val="December28"/>
      <sheetName val="December29"/>
      <sheetName val="December30"/>
      <sheetName val="January 02"/>
      <sheetName val="January 03"/>
      <sheetName val="January 04"/>
      <sheetName val="January 05"/>
      <sheetName val="January 06"/>
      <sheetName val="January 08"/>
      <sheetName val="January 09"/>
      <sheetName val="January 10"/>
      <sheetName val="January12"/>
      <sheetName val="January13"/>
      <sheetName val="January15"/>
      <sheetName val="January16"/>
      <sheetName val="January17"/>
      <sheetName val="January18"/>
      <sheetName val="January19"/>
      <sheetName val="January22"/>
      <sheetName val="January23"/>
      <sheetName val="January24"/>
      <sheetName val="January25"/>
      <sheetName val="January26"/>
      <sheetName val="January29"/>
      <sheetName val="January30"/>
      <sheetName val="January31"/>
      <sheetName val="February1"/>
      <sheetName val="February2"/>
      <sheetName val="February4"/>
      <sheetName val="February5"/>
      <sheetName val="February6"/>
      <sheetName val="February8"/>
      <sheetName val="February9"/>
      <sheetName val="February10"/>
      <sheetName val="February12"/>
      <sheetName val="February13"/>
      <sheetName val="February14"/>
      <sheetName val="February15"/>
      <sheetName val="February16,17&amp;18"/>
      <sheetName val="February19"/>
      <sheetName val="February20"/>
      <sheetName val="February21"/>
      <sheetName val="February22 &amp;23"/>
      <sheetName val="February24"/>
      <sheetName val="February26"/>
      <sheetName val="February27"/>
      <sheetName val="February28"/>
      <sheetName val="March1"/>
      <sheetName val="March2"/>
      <sheetName val="March3"/>
      <sheetName val="March5"/>
      <sheetName val="March6"/>
      <sheetName val="March7"/>
      <sheetName val="March8"/>
      <sheetName val="March9,10"/>
      <sheetName val="March11 "/>
      <sheetName val="March12"/>
      <sheetName val="March13"/>
      <sheetName val="March15"/>
      <sheetName val="March16"/>
      <sheetName val="March19"/>
      <sheetName val="March20"/>
      <sheetName val="March21"/>
      <sheetName val="March22"/>
      <sheetName val="March23"/>
      <sheetName val="March24"/>
      <sheetName val="March26"/>
      <sheetName val="March27"/>
      <sheetName val="March28"/>
      <sheetName val="March29"/>
      <sheetName val="April3"/>
      <sheetName val="April4"/>
      <sheetName val="April5"/>
      <sheetName val="April6"/>
      <sheetName val="April7&amp;8"/>
      <sheetName val="April8"/>
      <sheetName val="April9"/>
      <sheetName val="April10"/>
      <sheetName val="April11"/>
      <sheetName val="April12"/>
      <sheetName val="April13"/>
      <sheetName val="April14"/>
      <sheetName val="April15"/>
      <sheetName val="April16"/>
      <sheetName val="April17"/>
      <sheetName val="April19"/>
      <sheetName val="April20"/>
      <sheetName val="April21"/>
      <sheetName val="April22"/>
      <sheetName val="April23"/>
      <sheetName val="April24"/>
      <sheetName val="April25"/>
      <sheetName val="April26"/>
      <sheetName val="April27"/>
      <sheetName val="April30"/>
      <sheetName val="May2"/>
      <sheetName val="May3"/>
      <sheetName val="May6"/>
      <sheetName val="May 7"/>
      <sheetName val="May 8"/>
      <sheetName val="May 9"/>
      <sheetName val="May 10"/>
      <sheetName val="May 11"/>
      <sheetName val="May 12&amp;13"/>
      <sheetName val="May 14"/>
      <sheetName val="May 15"/>
      <sheetName val="May 16"/>
      <sheetName val="May 17"/>
      <sheetName val="May 18"/>
      <sheetName val="May 19"/>
      <sheetName val="May 21"/>
      <sheetName val="May 22"/>
      <sheetName val="May 23"/>
      <sheetName val="May 24"/>
      <sheetName val="May 25"/>
      <sheetName val="May 28"/>
      <sheetName val="May 29"/>
      <sheetName val="May 30"/>
      <sheetName val="MTD_Links"/>
      <sheetName val="YTD_Links"/>
      <sheetName val="Brewer Performanc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>
        <row r="3">
          <cell r="R3" t="str">
            <v>CARIB</v>
          </cell>
        </row>
        <row r="4">
          <cell r="R4" t="str">
            <v>STAG</v>
          </cell>
        </row>
        <row r="5">
          <cell r="R5" t="str">
            <v>GUINNESS</v>
          </cell>
        </row>
        <row r="6">
          <cell r="R6" t="str">
            <v>MACKESON</v>
          </cell>
        </row>
        <row r="7">
          <cell r="R7" t="str">
            <v>STARMALT</v>
          </cell>
        </row>
        <row r="8">
          <cell r="R8" t="str">
            <v>MAXIMALT</v>
          </cell>
        </row>
        <row r="9">
          <cell r="R9" t="str">
            <v>VITAMALT</v>
          </cell>
        </row>
      </sheetData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>
        <row r="10">
          <cell r="I10">
            <v>99.750932208295694</v>
          </cell>
        </row>
      </sheetData>
      <sheetData sheetId="137">
        <row r="10">
          <cell r="I10">
            <v>92.554657395524345</v>
          </cell>
        </row>
      </sheetData>
      <sheetData sheetId="138">
        <row r="10">
          <cell r="I10">
            <v>93.061018396064128</v>
          </cell>
        </row>
      </sheetData>
      <sheetData sheetId="139">
        <row r="10">
          <cell r="I10">
            <v>94.662435717962396</v>
          </cell>
        </row>
      </sheetData>
      <sheetData sheetId="140">
        <row r="10">
          <cell r="I10">
            <v>92.045957227088977</v>
          </cell>
        </row>
      </sheetData>
      <sheetData sheetId="141">
        <row r="10">
          <cell r="I10">
            <v>91.890983117060841</v>
          </cell>
        </row>
      </sheetData>
      <sheetData sheetId="142">
        <row r="10">
          <cell r="I10">
            <v>91.025110697731037</v>
          </cell>
        </row>
      </sheetData>
      <sheetData sheetId="143"/>
      <sheetData sheetId="144">
        <row r="10">
          <cell r="I10">
            <v>90.366953732682646</v>
          </cell>
        </row>
      </sheetData>
      <sheetData sheetId="145">
        <row r="10">
          <cell r="I10">
            <v>97.702971903640275</v>
          </cell>
        </row>
      </sheetData>
      <sheetData sheetId="146">
        <row r="10">
          <cell r="I10">
            <v>99.810032745121021</v>
          </cell>
        </row>
      </sheetData>
      <sheetData sheetId="147">
        <row r="10">
          <cell r="I10">
            <v>94.627590963754557</v>
          </cell>
        </row>
      </sheetData>
      <sheetData sheetId="148">
        <row r="10">
          <cell r="I10">
            <v>94.899173579696182</v>
          </cell>
        </row>
      </sheetData>
      <sheetData sheetId="149"/>
      <sheetData sheetId="150">
        <row r="10">
          <cell r="I10">
            <v>96.082518252933426</v>
          </cell>
        </row>
      </sheetData>
      <sheetData sheetId="151">
        <row r="10">
          <cell r="I10">
            <v>93.775699444109193</v>
          </cell>
        </row>
      </sheetData>
      <sheetData sheetId="152">
        <row r="11">
          <cell r="I11">
            <v>96.926141806735757</v>
          </cell>
        </row>
      </sheetData>
      <sheetData sheetId="153"/>
      <sheetData sheetId="154">
        <row r="10">
          <cell r="I10">
            <v>94.523973772447604</v>
          </cell>
        </row>
      </sheetData>
      <sheetData sheetId="155">
        <row r="10">
          <cell r="I10">
            <v>94.570474921386278</v>
          </cell>
        </row>
      </sheetData>
      <sheetData sheetId="156">
        <row r="10">
          <cell r="I10">
            <v>93.068442573487985</v>
          </cell>
        </row>
      </sheetData>
      <sheetData sheetId="157"/>
      <sheetData sheetId="158">
        <row r="10">
          <cell r="I10">
            <v>93.966969001465571</v>
          </cell>
        </row>
      </sheetData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>
        <row r="10">
          <cell r="I10">
            <v>94.746744496090514</v>
          </cell>
        </row>
      </sheetData>
      <sheetData sheetId="181">
        <row r="10">
          <cell r="I10">
            <v>81.610633396186259</v>
          </cell>
        </row>
      </sheetData>
      <sheetData sheetId="182">
        <row r="10">
          <cell r="I10">
            <v>89.881069793572991</v>
          </cell>
        </row>
      </sheetData>
      <sheetData sheetId="183">
        <row r="10">
          <cell r="I10">
            <v>92.308295030910401</v>
          </cell>
        </row>
      </sheetData>
      <sheetData sheetId="184">
        <row r="10">
          <cell r="I10">
            <v>90.815839711253389</v>
          </cell>
        </row>
      </sheetData>
      <sheetData sheetId="185">
        <row r="10">
          <cell r="I10">
            <v>93.204137247268804</v>
          </cell>
        </row>
      </sheetData>
      <sheetData sheetId="186">
        <row r="10">
          <cell r="I10">
            <v>92.808947037217479</v>
          </cell>
        </row>
      </sheetData>
      <sheetData sheetId="187">
        <row r="10">
          <cell r="I10">
            <v>95.493653491136698</v>
          </cell>
        </row>
      </sheetData>
      <sheetData sheetId="188">
        <row r="10">
          <cell r="I10">
            <v>93.032943465571279</v>
          </cell>
        </row>
      </sheetData>
      <sheetData sheetId="189">
        <row r="10">
          <cell r="I10">
            <v>95.082477249706741</v>
          </cell>
        </row>
      </sheetData>
      <sheetData sheetId="190">
        <row r="10">
          <cell r="I10">
            <v>94.086430493781364</v>
          </cell>
        </row>
      </sheetData>
      <sheetData sheetId="191">
        <row r="10">
          <cell r="I10">
            <v>95.237068907803788</v>
          </cell>
        </row>
      </sheetData>
      <sheetData sheetId="192">
        <row r="10">
          <cell r="I10">
            <v>93.696594322135354</v>
          </cell>
        </row>
      </sheetData>
      <sheetData sheetId="193">
        <row r="10">
          <cell r="I10">
            <v>95.035429294750102</v>
          </cell>
        </row>
      </sheetData>
      <sheetData sheetId="194">
        <row r="10">
          <cell r="I10">
            <v>95.845120933176332</v>
          </cell>
        </row>
      </sheetData>
      <sheetData sheetId="195">
        <row r="10">
          <cell r="I10">
            <v>96.575612538518712</v>
          </cell>
        </row>
      </sheetData>
      <sheetData sheetId="196">
        <row r="10">
          <cell r="I10">
            <v>95.60390348648707</v>
          </cell>
        </row>
      </sheetData>
      <sheetData sheetId="197">
        <row r="10">
          <cell r="I10">
            <v>94.900683340102304</v>
          </cell>
        </row>
      </sheetData>
      <sheetData sheetId="198">
        <row r="10">
          <cell r="I10">
            <v>93.675056093360212</v>
          </cell>
        </row>
      </sheetData>
      <sheetData sheetId="199">
        <row r="10">
          <cell r="I10">
            <v>94.141326868887788</v>
          </cell>
        </row>
      </sheetData>
      <sheetData sheetId="200">
        <row r="10">
          <cell r="I10">
            <v>94.400570300845345</v>
          </cell>
        </row>
      </sheetData>
      <sheetData sheetId="201">
        <row r="11">
          <cell r="I11">
            <v>94.497356214098588</v>
          </cell>
        </row>
      </sheetData>
      <sheetData sheetId="202">
        <row r="10">
          <cell r="I10">
            <v>91.531580743624872</v>
          </cell>
        </row>
      </sheetData>
      <sheetData sheetId="203">
        <row r="10">
          <cell r="I10">
            <v>93.571794724463402</v>
          </cell>
        </row>
      </sheetData>
      <sheetData sheetId="204">
        <row r="10">
          <cell r="I10">
            <v>95.684805072230873</v>
          </cell>
        </row>
      </sheetData>
      <sheetData sheetId="205">
        <row r="10">
          <cell r="I10">
            <v>94.899817680638733</v>
          </cell>
        </row>
      </sheetData>
      <sheetData sheetId="206">
        <row r="10">
          <cell r="I10">
            <v>98.148777849881043</v>
          </cell>
        </row>
      </sheetData>
      <sheetData sheetId="207">
        <row r="10">
          <cell r="I10">
            <v>91.33164066384883</v>
          </cell>
        </row>
      </sheetData>
      <sheetData sheetId="208">
        <row r="10">
          <cell r="I10">
            <v>95.746955675971961</v>
          </cell>
        </row>
      </sheetData>
      <sheetData sheetId="209">
        <row r="10">
          <cell r="I10">
            <v>95.863617376516174</v>
          </cell>
        </row>
      </sheetData>
      <sheetData sheetId="210"/>
      <sheetData sheetId="211">
        <row r="10">
          <cell r="I10">
            <v>93.577418863812994</v>
          </cell>
        </row>
      </sheetData>
      <sheetData sheetId="212">
        <row r="10">
          <cell r="I10">
            <v>95.118868459634214</v>
          </cell>
        </row>
      </sheetData>
      <sheetData sheetId="213">
        <row r="10">
          <cell r="I10">
            <v>93.134820383580376</v>
          </cell>
        </row>
      </sheetData>
      <sheetData sheetId="214">
        <row r="10">
          <cell r="I10">
            <v>95.49640692397216</v>
          </cell>
        </row>
      </sheetData>
      <sheetData sheetId="215">
        <row r="10">
          <cell r="I10">
            <v>91.053396528745949</v>
          </cell>
        </row>
      </sheetData>
      <sheetData sheetId="216">
        <row r="10">
          <cell r="I10">
            <v>95.765002805481018</v>
          </cell>
        </row>
      </sheetData>
      <sheetData sheetId="217">
        <row r="10">
          <cell r="I10">
            <v>92.921491614246094</v>
          </cell>
        </row>
      </sheetData>
      <sheetData sheetId="218">
        <row r="10">
          <cell r="I10">
            <v>92.833655936590446</v>
          </cell>
        </row>
      </sheetData>
      <sheetData sheetId="219">
        <row r="10">
          <cell r="I10">
            <v>86.080188720816224</v>
          </cell>
        </row>
      </sheetData>
      <sheetData sheetId="220">
        <row r="10">
          <cell r="I10">
            <v>98.758814208396146</v>
          </cell>
        </row>
      </sheetData>
      <sheetData sheetId="221">
        <row r="10">
          <cell r="I10">
            <v>95.215143108531947</v>
          </cell>
        </row>
      </sheetData>
      <sheetData sheetId="222">
        <row r="10">
          <cell r="I10">
            <v>94.448105220636052</v>
          </cell>
        </row>
      </sheetData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>
        <row r="10">
          <cell r="I10">
            <v>92.662727799254284</v>
          </cell>
        </row>
      </sheetData>
      <sheetData sheetId="235">
        <row r="10">
          <cell r="I10">
            <v>85.997635221262584</v>
          </cell>
        </row>
      </sheetData>
      <sheetData sheetId="236">
        <row r="10">
          <cell r="I10">
            <v>93.392916824918487</v>
          </cell>
        </row>
      </sheetData>
      <sheetData sheetId="237">
        <row r="10">
          <cell r="I10">
            <v>98.419688132633198</v>
          </cell>
        </row>
      </sheetData>
      <sheetData sheetId="238">
        <row r="10">
          <cell r="I10">
            <v>98.896182519195435</v>
          </cell>
        </row>
      </sheetData>
      <sheetData sheetId="239">
        <row r="10">
          <cell r="I10">
            <v>89.706959355738562</v>
          </cell>
        </row>
      </sheetData>
      <sheetData sheetId="240">
        <row r="10">
          <cell r="I10">
            <v>92.665294455101332</v>
          </cell>
        </row>
      </sheetData>
      <sheetData sheetId="241">
        <row r="10">
          <cell r="I10">
            <v>93.157946425620224</v>
          </cell>
        </row>
      </sheetData>
      <sheetData sheetId="242">
        <row r="10">
          <cell r="I10">
            <v>93.127008978016477</v>
          </cell>
        </row>
      </sheetData>
      <sheetData sheetId="243">
        <row r="10">
          <cell r="I10">
            <v>89.118933714764424</v>
          </cell>
        </row>
      </sheetData>
      <sheetData sheetId="244">
        <row r="10">
          <cell r="I10">
            <v>92.080920589691559</v>
          </cell>
        </row>
      </sheetData>
      <sheetData sheetId="245">
        <row r="10">
          <cell r="I10">
            <v>83.486440442093041</v>
          </cell>
        </row>
      </sheetData>
      <sheetData sheetId="246">
        <row r="10">
          <cell r="I10">
            <v>93.388712454229619</v>
          </cell>
        </row>
      </sheetData>
      <sheetData sheetId="247">
        <row r="10">
          <cell r="I10">
            <v>97.30268556743809</v>
          </cell>
        </row>
      </sheetData>
      <sheetData sheetId="248">
        <row r="10">
          <cell r="I10">
            <v>91.263443885169522</v>
          </cell>
        </row>
      </sheetData>
      <sheetData sheetId="249">
        <row r="10">
          <cell r="I10">
            <v>97.225481973555304</v>
          </cell>
        </row>
      </sheetData>
      <sheetData sheetId="250">
        <row r="10">
          <cell r="I10">
            <v>97.225481973555304</v>
          </cell>
        </row>
      </sheetData>
      <sheetData sheetId="251"/>
      <sheetData sheetId="252"/>
      <sheetData sheetId="25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rewer Performance (2)"/>
      <sheetName val="July3"/>
      <sheetName val="July 4"/>
      <sheetName val="July 5"/>
      <sheetName val="July 6"/>
      <sheetName val="July 7"/>
      <sheetName val="July 10"/>
      <sheetName val="July11"/>
      <sheetName val="July12"/>
      <sheetName val="July13"/>
      <sheetName val="July14"/>
      <sheetName val="July15"/>
      <sheetName val="July16"/>
      <sheetName val="July17"/>
      <sheetName val="July18"/>
      <sheetName val="July19"/>
      <sheetName val="July20"/>
      <sheetName val="July21"/>
      <sheetName val="July24"/>
      <sheetName val="July25"/>
      <sheetName val="July26"/>
      <sheetName val="July27"/>
      <sheetName val="July28"/>
      <sheetName val="July31"/>
      <sheetName val="August1"/>
      <sheetName val="August2"/>
      <sheetName val="August3"/>
      <sheetName val="August4"/>
      <sheetName val="August7"/>
      <sheetName val="August8"/>
      <sheetName val="August9"/>
      <sheetName val="August10"/>
      <sheetName val="August11&amp;13"/>
      <sheetName val="August16"/>
      <sheetName val="August17"/>
      <sheetName val="August18"/>
      <sheetName val="August21"/>
      <sheetName val="August22"/>
      <sheetName val="August23"/>
      <sheetName val="August24"/>
      <sheetName val="August28"/>
      <sheetName val="August29"/>
      <sheetName val="August30"/>
      <sheetName val="August31"/>
      <sheetName val="September1"/>
      <sheetName val="September4"/>
      <sheetName val="September5"/>
      <sheetName val="September6"/>
      <sheetName val="September 7"/>
      <sheetName val="September 8"/>
      <sheetName val="September 11"/>
      <sheetName val="September12"/>
      <sheetName val="September13"/>
      <sheetName val="September14"/>
      <sheetName val="September15"/>
      <sheetName val="September16"/>
      <sheetName val="September18"/>
      <sheetName val="September19"/>
      <sheetName val="September20"/>
      <sheetName val="September21"/>
      <sheetName val="September22"/>
      <sheetName val="September25"/>
      <sheetName val="September26"/>
      <sheetName val="September27"/>
      <sheetName val="September28"/>
      <sheetName val="September29"/>
      <sheetName val="October02 "/>
      <sheetName val="October03"/>
      <sheetName val="October04"/>
      <sheetName val="October05"/>
      <sheetName val="October06"/>
      <sheetName val="October07 "/>
      <sheetName val="October09"/>
      <sheetName val="October10"/>
      <sheetName val="October11"/>
      <sheetName val="October12"/>
      <sheetName val="October13"/>
      <sheetName val="October16"/>
      <sheetName val="October17"/>
      <sheetName val="October18"/>
      <sheetName val="October19"/>
      <sheetName val="October20"/>
      <sheetName val="October23"/>
      <sheetName val="October24"/>
      <sheetName val="October26"/>
      <sheetName val="October27"/>
      <sheetName val="October30"/>
      <sheetName val="October31"/>
      <sheetName val="November 1"/>
      <sheetName val="November 2"/>
      <sheetName val="November 3"/>
      <sheetName val="November 4"/>
      <sheetName val="November 6"/>
      <sheetName val="November 8"/>
      <sheetName val="November 9"/>
      <sheetName val="November10"/>
      <sheetName val="November11"/>
      <sheetName val="November13"/>
      <sheetName val="November14"/>
      <sheetName val="November15"/>
      <sheetName val="November16"/>
      <sheetName val="November17"/>
      <sheetName val="November18"/>
      <sheetName val="November20"/>
      <sheetName val="November21"/>
      <sheetName val="November22"/>
      <sheetName val="November23"/>
      <sheetName val="November24"/>
      <sheetName val="November25"/>
      <sheetName val="November27"/>
      <sheetName val="November28"/>
      <sheetName val="November29"/>
      <sheetName val="November30"/>
      <sheetName val="December1 "/>
      <sheetName val="December2"/>
      <sheetName val="December3"/>
      <sheetName val="December4"/>
      <sheetName val="December5"/>
      <sheetName val="December6"/>
      <sheetName val="December7"/>
      <sheetName val="December 8"/>
      <sheetName val="December 9-10"/>
      <sheetName val="December 11"/>
      <sheetName val="December12"/>
      <sheetName val="December13"/>
      <sheetName val="December14"/>
      <sheetName val="December15"/>
      <sheetName val="December16"/>
      <sheetName val="December18"/>
      <sheetName val="December19"/>
      <sheetName val="December20"/>
      <sheetName val="December21"/>
      <sheetName val="December22"/>
      <sheetName val="December27"/>
      <sheetName val="December28"/>
      <sheetName val="December29"/>
      <sheetName val="December30"/>
      <sheetName val="January 02"/>
      <sheetName val="January 03"/>
      <sheetName val="January 04"/>
      <sheetName val="January 05"/>
      <sheetName val="January 06"/>
      <sheetName val="January 08"/>
      <sheetName val="January 09"/>
      <sheetName val="January 10"/>
      <sheetName val="January12"/>
      <sheetName val="January13"/>
      <sheetName val="January15"/>
      <sheetName val="January16"/>
      <sheetName val="January17"/>
      <sheetName val="January18"/>
      <sheetName val="January19"/>
      <sheetName val="January22"/>
      <sheetName val="January23"/>
      <sheetName val="January24"/>
      <sheetName val="January25"/>
      <sheetName val="January26"/>
      <sheetName val="January29"/>
      <sheetName val="January30"/>
      <sheetName val="January31"/>
      <sheetName val="February1"/>
      <sheetName val="February2"/>
      <sheetName val="February4"/>
      <sheetName val="February5"/>
      <sheetName val="February6"/>
      <sheetName val="February8"/>
      <sheetName val="February9"/>
      <sheetName val="February10"/>
      <sheetName val="February12"/>
      <sheetName val="February13"/>
      <sheetName val="February14"/>
      <sheetName val="February15"/>
      <sheetName val="February16,17&amp;18"/>
      <sheetName val="February19"/>
      <sheetName val="February20"/>
      <sheetName val="February21"/>
      <sheetName val="February22 &amp;23"/>
      <sheetName val="February24"/>
      <sheetName val="February26"/>
      <sheetName val="February27"/>
      <sheetName val="February28"/>
      <sheetName val="March1"/>
      <sheetName val="March2"/>
      <sheetName val="March3"/>
      <sheetName val="March5"/>
      <sheetName val="March6"/>
      <sheetName val="March7"/>
      <sheetName val="March8"/>
      <sheetName val="March9,10"/>
      <sheetName val="March11 "/>
      <sheetName val="March12"/>
      <sheetName val="March13"/>
      <sheetName val="March15"/>
      <sheetName val="March16"/>
      <sheetName val="March19"/>
      <sheetName val="March20"/>
      <sheetName val="March21"/>
      <sheetName val="March22"/>
      <sheetName val="March23"/>
      <sheetName val="March24"/>
      <sheetName val="March26"/>
      <sheetName val="March27"/>
      <sheetName val="March28"/>
      <sheetName val="March29"/>
      <sheetName val="April3"/>
      <sheetName val="April4"/>
      <sheetName val="April5"/>
      <sheetName val="April6"/>
      <sheetName val="April7&amp;8"/>
      <sheetName val="April8"/>
      <sheetName val="April9"/>
      <sheetName val="April10"/>
      <sheetName val="April11"/>
      <sheetName val="April12"/>
      <sheetName val="April13"/>
      <sheetName val="April14"/>
      <sheetName val="April15"/>
      <sheetName val="April16"/>
      <sheetName val="April17"/>
      <sheetName val="April19"/>
      <sheetName val="April20"/>
      <sheetName val="April21"/>
      <sheetName val="April22"/>
      <sheetName val="April23"/>
      <sheetName val="April24"/>
      <sheetName val="April25"/>
      <sheetName val="April26"/>
      <sheetName val="April27"/>
      <sheetName val="April30"/>
      <sheetName val="May2"/>
      <sheetName val="May3"/>
      <sheetName val="May6"/>
      <sheetName val="May 7"/>
      <sheetName val="May 8"/>
      <sheetName val="May 9"/>
      <sheetName val="May 10"/>
      <sheetName val="May 11"/>
      <sheetName val="May 12&amp;13"/>
      <sheetName val="May 14"/>
      <sheetName val="May 15"/>
      <sheetName val="May 16"/>
      <sheetName val="May 17"/>
      <sheetName val="May 18"/>
      <sheetName val="May 19"/>
      <sheetName val="May 21"/>
      <sheetName val="May 22"/>
      <sheetName val="May 23"/>
      <sheetName val="May 24"/>
      <sheetName val="May 25"/>
      <sheetName val="May 28"/>
      <sheetName val="May 29"/>
      <sheetName val="May 30"/>
      <sheetName val="June 1"/>
      <sheetName val="June 4"/>
      <sheetName val="June 5"/>
      <sheetName val="June 6"/>
      <sheetName val="June 7"/>
      <sheetName val="June 8"/>
      <sheetName val="June 11"/>
      <sheetName val="June 12"/>
      <sheetName val="June 16"/>
      <sheetName val="June 17"/>
      <sheetName val="June 18"/>
      <sheetName val="June 19"/>
      <sheetName val="June 20"/>
      <sheetName val="June 21"/>
      <sheetName val="June 22"/>
      <sheetName val="June 24"/>
      <sheetName val="June 25"/>
      <sheetName val="June 26"/>
      <sheetName val="June 27"/>
      <sheetName val="June 28"/>
      <sheetName val="June 29"/>
      <sheetName val="July 1"/>
      <sheetName val="July 2"/>
      <sheetName val="July 3"/>
      <sheetName val="July4"/>
      <sheetName val="July5"/>
      <sheetName val="July 8"/>
      <sheetName val="July 9"/>
      <sheetName val="July10"/>
      <sheetName val="July 11"/>
      <sheetName val="July 12"/>
      <sheetName val="July 13"/>
      <sheetName val="July 14 &amp;15"/>
      <sheetName val="July 16"/>
      <sheetName val="July 17"/>
      <sheetName val="July 18"/>
      <sheetName val="July 19"/>
      <sheetName val="July 21&amp;22"/>
      <sheetName val="July23"/>
      <sheetName val="July 24&amp;25"/>
      <sheetName val="July 25"/>
      <sheetName val="July 26"/>
      <sheetName val="July 27"/>
      <sheetName val="July 29"/>
      <sheetName val="July 30"/>
      <sheetName val="July 31"/>
      <sheetName val="Aug1"/>
      <sheetName val="Aug2"/>
      <sheetName val="Aug3&amp;4"/>
      <sheetName val="Aug7"/>
      <sheetName val="Aug8"/>
      <sheetName val="Aug9"/>
      <sheetName val="Aug10"/>
      <sheetName val="Aug15"/>
      <sheetName val="Aug16"/>
      <sheetName val="Aug17"/>
      <sheetName val="Aug20"/>
      <sheetName val="Aug21"/>
      <sheetName val="Aug22"/>
      <sheetName val="Aug27"/>
      <sheetName val="Aug28"/>
      <sheetName val="Aug29"/>
      <sheetName val="Aug30"/>
      <sheetName val="Aug31"/>
      <sheetName val="September2"/>
      <sheetName val="September3"/>
      <sheetName val="Sept.4"/>
      <sheetName val="Sept.5"/>
      <sheetName val="Sept.6"/>
      <sheetName val="Sept.7 &amp;8"/>
      <sheetName val="Sept.10"/>
      <sheetName val="Sept.11"/>
      <sheetName val="Sept.12"/>
      <sheetName val="Sept.13"/>
      <sheetName val="Sept.14"/>
      <sheetName val="Sept.17"/>
      <sheetName val="Sept.18"/>
      <sheetName val="Sept.19"/>
      <sheetName val="Sept.20"/>
      <sheetName val="Sept.21"/>
      <sheetName val="Sept.22"/>
      <sheetName val="Sept.23"/>
      <sheetName val="Sept.24"/>
      <sheetName val="Sept.25"/>
      <sheetName val="Sept.26"/>
      <sheetName val="Sept.27"/>
      <sheetName val="Sept.28"/>
      <sheetName val="Sept.29"/>
      <sheetName val="Oct.1"/>
      <sheetName val="Oct.2"/>
      <sheetName val="Oct.3"/>
      <sheetName val="Oct.4"/>
      <sheetName val="Oct.5"/>
      <sheetName val="Oct.6"/>
      <sheetName val="Oct.7"/>
      <sheetName val="Oct.8"/>
      <sheetName val="Oct.9"/>
      <sheetName val="Oct.10"/>
      <sheetName val="Oct.11"/>
      <sheetName val="Oct.12"/>
      <sheetName val="Oct.13"/>
      <sheetName val="Oct.15"/>
      <sheetName val="Oct.16"/>
      <sheetName val="Oct.17"/>
      <sheetName val="Oct.18"/>
      <sheetName val="Oct.19"/>
      <sheetName val="Oct.21"/>
      <sheetName val="Oct.22"/>
      <sheetName val="Oct.23"/>
      <sheetName val="Oct.24"/>
      <sheetName val="Oct.26"/>
      <sheetName val="Oct.28"/>
      <sheetName val="Oct.29"/>
      <sheetName val="Oct.30"/>
      <sheetName val="Oct.31"/>
      <sheetName val="Nov. 1"/>
      <sheetName val="Nov. 2,3 &amp;4"/>
      <sheetName val="Nov. 5"/>
      <sheetName val="Nov. 6"/>
      <sheetName val="Nov. 8"/>
      <sheetName val="Nov. 9"/>
      <sheetName val="Nov. 10"/>
      <sheetName val="Nov. 11"/>
      <sheetName val="Nov. 12&amp;13"/>
      <sheetName val="Nov. 14"/>
      <sheetName val="Nov. 15"/>
      <sheetName val="Nov. 16&amp;17"/>
      <sheetName val="Nov. 19"/>
      <sheetName val="Nov. 20"/>
      <sheetName val="Nov. 21"/>
      <sheetName val="Nov. 22"/>
      <sheetName val="Nov. 23"/>
      <sheetName val="Nov.24"/>
      <sheetName val="Nov.25"/>
      <sheetName val="Nov.26"/>
      <sheetName val="Nov.27&amp;28th"/>
      <sheetName val="Nov.29"/>
      <sheetName val="Nov.30"/>
      <sheetName val="Dec.1 &amp;2"/>
      <sheetName val="Dec.3"/>
      <sheetName val="Dec. 4"/>
      <sheetName val="Dec. 5"/>
      <sheetName val="Dec. 6 "/>
      <sheetName val="Dec. 7"/>
      <sheetName val="Dec. 8 "/>
      <sheetName val="Dec. 9"/>
      <sheetName val="Dec. 10"/>
      <sheetName val="Dec. 11"/>
      <sheetName val="Dec. 12"/>
      <sheetName val="Dec. 13"/>
      <sheetName val="Dec. 14"/>
      <sheetName val="Dec. 15"/>
      <sheetName val="Dec. 17"/>
      <sheetName val="Dec. 18"/>
      <sheetName val="Dec. 19"/>
      <sheetName val="Dec. 20"/>
      <sheetName val="Dec. 21"/>
      <sheetName val="Dec. 22"/>
      <sheetName val="Dec. 26"/>
      <sheetName val="Dec. 27"/>
      <sheetName val="Dec. 28"/>
      <sheetName val="Dec. 31"/>
      <sheetName val="Jan. 02"/>
      <sheetName val="Jan. 03"/>
      <sheetName val="Jan. 04"/>
      <sheetName val="Jan. 07"/>
      <sheetName val="Jan. 08"/>
      <sheetName val="Jan. 09"/>
      <sheetName val="Jan. 10"/>
      <sheetName val="Jan. 11"/>
      <sheetName val="Jan. 13"/>
      <sheetName val="Jan. 14"/>
      <sheetName val="Jan. 15"/>
      <sheetName val="Jan. 16"/>
      <sheetName val="Jan. 17"/>
      <sheetName val="Jan. 18"/>
      <sheetName val="Jan. 21"/>
      <sheetName val="Jan. 22"/>
      <sheetName val="Jan. 23"/>
      <sheetName val="Jan. 24"/>
      <sheetName val="Jan. 25"/>
      <sheetName val="Jan. 28"/>
      <sheetName val="Jan. 29"/>
      <sheetName val="Jan. 30"/>
      <sheetName val="Feb. 3"/>
      <sheetName val="Feb. 4"/>
      <sheetName val="Feb. 5"/>
      <sheetName val="Feb.6"/>
      <sheetName val="Feb.8"/>
      <sheetName val="Feb. 9"/>
      <sheetName val="Feb. 11"/>
      <sheetName val="Feb. 14"/>
      <sheetName val="Feb. 17"/>
      <sheetName val="Feb. 18"/>
      <sheetName val="Feb. 19"/>
      <sheetName val="Feb.20"/>
      <sheetName val="Feb.21"/>
      <sheetName val="Feb.22"/>
      <sheetName val="Feb.24"/>
      <sheetName val="Feb.25"/>
      <sheetName val="Feb.26"/>
      <sheetName val="Feb.27"/>
      <sheetName val="Feb.28"/>
      <sheetName val="March.1"/>
      <sheetName val="March.3"/>
      <sheetName val="March.4"/>
      <sheetName val="March.6"/>
      <sheetName val="March.7"/>
      <sheetName val="March.8"/>
      <sheetName val="March.11"/>
      <sheetName val="March.12"/>
      <sheetName val="March.13"/>
      <sheetName val="March.14"/>
      <sheetName val="March.15"/>
      <sheetName val="March.16"/>
      <sheetName val="March.18"/>
      <sheetName val="March.19"/>
      <sheetName val="March.20"/>
      <sheetName val="March.21"/>
      <sheetName val="March.22"/>
      <sheetName val="March.24"/>
      <sheetName val="March.25"/>
      <sheetName val="March.26"/>
      <sheetName val="March.27"/>
      <sheetName val="March.28"/>
      <sheetName val="March.29"/>
      <sheetName val="March.31"/>
      <sheetName val="April.1"/>
      <sheetName val="April.2"/>
      <sheetName val="April.3"/>
      <sheetName val="April.4"/>
      <sheetName val="April.5"/>
      <sheetName val="April.8"/>
      <sheetName val="April.9"/>
      <sheetName val="April.10"/>
      <sheetName val="April.11"/>
      <sheetName val="April.12"/>
      <sheetName val="April.14"/>
      <sheetName val="April.15"/>
      <sheetName val="April.16"/>
      <sheetName val="April.17"/>
      <sheetName val="April.18"/>
      <sheetName val="April.23"/>
      <sheetName val="April.24"/>
      <sheetName val="April.25"/>
      <sheetName val="April.26"/>
      <sheetName val="April.28"/>
      <sheetName val="April.29"/>
      <sheetName val="April.30"/>
      <sheetName val="May.1&amp;2"/>
      <sheetName val="May.3"/>
      <sheetName val="May.5"/>
      <sheetName val="May.6 "/>
      <sheetName val="May.7"/>
      <sheetName val="May.8"/>
      <sheetName val="May.9"/>
      <sheetName val="May.10"/>
      <sheetName val="May.11"/>
      <sheetName val="May.13"/>
      <sheetName val="May.14"/>
      <sheetName val="May.15"/>
      <sheetName val="May.16"/>
      <sheetName val="May.17"/>
      <sheetName val="May.18"/>
      <sheetName val="May.19"/>
      <sheetName val="May.20"/>
      <sheetName val="May.21"/>
      <sheetName val="May.22"/>
      <sheetName val="May.23"/>
      <sheetName val="May.31"/>
      <sheetName val="June1"/>
      <sheetName val="June3"/>
      <sheetName val="June4"/>
      <sheetName val="June5"/>
      <sheetName val="June6"/>
      <sheetName val="June7"/>
      <sheetName val="June8"/>
      <sheetName val="June11"/>
      <sheetName val="June12"/>
      <sheetName val="June13"/>
      <sheetName val="June14"/>
      <sheetName val="June17"/>
      <sheetName val="June18"/>
      <sheetName val="June19"/>
      <sheetName val="June21"/>
      <sheetName val="June22"/>
      <sheetName val="June23"/>
      <sheetName val="June24"/>
      <sheetName val="June25"/>
      <sheetName val="June26"/>
      <sheetName val="June27"/>
      <sheetName val="June28"/>
      <sheetName val="July1"/>
      <sheetName val="July2"/>
      <sheetName val="July03"/>
      <sheetName val="July04"/>
      <sheetName val="July05"/>
      <sheetName val="July08"/>
      <sheetName val="July09"/>
      <sheetName val="July-10"/>
      <sheetName val="July-11"/>
      <sheetName val="July-12"/>
      <sheetName val="July-15"/>
      <sheetName val="July-16"/>
      <sheetName val="July-17"/>
      <sheetName val="July-18"/>
      <sheetName val="July-19"/>
      <sheetName val="July-22 "/>
      <sheetName val="July-23"/>
      <sheetName val="July-24 "/>
      <sheetName val="July-25 "/>
      <sheetName val="July-27 "/>
      <sheetName val="July-29 "/>
      <sheetName val="July-30 "/>
      <sheetName val="July-31 "/>
      <sheetName val="August-1"/>
      <sheetName val="August-2"/>
      <sheetName val="August-3"/>
      <sheetName val="August-6"/>
      <sheetName val="August-7"/>
      <sheetName val="August-8"/>
      <sheetName val="August-9"/>
      <sheetName val="August-14"/>
      <sheetName val="August-15"/>
      <sheetName val="August-16"/>
      <sheetName val="August-19"/>
      <sheetName val="August-20"/>
      <sheetName val="August-21"/>
      <sheetName val="August-22"/>
      <sheetName val="August-23"/>
      <sheetName val="August-26"/>
      <sheetName val="August-27"/>
      <sheetName val="August-28 "/>
      <sheetName val="August-30 "/>
      <sheetName val="September-2"/>
      <sheetName val="September-3"/>
      <sheetName val="September-4"/>
      <sheetName val="September-5"/>
      <sheetName val="September-6"/>
      <sheetName val="September-9"/>
      <sheetName val="September-10"/>
      <sheetName val="September-11"/>
      <sheetName val="September-12"/>
      <sheetName val="September-13"/>
      <sheetName val="September-16"/>
      <sheetName val="September-17"/>
      <sheetName val="September-18"/>
      <sheetName val="September-19"/>
      <sheetName val="September-20"/>
      <sheetName val="September-23"/>
      <sheetName val="September-24"/>
      <sheetName val="September-25"/>
      <sheetName val="September-26"/>
      <sheetName val="September-30"/>
      <sheetName val="October-1"/>
      <sheetName val="October-2"/>
      <sheetName val="October-3"/>
      <sheetName val="October-4"/>
      <sheetName val="October-7"/>
      <sheetName val="October-8"/>
      <sheetName val="October-9"/>
      <sheetName val="October-10"/>
      <sheetName val="October-11"/>
      <sheetName val="October-12"/>
      <sheetName val="October-14"/>
      <sheetName val="October-15"/>
      <sheetName val="October-16"/>
      <sheetName val="October-17"/>
      <sheetName val="October-18"/>
      <sheetName val="October-21"/>
      <sheetName val="October-22"/>
      <sheetName val="October-23"/>
      <sheetName val="October-24"/>
      <sheetName val="October-26"/>
      <sheetName val="October-27"/>
      <sheetName val="October-28"/>
      <sheetName val="October-29"/>
      <sheetName val="November-4"/>
      <sheetName val="November-5"/>
      <sheetName val="November-6"/>
      <sheetName val="November-7"/>
      <sheetName val="November-8"/>
      <sheetName val="November-9"/>
      <sheetName val="November-10"/>
      <sheetName val="November-11"/>
      <sheetName val="November-12"/>
      <sheetName val="November-13"/>
      <sheetName val="November-14"/>
      <sheetName val="November-15"/>
      <sheetName val="November-16"/>
      <sheetName val="November-17"/>
      <sheetName val="November-18"/>
      <sheetName val="November-19"/>
      <sheetName val="November-20"/>
      <sheetName val="November-21"/>
      <sheetName val="November-22"/>
      <sheetName val="November-23"/>
      <sheetName val="November-24"/>
      <sheetName val="November-25"/>
      <sheetName val="November-26"/>
      <sheetName val="November-27"/>
      <sheetName val="November-28"/>
      <sheetName val="November-29"/>
      <sheetName val="December-1"/>
      <sheetName val="December-2"/>
      <sheetName val="December-3"/>
      <sheetName val="December-4"/>
      <sheetName val="December-5"/>
      <sheetName val="December-6"/>
      <sheetName val="December-9"/>
      <sheetName val="December-10"/>
      <sheetName val="December-11"/>
      <sheetName val="December-12"/>
      <sheetName val="December-13"/>
      <sheetName val="December-14"/>
      <sheetName val="December-16"/>
      <sheetName val="December-17"/>
      <sheetName val="December-18"/>
      <sheetName val="December-19"/>
      <sheetName val="December-20"/>
      <sheetName val="December-22"/>
      <sheetName val="December-23"/>
      <sheetName val="December-24"/>
      <sheetName val="December-27"/>
      <sheetName val="December-30"/>
      <sheetName val="December-31"/>
      <sheetName val="January-2 "/>
      <sheetName val="January-3"/>
      <sheetName val="January-4"/>
      <sheetName val="January-7"/>
      <sheetName val="January-8"/>
      <sheetName val="January-9"/>
      <sheetName val="January-10"/>
      <sheetName val="January-11"/>
      <sheetName val="January-13"/>
      <sheetName val="January-14"/>
      <sheetName val="January-15"/>
      <sheetName val="January-16"/>
      <sheetName val="January-17"/>
      <sheetName val="January-20"/>
      <sheetName val="January-21"/>
      <sheetName val="January-22"/>
      <sheetName val="Janurary-23"/>
      <sheetName val="MTD_Links"/>
      <sheetName val="YTD_Links"/>
      <sheetName val="KPIs"/>
      <sheetName val="Brewer Performanc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>
        <row r="3">
          <cell r="R3" t="str">
            <v>CARIB</v>
          </cell>
        </row>
        <row r="4">
          <cell r="R4" t="str">
            <v>STAG</v>
          </cell>
        </row>
        <row r="5">
          <cell r="R5" t="str">
            <v>GUINNESS</v>
          </cell>
        </row>
        <row r="6">
          <cell r="R6" t="str">
            <v>MACKESON</v>
          </cell>
        </row>
        <row r="7">
          <cell r="R7" t="str">
            <v>STARMALT</v>
          </cell>
        </row>
        <row r="8">
          <cell r="R8" t="str">
            <v>MAXIMALT</v>
          </cell>
        </row>
        <row r="9">
          <cell r="R9" t="str">
            <v>VITAMALT</v>
          </cell>
        </row>
      </sheetData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/>
      <sheetData sheetId="696"/>
      <sheetData sheetId="697" refreshError="1"/>
      <sheetData sheetId="698">
        <row r="4">
          <cell r="E4" t="str">
            <v>MTD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ummary Apr'14"/>
      <sheetName val="Summary May'14"/>
      <sheetName val="BrewMaterials"/>
      <sheetName val="Brewhouse"/>
      <sheetName val="Process"/>
      <sheetName val="Summary September ' 26 "/>
      <sheetName val="Summary August ' 26 "/>
      <sheetName val="Summary July ' 26"/>
      <sheetName val="Summary June ' 26"/>
      <sheetName val="Summary May ' 26"/>
      <sheetName val="Summary April ' 26"/>
      <sheetName val="Summary March ' 26"/>
      <sheetName val="Summary February ' 26"/>
      <sheetName val="Summary January ' 26"/>
      <sheetName val="Summary December ' 25"/>
      <sheetName val="Packaging"/>
    </sheetNames>
    <sheetDataSet>
      <sheetData sheetId="0"/>
      <sheetData sheetId="1"/>
      <sheetData sheetId="2"/>
      <sheetData sheetId="3">
        <row r="5">
          <cell r="AY5">
            <v>97.569471586586559</v>
          </cell>
        </row>
        <row r="6">
          <cell r="AY6">
            <v>98.85391885240027</v>
          </cell>
        </row>
        <row r="7">
          <cell r="AY7">
            <v>97.962509317492206</v>
          </cell>
        </row>
        <row r="8">
          <cell r="AY8">
            <v>98.851728693915732</v>
          </cell>
        </row>
        <row r="9">
          <cell r="AY9">
            <v>96.643783230525969</v>
          </cell>
        </row>
        <row r="10">
          <cell r="AY10">
            <v>94.324644249999125</v>
          </cell>
        </row>
        <row r="11">
          <cell r="AY11">
            <v>92.117541140378776</v>
          </cell>
        </row>
        <row r="12">
          <cell r="AY12">
            <v>97.208951553511497</v>
          </cell>
        </row>
        <row r="13">
          <cell r="AY13">
            <v>98.512076526938472</v>
          </cell>
        </row>
        <row r="14">
          <cell r="AY14">
            <v>95.253677266359389</v>
          </cell>
        </row>
        <row r="16">
          <cell r="AY16">
            <v>93.855429141534003</v>
          </cell>
        </row>
        <row r="17">
          <cell r="AY17">
            <v>105.14531945603353</v>
          </cell>
        </row>
        <row r="18">
          <cell r="AY18">
            <v>93.755977480319771</v>
          </cell>
        </row>
        <row r="19">
          <cell r="AY19">
            <v>98.497810820823545</v>
          </cell>
        </row>
        <row r="20">
          <cell r="AY20">
            <v>97.678395385249857</v>
          </cell>
        </row>
        <row r="21">
          <cell r="AY21">
            <v>97.894369029995005</v>
          </cell>
        </row>
        <row r="22">
          <cell r="AY22">
            <v>96.582095881806836</v>
          </cell>
        </row>
        <row r="23">
          <cell r="AY23">
            <v>100.57737346889346</v>
          </cell>
        </row>
        <row r="42">
          <cell r="AY42">
            <v>99.134494554521325</v>
          </cell>
        </row>
        <row r="44">
          <cell r="AY44">
            <v>95.995406818829039</v>
          </cell>
        </row>
        <row r="45">
          <cell r="AY45">
            <v>95.617602987606631</v>
          </cell>
        </row>
        <row r="46">
          <cell r="AY46">
            <v>99.335814172293396</v>
          </cell>
        </row>
        <row r="47">
          <cell r="AY47">
            <v>98.909684358674781</v>
          </cell>
        </row>
        <row r="48">
          <cell r="AY48">
            <v>97.845022110433561</v>
          </cell>
        </row>
        <row r="49">
          <cell r="AY49">
            <v>98.722709530019429</v>
          </cell>
        </row>
        <row r="50">
          <cell r="AY50">
            <v>97.591251769129457</v>
          </cell>
        </row>
        <row r="51">
          <cell r="AY51">
            <v>89.186993268597121</v>
          </cell>
        </row>
        <row r="53">
          <cell r="AY53">
            <v>92.54924279225061</v>
          </cell>
        </row>
        <row r="54">
          <cell r="AY54">
            <v>97.936724701155001</v>
          </cell>
        </row>
        <row r="55">
          <cell r="AY55">
            <v>96.903024614311789</v>
          </cell>
        </row>
        <row r="56">
          <cell r="AY56">
            <v>99.751161565178876</v>
          </cell>
        </row>
        <row r="57">
          <cell r="AY57">
            <v>96.946934866926995</v>
          </cell>
        </row>
        <row r="58">
          <cell r="AY58">
            <v>101.1402395567615</v>
          </cell>
        </row>
        <row r="59">
          <cell r="AY59">
            <v>94.521368448030842</v>
          </cell>
        </row>
        <row r="60">
          <cell r="AY60">
            <v>96.447094164922959</v>
          </cell>
        </row>
        <row r="61">
          <cell r="AY61">
            <v>95.483117660591859</v>
          </cell>
        </row>
        <row r="62">
          <cell r="AY62">
            <v>101.54786093894572</v>
          </cell>
        </row>
        <row r="63">
          <cell r="AY63">
            <v>99.781002552645404</v>
          </cell>
        </row>
        <row r="64">
          <cell r="AY64">
            <v>100.38282881101692</v>
          </cell>
        </row>
        <row r="66">
          <cell r="AY66">
            <v>96.052076380873814</v>
          </cell>
        </row>
        <row r="67">
          <cell r="AY67">
            <v>96.965481413861383</v>
          </cell>
        </row>
        <row r="68">
          <cell r="AY68">
            <v>98.929902201837479</v>
          </cell>
        </row>
        <row r="69">
          <cell r="AY69">
            <v>98.81732361471613</v>
          </cell>
        </row>
        <row r="70">
          <cell r="AY70">
            <v>93.747141074419659</v>
          </cell>
        </row>
        <row r="71">
          <cell r="AY71">
            <v>100.25759492531388</v>
          </cell>
        </row>
        <row r="72">
          <cell r="AY72">
            <v>99.848562971423902</v>
          </cell>
        </row>
        <row r="73">
          <cell r="AY73">
            <v>101.18742532014767</v>
          </cell>
        </row>
        <row r="75">
          <cell r="AY75">
            <v>96.375149333771006</v>
          </cell>
        </row>
        <row r="76">
          <cell r="AY76">
            <v>102.19654877418134</v>
          </cell>
        </row>
        <row r="77">
          <cell r="AY77">
            <v>104.26201828517443</v>
          </cell>
        </row>
        <row r="78">
          <cell r="AY78">
            <v>103.36709256474418</v>
          </cell>
        </row>
        <row r="79">
          <cell r="AY79">
            <v>94.941667422792506</v>
          </cell>
        </row>
        <row r="80">
          <cell r="AY80">
            <v>101.53837862772018</v>
          </cell>
        </row>
        <row r="81">
          <cell r="AY81">
            <v>100.62632852508888</v>
          </cell>
        </row>
        <row r="82">
          <cell r="AY82">
            <v>99.134826074447517</v>
          </cell>
        </row>
        <row r="84">
          <cell r="AY84">
            <v>89.865899111082911</v>
          </cell>
        </row>
        <row r="85">
          <cell r="AY85">
            <v>97.693621175915609</v>
          </cell>
        </row>
        <row r="86">
          <cell r="AY86">
            <v>98.098376729140924</v>
          </cell>
        </row>
        <row r="87">
          <cell r="AY87">
            <v>98.701099186405543</v>
          </cell>
        </row>
        <row r="88">
          <cell r="AY88">
            <v>98.149643000896063</v>
          </cell>
        </row>
        <row r="89">
          <cell r="AY89">
            <v>100.11673997026169</v>
          </cell>
        </row>
        <row r="90">
          <cell r="AY90">
            <v>99.269060038965534</v>
          </cell>
        </row>
        <row r="91">
          <cell r="AY91">
            <v>98.24191438139087</v>
          </cell>
        </row>
        <row r="92">
          <cell r="AY92">
            <v>96.193227678250963</v>
          </cell>
        </row>
        <row r="93">
          <cell r="AY93">
            <v>97.280253560904981</v>
          </cell>
        </row>
        <row r="94">
          <cell r="AY94">
            <v>99.077497022970533</v>
          </cell>
        </row>
        <row r="95">
          <cell r="AY95">
            <v>95.794055097674445</v>
          </cell>
        </row>
        <row r="96">
          <cell r="AY96">
            <v>98.473163790154686</v>
          </cell>
        </row>
        <row r="97">
          <cell r="AY97">
            <v>90.794605311533076</v>
          </cell>
        </row>
        <row r="98">
          <cell r="AY98">
            <v>98.854819757121476</v>
          </cell>
        </row>
        <row r="99">
          <cell r="AY99">
            <v>99.2047479604514</v>
          </cell>
        </row>
        <row r="100">
          <cell r="AY100">
            <v>97.580117216650279</v>
          </cell>
        </row>
        <row r="101">
          <cell r="AY101">
            <v>99.629199564339515</v>
          </cell>
        </row>
        <row r="103">
          <cell r="A103" t="str">
            <v>SM091</v>
          </cell>
          <cell r="T103">
            <v>58</v>
          </cell>
          <cell r="U103">
            <v>10.885122410546142</v>
          </cell>
          <cell r="X103">
            <v>0.30694444444444446</v>
          </cell>
          <cell r="Y103">
            <v>0.43402777777777779</v>
          </cell>
          <cell r="Z103">
            <v>58</v>
          </cell>
          <cell r="AD103">
            <v>0.2951388888888889</v>
          </cell>
          <cell r="AH103">
            <v>53.1</v>
          </cell>
          <cell r="AK103">
            <v>17.399999999999999</v>
          </cell>
          <cell r="AM103">
            <v>50.4</v>
          </cell>
          <cell r="AY103">
            <v>91.362987993240026</v>
          </cell>
          <cell r="AZ103">
            <v>91.863444798447631</v>
          </cell>
          <cell r="BC103" t="str">
            <v>R. Regis</v>
          </cell>
        </row>
        <row r="104">
          <cell r="A104" t="str">
            <v>SM092</v>
          </cell>
          <cell r="T104">
            <v>60</v>
          </cell>
          <cell r="U104">
            <v>8.2485875706214742</v>
          </cell>
          <cell r="X104">
            <v>0.40625</v>
          </cell>
          <cell r="Y104">
            <v>0.54236111111111107</v>
          </cell>
          <cell r="Z104">
            <v>71</v>
          </cell>
          <cell r="AD104">
            <v>0.29930555555555549</v>
          </cell>
          <cell r="AH104">
            <v>53.1</v>
          </cell>
          <cell r="AK104">
            <v>17.600000000000001</v>
          </cell>
          <cell r="AM104">
            <v>51.2</v>
          </cell>
          <cell r="AY104">
            <v>99.215796863752757</v>
          </cell>
          <cell r="AZ104">
            <v>99.759775983969064</v>
          </cell>
          <cell r="BC104" t="str">
            <v>R. Regis</v>
          </cell>
        </row>
        <row r="105">
          <cell r="A105" t="str">
            <v>SM093</v>
          </cell>
          <cell r="T105">
            <v>57</v>
          </cell>
          <cell r="U105">
            <v>8.8135593220339103</v>
          </cell>
          <cell r="X105">
            <v>0.5229166666666667</v>
          </cell>
          <cell r="Y105">
            <v>0.65972222222222221</v>
          </cell>
          <cell r="Z105">
            <v>75</v>
          </cell>
          <cell r="AD105">
            <v>0.3125</v>
          </cell>
          <cell r="AH105">
            <v>53.1</v>
          </cell>
          <cell r="AK105">
            <v>17.3</v>
          </cell>
          <cell r="AM105">
            <v>52.1</v>
          </cell>
          <cell r="AY105">
            <v>99.29801654311035</v>
          </cell>
          <cell r="AZ105">
            <v>99.841430449000029</v>
          </cell>
          <cell r="BC105" t="str">
            <v>R.Sookram</v>
          </cell>
        </row>
        <row r="106">
          <cell r="A106" t="str">
            <v>SM094</v>
          </cell>
          <cell r="T106">
            <v>60</v>
          </cell>
          <cell r="U106">
            <v>6.5536723163841879</v>
          </cell>
          <cell r="X106">
            <v>0.62083333333333335</v>
          </cell>
          <cell r="Y106">
            <v>0.75763888888888886</v>
          </cell>
          <cell r="Z106">
            <v>70</v>
          </cell>
          <cell r="AD106">
            <v>0.30624999999999997</v>
          </cell>
          <cell r="AH106">
            <v>53.1</v>
          </cell>
          <cell r="AK106">
            <v>17.3</v>
          </cell>
          <cell r="AM106">
            <v>51.5</v>
          </cell>
          <cell r="AY106">
            <v>98.233831289791937</v>
          </cell>
          <cell r="AZ106">
            <v>98.770917612147883</v>
          </cell>
          <cell r="BC106" t="str">
            <v>R.Sookram</v>
          </cell>
        </row>
        <row r="107">
          <cell r="A107" t="str">
            <v>SM095</v>
          </cell>
          <cell r="T107">
            <v>60</v>
          </cell>
          <cell r="U107">
            <v>4.4905660377358538</v>
          </cell>
          <cell r="X107">
            <v>0.73819444444444449</v>
          </cell>
          <cell r="Y107">
            <v>0.87222222222222223</v>
          </cell>
          <cell r="Z107">
            <v>66</v>
          </cell>
          <cell r="AD107">
            <v>0.30277777777777781</v>
          </cell>
          <cell r="AH107">
            <v>53</v>
          </cell>
          <cell r="AK107">
            <v>17.100000000000001</v>
          </cell>
          <cell r="AM107">
            <v>52.9</v>
          </cell>
          <cell r="AY107">
            <v>99.569274184400996</v>
          </cell>
          <cell r="AZ107">
            <v>100.11417256278558</v>
          </cell>
          <cell r="BC107" t="str">
            <v>R.Sookram</v>
          </cell>
        </row>
        <row r="108">
          <cell r="A108" t="str">
            <v>SM096</v>
          </cell>
          <cell r="T108">
            <v>61</v>
          </cell>
          <cell r="U108">
            <v>4.1132075471698109</v>
          </cell>
          <cell r="X108">
            <v>0.84583333333333333</v>
          </cell>
          <cell r="Y108">
            <v>0.98124999999999996</v>
          </cell>
          <cell r="Z108">
            <v>71</v>
          </cell>
          <cell r="AD108">
            <v>0.29722222222222217</v>
          </cell>
          <cell r="AH108">
            <v>53</v>
          </cell>
          <cell r="AK108">
            <v>17</v>
          </cell>
          <cell r="AM108">
            <v>52.8</v>
          </cell>
          <cell r="AY108">
            <v>98.888084432015162</v>
          </cell>
          <cell r="AZ108">
            <v>99.428239894388099</v>
          </cell>
          <cell r="BC108" t="str">
            <v>K. Benjamin</v>
          </cell>
        </row>
        <row r="109">
          <cell r="A109" t="str">
            <v>SM097</v>
          </cell>
          <cell r="T109">
            <v>60</v>
          </cell>
          <cell r="U109">
            <v>4.4905660377358538</v>
          </cell>
          <cell r="X109">
            <v>0.96666666666666667</v>
          </cell>
          <cell r="Y109">
            <v>1.0979166666666667</v>
          </cell>
          <cell r="Z109">
            <v>65</v>
          </cell>
          <cell r="AD109">
            <v>0.29930555555555549</v>
          </cell>
          <cell r="AH109">
            <v>53</v>
          </cell>
          <cell r="AK109">
            <v>17.100000000000001</v>
          </cell>
          <cell r="AM109">
            <v>52.4</v>
          </cell>
          <cell r="AY109">
            <v>98.707910698105209</v>
          </cell>
          <cell r="AZ109">
            <v>99.247589015118905</v>
          </cell>
          <cell r="BC109" t="str">
            <v>K. Benjamin</v>
          </cell>
        </row>
        <row r="110">
          <cell r="A110" t="str">
            <v>SM098</v>
          </cell>
          <cell r="T110">
            <v>62</v>
          </cell>
          <cell r="U110">
            <v>6.5536723163841879</v>
          </cell>
          <cell r="X110">
            <v>1.0819444444444444</v>
          </cell>
          <cell r="Y110">
            <v>1.2368055555555555</v>
          </cell>
          <cell r="Z110">
            <v>66</v>
          </cell>
          <cell r="AD110">
            <v>0.32361111111111107</v>
          </cell>
          <cell r="AH110">
            <v>53.1</v>
          </cell>
          <cell r="AK110">
            <v>17</v>
          </cell>
          <cell r="AM110">
            <v>51.9</v>
          </cell>
          <cell r="AY110">
            <v>96.344911241358759</v>
          </cell>
          <cell r="AZ110">
            <v>96.876575426402539</v>
          </cell>
          <cell r="BC110" t="str">
            <v>K. Benjamin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ProcessMaterials"/>
      <sheetName val="Operator Performance '16"/>
      <sheetName val="Operator Performance '21"/>
      <sheetName val="Brew Times"/>
      <sheetName val="BrewMaterials"/>
      <sheetName val="Brewhouse"/>
      <sheetName val="Packaging"/>
      <sheetName val="Process"/>
      <sheetName val="Summary September '26"/>
      <sheetName val="Summary August '26 "/>
      <sheetName val="Summary July '26"/>
      <sheetName val="Summary June '26"/>
      <sheetName val="Summary May '26"/>
      <sheetName val="Summary April '26"/>
      <sheetName val="Summary March '26"/>
      <sheetName val="Summary February '26"/>
      <sheetName val="Summary January '26"/>
    </sheetNames>
    <sheetDataSet>
      <sheetData sheetId="0"/>
      <sheetData sheetId="1"/>
      <sheetData sheetId="2"/>
      <sheetData sheetId="3"/>
      <sheetData sheetId="4"/>
      <sheetData sheetId="5">
        <row r="42">
          <cell r="AU42">
            <v>98.774703764205327</v>
          </cell>
        </row>
        <row r="43">
          <cell r="AU43">
            <v>99.746895730388445</v>
          </cell>
        </row>
        <row r="44">
          <cell r="AU44">
            <v>99.480491014553465</v>
          </cell>
        </row>
        <row r="45">
          <cell r="AU45">
            <v>99.359192252045119</v>
          </cell>
        </row>
        <row r="46">
          <cell r="AU46">
            <v>94.942986581581494</v>
          </cell>
        </row>
        <row r="47">
          <cell r="AU47">
            <v>99.744059513955506</v>
          </cell>
        </row>
        <row r="48">
          <cell r="AU48">
            <v>100.99522335236702</v>
          </cell>
        </row>
        <row r="49">
          <cell r="AU49">
            <v>96.38510978729046</v>
          </cell>
        </row>
        <row r="50">
          <cell r="AU50">
            <v>96.854916965661218</v>
          </cell>
        </row>
        <row r="51">
          <cell r="AU51">
            <v>97.756974250197359</v>
          </cell>
        </row>
        <row r="52">
          <cell r="AU52">
            <v>98.280554742749217</v>
          </cell>
        </row>
        <row r="53">
          <cell r="AU53">
            <v>96.13324085965202</v>
          </cell>
        </row>
        <row r="54">
          <cell r="AU54">
            <v>93.879203465211987</v>
          </cell>
        </row>
        <row r="55">
          <cell r="AU55">
            <v>95.350414753836105</v>
          </cell>
        </row>
        <row r="56">
          <cell r="AU56">
            <v>96.220784779412256</v>
          </cell>
        </row>
        <row r="57">
          <cell r="AU57">
            <v>98.599549107933044</v>
          </cell>
        </row>
        <row r="58">
          <cell r="AU58">
            <v>97.224654996866249</v>
          </cell>
        </row>
        <row r="59">
          <cell r="AU59">
            <v>97.214744342532583</v>
          </cell>
        </row>
        <row r="60">
          <cell r="AU60">
            <v>99.947116466554263</v>
          </cell>
        </row>
        <row r="61">
          <cell r="AU61">
            <v>98.532094795334359</v>
          </cell>
        </row>
        <row r="62">
          <cell r="AU62">
            <v>93.409868719251207</v>
          </cell>
        </row>
        <row r="63">
          <cell r="AU63">
            <v>99.155044731309943</v>
          </cell>
        </row>
        <row r="64">
          <cell r="AU64">
            <v>97.421068441304371</v>
          </cell>
        </row>
        <row r="65">
          <cell r="AU65">
            <v>96.397222195852265</v>
          </cell>
        </row>
        <row r="66">
          <cell r="AU66">
            <v>100.46145390412471</v>
          </cell>
        </row>
        <row r="67">
          <cell r="AU67">
            <v>98.998214709308328</v>
          </cell>
        </row>
        <row r="68">
          <cell r="AU68">
            <v>97.857422068578444</v>
          </cell>
        </row>
        <row r="69">
          <cell r="AU69">
            <v>97.436062166815688</v>
          </cell>
        </row>
        <row r="70">
          <cell r="AU70">
            <v>96.910477582354332</v>
          </cell>
        </row>
        <row r="71">
          <cell r="AU71">
            <v>98.960439575055489</v>
          </cell>
        </row>
        <row r="72">
          <cell r="AU72">
            <v>102.29507421858402</v>
          </cell>
        </row>
        <row r="73">
          <cell r="AU73">
            <v>99.640437653385277</v>
          </cell>
        </row>
        <row r="74">
          <cell r="AU74">
            <v>82.328169468585017</v>
          </cell>
        </row>
        <row r="75">
          <cell r="AU75">
            <v>97.674289949528585</v>
          </cell>
        </row>
        <row r="76">
          <cell r="AU76">
            <v>107.03141163467369</v>
          </cell>
        </row>
        <row r="77">
          <cell r="AU77">
            <v>95.236008152799599</v>
          </cell>
        </row>
        <row r="78">
          <cell r="AU78">
            <v>93.827567679359049</v>
          </cell>
        </row>
        <row r="79">
          <cell r="AU79">
            <v>95.896687100312732</v>
          </cell>
        </row>
        <row r="80">
          <cell r="AU80">
            <v>99.738925134433643</v>
          </cell>
        </row>
        <row r="81">
          <cell r="AU81">
            <v>100.16530562302518</v>
          </cell>
        </row>
        <row r="82">
          <cell r="AU82">
            <v>99.736526583941028</v>
          </cell>
        </row>
        <row r="83">
          <cell r="AU83">
            <v>99.664029210937514</v>
          </cell>
        </row>
        <row r="84">
          <cell r="AU84">
            <v>100.01748335846912</v>
          </cell>
        </row>
        <row r="85">
          <cell r="AU85">
            <v>102.59219085086538</v>
          </cell>
        </row>
        <row r="86">
          <cell r="AU86">
            <v>102.5433340471773</v>
          </cell>
        </row>
        <row r="87">
          <cell r="AU87">
            <v>96.805164931106077</v>
          </cell>
        </row>
        <row r="88">
          <cell r="AU88">
            <v>95.467350978288906</v>
          </cell>
        </row>
        <row r="89">
          <cell r="AU89">
            <v>101.53064235241746</v>
          </cell>
        </row>
        <row r="90">
          <cell r="AU90">
            <v>99.843022353876989</v>
          </cell>
        </row>
        <row r="91">
          <cell r="AU91">
            <v>101.2321550320278</v>
          </cell>
        </row>
        <row r="92">
          <cell r="AU92">
            <v>101.42626155454937</v>
          </cell>
        </row>
        <row r="93">
          <cell r="AU93">
            <v>100.44724358587611</v>
          </cell>
        </row>
        <row r="94">
          <cell r="AU94">
            <v>102.05296320797829</v>
          </cell>
        </row>
        <row r="95">
          <cell r="AU95">
            <v>95.560767955537841</v>
          </cell>
        </row>
        <row r="96">
          <cell r="AU96">
            <v>95.858476381615304</v>
          </cell>
        </row>
        <row r="97">
          <cell r="AU97">
            <v>93.414689526206047</v>
          </cell>
        </row>
        <row r="98">
          <cell r="AU98">
            <v>99.986346763685134</v>
          </cell>
        </row>
        <row r="99">
          <cell r="AU99">
            <v>99.177482096170877</v>
          </cell>
        </row>
        <row r="100">
          <cell r="AU100">
            <v>97.509880366294198</v>
          </cell>
        </row>
        <row r="101">
          <cell r="AU101">
            <v>101.75095732104258</v>
          </cell>
        </row>
        <row r="102">
          <cell r="AU102">
            <v>99.415120817930529</v>
          </cell>
        </row>
        <row r="103">
          <cell r="AU103">
            <v>99.662908503532648</v>
          </cell>
        </row>
        <row r="104">
          <cell r="AU104">
            <v>96.575602446302355</v>
          </cell>
        </row>
        <row r="105">
          <cell r="AU105">
            <v>95.507567677953077</v>
          </cell>
        </row>
        <row r="106">
          <cell r="AU106">
            <v>97.819710364525065</v>
          </cell>
        </row>
        <row r="107">
          <cell r="AU107">
            <v>93.737546450558312</v>
          </cell>
        </row>
        <row r="108">
          <cell r="AU108">
            <v>96.679439674001571</v>
          </cell>
        </row>
        <row r="109">
          <cell r="AU109">
            <v>96.344074013646235</v>
          </cell>
        </row>
        <row r="110">
          <cell r="AU110">
            <v>96.969073122994232</v>
          </cell>
        </row>
        <row r="111">
          <cell r="AU111">
            <v>98.413757188601139</v>
          </cell>
        </row>
        <row r="112">
          <cell r="AU112">
            <v>96.361633561905379</v>
          </cell>
        </row>
        <row r="113">
          <cell r="AU113">
            <v>97.5202904784814</v>
          </cell>
        </row>
        <row r="114">
          <cell r="AU114">
            <v>97.851490534465384</v>
          </cell>
        </row>
        <row r="115">
          <cell r="AU115">
            <v>96.702752232561977</v>
          </cell>
        </row>
        <row r="116">
          <cell r="AU116">
            <v>96.254729187993746</v>
          </cell>
        </row>
        <row r="117">
          <cell r="AU117">
            <v>98.215110637851069</v>
          </cell>
        </row>
        <row r="118">
          <cell r="AU118">
            <v>95.664747463751866</v>
          </cell>
        </row>
        <row r="119">
          <cell r="AU119">
            <v>95.472649577278474</v>
          </cell>
        </row>
        <row r="120">
          <cell r="AU120">
            <v>92.499443839985332</v>
          </cell>
        </row>
        <row r="121">
          <cell r="AU121">
            <v>101.81766752472274</v>
          </cell>
        </row>
        <row r="122">
          <cell r="AU122">
            <v>99.504012001826652</v>
          </cell>
        </row>
        <row r="123">
          <cell r="AU123">
            <v>99.783415797736893</v>
          </cell>
        </row>
        <row r="125">
          <cell r="AU125">
            <v>94.991214982303461</v>
          </cell>
        </row>
        <row r="126">
          <cell r="AU126">
            <v>98.081652776220835</v>
          </cell>
        </row>
        <row r="127">
          <cell r="AU127">
            <v>98.458827461721384</v>
          </cell>
        </row>
        <row r="128">
          <cell r="AU128">
            <v>95.824043987091741</v>
          </cell>
        </row>
        <row r="129">
          <cell r="AU129">
            <v>98.44333422721418</v>
          </cell>
        </row>
        <row r="130">
          <cell r="AU130">
            <v>100.21447484042207</v>
          </cell>
        </row>
        <row r="131">
          <cell r="AU131">
            <v>93.572296329201976</v>
          </cell>
        </row>
        <row r="132">
          <cell r="AU132">
            <v>99.628123440277676</v>
          </cell>
        </row>
        <row r="133">
          <cell r="AU133">
            <v>93.047268518820289</v>
          </cell>
        </row>
        <row r="134">
          <cell r="AU134">
            <v>98.00301242081278</v>
          </cell>
        </row>
        <row r="135">
          <cell r="AU135">
            <v>98.750429944987545</v>
          </cell>
        </row>
        <row r="136">
          <cell r="AU136">
            <v>100.69196814542862</v>
          </cell>
        </row>
        <row r="137">
          <cell r="AU137">
            <v>96.996599085521808</v>
          </cell>
        </row>
        <row r="138">
          <cell r="AU138">
            <v>97.499189767162704</v>
          </cell>
        </row>
        <row r="139">
          <cell r="AU139">
            <v>98.065329347096849</v>
          </cell>
        </row>
        <row r="140">
          <cell r="AU140">
            <v>100.56885966131995</v>
          </cell>
        </row>
        <row r="141">
          <cell r="AU141">
            <v>99.310564104752999</v>
          </cell>
        </row>
        <row r="142">
          <cell r="AU142">
            <v>81.813106414231768</v>
          </cell>
        </row>
        <row r="143">
          <cell r="AU143">
            <v>74.681377386116381</v>
          </cell>
        </row>
        <row r="144">
          <cell r="AU144">
            <v>99.596822865747242</v>
          </cell>
        </row>
        <row r="145">
          <cell r="AU145">
            <v>98.361425847158671</v>
          </cell>
        </row>
        <row r="146">
          <cell r="AU146">
            <v>102.80934079529675</v>
          </cell>
        </row>
        <row r="147">
          <cell r="AU147">
            <v>104.32736945451965</v>
          </cell>
        </row>
        <row r="148">
          <cell r="AU148">
            <v>102.41832780758313</v>
          </cell>
        </row>
        <row r="149">
          <cell r="AU149">
            <v>102.65008917352358</v>
          </cell>
        </row>
        <row r="150">
          <cell r="AU150">
            <v>98.351271471428475</v>
          </cell>
        </row>
        <row r="151">
          <cell r="AU151">
            <v>95.527089538140444</v>
          </cell>
        </row>
        <row r="152">
          <cell r="AU152">
            <v>98.791770353169028</v>
          </cell>
        </row>
        <row r="153">
          <cell r="AU153">
            <v>92.525215393532562</v>
          </cell>
        </row>
        <row r="154">
          <cell r="AU154">
            <v>98.286412743082607</v>
          </cell>
        </row>
        <row r="155">
          <cell r="AU155">
            <v>95.699273266512037</v>
          </cell>
        </row>
        <row r="156">
          <cell r="AU156">
            <v>96.200448437262068</v>
          </cell>
        </row>
        <row r="157">
          <cell r="AU157">
            <v>93.020726759402706</v>
          </cell>
        </row>
        <row r="158">
          <cell r="AU158">
            <v>96.412047269582672</v>
          </cell>
        </row>
        <row r="159">
          <cell r="AU159">
            <v>97.250520471561614</v>
          </cell>
        </row>
        <row r="160">
          <cell r="AU160">
            <v>98.1438476329579</v>
          </cell>
        </row>
        <row r="161">
          <cell r="AU161">
            <v>93.52608739149872</v>
          </cell>
        </row>
        <row r="162">
          <cell r="AU162">
            <v>101.12603213986264</v>
          </cell>
        </row>
        <row r="163">
          <cell r="AU163">
            <v>100.33640509948549</v>
          </cell>
        </row>
        <row r="164">
          <cell r="AU164">
            <v>100.85036161508521</v>
          </cell>
        </row>
        <row r="165">
          <cell r="AU165">
            <v>95.502024957607773</v>
          </cell>
        </row>
        <row r="166">
          <cell r="AU166">
            <v>94.342162395109455</v>
          </cell>
        </row>
        <row r="167">
          <cell r="AU167">
            <v>99.071689760585087</v>
          </cell>
        </row>
        <row r="168">
          <cell r="AU168">
            <v>98.514796568176052</v>
          </cell>
        </row>
        <row r="169">
          <cell r="AU169">
            <v>96.024272843684003</v>
          </cell>
        </row>
        <row r="170">
          <cell r="AU170">
            <v>98.175529465436611</v>
          </cell>
        </row>
        <row r="171">
          <cell r="AU171">
            <v>102.72843364793638</v>
          </cell>
        </row>
        <row r="172">
          <cell r="AU172">
            <v>97.857596270649012</v>
          </cell>
        </row>
        <row r="173">
          <cell r="AU173">
            <v>96.511183978216323</v>
          </cell>
        </row>
        <row r="174">
          <cell r="AU174">
            <v>96.273917789076862</v>
          </cell>
        </row>
        <row r="175">
          <cell r="AU175">
            <v>96.763833489372473</v>
          </cell>
        </row>
        <row r="176">
          <cell r="AU176">
            <v>98.253731658657813</v>
          </cell>
        </row>
        <row r="177">
          <cell r="AU177">
            <v>96.225557296455349</v>
          </cell>
        </row>
        <row r="178">
          <cell r="AU178">
            <v>95.76386603519768</v>
          </cell>
        </row>
        <row r="179">
          <cell r="AU179">
            <v>97.861559996128506</v>
          </cell>
        </row>
        <row r="180">
          <cell r="AU180">
            <v>98.551754908063671</v>
          </cell>
        </row>
        <row r="181">
          <cell r="AU181">
            <v>90.189295198187452</v>
          </cell>
        </row>
        <row r="182">
          <cell r="AU182">
            <v>99.950041431757512</v>
          </cell>
        </row>
        <row r="183">
          <cell r="AU183">
            <v>97.547980983941912</v>
          </cell>
        </row>
        <row r="184">
          <cell r="AU184">
            <v>97.02181756168649</v>
          </cell>
        </row>
        <row r="185">
          <cell r="AU185">
            <v>97.515157399606437</v>
          </cell>
        </row>
        <row r="186">
          <cell r="AU186">
            <v>95.404393473874009</v>
          </cell>
        </row>
        <row r="187">
          <cell r="AU187">
            <v>99.138574114682569</v>
          </cell>
        </row>
        <row r="188">
          <cell r="AU188">
            <v>97.371494370242544</v>
          </cell>
        </row>
        <row r="198">
          <cell r="AU198">
            <v>96.242072087973199</v>
          </cell>
        </row>
        <row r="199">
          <cell r="AU199">
            <v>98.87254747107896</v>
          </cell>
        </row>
        <row r="200">
          <cell r="AU200">
            <v>101.57164076036193</v>
          </cell>
        </row>
        <row r="201">
          <cell r="AU201">
            <v>99.130786137236072</v>
          </cell>
        </row>
        <row r="202">
          <cell r="AU202">
            <v>94.664735774609312</v>
          </cell>
        </row>
        <row r="203">
          <cell r="AU203">
            <v>98.211317122475975</v>
          </cell>
        </row>
        <row r="204">
          <cell r="AU204">
            <v>96.718815813314833</v>
          </cell>
        </row>
        <row r="205">
          <cell r="AU205">
            <v>99.681744479307142</v>
          </cell>
        </row>
        <row r="206">
          <cell r="AU206">
            <v>96.837780355457184</v>
          </cell>
        </row>
        <row r="207">
          <cell r="AU207">
            <v>101.84066195473321</v>
          </cell>
        </row>
        <row r="208">
          <cell r="AU208">
            <v>98.972363799020584</v>
          </cell>
        </row>
        <row r="209">
          <cell r="AU209">
            <v>97.717648278528927</v>
          </cell>
        </row>
        <row r="210">
          <cell r="AU210">
            <v>95.753750342141842</v>
          </cell>
        </row>
        <row r="211">
          <cell r="AU211">
            <v>98.477078860461759</v>
          </cell>
        </row>
        <row r="212">
          <cell r="AU212">
            <v>98.060574842581516</v>
          </cell>
        </row>
        <row r="213">
          <cell r="AU213">
            <v>98.477078860461759</v>
          </cell>
        </row>
        <row r="214">
          <cell r="AU214">
            <v>96.84005415922779</v>
          </cell>
        </row>
        <row r="215">
          <cell r="AU215">
            <v>100.25557474160721</v>
          </cell>
        </row>
        <row r="216">
          <cell r="AU216">
            <v>97.982769910971371</v>
          </cell>
        </row>
        <row r="217">
          <cell r="AU217">
            <v>98.499505757279664</v>
          </cell>
        </row>
        <row r="218">
          <cell r="AU218">
            <v>94.764649300245921</v>
          </cell>
        </row>
        <row r="219">
          <cell r="AU219">
            <v>114.82483845154799</v>
          </cell>
        </row>
        <row r="220">
          <cell r="AU220">
            <v>98.182619925802825</v>
          </cell>
        </row>
        <row r="221">
          <cell r="AU221">
            <v>98.728037202201719</v>
          </cell>
        </row>
        <row r="222">
          <cell r="AU222">
            <v>98.865584270828393</v>
          </cell>
        </row>
        <row r="223">
          <cell r="AU223">
            <v>94.960805086604111</v>
          </cell>
        </row>
        <row r="224">
          <cell r="AU224">
            <v>94.654963762652073</v>
          </cell>
        </row>
        <row r="225">
          <cell r="AU225">
            <v>97.983517470033405</v>
          </cell>
        </row>
        <row r="226">
          <cell r="AU226">
            <v>97.134089873786564</v>
          </cell>
        </row>
        <row r="227">
          <cell r="AU227">
            <v>97.825601678018998</v>
          </cell>
        </row>
        <row r="228">
          <cell r="AU228">
            <v>98.868627192961327</v>
          </cell>
        </row>
        <row r="229">
          <cell r="AU229">
            <v>98.076814194365696</v>
          </cell>
        </row>
        <row r="230">
          <cell r="AU230">
            <v>99.593534238465153</v>
          </cell>
        </row>
        <row r="231">
          <cell r="AU231">
            <v>96.043228742840341</v>
          </cell>
        </row>
        <row r="232">
          <cell r="AU232">
            <v>93.852195272622652</v>
          </cell>
        </row>
        <row r="233">
          <cell r="AU233">
            <v>97.973702378244013</v>
          </cell>
        </row>
        <row r="234">
          <cell r="AU234">
            <v>97.595557441238071</v>
          </cell>
        </row>
        <row r="235">
          <cell r="AU235">
            <v>99.011089727354573</v>
          </cell>
        </row>
        <row r="236">
          <cell r="AU236">
            <v>97.622156604926758</v>
          </cell>
        </row>
        <row r="237">
          <cell r="AU237">
            <v>98.713591365675498</v>
          </cell>
        </row>
        <row r="238">
          <cell r="AU238">
            <v>96.451431959126339</v>
          </cell>
        </row>
        <row r="239">
          <cell r="AU239">
            <v>97.225318569947376</v>
          </cell>
        </row>
        <row r="240">
          <cell r="AU240">
            <v>97.302716492359181</v>
          </cell>
        </row>
        <row r="241">
          <cell r="AU241">
            <v>96.377175001990878</v>
          </cell>
        </row>
        <row r="242">
          <cell r="AU242">
            <v>98.562914042619013</v>
          </cell>
        </row>
        <row r="243">
          <cell r="AU243">
            <v>97.595442540704411</v>
          </cell>
        </row>
        <row r="244">
          <cell r="AU244">
            <v>100.18284509194719</v>
          </cell>
        </row>
        <row r="245">
          <cell r="AU245">
            <v>96.311853798954317</v>
          </cell>
        </row>
        <row r="246">
          <cell r="AU246">
            <v>96.096956507805032</v>
          </cell>
        </row>
        <row r="247">
          <cell r="AU247">
            <v>99.508128433796273</v>
          </cell>
        </row>
        <row r="248">
          <cell r="AU248">
            <v>94.924305937938897</v>
          </cell>
        </row>
        <row r="249">
          <cell r="AU249">
            <v>97.266996516441111</v>
          </cell>
        </row>
        <row r="250">
          <cell r="AU250">
            <v>101.97538590361592</v>
          </cell>
        </row>
        <row r="251">
          <cell r="AU251">
            <v>93.260037484866757</v>
          </cell>
        </row>
        <row r="252">
          <cell r="AU252">
            <v>97.506312070474038</v>
          </cell>
        </row>
        <row r="253">
          <cell r="AU253">
            <v>97.162294174609158</v>
          </cell>
        </row>
        <row r="254">
          <cell r="AU254">
            <v>99.189410098175131</v>
          </cell>
        </row>
        <row r="255">
          <cell r="AU255">
            <v>96.590809413258498</v>
          </cell>
        </row>
        <row r="256">
          <cell r="AU256">
            <v>104.8589466494704</v>
          </cell>
        </row>
        <row r="257">
          <cell r="AU257">
            <v>98.830299448787045</v>
          </cell>
        </row>
        <row r="258">
          <cell r="AU258">
            <v>98.040070014500969</v>
          </cell>
        </row>
        <row r="259">
          <cell r="AU259">
            <v>99.708815326021792</v>
          </cell>
        </row>
        <row r="260">
          <cell r="AU260">
            <v>97.755708503233933</v>
          </cell>
        </row>
        <row r="261">
          <cell r="AU261">
            <v>97.407767694541405</v>
          </cell>
        </row>
        <row r="262">
          <cell r="AU262">
            <v>98.655643022911761</v>
          </cell>
        </row>
        <row r="263">
          <cell r="AU263">
            <v>95.847937505992363</v>
          </cell>
        </row>
        <row r="264">
          <cell r="AU264">
            <v>96.904607911463032</v>
          </cell>
        </row>
        <row r="265">
          <cell r="AU265">
            <v>97.843989874471959</v>
          </cell>
        </row>
        <row r="266">
          <cell r="AU266">
            <v>97.685025256417518</v>
          </cell>
        </row>
        <row r="267">
          <cell r="AU267">
            <v>101.44067430211668</v>
          </cell>
        </row>
        <row r="268">
          <cell r="AU268">
            <v>97.441660983042127</v>
          </cell>
        </row>
        <row r="269">
          <cell r="AU269">
            <v>96.686043099880422</v>
          </cell>
        </row>
        <row r="270">
          <cell r="AU270">
            <v>99.558186680524798</v>
          </cell>
        </row>
        <row r="271">
          <cell r="AU271">
            <v>100.34481040419453</v>
          </cell>
        </row>
        <row r="272">
          <cell r="AU272">
            <v>99.932598886125291</v>
          </cell>
        </row>
        <row r="273">
          <cell r="AU273">
            <v>97.05962214993248</v>
          </cell>
        </row>
        <row r="274">
          <cell r="AU274">
            <v>98.473296044522911</v>
          </cell>
        </row>
        <row r="275">
          <cell r="AU275">
            <v>96.821336097738467</v>
          </cell>
        </row>
        <row r="276">
          <cell r="AU276">
            <v>94.526889247991434</v>
          </cell>
        </row>
        <row r="277">
          <cell r="AU277">
            <v>99.232478638628749</v>
          </cell>
        </row>
        <row r="278">
          <cell r="AU278">
            <v>97.771866547676723</v>
          </cell>
        </row>
        <row r="279">
          <cell r="AU279">
            <v>98.557950595645067</v>
          </cell>
        </row>
        <row r="280">
          <cell r="AU280">
            <v>99.798300055092355</v>
          </cell>
        </row>
        <row r="281">
          <cell r="AU281">
            <v>99.38157832321258</v>
          </cell>
        </row>
        <row r="282">
          <cell r="AU282">
            <v>98.434186024142619</v>
          </cell>
        </row>
        <row r="283">
          <cell r="AU283">
            <v>98.376488030672363</v>
          </cell>
        </row>
        <row r="284">
          <cell r="AU284">
            <v>107.26927617311497</v>
          </cell>
        </row>
        <row r="285">
          <cell r="AU285">
            <v>104.13717497046395</v>
          </cell>
        </row>
        <row r="286">
          <cell r="AU286">
            <v>95.960980995714607</v>
          </cell>
        </row>
        <row r="287">
          <cell r="AU287">
            <v>98.780662674884439</v>
          </cell>
        </row>
        <row r="288">
          <cell r="AU288">
            <v>97.564314880534255</v>
          </cell>
        </row>
        <row r="289">
          <cell r="AU289">
            <v>98.861130500688475</v>
          </cell>
        </row>
        <row r="290">
          <cell r="AU290">
            <v>99.745630863635611</v>
          </cell>
        </row>
        <row r="292">
          <cell r="AU292">
            <v>97.704199504233429</v>
          </cell>
        </row>
        <row r="293">
          <cell r="AU293">
            <v>97.979907272741045</v>
          </cell>
        </row>
        <row r="294">
          <cell r="AU294">
            <v>99.895350375578587</v>
          </cell>
        </row>
        <row r="295">
          <cell r="AU295">
            <v>95.889566709390451</v>
          </cell>
        </row>
        <row r="296">
          <cell r="AU296">
            <v>99.06862717692897</v>
          </cell>
        </row>
        <row r="297">
          <cell r="AU297">
            <v>95.445431119922034</v>
          </cell>
        </row>
        <row r="298">
          <cell r="AU298">
            <v>104.42612750160676</v>
          </cell>
        </row>
        <row r="299">
          <cell r="AU299">
            <v>97.341719131975395</v>
          </cell>
        </row>
        <row r="300">
          <cell r="AU300">
            <v>99.419193802504751</v>
          </cell>
        </row>
        <row r="301">
          <cell r="AU301">
            <v>97.071854613833906</v>
          </cell>
        </row>
        <row r="302">
          <cell r="AU302">
            <v>99.570734039536561</v>
          </cell>
        </row>
        <row r="303">
          <cell r="AU303">
            <v>96.468452597935965</v>
          </cell>
        </row>
        <row r="304">
          <cell r="AU304">
            <v>98.260915565538383</v>
          </cell>
        </row>
        <row r="305">
          <cell r="AU305">
            <v>97.640321547589153</v>
          </cell>
        </row>
        <row r="306">
          <cell r="AU306">
            <v>98.731659046513386</v>
          </cell>
        </row>
        <row r="307">
          <cell r="AU307">
            <v>100.63051286939478</v>
          </cell>
        </row>
        <row r="308">
          <cell r="AU308">
            <v>96.708405814293428</v>
          </cell>
        </row>
        <row r="309">
          <cell r="AU309">
            <v>98.262108477392388</v>
          </cell>
        </row>
        <row r="310">
          <cell r="AU310">
            <v>100.88223340232045</v>
          </cell>
        </row>
        <row r="311">
          <cell r="AU311">
            <v>97.964873795422605</v>
          </cell>
        </row>
        <row r="312">
          <cell r="AU312">
            <v>97.684444147608716</v>
          </cell>
        </row>
        <row r="313">
          <cell r="AU313">
            <v>100.56390577410568</v>
          </cell>
        </row>
        <row r="314">
          <cell r="AU314">
            <v>99.284482347324953</v>
          </cell>
        </row>
        <row r="315">
          <cell r="AU315">
            <v>99.92986277518375</v>
          </cell>
        </row>
        <row r="316">
          <cell r="AU316">
            <v>98.833209781084534</v>
          </cell>
        </row>
        <row r="317">
          <cell r="AU317">
            <v>99.202272266400399</v>
          </cell>
        </row>
        <row r="318">
          <cell r="AU318">
            <v>98.715968018469894</v>
          </cell>
        </row>
        <row r="319">
          <cell r="AU319">
            <v>95.039912630667331</v>
          </cell>
        </row>
        <row r="320">
          <cell r="AU320">
            <v>98.367421417804422</v>
          </cell>
        </row>
        <row r="321">
          <cell r="AU321">
            <v>98.860563530003276</v>
          </cell>
        </row>
        <row r="322">
          <cell r="AU322">
            <v>98.293969985865587</v>
          </cell>
        </row>
        <row r="323">
          <cell r="AU323">
            <v>98.680554445148545</v>
          </cell>
        </row>
        <row r="324">
          <cell r="AU324">
            <v>97.276066263342202</v>
          </cell>
        </row>
        <row r="325">
          <cell r="AU325">
            <v>99.522717712698153</v>
          </cell>
        </row>
        <row r="326">
          <cell r="AU326">
            <v>97.280161876306295</v>
          </cell>
        </row>
        <row r="327">
          <cell r="AU327">
            <v>98.419574335641741</v>
          </cell>
        </row>
        <row r="328">
          <cell r="AU328">
            <v>99.010323522494176</v>
          </cell>
        </row>
        <row r="329">
          <cell r="AU329">
            <v>101.34286464320613</v>
          </cell>
        </row>
        <row r="330">
          <cell r="AU330">
            <v>100.08719027441192</v>
          </cell>
        </row>
        <row r="331">
          <cell r="AU331">
            <v>97.147652628524895</v>
          </cell>
        </row>
        <row r="333">
          <cell r="AU333">
            <v>98.291637523851719</v>
          </cell>
        </row>
        <row r="334">
          <cell r="AU334">
            <v>101.55474535131795</v>
          </cell>
        </row>
        <row r="335">
          <cell r="AU335">
            <v>100.47437476290094</v>
          </cell>
        </row>
        <row r="336">
          <cell r="AU336">
            <v>100.54292897070825</v>
          </cell>
        </row>
        <row r="337">
          <cell r="AU337">
            <v>99.6914222479014</v>
          </cell>
        </row>
        <row r="338">
          <cell r="AU338">
            <v>98.788355462696771</v>
          </cell>
        </row>
        <row r="339">
          <cell r="AU339">
            <v>96.362850732705169</v>
          </cell>
        </row>
        <row r="340">
          <cell r="AU340">
            <v>99.706387133823071</v>
          </cell>
        </row>
        <row r="341">
          <cell r="AU341">
            <v>97.642652173476279</v>
          </cell>
        </row>
        <row r="342">
          <cell r="AU342">
            <v>99.106149710242491</v>
          </cell>
        </row>
        <row r="343">
          <cell r="AU343">
            <v>96.333505901006006</v>
          </cell>
        </row>
        <row r="344">
          <cell r="AU344">
            <v>98.749512017375622</v>
          </cell>
        </row>
        <row r="345">
          <cell r="AU345">
            <v>97.86206666251897</v>
          </cell>
        </row>
        <row r="346">
          <cell r="AU346">
            <v>101.04601229684947</v>
          </cell>
        </row>
        <row r="347">
          <cell r="AU347">
            <v>97.276066263342202</v>
          </cell>
        </row>
        <row r="348">
          <cell r="AU348">
            <v>93.852395703596613</v>
          </cell>
        </row>
        <row r="349">
          <cell r="AU349">
            <v>97.34537784324344</v>
          </cell>
        </row>
        <row r="350">
          <cell r="AU350">
            <v>98.987340911426685</v>
          </cell>
        </row>
        <row r="351">
          <cell r="AU351">
            <v>98.106846922939908</v>
          </cell>
        </row>
        <row r="352">
          <cell r="AU352">
            <v>98.794769125933016</v>
          </cell>
        </row>
        <row r="353">
          <cell r="AU353">
            <v>98.17950033315293</v>
          </cell>
        </row>
        <row r="354">
          <cell r="AU354">
            <v>96.913042197128789</v>
          </cell>
        </row>
        <row r="355">
          <cell r="AU355">
            <v>98.866426421918902</v>
          </cell>
        </row>
        <row r="356">
          <cell r="AU356">
            <v>98.283716639471436</v>
          </cell>
        </row>
        <row r="357">
          <cell r="AU357">
            <v>97.627901774051935</v>
          </cell>
        </row>
        <row r="358">
          <cell r="AU358">
            <v>99.060663016068062</v>
          </cell>
        </row>
        <row r="359">
          <cell r="AU359">
            <v>98.301955213273345</v>
          </cell>
        </row>
        <row r="360">
          <cell r="AU360">
            <v>98.106846922939908</v>
          </cell>
        </row>
        <row r="361">
          <cell r="AU361">
            <v>96.325564324938568</v>
          </cell>
        </row>
        <row r="362">
          <cell r="AU362">
            <v>97.842907420327492</v>
          </cell>
        </row>
        <row r="363">
          <cell r="AU363">
            <v>98.232555924411713</v>
          </cell>
        </row>
        <row r="364">
          <cell r="AU364">
            <v>99.070568405483513</v>
          </cell>
        </row>
        <row r="365">
          <cell r="AU365">
            <v>97.022595413926055</v>
          </cell>
        </row>
        <row r="366">
          <cell r="AU366">
            <v>97.985121162080063</v>
          </cell>
        </row>
        <row r="367">
          <cell r="AU367">
            <v>96.656126592782627</v>
          </cell>
        </row>
        <row r="368">
          <cell r="AU368">
            <v>99.467995204961397</v>
          </cell>
        </row>
        <row r="369">
          <cell r="AU369">
            <v>96.072078638210456</v>
          </cell>
        </row>
        <row r="370">
          <cell r="AU370">
            <v>97.701006857023984</v>
          </cell>
        </row>
        <row r="372">
          <cell r="AU372">
            <v>96.56462372355783</v>
          </cell>
        </row>
        <row r="373">
          <cell r="AU373">
            <v>99.450129980121687</v>
          </cell>
        </row>
        <row r="374">
          <cell r="AU374">
            <v>99.924395660222203</v>
          </cell>
        </row>
        <row r="375">
          <cell r="AU375">
            <v>96.735005949559593</v>
          </cell>
        </row>
        <row r="376">
          <cell r="AU376">
            <v>100.92621982794307</v>
          </cell>
        </row>
        <row r="377">
          <cell r="AU377">
            <v>101.71080765524663</v>
          </cell>
        </row>
        <row r="378">
          <cell r="AU378">
            <v>99.915911049565807</v>
          </cell>
        </row>
        <row r="379">
          <cell r="AU379">
            <v>100.09336436066228</v>
          </cell>
        </row>
        <row r="380">
          <cell r="AU380">
            <v>97.004179140412717</v>
          </cell>
        </row>
        <row r="381">
          <cell r="AU381">
            <v>98.419019214153593</v>
          </cell>
        </row>
        <row r="382">
          <cell r="AU382">
            <v>100.07208608682477</v>
          </cell>
        </row>
        <row r="383">
          <cell r="AU383">
            <v>99.210048636900865</v>
          </cell>
        </row>
        <row r="384">
          <cell r="AU384">
            <v>95.646066734056419</v>
          </cell>
        </row>
        <row r="385">
          <cell r="AU385">
            <v>99.871647112886492</v>
          </cell>
        </row>
        <row r="386">
          <cell r="AU386">
            <v>98.917653360549238</v>
          </cell>
        </row>
        <row r="387">
          <cell r="AU387">
            <v>97.985121162080063</v>
          </cell>
        </row>
        <row r="388">
          <cell r="AU388">
            <v>95.883570904040326</v>
          </cell>
        </row>
        <row r="389">
          <cell r="AU389">
            <v>97.688668777521585</v>
          </cell>
        </row>
        <row r="390">
          <cell r="AU390">
            <v>98.076322225051427</v>
          </cell>
        </row>
        <row r="391">
          <cell r="AU391">
            <v>96.738087826903367</v>
          </cell>
        </row>
        <row r="392">
          <cell r="AU392">
            <v>89.576614302132214</v>
          </cell>
        </row>
        <row r="393">
          <cell r="AU393">
            <v>99.045954733310609</v>
          </cell>
        </row>
        <row r="394">
          <cell r="AU394">
            <v>97.073638621963838</v>
          </cell>
        </row>
        <row r="395">
          <cell r="AU395">
            <v>96.622408854490644</v>
          </cell>
        </row>
        <row r="396">
          <cell r="AU396">
            <v>95.968798858100953</v>
          </cell>
        </row>
        <row r="397">
          <cell r="AU397">
            <v>97.010275244344342</v>
          </cell>
        </row>
        <row r="398">
          <cell r="AU398">
            <v>97.315054553505178</v>
          </cell>
        </row>
        <row r="399">
          <cell r="AU399">
            <v>97.194196677647014</v>
          </cell>
        </row>
        <row r="400">
          <cell r="AU400">
            <v>97.107188606226813</v>
          </cell>
        </row>
        <row r="401">
          <cell r="AU401">
            <v>97.543298003623377</v>
          </cell>
        </row>
        <row r="402">
          <cell r="AU402">
            <v>99.596971567739487</v>
          </cell>
        </row>
        <row r="403">
          <cell r="AU403">
            <v>98.567307662683234</v>
          </cell>
        </row>
        <row r="404">
          <cell r="AU404">
            <v>94.783958244441095</v>
          </cell>
        </row>
        <row r="405">
          <cell r="AU405">
            <v>96.215628300055926</v>
          </cell>
        </row>
        <row r="406">
          <cell r="AU406">
            <v>96.512976698627241</v>
          </cell>
        </row>
        <row r="407">
          <cell r="AU407">
            <v>97.668075936141776</v>
          </cell>
        </row>
        <row r="408">
          <cell r="AU408">
            <v>98.061106422806333</v>
          </cell>
        </row>
        <row r="409">
          <cell r="AU409">
            <v>94.141882174700498</v>
          </cell>
        </row>
        <row r="410">
          <cell r="AU410">
            <v>98.065683886305649</v>
          </cell>
        </row>
        <row r="411">
          <cell r="AU411">
            <v>96.227121995274018</v>
          </cell>
        </row>
        <row r="412">
          <cell r="AU412">
            <v>93.644485520251749</v>
          </cell>
        </row>
        <row r="413">
          <cell r="AU413">
            <v>95.780305895522162</v>
          </cell>
        </row>
        <row r="414">
          <cell r="AU414">
            <v>97.194703072885943</v>
          </cell>
        </row>
        <row r="415">
          <cell r="AU415">
            <v>96.196995367381973</v>
          </cell>
        </row>
        <row r="416">
          <cell r="AU416">
            <v>96.762050323253916</v>
          </cell>
        </row>
        <row r="417">
          <cell r="AU417">
            <v>97.028112667120254</v>
          </cell>
        </row>
        <row r="418">
          <cell r="AU418">
            <v>99.093675526055435</v>
          </cell>
        </row>
        <row r="419">
          <cell r="AU419">
            <v>99.090770773720209</v>
          </cell>
        </row>
        <row r="420">
          <cell r="AU420">
            <v>99.125761295317346</v>
          </cell>
        </row>
        <row r="421">
          <cell r="AU421">
            <v>98.716771578243012</v>
          </cell>
        </row>
        <row r="422">
          <cell r="AU422">
            <v>97.782996764277044</v>
          </cell>
        </row>
        <row r="423">
          <cell r="AU423">
            <v>95.550640529582381</v>
          </cell>
        </row>
        <row r="424">
          <cell r="AU424">
            <v>96.771687084536438</v>
          </cell>
        </row>
        <row r="425">
          <cell r="AU425">
            <v>98.586817634255368</v>
          </cell>
        </row>
        <row r="426">
          <cell r="AU426">
            <v>101.98305384057822</v>
          </cell>
        </row>
        <row r="427">
          <cell r="AU427">
            <v>100.69577752031054</v>
          </cell>
        </row>
        <row r="428">
          <cell r="AU428">
            <v>99.806095951858012</v>
          </cell>
        </row>
        <row r="429">
          <cell r="AU429">
            <v>100.43366418858588</v>
          </cell>
        </row>
        <row r="430">
          <cell r="AU430">
            <v>98.893379734379081</v>
          </cell>
        </row>
        <row r="431">
          <cell r="AU431">
            <v>100.24969919406345</v>
          </cell>
        </row>
        <row r="432">
          <cell r="AU432">
            <v>97.081248898849111</v>
          </cell>
        </row>
        <row r="433">
          <cell r="AU433">
            <v>101.76707851622425</v>
          </cell>
        </row>
        <row r="434">
          <cell r="AU434">
            <v>96.510244562053785</v>
          </cell>
        </row>
        <row r="435">
          <cell r="AU435">
            <v>99.775672338436593</v>
          </cell>
        </row>
        <row r="436">
          <cell r="AU436">
            <v>99.168607234311096</v>
          </cell>
        </row>
        <row r="437">
          <cell r="AU437">
            <v>97.065619624859266</v>
          </cell>
        </row>
        <row r="438">
          <cell r="AU438">
            <v>95.966425934229434</v>
          </cell>
        </row>
        <row r="439">
          <cell r="AU439">
            <v>96.902068655985502</v>
          </cell>
        </row>
        <row r="441">
          <cell r="AU441">
            <v>94.35299110982487</v>
          </cell>
        </row>
        <row r="442">
          <cell r="AU442">
            <v>99.78810647611833</v>
          </cell>
        </row>
        <row r="443">
          <cell r="AU443">
            <v>98.715472456614393</v>
          </cell>
        </row>
        <row r="444">
          <cell r="AU444">
            <v>98.839319314550693</v>
          </cell>
        </row>
        <row r="445">
          <cell r="AU445">
            <v>99.827712507696191</v>
          </cell>
        </row>
        <row r="446">
          <cell r="AU446">
            <v>102.60534633351912</v>
          </cell>
        </row>
        <row r="447">
          <cell r="AU447">
            <v>101.06394965204404</v>
          </cell>
        </row>
        <row r="448">
          <cell r="AU448">
            <v>99.592276455198828</v>
          </cell>
        </row>
        <row r="449">
          <cell r="AU449">
            <v>98.084548863306736</v>
          </cell>
        </row>
        <row r="450">
          <cell r="AU450">
            <v>96.00650184159764</v>
          </cell>
        </row>
        <row r="451">
          <cell r="AU451">
            <v>94.406393477571029</v>
          </cell>
        </row>
        <row r="452">
          <cell r="AU452">
            <v>96.433466803831749</v>
          </cell>
        </row>
        <row r="453">
          <cell r="AU453">
            <v>97.324682978378192</v>
          </cell>
        </row>
        <row r="454">
          <cell r="AU454">
            <v>98.352998332832939</v>
          </cell>
        </row>
        <row r="455">
          <cell r="AU455">
            <v>97.74424129612386</v>
          </cell>
        </row>
        <row r="456">
          <cell r="AU456">
            <v>100.27330624637854</v>
          </cell>
        </row>
        <row r="457">
          <cell r="AU457">
            <v>101.5646659439884</v>
          </cell>
        </row>
        <row r="458">
          <cell r="AU458">
            <v>96.768900005202767</v>
          </cell>
        </row>
        <row r="459">
          <cell r="AU459">
            <v>99.215120295971658</v>
          </cell>
        </row>
        <row r="460">
          <cell r="AU460">
            <v>96.530294814784824</v>
          </cell>
        </row>
        <row r="461">
          <cell r="AU461">
            <v>100.60681338817419</v>
          </cell>
        </row>
        <row r="462">
          <cell r="AU462">
            <v>99.799727452014764</v>
          </cell>
        </row>
        <row r="463">
          <cell r="AU463">
            <v>100.35031551856368</v>
          </cell>
        </row>
        <row r="464">
          <cell r="AU464">
            <v>99.827142752199421</v>
          </cell>
        </row>
        <row r="465">
          <cell r="AU465">
            <v>96.996454448160804</v>
          </cell>
        </row>
        <row r="466">
          <cell r="AU466">
            <v>99.953663425238886</v>
          </cell>
        </row>
        <row r="467">
          <cell r="AU467">
            <v>97.899114248935831</v>
          </cell>
        </row>
        <row r="468">
          <cell r="AU468">
            <v>99.845418707165166</v>
          </cell>
        </row>
        <row r="469">
          <cell r="AU469">
            <v>100.41537290555753</v>
          </cell>
        </row>
        <row r="470">
          <cell r="AU470">
            <v>99.941062940966958</v>
          </cell>
        </row>
        <row r="471">
          <cell r="AU471">
            <v>99.412009557795542</v>
          </cell>
        </row>
        <row r="472">
          <cell r="AU472">
            <v>98.242593755797657</v>
          </cell>
        </row>
        <row r="473">
          <cell r="AU473">
            <v>112.10179731674612</v>
          </cell>
        </row>
        <row r="474">
          <cell r="AU474">
            <v>102.44666718353356</v>
          </cell>
        </row>
        <row r="475">
          <cell r="AU475">
            <v>103.76004973726178</v>
          </cell>
        </row>
        <row r="476">
          <cell r="AU476">
            <v>101.00978335868373</v>
          </cell>
        </row>
        <row r="477">
          <cell r="AU477">
            <v>102.24574408304541</v>
          </cell>
        </row>
        <row r="478">
          <cell r="AU478">
            <v>100.17922672418331</v>
          </cell>
        </row>
        <row r="479">
          <cell r="AU479">
            <v>101.13654701607011</v>
          </cell>
        </row>
        <row r="480">
          <cell r="AU480">
            <v>108.88670789478645</v>
          </cell>
        </row>
        <row r="481">
          <cell r="AU481">
            <v>96.512358037648923</v>
          </cell>
        </row>
        <row r="482">
          <cell r="AU482">
            <v>100.97500195447307</v>
          </cell>
        </row>
        <row r="483">
          <cell r="AU483">
            <v>100.7405914444947</v>
          </cell>
        </row>
        <row r="484">
          <cell r="AU484">
            <v>100.3041125045339</v>
          </cell>
        </row>
        <row r="485">
          <cell r="AU485">
            <v>100.21573995743513</v>
          </cell>
        </row>
        <row r="486">
          <cell r="AU486">
            <v>99.317238473927688</v>
          </cell>
        </row>
        <row r="487">
          <cell r="AU487">
            <v>98.386883927142947</v>
          </cell>
        </row>
        <row r="488">
          <cell r="AU488">
            <v>99.532719661938174</v>
          </cell>
        </row>
        <row r="489">
          <cell r="AU489">
            <v>97.09027634925161</v>
          </cell>
        </row>
        <row r="490">
          <cell r="AU490">
            <v>98.94339780001502</v>
          </cell>
        </row>
        <row r="491">
          <cell r="AU491">
            <v>99.385578414346583</v>
          </cell>
        </row>
        <row r="492">
          <cell r="AU492">
            <v>98.554622170152498</v>
          </cell>
        </row>
        <row r="493">
          <cell r="AU493">
            <v>96.059064469639495</v>
          </cell>
        </row>
        <row r="494">
          <cell r="AU494">
            <v>99.937487991353251</v>
          </cell>
        </row>
        <row r="495">
          <cell r="AU495">
            <v>94.84633473437168</v>
          </cell>
        </row>
        <row r="496">
          <cell r="AU496">
            <v>98.344590350965177</v>
          </cell>
        </row>
        <row r="497">
          <cell r="AU497">
            <v>98.441679685943271</v>
          </cell>
        </row>
        <row r="499">
          <cell r="AU499">
            <v>98.266776146048571</v>
          </cell>
        </row>
        <row r="500">
          <cell r="AU500">
            <v>97.832955089911806</v>
          </cell>
        </row>
        <row r="501">
          <cell r="AU501">
            <v>101.45409838612913</v>
          </cell>
        </row>
        <row r="502">
          <cell r="AU502">
            <v>100.69356891272432</v>
          </cell>
        </row>
        <row r="503">
          <cell r="AU503">
            <v>98.448968451925168</v>
          </cell>
        </row>
        <row r="504">
          <cell r="AU504">
            <v>95.561965677402867</v>
          </cell>
        </row>
        <row r="505">
          <cell r="AU505">
            <v>98.952903830463129</v>
          </cell>
        </row>
        <row r="506">
          <cell r="AU506">
            <v>92.084692591360991</v>
          </cell>
        </row>
        <row r="507">
          <cell r="AU507">
            <v>98.931062054513632</v>
          </cell>
        </row>
        <row r="508">
          <cell r="AU508">
            <v>95.788891523078703</v>
          </cell>
        </row>
        <row r="509">
          <cell r="AU509">
            <v>102.25237739832376</v>
          </cell>
        </row>
        <row r="510">
          <cell r="AU510">
            <v>97.842626008334307</v>
          </cell>
        </row>
        <row r="511">
          <cell r="AU511">
            <v>98.133116544540727</v>
          </cell>
        </row>
        <row r="512">
          <cell r="AU512">
            <v>97.392543851558173</v>
          </cell>
        </row>
        <row r="513">
          <cell r="AU513">
            <v>98.551698641292091</v>
          </cell>
        </row>
        <row r="514">
          <cell r="AU514">
            <v>95.684926135841877</v>
          </cell>
        </row>
        <row r="515">
          <cell r="AU515">
            <v>98.002879043639851</v>
          </cell>
        </row>
        <row r="516">
          <cell r="AU516">
            <v>99.043120759349208</v>
          </cell>
        </row>
        <row r="517">
          <cell r="AU517">
            <v>98.02652678523846</v>
          </cell>
        </row>
        <row r="518">
          <cell r="AU518">
            <v>97.10584907923149</v>
          </cell>
        </row>
        <row r="519">
          <cell r="AU519">
            <v>98.462617429639906</v>
          </cell>
        </row>
        <row r="521">
          <cell r="AU521">
            <v>97.055560378405417</v>
          </cell>
        </row>
        <row r="522">
          <cell r="AU522">
            <v>98.60835314664395</v>
          </cell>
        </row>
        <row r="523">
          <cell r="AU523">
            <v>98.365267951755612</v>
          </cell>
        </row>
        <row r="524">
          <cell r="AU524">
            <v>99.687955297584509</v>
          </cell>
        </row>
        <row r="525">
          <cell r="AU525">
            <v>100.72132227395333</v>
          </cell>
        </row>
        <row r="526">
          <cell r="AU526">
            <v>98.74889698396953</v>
          </cell>
        </row>
        <row r="527">
          <cell r="AU527">
            <v>99.890627154419903</v>
          </cell>
        </row>
        <row r="528">
          <cell r="AU528">
            <v>98.651675516343673</v>
          </cell>
        </row>
        <row r="529">
          <cell r="AU529">
            <v>96.892893618969623</v>
          </cell>
        </row>
        <row r="530">
          <cell r="AU530">
            <v>94.722111244171089</v>
          </cell>
        </row>
        <row r="531">
          <cell r="AU531">
            <v>99.029700685063503</v>
          </cell>
        </row>
        <row r="532">
          <cell r="AU532">
            <v>96.713643218630651</v>
          </cell>
        </row>
        <row r="533">
          <cell r="AU533">
            <v>96.969485600893819</v>
          </cell>
        </row>
        <row r="534">
          <cell r="AU534">
            <v>100.49490909648723</v>
          </cell>
        </row>
        <row r="535">
          <cell r="AU535">
            <v>100.67062913303926</v>
          </cell>
        </row>
        <row r="536">
          <cell r="AU536">
            <v>100.28445554211093</v>
          </cell>
        </row>
        <row r="537">
          <cell r="AU537">
            <v>100.01936692948938</v>
          </cell>
        </row>
        <row r="538">
          <cell r="AU538">
            <v>97.25675779648391</v>
          </cell>
        </row>
        <row r="539">
          <cell r="AU539">
            <v>98.829519670528683</v>
          </cell>
        </row>
        <row r="540">
          <cell r="AU540">
            <v>89.92670066600526</v>
          </cell>
        </row>
        <row r="541">
          <cell r="AU541">
            <v>97.852943389199353</v>
          </cell>
        </row>
        <row r="542">
          <cell r="AU542">
            <v>98.234806225548823</v>
          </cell>
        </row>
        <row r="543">
          <cell r="AU543">
            <v>97.100513808978988</v>
          </cell>
        </row>
        <row r="544">
          <cell r="AU544">
            <v>100.78623691006598</v>
          </cell>
        </row>
        <row r="545">
          <cell r="AU545">
            <v>98.055978454904164</v>
          </cell>
        </row>
        <row r="546">
          <cell r="AU546">
            <v>93.830129859434109</v>
          </cell>
        </row>
        <row r="547">
          <cell r="AU547">
            <v>94.986746647546866</v>
          </cell>
        </row>
        <row r="548">
          <cell r="AU548">
            <v>96.805409918675934</v>
          </cell>
        </row>
        <row r="549">
          <cell r="AU549">
            <v>95.875819620167377</v>
          </cell>
        </row>
        <row r="550">
          <cell r="AU550">
            <v>99.148436815029569</v>
          </cell>
        </row>
        <row r="551">
          <cell r="AU551">
            <v>96.121819426269113</v>
          </cell>
        </row>
        <row r="552">
          <cell r="AU552">
            <v>98.010189794067912</v>
          </cell>
        </row>
        <row r="553">
          <cell r="AU553">
            <v>99.014288101156708</v>
          </cell>
        </row>
        <row r="554">
          <cell r="AU554">
            <v>97.153389503202831</v>
          </cell>
        </row>
        <row r="555">
          <cell r="AU555">
            <v>97.627337490184829</v>
          </cell>
        </row>
        <row r="556">
          <cell r="AU556">
            <v>97.312728687729816</v>
          </cell>
        </row>
        <row r="557">
          <cell r="AU557">
            <v>96.842834153233255</v>
          </cell>
        </row>
        <row r="558">
          <cell r="AU558">
            <v>97.685779866006243</v>
          </cell>
        </row>
        <row r="559">
          <cell r="AU559">
            <v>97.920767049400993</v>
          </cell>
        </row>
        <row r="560">
          <cell r="AU560">
            <v>97.467189849576116</v>
          </cell>
        </row>
        <row r="561">
          <cell r="AU561">
            <v>97.321658525782979</v>
          </cell>
        </row>
        <row r="562">
          <cell r="AU562">
            <v>98.202616991215805</v>
          </cell>
        </row>
        <row r="563">
          <cell r="AU563">
            <v>96.730466310460599</v>
          </cell>
        </row>
        <row r="564">
          <cell r="AU564">
            <v>98.584468249892524</v>
          </cell>
        </row>
        <row r="565">
          <cell r="AU565">
            <v>98.798903105297185</v>
          </cell>
        </row>
        <row r="566">
          <cell r="AU566">
            <v>95.030567217736547</v>
          </cell>
        </row>
        <row r="567">
          <cell r="AU567">
            <v>97.975396282362766</v>
          </cell>
        </row>
        <row r="568">
          <cell r="AU568">
            <v>96.910132502244522</v>
          </cell>
        </row>
        <row r="569">
          <cell r="AU569">
            <v>100.32236829261912</v>
          </cell>
        </row>
        <row r="570">
          <cell r="AU570">
            <v>92.793243431188415</v>
          </cell>
        </row>
        <row r="571">
          <cell r="AU571">
            <v>108.16497197909139</v>
          </cell>
        </row>
        <row r="572">
          <cell r="AU572">
            <v>98.269422256889953</v>
          </cell>
        </row>
        <row r="573">
          <cell r="AU573">
            <v>101.03823120220224</v>
          </cell>
        </row>
        <row r="574">
          <cell r="AU574">
            <v>96.300446052957312</v>
          </cell>
        </row>
        <row r="575">
          <cell r="AU575">
            <v>96.861872540433041</v>
          </cell>
        </row>
        <row r="576">
          <cell r="AU576">
            <v>94.354982496331914</v>
          </cell>
        </row>
        <row r="577">
          <cell r="AU577">
            <v>101.4902547733288</v>
          </cell>
        </row>
        <row r="578">
          <cell r="AU578">
            <v>99.113848804846313</v>
          </cell>
        </row>
        <row r="579">
          <cell r="AU579">
            <v>98.177770863633469</v>
          </cell>
        </row>
        <row r="580">
          <cell r="AU580">
            <v>100.59532574226012</v>
          </cell>
        </row>
        <row r="581">
          <cell r="AU581">
            <v>101.09611786158771</v>
          </cell>
        </row>
        <row r="582">
          <cell r="AU582">
            <v>97.274779965108578</v>
          </cell>
        </row>
        <row r="583">
          <cell r="AU583">
            <v>99.391912439862466</v>
          </cell>
        </row>
        <row r="584">
          <cell r="AU584">
            <v>97.783528025728515</v>
          </cell>
        </row>
        <row r="585">
          <cell r="AU585">
            <v>97.128209357850551</v>
          </cell>
        </row>
        <row r="586">
          <cell r="AU586">
            <v>95.057308401199691</v>
          </cell>
        </row>
        <row r="587">
          <cell r="AU587">
            <v>97.562565380013439</v>
          </cell>
        </row>
        <row r="588">
          <cell r="AU588">
            <v>104.27130276207181</v>
          </cell>
        </row>
        <row r="589">
          <cell r="AU589">
            <v>97.342162958884344</v>
          </cell>
        </row>
        <row r="590">
          <cell r="AU590">
            <v>95.775148939134738</v>
          </cell>
        </row>
        <row r="591">
          <cell r="AU591">
            <v>103.19214698364453</v>
          </cell>
        </row>
        <row r="592">
          <cell r="AU592">
            <v>103.16558724297549</v>
          </cell>
        </row>
        <row r="593">
          <cell r="AU593">
            <v>101.99102647740079</v>
          </cell>
        </row>
        <row r="595">
          <cell r="AU595">
            <v>102.9503534174209</v>
          </cell>
        </row>
        <row r="596">
          <cell r="AU596">
            <v>103.20695554361478</v>
          </cell>
        </row>
        <row r="597">
          <cell r="AU597">
            <v>100.49530782630643</v>
          </cell>
        </row>
        <row r="598">
          <cell r="AU598">
            <v>98.352761035087568</v>
          </cell>
        </row>
        <row r="599">
          <cell r="AU599">
            <v>99.302688314491746</v>
          </cell>
        </row>
        <row r="600">
          <cell r="AU600">
            <v>98.222221366406799</v>
          </cell>
        </row>
        <row r="601">
          <cell r="AU601">
            <v>99.769593439999099</v>
          </cell>
        </row>
        <row r="602">
          <cell r="AU602">
            <v>99.869825686975531</v>
          </cell>
        </row>
        <row r="603">
          <cell r="AU603">
            <v>94.979636183315108</v>
          </cell>
        </row>
        <row r="604">
          <cell r="AU604">
            <v>97.924342221439488</v>
          </cell>
        </row>
        <row r="605">
          <cell r="AU605">
            <v>100.78423889987383</v>
          </cell>
        </row>
        <row r="606">
          <cell r="AU606">
            <v>103.00616380131203</v>
          </cell>
        </row>
        <row r="607">
          <cell r="AU607">
            <v>98.735662358530632</v>
          </cell>
        </row>
        <row r="608">
          <cell r="AU608">
            <v>99.191120697559725</v>
          </cell>
        </row>
        <row r="609">
          <cell r="AU609">
            <v>99.137028566690901</v>
          </cell>
        </row>
        <row r="610">
          <cell r="AU610">
            <v>99.906988502754658</v>
          </cell>
        </row>
        <row r="611">
          <cell r="AU611">
            <v>94.112383169594878</v>
          </cell>
        </row>
        <row r="612">
          <cell r="AU612">
            <v>99.727537733596833</v>
          </cell>
        </row>
        <row r="613">
          <cell r="AU613">
            <v>102.00296712301547</v>
          </cell>
        </row>
        <row r="614">
          <cell r="AU614">
            <v>100.30661645676568</v>
          </cell>
        </row>
        <row r="615">
          <cell r="AU615">
            <v>102.38430000747583</v>
          </cell>
        </row>
        <row r="616">
          <cell r="AU616">
            <v>97.178318651163494</v>
          </cell>
        </row>
        <row r="617">
          <cell r="AU617">
            <v>99.448779663128292</v>
          </cell>
        </row>
        <row r="618">
          <cell r="AU618">
            <v>98.327017995218057</v>
          </cell>
        </row>
        <row r="619">
          <cell r="AU619">
            <v>96.630393194942471</v>
          </cell>
        </row>
        <row r="620">
          <cell r="AU620">
            <v>99.633829486310873</v>
          </cell>
        </row>
        <row r="621">
          <cell r="AU621">
            <v>98.745967480313396</v>
          </cell>
        </row>
        <row r="622">
          <cell r="AU622">
            <v>97.446768754393304</v>
          </cell>
        </row>
        <row r="623">
          <cell r="AU623">
            <v>99.881595354826231</v>
          </cell>
        </row>
        <row r="624">
          <cell r="AU624">
            <v>98.064310250675931</v>
          </cell>
        </row>
        <row r="625">
          <cell r="AU625">
            <v>98.308476686710605</v>
          </cell>
        </row>
        <row r="626">
          <cell r="AU626">
            <v>102.30475622682079</v>
          </cell>
        </row>
        <row r="627">
          <cell r="AU627">
            <v>94.623372416522983</v>
          </cell>
        </row>
        <row r="628">
          <cell r="AU628">
            <v>102.05066432590664</v>
          </cell>
        </row>
        <row r="629">
          <cell r="AU629">
            <v>98.46294565819899</v>
          </cell>
        </row>
        <row r="630">
          <cell r="AU630">
            <v>102.5771141317837</v>
          </cell>
        </row>
        <row r="631">
          <cell r="AU631">
            <v>98.897378510792095</v>
          </cell>
        </row>
        <row r="632">
          <cell r="AU632">
            <v>99.032006915549005</v>
          </cell>
        </row>
        <row r="633">
          <cell r="AU633">
            <v>100.3950691408541</v>
          </cell>
        </row>
        <row r="634">
          <cell r="AU634">
            <v>98.335203397010687</v>
          </cell>
        </row>
        <row r="635">
          <cell r="AU635">
            <v>92.210476129367706</v>
          </cell>
        </row>
        <row r="636">
          <cell r="AU636">
            <v>95.392227245105218</v>
          </cell>
        </row>
        <row r="637">
          <cell r="AU637">
            <v>97.63611706509802</v>
          </cell>
        </row>
        <row r="638">
          <cell r="AU638">
            <v>96.053814988905671</v>
          </cell>
        </row>
        <row r="639">
          <cell r="AU639">
            <v>99.79568244859415</v>
          </cell>
        </row>
        <row r="640">
          <cell r="AU640">
            <v>96.232629291944676</v>
          </cell>
        </row>
        <row r="641">
          <cell r="AU641">
            <v>101.43741414543481</v>
          </cell>
        </row>
        <row r="642">
          <cell r="AU642">
            <v>102.9971064188906</v>
          </cell>
        </row>
        <row r="643">
          <cell r="AU643">
            <v>96.510220819323507</v>
          </cell>
        </row>
        <row r="644">
          <cell r="AU644">
            <v>103.75607566491097</v>
          </cell>
        </row>
        <row r="645">
          <cell r="AU645">
            <v>99.510131013090614</v>
          </cell>
        </row>
        <row r="646">
          <cell r="AU646">
            <v>99.855544139268176</v>
          </cell>
        </row>
        <row r="647">
          <cell r="AU647">
            <v>98.434449089980745</v>
          </cell>
        </row>
        <row r="648">
          <cell r="AU648">
            <v>100.05955892682989</v>
          </cell>
        </row>
        <row r="649">
          <cell r="AU649">
            <v>95.934372886641839</v>
          </cell>
        </row>
        <row r="650">
          <cell r="AU650">
            <v>98.654470881741176</v>
          </cell>
        </row>
        <row r="651">
          <cell r="AU651">
            <v>96.064625992960757</v>
          </cell>
        </row>
        <row r="652">
          <cell r="AU652">
            <v>97.26610918503755</v>
          </cell>
        </row>
        <row r="653">
          <cell r="AU653">
            <v>98.696712146765265</v>
          </cell>
        </row>
        <row r="654">
          <cell r="AU654">
            <v>97.927386788830631</v>
          </cell>
        </row>
        <row r="655">
          <cell r="AU655">
            <v>111.54257690015881</v>
          </cell>
        </row>
        <row r="656">
          <cell r="AU656">
            <v>100.80384590106561</v>
          </cell>
        </row>
        <row r="657">
          <cell r="AU657">
            <v>97.823276952751186</v>
          </cell>
        </row>
        <row r="658">
          <cell r="AU658">
            <v>98.621300517774969</v>
          </cell>
        </row>
        <row r="659">
          <cell r="AU659">
            <v>92.983027682827753</v>
          </cell>
        </row>
        <row r="660">
          <cell r="AU660">
            <v>96.583285401532947</v>
          </cell>
        </row>
        <row r="661">
          <cell r="AU661">
            <v>96.846117108455005</v>
          </cell>
        </row>
        <row r="662">
          <cell r="AU662">
            <v>97.786680935858953</v>
          </cell>
        </row>
        <row r="663">
          <cell r="AU663">
            <v>97.163447975823857</v>
          </cell>
        </row>
        <row r="664">
          <cell r="AU664">
            <v>96.892783901710104</v>
          </cell>
        </row>
        <row r="665">
          <cell r="AU665">
            <v>101.21304317252451</v>
          </cell>
        </row>
        <row r="666">
          <cell r="AU666">
            <v>96.229472441397689</v>
          </cell>
        </row>
        <row r="667">
          <cell r="AU667">
            <v>98.804416600284995</v>
          </cell>
        </row>
        <row r="668">
          <cell r="AU668">
            <v>98.607570442650825</v>
          </cell>
        </row>
        <row r="669">
          <cell r="AU669">
            <v>105.37379988612518</v>
          </cell>
        </row>
        <row r="670">
          <cell r="AU670">
            <v>98.77626010729989</v>
          </cell>
        </row>
        <row r="671">
          <cell r="AU671">
            <v>98.182414856153798</v>
          </cell>
        </row>
        <row r="672">
          <cell r="AU672">
            <v>97.511963448181888</v>
          </cell>
        </row>
        <row r="673">
          <cell r="AU673">
            <v>97.970030213156235</v>
          </cell>
        </row>
        <row r="674">
          <cell r="AU674">
            <v>104.5660106879633</v>
          </cell>
        </row>
        <row r="675">
          <cell r="AU675">
            <v>99.53755069656674</v>
          </cell>
        </row>
        <row r="676">
          <cell r="AU676">
            <v>96.929373997463372</v>
          </cell>
        </row>
        <row r="677">
          <cell r="AU677">
            <v>101.60245432656833</v>
          </cell>
        </row>
        <row r="678">
          <cell r="AU678">
            <v>98.410586861189657</v>
          </cell>
        </row>
        <row r="679">
          <cell r="AU679">
            <v>97.543754381397036</v>
          </cell>
        </row>
        <row r="680">
          <cell r="AU680">
            <v>99.05762276816165</v>
          </cell>
        </row>
        <row r="681">
          <cell r="AU681">
            <v>98.136125359421726</v>
          </cell>
        </row>
        <row r="682">
          <cell r="AU682">
            <v>98.060390142903103</v>
          </cell>
        </row>
        <row r="683">
          <cell r="AU683">
            <v>101.67116843535777</v>
          </cell>
        </row>
        <row r="684">
          <cell r="AU684">
            <v>99.954575891981591</v>
          </cell>
        </row>
        <row r="685">
          <cell r="AU685">
            <v>100.91536339258649</v>
          </cell>
        </row>
        <row r="686">
          <cell r="AU686">
            <v>99.843917256766318</v>
          </cell>
        </row>
        <row r="687">
          <cell r="AU687">
            <v>86.450506030661657</v>
          </cell>
        </row>
        <row r="688">
          <cell r="AU688">
            <v>102.11257164728424</v>
          </cell>
        </row>
        <row r="689">
          <cell r="AU689">
            <v>97.47721612822464</v>
          </cell>
        </row>
        <row r="690">
          <cell r="AU690">
            <v>98.974208524348597</v>
          </cell>
        </row>
        <row r="691">
          <cell r="AU691">
            <v>97.404095796574978</v>
          </cell>
        </row>
        <row r="692">
          <cell r="AU692">
            <v>97.613140533184307</v>
          </cell>
        </row>
        <row r="693">
          <cell r="AU693">
            <v>98.455794941866429</v>
          </cell>
        </row>
        <row r="694">
          <cell r="AU694">
            <v>97.298899458351812</v>
          </cell>
        </row>
        <row r="695">
          <cell r="AU695">
            <v>98.92849846447109</v>
          </cell>
        </row>
        <row r="696">
          <cell r="A696" t="str">
            <v>CA647</v>
          </cell>
          <cell r="P696">
            <v>60</v>
          </cell>
          <cell r="Q696">
            <v>11.497227356746762</v>
          </cell>
          <cell r="T696">
            <v>0.18541666666666667</v>
          </cell>
          <cell r="U696">
            <v>0.31736111111111109</v>
          </cell>
          <cell r="V696">
            <v>61</v>
          </cell>
          <cell r="Z696">
            <v>0.2722222222222222</v>
          </cell>
          <cell r="AF696">
            <v>48.6</v>
          </cell>
          <cell r="AG696">
            <v>11.8</v>
          </cell>
          <cell r="AI696">
            <v>49.2</v>
          </cell>
          <cell r="AU696">
            <v>97.633608454436768</v>
          </cell>
          <cell r="AV696">
            <v>97.722344795969988</v>
          </cell>
          <cell r="AX696" t="str">
            <v>R. Sookram</v>
          </cell>
        </row>
        <row r="697">
          <cell r="A697" t="str">
            <v>CA648</v>
          </cell>
          <cell r="P697">
            <v>58</v>
          </cell>
          <cell r="Q697">
            <v>12.074074074074066</v>
          </cell>
          <cell r="T697">
            <v>0.29583333333333334</v>
          </cell>
          <cell r="U697">
            <v>0.42916666666666664</v>
          </cell>
          <cell r="V697">
            <v>64</v>
          </cell>
          <cell r="Z697">
            <v>0.29374999999999996</v>
          </cell>
          <cell r="AF697">
            <v>48.2</v>
          </cell>
          <cell r="AG697">
            <v>12</v>
          </cell>
          <cell r="AI697">
            <v>49.1</v>
          </cell>
          <cell r="AU697">
            <v>99.296130618355448</v>
          </cell>
          <cell r="AV697">
            <v>99.386371956878179</v>
          </cell>
          <cell r="AX697" t="str">
            <v>R. Sookram</v>
          </cell>
        </row>
        <row r="698">
          <cell r="A698" t="str">
            <v>CA649</v>
          </cell>
          <cell r="P698">
            <v>60</v>
          </cell>
          <cell r="Q698">
            <v>16.537678207739301</v>
          </cell>
          <cell r="T698">
            <v>0.51249999999999996</v>
          </cell>
          <cell r="U698">
            <v>0.6333333333333333</v>
          </cell>
          <cell r="V698">
            <v>46</v>
          </cell>
          <cell r="Z698">
            <v>0.26874999999999999</v>
          </cell>
          <cell r="AF698">
            <v>41.7</v>
          </cell>
          <cell r="AG698">
            <v>11.9</v>
          </cell>
          <cell r="AI698">
            <v>43</v>
          </cell>
          <cell r="AU698">
            <v>98.221285990904661</v>
          </cell>
          <cell r="AV698">
            <v>98.309884597141846</v>
          </cell>
          <cell r="AX698" t="str">
            <v>R. Regis</v>
          </cell>
        </row>
        <row r="699">
          <cell r="A699" t="str">
            <v>CA650</v>
          </cell>
          <cell r="P699">
            <v>60</v>
          </cell>
          <cell r="Q699">
            <v>12.421441774491679</v>
          </cell>
          <cell r="T699">
            <v>0.78402777777777777</v>
          </cell>
          <cell r="U699">
            <v>0.89444444444444449</v>
          </cell>
          <cell r="V699">
            <v>58</v>
          </cell>
          <cell r="Z699">
            <v>0.43263888888888891</v>
          </cell>
          <cell r="AF699">
            <v>48.1</v>
          </cell>
          <cell r="AG699">
            <v>11.7</v>
          </cell>
          <cell r="AI699">
            <v>48.9</v>
          </cell>
          <cell r="AU699">
            <v>96.173272580659344</v>
          </cell>
          <cell r="AV699">
            <v>96.260681665473285</v>
          </cell>
          <cell r="AX699" t="str">
            <v>R. Regis</v>
          </cell>
        </row>
        <row r="700">
          <cell r="A700" t="str">
            <v>CA651</v>
          </cell>
          <cell r="P700">
            <v>60</v>
          </cell>
          <cell r="Q700">
            <v>12.421441774491679</v>
          </cell>
          <cell r="T700">
            <v>0.89444444444444449</v>
          </cell>
          <cell r="U700">
            <v>1.0020833333333334</v>
          </cell>
          <cell r="V700">
            <v>60</v>
          </cell>
          <cell r="Z700">
            <v>0.24166666666666681</v>
          </cell>
          <cell r="AF700">
            <v>48.1</v>
          </cell>
          <cell r="AG700">
            <v>11.7</v>
          </cell>
          <cell r="AI700">
            <v>49</v>
          </cell>
          <cell r="AU700">
            <v>96.130103634337729</v>
          </cell>
          <cell r="AV700">
            <v>96.217485098596541</v>
          </cell>
          <cell r="AX700" t="str">
            <v>R. Regis</v>
          </cell>
        </row>
        <row r="701">
          <cell r="A701" t="str">
            <v>CA652</v>
          </cell>
          <cell r="P701">
            <v>57</v>
          </cell>
          <cell r="Q701">
            <v>8.3548983364140526</v>
          </cell>
          <cell r="T701">
            <v>0.9868055555555556</v>
          </cell>
          <cell r="U701">
            <v>1.1125</v>
          </cell>
          <cell r="V701">
            <v>64</v>
          </cell>
          <cell r="Z701">
            <v>0.26180555555555562</v>
          </cell>
          <cell r="AF701">
            <v>50.3</v>
          </cell>
          <cell r="AG701">
            <v>11.9</v>
          </cell>
          <cell r="AI701">
            <v>51.1</v>
          </cell>
          <cell r="AU701">
            <v>102.43572492564348</v>
          </cell>
          <cell r="AV701">
            <v>102.52881955956596</v>
          </cell>
          <cell r="AX701" t="str">
            <v>R. Regis</v>
          </cell>
        </row>
        <row r="702">
          <cell r="A702" t="str">
            <v>CA653</v>
          </cell>
          <cell r="P702">
            <v>57</v>
          </cell>
          <cell r="Q702">
            <v>12.606284658040664</v>
          </cell>
          <cell r="T702">
            <v>1.0923611111111111</v>
          </cell>
          <cell r="U702">
            <v>1.1958333333333333</v>
          </cell>
          <cell r="V702">
            <v>56</v>
          </cell>
          <cell r="Z702">
            <v>0.25486111111111109</v>
          </cell>
          <cell r="AF702">
            <v>48</v>
          </cell>
          <cell r="AG702">
            <v>11.8</v>
          </cell>
          <cell r="AI702">
            <v>48.6</v>
          </cell>
          <cell r="AU702">
            <v>96.684179403949585</v>
          </cell>
          <cell r="AV702">
            <v>96.772041097268485</v>
          </cell>
          <cell r="AX702" t="str">
            <v>R. Regis</v>
          </cell>
        </row>
        <row r="703">
          <cell r="A703" t="str">
            <v>CA654</v>
          </cell>
          <cell r="P703">
            <v>57</v>
          </cell>
          <cell r="Q703">
            <v>11.497227356746762</v>
          </cell>
          <cell r="T703">
            <v>1.1805555555555556</v>
          </cell>
          <cell r="U703">
            <v>1.2909722222222222</v>
          </cell>
          <cell r="V703">
            <v>60</v>
          </cell>
          <cell r="Z703">
            <v>0.25972222222222219</v>
          </cell>
          <cell r="AF703">
            <v>49</v>
          </cell>
          <cell r="AG703">
            <v>11.8</v>
          </cell>
          <cell r="AI703">
            <v>49.6</v>
          </cell>
          <cell r="AU703">
            <v>98.126698757069292</v>
          </cell>
          <cell r="AV703">
            <v>98.886898116741477</v>
          </cell>
          <cell r="AX703" t="str">
            <v>R. Sookram</v>
          </cell>
        </row>
        <row r="704">
          <cell r="A704" t="str">
            <v>CA655</v>
          </cell>
          <cell r="P704">
            <v>57</v>
          </cell>
          <cell r="Q704">
            <v>9.0942698706099847</v>
          </cell>
          <cell r="T704">
            <v>0.27361111111111114</v>
          </cell>
          <cell r="U704">
            <v>0.38333333333333336</v>
          </cell>
          <cell r="V704">
            <v>63</v>
          </cell>
          <cell r="Z704">
            <v>0.25833333333333336</v>
          </cell>
          <cell r="AF704">
            <v>49.9</v>
          </cell>
          <cell r="AG704">
            <v>11.7</v>
          </cell>
          <cell r="AI704">
            <v>50.7</v>
          </cell>
          <cell r="AU704">
            <v>99.408785613934398</v>
          </cell>
          <cell r="AV704">
            <v>100.17891745497994</v>
          </cell>
          <cell r="AX704" t="str">
            <v>D. Gomaz</v>
          </cell>
        </row>
        <row r="705">
          <cell r="A705" t="str">
            <v>CA656</v>
          </cell>
          <cell r="P705">
            <v>60</v>
          </cell>
          <cell r="Q705">
            <v>12.791127541589651</v>
          </cell>
          <cell r="T705">
            <v>0.35902777777777778</v>
          </cell>
          <cell r="U705">
            <v>0.46944444444444444</v>
          </cell>
          <cell r="V705">
            <v>60</v>
          </cell>
          <cell r="Z705">
            <v>0.25416666666666665</v>
          </cell>
          <cell r="AF705">
            <v>48.7</v>
          </cell>
          <cell r="AG705">
            <v>11.8</v>
          </cell>
          <cell r="AI705">
            <v>48.8</v>
          </cell>
          <cell r="AU705">
            <v>96.544010067439146</v>
          </cell>
          <cell r="AV705">
            <v>97.291948147116628</v>
          </cell>
          <cell r="AX705" t="str">
            <v>D. Gomaz</v>
          </cell>
        </row>
        <row r="706">
          <cell r="A706" t="str">
            <v>CA657</v>
          </cell>
          <cell r="P706">
            <v>59</v>
          </cell>
          <cell r="Q706">
            <v>7.8003696857670963</v>
          </cell>
          <cell r="T706">
            <v>0.4513888888888889</v>
          </cell>
          <cell r="U706">
            <v>0.55833333333333335</v>
          </cell>
          <cell r="V706">
            <v>60</v>
          </cell>
          <cell r="Z706">
            <v>0.25277777777777777</v>
          </cell>
          <cell r="AF706">
            <v>50.6</v>
          </cell>
          <cell r="AG706">
            <v>11.6</v>
          </cell>
          <cell r="AI706">
            <v>51.7</v>
          </cell>
          <cell r="AU706">
            <v>98.726419047556874</v>
          </cell>
          <cell r="AV706">
            <v>99.491971134924498</v>
          </cell>
          <cell r="AX706" t="str">
            <v>D. Gomaz</v>
          </cell>
        </row>
        <row r="707">
          <cell r="A707" t="str">
            <v>CA658</v>
          </cell>
          <cell r="P707">
            <v>61</v>
          </cell>
          <cell r="Q707">
            <v>11.312384473197778</v>
          </cell>
          <cell r="T707">
            <v>0.62638888888888888</v>
          </cell>
          <cell r="U707">
            <v>0.73541666666666672</v>
          </cell>
          <cell r="V707">
            <v>55</v>
          </cell>
          <cell r="Z707">
            <v>0.24236111111111114</v>
          </cell>
          <cell r="AF707">
            <v>48.7</v>
          </cell>
          <cell r="AG707">
            <v>11.9</v>
          </cell>
          <cell r="AI707">
            <v>48.3</v>
          </cell>
          <cell r="AU707">
            <v>95.56863040279265</v>
          </cell>
          <cell r="AV707">
            <v>96.309357080703435</v>
          </cell>
          <cell r="AX707" t="str">
            <v>D. Gomaz</v>
          </cell>
        </row>
        <row r="708">
          <cell r="A708" t="str">
            <v>CA659</v>
          </cell>
          <cell r="P708">
            <v>62</v>
          </cell>
          <cell r="Q708">
            <v>12.975970425138639</v>
          </cell>
          <cell r="T708">
            <v>0.71805555555555556</v>
          </cell>
          <cell r="U708">
            <v>0.82916666666666672</v>
          </cell>
          <cell r="V708">
            <v>60</v>
          </cell>
          <cell r="Z708">
            <v>0.24583333333333335</v>
          </cell>
          <cell r="AF708">
            <v>48.6</v>
          </cell>
          <cell r="AG708">
            <v>11.6</v>
          </cell>
          <cell r="AI708">
            <v>49.7</v>
          </cell>
          <cell r="AU708">
            <v>96.692705408905809</v>
          </cell>
          <cell r="AV708">
            <v>97.441745086400459</v>
          </cell>
          <cell r="AX708" t="str">
            <v>D. Gomaz</v>
          </cell>
        </row>
        <row r="709">
          <cell r="A709" t="str">
            <v>CA660</v>
          </cell>
          <cell r="P709">
            <v>100</v>
          </cell>
          <cell r="Q709">
            <v>9.4639556377079437</v>
          </cell>
          <cell r="T709">
            <v>0.81944444444444442</v>
          </cell>
          <cell r="U709">
            <v>1.0354166666666667</v>
          </cell>
          <cell r="V709">
            <v>58</v>
          </cell>
          <cell r="Z709">
            <v>0.36180555555555549</v>
          </cell>
          <cell r="AF709">
            <v>50.5</v>
          </cell>
          <cell r="AG709">
            <v>12</v>
          </cell>
          <cell r="AI709">
            <v>50.1</v>
          </cell>
          <cell r="AU709">
            <v>101.00946443477108</v>
          </cell>
          <cell r="AV709">
            <v>101.79194431620748</v>
          </cell>
          <cell r="AX709" t="str">
            <v>R. Regis</v>
          </cell>
        </row>
        <row r="710">
          <cell r="A710" t="str">
            <v>CA661</v>
          </cell>
          <cell r="P710">
            <v>57</v>
          </cell>
          <cell r="Q710">
            <v>10.962962962962965</v>
          </cell>
          <cell r="T710">
            <v>1.1256944444444446</v>
          </cell>
          <cell r="U710">
            <v>1.2555555555555555</v>
          </cell>
          <cell r="V710">
            <v>59</v>
          </cell>
          <cell r="Z710">
            <v>0.4916666666666667</v>
          </cell>
          <cell r="AF710">
            <v>48.8</v>
          </cell>
          <cell r="AG710">
            <v>11.5</v>
          </cell>
          <cell r="AI710">
            <v>49.4</v>
          </cell>
          <cell r="AU710">
            <v>95.236770396091657</v>
          </cell>
          <cell r="AV710">
            <v>95.97453152793139</v>
          </cell>
          <cell r="AX710" t="str">
            <v>R. Regis</v>
          </cell>
        </row>
        <row r="711">
          <cell r="A711" t="str">
            <v>CA662</v>
          </cell>
          <cell r="P711">
            <v>59</v>
          </cell>
          <cell r="Q711">
            <v>12.444444444444443</v>
          </cell>
          <cell r="T711">
            <v>1.28125</v>
          </cell>
          <cell r="U711">
            <v>1.3861111111111111</v>
          </cell>
          <cell r="V711">
            <v>60</v>
          </cell>
          <cell r="Z711">
            <v>0.51111111111111107</v>
          </cell>
          <cell r="AF711">
            <v>48</v>
          </cell>
          <cell r="AG711">
            <v>12</v>
          </cell>
          <cell r="AI711">
            <v>48.7</v>
          </cell>
          <cell r="AU711">
            <v>97.941168938335963</v>
          </cell>
          <cell r="AV711">
            <v>98.699981861737058</v>
          </cell>
          <cell r="AX711" t="str">
            <v>R. Regis</v>
          </cell>
        </row>
        <row r="712">
          <cell r="A712" t="str">
            <v>CA663</v>
          </cell>
          <cell r="P712">
            <v>60</v>
          </cell>
          <cell r="Q712">
            <v>9.6487985212569285</v>
          </cell>
          <cell r="T712">
            <v>0.36944444444444446</v>
          </cell>
          <cell r="U712">
            <v>0.48541666666666666</v>
          </cell>
          <cell r="V712">
            <v>63</v>
          </cell>
          <cell r="Z712">
            <v>0.26319444444444445</v>
          </cell>
          <cell r="AF712">
            <v>49.6</v>
          </cell>
          <cell r="AG712">
            <v>11.7</v>
          </cell>
          <cell r="AI712">
            <v>50.3</v>
          </cell>
          <cell r="AU712">
            <v>98.62449539212821</v>
          </cell>
          <cell r="AV712">
            <v>99.388551242317362</v>
          </cell>
          <cell r="AX712" t="str">
            <v>R. Sookram</v>
          </cell>
        </row>
        <row r="713">
          <cell r="A713" t="str">
            <v>CA664</v>
          </cell>
          <cell r="P713">
            <v>61</v>
          </cell>
          <cell r="Q713">
            <v>8.1700554528650677</v>
          </cell>
          <cell r="T713">
            <v>0.46527777777777779</v>
          </cell>
          <cell r="U713">
            <v>0.57361111111111107</v>
          </cell>
          <cell r="V713">
            <v>63</v>
          </cell>
          <cell r="Z713">
            <v>0.26111111111111107</v>
          </cell>
          <cell r="AF713">
            <v>50.4</v>
          </cell>
          <cell r="AG713">
            <v>11.6</v>
          </cell>
          <cell r="AI713">
            <v>51.1</v>
          </cell>
          <cell r="AU713">
            <v>99.291911621355354</v>
          </cell>
          <cell r="AV713">
            <v>100.0611380254969</v>
          </cell>
          <cell r="AX713" t="str">
            <v>D. Gomaz</v>
          </cell>
        </row>
        <row r="714">
          <cell r="A714" t="str">
            <v>CA665</v>
          </cell>
          <cell r="P714">
            <v>62</v>
          </cell>
          <cell r="Q714">
            <v>6.3216266173752338</v>
          </cell>
          <cell r="T714">
            <v>0.55763888888888891</v>
          </cell>
          <cell r="U714">
            <v>0.68263888888888891</v>
          </cell>
          <cell r="V714">
            <v>60</v>
          </cell>
          <cell r="Z714">
            <v>0.27986111111111112</v>
          </cell>
          <cell r="AF714">
            <v>51.4</v>
          </cell>
          <cell r="AG714">
            <v>11.8</v>
          </cell>
          <cell r="AI714">
            <v>51.9</v>
          </cell>
          <cell r="AU714">
            <v>102.67692873975598</v>
          </cell>
          <cell r="AV714">
            <v>103.47237927941298</v>
          </cell>
          <cell r="AX714" t="str">
            <v>D. Gomaz</v>
          </cell>
        </row>
        <row r="715">
          <cell r="A715" t="str">
            <v>CA666</v>
          </cell>
          <cell r="P715">
            <v>61</v>
          </cell>
          <cell r="Q715">
            <v>9.939393939393943</v>
          </cell>
          <cell r="T715">
            <v>0.66527777777777775</v>
          </cell>
          <cell r="U715">
            <v>0.77777777777777779</v>
          </cell>
          <cell r="V715">
            <v>57</v>
          </cell>
          <cell r="Z715">
            <v>0.25694444444444442</v>
          </cell>
          <cell r="AF715">
            <v>45.3</v>
          </cell>
          <cell r="AG715">
            <v>11.7</v>
          </cell>
          <cell r="AI715">
            <v>46.2</v>
          </cell>
          <cell r="AU715">
            <v>102.38450698329868</v>
          </cell>
          <cell r="AV715">
            <v>103.1721541696329</v>
          </cell>
          <cell r="AX715" t="str">
            <v>D. Gomaz</v>
          </cell>
        </row>
        <row r="716">
          <cell r="A716" t="str">
            <v>CA667</v>
          </cell>
          <cell r="P716">
            <v>61</v>
          </cell>
          <cell r="Q716">
            <v>10.018484288354902</v>
          </cell>
          <cell r="T716">
            <v>0.63680555555555551</v>
          </cell>
          <cell r="U716">
            <v>0.75902777777777775</v>
          </cell>
          <cell r="V716">
            <v>60</v>
          </cell>
          <cell r="Z716">
            <v>0.27986111111111106</v>
          </cell>
          <cell r="AF716">
            <v>49.4</v>
          </cell>
          <cell r="AG716">
            <v>11.4</v>
          </cell>
          <cell r="AI716">
            <v>51.6</v>
          </cell>
          <cell r="AU716">
            <v>97.406889141099541</v>
          </cell>
          <cell r="AV716">
            <v>98.958332527536214</v>
          </cell>
          <cell r="AX716" t="str">
            <v>R. Sookram</v>
          </cell>
        </row>
        <row r="717">
          <cell r="A717" t="str">
            <v>CA668</v>
          </cell>
          <cell r="P717">
            <v>60</v>
          </cell>
          <cell r="Q717">
            <v>10.407407407407403</v>
          </cell>
          <cell r="T717">
            <v>0.75069444444444444</v>
          </cell>
          <cell r="U717">
            <v>0.86250000000000004</v>
          </cell>
          <cell r="V717">
            <v>54</v>
          </cell>
          <cell r="Z717">
            <v>0.30000000000000004</v>
          </cell>
          <cell r="AF717">
            <v>49.1</v>
          </cell>
          <cell r="AG717">
            <v>12</v>
          </cell>
          <cell r="AI717">
            <v>49.5</v>
          </cell>
          <cell r="AU717">
            <v>98.502058292495235</v>
          </cell>
          <cell r="AV717">
            <v>100.07104960823823</v>
          </cell>
          <cell r="AX717" t="str">
            <v>R. Sookram</v>
          </cell>
        </row>
        <row r="718">
          <cell r="A718" t="str">
            <v>CA669</v>
          </cell>
          <cell r="P718">
            <v>60</v>
          </cell>
          <cell r="Q718">
            <v>12.074074074074066</v>
          </cell>
          <cell r="T718">
            <v>0.87638888888888888</v>
          </cell>
          <cell r="U718">
            <v>0.99097222222222225</v>
          </cell>
          <cell r="V718">
            <v>57</v>
          </cell>
          <cell r="Z718">
            <v>0.25138888888888888</v>
          </cell>
          <cell r="AF718">
            <v>49</v>
          </cell>
          <cell r="AG718">
            <v>11.7</v>
          </cell>
          <cell r="AI718">
            <v>49.6</v>
          </cell>
          <cell r="AU718">
            <v>98.31722610678014</v>
          </cell>
          <cell r="AV718">
            <v>99.881351871296076</v>
          </cell>
          <cell r="AX718" t="str">
            <v>K. Benjamin</v>
          </cell>
        </row>
        <row r="719">
          <cell r="A719" t="str">
            <v>CA670</v>
          </cell>
          <cell r="P719">
            <v>60</v>
          </cell>
          <cell r="Q719">
            <v>8.9259259259259256</v>
          </cell>
          <cell r="T719">
            <v>0.97499999999999998</v>
          </cell>
          <cell r="U719">
            <v>1.0874999999999999</v>
          </cell>
          <cell r="V719">
            <v>58</v>
          </cell>
          <cell r="Z719">
            <v>0.26111111111111107</v>
          </cell>
          <cell r="AF719">
            <v>50.7</v>
          </cell>
          <cell r="AG719">
            <v>11.7</v>
          </cell>
          <cell r="AI719">
            <v>51.3</v>
          </cell>
          <cell r="AU719">
            <v>101.29884115103513</v>
          </cell>
          <cell r="AV719">
            <v>102.91073758372262</v>
          </cell>
          <cell r="AX719" t="str">
            <v>K. Benjamin</v>
          </cell>
        </row>
        <row r="720">
          <cell r="A720" t="str">
            <v>CA671</v>
          </cell>
          <cell r="P720">
            <v>60</v>
          </cell>
          <cell r="Q720">
            <v>10.757855822550832</v>
          </cell>
          <cell r="T720">
            <v>1.075</v>
          </cell>
          <cell r="U720">
            <v>1.1916666666666667</v>
          </cell>
          <cell r="V720">
            <v>58</v>
          </cell>
          <cell r="Z720">
            <v>0.27847222222222223</v>
          </cell>
          <cell r="AF720">
            <v>49.7</v>
          </cell>
          <cell r="AG720">
            <v>11.8</v>
          </cell>
          <cell r="AI720">
            <v>50.3</v>
          </cell>
          <cell r="AU720">
            <v>100.09020957845156</v>
          </cell>
          <cell r="AV720">
            <v>101.68298409826757</v>
          </cell>
          <cell r="AX720" t="str">
            <v>K. Benjamin</v>
          </cell>
        </row>
        <row r="721">
          <cell r="A721" t="str">
            <v>CA672</v>
          </cell>
          <cell r="P721">
            <v>60</v>
          </cell>
          <cell r="Q721">
            <v>8.7245841035120115</v>
          </cell>
          <cell r="T721">
            <v>1.1784722222222221</v>
          </cell>
          <cell r="U721">
            <v>1.2583333333333333</v>
          </cell>
          <cell r="V721">
            <v>60</v>
          </cell>
          <cell r="Z721">
            <v>0.23055555555555562</v>
          </cell>
          <cell r="AF721">
            <v>50.2</v>
          </cell>
          <cell r="AG721">
            <v>11.7</v>
          </cell>
          <cell r="AI721">
            <v>50.7</v>
          </cell>
          <cell r="AU721">
            <v>99.733387411391178</v>
          </cell>
          <cell r="AV721">
            <v>101.32070242510316</v>
          </cell>
          <cell r="AX721" t="str">
            <v>R. Regis</v>
          </cell>
        </row>
        <row r="722">
          <cell r="A722" t="str">
            <v>CA673</v>
          </cell>
          <cell r="P722">
            <v>58</v>
          </cell>
          <cell r="Q722">
            <v>9.0942698706099847</v>
          </cell>
          <cell r="T722">
            <v>0.43333333333333335</v>
          </cell>
          <cell r="U722">
            <v>0.54722222222222228</v>
          </cell>
          <cell r="V722">
            <v>64</v>
          </cell>
          <cell r="Z722">
            <v>0.27638888888888896</v>
          </cell>
          <cell r="AF722">
            <v>49.9</v>
          </cell>
          <cell r="AG722">
            <v>11.6</v>
          </cell>
          <cell r="AI722">
            <v>50.5</v>
          </cell>
          <cell r="AU722">
            <v>98.19754764179018</v>
          </cell>
          <cell r="AV722">
            <v>99.760633157394977</v>
          </cell>
          <cell r="AX722" t="str">
            <v>R. Regis</v>
          </cell>
        </row>
        <row r="723">
          <cell r="A723" t="str">
            <v>CA674</v>
          </cell>
          <cell r="P723">
            <v>57</v>
          </cell>
          <cell r="Q723">
            <v>9.0942698706099847</v>
          </cell>
          <cell r="T723">
            <v>0.53125</v>
          </cell>
          <cell r="U723">
            <v>0.64375000000000004</v>
          </cell>
          <cell r="V723">
            <v>62</v>
          </cell>
          <cell r="Z723">
            <v>0.28958333333333336</v>
          </cell>
          <cell r="AF723">
            <v>49.9</v>
          </cell>
          <cell r="AG723">
            <v>11.8</v>
          </cell>
          <cell r="AI723">
            <v>51</v>
          </cell>
          <cell r="AU723">
            <v>101.48311507954335</v>
          </cell>
          <cell r="AV723">
            <v>103.09805544754764</v>
          </cell>
          <cell r="AX723" t="str">
            <v>R. Sookram</v>
          </cell>
        </row>
        <row r="724">
          <cell r="A724" t="str">
            <v>CA675</v>
          </cell>
          <cell r="P724">
            <v>57</v>
          </cell>
          <cell r="Q724">
            <v>9.8518518518518512</v>
          </cell>
          <cell r="T724">
            <v>0.72777777777777775</v>
          </cell>
          <cell r="U724">
            <v>0.85277777777777775</v>
          </cell>
          <cell r="V724">
            <v>62</v>
          </cell>
          <cell r="Z724">
            <v>0.28333333333333333</v>
          </cell>
          <cell r="AF724">
            <v>48.8</v>
          </cell>
          <cell r="AG724">
            <v>11.6</v>
          </cell>
          <cell r="AI724">
            <v>50.8</v>
          </cell>
          <cell r="AU724">
            <v>99.282975850914454</v>
          </cell>
          <cell r="AV724">
            <v>100.86290454576744</v>
          </cell>
          <cell r="AX724" t="str">
            <v>R. Sookram</v>
          </cell>
        </row>
        <row r="725">
          <cell r="A725" t="str">
            <v>CA676</v>
          </cell>
          <cell r="P725">
            <v>59</v>
          </cell>
          <cell r="Q725">
            <v>13.18518518518518</v>
          </cell>
          <cell r="T725">
            <v>0.84305555555555556</v>
          </cell>
          <cell r="U725">
            <v>0.95347222222222228</v>
          </cell>
          <cell r="V725">
            <v>60</v>
          </cell>
          <cell r="Z725">
            <v>0.30069444444444449</v>
          </cell>
          <cell r="AF725">
            <v>47.6</v>
          </cell>
          <cell r="AG725">
            <v>11.6</v>
          </cell>
          <cell r="AI725">
            <v>49.8</v>
          </cell>
          <cell r="AU725">
            <v>97.081866203837734</v>
          </cell>
          <cell r="AV725">
            <v>98.626980711468789</v>
          </cell>
          <cell r="AX725" t="str">
            <v>R. Sookram</v>
          </cell>
        </row>
        <row r="726">
          <cell r="A726" t="str">
            <v>CA677</v>
          </cell>
          <cell r="P726">
            <v>59</v>
          </cell>
          <cell r="Q726">
            <v>9.8518518518518512</v>
          </cell>
          <cell r="T726">
            <v>0.9375</v>
          </cell>
          <cell r="U726">
            <v>1.0493055555555555</v>
          </cell>
          <cell r="V726">
            <v>58</v>
          </cell>
          <cell r="Z726">
            <v>0.29236111111111107</v>
          </cell>
          <cell r="AF726">
            <v>49.4</v>
          </cell>
          <cell r="AG726">
            <v>11.8</v>
          </cell>
          <cell r="AI726">
            <v>50</v>
          </cell>
          <cell r="AU726">
            <v>98.865119442395837</v>
          </cell>
          <cell r="AV726">
            <v>100.43893867303237</v>
          </cell>
          <cell r="AX726" t="str">
            <v>R. Sookram</v>
          </cell>
        </row>
        <row r="727">
          <cell r="A727" t="str">
            <v>CA678</v>
          </cell>
          <cell r="P727">
            <v>59</v>
          </cell>
          <cell r="Q727">
            <v>10.388170055452859</v>
          </cell>
          <cell r="T727">
            <v>1.0381944444444444</v>
          </cell>
          <cell r="U727">
            <v>1.148611111111111</v>
          </cell>
          <cell r="V727">
            <v>57</v>
          </cell>
          <cell r="Z727">
            <v>0.26666666666666661</v>
          </cell>
          <cell r="AF727">
            <v>49.2</v>
          </cell>
          <cell r="AG727">
            <v>11.6</v>
          </cell>
          <cell r="AI727">
            <v>49.8</v>
          </cell>
          <cell r="AU727">
            <v>96.958974493352486</v>
          </cell>
          <cell r="AV727">
            <v>98.5022390338234</v>
          </cell>
          <cell r="AX727" t="str">
            <v>R. Sookram</v>
          </cell>
        </row>
        <row r="728">
          <cell r="A728" t="str">
            <v>CA679</v>
          </cell>
          <cell r="P728">
            <v>60</v>
          </cell>
          <cell r="Q728">
            <v>10.573012939001845</v>
          </cell>
          <cell r="T728">
            <v>1.1534722222222222</v>
          </cell>
          <cell r="U728">
            <v>1.2847222222222223</v>
          </cell>
          <cell r="V728">
            <v>60</v>
          </cell>
          <cell r="Z728">
            <v>0.2777777777777779</v>
          </cell>
          <cell r="AF728">
            <v>49.5</v>
          </cell>
          <cell r="AG728">
            <v>11.7</v>
          </cell>
          <cell r="AI728">
            <v>50.1</v>
          </cell>
          <cell r="AU728">
            <v>98.55311063729188</v>
          </cell>
          <cell r="AV728">
            <v>100.12164085794217</v>
          </cell>
          <cell r="AX728" t="str">
            <v>R. Regis</v>
          </cell>
        </row>
        <row r="729">
          <cell r="A729" t="str">
            <v>CA680</v>
          </cell>
          <cell r="P729">
            <v>61</v>
          </cell>
          <cell r="Q729">
            <v>9.6487985212569285</v>
          </cell>
          <cell r="T729">
            <v>0.26041666666666669</v>
          </cell>
          <cell r="U729">
            <v>0.37638888888888888</v>
          </cell>
          <cell r="V729">
            <v>62</v>
          </cell>
          <cell r="Z729">
            <v>0.2722222222222222</v>
          </cell>
          <cell r="AF729">
            <v>49.6</v>
          </cell>
          <cell r="AG729">
            <v>11.7</v>
          </cell>
          <cell r="AI729">
            <v>50.2</v>
          </cell>
          <cell r="AU729">
            <v>99.126741243313148</v>
          </cell>
          <cell r="AV729">
            <v>100.70407459459798</v>
          </cell>
          <cell r="AX729" t="str">
            <v>R. Regis</v>
          </cell>
        </row>
        <row r="730">
          <cell r="A730" t="str">
            <v>CA681</v>
          </cell>
          <cell r="P730">
            <v>60</v>
          </cell>
          <cell r="Q730">
            <v>10.407407407407403</v>
          </cell>
          <cell r="T730">
            <v>0.3659722222222222</v>
          </cell>
          <cell r="U730">
            <v>0.48888888888888887</v>
          </cell>
          <cell r="V730">
            <v>64</v>
          </cell>
          <cell r="Z730">
            <v>0.27361111111111108</v>
          </cell>
          <cell r="AF730">
            <v>49.1</v>
          </cell>
          <cell r="AG730">
            <v>11.3</v>
          </cell>
          <cell r="AI730">
            <v>51.2</v>
          </cell>
          <cell r="AU730">
            <v>97.093447006200122</v>
          </cell>
          <cell r="AV730">
            <v>98.638745829053391</v>
          </cell>
          <cell r="AX730" t="str">
            <v>R. Regis</v>
          </cell>
        </row>
        <row r="731">
          <cell r="A731" t="str">
            <v>CA682</v>
          </cell>
          <cell r="P731">
            <v>60</v>
          </cell>
          <cell r="Q731">
            <v>7.2592592592592622</v>
          </cell>
          <cell r="T731">
            <v>0.47916666666666669</v>
          </cell>
          <cell r="U731">
            <v>0.61458333333333337</v>
          </cell>
          <cell r="V731">
            <v>63</v>
          </cell>
          <cell r="Z731">
            <v>0.29861111111111116</v>
          </cell>
          <cell r="AF731">
            <v>50.8</v>
          </cell>
          <cell r="AG731">
            <v>12.5</v>
          </cell>
          <cell r="AI731">
            <v>51.4</v>
          </cell>
          <cell r="AU731">
            <v>108.52324334564575</v>
          </cell>
          <cell r="AV731">
            <v>110.25033518128058</v>
          </cell>
          <cell r="AX731" t="str">
            <v>K. Benjamin</v>
          </cell>
        </row>
        <row r="732">
          <cell r="A732" t="str">
            <v>CA683</v>
          </cell>
          <cell r="P732">
            <v>61</v>
          </cell>
          <cell r="Q732">
            <v>11.518518518518517</v>
          </cell>
          <cell r="T732">
            <v>0.95694444444444449</v>
          </cell>
          <cell r="U732">
            <v>1.0805555555555555</v>
          </cell>
          <cell r="V732">
            <v>60</v>
          </cell>
          <cell r="Z732">
            <v>0.26111111111111107</v>
          </cell>
          <cell r="AF732">
            <v>48.5</v>
          </cell>
          <cell r="AG732">
            <v>11.6</v>
          </cell>
          <cell r="AI732">
            <v>49.4</v>
          </cell>
          <cell r="AU732">
            <v>96.180187549630773</v>
          </cell>
          <cell r="AV732">
            <v>97.711056390981454</v>
          </cell>
          <cell r="AX732" t="str">
            <v>K. Benjamin</v>
          </cell>
        </row>
        <row r="733">
          <cell r="A733" t="str">
            <v>CA684</v>
          </cell>
          <cell r="P733">
            <v>61</v>
          </cell>
          <cell r="Q733">
            <v>11.127541589648803</v>
          </cell>
          <cell r="T733">
            <v>1.0680555555555555</v>
          </cell>
          <cell r="U733">
            <v>1.1826388888888888</v>
          </cell>
          <cell r="V733">
            <v>57</v>
          </cell>
          <cell r="Z733">
            <v>0.27986111111111101</v>
          </cell>
          <cell r="AF733">
            <v>48.8</v>
          </cell>
          <cell r="AG733">
            <v>11.7</v>
          </cell>
          <cell r="AI733">
            <v>49.3</v>
          </cell>
          <cell r="AU733">
            <v>97.102481872305134</v>
          </cell>
          <cell r="AV733">
            <v>98.647818138448599</v>
          </cell>
          <cell r="AX733" t="str">
            <v>K. Benjamin</v>
          </cell>
        </row>
        <row r="734">
          <cell r="A734" t="str">
            <v>CA685</v>
          </cell>
          <cell r="P734">
            <v>59</v>
          </cell>
          <cell r="Q734">
            <v>10.573012939001845</v>
          </cell>
          <cell r="T734">
            <v>1.1701388888888888</v>
          </cell>
          <cell r="U734">
            <v>1.2875000000000001</v>
          </cell>
          <cell r="V734">
            <v>56</v>
          </cell>
          <cell r="Z734">
            <v>0.27708333333333335</v>
          </cell>
          <cell r="AF734">
            <v>49.1</v>
          </cell>
          <cell r="AG734">
            <v>11.8</v>
          </cell>
          <cell r="AI734">
            <v>49.4</v>
          </cell>
          <cell r="AU734">
            <v>98.17458240291262</v>
          </cell>
          <cell r="AV734">
            <v>99.736980599904328</v>
          </cell>
          <cell r="AX734" t="str">
            <v>R. Regis</v>
          </cell>
        </row>
        <row r="735">
          <cell r="A735" t="str">
            <v>CA686</v>
          </cell>
          <cell r="P735">
            <v>62</v>
          </cell>
          <cell r="Q735">
            <v>8.3548983364140526</v>
          </cell>
          <cell r="T735">
            <v>0.2902777777777778</v>
          </cell>
          <cell r="U735">
            <v>0.43194444444444446</v>
          </cell>
          <cell r="V735">
            <v>63</v>
          </cell>
          <cell r="Z735">
            <v>0.29652777777777783</v>
          </cell>
          <cell r="AF735">
            <v>50.3</v>
          </cell>
          <cell r="AG735">
            <v>11.5</v>
          </cell>
          <cell r="AI735">
            <v>50.7</v>
          </cell>
          <cell r="AU735">
            <v>98.18822759357343</v>
          </cell>
          <cell r="AV735">
            <v>99.7507351326785</v>
          </cell>
          <cell r="AX735" t="str">
            <v>R. Regis</v>
          </cell>
        </row>
        <row r="736">
          <cell r="A736" t="str">
            <v>CA687</v>
          </cell>
          <cell r="P736">
            <v>58</v>
          </cell>
          <cell r="Q736">
            <v>9.0942698706099847</v>
          </cell>
          <cell r="T736">
            <v>0.41805555555555557</v>
          </cell>
          <cell r="U736">
            <v>0.54374999999999996</v>
          </cell>
          <cell r="V736">
            <v>63</v>
          </cell>
          <cell r="Z736">
            <v>0.28333333333333327</v>
          </cell>
          <cell r="AF736">
            <v>49.9</v>
          </cell>
          <cell r="AG736">
            <v>11.8</v>
          </cell>
          <cell r="AI736">
            <v>50.3</v>
          </cell>
          <cell r="AU736">
            <v>99.836488721311795</v>
          </cell>
          <cell r="AV736">
            <v>101.42544465248801</v>
          </cell>
          <cell r="AX736" t="str">
            <v>R. Sookram</v>
          </cell>
        </row>
        <row r="737">
          <cell r="A737" t="str">
            <v>CA688</v>
          </cell>
          <cell r="P737">
            <v>64</v>
          </cell>
          <cell r="Q737">
            <v>11.518518518518517</v>
          </cell>
          <cell r="T737">
            <v>0.52916666666666667</v>
          </cell>
          <cell r="U737">
            <v>0.65</v>
          </cell>
          <cell r="V737">
            <v>58</v>
          </cell>
          <cell r="Z737">
            <v>0.2680555555555556</v>
          </cell>
          <cell r="AF737">
            <v>48.5</v>
          </cell>
          <cell r="AG737">
            <v>11.9</v>
          </cell>
          <cell r="AI737">
            <v>47.7</v>
          </cell>
          <cell r="AU737">
            <v>96.129104901277245</v>
          </cell>
          <cell r="AV737">
            <v>97.658526544714448</v>
          </cell>
          <cell r="AX737" t="str">
            <v>R. Sookram</v>
          </cell>
        </row>
        <row r="738">
          <cell r="A738" t="str">
            <v>CA689</v>
          </cell>
          <cell r="P738">
            <v>58</v>
          </cell>
          <cell r="Q738">
            <v>10.407407407407403</v>
          </cell>
          <cell r="T738">
            <v>0.63680555555555551</v>
          </cell>
          <cell r="U738">
            <v>0.76249999999999996</v>
          </cell>
          <cell r="V738">
            <v>63</v>
          </cell>
          <cell r="Z738">
            <v>0.26249999999999996</v>
          </cell>
          <cell r="AF738">
            <v>49.1</v>
          </cell>
          <cell r="AG738">
            <v>11.6</v>
          </cell>
          <cell r="AI738">
            <v>50.9</v>
          </cell>
          <cell r="AU738">
            <v>96.773121785755123</v>
          </cell>
          <cell r="AV738">
            <v>98.315387286588233</v>
          </cell>
          <cell r="AX738" t="str">
            <v>R. Sookram</v>
          </cell>
        </row>
        <row r="739">
          <cell r="A739" t="str">
            <v>CA690</v>
          </cell>
          <cell r="P739">
            <v>60</v>
          </cell>
          <cell r="Q739">
            <v>7.8148148148148131</v>
          </cell>
          <cell r="T739">
            <v>0.74930555555555556</v>
          </cell>
          <cell r="U739">
            <v>0.87013888888888891</v>
          </cell>
          <cell r="V739">
            <v>58</v>
          </cell>
          <cell r="Z739">
            <v>0.26250000000000007</v>
          </cell>
          <cell r="AF739">
            <v>50.5</v>
          </cell>
          <cell r="AG739">
            <v>11.4</v>
          </cell>
          <cell r="AI739">
            <v>52</v>
          </cell>
          <cell r="AU739">
            <v>100.67902306542751</v>
          </cell>
          <cell r="AV739">
            <v>102.2803858299127</v>
          </cell>
          <cell r="AX739" t="str">
            <v>K. Benjamin</v>
          </cell>
        </row>
        <row r="740">
          <cell r="A740" t="str">
            <v>CA691</v>
          </cell>
          <cell r="P740">
            <v>59</v>
          </cell>
          <cell r="Q740">
            <v>11.497227356746762</v>
          </cell>
          <cell r="T740">
            <v>0.6069444444444444</v>
          </cell>
          <cell r="U740">
            <v>0.72222222222222221</v>
          </cell>
          <cell r="V740">
            <v>59</v>
          </cell>
          <cell r="Z740">
            <v>0.25694444444444442</v>
          </cell>
          <cell r="AF740">
            <v>51.4</v>
          </cell>
          <cell r="AG740">
            <v>11.7</v>
          </cell>
          <cell r="AI740">
            <v>51.8</v>
          </cell>
          <cell r="AU740">
            <v>99.289141660170145</v>
          </cell>
          <cell r="AV740">
            <v>100.46551152774322</v>
          </cell>
          <cell r="AX740" t="str">
            <v>R. Regis</v>
          </cell>
        </row>
        <row r="741">
          <cell r="A741" t="str">
            <v>CA692</v>
          </cell>
          <cell r="P741">
            <v>58</v>
          </cell>
          <cell r="Q741">
            <v>11.497227356746762</v>
          </cell>
          <cell r="T741">
            <v>0.71666666666666667</v>
          </cell>
          <cell r="U741">
            <v>0.82291666666666663</v>
          </cell>
          <cell r="V741">
            <v>58</v>
          </cell>
          <cell r="Z741">
            <v>0.25347222222222221</v>
          </cell>
          <cell r="AF741">
            <v>50.2</v>
          </cell>
          <cell r="AG741">
            <v>11.9</v>
          </cell>
          <cell r="AI741">
            <v>50.7</v>
          </cell>
          <cell r="AU741">
            <v>99.330638505114962</v>
          </cell>
          <cell r="AV741">
            <v>100.10092572379527</v>
          </cell>
          <cell r="AX741" t="str">
            <v>R. Regis</v>
          </cell>
        </row>
        <row r="742">
          <cell r="A742" t="str">
            <v>CA693</v>
          </cell>
          <cell r="P742">
            <v>57</v>
          </cell>
          <cell r="Q742">
            <v>12.421441774491679</v>
          </cell>
          <cell r="T742">
            <v>0.84722222222222221</v>
          </cell>
          <cell r="U742">
            <v>0.95902777777777781</v>
          </cell>
          <cell r="V742">
            <v>56</v>
          </cell>
          <cell r="Z742">
            <v>0.27500000000000002</v>
          </cell>
          <cell r="AF742">
            <v>50.5</v>
          </cell>
          <cell r="AG742">
            <v>12</v>
          </cell>
          <cell r="AI742">
            <v>51</v>
          </cell>
          <cell r="AU742">
            <v>100.92529729319159</v>
          </cell>
          <cell r="AV742">
            <v>101.70790009349962</v>
          </cell>
          <cell r="AX742" t="str">
            <v>R. Regis</v>
          </cell>
        </row>
        <row r="743">
          <cell r="A743" t="str">
            <v>CA694</v>
          </cell>
          <cell r="P743">
            <v>58</v>
          </cell>
          <cell r="Q743">
            <v>9.8336414048059151</v>
          </cell>
          <cell r="T743">
            <v>0.94305555555555554</v>
          </cell>
          <cell r="U743">
            <v>1.0909722222222222</v>
          </cell>
          <cell r="V743">
            <v>53</v>
          </cell>
          <cell r="Z743">
            <v>0.30277777777777781</v>
          </cell>
          <cell r="AF743">
            <v>50.7</v>
          </cell>
          <cell r="AG743">
            <v>12</v>
          </cell>
          <cell r="AI743">
            <v>51.2</v>
          </cell>
          <cell r="AU743">
            <v>101.94859726081698</v>
          </cell>
          <cell r="AV743">
            <v>102.73887731575459</v>
          </cell>
          <cell r="AX743" t="str">
            <v>R. Sookram</v>
          </cell>
        </row>
        <row r="744">
          <cell r="A744" t="str">
            <v>CA695</v>
          </cell>
          <cell r="P744">
            <v>45</v>
          </cell>
          <cell r="Q744">
            <v>9.8518518518518512</v>
          </cell>
          <cell r="T744">
            <v>1.0416666666666667</v>
          </cell>
          <cell r="U744">
            <v>1.1597222222222223</v>
          </cell>
          <cell r="V744">
            <v>53</v>
          </cell>
          <cell r="Z744">
            <v>0.26736111111111116</v>
          </cell>
          <cell r="AF744">
            <v>49.4</v>
          </cell>
          <cell r="AG744">
            <v>11.9</v>
          </cell>
          <cell r="AI744">
            <v>50.3</v>
          </cell>
          <cell r="AU744">
            <v>98.546964828545995</v>
          </cell>
          <cell r="AV744">
            <v>99.311174830510865</v>
          </cell>
          <cell r="AX744" t="str">
            <v>R. Sookram</v>
          </cell>
        </row>
        <row r="745">
          <cell r="A745" t="str">
            <v>CA696</v>
          </cell>
          <cell r="P745">
            <v>61</v>
          </cell>
          <cell r="Q745">
            <v>8</v>
          </cell>
          <cell r="T745">
            <v>1.1520833333333333</v>
          </cell>
          <cell r="U745">
            <v>1.2673611111111112</v>
          </cell>
          <cell r="V745">
            <v>55</v>
          </cell>
          <cell r="Z745">
            <v>0.27083333333333337</v>
          </cell>
          <cell r="AF745">
            <v>52</v>
          </cell>
          <cell r="AG745">
            <v>11.8</v>
          </cell>
          <cell r="AI745">
            <v>52.4</v>
          </cell>
          <cell r="AU745">
            <v>101.75420442737169</v>
          </cell>
          <cell r="AV745">
            <v>102.54328586585805</v>
          </cell>
          <cell r="AX745" t="str">
            <v>K. Benjamin</v>
          </cell>
        </row>
        <row r="746">
          <cell r="A746" t="str">
            <v>CA697</v>
          </cell>
          <cell r="P746">
            <v>59</v>
          </cell>
          <cell r="Q746">
            <v>6.1481481481481488</v>
          </cell>
          <cell r="T746">
            <v>0.25347222222222221</v>
          </cell>
          <cell r="U746">
            <v>0.36805555555555558</v>
          </cell>
          <cell r="V746">
            <v>63</v>
          </cell>
          <cell r="Z746">
            <v>0.2638888888888889</v>
          </cell>
          <cell r="AF746">
            <v>51.4</v>
          </cell>
          <cell r="AG746">
            <v>11.9</v>
          </cell>
          <cell r="AI746">
            <v>51.6</v>
          </cell>
          <cell r="AU746">
            <v>100.59914666956269</v>
          </cell>
          <cell r="AV746">
            <v>101.37947158397257</v>
          </cell>
          <cell r="AX746" t="str">
            <v>K. Benjamin</v>
          </cell>
        </row>
        <row r="747">
          <cell r="A747" t="str">
            <v>CA698</v>
          </cell>
          <cell r="P747">
            <v>60</v>
          </cell>
          <cell r="Q747">
            <v>8.9094269870609999</v>
          </cell>
          <cell r="T747">
            <v>0.35555555555555557</v>
          </cell>
          <cell r="U747">
            <v>0.46319444444444446</v>
          </cell>
          <cell r="V747">
            <v>55</v>
          </cell>
          <cell r="Z747">
            <v>0.27569444444444446</v>
          </cell>
          <cell r="AF747">
            <v>50</v>
          </cell>
          <cell r="AG747">
            <v>11.7</v>
          </cell>
          <cell r="AI747">
            <v>50.5</v>
          </cell>
          <cell r="AU747">
            <v>96.83330789221209</v>
          </cell>
          <cell r="AV747">
            <v>97.584373925744757</v>
          </cell>
          <cell r="AX747" t="str">
            <v>K. Benjamin</v>
          </cell>
        </row>
        <row r="748">
          <cell r="A748" t="str">
            <v>CA699</v>
          </cell>
          <cell r="P748">
            <v>61</v>
          </cell>
          <cell r="Q748">
            <v>12.975970425138639</v>
          </cell>
          <cell r="T748">
            <v>0.63680555555555551</v>
          </cell>
          <cell r="U748">
            <v>0.74583333333333335</v>
          </cell>
          <cell r="V748">
            <v>61</v>
          </cell>
          <cell r="Z748">
            <v>0.25277777777777777</v>
          </cell>
          <cell r="AF748">
            <v>49</v>
          </cell>
          <cell r="AG748">
            <v>11.8</v>
          </cell>
          <cell r="AI748">
            <v>49.7</v>
          </cell>
          <cell r="AU748">
            <v>96.27440025962683</v>
          </cell>
          <cell r="AV748">
            <v>97.021083292762469</v>
          </cell>
          <cell r="AX748" t="str">
            <v>R. Regis</v>
          </cell>
        </row>
        <row r="749">
          <cell r="A749" t="str">
            <v>CA700</v>
          </cell>
          <cell r="P749">
            <v>59</v>
          </cell>
          <cell r="Q749">
            <v>13.715341959334568</v>
          </cell>
          <cell r="T749">
            <v>0.73472222222222228</v>
          </cell>
          <cell r="U749">
            <v>0.84444444444444444</v>
          </cell>
          <cell r="V749">
            <v>59</v>
          </cell>
          <cell r="Z749">
            <v>0.24722222222222223</v>
          </cell>
          <cell r="AF749">
            <v>49.4</v>
          </cell>
          <cell r="AG749">
            <v>11.9</v>
          </cell>
          <cell r="AI749">
            <v>50</v>
          </cell>
          <cell r="AU749">
            <v>98.200690439983745</v>
          </cell>
          <cell r="AV749">
            <v>98.962116481498398</v>
          </cell>
          <cell r="AX749" t="str">
            <v>R. Regis</v>
          </cell>
        </row>
        <row r="750">
          <cell r="A750" t="str">
            <v>CA701</v>
          </cell>
          <cell r="P750">
            <v>61</v>
          </cell>
          <cell r="Q750">
            <v>14.085027726432529</v>
          </cell>
          <cell r="T750">
            <v>0.83333333333333337</v>
          </cell>
          <cell r="U750">
            <v>0.94027777777777777</v>
          </cell>
          <cell r="V750">
            <v>57</v>
          </cell>
          <cell r="Z750">
            <v>0.25277777777777777</v>
          </cell>
          <cell r="AF750">
            <v>48.4</v>
          </cell>
          <cell r="AG750">
            <v>11.8</v>
          </cell>
          <cell r="AI750">
            <v>49.1</v>
          </cell>
          <cell r="AU750">
            <v>95.935798235039968</v>
          </cell>
          <cell r="AV750">
            <v>96.679517313882144</v>
          </cell>
          <cell r="AX750" t="str">
            <v>D. Gomaz</v>
          </cell>
        </row>
        <row r="751">
          <cell r="A751" t="str">
            <v>CA702</v>
          </cell>
          <cell r="P751">
            <v>59</v>
          </cell>
          <cell r="Q751">
            <v>12.421441774491679</v>
          </cell>
          <cell r="T751">
            <v>0.93263888888888891</v>
          </cell>
          <cell r="U751">
            <v>1.0416666666666667</v>
          </cell>
          <cell r="V751">
            <v>54</v>
          </cell>
          <cell r="Z751">
            <v>0.25000000000000011</v>
          </cell>
          <cell r="AF751">
            <v>50.9</v>
          </cell>
          <cell r="AG751">
            <v>12.2</v>
          </cell>
          <cell r="AI751">
            <v>51.5</v>
          </cell>
          <cell r="AU751">
            <v>103.95583994710779</v>
          </cell>
          <cell r="AV751">
            <v>104.7618376976899</v>
          </cell>
          <cell r="AX751" t="str">
            <v>D. Gomaz</v>
          </cell>
        </row>
        <row r="752">
          <cell r="A752" t="str">
            <v>CA703</v>
          </cell>
          <cell r="P752">
            <v>59</v>
          </cell>
          <cell r="Q752">
            <v>13.92592592592592</v>
          </cell>
          <cell r="T752">
            <v>1.1076388888888888</v>
          </cell>
          <cell r="U752">
            <v>1.2138888888888888</v>
          </cell>
          <cell r="V752">
            <v>50</v>
          </cell>
          <cell r="Z752">
            <v>0.24861111111111101</v>
          </cell>
          <cell r="AF752">
            <v>47.2</v>
          </cell>
          <cell r="AG752">
            <v>11.9</v>
          </cell>
          <cell r="AI752">
            <v>47.6</v>
          </cell>
          <cell r="AU752">
            <v>93.602427745802785</v>
          </cell>
          <cell r="AV752">
            <v>94.32815269064983</v>
          </cell>
          <cell r="AX752" t="str">
            <v>K. Benjamin</v>
          </cell>
        </row>
        <row r="753">
          <cell r="A753" t="str">
            <v>CA704</v>
          </cell>
          <cell r="P753">
            <v>61</v>
          </cell>
          <cell r="Q753">
            <v>10.03703703703704</v>
          </cell>
          <cell r="T753">
            <v>0.20416666666666666</v>
          </cell>
          <cell r="U753">
            <v>0.30694444444444446</v>
          </cell>
          <cell r="V753">
            <v>53</v>
          </cell>
          <cell r="Z753">
            <v>0.24444444444444446</v>
          </cell>
          <cell r="AF753">
            <v>49.3</v>
          </cell>
          <cell r="AG753">
            <v>11.7</v>
          </cell>
          <cell r="AI753">
            <v>48.9</v>
          </cell>
          <cell r="AU753">
            <v>94.459604984803278</v>
          </cell>
          <cell r="AV753">
            <v>95.191975856678908</v>
          </cell>
          <cell r="AX753" t="str">
            <v>K. Benjamin</v>
          </cell>
        </row>
        <row r="754">
          <cell r="A754" t="str">
            <v>CA705</v>
          </cell>
          <cell r="P754">
            <v>60</v>
          </cell>
          <cell r="Q754">
            <v>11.497227356746762</v>
          </cell>
          <cell r="T754">
            <v>0.30138888888888887</v>
          </cell>
          <cell r="U754">
            <v>0.41180555555555554</v>
          </cell>
          <cell r="V754">
            <v>55</v>
          </cell>
          <cell r="Z754">
            <v>0.25208333333333333</v>
          </cell>
          <cell r="AF754">
            <v>49.8</v>
          </cell>
          <cell r="AG754">
            <v>11.9</v>
          </cell>
          <cell r="AI754">
            <v>50.3</v>
          </cell>
          <cell r="AU754">
            <v>99.279364994320531</v>
          </cell>
          <cell r="AV754">
            <v>100.04895382761427</v>
          </cell>
          <cell r="AX754" t="str">
            <v>K. Benjamin</v>
          </cell>
        </row>
        <row r="755">
          <cell r="A755" t="str">
            <v>CA706</v>
          </cell>
          <cell r="P755">
            <v>60</v>
          </cell>
          <cell r="Q755">
            <v>10.573012939001845</v>
          </cell>
          <cell r="T755">
            <v>0.40138888888888891</v>
          </cell>
          <cell r="U755">
            <v>0.5131944444444444</v>
          </cell>
          <cell r="V755">
            <v>58</v>
          </cell>
          <cell r="Z755">
            <v>0.25624999999999998</v>
          </cell>
          <cell r="AF755">
            <v>49.1</v>
          </cell>
          <cell r="AG755">
            <v>12</v>
          </cell>
          <cell r="AI755">
            <v>49.4</v>
          </cell>
          <cell r="AU755">
            <v>98.854256189992114</v>
          </cell>
          <cell r="AV755">
            <v>99.620347546540984</v>
          </cell>
          <cell r="AX755" t="str">
            <v>K. Benjamin</v>
          </cell>
        </row>
        <row r="756">
          <cell r="A756" t="str">
            <v>CA707</v>
          </cell>
          <cell r="P756">
            <v>60</v>
          </cell>
          <cell r="Q756">
            <v>9.2791127541589713</v>
          </cell>
          <cell r="T756">
            <v>0.49652777777777779</v>
          </cell>
          <cell r="U756">
            <v>0.60972222222222228</v>
          </cell>
          <cell r="V756">
            <v>58</v>
          </cell>
          <cell r="Z756">
            <v>0.25555555555555559</v>
          </cell>
          <cell r="AF756">
            <v>50.6</v>
          </cell>
          <cell r="AG756">
            <v>11.9</v>
          </cell>
          <cell r="AI756">
            <v>51.2</v>
          </cell>
          <cell r="AU756">
            <v>98.732110806844759</v>
          </cell>
          <cell r="AV756">
            <v>99.498389756920488</v>
          </cell>
          <cell r="AX756" t="str">
            <v>R. Regis</v>
          </cell>
        </row>
        <row r="757">
          <cell r="A757" t="str">
            <v>CA708</v>
          </cell>
          <cell r="P757">
            <v>60</v>
          </cell>
          <cell r="Q757">
            <v>9.4639556377079437</v>
          </cell>
          <cell r="T757">
            <v>0.59861111111111109</v>
          </cell>
          <cell r="U757">
            <v>0.70763888888888893</v>
          </cell>
          <cell r="V757">
            <v>58</v>
          </cell>
          <cell r="Z757">
            <v>0.25972222222222224</v>
          </cell>
          <cell r="AF757">
            <v>50.1</v>
          </cell>
          <cell r="AG757">
            <v>12</v>
          </cell>
          <cell r="AI757">
            <v>50.7</v>
          </cell>
          <cell r="AU757">
            <v>100.95300549069179</v>
          </cell>
          <cell r="AV757">
            <v>101.73556796696792</v>
          </cell>
          <cell r="AX757" t="str">
            <v>R. Regis</v>
          </cell>
        </row>
        <row r="758">
          <cell r="A758" t="str">
            <v>CA709</v>
          </cell>
          <cell r="P758">
            <v>63</v>
          </cell>
          <cell r="Q758">
            <v>9.8336414048059151</v>
          </cell>
          <cell r="T758">
            <v>0.70138888888888884</v>
          </cell>
          <cell r="U758">
            <v>0.81111111111111112</v>
          </cell>
          <cell r="V758">
            <v>59</v>
          </cell>
          <cell r="Z758">
            <v>0.26249999999999996</v>
          </cell>
          <cell r="AF758">
            <v>49.5</v>
          </cell>
          <cell r="AG758">
            <v>11.9</v>
          </cell>
          <cell r="AI758">
            <v>49.9</v>
          </cell>
          <cell r="AU758">
            <v>98.368022017893821</v>
          </cell>
          <cell r="AV758">
            <v>99.130596323508485</v>
          </cell>
          <cell r="AX758" t="str">
            <v>R. Regis</v>
          </cell>
        </row>
        <row r="759">
          <cell r="A759" t="str">
            <v>CA710</v>
          </cell>
          <cell r="P759">
            <v>60</v>
          </cell>
          <cell r="Q759">
            <v>9.4639556377079437</v>
          </cell>
          <cell r="T759">
            <v>0.79513888888888884</v>
          </cell>
          <cell r="U759">
            <v>0.91527777777777775</v>
          </cell>
          <cell r="V759">
            <v>57</v>
          </cell>
          <cell r="Z759">
            <v>0.26249999999999996</v>
          </cell>
          <cell r="AF759">
            <v>50.1</v>
          </cell>
          <cell r="AG759">
            <v>12</v>
          </cell>
          <cell r="AI759">
            <v>51.1</v>
          </cell>
          <cell r="AU759">
            <v>101.37277811430624</v>
          </cell>
          <cell r="AV759">
            <v>102.15874868769549</v>
          </cell>
          <cell r="AX759" t="str">
            <v>D. Gomaz</v>
          </cell>
        </row>
        <row r="760">
          <cell r="A760" t="str">
            <v>CA711</v>
          </cell>
          <cell r="P760">
            <v>60</v>
          </cell>
          <cell r="Q760">
            <v>13.92592592592592</v>
          </cell>
          <cell r="T760">
            <v>0.97777777777777775</v>
          </cell>
          <cell r="U760">
            <v>1.0888888888888888</v>
          </cell>
          <cell r="V760">
            <v>54</v>
          </cell>
          <cell r="Z760">
            <v>0.25208333333333321</v>
          </cell>
          <cell r="AF760">
            <v>49.2</v>
          </cell>
          <cell r="AG760">
            <v>11.7</v>
          </cell>
          <cell r="AI760">
            <v>49.4</v>
          </cell>
          <cell r="AU760">
            <v>95.073465016717392</v>
          </cell>
          <cell r="AV760">
            <v>95.810738792867085</v>
          </cell>
          <cell r="AX760" t="str">
            <v>D. Gomaz</v>
          </cell>
        </row>
        <row r="761">
          <cell r="A761" t="str">
            <v>CA712</v>
          </cell>
          <cell r="P761">
            <v>60</v>
          </cell>
          <cell r="Q761">
            <v>14.111111111111107</v>
          </cell>
          <cell r="T761">
            <v>1.0902777777777777</v>
          </cell>
          <cell r="U761">
            <v>1.1965277777777779</v>
          </cell>
          <cell r="V761">
            <v>51</v>
          </cell>
          <cell r="Z761">
            <v>0.25555555555555565</v>
          </cell>
          <cell r="AF761">
            <v>47.9</v>
          </cell>
          <cell r="AG761">
            <v>11.9</v>
          </cell>
          <cell r="AI761">
            <v>48.5</v>
          </cell>
          <cell r="AU761">
            <v>95.845344590065395</v>
          </cell>
          <cell r="AV761">
            <v>96.588264940667742</v>
          </cell>
          <cell r="AX761" t="str">
            <v>D. Gomaz</v>
          </cell>
        </row>
        <row r="762">
          <cell r="A762" t="str">
            <v>CA713</v>
          </cell>
          <cell r="P762">
            <v>61</v>
          </cell>
          <cell r="Q762">
            <v>11.518518518518517</v>
          </cell>
          <cell r="T762">
            <v>0.18541666666666667</v>
          </cell>
          <cell r="U762">
            <v>0.29583333333333334</v>
          </cell>
          <cell r="V762">
            <v>55</v>
          </cell>
          <cell r="Z762">
            <v>0.25416666666666665</v>
          </cell>
          <cell r="AF762">
            <v>49.3</v>
          </cell>
          <cell r="AG762">
            <v>11.9</v>
          </cell>
          <cell r="AI762">
            <v>49.9</v>
          </cell>
          <cell r="AU762">
            <v>98.85722005187705</v>
          </cell>
          <cell r="AV762">
            <v>99.623385102289589</v>
          </cell>
          <cell r="AX762" t="str">
            <v>K. Benjamin</v>
          </cell>
        </row>
        <row r="763">
          <cell r="A763" t="str">
            <v>CA714</v>
          </cell>
          <cell r="P763">
            <v>62</v>
          </cell>
          <cell r="Q763">
            <v>8.5931558935361281</v>
          </cell>
          <cell r="T763">
            <v>0.28055555555555556</v>
          </cell>
          <cell r="U763">
            <v>0.39097222222222222</v>
          </cell>
          <cell r="V763">
            <v>56</v>
          </cell>
          <cell r="Z763">
            <v>0.24861111111111112</v>
          </cell>
          <cell r="AF763">
            <v>50</v>
          </cell>
          <cell r="AG763">
            <v>11.8</v>
          </cell>
          <cell r="AI763">
            <v>50.7</v>
          </cell>
          <cell r="AU763">
            <v>97.25721435799521</v>
          </cell>
          <cell r="AV763">
            <v>98.01190416376528</v>
          </cell>
          <cell r="AX763" t="str">
            <v>K. Benjamin</v>
          </cell>
        </row>
        <row r="764">
          <cell r="A764" t="str">
            <v>CA715</v>
          </cell>
          <cell r="P764">
            <v>60</v>
          </cell>
          <cell r="Q764">
            <v>12.05175600739372</v>
          </cell>
          <cell r="T764">
            <v>0.76111111111111107</v>
          </cell>
          <cell r="U764">
            <v>0.8833333333333333</v>
          </cell>
          <cell r="V764">
            <v>60</v>
          </cell>
          <cell r="Z764">
            <v>0.2583333333333333</v>
          </cell>
          <cell r="AF764">
            <v>49.1</v>
          </cell>
          <cell r="AG764">
            <v>11.8</v>
          </cell>
          <cell r="AI764">
            <v>49.4</v>
          </cell>
          <cell r="AU764">
            <v>96.785999739603284</v>
          </cell>
          <cell r="AV764">
            <v>97.875405153209854</v>
          </cell>
          <cell r="AX764" t="str">
            <v>K. Benjamin</v>
          </cell>
        </row>
        <row r="765">
          <cell r="A765" t="str">
            <v>CA716</v>
          </cell>
          <cell r="P765">
            <v>61</v>
          </cell>
          <cell r="Q765">
            <v>11.312384473197778</v>
          </cell>
          <cell r="T765">
            <v>0.94374999999999998</v>
          </cell>
          <cell r="U765">
            <v>1.0506944444444444</v>
          </cell>
          <cell r="V765">
            <v>59</v>
          </cell>
          <cell r="Z765">
            <v>0.2451388888888888</v>
          </cell>
          <cell r="AF765">
            <v>49.5</v>
          </cell>
          <cell r="AG765">
            <v>12</v>
          </cell>
          <cell r="AI765">
            <v>50.2</v>
          </cell>
          <cell r="AU765">
            <v>99.364558642314563</v>
          </cell>
          <cell r="AV765">
            <v>100.48342940736923</v>
          </cell>
          <cell r="AX765" t="str">
            <v>R. Regis</v>
          </cell>
        </row>
        <row r="766">
          <cell r="A766" t="str">
            <v>CA717</v>
          </cell>
          <cell r="P766">
            <v>60</v>
          </cell>
          <cell r="Q766">
            <v>10.573012939001845</v>
          </cell>
          <cell r="T766">
            <v>0.85763888888888884</v>
          </cell>
          <cell r="U766">
            <v>0.96875</v>
          </cell>
          <cell r="V766">
            <v>59</v>
          </cell>
          <cell r="Z766">
            <v>0.25347222222222221</v>
          </cell>
          <cell r="AF766">
            <v>49.5</v>
          </cell>
          <cell r="AG766">
            <v>11.9</v>
          </cell>
          <cell r="AI766">
            <v>49.9</v>
          </cell>
          <cell r="AU766">
            <v>98.321101532359165</v>
          </cell>
          <cell r="AV766">
            <v>98.886025614777864</v>
          </cell>
          <cell r="AX766" t="str">
            <v>R. Regis</v>
          </cell>
        </row>
        <row r="767">
          <cell r="A767" t="str">
            <v>CA718</v>
          </cell>
          <cell r="P767">
            <v>60</v>
          </cell>
          <cell r="Q767">
            <v>10.757855822550832</v>
          </cell>
          <cell r="T767">
            <v>1.0284722222222222</v>
          </cell>
          <cell r="U767">
            <v>1.1402777777777777</v>
          </cell>
          <cell r="V767">
            <v>59</v>
          </cell>
          <cell r="Z767">
            <v>0.24444444444444435</v>
          </cell>
          <cell r="AF767">
            <v>50.6</v>
          </cell>
          <cell r="AG767">
            <v>11.9</v>
          </cell>
          <cell r="AI767">
            <v>50.2</v>
          </cell>
          <cell r="AU767">
            <v>98.372755741557143</v>
          </cell>
          <cell r="AV767">
            <v>99.480530778794559</v>
          </cell>
          <cell r="AX767" t="str">
            <v>R. Regis</v>
          </cell>
        </row>
        <row r="768">
          <cell r="A768" t="str">
            <v>CA719</v>
          </cell>
          <cell r="P768">
            <v>57</v>
          </cell>
          <cell r="Q768">
            <v>12.606284658040664</v>
          </cell>
          <cell r="T768">
            <v>1.1569444444444446</v>
          </cell>
          <cell r="U768">
            <v>1.2625</v>
          </cell>
          <cell r="V768">
            <v>55</v>
          </cell>
          <cell r="Z768">
            <v>0.2763888888888888</v>
          </cell>
          <cell r="AF768">
            <v>50.8</v>
          </cell>
          <cell r="AG768">
            <v>11.9</v>
          </cell>
          <cell r="AI768">
            <v>51.2</v>
          </cell>
          <cell r="AU768">
            <v>99.594791192420629</v>
          </cell>
          <cell r="AV768">
            <v>100.71676257090054</v>
          </cell>
          <cell r="AX768" t="str">
            <v>R. Sookram</v>
          </cell>
        </row>
        <row r="769">
          <cell r="A769" t="str">
            <v>CA720</v>
          </cell>
          <cell r="P769">
            <v>57</v>
          </cell>
          <cell r="Q769">
            <v>9.8336414048059151</v>
          </cell>
          <cell r="T769">
            <v>0.24861111111111112</v>
          </cell>
          <cell r="U769">
            <v>0.35486111111111113</v>
          </cell>
          <cell r="V769">
            <v>56</v>
          </cell>
          <cell r="Z769">
            <v>0.27152777777777781</v>
          </cell>
          <cell r="AF769">
            <v>49.5</v>
          </cell>
          <cell r="AG769">
            <v>11.9</v>
          </cell>
          <cell r="AI769">
            <v>50</v>
          </cell>
          <cell r="AU769">
            <v>98.344995127617665</v>
          </cell>
          <cell r="AV769">
            <v>99.452240385302474</v>
          </cell>
          <cell r="AX769" t="str">
            <v>R. Sookram</v>
          </cell>
        </row>
        <row r="770">
          <cell r="A770" t="str">
            <v>CA721</v>
          </cell>
          <cell r="P770">
            <v>61</v>
          </cell>
          <cell r="Q770">
            <v>9.6666666666666643</v>
          </cell>
          <cell r="T770">
            <v>0.33958333333333335</v>
          </cell>
          <cell r="U770">
            <v>0.45694444444444443</v>
          </cell>
          <cell r="V770">
            <v>68</v>
          </cell>
          <cell r="Z770">
            <v>0.25902777777777775</v>
          </cell>
          <cell r="AF770">
            <v>49.9</v>
          </cell>
          <cell r="AG770">
            <v>11.9</v>
          </cell>
          <cell r="AI770">
            <v>50.5</v>
          </cell>
          <cell r="AU770">
            <v>99.451654839471487</v>
          </cell>
          <cell r="AV770">
            <v>100.57128617533446</v>
          </cell>
          <cell r="AX770" t="str">
            <v>R. Sookram</v>
          </cell>
        </row>
        <row r="771">
          <cell r="A771" t="str">
            <v>CA722</v>
          </cell>
          <cell r="P771">
            <v>60</v>
          </cell>
          <cell r="Q771">
            <v>9.4814814814814774</v>
          </cell>
          <cell r="T771">
            <v>0.43055555555555558</v>
          </cell>
          <cell r="U771">
            <v>0.54097222222222219</v>
          </cell>
          <cell r="V771">
            <v>59</v>
          </cell>
          <cell r="Z771">
            <v>0.2493055555555555</v>
          </cell>
          <cell r="AF771">
            <v>50.4</v>
          </cell>
          <cell r="AG771">
            <v>11.9</v>
          </cell>
          <cell r="AI771">
            <v>51</v>
          </cell>
          <cell r="AU771">
            <v>100.31189503016999</v>
          </cell>
          <cell r="AV771">
            <v>101.4412851930085</v>
          </cell>
          <cell r="AX771" t="str">
            <v>R. Sookram</v>
          </cell>
        </row>
        <row r="772">
          <cell r="A772" t="str">
            <v>CA723</v>
          </cell>
          <cell r="P772">
            <v>59</v>
          </cell>
          <cell r="Q772">
            <v>12.975970425138639</v>
          </cell>
          <cell r="T772">
            <v>0.68611111111111112</v>
          </cell>
          <cell r="U772">
            <v>0.8</v>
          </cell>
          <cell r="V772">
            <v>59</v>
          </cell>
          <cell r="Z772">
            <v>0.25138888888888888</v>
          </cell>
          <cell r="AF772">
            <v>48.6</v>
          </cell>
          <cell r="AG772">
            <v>11.9</v>
          </cell>
          <cell r="AI772">
            <v>48.7</v>
          </cell>
          <cell r="AU772">
            <v>96.86810648616374</v>
          </cell>
          <cell r="AV772">
            <v>97.958072410159915</v>
          </cell>
          <cell r="AX772" t="str">
            <v>K. Benjamin</v>
          </cell>
        </row>
        <row r="773">
          <cell r="A773" t="str">
            <v>CA724</v>
          </cell>
          <cell r="P773">
            <v>61</v>
          </cell>
          <cell r="Q773">
            <v>11.682070240295749</v>
          </cell>
          <cell r="T773">
            <v>0.77638888888888891</v>
          </cell>
          <cell r="U773">
            <v>0.88958333333333328</v>
          </cell>
          <cell r="V773">
            <v>60</v>
          </cell>
          <cell r="Z773">
            <v>0.25069444444444444</v>
          </cell>
          <cell r="AF773">
            <v>50.9</v>
          </cell>
          <cell r="AG773">
            <v>12</v>
          </cell>
          <cell r="AI773">
            <v>51.5</v>
          </cell>
          <cell r="AU773">
            <v>99.961185685422222</v>
          </cell>
          <cell r="AV773">
            <v>101.08792764347305</v>
          </cell>
          <cell r="AX773" t="str">
            <v>R. Regis</v>
          </cell>
        </row>
        <row r="774">
          <cell r="A774" t="str">
            <v>CA725</v>
          </cell>
          <cell r="P774">
            <v>60</v>
          </cell>
          <cell r="Q774">
            <v>10.757855822550832</v>
          </cell>
          <cell r="T774">
            <v>0.86388888888888893</v>
          </cell>
          <cell r="U774">
            <v>0.97430555555555554</v>
          </cell>
          <cell r="V774">
            <v>56</v>
          </cell>
          <cell r="Z774">
            <v>0.24513888888888891</v>
          </cell>
          <cell r="AF774">
            <v>50.6</v>
          </cell>
          <cell r="AG774">
            <v>11.8</v>
          </cell>
          <cell r="AI774">
            <v>51.2</v>
          </cell>
          <cell r="AU774">
            <v>99.939323457500208</v>
          </cell>
          <cell r="AV774">
            <v>101.06444498924922</v>
          </cell>
          <cell r="AX774" t="str">
            <v>R. Regis</v>
          </cell>
        </row>
        <row r="775">
          <cell r="A775" t="str">
            <v>CA726</v>
          </cell>
          <cell r="P775">
            <v>62</v>
          </cell>
          <cell r="Q775">
            <v>11.127541589648803</v>
          </cell>
          <cell r="T775">
            <v>0.95208333333333328</v>
          </cell>
          <cell r="U775">
            <v>1.0590277777777777</v>
          </cell>
          <cell r="V775">
            <v>55</v>
          </cell>
          <cell r="Z775">
            <v>0.23958333333333326</v>
          </cell>
          <cell r="AF775">
            <v>49.6</v>
          </cell>
          <cell r="AG775">
            <v>11.9</v>
          </cell>
          <cell r="AI775">
            <v>50.9</v>
          </cell>
          <cell r="AU775">
            <v>99.86775451447069</v>
          </cell>
          <cell r="AV775">
            <v>100.99229139587653</v>
          </cell>
          <cell r="AX775" t="str">
            <v>R. Regis</v>
          </cell>
        </row>
        <row r="776">
          <cell r="A776" t="str">
            <v>CA727</v>
          </cell>
          <cell r="P776">
            <v>58</v>
          </cell>
          <cell r="Q776">
            <v>11.497227356746762</v>
          </cell>
          <cell r="T776">
            <v>1.0458333333333334</v>
          </cell>
          <cell r="U776">
            <v>1.16875</v>
          </cell>
          <cell r="V776">
            <v>58</v>
          </cell>
          <cell r="Z776">
            <v>0.25902777777777775</v>
          </cell>
          <cell r="AF776">
            <v>50.2</v>
          </cell>
          <cell r="AG776">
            <v>11.8</v>
          </cell>
          <cell r="AI776">
            <v>50.8</v>
          </cell>
          <cell r="AU776">
            <v>98.790918499925468</v>
          </cell>
          <cell r="AV776">
            <v>99.903329927830626</v>
          </cell>
          <cell r="AX776" t="str">
            <v>R. Regis</v>
          </cell>
        </row>
        <row r="777">
          <cell r="A777" t="str">
            <v>CA728</v>
          </cell>
          <cell r="P777">
            <v>60</v>
          </cell>
          <cell r="Q777">
            <v>10.203327171903888</v>
          </cell>
          <cell r="T777">
            <v>1.148611111111111</v>
          </cell>
          <cell r="U777">
            <v>1.257638888888889</v>
          </cell>
          <cell r="V777">
            <v>58</v>
          </cell>
          <cell r="Z777">
            <v>0.25763888888888897</v>
          </cell>
          <cell r="AF777">
            <v>50.5</v>
          </cell>
          <cell r="AG777">
            <v>11.8</v>
          </cell>
          <cell r="AI777">
            <v>51.1</v>
          </cell>
          <cell r="AU777">
            <v>99.497291062726106</v>
          </cell>
          <cell r="AV777">
            <v>100.61758319224801</v>
          </cell>
          <cell r="AX777" t="str">
            <v>R. Sookram</v>
          </cell>
        </row>
        <row r="778">
          <cell r="A778" t="str">
            <v>CA729</v>
          </cell>
          <cell r="P778">
            <v>58</v>
          </cell>
          <cell r="Q778">
            <v>10.942698706099819</v>
          </cell>
          <cell r="T778">
            <v>0.26805555555555555</v>
          </cell>
          <cell r="U778">
            <v>0.37986111111111109</v>
          </cell>
          <cell r="V778">
            <v>58</v>
          </cell>
          <cell r="Z778">
            <v>0.28263888888888888</v>
          </cell>
          <cell r="AF778">
            <v>49.7</v>
          </cell>
          <cell r="AG778">
            <v>11.9</v>
          </cell>
          <cell r="AI778">
            <v>50.3</v>
          </cell>
          <cell r="AU778">
            <v>99.057786899513189</v>
          </cell>
          <cell r="AV778">
            <v>100.17298405186779</v>
          </cell>
          <cell r="AX778" t="str">
            <v>K. Benjamin</v>
          </cell>
        </row>
        <row r="779">
          <cell r="A779" t="str">
            <v>CA730</v>
          </cell>
          <cell r="P779">
            <v>62</v>
          </cell>
          <cell r="Q779">
            <v>9.1111111111111143</v>
          </cell>
          <cell r="T779">
            <v>0.36388888888888887</v>
          </cell>
          <cell r="U779">
            <v>0.47222222222222221</v>
          </cell>
          <cell r="V779">
            <v>53</v>
          </cell>
          <cell r="Z779">
            <v>0.27777777777777779</v>
          </cell>
          <cell r="AF779">
            <v>50.6</v>
          </cell>
          <cell r="AG779">
            <v>11.8</v>
          </cell>
          <cell r="AI779">
            <v>51.2</v>
          </cell>
          <cell r="AU779">
            <v>99.939323457500208</v>
          </cell>
          <cell r="AV779">
            <v>101.06444498924922</v>
          </cell>
          <cell r="AX779" t="str">
            <v>R. Sookram</v>
          </cell>
        </row>
        <row r="780">
          <cell r="A780" t="str">
            <v>CA731</v>
          </cell>
          <cell r="P780">
            <v>63</v>
          </cell>
          <cell r="Q780">
            <v>13.555555555555557</v>
          </cell>
          <cell r="T780">
            <v>0.53541666666666665</v>
          </cell>
          <cell r="U780">
            <v>0.66874999999999996</v>
          </cell>
          <cell r="V780">
            <v>55</v>
          </cell>
          <cell r="Z780">
            <v>0.27291666666666664</v>
          </cell>
          <cell r="AF780">
            <v>47.8</v>
          </cell>
          <cell r="AG780">
            <v>11.8</v>
          </cell>
          <cell r="AI780">
            <v>48</v>
          </cell>
          <cell r="AU780">
            <v>93.69311574140643</v>
          </cell>
          <cell r="AV780">
            <v>94.747917177421144</v>
          </cell>
          <cell r="AX780" t="str">
            <v>R. Sookram</v>
          </cell>
        </row>
        <row r="781">
          <cell r="A781" t="str">
            <v>CA732</v>
          </cell>
          <cell r="P781">
            <v>63</v>
          </cell>
          <cell r="Q781">
            <v>13.92592592592592</v>
          </cell>
          <cell r="T781">
            <v>0.67152777777777772</v>
          </cell>
          <cell r="U781">
            <v>0.77916666666666667</v>
          </cell>
          <cell r="V781">
            <v>54</v>
          </cell>
          <cell r="Z781">
            <v>0.28611111111111109</v>
          </cell>
          <cell r="AF781">
            <v>8.8000000000000007</v>
          </cell>
          <cell r="AG781">
            <v>11.9</v>
          </cell>
          <cell r="AI781">
            <v>49.5</v>
          </cell>
          <cell r="AU781">
            <v>95.585249587972541</v>
          </cell>
          <cell r="AV781">
            <v>96.662463433034347</v>
          </cell>
          <cell r="AX781" t="str">
            <v>K. Benjamin</v>
          </cell>
        </row>
        <row r="782">
          <cell r="A782" t="str">
            <v>CA733</v>
          </cell>
          <cell r="P782">
            <v>61</v>
          </cell>
          <cell r="Q782">
            <v>10.962962962962965</v>
          </cell>
          <cell r="T782">
            <v>0.76180555555555551</v>
          </cell>
          <cell r="U782">
            <v>0.875</v>
          </cell>
          <cell r="V782">
            <v>55</v>
          </cell>
          <cell r="Z782">
            <v>0.28472222222222221</v>
          </cell>
          <cell r="AF782">
            <v>50</v>
          </cell>
          <cell r="AG782">
            <v>11.9</v>
          </cell>
          <cell r="AI782">
            <v>50.6</v>
          </cell>
          <cell r="AU782">
            <v>98.669450209068287</v>
          </cell>
          <cell r="AV782">
            <v>99.78085433660894</v>
          </cell>
          <cell r="AX782" t="str">
            <v>K. Benjamin</v>
          </cell>
        </row>
        <row r="783">
          <cell r="A783" t="str">
            <v>CA734</v>
          </cell>
          <cell r="P783">
            <v>62</v>
          </cell>
          <cell r="Q783">
            <v>10.777777777777779</v>
          </cell>
          <cell r="T783">
            <v>0.85555555555555551</v>
          </cell>
          <cell r="U783">
            <v>0.96736111111111112</v>
          </cell>
          <cell r="V783">
            <v>61</v>
          </cell>
          <cell r="Z783">
            <v>0.24861111111111112</v>
          </cell>
          <cell r="AF783">
            <v>49.7</v>
          </cell>
          <cell r="AG783">
            <v>11.7</v>
          </cell>
          <cell r="AI783">
            <v>50.4</v>
          </cell>
          <cell r="AU783">
            <v>97.139339188871205</v>
          </cell>
          <cell r="AV783">
            <v>98.233153404323986</v>
          </cell>
          <cell r="AX783" t="str">
            <v>K. Benjamin</v>
          </cell>
        </row>
        <row r="784">
          <cell r="A784" t="str">
            <v>CA735</v>
          </cell>
          <cell r="P784">
            <v>61</v>
          </cell>
          <cell r="Q784">
            <v>10.777777777777779</v>
          </cell>
          <cell r="T784">
            <v>0.95</v>
          </cell>
          <cell r="U784">
            <v>1.0527777777777778</v>
          </cell>
          <cell r="V784">
            <v>55</v>
          </cell>
          <cell r="Z784">
            <v>0.24027777777777781</v>
          </cell>
          <cell r="AF784">
            <v>49.7</v>
          </cell>
          <cell r="AG784">
            <v>11.8</v>
          </cell>
          <cell r="AI784">
            <v>50.5</v>
          </cell>
          <cell r="AU784">
            <v>98.695390021115415</v>
          </cell>
          <cell r="AV784">
            <v>99.806434104088353</v>
          </cell>
          <cell r="AX784" t="str">
            <v>K. Benjamin</v>
          </cell>
        </row>
        <row r="785">
          <cell r="A785" t="str">
            <v>CA736</v>
          </cell>
          <cell r="P785">
            <v>58</v>
          </cell>
          <cell r="Q785">
            <v>10.388170055452859</v>
          </cell>
          <cell r="T785">
            <v>1.0416666666666667</v>
          </cell>
          <cell r="U785">
            <v>1.1493055555555556</v>
          </cell>
          <cell r="V785">
            <v>58</v>
          </cell>
          <cell r="Z785">
            <v>0.24652777777777779</v>
          </cell>
          <cell r="AF785">
            <v>50.8</v>
          </cell>
          <cell r="AG785">
            <v>11.8</v>
          </cell>
          <cell r="AI785">
            <v>51.4</v>
          </cell>
          <cell r="AU785">
            <v>99.343880186051692</v>
          </cell>
          <cell r="AV785">
            <v>100.46288103434603</v>
          </cell>
          <cell r="AX785" t="str">
            <v>K. Benjamin</v>
          </cell>
        </row>
        <row r="786">
          <cell r="A786" t="str">
            <v>CA737</v>
          </cell>
          <cell r="P786">
            <v>60</v>
          </cell>
          <cell r="Q786">
            <v>10.388170055452859</v>
          </cell>
          <cell r="T786">
            <v>1.1319444444444444</v>
          </cell>
          <cell r="U786">
            <v>1.2479166666666666</v>
          </cell>
          <cell r="V786">
            <v>57</v>
          </cell>
          <cell r="Z786">
            <v>0.2618055555555554</v>
          </cell>
          <cell r="AF786">
            <v>49.8</v>
          </cell>
          <cell r="AG786">
            <v>12</v>
          </cell>
          <cell r="AI786">
            <v>50.3</v>
          </cell>
          <cell r="AU786">
            <v>100.18153216864758</v>
          </cell>
          <cell r="AV786">
            <v>101.30923173141993</v>
          </cell>
          <cell r="AX786" t="str">
            <v>R. Sookram</v>
          </cell>
        </row>
        <row r="787">
          <cell r="A787" t="str">
            <v>CA738</v>
          </cell>
          <cell r="P787">
            <v>60</v>
          </cell>
          <cell r="Q787">
            <v>10.203327171903888</v>
          </cell>
          <cell r="T787">
            <v>1.4173611111111111</v>
          </cell>
          <cell r="U787">
            <v>1.5347222222222223</v>
          </cell>
          <cell r="V787">
            <v>60</v>
          </cell>
          <cell r="Z787">
            <v>0.45833333333333348</v>
          </cell>
          <cell r="AF787">
            <v>50.5</v>
          </cell>
          <cell r="AG787">
            <v>11.8</v>
          </cell>
          <cell r="AI787">
            <v>51.2</v>
          </cell>
          <cell r="AU787">
            <v>99.81550952865841</v>
          </cell>
          <cell r="AV787">
            <v>100.93931099334488</v>
          </cell>
          <cell r="AX787" t="str">
            <v>R. Sookram</v>
          </cell>
        </row>
      </sheetData>
      <sheetData sheetId="6"/>
      <sheetData sheetId="7">
        <row r="14">
          <cell r="D14">
            <v>11.6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Operator Performance '16"/>
      <sheetName val="Operator Performance '17"/>
      <sheetName val="Operator Performance '18"/>
      <sheetName val="Brew Times"/>
      <sheetName val="Chart1"/>
      <sheetName val="BrewMaterials"/>
      <sheetName val="Brewhouse"/>
      <sheetName val="Process"/>
      <sheetName val="Summary September '26"/>
      <sheetName val="Summary August '26"/>
      <sheetName val="Summary July '26"/>
      <sheetName val="Summary June '26"/>
      <sheetName val="Summary May '26"/>
      <sheetName val="Summary April '26"/>
      <sheetName val="Summary March '26"/>
      <sheetName val="Summary February '26"/>
      <sheetName val="Summary January '26"/>
      <sheetName val="Packaging"/>
    </sheetNames>
    <sheetDataSet>
      <sheetData sheetId="0"/>
      <sheetData sheetId="1"/>
      <sheetData sheetId="2"/>
      <sheetData sheetId="3"/>
      <sheetData sheetId="4" refreshError="1"/>
      <sheetData sheetId="5"/>
      <sheetData sheetId="6">
        <row r="22">
          <cell r="AS22">
            <v>90.83852238031325</v>
          </cell>
        </row>
        <row r="23">
          <cell r="AS23">
            <v>96.684836556310898</v>
          </cell>
        </row>
        <row r="24">
          <cell r="AS24">
            <v>99.232339589579539</v>
          </cell>
        </row>
        <row r="25">
          <cell r="AS25">
            <v>97.192444367259839</v>
          </cell>
        </row>
        <row r="26">
          <cell r="AS26">
            <v>97.669442273884727</v>
          </cell>
        </row>
        <row r="27">
          <cell r="AS27">
            <v>98.409669512415022</v>
          </cell>
        </row>
        <row r="28">
          <cell r="AS28">
            <v>98.526897208705151</v>
          </cell>
        </row>
        <row r="29">
          <cell r="AS29">
            <v>98.632992892535128</v>
          </cell>
        </row>
        <row r="30">
          <cell r="AS30">
            <v>109.99798711625786</v>
          </cell>
        </row>
        <row r="31">
          <cell r="AS31">
            <v>97.655248935825526</v>
          </cell>
        </row>
        <row r="32">
          <cell r="AS32">
            <v>95.59750367474058</v>
          </cell>
        </row>
        <row r="33">
          <cell r="AS33">
            <v>91.227014661850589</v>
          </cell>
        </row>
        <row r="34">
          <cell r="AS34">
            <v>99.225964512754345</v>
          </cell>
        </row>
        <row r="35">
          <cell r="AS35">
            <v>96.399159890042384</v>
          </cell>
        </row>
        <row r="36">
          <cell r="AS36">
            <v>97.533873677524795</v>
          </cell>
        </row>
        <row r="37">
          <cell r="AS37">
            <v>98.662767363445553</v>
          </cell>
        </row>
        <row r="38">
          <cell r="AS38">
            <v>98.110362343721974</v>
          </cell>
        </row>
        <row r="39">
          <cell r="AS39">
            <v>97.644364444691902</v>
          </cell>
        </row>
        <row r="40">
          <cell r="AS40">
            <v>97.453064155420094</v>
          </cell>
        </row>
        <row r="41">
          <cell r="AS41">
            <v>100.20702691272596</v>
          </cell>
        </row>
        <row r="42">
          <cell r="AS42">
            <v>96.346712472097764</v>
          </cell>
        </row>
        <row r="43">
          <cell r="AS43">
            <v>97.523568316559476</v>
          </cell>
        </row>
        <row r="44">
          <cell r="AS44">
            <v>95.926010836532257</v>
          </cell>
        </row>
        <row r="45">
          <cell r="AS45">
            <v>93.454371995230545</v>
          </cell>
        </row>
        <row r="46">
          <cell r="AS46">
            <v>98.103230583960681</v>
          </cell>
        </row>
        <row r="47">
          <cell r="AS47">
            <v>100.44904539532449</v>
          </cell>
        </row>
        <row r="48">
          <cell r="AS48">
            <v>95.833135510284677</v>
          </cell>
        </row>
        <row r="49">
          <cell r="AS49">
            <v>99.410610314879818</v>
          </cell>
        </row>
        <row r="50">
          <cell r="AS50">
            <v>97.098158462404967</v>
          </cell>
        </row>
        <row r="51">
          <cell r="AS51">
            <v>0</v>
          </cell>
        </row>
        <row r="52">
          <cell r="AS52">
            <v>104.87426366689108</v>
          </cell>
        </row>
        <row r="53">
          <cell r="AS53">
            <v>101.76112094286238</v>
          </cell>
        </row>
        <row r="54">
          <cell r="AS54">
            <v>95.359527283738572</v>
          </cell>
        </row>
        <row r="55">
          <cell r="AS55">
            <v>95.527344703430927</v>
          </cell>
        </row>
        <row r="56">
          <cell r="AS56">
            <v>100.07660336606865</v>
          </cell>
        </row>
        <row r="57">
          <cell r="AS57">
            <v>99.467327733929991</v>
          </cell>
        </row>
        <row r="58">
          <cell r="AS58">
            <v>99.703032511968686</v>
          </cell>
        </row>
        <row r="59">
          <cell r="AS59">
            <v>97.74414704454891</v>
          </cell>
        </row>
        <row r="60">
          <cell r="AS60">
            <v>98.138276669728526</v>
          </cell>
        </row>
        <row r="61">
          <cell r="AS61">
            <v>100.18497924496634</v>
          </cell>
        </row>
        <row r="62">
          <cell r="AS62">
            <v>98.239543519521192</v>
          </cell>
        </row>
        <row r="63">
          <cell r="AS63">
            <v>98.533695545018929</v>
          </cell>
        </row>
        <row r="64">
          <cell r="AS64">
            <v>106.23422780270799</v>
          </cell>
        </row>
        <row r="65">
          <cell r="AS65">
            <v>101.82543081774969</v>
          </cell>
        </row>
        <row r="66">
          <cell r="AS66">
            <v>95.866364717151924</v>
          </cell>
        </row>
        <row r="67">
          <cell r="AS67">
            <v>103.14086541165727</v>
          </cell>
        </row>
        <row r="68">
          <cell r="AS68">
            <v>98.629167060203699</v>
          </cell>
        </row>
        <row r="69">
          <cell r="AS69">
            <v>98.859186647542359</v>
          </cell>
        </row>
        <row r="70">
          <cell r="AS70">
            <v>96.813810190504412</v>
          </cell>
        </row>
        <row r="71">
          <cell r="AS71">
            <v>99.638493421142599</v>
          </cell>
        </row>
        <row r="72">
          <cell r="AS72">
            <v>99.741578008131555</v>
          </cell>
        </row>
        <row r="73">
          <cell r="AS73">
            <v>100.21398306039248</v>
          </cell>
        </row>
        <row r="74">
          <cell r="AS74">
            <v>95.650862133364953</v>
          </cell>
        </row>
        <row r="75">
          <cell r="AS75">
            <v>98.001099487384138</v>
          </cell>
        </row>
        <row r="76">
          <cell r="AS76">
            <v>97.461393370976353</v>
          </cell>
        </row>
        <row r="77">
          <cell r="AS77">
            <v>98.255217290461545</v>
          </cell>
        </row>
        <row r="78">
          <cell r="AS78">
            <v>99.546243435804755</v>
          </cell>
        </row>
        <row r="79">
          <cell r="AS79">
            <v>98.33017402501261</v>
          </cell>
        </row>
        <row r="80">
          <cell r="AS80">
            <v>98.333997846966298</v>
          </cell>
        </row>
        <row r="81">
          <cell r="AS81">
            <v>94.60432549058099</v>
          </cell>
        </row>
        <row r="82">
          <cell r="AS82">
            <v>99.025209415013663</v>
          </cell>
        </row>
        <row r="83">
          <cell r="AS83">
            <v>94.60432549058099</v>
          </cell>
        </row>
        <row r="84">
          <cell r="AS84">
            <v>99.47104784488721</v>
          </cell>
        </row>
        <row r="85">
          <cell r="AS85">
            <v>99.198378090715636</v>
          </cell>
        </row>
        <row r="86">
          <cell r="AS86">
            <v>98.651407682761771</v>
          </cell>
        </row>
        <row r="87">
          <cell r="AS87">
            <v>95.500399540574435</v>
          </cell>
        </row>
        <row r="88">
          <cell r="AS88">
            <v>97.387098904762667</v>
          </cell>
        </row>
        <row r="89">
          <cell r="AS89">
            <v>93.977530506802793</v>
          </cell>
        </row>
        <row r="90">
          <cell r="AS90">
            <v>103.98288970906668</v>
          </cell>
        </row>
        <row r="91">
          <cell r="AS91">
            <v>95.88635207026536</v>
          </cell>
        </row>
        <row r="92">
          <cell r="AS92">
            <v>97.555318567088662</v>
          </cell>
        </row>
        <row r="93">
          <cell r="AS93">
            <v>98.651407682761771</v>
          </cell>
        </row>
        <row r="94">
          <cell r="AS94">
            <v>98.885347309806249</v>
          </cell>
        </row>
        <row r="95">
          <cell r="AS95">
            <v>97.116026980207323</v>
          </cell>
        </row>
        <row r="96">
          <cell r="AS96">
            <v>98.047046969958473</v>
          </cell>
        </row>
        <row r="97">
          <cell r="AS97">
            <v>98.368823692109089</v>
          </cell>
        </row>
        <row r="98">
          <cell r="AS98">
            <v>96.689071563521296</v>
          </cell>
        </row>
        <row r="99">
          <cell r="AS99">
            <v>99.344647215577908</v>
          </cell>
        </row>
        <row r="100">
          <cell r="AS100">
            <v>99.146354506564776</v>
          </cell>
        </row>
        <row r="101">
          <cell r="AS101">
            <v>96.667077258035434</v>
          </cell>
        </row>
        <row r="102">
          <cell r="AS102">
            <v>97.440413876099711</v>
          </cell>
        </row>
        <row r="103">
          <cell r="AS103">
            <v>98.7497690885385</v>
          </cell>
        </row>
        <row r="104">
          <cell r="AS104">
            <v>99.321694799161747</v>
          </cell>
        </row>
        <row r="105">
          <cell r="AS105">
            <v>100.46208508570412</v>
          </cell>
        </row>
        <row r="106">
          <cell r="AS106">
            <v>100.43231059698405</v>
          </cell>
        </row>
        <row r="107">
          <cell r="AS107">
            <v>95.835506022405141</v>
          </cell>
        </row>
        <row r="108">
          <cell r="AS108">
            <v>96.762123724352961</v>
          </cell>
        </row>
        <row r="109">
          <cell r="AS109">
            <v>99.760146592752164</v>
          </cell>
        </row>
        <row r="110">
          <cell r="AS110">
            <v>111.40726919026143</v>
          </cell>
        </row>
        <row r="111">
          <cell r="AS111">
            <v>93.624091427861956</v>
          </cell>
        </row>
        <row r="112">
          <cell r="AS112">
            <v>99.584274797583333</v>
          </cell>
        </row>
        <row r="113">
          <cell r="AS113">
            <v>99.70978306370283</v>
          </cell>
        </row>
        <row r="114">
          <cell r="AS114">
            <v>97.110300140907029</v>
          </cell>
        </row>
        <row r="115">
          <cell r="AS115">
            <v>92.705086039935708</v>
          </cell>
        </row>
        <row r="116">
          <cell r="AS116">
            <v>97.080519007256299</v>
          </cell>
        </row>
        <row r="117">
          <cell r="AS117">
            <v>97.541311782322396</v>
          </cell>
        </row>
        <row r="118">
          <cell r="AS118">
            <v>97.594273454571933</v>
          </cell>
        </row>
        <row r="119">
          <cell r="AS119">
            <v>92.293331261823425</v>
          </cell>
        </row>
        <row r="120">
          <cell r="AS120">
            <v>97.343784830508056</v>
          </cell>
        </row>
        <row r="121">
          <cell r="AS121">
            <v>96.622655969201077</v>
          </cell>
        </row>
        <row r="122">
          <cell r="AS122">
            <v>99.627850959740556</v>
          </cell>
        </row>
        <row r="123">
          <cell r="AS123">
            <v>95.822053579237433</v>
          </cell>
        </row>
        <row r="124">
          <cell r="AS124">
            <v>92.078533418077527</v>
          </cell>
        </row>
        <row r="125">
          <cell r="AS125">
            <v>91.706323721321553</v>
          </cell>
        </row>
        <row r="126">
          <cell r="AS126">
            <v>97.990435086817186</v>
          </cell>
        </row>
        <row r="127">
          <cell r="AS127">
            <v>98.099792913221961</v>
          </cell>
        </row>
        <row r="128">
          <cell r="AS128">
            <v>97.016230942599037</v>
          </cell>
        </row>
        <row r="129">
          <cell r="AS129">
            <v>97.224790380282329</v>
          </cell>
        </row>
        <row r="130">
          <cell r="AS130">
            <v>100.12446085425042</v>
          </cell>
        </row>
        <row r="131">
          <cell r="AS131">
            <v>97.065060568710209</v>
          </cell>
        </row>
        <row r="132">
          <cell r="AS132">
            <v>99.975893759521298</v>
          </cell>
        </row>
        <row r="133">
          <cell r="AS133">
            <v>97.744854170435261</v>
          </cell>
        </row>
        <row r="134">
          <cell r="AS134">
            <v>97.537234970496229</v>
          </cell>
        </row>
        <row r="135">
          <cell r="AS135">
            <v>100.40321390300859</v>
          </cell>
        </row>
        <row r="136">
          <cell r="AS136">
            <v>96.434077770876058</v>
          </cell>
        </row>
        <row r="137">
          <cell r="AS137">
            <v>98.484252856431482</v>
          </cell>
        </row>
        <row r="138">
          <cell r="AS138">
            <v>95.389217922687735</v>
          </cell>
        </row>
        <row r="139">
          <cell r="AS139">
            <v>99.224351098396042</v>
          </cell>
        </row>
        <row r="140">
          <cell r="AS140">
            <v>99.32353232094539</v>
          </cell>
        </row>
        <row r="141">
          <cell r="AS141">
            <v>98.997632648360266</v>
          </cell>
        </row>
        <row r="142">
          <cell r="AS142">
            <v>97.463760265996399</v>
          </cell>
        </row>
        <row r="143">
          <cell r="AS143">
            <v>98.264063319970077</v>
          </cell>
        </row>
        <row r="144">
          <cell r="AS144">
            <v>98.548192719950322</v>
          </cell>
        </row>
        <row r="145">
          <cell r="AS145">
            <v>98.823429599635432</v>
          </cell>
        </row>
        <row r="146">
          <cell r="AS146">
            <v>100.44128447905582</v>
          </cell>
        </row>
        <row r="147">
          <cell r="AS147">
            <v>99.541673683507312</v>
          </cell>
        </row>
        <row r="148">
          <cell r="AS148">
            <v>98.983156674800313</v>
          </cell>
        </row>
        <row r="149">
          <cell r="AS149">
            <v>98.87270268473425</v>
          </cell>
        </row>
        <row r="150">
          <cell r="AS150">
            <v>93.677898473705298</v>
          </cell>
        </row>
        <row r="151">
          <cell r="AS151">
            <v>96.09626744823305</v>
          </cell>
        </row>
        <row r="152">
          <cell r="AS152">
            <v>97.393225185801398</v>
          </cell>
        </row>
        <row r="153">
          <cell r="AS153">
            <v>99.51827092226965</v>
          </cell>
        </row>
        <row r="154">
          <cell r="AS154">
            <v>98.297037775048096</v>
          </cell>
        </row>
        <row r="155">
          <cell r="AS155">
            <v>98.699180649962642</v>
          </cell>
        </row>
        <row r="156">
          <cell r="AS156">
            <v>99.709379094868325</v>
          </cell>
        </row>
        <row r="157">
          <cell r="AS157">
            <v>99.20510217019843</v>
          </cell>
        </row>
        <row r="158">
          <cell r="AS158">
            <v>95.967564626079536</v>
          </cell>
        </row>
        <row r="159">
          <cell r="AS159">
            <v>99.038293072120226</v>
          </cell>
        </row>
        <row r="160">
          <cell r="AS160">
            <v>100.88509268187487</v>
          </cell>
        </row>
        <row r="161">
          <cell r="AS161">
            <v>100.27544662459104</v>
          </cell>
        </row>
        <row r="162">
          <cell r="AS162">
            <v>97.783409002966863</v>
          </cell>
        </row>
        <row r="163">
          <cell r="AS163">
            <v>99.181519714228756</v>
          </cell>
        </row>
        <row r="164">
          <cell r="AS164">
            <v>99.254628474405266</v>
          </cell>
        </row>
        <row r="165">
          <cell r="AS165">
            <v>99.821646060237796</v>
          </cell>
        </row>
        <row r="166">
          <cell r="AS166">
            <v>100.23336840295755</v>
          </cell>
        </row>
        <row r="167">
          <cell r="AS167">
            <v>99.224984415000222</v>
          </cell>
        </row>
        <row r="168">
          <cell r="AS168">
            <v>97.991392065284458</v>
          </cell>
        </row>
        <row r="169">
          <cell r="AS169">
            <v>98.754567210015793</v>
          </cell>
        </row>
        <row r="170">
          <cell r="AS170">
            <v>95.102929375307482</v>
          </cell>
        </row>
        <row r="171">
          <cell r="AS171">
            <v>99.584274797583333</v>
          </cell>
        </row>
        <row r="172">
          <cell r="AS172">
            <v>99.459082097726125</v>
          </cell>
        </row>
        <row r="173">
          <cell r="AS173">
            <v>99.987853202533756</v>
          </cell>
        </row>
        <row r="174">
          <cell r="AS174">
            <v>99.844431138440441</v>
          </cell>
        </row>
        <row r="175">
          <cell r="AS175">
            <v>99.739560847146265</v>
          </cell>
        </row>
        <row r="176">
          <cell r="AS176">
            <v>99.897261798186378</v>
          </cell>
        </row>
        <row r="177">
          <cell r="AS177">
            <v>97.867313690154518</v>
          </cell>
        </row>
        <row r="178">
          <cell r="AS178">
            <v>98.618699043994994</v>
          </cell>
        </row>
        <row r="179">
          <cell r="AS179">
            <v>95.736023506245473</v>
          </cell>
        </row>
        <row r="214">
          <cell r="AS214">
            <v>94.642949948026541</v>
          </cell>
        </row>
        <row r="215">
          <cell r="AS215">
            <v>97.740620302660346</v>
          </cell>
        </row>
        <row r="216">
          <cell r="AS216">
            <v>97.156843184212079</v>
          </cell>
        </row>
        <row r="217">
          <cell r="AS217">
            <v>98.378206632279046</v>
          </cell>
        </row>
        <row r="218">
          <cell r="AS218">
            <v>98.866051801226916</v>
          </cell>
        </row>
        <row r="219">
          <cell r="AS219">
            <v>98.986375596522507</v>
          </cell>
        </row>
        <row r="220">
          <cell r="AS220">
            <v>98.588839951556579</v>
          </cell>
        </row>
        <row r="221">
          <cell r="AS221">
            <v>98.140556826659378</v>
          </cell>
        </row>
        <row r="222">
          <cell r="AS222">
            <v>94.541913901166239</v>
          </cell>
        </row>
        <row r="223">
          <cell r="AS223">
            <v>99.065882725515735</v>
          </cell>
        </row>
        <row r="224">
          <cell r="AS224">
            <v>95.607322614311911</v>
          </cell>
        </row>
        <row r="225">
          <cell r="AS225">
            <v>98.852784636210828</v>
          </cell>
        </row>
        <row r="226">
          <cell r="AS226">
            <v>98.991001256161667</v>
          </cell>
        </row>
        <row r="227">
          <cell r="AS227">
            <v>98.91245808939847</v>
          </cell>
        </row>
        <row r="228">
          <cell r="AS228">
            <v>98.030742498650199</v>
          </cell>
        </row>
        <row r="229">
          <cell r="AS229">
            <v>98.227987453375846</v>
          </cell>
        </row>
        <row r="230">
          <cell r="AS230">
            <v>91.893381203561418</v>
          </cell>
        </row>
        <row r="231">
          <cell r="AS231">
            <v>95.883830769509331</v>
          </cell>
        </row>
        <row r="232">
          <cell r="AS232">
            <v>96.325210694705959</v>
          </cell>
        </row>
        <row r="233">
          <cell r="AS233">
            <v>96.768374788406007</v>
          </cell>
        </row>
        <row r="234">
          <cell r="AS234">
            <v>99.805947091181096</v>
          </cell>
        </row>
        <row r="235">
          <cell r="AS235">
            <v>97.59500083914169</v>
          </cell>
        </row>
        <row r="236">
          <cell r="AS236">
            <v>96.015295809177886</v>
          </cell>
        </row>
        <row r="237">
          <cell r="AS237">
            <v>99.016967272278464</v>
          </cell>
        </row>
        <row r="238">
          <cell r="AS238">
            <v>97.930910424263288</v>
          </cell>
        </row>
        <row r="239">
          <cell r="AS239">
            <v>95.51262249962322</v>
          </cell>
        </row>
        <row r="240">
          <cell r="AS240">
            <v>100.03027228544039</v>
          </cell>
        </row>
        <row r="241">
          <cell r="AS241">
            <v>99.680150206688893</v>
          </cell>
        </row>
        <row r="242">
          <cell r="AS242">
            <v>99.677491461603083</v>
          </cell>
        </row>
        <row r="243">
          <cell r="AS243">
            <v>99.880311150879038</v>
          </cell>
        </row>
        <row r="244">
          <cell r="AS244">
            <v>101.658582761551</v>
          </cell>
        </row>
        <row r="245">
          <cell r="AS245">
            <v>101.63039952812952</v>
          </cell>
        </row>
        <row r="246">
          <cell r="AS246">
            <v>99.260258246780694</v>
          </cell>
        </row>
        <row r="247">
          <cell r="AS247">
            <v>102.67383093717935</v>
          </cell>
        </row>
        <row r="248">
          <cell r="AS248">
            <v>100.39997678316345</v>
          </cell>
        </row>
        <row r="249">
          <cell r="AS249">
            <v>99.081028043575728</v>
          </cell>
        </row>
        <row r="252">
          <cell r="AS252">
            <v>99.198581391944401</v>
          </cell>
        </row>
        <row r="253">
          <cell r="AS253">
            <v>99.450027165653339</v>
          </cell>
        </row>
        <row r="254">
          <cell r="AS254">
            <v>95.749181793212287</v>
          </cell>
        </row>
        <row r="255">
          <cell r="AS255">
            <v>96.404836914851714</v>
          </cell>
        </row>
        <row r="256">
          <cell r="AS256">
            <v>97.214381663218518</v>
          </cell>
        </row>
        <row r="257">
          <cell r="AS257">
            <v>99.683984036787066</v>
          </cell>
        </row>
        <row r="258">
          <cell r="AS258">
            <v>99.370659448462092</v>
          </cell>
        </row>
        <row r="259">
          <cell r="AS259">
            <v>100.46353523213787</v>
          </cell>
        </row>
        <row r="260">
          <cell r="AS260">
            <v>98.730026427379045</v>
          </cell>
        </row>
        <row r="261">
          <cell r="AS261">
            <v>100.24562738297855</v>
          </cell>
        </row>
        <row r="262">
          <cell r="AS262">
            <v>99.335232031479649</v>
          </cell>
        </row>
        <row r="263">
          <cell r="AS263">
            <v>100.58932724044769</v>
          </cell>
        </row>
        <row r="264">
          <cell r="AS264">
            <v>101.15819379667646</v>
          </cell>
        </row>
        <row r="265">
          <cell r="AS265">
            <v>100.84592825413714</v>
          </cell>
        </row>
        <row r="266">
          <cell r="AS266">
            <v>100.43237296472746</v>
          </cell>
        </row>
        <row r="267">
          <cell r="AS267">
            <v>99.868124541057114</v>
          </cell>
        </row>
        <row r="268">
          <cell r="AS268">
            <v>96.895654477588451</v>
          </cell>
        </row>
        <row r="269">
          <cell r="AS269">
            <v>97.187186945196061</v>
          </cell>
        </row>
        <row r="270">
          <cell r="AS270">
            <v>96.861205051857695</v>
          </cell>
        </row>
        <row r="271">
          <cell r="AS271">
            <v>100.7905058949286</v>
          </cell>
        </row>
        <row r="272">
          <cell r="AS272">
            <v>99.868124541057114</v>
          </cell>
        </row>
        <row r="273">
          <cell r="AS273">
            <v>100.55844165954197</v>
          </cell>
        </row>
        <row r="274">
          <cell r="AS274">
            <v>96.548828345484281</v>
          </cell>
        </row>
        <row r="275">
          <cell r="AS275">
            <v>100.19135091878917</v>
          </cell>
        </row>
        <row r="276">
          <cell r="AS276">
            <v>99.371721926227323</v>
          </cell>
        </row>
        <row r="277">
          <cell r="AS277">
            <v>94.990603925471802</v>
          </cell>
        </row>
        <row r="278">
          <cell r="AS278">
            <v>100.83834966907197</v>
          </cell>
        </row>
        <row r="279">
          <cell r="AS279">
            <v>97.31936248600482</v>
          </cell>
        </row>
        <row r="280">
          <cell r="AS280">
            <v>99.446100161727543</v>
          </cell>
        </row>
        <row r="281">
          <cell r="AS281">
            <v>101.25421107375897</v>
          </cell>
        </row>
        <row r="282">
          <cell r="AS282">
            <v>99.571016312772826</v>
          </cell>
        </row>
        <row r="283">
          <cell r="AS283">
            <v>101.25471652266825</v>
          </cell>
        </row>
        <row r="284">
          <cell r="AS284">
            <v>102.25579256731321</v>
          </cell>
        </row>
        <row r="285">
          <cell r="AS285">
            <v>100.48414063181383</v>
          </cell>
        </row>
        <row r="286">
          <cell r="AS286">
            <v>99.939679018214306</v>
          </cell>
        </row>
        <row r="287">
          <cell r="AS287">
            <v>101.49046337979428</v>
          </cell>
        </row>
        <row r="288">
          <cell r="AS288">
            <v>99.658344935350172</v>
          </cell>
        </row>
        <row r="289">
          <cell r="AS289">
            <v>100.79139066827585</v>
          </cell>
        </row>
        <row r="290">
          <cell r="AS290">
            <v>98.227410767009204</v>
          </cell>
        </row>
        <row r="291">
          <cell r="AS291">
            <v>100.04439034243482</v>
          </cell>
        </row>
        <row r="292">
          <cell r="AS292">
            <v>98.617249485112069</v>
          </cell>
        </row>
        <row r="293">
          <cell r="AS293">
            <v>99.168205395168258</v>
          </cell>
        </row>
        <row r="295">
          <cell r="AS295">
            <v>96.013735064813474</v>
          </cell>
        </row>
        <row r="296">
          <cell r="AS296">
            <v>100.38245090858832</v>
          </cell>
        </row>
        <row r="297">
          <cell r="AS297">
            <v>102.93281209025689</v>
          </cell>
        </row>
        <row r="298">
          <cell r="AS298">
            <v>95.59135221348177</v>
          </cell>
        </row>
        <row r="299">
          <cell r="AS299">
            <v>95.953887822360457</v>
          </cell>
        </row>
        <row r="300">
          <cell r="AS300">
            <v>96.457660998061172</v>
          </cell>
        </row>
        <row r="301">
          <cell r="AS301">
            <v>96.459607373483308</v>
          </cell>
        </row>
        <row r="302">
          <cell r="AS302">
            <v>97.772523167268972</v>
          </cell>
        </row>
        <row r="303">
          <cell r="AS303">
            <v>99.285893746081584</v>
          </cell>
        </row>
        <row r="304">
          <cell r="AS304">
            <v>96.843389772867923</v>
          </cell>
        </row>
        <row r="305">
          <cell r="AS305">
            <v>100.55808788259412</v>
          </cell>
        </row>
        <row r="306">
          <cell r="AS306">
            <v>97.554213655237049</v>
          </cell>
        </row>
        <row r="307">
          <cell r="AS307">
            <v>98.380934315032519</v>
          </cell>
        </row>
        <row r="308">
          <cell r="AS308">
            <v>97.536636164570268</v>
          </cell>
        </row>
        <row r="309">
          <cell r="AS309">
            <v>97.660253116847329</v>
          </cell>
        </row>
        <row r="310">
          <cell r="AS310">
            <v>100.48800750797635</v>
          </cell>
        </row>
        <row r="311">
          <cell r="AS311">
            <v>98.475377444669192</v>
          </cell>
        </row>
        <row r="312">
          <cell r="AS312">
            <v>99.914679227931671</v>
          </cell>
        </row>
        <row r="313">
          <cell r="AS313">
            <v>99.253784285399746</v>
          </cell>
        </row>
        <row r="314">
          <cell r="AS314">
            <v>96.705795206676655</v>
          </cell>
        </row>
        <row r="315">
          <cell r="AS315">
            <v>97.329743164428521</v>
          </cell>
        </row>
        <row r="316">
          <cell r="AS316">
            <v>99.065888617269223</v>
          </cell>
        </row>
        <row r="317">
          <cell r="AS317">
            <v>94.926337798329214</v>
          </cell>
        </row>
        <row r="318">
          <cell r="AS318">
            <v>98.570907895555237</v>
          </cell>
        </row>
        <row r="319">
          <cell r="AS319">
            <v>99.261312241841878</v>
          </cell>
        </row>
        <row r="320">
          <cell r="AS320">
            <v>98.24621489209953</v>
          </cell>
        </row>
        <row r="321">
          <cell r="AS321">
            <v>97.881219367369539</v>
          </cell>
        </row>
        <row r="322">
          <cell r="AS322">
            <v>96.045946504231367</v>
          </cell>
        </row>
        <row r="323">
          <cell r="AS323">
            <v>97.322817169770062</v>
          </cell>
        </row>
        <row r="324">
          <cell r="AS324">
            <v>97.816038092626201</v>
          </cell>
        </row>
        <row r="325">
          <cell r="AS325">
            <v>103.51481490885584</v>
          </cell>
        </row>
        <row r="327">
          <cell r="AS327">
            <v>94.796610655110641</v>
          </cell>
        </row>
        <row r="328">
          <cell r="AS328">
            <v>98.314396537543004</v>
          </cell>
        </row>
        <row r="329">
          <cell r="AS329">
            <v>99.784866605770077</v>
          </cell>
        </row>
        <row r="330">
          <cell r="AS330">
            <v>100.33853534489856</v>
          </cell>
        </row>
        <row r="331">
          <cell r="AS331">
            <v>102.03438257870683</v>
          </cell>
        </row>
        <row r="332">
          <cell r="AS332">
            <v>99.155232444155033</v>
          </cell>
        </row>
        <row r="333">
          <cell r="AS333">
            <v>97.692816245651542</v>
          </cell>
        </row>
        <row r="334">
          <cell r="AS334">
            <v>99.929502656617558</v>
          </cell>
        </row>
        <row r="335">
          <cell r="AS335">
            <v>102.31885501216071</v>
          </cell>
        </row>
        <row r="336">
          <cell r="AS336">
            <v>99.652790566766143</v>
          </cell>
        </row>
        <row r="337">
          <cell r="AS337">
            <v>99.055898699447013</v>
          </cell>
        </row>
        <row r="338">
          <cell r="AS338">
            <v>98.745714949083094</v>
          </cell>
        </row>
        <row r="339">
          <cell r="AS339">
            <v>100.05112865724453</v>
          </cell>
        </row>
        <row r="340">
          <cell r="AS340">
            <v>99.219837183704257</v>
          </cell>
        </row>
        <row r="341">
          <cell r="AS341">
            <v>99.219837183704257</v>
          </cell>
        </row>
        <row r="342">
          <cell r="AS342">
            <v>99.323329633525859</v>
          </cell>
        </row>
        <row r="343">
          <cell r="AS343">
            <v>99.650122129560188</v>
          </cell>
        </row>
        <row r="344">
          <cell r="AS344">
            <v>96.130188550895028</v>
          </cell>
        </row>
        <row r="345">
          <cell r="AS345">
            <v>98.643672179069668</v>
          </cell>
        </row>
        <row r="346">
          <cell r="AS346">
            <v>97.544184434340778</v>
          </cell>
        </row>
        <row r="347">
          <cell r="AS347">
            <v>99.527904357748554</v>
          </cell>
        </row>
        <row r="348">
          <cell r="AS348">
            <v>100.13077318075212</v>
          </cell>
        </row>
        <row r="349">
          <cell r="AS349">
            <v>97.985529268351812</v>
          </cell>
        </row>
        <row r="350">
          <cell r="AS350">
            <v>101.05077690934993</v>
          </cell>
        </row>
        <row r="351">
          <cell r="AS351">
            <v>99.656323436956768</v>
          </cell>
        </row>
        <row r="352">
          <cell r="AS352">
            <v>105.3788158697007</v>
          </cell>
        </row>
        <row r="353">
          <cell r="AS353">
            <v>102.40349309246177</v>
          </cell>
        </row>
        <row r="354">
          <cell r="AS354">
            <v>96.049611913783252</v>
          </cell>
        </row>
        <row r="355">
          <cell r="AS355">
            <v>96.944463047798635</v>
          </cell>
        </row>
        <row r="356">
          <cell r="AS356">
            <v>98.909854486474273</v>
          </cell>
        </row>
        <row r="357">
          <cell r="AS357">
            <v>99.18039986493666</v>
          </cell>
        </row>
        <row r="358">
          <cell r="AS358">
            <v>98.266162409828908</v>
          </cell>
        </row>
        <row r="359">
          <cell r="AS359">
            <v>99.615522882404434</v>
          </cell>
        </row>
        <row r="360">
          <cell r="AS360">
            <v>100.62326379755295</v>
          </cell>
        </row>
        <row r="361">
          <cell r="AS361">
            <v>97.422783496499648</v>
          </cell>
        </row>
        <row r="363">
          <cell r="A363" t="str">
            <v>ST305</v>
          </cell>
          <cell r="P363">
            <v>61</v>
          </cell>
          <cell r="Q363">
            <v>10.12241054613936</v>
          </cell>
          <cell r="T363">
            <v>0.27152777777777776</v>
          </cell>
          <cell r="U363">
            <v>0.40694444444444444</v>
          </cell>
          <cell r="V363">
            <v>60</v>
          </cell>
          <cell r="AB363">
            <v>53.1</v>
          </cell>
          <cell r="AE363">
            <v>11.8</v>
          </cell>
          <cell r="AG363">
            <v>48.1</v>
          </cell>
          <cell r="AS363">
            <v>96.072468702631554</v>
          </cell>
          <cell r="AT363">
            <v>96.692243443021482</v>
          </cell>
          <cell r="AV363" t="str">
            <v>R. Regis</v>
          </cell>
          <cell r="AW363">
            <v>0.27500000000000002</v>
          </cell>
        </row>
        <row r="364">
          <cell r="A364" t="str">
            <v>ST306</v>
          </cell>
          <cell r="P364">
            <v>60</v>
          </cell>
          <cell r="Q364">
            <v>9.3867924528301909</v>
          </cell>
          <cell r="T364">
            <v>0.39166666666666666</v>
          </cell>
          <cell r="U364">
            <v>0.50902777777777775</v>
          </cell>
          <cell r="V364">
            <v>61</v>
          </cell>
          <cell r="AB364">
            <v>53</v>
          </cell>
          <cell r="AE364">
            <v>11.8</v>
          </cell>
          <cell r="AG364">
            <v>49.2</v>
          </cell>
          <cell r="AS364">
            <v>98.269552186475522</v>
          </cell>
          <cell r="AT364">
            <v>98.903500569577076</v>
          </cell>
          <cell r="AV364" t="str">
            <v>R. Regis</v>
          </cell>
          <cell r="AW364">
            <v>0.28680555555555554</v>
          </cell>
        </row>
        <row r="365">
          <cell r="A365" t="str">
            <v>ST307</v>
          </cell>
          <cell r="P365">
            <v>59</v>
          </cell>
          <cell r="Q365">
            <v>8.632075471698105</v>
          </cell>
          <cell r="T365">
            <v>0.49166666666666664</v>
          </cell>
          <cell r="U365">
            <v>0.6118055555555556</v>
          </cell>
          <cell r="V365">
            <v>62</v>
          </cell>
          <cell r="AB365">
            <v>53</v>
          </cell>
          <cell r="AE365">
            <v>11.8</v>
          </cell>
          <cell r="AG365">
            <v>50.4</v>
          </cell>
          <cell r="AS365">
            <v>99.989796775773399</v>
          </cell>
          <cell r="AT365">
            <v>101.31578107127406</v>
          </cell>
          <cell r="AV365" t="str">
            <v>R.Sookram</v>
          </cell>
          <cell r="AW365">
            <v>0.30625000000000002</v>
          </cell>
        </row>
        <row r="366">
          <cell r="A366" t="str">
            <v>ST308</v>
          </cell>
          <cell r="P366">
            <v>59</v>
          </cell>
          <cell r="Q366">
            <v>8.4433962264150964</v>
          </cell>
          <cell r="T366">
            <v>0.59236111111111112</v>
          </cell>
          <cell r="U366">
            <v>0.7006944444444444</v>
          </cell>
          <cell r="V366">
            <v>54</v>
          </cell>
          <cell r="AB366">
            <v>53</v>
          </cell>
          <cell r="AE366">
            <v>11.8</v>
          </cell>
          <cell r="AG366">
            <v>49.7</v>
          </cell>
          <cell r="AS366">
            <v>99.103260744156756</v>
          </cell>
          <cell r="AT366">
            <v>100.41571882956903</v>
          </cell>
          <cell r="AV366" t="str">
            <v>R.Sookram</v>
          </cell>
          <cell r="AW366">
            <v>0.29791666666666661</v>
          </cell>
        </row>
        <row r="367">
          <cell r="A367" t="str">
            <v>ST309</v>
          </cell>
          <cell r="P367">
            <v>61</v>
          </cell>
          <cell r="Q367">
            <v>8.4433962264150964</v>
          </cell>
          <cell r="T367">
            <v>0.70277777777777772</v>
          </cell>
          <cell r="U367">
            <v>0.81180555555555556</v>
          </cell>
          <cell r="V367">
            <v>56</v>
          </cell>
          <cell r="AB367">
            <v>53</v>
          </cell>
          <cell r="AE367">
            <v>11.9</v>
          </cell>
          <cell r="AG367">
            <v>49.8</v>
          </cell>
          <cell r="AS367">
            <v>99.933359063716594</v>
          </cell>
          <cell r="AT367">
            <v>101.2577049337968</v>
          </cell>
          <cell r="AV367" t="str">
            <v>R.Sookram</v>
          </cell>
          <cell r="AW367">
            <v>0.24930555555555556</v>
          </cell>
        </row>
        <row r="368">
          <cell r="A368" t="str">
            <v>ST310</v>
          </cell>
          <cell r="P368">
            <v>61</v>
          </cell>
          <cell r="Q368">
            <v>5.2358490566037714</v>
          </cell>
          <cell r="T368">
            <v>0.80069444444444449</v>
          </cell>
          <cell r="U368">
            <v>0.92361111111111116</v>
          </cell>
          <cell r="V368">
            <v>59</v>
          </cell>
          <cell r="AB368">
            <v>53</v>
          </cell>
          <cell r="AE368">
            <v>11.9</v>
          </cell>
          <cell r="AG368">
            <v>51.3</v>
          </cell>
          <cell r="AS368">
            <v>103.33714761585293</v>
          </cell>
          <cell r="AT368">
            <v>104.70521224853189</v>
          </cell>
          <cell r="AV368" t="str">
            <v>K. Benjamin</v>
          </cell>
          <cell r="AW368">
            <v>0.27083333333333337</v>
          </cell>
        </row>
        <row r="369">
          <cell r="A369" t="str">
            <v>ST311</v>
          </cell>
          <cell r="P369">
            <v>60</v>
          </cell>
          <cell r="Q369">
            <v>5.2358490566037714</v>
          </cell>
          <cell r="T369">
            <v>0.8930555555555556</v>
          </cell>
          <cell r="U369">
            <v>1.0291666666666666</v>
          </cell>
          <cell r="V369">
            <v>56</v>
          </cell>
          <cell r="AB369">
            <v>53</v>
          </cell>
          <cell r="AE369">
            <v>11.7</v>
          </cell>
          <cell r="AG369">
            <v>52.6</v>
          </cell>
          <cell r="AS369">
            <v>103.81878537188666</v>
          </cell>
          <cell r="AT369">
            <v>105.19415798265723</v>
          </cell>
          <cell r="AV369" t="str">
            <v>K. Benjamin</v>
          </cell>
          <cell r="AW369">
            <v>0.27916666666666656</v>
          </cell>
        </row>
        <row r="370">
          <cell r="A370" t="str">
            <v>ST312</v>
          </cell>
          <cell r="P370">
            <v>61</v>
          </cell>
          <cell r="Q370">
            <v>7.3113207547169807</v>
          </cell>
          <cell r="T370">
            <v>1.0208333333333333</v>
          </cell>
          <cell r="U370">
            <v>1.1395833333333334</v>
          </cell>
          <cell r="V370">
            <v>60</v>
          </cell>
          <cell r="AB370">
            <v>53</v>
          </cell>
          <cell r="AE370">
            <v>12</v>
          </cell>
          <cell r="AG370">
            <v>50.2</v>
          </cell>
          <cell r="AS370">
            <v>101.75531402615744</v>
          </cell>
          <cell r="AT370">
            <v>103.10335013937737</v>
          </cell>
          <cell r="AV370" t="str">
            <v>K. Benjamin</v>
          </cell>
          <cell r="AW370">
            <v>0.30625000000000002</v>
          </cell>
        </row>
        <row r="371">
          <cell r="A371" t="str">
            <v>ST313</v>
          </cell>
          <cell r="P371">
            <v>61</v>
          </cell>
          <cell r="Q371">
            <v>8.2547169811320753</v>
          </cell>
          <cell r="T371">
            <v>1.1291666666666667</v>
          </cell>
          <cell r="U371">
            <v>1.2770833333333333</v>
          </cell>
          <cell r="V371">
            <v>60</v>
          </cell>
          <cell r="AB371">
            <v>53</v>
          </cell>
          <cell r="AE371">
            <v>11.8</v>
          </cell>
          <cell r="AG371">
            <v>49.8</v>
          </cell>
          <cell r="AS371">
            <v>99.050413722591401</v>
          </cell>
          <cell r="AT371">
            <v>100.3630585448235</v>
          </cell>
          <cell r="AV371" t="str">
            <v>K. Benjamin</v>
          </cell>
          <cell r="AW371">
            <v>0.36041666666666672</v>
          </cell>
        </row>
        <row r="372">
          <cell r="A372" t="str">
            <v>ST314</v>
          </cell>
          <cell r="P372">
            <v>61</v>
          </cell>
          <cell r="Q372">
            <v>6.7452830188679158</v>
          </cell>
          <cell r="T372">
            <v>0.2673611111111111</v>
          </cell>
          <cell r="U372">
            <v>0.38819444444444445</v>
          </cell>
          <cell r="V372">
            <v>54</v>
          </cell>
          <cell r="AB372">
            <v>53</v>
          </cell>
          <cell r="AE372">
            <v>11.9</v>
          </cell>
          <cell r="AG372">
            <v>51.6</v>
          </cell>
          <cell r="AS372">
            <v>103.67708915402727</v>
          </cell>
          <cell r="AT372">
            <v>105.05058459876861</v>
          </cell>
          <cell r="AV372" t="str">
            <v>R. Regis</v>
          </cell>
          <cell r="AW372">
            <v>0.34652777777777777</v>
          </cell>
        </row>
        <row r="373">
          <cell r="A373" t="str">
            <v>ST315</v>
          </cell>
          <cell r="P373">
            <v>74</v>
          </cell>
          <cell r="Q373">
            <v>12.947269303201505</v>
          </cell>
          <cell r="T373">
            <v>0.22222222222222221</v>
          </cell>
          <cell r="U373">
            <v>0.34305555555555556</v>
          </cell>
          <cell r="V373">
            <v>54</v>
          </cell>
          <cell r="AB373">
            <v>53.1</v>
          </cell>
          <cell r="AE373">
            <v>11.9</v>
          </cell>
          <cell r="AG373">
            <v>46.3</v>
          </cell>
          <cell r="AS373">
            <v>92.207251912768385</v>
          </cell>
          <cell r="AT373">
            <v>93.431660349012503</v>
          </cell>
          <cell r="AV373" t="str">
            <v>R.Sookram</v>
          </cell>
          <cell r="AW373">
            <v>0.27013888888888887</v>
          </cell>
        </row>
        <row r="374">
          <cell r="A374" t="str">
            <v>ST316</v>
          </cell>
          <cell r="P374">
            <v>58</v>
          </cell>
          <cell r="Q374">
            <v>9.5754716981131995</v>
          </cell>
          <cell r="T374">
            <v>0.35069444444444442</v>
          </cell>
          <cell r="U374">
            <v>0.45763888888888887</v>
          </cell>
          <cell r="V374">
            <v>53</v>
          </cell>
          <cell r="AB374">
            <v>53</v>
          </cell>
          <cell r="AE374">
            <v>11.8</v>
          </cell>
          <cell r="AG374">
            <v>50.1</v>
          </cell>
          <cell r="AS374">
            <v>98.768973008259692</v>
          </cell>
          <cell r="AT374">
            <v>100.08094746806538</v>
          </cell>
          <cell r="AV374" t="str">
            <v>R.Sookram</v>
          </cell>
          <cell r="AW374">
            <v>0.28749999999999998</v>
          </cell>
        </row>
        <row r="375">
          <cell r="A375" t="str">
            <v>ST317</v>
          </cell>
          <cell r="P375">
            <v>62</v>
          </cell>
          <cell r="Q375">
            <v>8.2547169811320753</v>
          </cell>
          <cell r="T375">
            <v>0.44097222222222221</v>
          </cell>
          <cell r="U375">
            <v>0.57638888888888884</v>
          </cell>
          <cell r="V375">
            <v>58</v>
          </cell>
          <cell r="AB375">
            <v>53</v>
          </cell>
          <cell r="AE375">
            <v>11.9</v>
          </cell>
          <cell r="AG375">
            <v>49.5</v>
          </cell>
          <cell r="AS375">
            <v>99.2105296845954</v>
          </cell>
          <cell r="AT375">
            <v>100.14072593288208</v>
          </cell>
          <cell r="AV375" t="str">
            <v>R.Sookram</v>
          </cell>
          <cell r="AW375">
            <v>0.29166666666666663</v>
          </cell>
        </row>
        <row r="376">
          <cell r="A376" t="str">
            <v>ST318</v>
          </cell>
          <cell r="P376">
            <v>60</v>
          </cell>
          <cell r="Q376">
            <v>9.7641509433962206</v>
          </cell>
          <cell r="T376">
            <v>0.54166666666666663</v>
          </cell>
          <cell r="U376">
            <v>0.65694444444444444</v>
          </cell>
          <cell r="V376">
            <v>60</v>
          </cell>
          <cell r="AB376">
            <v>53</v>
          </cell>
          <cell r="AE376">
            <v>11.9</v>
          </cell>
          <cell r="AG376">
            <v>49.6</v>
          </cell>
          <cell r="AS376">
            <v>99.662586818553194</v>
          </cell>
          <cell r="AT376">
            <v>100.59639758292359</v>
          </cell>
          <cell r="AV376" t="str">
            <v>K. Benjamin</v>
          </cell>
          <cell r="AW376">
            <v>0.26805555555555555</v>
          </cell>
        </row>
        <row r="377">
          <cell r="A377" t="str">
            <v>ST319</v>
          </cell>
          <cell r="P377">
            <v>61</v>
          </cell>
          <cell r="Q377">
            <v>8.2547169811320753</v>
          </cell>
          <cell r="T377">
            <v>0.63611111111111107</v>
          </cell>
          <cell r="U377">
            <v>0.75555555555555554</v>
          </cell>
          <cell r="V377">
            <v>62</v>
          </cell>
          <cell r="AB377">
            <v>53</v>
          </cell>
          <cell r="AE377">
            <v>12</v>
          </cell>
          <cell r="AG377">
            <v>50.3</v>
          </cell>
          <cell r="AS377">
            <v>99.814541571057831</v>
          </cell>
          <cell r="AT377">
            <v>100.75498941078087</v>
          </cell>
          <cell r="AV377" t="str">
            <v>K. Benjamin</v>
          </cell>
          <cell r="AW377">
            <v>0.26944444444444443</v>
          </cell>
        </row>
        <row r="378">
          <cell r="A378" t="str">
            <v>ST320</v>
          </cell>
          <cell r="P378">
            <v>59</v>
          </cell>
          <cell r="Q378">
            <v>6.1676082862523511</v>
          </cell>
          <cell r="T378">
            <v>0.73472222222222228</v>
          </cell>
          <cell r="U378">
            <v>0.84930555555555554</v>
          </cell>
          <cell r="V378">
            <v>63</v>
          </cell>
          <cell r="AB378">
            <v>53.1</v>
          </cell>
          <cell r="AE378">
            <v>11.8</v>
          </cell>
          <cell r="AG378">
            <v>50.8</v>
          </cell>
          <cell r="AS378">
            <v>100.1578324034637</v>
          </cell>
          <cell r="AT378">
            <v>101.09877292959364</v>
          </cell>
          <cell r="AV378" t="str">
            <v>K. Benjamin</v>
          </cell>
          <cell r="AW378">
            <v>0.26597222222222217</v>
          </cell>
        </row>
        <row r="379">
          <cell r="A379" t="str">
            <v>ST321</v>
          </cell>
          <cell r="P379">
            <v>62</v>
          </cell>
          <cell r="Q379">
            <v>7.6741996233521705</v>
          </cell>
          <cell r="T379">
            <v>0.8256944444444444</v>
          </cell>
          <cell r="U379">
            <v>0.94236111111111109</v>
          </cell>
          <cell r="V379">
            <v>57</v>
          </cell>
          <cell r="AB379">
            <v>53.1</v>
          </cell>
          <cell r="AE379">
            <v>11.9</v>
          </cell>
          <cell r="AG379">
            <v>46.6</v>
          </cell>
          <cell r="AS379">
            <v>92.812355369132575</v>
          </cell>
          <cell r="AT379">
            <v>93.68400240820057</v>
          </cell>
          <cell r="AV379" t="str">
            <v>R. Regis</v>
          </cell>
          <cell r="AW379">
            <v>0.25486111111111109</v>
          </cell>
        </row>
        <row r="380">
          <cell r="A380" t="str">
            <v>ST322</v>
          </cell>
          <cell r="P380">
            <v>61</v>
          </cell>
          <cell r="Q380">
            <v>8.0508474576271158</v>
          </cell>
          <cell r="T380">
            <v>0.92222222222222228</v>
          </cell>
          <cell r="U380">
            <v>1.0361111111111112</v>
          </cell>
          <cell r="V380">
            <v>57</v>
          </cell>
          <cell r="AB380">
            <v>53.1</v>
          </cell>
          <cell r="AE380">
            <v>11.8</v>
          </cell>
          <cell r="AG380">
            <v>49.9</v>
          </cell>
          <cell r="AS380">
            <v>98.630536608448594</v>
          </cell>
          <cell r="AT380">
            <v>99.556520571666411</v>
          </cell>
          <cell r="AV380" t="str">
            <v>R. Regis</v>
          </cell>
          <cell r="AW380">
            <v>0.2548611111111112</v>
          </cell>
        </row>
      </sheetData>
      <sheetData sheetId="7">
        <row r="26">
          <cell r="D26">
            <v>11.8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BrewMaterials"/>
      <sheetName val="Brewhouse"/>
      <sheetName val="Process"/>
      <sheetName val="Summary September '26 "/>
      <sheetName val="Summary August '26"/>
      <sheetName val="Summary July '26"/>
      <sheetName val="Summary June '26"/>
      <sheetName val="Summary May '26"/>
      <sheetName val="Summary April '26"/>
      <sheetName val="Summary March '26"/>
      <sheetName val="Summary February '26"/>
      <sheetName val="Summary January '26"/>
      <sheetName val="Summary December '25"/>
      <sheetName val="Guinnbottling"/>
    </sheetNames>
    <sheetDataSet>
      <sheetData sheetId="0"/>
      <sheetData sheetId="1">
        <row r="16">
          <cell r="AU16">
            <v>96.003306141833193</v>
          </cell>
        </row>
        <row r="17">
          <cell r="AU17">
            <v>97.325117100528743</v>
          </cell>
        </row>
        <row r="18">
          <cell r="AU18">
            <v>99.121575646105413</v>
          </cell>
        </row>
        <row r="19">
          <cell r="AU19">
            <v>98.312989092995309</v>
          </cell>
        </row>
        <row r="20">
          <cell r="AU20">
            <v>97.776942468215154</v>
          </cell>
        </row>
        <row r="21">
          <cell r="AU21">
            <v>100.27176158202545</v>
          </cell>
        </row>
        <row r="22">
          <cell r="AU22">
            <v>99.294375681877099</v>
          </cell>
        </row>
        <row r="23">
          <cell r="AU23">
            <v>94.0155703648322</v>
          </cell>
        </row>
        <row r="25">
          <cell r="AU25">
            <v>103.50405139576692</v>
          </cell>
        </row>
        <row r="26">
          <cell r="AU26">
            <v>95.716844988758396</v>
          </cell>
        </row>
        <row r="27">
          <cell r="AU27">
            <v>95.930260280243118</v>
          </cell>
        </row>
        <row r="28">
          <cell r="AU28">
            <v>91.893952811328091</v>
          </cell>
        </row>
        <row r="29">
          <cell r="AU29">
            <v>113.58212162131902</v>
          </cell>
        </row>
        <row r="30">
          <cell r="AU30">
            <v>90.487433811004081</v>
          </cell>
        </row>
        <row r="31">
          <cell r="AU31">
            <v>102.62581305950147</v>
          </cell>
        </row>
        <row r="32">
          <cell r="AU32">
            <v>97.191888885824653</v>
          </cell>
        </row>
        <row r="34">
          <cell r="AU34">
            <v>90.907169651305182</v>
          </cell>
        </row>
        <row r="35">
          <cell r="AU35">
            <v>91.553613748299583</v>
          </cell>
        </row>
        <row r="36">
          <cell r="AU36">
            <v>95.905976258581575</v>
          </cell>
        </row>
        <row r="37">
          <cell r="AU37">
            <v>96.879053203911113</v>
          </cell>
        </row>
        <row r="38">
          <cell r="AU38">
            <v>95.469150075246716</v>
          </cell>
        </row>
        <row r="39">
          <cell r="AU39">
            <v>94.854987439727708</v>
          </cell>
        </row>
        <row r="40">
          <cell r="AU40">
            <v>96.379391191673903</v>
          </cell>
        </row>
        <row r="41">
          <cell r="AU41">
            <v>96.151545309064119</v>
          </cell>
        </row>
        <row r="43">
          <cell r="AU43">
            <v>91.8653198132276</v>
          </cell>
        </row>
        <row r="44">
          <cell r="AU44">
            <v>96.795098985422072</v>
          </cell>
        </row>
        <row r="45">
          <cell r="AU45">
            <v>98.720710514490094</v>
          </cell>
        </row>
        <row r="46">
          <cell r="AU46">
            <v>95.915862303234761</v>
          </cell>
        </row>
        <row r="47">
          <cell r="AU47">
            <v>95.695713342598523</v>
          </cell>
        </row>
        <row r="48">
          <cell r="AU48">
            <v>96.347140813579983</v>
          </cell>
        </row>
        <row r="49">
          <cell r="AU49">
            <v>96.451268893467329</v>
          </cell>
        </row>
        <row r="50">
          <cell r="AU50">
            <v>97.996131903201018</v>
          </cell>
        </row>
        <row r="51">
          <cell r="AU51">
            <v>96.505256206141482</v>
          </cell>
        </row>
        <row r="52">
          <cell r="AU52">
            <v>94.58580500070201</v>
          </cell>
        </row>
        <row r="53">
          <cell r="AU53">
            <v>98.906990347725127</v>
          </cell>
        </row>
        <row r="54">
          <cell r="AU54">
            <v>94.944884823994201</v>
          </cell>
        </row>
        <row r="55">
          <cell r="AU55">
            <v>95.472821437606697</v>
          </cell>
        </row>
        <row r="56">
          <cell r="AU56">
            <v>95.226977398578171</v>
          </cell>
        </row>
        <row r="57">
          <cell r="AU57">
            <v>94.66429901148345</v>
          </cell>
        </row>
        <row r="58">
          <cell r="AU58">
            <v>100.57784401994616</v>
          </cell>
        </row>
        <row r="59">
          <cell r="AU59">
            <v>98.401209978530773</v>
          </cell>
        </row>
        <row r="60">
          <cell r="AU60">
            <v>99.190946222442903</v>
          </cell>
        </row>
        <row r="62">
          <cell r="AU62">
            <v>93.161813188441059</v>
          </cell>
        </row>
        <row r="63">
          <cell r="AU63">
            <v>94.223463593248454</v>
          </cell>
        </row>
        <row r="64">
          <cell r="AU64">
            <v>96.163448111596551</v>
          </cell>
        </row>
        <row r="65">
          <cell r="AU65">
            <v>94.716056167153823</v>
          </cell>
        </row>
        <row r="66">
          <cell r="AU66">
            <v>94.701980871315456</v>
          </cell>
        </row>
        <row r="67">
          <cell r="AU67">
            <v>95.107716330527765</v>
          </cell>
        </row>
        <row r="68">
          <cell r="AU68">
            <v>99.423613630730074</v>
          </cell>
        </row>
        <row r="69">
          <cell r="AU69">
            <v>99.424512800846912</v>
          </cell>
        </row>
        <row r="71">
          <cell r="AU71">
            <v>90.115532940848027</v>
          </cell>
        </row>
        <row r="72">
          <cell r="AU72">
            <v>93.319538123450741</v>
          </cell>
        </row>
        <row r="73">
          <cell r="AU73">
            <v>96.501709911750197</v>
          </cell>
        </row>
        <row r="74">
          <cell r="AU74">
            <v>95.68627961946747</v>
          </cell>
        </row>
        <row r="75">
          <cell r="AU75">
            <v>97.397906496405696</v>
          </cell>
        </row>
        <row r="76">
          <cell r="AU76">
            <v>96.111036489762782</v>
          </cell>
        </row>
        <row r="77">
          <cell r="AU77">
            <v>95.790840926804705</v>
          </cell>
        </row>
        <row r="78">
          <cell r="AU78">
            <v>96.182715916625327</v>
          </cell>
        </row>
        <row r="79">
          <cell r="AU79">
            <v>96.174717353971133</v>
          </cell>
        </row>
        <row r="80">
          <cell r="AU80">
            <v>98.290298755105752</v>
          </cell>
        </row>
        <row r="81">
          <cell r="AU81">
            <v>93.857635635262497</v>
          </cell>
        </row>
        <row r="82">
          <cell r="AU82">
            <v>96.686192958400923</v>
          </cell>
        </row>
        <row r="83">
          <cell r="AU83">
            <v>98.754274807353042</v>
          </cell>
        </row>
        <row r="84">
          <cell r="AU84">
            <v>98.83341801627445</v>
          </cell>
        </row>
        <row r="85">
          <cell r="AU85">
            <v>93.739995346186404</v>
          </cell>
        </row>
        <row r="86">
          <cell r="AU86">
            <v>96.883913162140757</v>
          </cell>
        </row>
        <row r="87">
          <cell r="AU87">
            <v>96.114279340546588</v>
          </cell>
        </row>
        <row r="88">
          <cell r="AU88">
            <v>96.644961994715146</v>
          </cell>
        </row>
        <row r="90">
          <cell r="AU90">
            <v>96.199574054545806</v>
          </cell>
        </row>
        <row r="91">
          <cell r="AU91">
            <v>96.990520431357425</v>
          </cell>
        </row>
        <row r="92">
          <cell r="AU92">
            <v>96.576570379573766</v>
          </cell>
        </row>
        <row r="93">
          <cell r="AU93">
            <v>97.958929323440969</v>
          </cell>
        </row>
        <row r="94">
          <cell r="AU94">
            <v>94.968203123829284</v>
          </cell>
        </row>
        <row r="95">
          <cell r="AU95">
            <v>96.13948802609309</v>
          </cell>
        </row>
        <row r="96">
          <cell r="AU96">
            <v>96.966158594827462</v>
          </cell>
        </row>
        <row r="97">
          <cell r="AU97">
            <v>94.938560144721919</v>
          </cell>
        </row>
        <row r="99">
          <cell r="A99" t="str">
            <v>GU077</v>
          </cell>
          <cell r="O99">
            <v>58</v>
          </cell>
          <cell r="R99">
            <v>8.5204991087344037</v>
          </cell>
          <cell r="T99">
            <v>0.45</v>
          </cell>
          <cell r="U99">
            <v>0.57430555555555551</v>
          </cell>
          <cell r="V99">
            <v>59</v>
          </cell>
          <cell r="Z99">
            <v>0.28611111111111109</v>
          </cell>
          <cell r="AF99">
            <v>52.4</v>
          </cell>
          <cell r="AG99">
            <v>17.3</v>
          </cell>
          <cell r="AI99">
            <v>50.6</v>
          </cell>
          <cell r="AU99">
            <v>95.02973839984999</v>
          </cell>
          <cell r="AV99">
            <v>95.666836995401127</v>
          </cell>
          <cell r="AW99" t="str">
            <v>K. Benjamin</v>
          </cell>
        </row>
        <row r="100">
          <cell r="A100" t="str">
            <v>GU078</v>
          </cell>
          <cell r="O100">
            <v>59</v>
          </cell>
          <cell r="R100">
            <v>9.5900178253119464</v>
          </cell>
          <cell r="T100">
            <v>0.5756944444444444</v>
          </cell>
          <cell r="U100">
            <v>0.69791666666666663</v>
          </cell>
          <cell r="V100">
            <v>69</v>
          </cell>
          <cell r="Z100">
            <v>0.28124999999999994</v>
          </cell>
          <cell r="AF100">
            <v>51.8</v>
          </cell>
          <cell r="AG100">
            <v>17.5</v>
          </cell>
          <cell r="AI100">
            <v>50.5</v>
          </cell>
          <cell r="AU100">
            <v>96.659796680203456</v>
          </cell>
          <cell r="AV100">
            <v>97.306811456215726</v>
          </cell>
          <cell r="AW100" t="str">
            <v>R. Regis</v>
          </cell>
        </row>
        <row r="101">
          <cell r="A101" t="str">
            <v>GU079</v>
          </cell>
          <cell r="O101">
            <v>61</v>
          </cell>
          <cell r="R101">
            <v>8.892857142857137</v>
          </cell>
          <cell r="T101">
            <v>0.69444444444444442</v>
          </cell>
          <cell r="U101">
            <v>0.81527777777777777</v>
          </cell>
          <cell r="V101">
            <v>67</v>
          </cell>
          <cell r="Z101">
            <v>0.28402777777777777</v>
          </cell>
          <cell r="AF101">
            <v>53</v>
          </cell>
          <cell r="AG101">
            <v>17</v>
          </cell>
          <cell r="AI101">
            <v>51.8</v>
          </cell>
          <cell r="AU101">
            <v>95.899301321002682</v>
          </cell>
          <cell r="AV101">
            <v>96.541561842172811</v>
          </cell>
          <cell r="AW101" t="str">
            <v>R. Regis</v>
          </cell>
        </row>
        <row r="102">
          <cell r="A102" t="str">
            <v>GU080</v>
          </cell>
          <cell r="O102">
            <v>60</v>
          </cell>
          <cell r="R102">
            <v>7.4509803921568629</v>
          </cell>
          <cell r="T102">
            <v>0.80347222222222225</v>
          </cell>
          <cell r="U102">
            <v>0.92083333333333328</v>
          </cell>
          <cell r="V102">
            <v>65</v>
          </cell>
          <cell r="Z102">
            <v>0.27499999999999991</v>
          </cell>
          <cell r="AF102">
            <v>53</v>
          </cell>
          <cell r="AG102">
            <v>17.2</v>
          </cell>
          <cell r="AI102">
            <v>51.6</v>
          </cell>
          <cell r="AU102">
            <v>96.739594506578101</v>
          </cell>
          <cell r="AV102">
            <v>97.387482671869392</v>
          </cell>
          <cell r="AW102" t="str">
            <v>D. Gomaz</v>
          </cell>
        </row>
        <row r="103">
          <cell r="A103" t="str">
            <v>GU081</v>
          </cell>
          <cell r="O103">
            <v>59</v>
          </cell>
          <cell r="R103">
            <v>9.411764705882355</v>
          </cell>
          <cell r="T103">
            <v>0.91666666666666663</v>
          </cell>
          <cell r="U103">
            <v>1.0506944444444444</v>
          </cell>
          <cell r="V103">
            <v>59</v>
          </cell>
          <cell r="Z103">
            <v>0.29374999999999996</v>
          </cell>
          <cell r="AF103">
            <v>51.9</v>
          </cell>
          <cell r="AG103">
            <v>17.3</v>
          </cell>
          <cell r="AI103">
            <v>49.4</v>
          </cell>
          <cell r="AU103">
            <v>93.592658671733744</v>
          </cell>
          <cell r="AV103">
            <v>94.218923168122899</v>
          </cell>
          <cell r="AW103" t="str">
            <v>D. Gomaz</v>
          </cell>
        </row>
        <row r="104">
          <cell r="A104" t="str">
            <v>GU082</v>
          </cell>
          <cell r="O104">
            <v>60</v>
          </cell>
          <cell r="R104">
            <v>4.4285714285714226</v>
          </cell>
          <cell r="T104">
            <v>1.0277777777777777</v>
          </cell>
          <cell r="U104">
            <v>1.1611111111111112</v>
          </cell>
          <cell r="V104">
            <v>60</v>
          </cell>
          <cell r="Z104">
            <v>0.28958333333333341</v>
          </cell>
          <cell r="AF104">
            <v>54.6</v>
          </cell>
          <cell r="AG104">
            <v>17.2</v>
          </cell>
          <cell r="AI104">
            <v>52.9</v>
          </cell>
          <cell r="AU104">
            <v>99.414523178212718</v>
          </cell>
          <cell r="AV104">
            <v>100.07997735518899</v>
          </cell>
          <cell r="AW104" t="str">
            <v>K. Benjamin</v>
          </cell>
        </row>
        <row r="105">
          <cell r="A105" t="str">
            <v>GU083</v>
          </cell>
          <cell r="O105">
            <v>60</v>
          </cell>
          <cell r="R105">
            <v>4.7857142857142856</v>
          </cell>
          <cell r="T105">
            <v>1.1409722222222223</v>
          </cell>
          <cell r="U105">
            <v>1.2784722222222222</v>
          </cell>
          <cell r="V105">
            <v>64</v>
          </cell>
          <cell r="Z105">
            <v>0.28541666666666665</v>
          </cell>
          <cell r="AF105">
            <v>54.4</v>
          </cell>
          <cell r="AG105">
            <v>17.2</v>
          </cell>
          <cell r="AI105">
            <v>52.1</v>
          </cell>
          <cell r="AU105">
            <v>97.989371573302947</v>
          </cell>
          <cell r="AV105">
            <v>98.645171259335569</v>
          </cell>
          <cell r="AW105" t="str">
            <v>K. Benjamin</v>
          </cell>
        </row>
        <row r="106">
          <cell r="A106" t="str">
            <v>GU084</v>
          </cell>
          <cell r="O106">
            <v>59</v>
          </cell>
          <cell r="R106">
            <v>5.4999999999999973</v>
          </cell>
          <cell r="T106">
            <v>0.26874999999999999</v>
          </cell>
          <cell r="U106">
            <v>0.39444444444444443</v>
          </cell>
          <cell r="V106">
            <v>60</v>
          </cell>
          <cell r="Z106">
            <v>0.28680555555555554</v>
          </cell>
          <cell r="AF106">
            <v>54</v>
          </cell>
          <cell r="AG106">
            <v>17</v>
          </cell>
          <cell r="AI106">
            <v>51.24</v>
          </cell>
          <cell r="AU106">
            <v>96.371888664415408</v>
          </cell>
          <cell r="AV106">
            <v>97.016863250064389</v>
          </cell>
          <cell r="AW106" t="str">
            <v>K. Benjamin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VitaMalt - Operator Performance"/>
      <sheetName val="BrewMaterials"/>
      <sheetName val="Brewhouse"/>
      <sheetName val="Process"/>
      <sheetName val="Summary August '26 "/>
      <sheetName val="Summary July '26"/>
      <sheetName val="Summary June '26"/>
      <sheetName val="Summary May '26"/>
      <sheetName val="Summary April '26"/>
      <sheetName val="Summary March '26"/>
      <sheetName val="Summary February '26"/>
      <sheetName val="Packaging"/>
      <sheetName val="Summary January '26 "/>
      <sheetName val="Summary December '25"/>
      <sheetName val="Summary November '25"/>
      <sheetName val="Summary October '25"/>
      <sheetName val="Summary September '25"/>
      <sheetName val="Summary August '25"/>
      <sheetName val="Summary July '25"/>
      <sheetName val="Summary June '25"/>
      <sheetName val="Summary May '25"/>
      <sheetName val="Summary April '25"/>
      <sheetName val="Summary March '25"/>
      <sheetName val="Summary February '25"/>
      <sheetName val="Summary January '25"/>
      <sheetName val="Summary December '24 "/>
    </sheetNames>
    <sheetDataSet>
      <sheetData sheetId="0"/>
      <sheetData sheetId="1"/>
      <sheetData sheetId="2">
        <row r="23">
          <cell r="AV23">
            <v>97.339468430709204</v>
          </cell>
        </row>
        <row r="24">
          <cell r="AV24">
            <v>103.731151868401</v>
          </cell>
        </row>
        <row r="25">
          <cell r="AV25">
            <v>94.959846867032411</v>
          </cell>
        </row>
        <row r="26">
          <cell r="AV26">
            <v>97.339468430709204</v>
          </cell>
        </row>
        <row r="27">
          <cell r="AV27">
            <v>97.058295684709279</v>
          </cell>
        </row>
        <row r="28">
          <cell r="AV28">
            <v>97.867114815415192</v>
          </cell>
        </row>
        <row r="29">
          <cell r="AV29">
            <v>98.093597805251179</v>
          </cell>
        </row>
        <row r="30">
          <cell r="AV30">
            <v>102.88783663744221</v>
          </cell>
        </row>
        <row r="31">
          <cell r="AV31">
            <v>96.899121806418265</v>
          </cell>
        </row>
        <row r="32">
          <cell r="AV32">
            <v>98.250925468415389</v>
          </cell>
        </row>
        <row r="33">
          <cell r="AV33">
            <v>96.894670333550806</v>
          </cell>
        </row>
        <row r="34">
          <cell r="AV34">
            <v>98.444969429182507</v>
          </cell>
        </row>
        <row r="36">
          <cell r="AV36">
            <v>96.535163112888242</v>
          </cell>
        </row>
        <row r="38">
          <cell r="AV38">
            <v>96.780047980030858</v>
          </cell>
        </row>
        <row r="39">
          <cell r="AV39">
            <v>97.023341517405328</v>
          </cell>
        </row>
        <row r="40">
          <cell r="AV40">
            <v>96.378271472837781</v>
          </cell>
        </row>
        <row r="41">
          <cell r="AV41">
            <v>96.736022639137431</v>
          </cell>
        </row>
        <row r="42">
          <cell r="AV42">
            <v>97.949689692825132</v>
          </cell>
        </row>
        <row r="43">
          <cell r="AV43">
            <v>95.818529932594828</v>
          </cell>
        </row>
        <row r="44">
          <cell r="AV44">
            <v>97.823512224151031</v>
          </cell>
        </row>
        <row r="45">
          <cell r="AV45">
            <v>95.481796103254354</v>
          </cell>
        </row>
        <row r="46">
          <cell r="AV46">
            <v>98.065568882791581</v>
          </cell>
        </row>
        <row r="47">
          <cell r="AV47">
            <v>97.055454228278464</v>
          </cell>
        </row>
        <row r="48">
          <cell r="AV48">
            <v>99.652179089121645</v>
          </cell>
        </row>
        <row r="49">
          <cell r="AV49">
            <v>99.135667211498472</v>
          </cell>
        </row>
        <row r="50">
          <cell r="AV50">
            <v>99.232905943935492</v>
          </cell>
        </row>
        <row r="51">
          <cell r="AV51">
            <v>98.11852940599799</v>
          </cell>
        </row>
        <row r="52">
          <cell r="AV52">
            <v>92.3621562467644</v>
          </cell>
        </row>
        <row r="54">
          <cell r="AV54">
            <v>97.205782019322555</v>
          </cell>
        </row>
        <row r="55">
          <cell r="AV55">
            <v>100.49327592303123</v>
          </cell>
        </row>
        <row r="56">
          <cell r="AV56">
            <v>95.451783031665798</v>
          </cell>
        </row>
        <row r="57">
          <cell r="AV57">
            <v>97.260343131213148</v>
          </cell>
        </row>
        <row r="58">
          <cell r="AV58">
            <v>96.759736809930104</v>
          </cell>
        </row>
        <row r="59">
          <cell r="AV59">
            <v>97.064501819306201</v>
          </cell>
        </row>
        <row r="60">
          <cell r="AV60">
            <v>92.16222714184731</v>
          </cell>
        </row>
        <row r="62">
          <cell r="AV62">
            <v>94.315096961978696</v>
          </cell>
        </row>
        <row r="63">
          <cell r="AV63">
            <v>103.32629416839619</v>
          </cell>
        </row>
        <row r="64">
          <cell r="AV64">
            <v>94.325329127415785</v>
          </cell>
        </row>
        <row r="65">
          <cell r="AV65">
            <v>99.559385897285338</v>
          </cell>
        </row>
        <row r="66">
          <cell r="AV66">
            <v>98.574517909783509</v>
          </cell>
        </row>
        <row r="67">
          <cell r="AV67">
            <v>98.349199351665135</v>
          </cell>
        </row>
        <row r="68">
          <cell r="AV68">
            <v>99.563420889013372</v>
          </cell>
        </row>
        <row r="69">
          <cell r="AV69">
            <v>94.282423715374435</v>
          </cell>
        </row>
        <row r="71">
          <cell r="AV71">
            <v>97.883898930705087</v>
          </cell>
        </row>
        <row r="72">
          <cell r="AV72">
            <v>95.141628345733025</v>
          </cell>
        </row>
        <row r="73">
          <cell r="AV73">
            <v>95.141628345733025</v>
          </cell>
        </row>
        <row r="74">
          <cell r="AV74">
            <v>96.552234033434374</v>
          </cell>
        </row>
        <row r="75">
          <cell r="AV75">
            <v>101.51532621901858</v>
          </cell>
        </row>
        <row r="76">
          <cell r="AV76">
            <v>99.061358902734597</v>
          </cell>
        </row>
        <row r="77">
          <cell r="AV77">
            <v>98.035869286989112</v>
          </cell>
        </row>
        <row r="78">
          <cell r="AV78">
            <v>100.45103223776147</v>
          </cell>
        </row>
        <row r="80">
          <cell r="AV80">
            <v>92.087638309893123</v>
          </cell>
        </row>
        <row r="81">
          <cell r="AV81">
            <v>97.080324236401211</v>
          </cell>
        </row>
        <row r="82">
          <cell r="AV82">
            <v>98.952684690449885</v>
          </cell>
        </row>
        <row r="83">
          <cell r="AV83">
            <v>95.698441661092332</v>
          </cell>
        </row>
        <row r="84">
          <cell r="AV84">
            <v>98.454113654549573</v>
          </cell>
        </row>
        <row r="85">
          <cell r="AV85">
            <v>101.44729018684779</v>
          </cell>
        </row>
        <row r="86">
          <cell r="AV86">
            <v>94.795008863120074</v>
          </cell>
        </row>
        <row r="87">
          <cell r="AV87">
            <v>98.362423977139869</v>
          </cell>
        </row>
        <row r="89">
          <cell r="AV89">
            <v>98.966709364408175</v>
          </cell>
        </row>
        <row r="90">
          <cell r="AV90">
            <v>96.872876691950268</v>
          </cell>
        </row>
        <row r="91">
          <cell r="AV91">
            <v>98.438453135356141</v>
          </cell>
        </row>
        <row r="92">
          <cell r="AV92">
            <v>98.648257968141067</v>
          </cell>
        </row>
        <row r="93">
          <cell r="AV93">
            <v>97.15488267089502</v>
          </cell>
        </row>
        <row r="94">
          <cell r="AV94">
            <v>97.674325034697105</v>
          </cell>
        </row>
        <row r="95">
          <cell r="AV95">
            <v>97.88449261906382</v>
          </cell>
        </row>
        <row r="96">
          <cell r="AV96">
            <v>97.580137789132138</v>
          </cell>
        </row>
        <row r="98">
          <cell r="A98" t="str">
            <v>VM068</v>
          </cell>
          <cell r="R98">
            <v>62</v>
          </cell>
          <cell r="S98">
            <v>18.00376647834274</v>
          </cell>
          <cell r="V98">
            <v>0.29722222222222222</v>
          </cell>
          <cell r="W98">
            <v>0.44166666666666665</v>
          </cell>
          <cell r="X98">
            <v>82</v>
          </cell>
          <cell r="AB98">
            <v>0.28888888888888886</v>
          </cell>
          <cell r="AE98">
            <v>53.1</v>
          </cell>
          <cell r="AH98">
            <v>14.2</v>
          </cell>
          <cell r="AJ98">
            <v>45.7</v>
          </cell>
          <cell r="AV98">
            <v>92.124816670346675</v>
          </cell>
          <cell r="AW98">
            <v>92.341602453651106</v>
          </cell>
          <cell r="AZ98" t="str">
            <v>R. Regis</v>
          </cell>
        </row>
        <row r="99">
          <cell r="A99" t="str">
            <v>VM069</v>
          </cell>
          <cell r="R99">
            <v>56</v>
          </cell>
          <cell r="S99">
            <v>13.293413173652702</v>
          </cell>
          <cell r="V99">
            <v>0.41388888888888886</v>
          </cell>
          <cell r="W99">
            <v>0.57361111111111107</v>
          </cell>
          <cell r="X99">
            <v>106</v>
          </cell>
          <cell r="AB99">
            <v>0.31319444444444439</v>
          </cell>
          <cell r="AE99">
            <v>50.1</v>
          </cell>
          <cell r="AH99">
            <v>14.4</v>
          </cell>
          <cell r="AJ99">
            <v>47.8</v>
          </cell>
          <cell r="AV99">
            <v>97.836600220342262</v>
          </cell>
          <cell r="AW99">
            <v>98.066826827907789</v>
          </cell>
          <cell r="AZ99" t="str">
            <v>R. Regis</v>
          </cell>
        </row>
        <row r="100">
          <cell r="A100" t="str">
            <v>VM070</v>
          </cell>
          <cell r="R100">
            <v>58</v>
          </cell>
          <cell r="S100">
            <v>10.919999999999987</v>
          </cell>
          <cell r="V100">
            <v>0.51944444444444449</v>
          </cell>
          <cell r="W100">
            <v>0.69374999999999998</v>
          </cell>
          <cell r="X100">
            <v>141</v>
          </cell>
          <cell r="AB100">
            <v>0.3256944444444444</v>
          </cell>
          <cell r="AE100">
            <v>50</v>
          </cell>
          <cell r="AH100">
            <v>14.3</v>
          </cell>
          <cell r="AJ100">
            <v>47.9</v>
          </cell>
          <cell r="AV100">
            <v>97.268286296619394</v>
          </cell>
          <cell r="AW100">
            <v>97.49717556226588</v>
          </cell>
          <cell r="AZ100" t="str">
            <v>R.Sookram</v>
          </cell>
        </row>
        <row r="101">
          <cell r="A101" t="str">
            <v>VM071</v>
          </cell>
          <cell r="R101">
            <v>61</v>
          </cell>
          <cell r="S101">
            <v>6.9061876247505012</v>
          </cell>
          <cell r="V101">
            <v>0.65069444444444446</v>
          </cell>
          <cell r="W101">
            <v>0.78888888888888886</v>
          </cell>
          <cell r="X101">
            <v>79</v>
          </cell>
          <cell r="AB101">
            <v>0.31319444444444444</v>
          </cell>
          <cell r="AE101">
            <v>50.1</v>
          </cell>
          <cell r="AH101">
            <v>14.4</v>
          </cell>
          <cell r="AJ101">
            <v>48.1</v>
          </cell>
          <cell r="AV101">
            <v>98.450637460218914</v>
          </cell>
          <cell r="AW101">
            <v>98.682309004651998</v>
          </cell>
          <cell r="AZ101" t="str">
            <v>R.Sookram</v>
          </cell>
        </row>
        <row r="102">
          <cell r="A102" t="str">
            <v>VM072</v>
          </cell>
          <cell r="R102">
            <v>62</v>
          </cell>
          <cell r="S102">
            <v>7.3199999999999932</v>
          </cell>
          <cell r="V102">
            <v>0.74861111111111112</v>
          </cell>
          <cell r="W102">
            <v>0.90069444444444446</v>
          </cell>
          <cell r="X102">
            <v>78</v>
          </cell>
          <cell r="AB102">
            <v>0.31736111111111109</v>
          </cell>
          <cell r="AE102">
            <v>50</v>
          </cell>
          <cell r="AH102">
            <v>14.5</v>
          </cell>
          <cell r="AJ102">
            <v>47.8</v>
          </cell>
          <cell r="AV102">
            <v>98.439885250271644</v>
          </cell>
          <cell r="AW102">
            <v>98.672507668760602</v>
          </cell>
          <cell r="AZ102" t="str">
            <v>R.Sookram</v>
          </cell>
        </row>
        <row r="103">
          <cell r="A103" t="str">
            <v>VM073</v>
          </cell>
          <cell r="R103">
            <v>62</v>
          </cell>
          <cell r="S103">
            <v>7.7199999999999989</v>
          </cell>
          <cell r="V103">
            <v>0.86527777777777781</v>
          </cell>
          <cell r="W103">
            <v>1.0208333333333333</v>
          </cell>
          <cell r="X103">
            <v>87</v>
          </cell>
          <cell r="AB103">
            <v>0.30555555555555547</v>
          </cell>
          <cell r="AE103">
            <v>50</v>
          </cell>
          <cell r="AH103">
            <v>14.3</v>
          </cell>
          <cell r="AJ103">
            <v>48.4</v>
          </cell>
          <cell r="AV103">
            <v>98.804599004474028</v>
          </cell>
          <cell r="AW103">
            <v>99.032173651276878</v>
          </cell>
          <cell r="AZ103" t="str">
            <v>K. Benjamin</v>
          </cell>
        </row>
        <row r="104">
          <cell r="A104" t="str">
            <v>VM074</v>
          </cell>
          <cell r="R104">
            <v>58</v>
          </cell>
          <cell r="S104">
            <v>6.307385229540925</v>
          </cell>
          <cell r="AE104">
            <v>50.1</v>
          </cell>
          <cell r="AH104">
            <v>14.4</v>
          </cell>
          <cell r="AJ104">
            <v>47.75</v>
          </cell>
          <cell r="AV104">
            <v>97.631300789958658</v>
          </cell>
          <cell r="AW104">
            <v>97.862012449691321</v>
          </cell>
          <cell r="AZ104" t="str">
            <v>K. Benjamin</v>
          </cell>
        </row>
        <row r="105">
          <cell r="A105" t="str">
            <v>VM075</v>
          </cell>
          <cell r="R105">
            <v>60</v>
          </cell>
          <cell r="S105">
            <v>5.9199999999999875</v>
          </cell>
          <cell r="V105">
            <v>1.1090277777777777</v>
          </cell>
          <cell r="W105">
            <v>1.2597222222222222</v>
          </cell>
          <cell r="X105">
            <v>88</v>
          </cell>
          <cell r="AB105">
            <v>0.32222222222222219</v>
          </cell>
          <cell r="AE105">
            <v>50</v>
          </cell>
          <cell r="AH105">
            <v>14.2</v>
          </cell>
          <cell r="AJ105">
            <v>49.6</v>
          </cell>
          <cell r="AV105">
            <v>99.881339189324365</v>
          </cell>
          <cell r="AW105">
            <v>100.11736789481367</v>
          </cell>
          <cell r="AZ105" t="str">
            <v>K. Benjamin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ProcessMaterials"/>
      <sheetName val="PackMaterials"/>
      <sheetName val="Operator Performance '16"/>
      <sheetName val="Operator Performance '17"/>
      <sheetName val="Operator Performance '18"/>
      <sheetName val="Brew Times"/>
      <sheetName val="BrewMaterials"/>
      <sheetName val="Brewhouse"/>
      <sheetName val="Process"/>
      <sheetName val="Summary September '26"/>
      <sheetName val="Summary July '26"/>
      <sheetName val="Summary May '26 "/>
      <sheetName val="Packaging"/>
      <sheetName val="Summary January'26"/>
      <sheetName val="Summary October'25"/>
      <sheetName val="Summary September'25"/>
      <sheetName val="Summary August'25"/>
      <sheetName val="Summary July'25"/>
      <sheetName val="Summary June'25"/>
      <sheetName val="Summary May'25"/>
      <sheetName val="Summary April'25"/>
      <sheetName val="Summary March'25 "/>
      <sheetName val="Summary February'25"/>
      <sheetName val="Summary January'2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4">
          <cell r="A4" t="str">
            <v>MK001</v>
          </cell>
          <cell r="AT4">
            <v>95.757584041187528</v>
          </cell>
        </row>
        <row r="5">
          <cell r="AT5">
            <v>95.858102632741591</v>
          </cell>
        </row>
        <row r="6">
          <cell r="AT6">
            <v>91.101781537342561</v>
          </cell>
        </row>
        <row r="7">
          <cell r="AT7">
            <v>96.220044255599106</v>
          </cell>
        </row>
        <row r="8">
          <cell r="AT8">
            <v>91.159176033097395</v>
          </cell>
        </row>
        <row r="9">
          <cell r="AT9">
            <v>86.497061610388243</v>
          </cell>
        </row>
        <row r="10">
          <cell r="AT10">
            <v>90.533857449292626</v>
          </cell>
        </row>
        <row r="11">
          <cell r="AT11">
            <v>95.482188504770065</v>
          </cell>
        </row>
        <row r="13">
          <cell r="AT13">
            <v>90.128375863432225</v>
          </cell>
        </row>
        <row r="14">
          <cell r="AT14">
            <v>88.195975747735361</v>
          </cell>
        </row>
        <row r="15">
          <cell r="AT15">
            <v>88.458193469652173</v>
          </cell>
        </row>
        <row r="16">
          <cell r="AT16">
            <v>89.068163344426111</v>
          </cell>
        </row>
        <row r="18">
          <cell r="AT18">
            <v>88.337016760508519</v>
          </cell>
        </row>
        <row r="19">
          <cell r="AT19">
            <v>94.828774942397658</v>
          </cell>
        </row>
        <row r="20">
          <cell r="AT20">
            <v>94.949182103443249</v>
          </cell>
        </row>
        <row r="21">
          <cell r="AT21">
            <v>92.747327972203848</v>
          </cell>
        </row>
        <row r="22">
          <cell r="AT22">
            <v>92.715575444638318</v>
          </cell>
        </row>
        <row r="23">
          <cell r="A23" t="str">
            <v>MK017</v>
          </cell>
          <cell r="R23">
            <v>111</v>
          </cell>
          <cell r="S23">
            <v>12.685918003565073</v>
          </cell>
          <cell r="V23">
            <v>0.87569444444444444</v>
          </cell>
          <cell r="W23">
            <v>1.0249999999999999</v>
          </cell>
          <cell r="X23">
            <v>53</v>
          </cell>
          <cell r="AA23">
            <v>0.31666666666666654</v>
          </cell>
          <cell r="AF23">
            <v>49.3</v>
          </cell>
          <cell r="AG23">
            <v>13</v>
          </cell>
          <cell r="AI23">
            <v>48.1</v>
          </cell>
          <cell r="AT23">
            <v>91.951723879434397</v>
          </cell>
          <cell r="AU23">
            <v>92.579945457932411</v>
          </cell>
          <cell r="AX23" t="str">
            <v>R.Regis</v>
          </cell>
        </row>
        <row r="24">
          <cell r="A24" t="str">
            <v>MK018</v>
          </cell>
          <cell r="R24">
            <v>95</v>
          </cell>
          <cell r="S24">
            <v>8.4228571428571417</v>
          </cell>
          <cell r="V24">
            <v>1.0534722222222221</v>
          </cell>
          <cell r="W24">
            <v>1.1923611111111112</v>
          </cell>
          <cell r="X24">
            <v>62</v>
          </cell>
          <cell r="AA24">
            <v>0.35902777777777783</v>
          </cell>
          <cell r="AF24">
            <v>51.6</v>
          </cell>
          <cell r="AG24">
            <v>13.1</v>
          </cell>
          <cell r="AI24">
            <v>51.1</v>
          </cell>
          <cell r="AT24">
            <v>96.150583729382561</v>
          </cell>
          <cell r="AU24">
            <v>96.807492256330661</v>
          </cell>
          <cell r="AX24" t="str">
            <v>R.Regis</v>
          </cell>
        </row>
        <row r="25">
          <cell r="A25" t="str">
            <v>MK019</v>
          </cell>
          <cell r="R25">
            <v>80</v>
          </cell>
          <cell r="S25">
            <v>9.3157142857142841</v>
          </cell>
          <cell r="V25">
            <v>1.1770833333333333</v>
          </cell>
          <cell r="W25">
            <v>1.3194444444444444</v>
          </cell>
          <cell r="X25">
            <v>55</v>
          </cell>
          <cell r="AA25">
            <v>0.34375</v>
          </cell>
          <cell r="AF25">
            <v>51.1</v>
          </cell>
          <cell r="AG25">
            <v>13.3</v>
          </cell>
          <cell r="AI25">
            <v>50.6</v>
          </cell>
          <cell r="AT25">
            <v>96.730919507263621</v>
          </cell>
          <cell r="AU25">
            <v>97.39179293495593</v>
          </cell>
          <cell r="AX25" t="str">
            <v>R.Regis</v>
          </cell>
        </row>
        <row r="26">
          <cell r="A26" t="str">
            <v>MK020</v>
          </cell>
          <cell r="R26">
            <v>75</v>
          </cell>
          <cell r="S26">
            <v>8.4078431372549005</v>
          </cell>
          <cell r="V26">
            <v>0.31180555555555556</v>
          </cell>
          <cell r="W26">
            <v>0.43819444444444444</v>
          </cell>
          <cell r="X26">
            <v>49</v>
          </cell>
          <cell r="AA26">
            <v>0.32361111111111113</v>
          </cell>
          <cell r="AF26">
            <v>51.7</v>
          </cell>
          <cell r="AG26">
            <v>13.3</v>
          </cell>
          <cell r="AI26">
            <v>51.1</v>
          </cell>
          <cell r="AT26">
            <v>97.686758632829481</v>
          </cell>
          <cell r="AU26">
            <v>98.354162430360631</v>
          </cell>
          <cell r="AX26" t="str">
            <v>R. Sookram</v>
          </cell>
        </row>
        <row r="27">
          <cell r="A27" t="str">
            <v>MK021</v>
          </cell>
          <cell r="R27">
            <v>75</v>
          </cell>
          <cell r="S27">
            <v>10.208571428571426</v>
          </cell>
          <cell r="V27">
            <v>0.40625</v>
          </cell>
          <cell r="W27">
            <v>0.55347222222222225</v>
          </cell>
          <cell r="X27">
            <v>53</v>
          </cell>
          <cell r="AA27">
            <v>0.31388888888888888</v>
          </cell>
          <cell r="AF27">
            <v>50.6</v>
          </cell>
          <cell r="AG27">
            <v>13.3</v>
          </cell>
          <cell r="AI27">
            <v>50.8</v>
          </cell>
          <cell r="AT27">
            <v>97.217049049093575</v>
          </cell>
          <cell r="AU27">
            <v>97.881105690196961</v>
          </cell>
          <cell r="AX27" t="str">
            <v>R. Sookram</v>
          </cell>
        </row>
        <row r="28">
          <cell r="A28" t="str">
            <v>MK022</v>
          </cell>
          <cell r="R28">
            <v>79</v>
          </cell>
          <cell r="S28">
            <v>10.565714285714289</v>
          </cell>
          <cell r="V28">
            <v>0.54374999999999996</v>
          </cell>
          <cell r="W28">
            <v>0.69513888888888886</v>
          </cell>
          <cell r="X28">
            <v>53</v>
          </cell>
          <cell r="AA28">
            <v>0.30972222222222218</v>
          </cell>
          <cell r="AF28">
            <v>50.4</v>
          </cell>
          <cell r="AG28">
            <v>13.3</v>
          </cell>
          <cell r="AI28">
            <v>49.8</v>
          </cell>
          <cell r="AT28">
            <v>95.303327611119286</v>
          </cell>
          <cell r="AU28">
            <v>95.954312271098587</v>
          </cell>
          <cell r="AX28" t="str">
            <v>K.Benjamin</v>
          </cell>
        </row>
        <row r="29">
          <cell r="A29" t="str">
            <v>MK023</v>
          </cell>
          <cell r="R29">
            <v>76</v>
          </cell>
          <cell r="S29">
            <v>8.7025830258302701</v>
          </cell>
          <cell r="V29">
            <v>0.68541666666666667</v>
          </cell>
          <cell r="W29">
            <v>0.80902777777777779</v>
          </cell>
          <cell r="X29">
            <v>47</v>
          </cell>
          <cell r="AA29">
            <v>0.30555555555555558</v>
          </cell>
          <cell r="AF29">
            <v>49.8</v>
          </cell>
          <cell r="AG29">
            <v>13.8</v>
          </cell>
          <cell r="AI29">
            <v>49.3</v>
          </cell>
          <cell r="AT29">
            <v>97.085382097037311</v>
          </cell>
          <cell r="AU29">
            <v>97.749905018459387</v>
          </cell>
          <cell r="AX29" t="str">
            <v>K.Benjamin</v>
          </cell>
        </row>
        <row r="30">
          <cell r="A30" t="str">
            <v>MK024</v>
          </cell>
          <cell r="R30">
            <v>76</v>
          </cell>
          <cell r="S30">
            <v>7.964575645756458</v>
          </cell>
          <cell r="V30">
            <v>0.80347222222222225</v>
          </cell>
          <cell r="W30">
            <v>0.92500000000000004</v>
          </cell>
          <cell r="X30">
            <v>53</v>
          </cell>
          <cell r="AA30">
            <v>0.27916666666666667</v>
          </cell>
          <cell r="AF30">
            <v>50.2</v>
          </cell>
          <cell r="AG30">
            <v>13.5</v>
          </cell>
          <cell r="AI30">
            <v>49.7</v>
          </cell>
          <cell r="AT30">
            <v>96.401573752548614</v>
          </cell>
          <cell r="AU30">
            <v>97.060333676549575</v>
          </cell>
          <cell r="AX30" t="str">
            <v>R.Regis</v>
          </cell>
        </row>
      </sheetData>
      <sheetData sheetId="8">
        <row r="4">
          <cell r="A4" t="str">
            <v>MK001</v>
          </cell>
        </row>
        <row r="27">
          <cell r="Y27">
            <v>1.9</v>
          </cell>
        </row>
        <row r="29">
          <cell r="Y29">
            <v>1.9</v>
          </cell>
        </row>
      </sheetData>
      <sheetData sheetId="9"/>
      <sheetData sheetId="10"/>
      <sheetData sheetId="11"/>
      <sheetData sheetId="12"/>
      <sheetData sheetId="13">
        <row r="22">
          <cell r="E22">
            <v>5765</v>
          </cell>
        </row>
      </sheetData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ec 18th"/>
      <sheetName val="Jan 2nd"/>
      <sheetName val="Jan 5th"/>
      <sheetName val="Jan 6th"/>
      <sheetName val="Jan 7th"/>
      <sheetName val="Jan 8th "/>
      <sheetName val="Jan 9th-10th"/>
      <sheetName val="Jan12th "/>
      <sheetName val="Jan13th"/>
      <sheetName val="Jan14th"/>
      <sheetName val="Jan15th"/>
      <sheetName val="Jan16-18th"/>
      <sheetName val="Jan19th "/>
      <sheetName val="Jan20th"/>
      <sheetName val="Jan21st"/>
      <sheetName val="Jan22nd"/>
      <sheetName val="Jan23rd"/>
      <sheetName val="Jan26th"/>
      <sheetName val="Jan27th"/>
      <sheetName val="Jan28th"/>
      <sheetName val="Jan29th"/>
      <sheetName val="Jan30th-31st"/>
      <sheetName val="MTD_Links"/>
      <sheetName val="YTD_Links"/>
      <sheetName val="KPIs"/>
      <sheetName val="Brewer Performanc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>
        <row r="42">
          <cell r="L42">
            <v>97.828041735841467</v>
          </cell>
        </row>
        <row r="47">
          <cell r="L47">
            <v>6.0869565217391308</v>
          </cell>
        </row>
      </sheetData>
      <sheetData sheetId="22"/>
      <sheetData sheetId="23"/>
      <sheetData sheetId="24"/>
      <sheetData sheetId="25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ec 18th"/>
      <sheetName val="Feb 2nd"/>
      <sheetName val="Feb 3rd"/>
      <sheetName val="Feb 4th"/>
      <sheetName val="Feb 5th"/>
      <sheetName val="Feb 6th"/>
      <sheetName val="Feb 9th"/>
      <sheetName val="Feb 10th"/>
      <sheetName val="Feb 11th"/>
      <sheetName val="Feb 12th"/>
      <sheetName val="Feb 13th"/>
      <sheetName val="Feb 16th"/>
      <sheetName val="Feb 17th"/>
      <sheetName val="Feb 18th "/>
      <sheetName val="Feb 19th"/>
      <sheetName val="Feb 20th"/>
      <sheetName val="Feb 23rd"/>
      <sheetName val="Feb 24th"/>
      <sheetName val="Feb 25th"/>
      <sheetName val="Feb 26th "/>
      <sheetName val="Feb 27th-28th"/>
      <sheetName val="MTD_Links"/>
      <sheetName val="YTD_Links"/>
      <sheetName val="KPIs"/>
      <sheetName val="Brewer Performanc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>
        <row r="39">
          <cell r="L39">
            <v>6.1</v>
          </cell>
        </row>
      </sheetData>
      <sheetData sheetId="20">
        <row r="45">
          <cell r="L45">
            <v>97.514550407372639</v>
          </cell>
        </row>
      </sheetData>
      <sheetData sheetId="21"/>
      <sheetData sheetId="22"/>
      <sheetData sheetId="23"/>
      <sheetData sheetId="2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ec 18th"/>
      <sheetName val="Mar 1st"/>
      <sheetName val="Mar 2nd"/>
      <sheetName val="Mar 3rd"/>
      <sheetName val="Mar 4th"/>
      <sheetName val="Mar 5th"/>
      <sheetName val="Mar 6th "/>
      <sheetName val="Mar 9th"/>
      <sheetName val="Mar 10th"/>
      <sheetName val="Mar 11th"/>
      <sheetName val="Mar 12th"/>
      <sheetName val="Mar 13th-15th"/>
      <sheetName val="Mar 16th"/>
      <sheetName val="Mar 18th"/>
      <sheetName val="Mar 19th"/>
      <sheetName val="Mar 20th -22nd"/>
      <sheetName val="Mar 23rd "/>
      <sheetName val="Mar 24th"/>
      <sheetName val="Mar 25th "/>
      <sheetName val="Mar 26th"/>
      <sheetName val="Mar 27th"/>
      <sheetName val="Mar 30th "/>
      <sheetName val="Mar 31st"/>
      <sheetName val="MTD_Links"/>
      <sheetName val="YTD_Links"/>
      <sheetName val="KPIs"/>
      <sheetName val="Brewer Performanc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>
        <row r="42">
          <cell r="L42">
            <v>98.106733433542104</v>
          </cell>
        </row>
        <row r="47">
          <cell r="L47">
            <v>7</v>
          </cell>
        </row>
      </sheetData>
      <sheetData sheetId="23"/>
      <sheetData sheetId="24"/>
      <sheetData sheetId="25"/>
      <sheetData sheetId="26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ec 18th"/>
      <sheetName val="Apr 1st"/>
      <sheetName val="Apr 2nd"/>
      <sheetName val="Apr 7th"/>
      <sheetName val="Apr 8th"/>
      <sheetName val="Apr 9th "/>
      <sheetName val="Apr 10th"/>
      <sheetName val="Apr 13th"/>
      <sheetName val="Apr 14th"/>
      <sheetName val="Apr 15th"/>
      <sheetName val="Apr 16th "/>
      <sheetName val="Apr 20th "/>
      <sheetName val="Apr 21st"/>
      <sheetName val="Apr 22nd"/>
      <sheetName val="Apr 23rd"/>
      <sheetName val="Apr 24th-26th"/>
      <sheetName val="Apr 27th"/>
      <sheetName val="Apr 28th"/>
      <sheetName val="Apr 29th "/>
      <sheetName val="Apr 30th"/>
      <sheetName val="MTD_Links"/>
      <sheetName val="YTD_Links"/>
      <sheetName val="KPIs"/>
      <sheetName val="Brewer Performanc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>
        <row r="41">
          <cell r="L41">
            <v>98.132364963553755</v>
          </cell>
        </row>
        <row r="46">
          <cell r="L46">
            <v>6.85</v>
          </cell>
        </row>
      </sheetData>
      <sheetData sheetId="20"/>
      <sheetData sheetId="21"/>
      <sheetData sheetId="22"/>
      <sheetData sheetId="23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ec 18th"/>
      <sheetName val="May 2nd-23rd"/>
      <sheetName val="May 4th"/>
      <sheetName val="May 5th"/>
      <sheetName val="May 6th"/>
      <sheetName val="May 7th"/>
      <sheetName val="May 8th -9th"/>
      <sheetName val="May 11th"/>
      <sheetName val="May 12th "/>
      <sheetName val="May 13th"/>
      <sheetName val="May 14th"/>
      <sheetName val="May 15th-16th"/>
      <sheetName val="May 18th"/>
      <sheetName val="May 19th "/>
      <sheetName val="May 20th"/>
      <sheetName val="May 21st"/>
      <sheetName val="May 22nd -23rd"/>
      <sheetName val="May 26th"/>
      <sheetName val="May 27th"/>
      <sheetName val="May 28th"/>
      <sheetName val="May 29th "/>
      <sheetName val="MTD_Links"/>
      <sheetName val="YTD_Links"/>
      <sheetName val="KPIs"/>
      <sheetName val="Brewer Performanc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>
        <row r="35">
          <cell r="L35">
            <v>97.796542845425648</v>
          </cell>
        </row>
        <row r="40">
          <cell r="L40">
            <v>5.5909090909090908</v>
          </cell>
        </row>
      </sheetData>
      <sheetData sheetId="21"/>
      <sheetData sheetId="22"/>
      <sheetData sheetId="23"/>
      <sheetData sheetId="2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ec 18th"/>
      <sheetName val="June 2nd"/>
      <sheetName val="June 3rd"/>
      <sheetName val="June 4th"/>
      <sheetName val="June 5th"/>
      <sheetName val="June 8th"/>
      <sheetName val="June 9th"/>
      <sheetName val="June 12th "/>
      <sheetName val="June 15th "/>
      <sheetName val="June 16th"/>
      <sheetName val="June 17th "/>
      <sheetName val="June 18th "/>
      <sheetName val="June 21st"/>
      <sheetName val="June 22nd"/>
      <sheetName val="June 23rd"/>
      <sheetName val="June 24th"/>
      <sheetName val="June 25th "/>
      <sheetName val="June 26th "/>
      <sheetName val="June 27th-28th"/>
      <sheetName val="June 29th"/>
      <sheetName val="June 30th"/>
      <sheetName val="MTD_Links"/>
      <sheetName val="YTD_Links"/>
      <sheetName val="KPIs"/>
      <sheetName val="Brewer Performanc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>
        <row r="32">
          <cell r="L32"/>
        </row>
        <row r="39">
          <cell r="L39">
            <v>6.4318181818181817</v>
          </cell>
        </row>
      </sheetData>
      <sheetData sheetId="21"/>
      <sheetData sheetId="22"/>
      <sheetData sheetId="23"/>
      <sheetData sheetId="24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ec 18th"/>
      <sheetName val="July 1st"/>
      <sheetName val="July 2nd"/>
      <sheetName val="July 3rd"/>
      <sheetName val="July 6th"/>
      <sheetName val="July 7th"/>
      <sheetName val="July 8th"/>
      <sheetName val="July 9th"/>
      <sheetName val="July 10th-12th"/>
      <sheetName val="July 13th"/>
      <sheetName val="July 14th "/>
      <sheetName val="July 15th "/>
      <sheetName val="July 16th"/>
      <sheetName val="July 17th-19th"/>
      <sheetName val="July20th "/>
      <sheetName val="July21st"/>
      <sheetName val="July22nd"/>
      <sheetName val="July23rd"/>
      <sheetName val="July24th"/>
      <sheetName val="July27th"/>
      <sheetName val="July28th "/>
      <sheetName val="July29th"/>
      <sheetName val="July30th"/>
      <sheetName val="July31st"/>
      <sheetName val="MTD_Links"/>
      <sheetName val="YTD_Links"/>
      <sheetName val="KPIs"/>
      <sheetName val="Brewer Performanc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>
        <row r="36">
          <cell r="L36">
            <v>97.851192921999655</v>
          </cell>
        </row>
        <row r="41">
          <cell r="L41">
            <v>6.3076923076923075</v>
          </cell>
        </row>
      </sheetData>
      <sheetData sheetId="24"/>
      <sheetData sheetId="25"/>
      <sheetData sheetId="26"/>
      <sheetData sheetId="27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ec 18th"/>
      <sheetName val="Aug 2nd"/>
      <sheetName val="Aug 3rd "/>
      <sheetName val="Aug 4th"/>
      <sheetName val="Aug 5th"/>
      <sheetName val="Aug 6th"/>
      <sheetName val="Aug 7th"/>
      <sheetName val="Aug 12th"/>
      <sheetName val="Aug 13th "/>
      <sheetName val="Aug 14th&amp;15th"/>
      <sheetName val="Aug 17th "/>
      <sheetName val="Aug 18th"/>
      <sheetName val="Aug 19th "/>
      <sheetName val="Aug 20th "/>
      <sheetName val="Aug 21st-22nd"/>
      <sheetName val="Aug 24th"/>
      <sheetName val="Aug 25th "/>
      <sheetName val="Aug 26th"/>
      <sheetName val="Aug 27th "/>
      <sheetName val="Aug 28th "/>
      <sheetName val="Aug 31st"/>
      <sheetName val="MTD_Links"/>
      <sheetName val="YTD_Links"/>
      <sheetName val="KPIs"/>
      <sheetName val="Brewer Performanc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>
        <row r="32">
          <cell r="L32">
            <v>98.65439164340431</v>
          </cell>
        </row>
        <row r="37">
          <cell r="L37">
            <v>7.2727272727272725</v>
          </cell>
        </row>
      </sheetData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January_2019"/>
      <sheetName val="February_2019"/>
      <sheetName val="March_2019"/>
      <sheetName val="April_2019"/>
      <sheetName val="May_2019"/>
      <sheetName val="June_2019"/>
      <sheetName val="July_2019"/>
      <sheetName val="August_2019"/>
      <sheetName val="August_2018 (2)"/>
      <sheetName val="September_2019"/>
      <sheetName val="October_2019"/>
      <sheetName val="November_2019"/>
      <sheetName val="December_2019"/>
    </sheetNames>
    <sheetDataSet>
      <sheetData sheetId="0">
        <row r="7">
          <cell r="D7">
            <v>0</v>
          </cell>
          <cell r="L7">
            <v>285.8</v>
          </cell>
          <cell r="M7">
            <v>508.1</v>
          </cell>
          <cell r="N7">
            <v>0</v>
          </cell>
          <cell r="O7">
            <v>0</v>
          </cell>
          <cell r="P7">
            <v>109.56666666666666</v>
          </cell>
          <cell r="Q7">
            <v>297.64999999999998</v>
          </cell>
          <cell r="R7">
            <v>122.3</v>
          </cell>
          <cell r="S7">
            <v>0</v>
          </cell>
          <cell r="T7">
            <v>294.7</v>
          </cell>
          <cell r="U7">
            <v>280.5</v>
          </cell>
          <cell r="V7">
            <v>0</v>
          </cell>
          <cell r="W7">
            <v>0</v>
          </cell>
          <cell r="X7">
            <v>188.25</v>
          </cell>
          <cell r="Y7">
            <v>295.7</v>
          </cell>
          <cell r="Z7">
            <v>257.8</v>
          </cell>
          <cell r="AA7">
            <v>291.2</v>
          </cell>
          <cell r="AB7">
            <v>187</v>
          </cell>
          <cell r="AC7">
            <v>0</v>
          </cell>
          <cell r="AD7">
            <v>0</v>
          </cell>
          <cell r="AE7">
            <v>485.1</v>
          </cell>
          <cell r="AF7">
            <v>171.55</v>
          </cell>
          <cell r="AG7">
            <v>423.8</v>
          </cell>
          <cell r="AH7">
            <v>0</v>
          </cell>
        </row>
        <row r="8">
          <cell r="D8" t="e">
            <v>#DIV/0!</v>
          </cell>
          <cell r="E8">
            <v>1.0319298245614037</v>
          </cell>
          <cell r="F8">
            <v>1.7789473684210526</v>
          </cell>
          <cell r="G8">
            <v>0.51929824561403504</v>
          </cell>
          <cell r="H8" t="e">
            <v>#DIV/0!</v>
          </cell>
          <cell r="I8" t="e">
            <v>#DIV/0!</v>
          </cell>
          <cell r="J8">
            <v>1.365263157894737</v>
          </cell>
          <cell r="K8" t="e">
            <v>#DIV/0!</v>
          </cell>
          <cell r="L8">
            <v>1.0028070175438597</v>
          </cell>
          <cell r="M8">
            <v>1.7828070175438597</v>
          </cell>
          <cell r="N8" t="e">
            <v>#DIV/0!</v>
          </cell>
          <cell r="O8" t="e">
            <v>#DIV/0!</v>
          </cell>
          <cell r="P8">
            <v>0.19222222222222221</v>
          </cell>
          <cell r="Q8">
            <v>0.52219298245614032</v>
          </cell>
          <cell r="R8">
            <v>0.42912280701754385</v>
          </cell>
          <cell r="S8" t="e">
            <v>#DIV/0!</v>
          </cell>
          <cell r="T8">
            <v>1.0340350877192983</v>
          </cell>
          <cell r="U8">
            <v>0.98421052631578942</v>
          </cell>
          <cell r="V8" t="e">
            <v>#DIV/0!</v>
          </cell>
          <cell r="W8" t="e">
            <v>#DIV/0!</v>
          </cell>
          <cell r="X8">
            <v>0.66052631578947374</v>
          </cell>
          <cell r="Y8">
            <v>1.0375438596491227</v>
          </cell>
          <cell r="Z8">
            <v>0.90456140350877201</v>
          </cell>
          <cell r="AA8">
            <v>1.0217543859649123</v>
          </cell>
          <cell r="AB8">
            <v>0.65614035087719302</v>
          </cell>
          <cell r="AC8" t="e">
            <v>#DIV/0!</v>
          </cell>
          <cell r="AD8" t="e">
            <v>#DIV/0!</v>
          </cell>
          <cell r="AE8">
            <v>1.7021052631578948</v>
          </cell>
          <cell r="AF8">
            <v>0.60192982456140354</v>
          </cell>
          <cell r="AG8">
            <v>1.4870175438596491</v>
          </cell>
          <cell r="AH8" t="e">
            <v>#DIV/0!</v>
          </cell>
        </row>
      </sheetData>
      <sheetData sheetId="1">
        <row r="13">
          <cell r="AN13">
            <v>0.94034030952171987</v>
          </cell>
        </row>
      </sheetData>
      <sheetData sheetId="2">
        <row r="13">
          <cell r="AQ13">
            <v>0.93551267438402086</v>
          </cell>
        </row>
      </sheetData>
      <sheetData sheetId="3">
        <row r="18">
          <cell r="G18">
            <v>1.0103508771929826</v>
          </cell>
        </row>
      </sheetData>
      <sheetData sheetId="4">
        <row r="13">
          <cell r="AN13">
            <v>0.87062818515015106</v>
          </cell>
        </row>
      </sheetData>
      <sheetData sheetId="5">
        <row r="13">
          <cell r="AN13">
            <v>0.94807447713221704</v>
          </cell>
        </row>
      </sheetData>
      <sheetData sheetId="6">
        <row r="13">
          <cell r="AN13">
            <v>1.0800362929336174</v>
          </cell>
        </row>
      </sheetData>
      <sheetData sheetId="7">
        <row r="13">
          <cell r="AN13">
            <v>1.1456090225563909</v>
          </cell>
        </row>
      </sheetData>
      <sheetData sheetId="8"/>
      <sheetData sheetId="9">
        <row r="13">
          <cell r="AM13">
            <v>1.1586666666666667</v>
          </cell>
        </row>
      </sheetData>
      <sheetData sheetId="10">
        <row r="13">
          <cell r="AN13">
            <v>0.7340526315789474</v>
          </cell>
        </row>
      </sheetData>
      <sheetData sheetId="11">
        <row r="13">
          <cell r="AN13">
            <v>0.98266798418972334</v>
          </cell>
        </row>
      </sheetData>
      <sheetData sheetId="12">
        <row r="13">
          <cell r="AN13">
            <v>0.83754385964912292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January_2026"/>
      <sheetName val="February_2026"/>
      <sheetName val="March_2026"/>
      <sheetName val="April_2026"/>
      <sheetName val="May_2026"/>
      <sheetName val="June_2026"/>
      <sheetName val="July_2026"/>
      <sheetName val="August_2026"/>
      <sheetName val="September_2026"/>
      <sheetName val="October_2025"/>
      <sheetName val="November_2025"/>
      <sheetName val="December_202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3">
          <cell r="D3">
            <v>405.70000000000005</v>
          </cell>
          <cell r="E3">
            <v>400.4</v>
          </cell>
          <cell r="I3">
            <v>289.77000000000004</v>
          </cell>
          <cell r="J3">
            <v>405.6</v>
          </cell>
          <cell r="K3">
            <v>202.60000000000002</v>
          </cell>
          <cell r="L3">
            <v>201.20000000000002</v>
          </cell>
          <cell r="M3">
            <v>117.1</v>
          </cell>
          <cell r="R3">
            <v>801.3</v>
          </cell>
          <cell r="T3">
            <v>389.1</v>
          </cell>
          <cell r="X3">
            <v>93.5</v>
          </cell>
          <cell r="Z3">
            <v>397.45</v>
          </cell>
          <cell r="AA3">
            <v>302.89999999999998</v>
          </cell>
          <cell r="AF3">
            <v>500</v>
          </cell>
          <cell r="AM3">
            <v>5.7910975261786639</v>
          </cell>
          <cell r="AP3">
            <v>6.5511187503051573</v>
          </cell>
        </row>
        <row r="4">
          <cell r="AM4">
            <v>5.7002127582026105</v>
          </cell>
          <cell r="AP4">
            <v>5.9275658832823668</v>
          </cell>
        </row>
        <row r="5">
          <cell r="AM5">
            <v>11.452550281375911</v>
          </cell>
          <cell r="AP5">
            <v>11.819732298933111</v>
          </cell>
        </row>
        <row r="6">
          <cell r="AM6" t="e">
            <v>#DIV/0!</v>
          </cell>
          <cell r="AP6">
            <v>4.8702525342252114</v>
          </cell>
        </row>
        <row r="7">
          <cell r="D7">
            <v>376.2</v>
          </cell>
          <cell r="E7">
            <v>369.80000000000007</v>
          </cell>
          <cell r="I7">
            <v>261.10000000000002</v>
          </cell>
          <cell r="J7">
            <v>380.09999999999997</v>
          </cell>
          <cell r="K7">
            <v>188</v>
          </cell>
          <cell r="L7">
            <v>193.2</v>
          </cell>
          <cell r="M7">
            <v>109</v>
          </cell>
          <cell r="R7">
            <v>737.7</v>
          </cell>
          <cell r="T7">
            <v>364.2</v>
          </cell>
          <cell r="X7">
            <v>91.5</v>
          </cell>
          <cell r="Z7">
            <v>378</v>
          </cell>
          <cell r="AA7">
            <v>294.60000000000002</v>
          </cell>
          <cell r="AF7">
            <v>468.1</v>
          </cell>
          <cell r="AM7" t="e">
            <v>#DIV/0!</v>
          </cell>
          <cell r="AP7" t="e">
            <v>#DIV/0!</v>
          </cell>
        </row>
        <row r="8">
          <cell r="AM8">
            <v>7.4264332958762713</v>
          </cell>
          <cell r="AP8">
            <v>7.9667553186446929</v>
          </cell>
        </row>
        <row r="9">
          <cell r="AM9" t="e">
            <v>#DIV/0!</v>
          </cell>
          <cell r="AP9">
            <v>5.0091179718082053</v>
          </cell>
        </row>
        <row r="10">
          <cell r="AM10" t="e">
            <v>#DIV/0!</v>
          </cell>
          <cell r="AP10" t="e">
            <v>#DIV/0!</v>
          </cell>
        </row>
        <row r="11">
          <cell r="D11">
            <v>6.7445156519595884</v>
          </cell>
          <cell r="I11">
            <v>10.04080626002494</v>
          </cell>
          <cell r="J11">
            <v>5.4475333924406968</v>
          </cell>
          <cell r="K11">
            <v>6.3824837244952164</v>
          </cell>
          <cell r="L11">
            <v>2.2558460313040278</v>
          </cell>
          <cell r="M11">
            <v>7.2894961571306611</v>
          </cell>
          <cell r="R11">
            <v>6.7385616355521467</v>
          </cell>
          <cell r="X11">
            <v>1.6693048128342238</v>
          </cell>
          <cell r="AA11">
            <v>0.6842796060842663</v>
          </cell>
          <cell r="AM11" t="e">
            <v>#DIV/0!</v>
          </cell>
          <cell r="AP11" t="e">
            <v>#DIV/0!</v>
          </cell>
        </row>
        <row r="12">
          <cell r="AM12">
            <v>6.4458895042047315</v>
          </cell>
          <cell r="AP12">
            <v>6.6706012803001906</v>
          </cell>
        </row>
        <row r="13">
          <cell r="F13">
            <v>395.99999999999994</v>
          </cell>
          <cell r="Q13">
            <v>494</v>
          </cell>
          <cell r="X13">
            <v>312</v>
          </cell>
          <cell r="Y13">
            <v>190.70000000000002</v>
          </cell>
        </row>
        <row r="17">
          <cell r="F17">
            <v>361.8</v>
          </cell>
          <cell r="Q17">
            <v>455.40000000000003</v>
          </cell>
          <cell r="X17">
            <v>297.60000000000002</v>
          </cell>
          <cell r="Y17">
            <v>184.3</v>
          </cell>
        </row>
        <row r="21">
          <cell r="F21">
            <v>7.5248838752488254</v>
          </cell>
          <cell r="Q21">
            <v>6.8511779913174742</v>
          </cell>
          <cell r="X21">
            <v>3.6145775128825988</v>
          </cell>
          <cell r="Y21">
            <v>2.340396759757176</v>
          </cell>
        </row>
        <row r="23">
          <cell r="AB23">
            <v>410.14</v>
          </cell>
        </row>
        <row r="28">
          <cell r="AB28">
            <v>377.8</v>
          </cell>
        </row>
        <row r="32">
          <cell r="AB32">
            <v>11.452550281375911</v>
          </cell>
        </row>
        <row r="34">
          <cell r="N34">
            <v>199.59999999999997</v>
          </cell>
          <cell r="O34">
            <v>99.2</v>
          </cell>
        </row>
        <row r="39">
          <cell r="N39">
            <v>193</v>
          </cell>
          <cell r="O39">
            <v>97</v>
          </cell>
        </row>
        <row r="43">
          <cell r="N43">
            <v>6.1890918410749665</v>
          </cell>
          <cell r="O43">
            <v>4.3162622777590141</v>
          </cell>
        </row>
      </sheetData>
      <sheetData sheetId="9"/>
      <sheetData sheetId="10"/>
      <sheetData sheetId="1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January_2026"/>
      <sheetName val="February_2026"/>
      <sheetName val="March_2026"/>
      <sheetName val="April_2026"/>
      <sheetName val="May_2026"/>
      <sheetName val="June_2026"/>
      <sheetName val="July_2026"/>
      <sheetName val="August_2026"/>
      <sheetName val="August_2018 (2)"/>
      <sheetName val="September_2026"/>
      <sheetName val="October_2025"/>
      <sheetName val="November_2025"/>
      <sheetName val="December_202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13">
          <cell r="AM13">
            <v>0.63326855600539822</v>
          </cell>
          <cell r="AP13">
            <v>0.53908627189124969</v>
          </cell>
        </row>
        <row r="14">
          <cell r="AM14">
            <v>0.55393918128654984</v>
          </cell>
          <cell r="AP14">
            <v>0.6824652535868081</v>
          </cell>
        </row>
        <row r="15">
          <cell r="AM15" t="e">
            <v>#DIV/0!</v>
          </cell>
          <cell r="AP15">
            <v>0.35370190356844494</v>
          </cell>
        </row>
        <row r="16">
          <cell r="AM16" t="e">
            <v>#DIV/0!</v>
          </cell>
          <cell r="AP16">
            <v>0.77919298245614044</v>
          </cell>
        </row>
        <row r="17">
          <cell r="AM17" t="e">
            <v>#DIV/0!</v>
          </cell>
          <cell r="AP17" t="e">
            <v>#DIV/0!</v>
          </cell>
        </row>
        <row r="18">
          <cell r="D18">
            <v>0.33</v>
          </cell>
          <cell r="I18">
            <v>0.91614035087719303</v>
          </cell>
          <cell r="J18">
            <v>1.3336842105263156</v>
          </cell>
          <cell r="K18">
            <v>0.6596491228070176</v>
          </cell>
          <cell r="L18">
            <v>0.67789473684210522</v>
          </cell>
          <cell r="M18">
            <v>0.19122807017543861</v>
          </cell>
          <cell r="R18">
            <v>0.43140350877192984</v>
          </cell>
          <cell r="X18">
            <v>0.32105263157894737</v>
          </cell>
          <cell r="Z18">
            <v>1.3263157894736841</v>
          </cell>
          <cell r="AA18">
            <v>1.0336842105263158</v>
          </cell>
          <cell r="AF18">
            <v>0.41061403508771932</v>
          </cell>
          <cell r="AM18">
            <v>0.391812865497076</v>
          </cell>
          <cell r="AP18">
            <v>0.5883625730994152</v>
          </cell>
        </row>
        <row r="19">
          <cell r="AM19" t="e">
            <v>#DIV/0!</v>
          </cell>
          <cell r="AP19">
            <v>0.92642300194931759</v>
          </cell>
        </row>
        <row r="20">
          <cell r="AM20" t="e">
            <v>#DIV/0!</v>
          </cell>
          <cell r="AP20" t="e">
            <v>#DIV/0!</v>
          </cell>
        </row>
        <row r="21">
          <cell r="AM21">
            <v>0</v>
          </cell>
          <cell r="AP21" t="e">
            <v>#DIV/0!</v>
          </cell>
        </row>
        <row r="22">
          <cell r="AM22">
            <v>0.57988693957115023</v>
          </cell>
          <cell r="AP22">
            <v>0.59631287930462207</v>
          </cell>
        </row>
        <row r="25">
          <cell r="F25">
            <v>0.31736842105263158</v>
          </cell>
          <cell r="Q25">
            <v>0.31957894736842107</v>
          </cell>
          <cell r="X25">
            <v>1.0442105263157895</v>
          </cell>
          <cell r="Y25">
            <v>0.64666666666666672</v>
          </cell>
          <cell r="AB25">
            <v>0.4418713450292398</v>
          </cell>
        </row>
        <row r="39">
          <cell r="N39">
            <v>0.67719298245614035</v>
          </cell>
          <cell r="O39">
            <v>0.34035087719298246</v>
          </cell>
        </row>
      </sheetData>
      <sheetData sheetId="10"/>
      <sheetData sheetId="11"/>
      <sheetData sheetId="12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ProcessMaterials"/>
      <sheetName val="Operator Performance '16"/>
      <sheetName val="Operator Performance '21"/>
      <sheetName val="Brew Times"/>
      <sheetName val="BrewMaterials"/>
      <sheetName val="Brewhouse"/>
      <sheetName val="Process"/>
      <sheetName val="Packaging"/>
      <sheetName val="Summary December '23 "/>
      <sheetName val="Summary November '23"/>
      <sheetName val="Summary October '23"/>
      <sheetName val="Summary September '23"/>
      <sheetName val="Summary August '23"/>
      <sheetName val="Summary July '23 "/>
      <sheetName val="Summary June '23"/>
      <sheetName val="Summary May '23 "/>
      <sheetName val="Summary April '23 "/>
      <sheetName val="Summary March '23 "/>
      <sheetName val="Summary February '23"/>
      <sheetName val="Summary January '23"/>
      <sheetName val="Summary December '22  "/>
      <sheetName val="Summary November '22   "/>
      <sheetName val="Summary October '22  "/>
      <sheetName val="Summary September '22  "/>
      <sheetName val="Summary August '22 "/>
      <sheetName val="Summary July '22 "/>
      <sheetName val="Summary June '22"/>
      <sheetName val="Summary May '22"/>
      <sheetName val="Summary April '22"/>
      <sheetName val="Summary March '22"/>
      <sheetName val="Summary February '22"/>
      <sheetName val="Summary January '22"/>
      <sheetName val="Summary December '21  "/>
    </sheetNames>
    <sheetDataSet>
      <sheetData sheetId="0"/>
      <sheetData sheetId="1"/>
      <sheetData sheetId="2"/>
      <sheetData sheetId="3"/>
      <sheetData sheetId="4"/>
      <sheetData sheetId="5">
        <row r="39">
          <cell r="AI39">
            <v>53</v>
          </cell>
        </row>
        <row r="849">
          <cell r="AU849">
            <v>95.663863833483461</v>
          </cell>
        </row>
        <row r="850">
          <cell r="AU850">
            <v>98.161203140703776</v>
          </cell>
        </row>
        <row r="851">
          <cell r="AU851">
            <v>99.759332436323248</v>
          </cell>
        </row>
        <row r="852">
          <cell r="AU852">
            <v>98.333283107625732</v>
          </cell>
        </row>
        <row r="853">
          <cell r="AU853">
            <v>98.502602722865149</v>
          </cell>
        </row>
        <row r="854">
          <cell r="AU854">
            <v>98.818687834716542</v>
          </cell>
        </row>
        <row r="855">
          <cell r="AU855">
            <v>97.298297014350211</v>
          </cell>
        </row>
        <row r="856">
          <cell r="AU856">
            <v>99.281443283645203</v>
          </cell>
        </row>
        <row r="857">
          <cell r="AU857">
            <v>96.092752278453332</v>
          </cell>
        </row>
        <row r="858">
          <cell r="AU858">
            <v>98.055003537976447</v>
          </cell>
        </row>
        <row r="859">
          <cell r="AU859">
            <v>100.91885920195962</v>
          </cell>
        </row>
        <row r="860">
          <cell r="AU860">
            <v>99.63105429686064</v>
          </cell>
        </row>
        <row r="861">
          <cell r="AU861">
            <v>96.873994166896026</v>
          </cell>
        </row>
        <row r="862">
          <cell r="AU862">
            <v>98.919847621112098</v>
          </cell>
        </row>
        <row r="863">
          <cell r="AU863">
            <v>98.631788415892132</v>
          </cell>
        </row>
        <row r="864">
          <cell r="AU864">
            <v>98.525744642541923</v>
          </cell>
        </row>
        <row r="865">
          <cell r="AU865">
            <v>97.946144197753199</v>
          </cell>
        </row>
        <row r="866">
          <cell r="AU866">
            <v>99.535261451801944</v>
          </cell>
        </row>
        <row r="867">
          <cell r="AU867">
            <v>99.041877420655766</v>
          </cell>
        </row>
        <row r="868">
          <cell r="AU868">
            <v>98.619710487506779</v>
          </cell>
        </row>
        <row r="869">
          <cell r="AU869">
            <v>94.871478991746045</v>
          </cell>
        </row>
        <row r="870">
          <cell r="AU870">
            <v>99.145590755635325</v>
          </cell>
        </row>
        <row r="871">
          <cell r="AU871">
            <v>97.414766781431112</v>
          </cell>
        </row>
        <row r="872">
          <cell r="AU872">
            <v>98.168689841970789</v>
          </cell>
        </row>
        <row r="873">
          <cell r="AU873">
            <v>94.708468285483022</v>
          </cell>
        </row>
        <row r="874">
          <cell r="AU874">
            <v>98.19572334957715</v>
          </cell>
        </row>
        <row r="875">
          <cell r="AU875">
            <v>98.090148410725448</v>
          </cell>
        </row>
        <row r="876">
          <cell r="AU876">
            <v>95.118761951292143</v>
          </cell>
        </row>
        <row r="877">
          <cell r="AU877">
            <v>100.60583188656503</v>
          </cell>
        </row>
        <row r="878">
          <cell r="AU878">
            <v>97.290406760145842</v>
          </cell>
        </row>
        <row r="879">
          <cell r="AU879">
            <v>104.72566854096057</v>
          </cell>
        </row>
        <row r="880">
          <cell r="AU880">
            <v>103.17490716902564</v>
          </cell>
        </row>
        <row r="881">
          <cell r="AU881">
            <v>97.832871362942271</v>
          </cell>
        </row>
        <row r="882">
          <cell r="AU882">
            <v>98.196537042622353</v>
          </cell>
        </row>
        <row r="883">
          <cell r="AU883">
            <v>92.067139526743475</v>
          </cell>
        </row>
        <row r="884">
          <cell r="AU884">
            <v>98.407062059761429</v>
          </cell>
        </row>
        <row r="885">
          <cell r="AU885">
            <v>99.192747185987045</v>
          </cell>
        </row>
        <row r="886">
          <cell r="AU886">
            <v>97.51961651056078</v>
          </cell>
        </row>
        <row r="887">
          <cell r="AU887">
            <v>95.491313123678665</v>
          </cell>
        </row>
        <row r="888">
          <cell r="AU888">
            <v>100.23142048831002</v>
          </cell>
        </row>
        <row r="889">
          <cell r="AU889">
            <v>98.187310276793937</v>
          </cell>
        </row>
        <row r="890">
          <cell r="AU890">
            <v>101.25839273474642</v>
          </cell>
        </row>
        <row r="891">
          <cell r="AU891">
            <v>95.290840272543946</v>
          </cell>
        </row>
        <row r="892">
          <cell r="AU892">
            <v>102.08768838931368</v>
          </cell>
        </row>
        <row r="893">
          <cell r="AU893">
            <v>97.360408780157954</v>
          </cell>
        </row>
        <row r="894">
          <cell r="AU894">
            <v>99.045402987088693</v>
          </cell>
        </row>
        <row r="895">
          <cell r="AU895">
            <v>98.034529195153198</v>
          </cell>
        </row>
        <row r="896">
          <cell r="AU896">
            <v>99.66368637303772</v>
          </cell>
        </row>
        <row r="897">
          <cell r="AU897">
            <v>96.39159653002244</v>
          </cell>
        </row>
        <row r="898">
          <cell r="AU898">
            <v>99.215504360195723</v>
          </cell>
        </row>
        <row r="899">
          <cell r="AU899">
            <v>100.22728441960062</v>
          </cell>
        </row>
        <row r="900">
          <cell r="AU900">
            <v>98.989483943049265</v>
          </cell>
        </row>
        <row r="901">
          <cell r="AU901">
            <v>96.280432251303537</v>
          </cell>
        </row>
        <row r="902">
          <cell r="AU902">
            <v>99.202811624094949</v>
          </cell>
        </row>
        <row r="903">
          <cell r="AU903">
            <v>98.506489670004697</v>
          </cell>
        </row>
        <row r="904">
          <cell r="AU904">
            <v>99.769040261812833</v>
          </cell>
        </row>
        <row r="905">
          <cell r="AU905">
            <v>98.326320918982461</v>
          </cell>
        </row>
        <row r="906">
          <cell r="AU906">
            <v>98.719626202658404</v>
          </cell>
        </row>
        <row r="907">
          <cell r="AU907">
            <v>99.117823502588735</v>
          </cell>
        </row>
        <row r="908">
          <cell r="AU908">
            <v>98.631008731909759</v>
          </cell>
        </row>
        <row r="909">
          <cell r="AU909">
            <v>93.901686844433655</v>
          </cell>
        </row>
        <row r="910">
          <cell r="AU910">
            <v>98.42963897912486</v>
          </cell>
        </row>
        <row r="911">
          <cell r="AU911">
            <v>99.240374252811307</v>
          </cell>
        </row>
        <row r="912">
          <cell r="AU912">
            <v>99.893905017469535</v>
          </cell>
        </row>
        <row r="913">
          <cell r="AU913">
            <v>99.245314300729845</v>
          </cell>
        </row>
        <row r="914">
          <cell r="AU914">
            <v>98.818173928722587</v>
          </cell>
        </row>
        <row r="915">
          <cell r="AU915">
            <v>98.331257677886271</v>
          </cell>
        </row>
        <row r="916">
          <cell r="AU916">
            <v>98.612545635425107</v>
          </cell>
        </row>
        <row r="917">
          <cell r="AU917">
            <v>98.631417127445459</v>
          </cell>
        </row>
        <row r="918">
          <cell r="AU918">
            <v>98.07782155982369</v>
          </cell>
        </row>
        <row r="919">
          <cell r="AU919">
            <v>98.33388042408815</v>
          </cell>
        </row>
        <row r="920">
          <cell r="AU920">
            <v>95.468071678126762</v>
          </cell>
        </row>
        <row r="921">
          <cell r="AU921">
            <v>101.41851984313148</v>
          </cell>
        </row>
        <row r="922">
          <cell r="AU922">
            <v>98.594095369450585</v>
          </cell>
        </row>
        <row r="923">
          <cell r="AU923">
            <v>101.0306887695094</v>
          </cell>
        </row>
        <row r="924">
          <cell r="AU924">
            <v>97.117338355034519</v>
          </cell>
        </row>
        <row r="926">
          <cell r="AU926">
            <v>93.014529112498508</v>
          </cell>
        </row>
        <row r="927">
          <cell r="AU927">
            <v>94.905180294691831</v>
          </cell>
        </row>
        <row r="928">
          <cell r="AU928">
            <v>98.612734606795939</v>
          </cell>
        </row>
        <row r="929">
          <cell r="AU929">
            <v>98.193089516568449</v>
          </cell>
        </row>
        <row r="930">
          <cell r="AU930">
            <v>99.166902562351495</v>
          </cell>
        </row>
        <row r="931">
          <cell r="AU931">
            <v>98.545871344503041</v>
          </cell>
        </row>
        <row r="932">
          <cell r="AU932">
            <v>96.633045006550262</v>
          </cell>
        </row>
        <row r="933">
          <cell r="AU933">
            <v>97.21114174432509</v>
          </cell>
        </row>
        <row r="934">
          <cell r="AU934">
            <v>99.369101617770809</v>
          </cell>
        </row>
        <row r="935">
          <cell r="AU935">
            <v>98.036954958046238</v>
          </cell>
        </row>
        <row r="936">
          <cell r="AU936">
            <v>91.207086008373878</v>
          </cell>
        </row>
        <row r="937">
          <cell r="AU937">
            <v>95.860786445249929</v>
          </cell>
        </row>
        <row r="938">
          <cell r="AU938">
            <v>97.986863363409327</v>
          </cell>
        </row>
        <row r="939">
          <cell r="AU939">
            <v>95.87755710705413</v>
          </cell>
        </row>
        <row r="940">
          <cell r="AU940">
            <v>96.069312221268248</v>
          </cell>
        </row>
        <row r="941">
          <cell r="AU941">
            <v>94.699654196675027</v>
          </cell>
        </row>
        <row r="942">
          <cell r="AU942">
            <v>101.67252999852943</v>
          </cell>
        </row>
        <row r="943">
          <cell r="AU943">
            <v>101.17913775574701</v>
          </cell>
        </row>
        <row r="944">
          <cell r="AU944">
            <v>100.86273713130642</v>
          </cell>
        </row>
        <row r="945">
          <cell r="AU945">
            <v>100.10873722587988</v>
          </cell>
        </row>
        <row r="946">
          <cell r="AU946">
            <v>95.50082306179263</v>
          </cell>
        </row>
        <row r="947">
          <cell r="AU947">
            <v>98.277382858959044</v>
          </cell>
        </row>
        <row r="948">
          <cell r="AU948">
            <v>93.3808876329188</v>
          </cell>
        </row>
        <row r="949">
          <cell r="AU949">
            <v>96.175569134464126</v>
          </cell>
        </row>
        <row r="950">
          <cell r="AU950">
            <v>97.078303486097681</v>
          </cell>
        </row>
        <row r="951">
          <cell r="AU951">
            <v>101.56030805211434</v>
          </cell>
        </row>
        <row r="952">
          <cell r="AU952">
            <v>91.935041652671885</v>
          </cell>
        </row>
        <row r="953">
          <cell r="AU953">
            <v>97.123997414216163</v>
          </cell>
        </row>
        <row r="954">
          <cell r="AU954">
            <v>95.617584994183886</v>
          </cell>
        </row>
        <row r="955">
          <cell r="AU955">
            <v>96.610674074757526</v>
          </cell>
        </row>
        <row r="956">
          <cell r="AU956">
            <v>97.487635532948119</v>
          </cell>
        </row>
        <row r="957">
          <cell r="AU957">
            <v>97.412227635198136</v>
          </cell>
        </row>
        <row r="958">
          <cell r="AU958">
            <v>97.20950210143495</v>
          </cell>
        </row>
        <row r="959">
          <cell r="AU959">
            <v>99.297987498145474</v>
          </cell>
        </row>
        <row r="960">
          <cell r="AU960">
            <v>97.024782991571257</v>
          </cell>
        </row>
        <row r="961">
          <cell r="AU961">
            <v>97.243298870014883</v>
          </cell>
        </row>
        <row r="962">
          <cell r="AU962">
            <v>97.023260123118732</v>
          </cell>
        </row>
        <row r="963">
          <cell r="AU963">
            <v>100.22026650558166</v>
          </cell>
        </row>
        <row r="964">
          <cell r="AU964">
            <v>100.00923853982306</v>
          </cell>
        </row>
        <row r="965">
          <cell r="AU965">
            <v>99.906331130627905</v>
          </cell>
        </row>
        <row r="966">
          <cell r="AU966">
            <v>98.850227095727348</v>
          </cell>
        </row>
        <row r="967">
          <cell r="AU967">
            <v>99.441114455440584</v>
          </cell>
        </row>
        <row r="968">
          <cell r="AU968">
            <v>98.304977340690357</v>
          </cell>
        </row>
        <row r="969">
          <cell r="AU969">
            <v>98.86983616014237</v>
          </cell>
        </row>
        <row r="970">
          <cell r="AU970">
            <v>98.488143394733228</v>
          </cell>
        </row>
        <row r="971">
          <cell r="AU971">
            <v>99.471038525077589</v>
          </cell>
        </row>
        <row r="973">
          <cell r="AU973">
            <v>95.888708244918675</v>
          </cell>
        </row>
        <row r="974">
          <cell r="AU974">
            <v>96.395259825577298</v>
          </cell>
        </row>
        <row r="975">
          <cell r="AU975">
            <v>99.192144221194894</v>
          </cell>
        </row>
        <row r="976">
          <cell r="AU976">
            <v>100.49472440540761</v>
          </cell>
        </row>
        <row r="977">
          <cell r="AU977">
            <v>99.145148742060812</v>
          </cell>
        </row>
        <row r="978">
          <cell r="AU978">
            <v>98.313224898090724</v>
          </cell>
        </row>
        <row r="979">
          <cell r="AU979">
            <v>98.891816600796247</v>
          </cell>
        </row>
        <row r="980">
          <cell r="AU980">
            <v>97.007802280437417</v>
          </cell>
        </row>
        <row r="981">
          <cell r="AU981">
            <v>100.03609063865832</v>
          </cell>
        </row>
        <row r="982">
          <cell r="AU982">
            <v>99.262117016695768</v>
          </cell>
        </row>
        <row r="983">
          <cell r="AU983">
            <v>98.760316095676714</v>
          </cell>
        </row>
        <row r="984">
          <cell r="AU984">
            <v>99.083839545652168</v>
          </cell>
        </row>
        <row r="985">
          <cell r="AU985">
            <v>98.648533109164021</v>
          </cell>
        </row>
        <row r="986">
          <cell r="AU986">
            <v>98.395181345142205</v>
          </cell>
        </row>
        <row r="987">
          <cell r="AU987">
            <v>99.66128871437337</v>
          </cell>
        </row>
        <row r="988">
          <cell r="AU988">
            <v>98.814121830608798</v>
          </cell>
        </row>
        <row r="989">
          <cell r="AU989">
            <v>98.703252611359233</v>
          </cell>
        </row>
        <row r="990">
          <cell r="AU990">
            <v>101.08312040923842</v>
          </cell>
        </row>
        <row r="991">
          <cell r="AU991">
            <v>96.089556432038236</v>
          </cell>
        </row>
        <row r="992">
          <cell r="AU992">
            <v>96.950696980249873</v>
          </cell>
        </row>
        <row r="993">
          <cell r="AU993">
            <v>98.421661720388187</v>
          </cell>
        </row>
        <row r="994">
          <cell r="AU994">
            <v>97.938417583872493</v>
          </cell>
        </row>
        <row r="995">
          <cell r="AU995">
            <v>97.650858846700444</v>
          </cell>
        </row>
        <row r="996">
          <cell r="AU996">
            <v>98.704675821172387</v>
          </cell>
        </row>
        <row r="997">
          <cell r="AU997">
            <v>98.77401974110343</v>
          </cell>
        </row>
        <row r="998">
          <cell r="AU998">
            <v>100.39222978751012</v>
          </cell>
        </row>
        <row r="999">
          <cell r="AU999">
            <v>97.59336349013391</v>
          </cell>
        </row>
        <row r="1000">
          <cell r="AU1000">
            <v>101.5239334145885</v>
          </cell>
        </row>
        <row r="1001">
          <cell r="AU1001">
            <v>98.465315588133734</v>
          </cell>
        </row>
        <row r="1002">
          <cell r="AU1002">
            <v>96.186092769917465</v>
          </cell>
        </row>
        <row r="1003">
          <cell r="AU1003">
            <v>94.13399521979872</v>
          </cell>
        </row>
        <row r="1004">
          <cell r="AU1004">
            <v>97.393648773101731</v>
          </cell>
        </row>
        <row r="1005">
          <cell r="AU1005">
            <v>100.84475180839827</v>
          </cell>
        </row>
        <row r="1006">
          <cell r="AU1006">
            <v>96.923784228632613</v>
          </cell>
        </row>
        <row r="1007">
          <cell r="AU1007">
            <v>98.943374580547371</v>
          </cell>
        </row>
        <row r="1008">
          <cell r="AU1008">
            <v>97.616244018038586</v>
          </cell>
        </row>
        <row r="1009">
          <cell r="AU1009">
            <v>97.200120753042128</v>
          </cell>
        </row>
        <row r="1010">
          <cell r="AU1010">
            <v>98.309661023974598</v>
          </cell>
        </row>
        <row r="1011">
          <cell r="AU1011">
            <v>98.11180818418508</v>
          </cell>
        </row>
        <row r="1012">
          <cell r="AU1012">
            <v>95.802126010985702</v>
          </cell>
        </row>
        <row r="1013">
          <cell r="AU1013">
            <v>97.933739877262411</v>
          </cell>
        </row>
        <row r="1014">
          <cell r="AU1014">
            <v>98.390432949172776</v>
          </cell>
        </row>
        <row r="1015">
          <cell r="AU1015">
            <v>97.811665696530596</v>
          </cell>
        </row>
        <row r="1016">
          <cell r="AU1016">
            <v>95.923441158121605</v>
          </cell>
        </row>
        <row r="1017">
          <cell r="AU1017">
            <v>100.63802460760101</v>
          </cell>
        </row>
        <row r="1018">
          <cell r="AU1018">
            <v>97.734702345258398</v>
          </cell>
        </row>
        <row r="1019">
          <cell r="AU1019">
            <v>93.252429030364738</v>
          </cell>
        </row>
        <row r="1020">
          <cell r="AU1020">
            <v>99.384746343388471</v>
          </cell>
        </row>
        <row r="1021">
          <cell r="AU1021">
            <v>98.117256569111035</v>
          </cell>
        </row>
        <row r="1022">
          <cell r="AU1022">
            <v>98.116637806062727</v>
          </cell>
        </row>
        <row r="1023">
          <cell r="AU1023">
            <v>97.657860016366371</v>
          </cell>
        </row>
        <row r="1024">
          <cell r="AU1024">
            <v>97.972529900423893</v>
          </cell>
        </row>
        <row r="1025">
          <cell r="AU1025">
            <v>98.310667164973324</v>
          </cell>
        </row>
        <row r="1026">
          <cell r="AU1026">
            <v>99.134259503986243</v>
          </cell>
        </row>
        <row r="1027">
          <cell r="AU1027">
            <v>97.265959206532798</v>
          </cell>
        </row>
        <row r="1028">
          <cell r="AU1028">
            <v>98.760591325256911</v>
          </cell>
        </row>
        <row r="1029">
          <cell r="AU1029">
            <v>98.74404787856021</v>
          </cell>
        </row>
        <row r="1030">
          <cell r="AU1030">
            <v>98.23571717622653</v>
          </cell>
        </row>
        <row r="1031">
          <cell r="AU1031">
            <v>95.983832685957111</v>
          </cell>
        </row>
        <row r="1032">
          <cell r="AU1032">
            <v>96.780419003256441</v>
          </cell>
        </row>
        <row r="1033">
          <cell r="AU1033">
            <v>98.118278383828581</v>
          </cell>
        </row>
        <row r="1034">
          <cell r="AU1034">
            <v>98.40572115021881</v>
          </cell>
        </row>
        <row r="1035">
          <cell r="AU1035">
            <v>98.528391993821813</v>
          </cell>
        </row>
        <row r="1036">
          <cell r="AU1036">
            <v>97.465240963079651</v>
          </cell>
        </row>
        <row r="1037">
          <cell r="AU1037">
            <v>97.173958918165667</v>
          </cell>
        </row>
        <row r="1038">
          <cell r="AU1038">
            <v>98.211277757924051</v>
          </cell>
        </row>
        <row r="1039">
          <cell r="AU1039">
            <v>94.563206145249396</v>
          </cell>
        </row>
        <row r="1040">
          <cell r="AU1040">
            <v>95.635088600851034</v>
          </cell>
        </row>
        <row r="1041">
          <cell r="AU1041">
            <v>98.498414606864543</v>
          </cell>
        </row>
        <row r="1042">
          <cell r="AU1042">
            <v>91.938484218600379</v>
          </cell>
        </row>
        <row r="1043">
          <cell r="AU1043">
            <v>91.492245116111022</v>
          </cell>
        </row>
        <row r="1044">
          <cell r="AU1044">
            <v>101.15378252437304</v>
          </cell>
        </row>
        <row r="1045">
          <cell r="AU1045">
            <v>101.1444879830546</v>
          </cell>
        </row>
        <row r="1046">
          <cell r="AU1046">
            <v>101.75764547610389</v>
          </cell>
        </row>
        <row r="1047">
          <cell r="AU1047">
            <v>102.02807739161611</v>
          </cell>
        </row>
        <row r="1048">
          <cell r="AU1048">
            <v>102.33822588732673</v>
          </cell>
        </row>
        <row r="1049">
          <cell r="AU1049">
            <v>98.392068701489933</v>
          </cell>
        </row>
        <row r="1050">
          <cell r="AU1050">
            <v>102.06536408817584</v>
          </cell>
        </row>
        <row r="1051">
          <cell r="AU1051">
            <v>101.99297305280595</v>
          </cell>
        </row>
        <row r="1052">
          <cell r="AU1052">
            <v>102.04523247984621</v>
          </cell>
        </row>
        <row r="1053">
          <cell r="AU1053">
            <v>102.06637748595027</v>
          </cell>
        </row>
        <row r="1054">
          <cell r="AU1054">
            <v>100.85142188790077</v>
          </cell>
        </row>
        <row r="1055">
          <cell r="AU1055">
            <v>98.583226688478646</v>
          </cell>
        </row>
        <row r="1056">
          <cell r="AU1056">
            <v>101.06682882622262</v>
          </cell>
        </row>
        <row r="1057">
          <cell r="AU1057">
            <v>102.15521087119062</v>
          </cell>
        </row>
        <row r="1058">
          <cell r="AU1058">
            <v>99.285782200097586</v>
          </cell>
        </row>
        <row r="1059">
          <cell r="AU1059">
            <v>105.62916732880055</v>
          </cell>
        </row>
        <row r="1060">
          <cell r="AU1060">
            <v>101.36255994882586</v>
          </cell>
        </row>
        <row r="1061">
          <cell r="AU1061">
            <v>102.6647233531194</v>
          </cell>
        </row>
        <row r="1062">
          <cell r="AU1062">
            <v>101.83246684789979</v>
          </cell>
        </row>
        <row r="1063">
          <cell r="AU1063">
            <v>101.53192838019653</v>
          </cell>
        </row>
        <row r="1064">
          <cell r="AU1064">
            <v>102.44706710711155</v>
          </cell>
        </row>
        <row r="1065">
          <cell r="AU1065">
            <v>101.93933661160513</v>
          </cell>
        </row>
        <row r="1066">
          <cell r="AU1066">
            <v>105.97819225470263</v>
          </cell>
        </row>
        <row r="1068">
          <cell r="AU1068">
            <v>98.849674543469746</v>
          </cell>
        </row>
        <row r="1069">
          <cell r="AU1069">
            <v>100.1446862302372</v>
          </cell>
        </row>
        <row r="1070">
          <cell r="AU1070">
            <v>101.6362578559</v>
          </cell>
        </row>
        <row r="1071">
          <cell r="AU1071">
            <v>99.778769949625442</v>
          </cell>
        </row>
        <row r="1072">
          <cell r="AU1072">
            <v>103.16967203867529</v>
          </cell>
        </row>
        <row r="1073">
          <cell r="AU1073">
            <v>102.73418524015567</v>
          </cell>
        </row>
        <row r="1074">
          <cell r="AU1074">
            <v>101.54191229732984</v>
          </cell>
        </row>
        <row r="1075">
          <cell r="AU1075">
            <v>102.73418524015567</v>
          </cell>
        </row>
        <row r="1076">
          <cell r="AU1076">
            <v>101.80414267915592</v>
          </cell>
        </row>
        <row r="1077">
          <cell r="AU1077">
            <v>101.43225651769654</v>
          </cell>
        </row>
        <row r="1078">
          <cell r="AU1078">
            <v>97.320280453397089</v>
          </cell>
        </row>
        <row r="1079">
          <cell r="AU1079">
            <v>97.857959507039951</v>
          </cell>
        </row>
        <row r="1080">
          <cell r="AU1080">
            <v>95.535610244737128</v>
          </cell>
        </row>
        <row r="1081">
          <cell r="AU1081">
            <v>100.5392960523547</v>
          </cell>
        </row>
        <row r="1082">
          <cell r="AU1082">
            <v>99.599362260640163</v>
          </cell>
        </row>
        <row r="1083">
          <cell r="AU1083">
            <v>99.529676899631809</v>
          </cell>
        </row>
        <row r="1084">
          <cell r="AU1084">
            <v>98.65805869904662</v>
          </cell>
        </row>
        <row r="1085">
          <cell r="AU1085">
            <v>97.900683336699984</v>
          </cell>
        </row>
        <row r="1086">
          <cell r="AU1086">
            <v>96.022081664943912</v>
          </cell>
        </row>
        <row r="1087">
          <cell r="AU1087">
            <v>97.304624413158848</v>
          </cell>
        </row>
        <row r="1088">
          <cell r="AU1088">
            <v>95.35734626639821</v>
          </cell>
        </row>
        <row r="1089">
          <cell r="AU1089">
            <v>97.495031010465411</v>
          </cell>
        </row>
        <row r="1090">
          <cell r="AU1090">
            <v>99.297715486103399</v>
          </cell>
        </row>
        <row r="1091">
          <cell r="AU1091">
            <v>105.06246935933015</v>
          </cell>
        </row>
        <row r="1092">
          <cell r="AU1092">
            <v>97.34355913227499</v>
          </cell>
        </row>
        <row r="1093">
          <cell r="AU1093">
            <v>97.997395733282133</v>
          </cell>
        </row>
        <row r="1094">
          <cell r="AU1094">
            <v>96.614488908385596</v>
          </cell>
        </row>
        <row r="1095">
          <cell r="AU1095">
            <v>99.082583941163421</v>
          </cell>
        </row>
        <row r="1096">
          <cell r="AU1096">
            <v>98.29841509955078</v>
          </cell>
        </row>
        <row r="1097">
          <cell r="AU1097">
            <v>96.453761885803175</v>
          </cell>
        </row>
        <row r="1098">
          <cell r="AU1098">
            <v>98.75856341553218</v>
          </cell>
        </row>
        <row r="1099">
          <cell r="AU1099">
            <v>97.435426934039398</v>
          </cell>
        </row>
        <row r="1100">
          <cell r="AU1100">
            <v>97.927954392332211</v>
          </cell>
        </row>
        <row r="1101">
          <cell r="AU1101">
            <v>96.858355595507177</v>
          </cell>
        </row>
        <row r="1102">
          <cell r="AU1102">
            <v>98.313322709326911</v>
          </cell>
        </row>
        <row r="1103">
          <cell r="AU1103">
            <v>96.213262583906172</v>
          </cell>
        </row>
        <row r="1104">
          <cell r="AU1104">
            <v>99.205057766702964</v>
          </cell>
        </row>
        <row r="1105">
          <cell r="AU1105">
            <v>98.616510565062583</v>
          </cell>
        </row>
        <row r="1106">
          <cell r="AU1106">
            <v>99.62335715244869</v>
          </cell>
        </row>
        <row r="1107">
          <cell r="AU1107">
            <v>98.353854199762637</v>
          </cell>
        </row>
        <row r="1108">
          <cell r="AU1108">
            <v>97.851876301229794</v>
          </cell>
        </row>
        <row r="1109">
          <cell r="AU1109">
            <v>96.784826520048185</v>
          </cell>
        </row>
        <row r="1110">
          <cell r="AU1110">
            <v>99.306008905273842</v>
          </cell>
        </row>
        <row r="1111">
          <cell r="AU1111">
            <v>103.8755853825819</v>
          </cell>
        </row>
        <row r="1113">
          <cell r="AU1113">
            <v>94.594411695767121</v>
          </cell>
        </row>
        <row r="1114">
          <cell r="AU1114">
            <v>95.442259414411609</v>
          </cell>
        </row>
        <row r="1115">
          <cell r="AU1115">
            <v>97.799087255527326</v>
          </cell>
        </row>
        <row r="1116">
          <cell r="AU1116">
            <v>99.719532753381543</v>
          </cell>
        </row>
        <row r="1117">
          <cell r="AU1117">
            <v>97.267166338056526</v>
          </cell>
        </row>
        <row r="1118">
          <cell r="AU1118">
            <v>100.44764077118069</v>
          </cell>
        </row>
        <row r="1119">
          <cell r="AU1119">
            <v>93.827567421687206</v>
          </cell>
        </row>
        <row r="1120">
          <cell r="AU1120">
            <v>96.394036031473647</v>
          </cell>
        </row>
        <row r="1121">
          <cell r="AU1121">
            <v>97.578305165931454</v>
          </cell>
        </row>
        <row r="1122">
          <cell r="AU1122">
            <v>96.932364975155807</v>
          </cell>
        </row>
        <row r="1123">
          <cell r="AU1123">
            <v>97.997104085958256</v>
          </cell>
        </row>
        <row r="1124">
          <cell r="AU1124">
            <v>97.759544843715418</v>
          </cell>
        </row>
        <row r="1125">
          <cell r="AU1125">
            <v>94.633810861424649</v>
          </cell>
        </row>
        <row r="1126">
          <cell r="AU1126">
            <v>96.862779824852581</v>
          </cell>
        </row>
        <row r="1127">
          <cell r="AU1127">
            <v>97.346818027874249</v>
          </cell>
        </row>
        <row r="1128">
          <cell r="AU1128">
            <v>97.629135536293958</v>
          </cell>
        </row>
        <row r="1129">
          <cell r="AU1129">
            <v>96.246567851915756</v>
          </cell>
        </row>
        <row r="1130">
          <cell r="AU1130">
            <v>99.254098267973902</v>
          </cell>
        </row>
        <row r="1131">
          <cell r="AU1131">
            <v>99.144169147157214</v>
          </cell>
        </row>
        <row r="1132">
          <cell r="AU1132">
            <v>99.23496199785825</v>
          </cell>
        </row>
        <row r="1134">
          <cell r="AU1134">
            <v>99.19314463412546</v>
          </cell>
        </row>
        <row r="1135">
          <cell r="AU1135">
            <v>102.92280154888711</v>
          </cell>
        </row>
        <row r="1136">
          <cell r="AU1136">
            <v>99.829359344619434</v>
          </cell>
        </row>
        <row r="1137">
          <cell r="AU1137">
            <v>99.761609789296614</v>
          </cell>
        </row>
        <row r="1138">
          <cell r="AU1138">
            <v>99.596399217459179</v>
          </cell>
        </row>
        <row r="1139">
          <cell r="AU1139">
            <v>100.37908211897162</v>
          </cell>
        </row>
        <row r="1140">
          <cell r="AU1140">
            <v>97.418312766765041</v>
          </cell>
        </row>
        <row r="1141">
          <cell r="AU1141">
            <v>97.968907607982743</v>
          </cell>
        </row>
        <row r="1142">
          <cell r="AU1142">
            <v>100.17029027008138</v>
          </cell>
        </row>
        <row r="1143">
          <cell r="AU1143">
            <v>99.993228708722555</v>
          </cell>
        </row>
        <row r="1144">
          <cell r="AU1144">
            <v>97.765751264487974</v>
          </cell>
        </row>
        <row r="1145">
          <cell r="AU1145">
            <v>100.62180093955595</v>
          </cell>
        </row>
        <row r="1146">
          <cell r="AU1146">
            <v>99.629475486503139</v>
          </cell>
        </row>
        <row r="1147">
          <cell r="AU1147">
            <v>102.31969069772103</v>
          </cell>
        </row>
        <row r="1148">
          <cell r="AU1148">
            <v>99.701418936924441</v>
          </cell>
        </row>
        <row r="1149">
          <cell r="AU1149">
            <v>102.89444634839793</v>
          </cell>
        </row>
        <row r="1150">
          <cell r="AU1150">
            <v>98.3471950616252</v>
          </cell>
        </row>
        <row r="1151">
          <cell r="AU1151">
            <v>105.60928359110704</v>
          </cell>
        </row>
        <row r="1152">
          <cell r="AU1152">
            <v>99.212780781016363</v>
          </cell>
        </row>
        <row r="1153">
          <cell r="AU1153">
            <v>100.63709509811707</v>
          </cell>
        </row>
        <row r="1154">
          <cell r="AU1154">
            <v>103.96526783220462</v>
          </cell>
        </row>
        <row r="1155">
          <cell r="AU1155">
            <v>102.33610142522622</v>
          </cell>
        </row>
        <row r="1156">
          <cell r="AU1156">
            <v>99.64102382490708</v>
          </cell>
        </row>
        <row r="1157">
          <cell r="AU1157">
            <v>97.359035191556657</v>
          </cell>
        </row>
        <row r="1158">
          <cell r="AU1158">
            <v>97.039812457212648</v>
          </cell>
        </row>
        <row r="1159">
          <cell r="AU1159">
            <v>99.191907080373852</v>
          </cell>
        </row>
        <row r="1160">
          <cell r="AU1160">
            <v>97.085988871154981</v>
          </cell>
        </row>
        <row r="1161">
          <cell r="AU1161">
            <v>98.839848274994736</v>
          </cell>
        </row>
        <row r="1162">
          <cell r="AU1162">
            <v>97.093900728710452</v>
          </cell>
        </row>
        <row r="1163">
          <cell r="AU1163">
            <v>98.663229460189456</v>
          </cell>
        </row>
        <row r="1164">
          <cell r="AU1164">
            <v>98.007580302489345</v>
          </cell>
        </row>
        <row r="1165">
          <cell r="AU1165">
            <v>96.82899132340151</v>
          </cell>
        </row>
        <row r="1166">
          <cell r="AU1166">
            <v>98.296064945454376</v>
          </cell>
        </row>
        <row r="1167">
          <cell r="AU1167">
            <v>101.25530046681963</v>
          </cell>
        </row>
        <row r="1169">
          <cell r="AU1169">
            <v>98.660529574241494</v>
          </cell>
        </row>
        <row r="1170">
          <cell r="AU1170">
            <v>98.683683341984477</v>
          </cell>
        </row>
        <row r="1171">
          <cell r="AU1171">
            <v>96.46565272128187</v>
          </cell>
        </row>
        <row r="1172">
          <cell r="AU1172">
            <v>98.213482405754576</v>
          </cell>
        </row>
        <row r="1173">
          <cell r="AU1173">
            <v>98.248215187248647</v>
          </cell>
        </row>
        <row r="1174">
          <cell r="AU1174">
            <v>99.347419892330862</v>
          </cell>
        </row>
        <row r="1175">
          <cell r="AU1175">
            <v>95.129579928527363</v>
          </cell>
        </row>
        <row r="1176">
          <cell r="AU1176">
            <v>97.379668362256893</v>
          </cell>
        </row>
        <row r="1177">
          <cell r="AU1177">
            <v>99.069063562092396</v>
          </cell>
        </row>
        <row r="1178">
          <cell r="AU1178">
            <v>98.284977928895344</v>
          </cell>
        </row>
        <row r="1179">
          <cell r="AU1179">
            <v>97.697220967368324</v>
          </cell>
        </row>
        <row r="1180">
          <cell r="AU1180">
            <v>101.77283360791213</v>
          </cell>
        </row>
        <row r="1181">
          <cell r="AU1181">
            <v>100.11664075277199</v>
          </cell>
        </row>
        <row r="1182">
          <cell r="AU1182">
            <v>98.96717887047059</v>
          </cell>
        </row>
        <row r="1183">
          <cell r="AU1183">
            <v>101.63639408836093</v>
          </cell>
        </row>
        <row r="1184">
          <cell r="AU1184">
            <v>98.708712830779419</v>
          </cell>
        </row>
        <row r="1185">
          <cell r="AU1185">
            <v>101.97508681628864</v>
          </cell>
        </row>
        <row r="1186">
          <cell r="AU1186">
            <v>100.72072842071967</v>
          </cell>
        </row>
        <row r="1187">
          <cell r="AU1187">
            <v>97.365017903467503</v>
          </cell>
        </row>
        <row r="1188">
          <cell r="AU1188">
            <v>101.01311282542125</v>
          </cell>
        </row>
        <row r="1189">
          <cell r="AU1189">
            <v>100.53358360397915</v>
          </cell>
        </row>
        <row r="1190">
          <cell r="AU1190">
            <v>100.26027269838312</v>
          </cell>
        </row>
        <row r="1191">
          <cell r="AU1191">
            <v>100.63192255012645</v>
          </cell>
        </row>
        <row r="1192">
          <cell r="AU1192">
            <v>99.244367423501714</v>
          </cell>
        </row>
        <row r="1193">
          <cell r="AU1193">
            <v>100.38350189359957</v>
          </cell>
        </row>
        <row r="1194">
          <cell r="AU1194">
            <v>99.785915212785909</v>
          </cell>
        </row>
        <row r="1195">
          <cell r="AU1195">
            <v>97.50865977837762</v>
          </cell>
        </row>
        <row r="1196">
          <cell r="AU1196">
            <v>100.0636839283863</v>
          </cell>
        </row>
        <row r="1197">
          <cell r="AU1197">
            <v>99.399695194472216</v>
          </cell>
        </row>
        <row r="1198">
          <cell r="AU1198">
            <v>100.80828631126168</v>
          </cell>
        </row>
        <row r="1199">
          <cell r="AU1199">
            <v>104.29383532084293</v>
          </cell>
        </row>
        <row r="1200">
          <cell r="AU1200">
            <v>102.06806155794258</v>
          </cell>
        </row>
        <row r="1201">
          <cell r="AU1201">
            <v>98.068435070509224</v>
          </cell>
        </row>
        <row r="1202">
          <cell r="AU1202">
            <v>99.818028096023355</v>
          </cell>
        </row>
        <row r="1203">
          <cell r="AU1203">
            <v>105.43737145342024</v>
          </cell>
        </row>
        <row r="1204">
          <cell r="AU1204">
            <v>97.871405694667857</v>
          </cell>
        </row>
        <row r="1205">
          <cell r="AU1205">
            <v>96.721541095846874</v>
          </cell>
        </row>
        <row r="1206">
          <cell r="AU1206">
            <v>102.17987166054657</v>
          </cell>
        </row>
        <row r="1207">
          <cell r="AU1207">
            <v>96.176672749058383</v>
          </cell>
        </row>
        <row r="1208">
          <cell r="AU1208">
            <v>99.766559934627637</v>
          </cell>
        </row>
        <row r="1209">
          <cell r="AU1209">
            <v>100.49829989218999</v>
          </cell>
        </row>
        <row r="1210">
          <cell r="AU1210">
            <v>99.790091501759747</v>
          </cell>
        </row>
        <row r="1211">
          <cell r="AU1211">
            <v>100.55981487206185</v>
          </cell>
        </row>
        <row r="1212">
          <cell r="AU1212">
            <v>97.788116609006309</v>
          </cell>
        </row>
        <row r="1213">
          <cell r="AU1213">
            <v>101.98103091751247</v>
          </cell>
        </row>
        <row r="1214">
          <cell r="AU1214">
            <v>99.012001119679738</v>
          </cell>
        </row>
        <row r="1215">
          <cell r="AU1215">
            <v>91.261489968985217</v>
          </cell>
        </row>
        <row r="1216">
          <cell r="AU1216">
            <v>99.707698219426462</v>
          </cell>
        </row>
        <row r="1217">
          <cell r="AU1217">
            <v>99.614769231653739</v>
          </cell>
        </row>
        <row r="1218">
          <cell r="AU1218">
            <v>99.614769231653739</v>
          </cell>
        </row>
        <row r="1219">
          <cell r="AU1219">
            <v>97.686659012038731</v>
          </cell>
        </row>
        <row r="1220">
          <cell r="AU1220">
            <v>99.41593735693985</v>
          </cell>
        </row>
        <row r="1221">
          <cell r="AU1221">
            <v>100.33556993750601</v>
          </cell>
        </row>
        <row r="1222">
          <cell r="AU1222">
            <v>100.36284236973283</v>
          </cell>
        </row>
        <row r="1223">
          <cell r="AU1223">
            <v>96.707064243265734</v>
          </cell>
        </row>
        <row r="1224">
          <cell r="AU1224">
            <v>98.684983751011956</v>
          </cell>
        </row>
        <row r="1225">
          <cell r="AU1225">
            <v>100.32666613792978</v>
          </cell>
        </row>
        <row r="1226">
          <cell r="AU1226">
            <v>99.075472038593162</v>
          </cell>
        </row>
        <row r="1227">
          <cell r="AU1227">
            <v>100.36025727184756</v>
          </cell>
        </row>
        <row r="1228">
          <cell r="AU1228">
            <v>98.501847436225248</v>
          </cell>
        </row>
        <row r="1229">
          <cell r="AU1229">
            <v>98.135747551553138</v>
          </cell>
        </row>
        <row r="1230">
          <cell r="AU1230">
            <v>96.024350814782196</v>
          </cell>
        </row>
        <row r="1232">
          <cell r="AU1232">
            <v>98.179789785028689</v>
          </cell>
        </row>
        <row r="1233">
          <cell r="AU1233">
            <v>98.291928859171279</v>
          </cell>
        </row>
        <row r="1234">
          <cell r="AU1234">
            <v>97.797767256682306</v>
          </cell>
        </row>
        <row r="1235">
          <cell r="AU1235">
            <v>100.58641598521527</v>
          </cell>
        </row>
        <row r="1236">
          <cell r="AU1236">
            <v>96.111582389487964</v>
          </cell>
        </row>
        <row r="1237">
          <cell r="AU1237">
            <v>98.073236826407097</v>
          </cell>
        </row>
        <row r="1238">
          <cell r="AU1238">
            <v>97.333813603818271</v>
          </cell>
        </row>
        <row r="1239">
          <cell r="AU1239">
            <v>97.488035418419599</v>
          </cell>
        </row>
        <row r="1240">
          <cell r="AU1240">
            <v>96.443069000306991</v>
          </cell>
        </row>
        <row r="1241">
          <cell r="AU1241">
            <v>97.660098295963977</v>
          </cell>
        </row>
        <row r="1242">
          <cell r="AU1242">
            <v>100.1925094291288</v>
          </cell>
        </row>
        <row r="1243">
          <cell r="AU1243">
            <v>102.02975819555886</v>
          </cell>
        </row>
        <row r="1244">
          <cell r="AU1244">
            <v>99.251334851868066</v>
          </cell>
        </row>
        <row r="1245">
          <cell r="AU1245">
            <v>98.988031079610636</v>
          </cell>
        </row>
        <row r="1246">
          <cell r="AU1246">
            <v>93.84492272914629</v>
          </cell>
        </row>
        <row r="1247">
          <cell r="AU1247">
            <v>97.675973893190388</v>
          </cell>
        </row>
        <row r="1248">
          <cell r="AU1248">
            <v>96.128859563942299</v>
          </cell>
        </row>
        <row r="1249">
          <cell r="AU1249">
            <v>96.23019957287525</v>
          </cell>
        </row>
        <row r="1250">
          <cell r="AU1250">
            <v>95.554648042025462</v>
          </cell>
        </row>
        <row r="1251">
          <cell r="AU1251">
            <v>98.040839419924865</v>
          </cell>
        </row>
        <row r="1252">
          <cell r="AU1252">
            <v>96.199420039592823</v>
          </cell>
        </row>
        <row r="1253">
          <cell r="AU1253">
            <v>97.234243270288488</v>
          </cell>
        </row>
        <row r="1254">
          <cell r="AU1254">
            <v>98.44605815756691</v>
          </cell>
        </row>
        <row r="1255">
          <cell r="AU1255">
            <v>97.382459789895933</v>
          </cell>
        </row>
        <row r="1256">
          <cell r="AU1256">
            <v>98.328884904956453</v>
          </cell>
        </row>
        <row r="1257">
          <cell r="AU1257">
            <v>99.176349471390083</v>
          </cell>
        </row>
        <row r="1258">
          <cell r="AU1258">
            <v>99.725213620870562</v>
          </cell>
        </row>
        <row r="1259">
          <cell r="AU1259">
            <v>100.48066422868867</v>
          </cell>
        </row>
        <row r="1260">
          <cell r="AU1260">
            <v>101.04881107834257</v>
          </cell>
        </row>
        <row r="1261">
          <cell r="AU1261">
            <v>96.684054663353407</v>
          </cell>
        </row>
        <row r="1262">
          <cell r="AU1262">
            <v>100.11748114942228</v>
          </cell>
        </row>
        <row r="1263">
          <cell r="AU1263">
            <v>100.51795107401998</v>
          </cell>
        </row>
        <row r="1264">
          <cell r="AU1264">
            <v>99.207896402187785</v>
          </cell>
        </row>
        <row r="1265">
          <cell r="AU1265">
            <v>100.95368553039596</v>
          </cell>
        </row>
        <row r="1266">
          <cell r="AU1266">
            <v>97.17675724343205</v>
          </cell>
        </row>
        <row r="1267">
          <cell r="AU1267">
            <v>100.27568850272728</v>
          </cell>
        </row>
        <row r="1268">
          <cell r="AU1268">
            <v>95.840653755436676</v>
          </cell>
        </row>
        <row r="1269">
          <cell r="AU1269">
            <v>97.856182069825209</v>
          </cell>
        </row>
        <row r="1270">
          <cell r="AU1270">
            <v>96.19901229369458</v>
          </cell>
        </row>
        <row r="1271">
          <cell r="AU1271">
            <v>99.768698757120475</v>
          </cell>
        </row>
        <row r="1272">
          <cell r="AU1272">
            <v>96.963110760980143</v>
          </cell>
        </row>
        <row r="1273">
          <cell r="AU1273">
            <v>95.387189095245446</v>
          </cell>
        </row>
        <row r="1274">
          <cell r="AU1274">
            <v>97.66276675900059</v>
          </cell>
        </row>
        <row r="1275">
          <cell r="AU1275">
            <v>96.722609742578882</v>
          </cell>
        </row>
        <row r="1276">
          <cell r="AU1276">
            <v>95.21341030938089</v>
          </cell>
        </row>
        <row r="1277">
          <cell r="AU1277">
            <v>100.58641598521527</v>
          </cell>
        </row>
        <row r="1278">
          <cell r="AU1278">
            <v>98.728481909993832</v>
          </cell>
        </row>
        <row r="1279">
          <cell r="AU1279">
            <v>97.363389883580609</v>
          </cell>
        </row>
        <row r="1280">
          <cell r="AU1280">
            <v>96.368222565528768</v>
          </cell>
        </row>
        <row r="1281">
          <cell r="AU1281">
            <v>99.403685713959135</v>
          </cell>
        </row>
        <row r="1282">
          <cell r="AU1282">
            <v>99.376781450914166</v>
          </cell>
        </row>
        <row r="1283">
          <cell r="AU1283">
            <v>100.1873369871003</v>
          </cell>
        </row>
        <row r="1284">
          <cell r="AU1284">
            <v>99.697907762622791</v>
          </cell>
        </row>
        <row r="1285">
          <cell r="AU1285">
            <v>100.26548026974599</v>
          </cell>
        </row>
        <row r="1286">
          <cell r="AU1286">
            <v>102.4523707111142</v>
          </cell>
        </row>
        <row r="1287">
          <cell r="AU1287">
            <v>100.73490880151181</v>
          </cell>
        </row>
        <row r="1288">
          <cell r="AU1288">
            <v>99.528027585112525</v>
          </cell>
        </row>
        <row r="1289">
          <cell r="AU1289">
            <v>100.40167185692117</v>
          </cell>
        </row>
        <row r="1290">
          <cell r="AU1290">
            <v>95.757943444168916</v>
          </cell>
        </row>
        <row r="1291">
          <cell r="AU1291">
            <v>100.64852804849632</v>
          </cell>
        </row>
        <row r="1292">
          <cell r="AU1292">
            <v>98.923494874166224</v>
          </cell>
        </row>
        <row r="1293">
          <cell r="AU1293">
            <v>100.60809464584524</v>
          </cell>
        </row>
        <row r="1294">
          <cell r="AU1294">
            <v>101.56245729868796</v>
          </cell>
        </row>
        <row r="1295">
          <cell r="AU1295">
            <v>100.73265147899326</v>
          </cell>
        </row>
        <row r="1296">
          <cell r="AU1296">
            <v>96.496722132654568</v>
          </cell>
        </row>
        <row r="1297">
          <cell r="AU1297">
            <v>104.73769347324765</v>
          </cell>
        </row>
        <row r="1298">
          <cell r="AU1298">
            <v>106.35297340389174</v>
          </cell>
        </row>
        <row r="1299">
          <cell r="AU1299">
            <v>97.675981598068034</v>
          </cell>
        </row>
        <row r="1301">
          <cell r="AU1301">
            <v>100.69636349625802</v>
          </cell>
        </row>
        <row r="1302">
          <cell r="AU1302">
            <v>98.184391941531558</v>
          </cell>
        </row>
        <row r="1303">
          <cell r="AU1303">
            <v>100.28460594143462</v>
          </cell>
        </row>
        <row r="1304">
          <cell r="AU1304">
            <v>99.054172804783235</v>
          </cell>
        </row>
        <row r="1305">
          <cell r="AU1305">
            <v>97.279357172003117</v>
          </cell>
        </row>
        <row r="1306">
          <cell r="AU1306">
            <v>99.364064980818199</v>
          </cell>
        </row>
        <row r="1307">
          <cell r="AU1307">
            <v>96.124556479651858</v>
          </cell>
        </row>
        <row r="1308">
          <cell r="AU1308">
            <v>94.991504047027817</v>
          </cell>
        </row>
        <row r="1309">
          <cell r="AU1309">
            <v>99.356858720757813</v>
          </cell>
        </row>
        <row r="1310">
          <cell r="AU1310">
            <v>99.85019705163522</v>
          </cell>
        </row>
        <row r="1311">
          <cell r="AU1311">
            <v>99.172910782795725</v>
          </cell>
        </row>
        <row r="1312">
          <cell r="AU1312">
            <v>96.169426096286429</v>
          </cell>
        </row>
        <row r="1313">
          <cell r="AU1313">
            <v>98.505525515629415</v>
          </cell>
        </row>
        <row r="1314">
          <cell r="AU1314">
            <v>96.258588846991714</v>
          </cell>
        </row>
        <row r="1315">
          <cell r="AU1315">
            <v>94.232141766092681</v>
          </cell>
        </row>
        <row r="1316">
          <cell r="AU1316">
            <v>95.570750074834052</v>
          </cell>
        </row>
        <row r="1317">
          <cell r="AU1317">
            <v>96.288795653844687</v>
          </cell>
        </row>
        <row r="1318">
          <cell r="AU1318">
            <v>95.645642237820567</v>
          </cell>
        </row>
        <row r="1319">
          <cell r="AU1319">
            <v>96.403544949878381</v>
          </cell>
        </row>
        <row r="1320">
          <cell r="AU1320">
            <v>97.131757704740778</v>
          </cell>
        </row>
        <row r="1321">
          <cell r="AU1321">
            <v>99.958438788996091</v>
          </cell>
        </row>
        <row r="1322">
          <cell r="AU1322">
            <v>97.297010458054217</v>
          </cell>
        </row>
        <row r="1323">
          <cell r="AU1323">
            <v>98.657901147288669</v>
          </cell>
        </row>
        <row r="1324">
          <cell r="AU1324">
            <v>99.981282874675273</v>
          </cell>
        </row>
        <row r="1325">
          <cell r="AU1325">
            <v>99.580050341134651</v>
          </cell>
        </row>
        <row r="1326">
          <cell r="AU1326">
            <v>96.929558501285911</v>
          </cell>
        </row>
        <row r="1327">
          <cell r="AU1327">
            <v>100.30553206082334</v>
          </cell>
        </row>
        <row r="1328">
          <cell r="AU1328">
            <v>99.722360362795285</v>
          </cell>
        </row>
        <row r="1329">
          <cell r="AU1329">
            <v>98.944798098757886</v>
          </cell>
        </row>
        <row r="1330">
          <cell r="AU1330">
            <v>95.580638204051326</v>
          </cell>
        </row>
        <row r="1331">
          <cell r="AU1331">
            <v>98.735458005641846</v>
          </cell>
        </row>
        <row r="1332">
          <cell r="AU1332">
            <v>99.650000628755876</v>
          </cell>
        </row>
        <row r="1333">
          <cell r="AU1333">
            <v>101.84109606479639</v>
          </cell>
        </row>
        <row r="1334">
          <cell r="AU1334">
            <v>96.796751766607542</v>
          </cell>
        </row>
        <row r="1335">
          <cell r="AU1335">
            <v>98.193610604613141</v>
          </cell>
        </row>
        <row r="1336">
          <cell r="AU1336">
            <v>98.093894811424491</v>
          </cell>
        </row>
        <row r="1337">
          <cell r="AU1337">
            <v>99.544408891882213</v>
          </cell>
        </row>
        <row r="1338">
          <cell r="AU1338">
            <v>95.943650597628519</v>
          </cell>
        </row>
        <row r="1339">
          <cell r="AU1339">
            <v>98.489487551374054</v>
          </cell>
        </row>
        <row r="1340">
          <cell r="AU1340">
            <v>99.461015338477637</v>
          </cell>
        </row>
        <row r="1341">
          <cell r="AU1341">
            <v>98.205094303313913</v>
          </cell>
        </row>
        <row r="1342">
          <cell r="AU1342">
            <v>96.57736653253302</v>
          </cell>
        </row>
        <row r="1343">
          <cell r="AU1343">
            <v>99.162258965139586</v>
          </cell>
        </row>
        <row r="1344">
          <cell r="AU1344">
            <v>97.752006327292591</v>
          </cell>
        </row>
        <row r="1345">
          <cell r="AU1345">
            <v>98.25226189331751</v>
          </cell>
        </row>
        <row r="1346">
          <cell r="AU1346">
            <v>92.330641979085215</v>
          </cell>
        </row>
        <row r="1347">
          <cell r="AU1347">
            <v>96.92616235214588</v>
          </cell>
        </row>
        <row r="1348">
          <cell r="AU1348">
            <v>98.250904314108695</v>
          </cell>
        </row>
        <row r="1349">
          <cell r="AU1349">
            <v>97.226742284610296</v>
          </cell>
        </row>
        <row r="1350">
          <cell r="AU1350">
            <v>97.131846766978995</v>
          </cell>
        </row>
        <row r="1351">
          <cell r="AU1351">
            <v>96.993217019795154</v>
          </cell>
        </row>
        <row r="1352">
          <cell r="AU1352">
            <v>98.417594218830985</v>
          </cell>
        </row>
        <row r="1353">
          <cell r="AU1353">
            <v>102.82252082705443</v>
          </cell>
        </row>
        <row r="1354">
          <cell r="AU1354">
            <v>98.816203939292336</v>
          </cell>
        </row>
        <row r="1355">
          <cell r="AU1355">
            <v>96.798324627985608</v>
          </cell>
        </row>
        <row r="1356">
          <cell r="AU1356">
            <v>94.452452072698932</v>
          </cell>
        </row>
        <row r="1357">
          <cell r="AU1357">
            <v>97.56033572665082</v>
          </cell>
        </row>
        <row r="1358">
          <cell r="AU1358">
            <v>98.27460163662704</v>
          </cell>
        </row>
        <row r="1359">
          <cell r="AU1359">
            <v>97.762952703699071</v>
          </cell>
        </row>
        <row r="1360">
          <cell r="AU1360">
            <v>98.536776457125086</v>
          </cell>
        </row>
        <row r="1361">
          <cell r="AU1361">
            <v>98.239874351747247</v>
          </cell>
        </row>
        <row r="1362">
          <cell r="AU1362">
            <v>98.540391691402434</v>
          </cell>
        </row>
        <row r="1363">
          <cell r="AU1363">
            <v>98.858098536373518</v>
          </cell>
        </row>
        <row r="1365">
          <cell r="AU1365">
            <v>100.41719648574204</v>
          </cell>
        </row>
        <row r="1366">
          <cell r="AU1366">
            <v>99.322262234372474</v>
          </cell>
        </row>
        <row r="1367">
          <cell r="AU1367">
            <v>101.39091759147669</v>
          </cell>
        </row>
        <row r="1368">
          <cell r="AU1368">
            <v>97.734817712523011</v>
          </cell>
        </row>
        <row r="1369">
          <cell r="AU1369">
            <v>99.071270960746133</v>
          </cell>
        </row>
        <row r="1370">
          <cell r="AU1370">
            <v>99.447784717664206</v>
          </cell>
        </row>
        <row r="1371">
          <cell r="AU1371">
            <v>93.59468551560397</v>
          </cell>
        </row>
        <row r="1372">
          <cell r="AU1372">
            <v>94.563283703778581</v>
          </cell>
        </row>
        <row r="1373">
          <cell r="AU1373">
            <v>98.67921311815266</v>
          </cell>
        </row>
        <row r="1374">
          <cell r="AU1374">
            <v>96.36809033051874</v>
          </cell>
        </row>
        <row r="1375">
          <cell r="AU1375">
            <v>96.920303781973502</v>
          </cell>
        </row>
        <row r="1376">
          <cell r="AU1376">
            <v>102.56831615190862</v>
          </cell>
        </row>
        <row r="1377">
          <cell r="AU1377">
            <v>98.929739255873997</v>
          </cell>
        </row>
        <row r="1378">
          <cell r="AU1378">
            <v>99.322262234372474</v>
          </cell>
        </row>
        <row r="1379">
          <cell r="AU1379">
            <v>95.465966670266354</v>
          </cell>
        </row>
        <row r="1380">
          <cell r="AU1380">
            <v>97.114144389537444</v>
          </cell>
        </row>
        <row r="1381">
          <cell r="AU1381">
            <v>97.159907020096412</v>
          </cell>
        </row>
        <row r="1382">
          <cell r="AU1382">
            <v>98.101341699400351</v>
          </cell>
        </row>
        <row r="1383">
          <cell r="AU1383">
            <v>97.478202149506544</v>
          </cell>
        </row>
        <row r="1384">
          <cell r="AU1384">
            <v>98.929739255873997</v>
          </cell>
        </row>
        <row r="1385">
          <cell r="AU1385">
            <v>98.623493119770274</v>
          </cell>
        </row>
        <row r="1386">
          <cell r="AU1386">
            <v>98.431618619537275</v>
          </cell>
        </row>
        <row r="1387">
          <cell r="AU1387">
            <v>99.671010145829698</v>
          </cell>
        </row>
        <row r="1388">
          <cell r="AU1388">
            <v>101.88601915572946</v>
          </cell>
        </row>
        <row r="1389">
          <cell r="AU1389">
            <v>94.965720341288431</v>
          </cell>
        </row>
        <row r="1390">
          <cell r="AU1390">
            <v>96.435091480311513</v>
          </cell>
        </row>
        <row r="1391">
          <cell r="AU1391">
            <v>97.482674355194135</v>
          </cell>
        </row>
        <row r="1392">
          <cell r="AU1392">
            <v>98.364442828340316</v>
          </cell>
        </row>
        <row r="1393">
          <cell r="AU1393">
            <v>98.267944863963734</v>
          </cell>
        </row>
        <row r="1394">
          <cell r="AU1394">
            <v>97.750930172236252</v>
          </cell>
        </row>
        <row r="1395">
          <cell r="AU1395">
            <v>97.737910056068699</v>
          </cell>
        </row>
        <row r="1396">
          <cell r="AU1396">
            <v>96.540559150897863</v>
          </cell>
        </row>
        <row r="1397">
          <cell r="AU1397">
            <v>97.822972408587717</v>
          </cell>
        </row>
        <row r="1398">
          <cell r="AU1398">
            <v>98.261703641432518</v>
          </cell>
        </row>
        <row r="1399">
          <cell r="AU1399">
            <v>95.461164108361956</v>
          </cell>
        </row>
        <row r="1400">
          <cell r="AU1400">
            <v>96.415086891174909</v>
          </cell>
        </row>
        <row r="1401">
          <cell r="AU1401">
            <v>99.640125910776376</v>
          </cell>
        </row>
        <row r="1402">
          <cell r="AU1402">
            <v>96.114626501610672</v>
          </cell>
        </row>
        <row r="1403">
          <cell r="AU1403">
            <v>97.097205687046483</v>
          </cell>
        </row>
        <row r="1404">
          <cell r="AU1404">
            <v>97.933176072044361</v>
          </cell>
        </row>
        <row r="1405">
          <cell r="AU1405">
            <v>97.359348868497207</v>
          </cell>
        </row>
        <row r="1406">
          <cell r="AU1406">
            <v>95.274933067771656</v>
          </cell>
        </row>
        <row r="1407">
          <cell r="AU1407">
            <v>96.905759405529636</v>
          </cell>
        </row>
        <row r="1408">
          <cell r="AU1408">
            <v>98.743467786078526</v>
          </cell>
        </row>
        <row r="1409">
          <cell r="AU1409">
            <v>98.336500376686118</v>
          </cell>
        </row>
        <row r="1410">
          <cell r="AU1410">
            <v>97.914891452662474</v>
          </cell>
        </row>
        <row r="1411">
          <cell r="AU1411">
            <v>99.253173965491797</v>
          </cell>
        </row>
        <row r="1412">
          <cell r="AU1412">
            <v>99.409086961911157</v>
          </cell>
        </row>
        <row r="1413">
          <cell r="AU1413">
            <v>95.652853192916908</v>
          </cell>
        </row>
        <row r="1414">
          <cell r="AU1414">
            <v>98.479270074922681</v>
          </cell>
        </row>
        <row r="1415">
          <cell r="AU1415">
            <v>98.176669890806309</v>
          </cell>
        </row>
        <row r="1416">
          <cell r="AU1416">
            <v>96.714179234632098</v>
          </cell>
        </row>
        <row r="1417">
          <cell r="AU1417">
            <v>99.115564785646797</v>
          </cell>
        </row>
        <row r="1418">
          <cell r="AU1418">
            <v>98.541044413027265</v>
          </cell>
        </row>
        <row r="1419">
          <cell r="AU1419">
            <v>97.452215171322351</v>
          </cell>
        </row>
        <row r="1420">
          <cell r="AU1420">
            <v>98.648885620396499</v>
          </cell>
        </row>
        <row r="1421">
          <cell r="AU1421">
            <v>98.936703535170665</v>
          </cell>
        </row>
        <row r="1422">
          <cell r="AU1422">
            <v>99.623676980281815</v>
          </cell>
        </row>
        <row r="1423">
          <cell r="AU1423">
            <v>98.120445907560153</v>
          </cell>
        </row>
        <row r="1424">
          <cell r="AU1424">
            <v>98.572209097474968</v>
          </cell>
        </row>
        <row r="1425">
          <cell r="AU1425">
            <v>95.646266460157364</v>
          </cell>
        </row>
        <row r="1426">
          <cell r="AU1426">
            <v>97.742482894211975</v>
          </cell>
        </row>
        <row r="1427">
          <cell r="AU1427">
            <v>98.330113051892596</v>
          </cell>
        </row>
        <row r="1428">
          <cell r="AU1428">
            <v>97.169799152857877</v>
          </cell>
        </row>
        <row r="1429">
          <cell r="AU1429">
            <v>99.208647670497314</v>
          </cell>
        </row>
        <row r="1430">
          <cell r="AU1430">
            <v>98.525989771119455</v>
          </cell>
        </row>
        <row r="1431">
          <cell r="AU1431">
            <v>98.461659837743611</v>
          </cell>
        </row>
        <row r="1432">
          <cell r="AU1432">
            <v>98.62620942585643</v>
          </cell>
        </row>
        <row r="1433">
          <cell r="AU1433">
            <v>100.21609106830478</v>
          </cell>
        </row>
        <row r="1434">
          <cell r="AU1434">
            <v>89.640220918832952</v>
          </cell>
        </row>
        <row r="1435">
          <cell r="AU1435">
            <v>93.282679447096996</v>
          </cell>
        </row>
        <row r="1436">
          <cell r="AU1436">
            <v>107.10597490816951</v>
          </cell>
        </row>
        <row r="1437">
          <cell r="AU1437">
            <v>96.299726205571716</v>
          </cell>
        </row>
        <row r="1438">
          <cell r="AU1438">
            <v>98.309867057290148</v>
          </cell>
        </row>
        <row r="1439">
          <cell r="AU1439">
            <v>99.629209558382172</v>
          </cell>
        </row>
        <row r="1440">
          <cell r="AU1440">
            <v>98.060245628328929</v>
          </cell>
        </row>
        <row r="1441">
          <cell r="AU1441">
            <v>98.94333918173038</v>
          </cell>
        </row>
        <row r="1442">
          <cell r="AU1442">
            <v>98.871999428059297</v>
          </cell>
        </row>
        <row r="1443">
          <cell r="AU1443">
            <v>98.554563782195103</v>
          </cell>
        </row>
        <row r="1444">
          <cell r="AU1444">
            <v>98.69767718374888</v>
          </cell>
        </row>
        <row r="1446">
          <cell r="AU1446">
            <v>98.403676881234972</v>
          </cell>
        </row>
        <row r="1447">
          <cell r="AU1447">
            <v>98.208043328787198</v>
          </cell>
        </row>
        <row r="1448">
          <cell r="AU1448">
            <v>97.971400682892167</v>
          </cell>
        </row>
        <row r="1449">
          <cell r="AU1449">
            <v>97.602470858445898</v>
          </cell>
        </row>
        <row r="1450">
          <cell r="AU1450">
            <v>94.959570970106483</v>
          </cell>
        </row>
        <row r="1451">
          <cell r="AU1451">
            <v>95.939132123377576</v>
          </cell>
        </row>
        <row r="1452">
          <cell r="AU1452">
            <v>97.349907896919447</v>
          </cell>
        </row>
        <row r="1453">
          <cell r="AU1453">
            <v>102.89636630362016</v>
          </cell>
        </row>
        <row r="1454">
          <cell r="AU1454">
            <v>95.461604124855526</v>
          </cell>
        </row>
        <row r="1455">
          <cell r="AU1455">
            <v>97.647870047840527</v>
          </cell>
        </row>
        <row r="1456">
          <cell r="AU1456">
            <v>98.432063344309483</v>
          </cell>
        </row>
        <row r="1457">
          <cell r="AU1457">
            <v>96.068380428080829</v>
          </cell>
        </row>
        <row r="1458">
          <cell r="AU1458">
            <v>99.788621268905345</v>
          </cell>
        </row>
        <row r="1459">
          <cell r="AU1459">
            <v>99.171782801163587</v>
          </cell>
        </row>
        <row r="1460">
          <cell r="AU1460">
            <v>97.849625099668586</v>
          </cell>
        </row>
        <row r="1461">
          <cell r="AU1461">
            <v>98.820355507403406</v>
          </cell>
        </row>
        <row r="1462">
          <cell r="AU1462">
            <v>98.013249025769767</v>
          </cell>
        </row>
        <row r="1463">
          <cell r="AU1463">
            <v>97.816776223891637</v>
          </cell>
        </row>
        <row r="1464">
          <cell r="AU1464">
            <v>95.104846006797871</v>
          </cell>
        </row>
        <row r="1465">
          <cell r="AU1465">
            <v>97.801074685859348</v>
          </cell>
        </row>
        <row r="1466">
          <cell r="AU1466">
            <v>96.232788591939283</v>
          </cell>
        </row>
        <row r="1467">
          <cell r="AU1467">
            <v>98.97820607044973</v>
          </cell>
        </row>
        <row r="1468">
          <cell r="AU1468">
            <v>97.713592048259329</v>
          </cell>
        </row>
        <row r="1469">
          <cell r="AU1469">
            <v>98.768967717547937</v>
          </cell>
        </row>
        <row r="1470">
          <cell r="AU1470">
            <v>97.849625099668586</v>
          </cell>
        </row>
        <row r="1471">
          <cell r="AU1471">
            <v>94.116046142772348</v>
          </cell>
        </row>
        <row r="1472">
          <cell r="AU1472">
            <v>98.888478397355001</v>
          </cell>
        </row>
        <row r="1473">
          <cell r="AU1473">
            <v>96.988435329123845</v>
          </cell>
        </row>
        <row r="1474">
          <cell r="AU1474">
            <v>95.732299004591454</v>
          </cell>
        </row>
        <row r="1475">
          <cell r="AU1475">
            <v>98.377484500921341</v>
          </cell>
        </row>
        <row r="1476">
          <cell r="AU1476">
            <v>100.05551202869533</v>
          </cell>
        </row>
        <row r="1477">
          <cell r="AU1477">
            <v>98.424375293096418</v>
          </cell>
        </row>
        <row r="1478">
          <cell r="AU1478">
            <v>97.811296698949192</v>
          </cell>
        </row>
        <row r="1479">
          <cell r="AU1479">
            <v>98.634699122165827</v>
          </cell>
        </row>
        <row r="1480">
          <cell r="AU1480">
            <v>98.235349044445485</v>
          </cell>
        </row>
        <row r="1481">
          <cell r="AU1481">
            <v>98.200208415446014</v>
          </cell>
        </row>
        <row r="1482">
          <cell r="AU1482">
            <v>98.22247134082383</v>
          </cell>
        </row>
        <row r="1483">
          <cell r="AU1483">
            <v>98.022782936884127</v>
          </cell>
        </row>
        <row r="1484">
          <cell r="AU1484">
            <v>107.52183094840358</v>
          </cell>
        </row>
        <row r="1485">
          <cell r="AU1485">
            <v>98.538852324222177</v>
          </cell>
        </row>
        <row r="1486">
          <cell r="AU1486">
            <v>98.214233684807724</v>
          </cell>
        </row>
        <row r="1487">
          <cell r="AU1487">
            <v>98.825308599286103</v>
          </cell>
        </row>
        <row r="1488">
          <cell r="AU1488">
            <v>97.839545060236915</v>
          </cell>
        </row>
        <row r="1489">
          <cell r="AU1489">
            <v>97.92367945623333</v>
          </cell>
        </row>
        <row r="1490">
          <cell r="AU1490">
            <v>96.732530464388148</v>
          </cell>
        </row>
        <row r="1491">
          <cell r="AU1491">
            <v>98.003054578841031</v>
          </cell>
        </row>
        <row r="1492">
          <cell r="AU1492">
            <v>99.071222574861054</v>
          </cell>
        </row>
        <row r="1493">
          <cell r="AU1493">
            <v>99.190386905250023</v>
          </cell>
        </row>
        <row r="1494">
          <cell r="AU1494">
            <v>94.679848778277758</v>
          </cell>
        </row>
        <row r="1495">
          <cell r="AU1495">
            <v>97.590582017147952</v>
          </cell>
        </row>
        <row r="1496">
          <cell r="AU1496">
            <v>99.140905281436531</v>
          </cell>
        </row>
        <row r="1497">
          <cell r="AU1497">
            <v>102.13728013602423</v>
          </cell>
        </row>
        <row r="1498">
          <cell r="AU1498">
            <v>95.017154952630335</v>
          </cell>
        </row>
        <row r="1499">
          <cell r="AU1499">
            <v>99.494185297436474</v>
          </cell>
        </row>
        <row r="1500">
          <cell r="AU1500">
            <v>98.303188897575154</v>
          </cell>
        </row>
        <row r="1501">
          <cell r="AU1501">
            <v>97.497104151681953</v>
          </cell>
        </row>
        <row r="1502">
          <cell r="AU1502">
            <v>98.154558638154512</v>
          </cell>
        </row>
        <row r="1503">
          <cell r="AU1503">
            <v>97.859878257858369</v>
          </cell>
        </row>
        <row r="1504">
          <cell r="AU1504">
            <v>98.978031848439642</v>
          </cell>
        </row>
        <row r="1505">
          <cell r="AU1505">
            <v>97.469998264799159</v>
          </cell>
        </row>
        <row r="1506">
          <cell r="AU1506">
            <v>93.791761347926894</v>
          </cell>
        </row>
        <row r="1507">
          <cell r="AU1507">
            <v>95.268532624941997</v>
          </cell>
        </row>
        <row r="1508">
          <cell r="AU1508">
            <v>96.513617944475655</v>
          </cell>
        </row>
        <row r="1509">
          <cell r="AU1509">
            <v>97.248358280048336</v>
          </cell>
        </row>
        <row r="1510">
          <cell r="AU1510">
            <v>93.198485438419098</v>
          </cell>
        </row>
        <row r="1511">
          <cell r="AU1511">
            <v>96.777213485441976</v>
          </cell>
        </row>
        <row r="1512">
          <cell r="AU1512">
            <v>97.664938261328771</v>
          </cell>
        </row>
        <row r="1513">
          <cell r="AU1513">
            <v>98.18014861875028</v>
          </cell>
        </row>
        <row r="1514">
          <cell r="AU1514">
            <v>96.846983069370367</v>
          </cell>
        </row>
        <row r="1515">
          <cell r="AU1515">
            <v>101.76554486222224</v>
          </cell>
        </row>
        <row r="1516">
          <cell r="AU1516">
            <v>96.733120964420081</v>
          </cell>
        </row>
        <row r="1517">
          <cell r="AU1517">
            <v>96.375325079354994</v>
          </cell>
        </row>
        <row r="1518">
          <cell r="AU1518">
            <v>93.164094726996794</v>
          </cell>
        </row>
        <row r="1519">
          <cell r="AU1519">
            <v>98.762583234484524</v>
          </cell>
        </row>
        <row r="1520">
          <cell r="AU1520">
            <v>96.244744743561299</v>
          </cell>
        </row>
        <row r="1521">
          <cell r="AU1521">
            <v>97.139838277575777</v>
          </cell>
        </row>
        <row r="1522">
          <cell r="AU1522">
            <v>96.354517751252075</v>
          </cell>
        </row>
        <row r="1523">
          <cell r="AU1523">
            <v>95.509845236065445</v>
          </cell>
        </row>
        <row r="1524">
          <cell r="AU1524">
            <v>97.067635434515111</v>
          </cell>
        </row>
        <row r="1525">
          <cell r="AU1525">
            <v>95.891884617009708</v>
          </cell>
        </row>
        <row r="1526">
          <cell r="AU1526">
            <v>96.657398300051142</v>
          </cell>
        </row>
        <row r="1527">
          <cell r="AU1527">
            <v>96.623887599326139</v>
          </cell>
        </row>
        <row r="1529">
          <cell r="AU1529">
            <v>95.888750997466246</v>
          </cell>
        </row>
        <row r="1531">
          <cell r="AU1531">
            <v>97.358845453483937</v>
          </cell>
        </row>
        <row r="1532">
          <cell r="AU1532">
            <v>97.787993076807993</v>
          </cell>
        </row>
        <row r="1533">
          <cell r="AU1533">
            <v>100.77221550889792</v>
          </cell>
        </row>
        <row r="1534">
          <cell r="AU1534">
            <v>100.09537521022919</v>
          </cell>
        </row>
        <row r="1535">
          <cell r="AU1535">
            <v>98.57435184706199</v>
          </cell>
        </row>
        <row r="1536">
          <cell r="AU1536">
            <v>99.846927004097182</v>
          </cell>
        </row>
        <row r="1537">
          <cell r="AU1537">
            <v>96.692192927553478</v>
          </cell>
        </row>
        <row r="1538">
          <cell r="AU1538">
            <v>99.379452386908071</v>
          </cell>
        </row>
        <row r="1539">
          <cell r="AU1539">
            <v>96.468737875235774</v>
          </cell>
        </row>
        <row r="1540">
          <cell r="AU1540">
            <v>98.530094641761735</v>
          </cell>
        </row>
        <row r="1541">
          <cell r="AU1541">
            <v>99.945184755444359</v>
          </cell>
        </row>
        <row r="1542">
          <cell r="AU1542">
            <v>98.272858173411109</v>
          </cell>
        </row>
        <row r="1543">
          <cell r="AU1543">
            <v>98.746806466395398</v>
          </cell>
        </row>
        <row r="1544">
          <cell r="AU1544">
            <v>96.892528769528354</v>
          </cell>
        </row>
        <row r="1545">
          <cell r="AU1545">
            <v>99.329779569836703</v>
          </cell>
        </row>
        <row r="1546">
          <cell r="AU1546">
            <v>99.358891682499532</v>
          </cell>
        </row>
        <row r="1547">
          <cell r="AU1547">
            <v>98.070660675032357</v>
          </cell>
        </row>
        <row r="1548">
          <cell r="AU1548">
            <v>88.286344931162546</v>
          </cell>
        </row>
        <row r="1549">
          <cell r="AU1549">
            <v>98.933858232911817</v>
          </cell>
        </row>
        <row r="1550">
          <cell r="AU1550">
            <v>98.78625201233416</v>
          </cell>
        </row>
        <row r="1551">
          <cell r="AU1551">
            <v>99.187212042641292</v>
          </cell>
        </row>
        <row r="1552">
          <cell r="AU1552">
            <v>99.413670162626218</v>
          </cell>
        </row>
        <row r="1553">
          <cell r="AU1553">
            <v>99.773815293205345</v>
          </cell>
        </row>
        <row r="1554">
          <cell r="AU1554">
            <v>98.936394304213565</v>
          </cell>
        </row>
        <row r="1555">
          <cell r="AU1555">
            <v>97.793709002359662</v>
          </cell>
        </row>
        <row r="1556">
          <cell r="AU1556">
            <v>99.385581117917994</v>
          </cell>
        </row>
        <row r="1557">
          <cell r="AU1557">
            <v>99.648210827388539</v>
          </cell>
        </row>
        <row r="1558">
          <cell r="AU1558">
            <v>99.453053524791059</v>
          </cell>
        </row>
        <row r="1559">
          <cell r="AU1559">
            <v>99.231986204607509</v>
          </cell>
        </row>
        <row r="1560">
          <cell r="AU1560">
            <v>96.222035971414087</v>
          </cell>
        </row>
        <row r="1561">
          <cell r="AU1561">
            <v>94.663130443127486</v>
          </cell>
        </row>
        <row r="1562">
          <cell r="AU1562">
            <v>96.516010017933652</v>
          </cell>
        </row>
        <row r="1563">
          <cell r="AU1563">
            <v>102.73678009446101</v>
          </cell>
        </row>
        <row r="1564">
          <cell r="AU1564">
            <v>95.090687552741997</v>
          </cell>
        </row>
        <row r="1565">
          <cell r="AU1565">
            <v>100.06817952322191</v>
          </cell>
        </row>
        <row r="1566">
          <cell r="AU1566">
            <v>98.700115637317481</v>
          </cell>
        </row>
        <row r="1567">
          <cell r="AU1567">
            <v>93.610559392957626</v>
          </cell>
        </row>
        <row r="1568">
          <cell r="AU1568">
            <v>95.294477877540658</v>
          </cell>
        </row>
        <row r="1569">
          <cell r="AU1569">
            <v>97.613203013475982</v>
          </cell>
        </row>
        <row r="1570">
          <cell r="AU1570">
            <v>99.916594677284749</v>
          </cell>
        </row>
        <row r="1571">
          <cell r="AU1571">
            <v>91.390694141109606</v>
          </cell>
        </row>
        <row r="1572">
          <cell r="AU1572">
            <v>101.32228077167503</v>
          </cell>
        </row>
        <row r="1573">
          <cell r="AU1573">
            <v>90.434272634553253</v>
          </cell>
        </row>
        <row r="1574">
          <cell r="AU1574">
            <v>97.259954723457597</v>
          </cell>
        </row>
        <row r="1575">
          <cell r="AU1575">
            <v>98.9853434339648</v>
          </cell>
        </row>
        <row r="1576">
          <cell r="AU1576">
            <v>98.86278199656256</v>
          </cell>
        </row>
        <row r="1577">
          <cell r="AU1577">
            <v>98.499331655873206</v>
          </cell>
        </row>
        <row r="1578">
          <cell r="AU1578">
            <v>98.499331655873206</v>
          </cell>
        </row>
        <row r="1579">
          <cell r="AU1579">
            <v>98.312959470172288</v>
          </cell>
        </row>
        <row r="1580">
          <cell r="AU1580">
            <v>99.490286512588028</v>
          </cell>
        </row>
        <row r="1581">
          <cell r="AU1581">
            <v>99.391995087405974</v>
          </cell>
        </row>
        <row r="1582">
          <cell r="AU1582">
            <v>99.223765625776068</v>
          </cell>
        </row>
        <row r="1583">
          <cell r="AU1583">
            <v>99.509173515320853</v>
          </cell>
        </row>
        <row r="1584">
          <cell r="AU1584">
            <v>98.814760108037234</v>
          </cell>
        </row>
        <row r="1585">
          <cell r="AU1585">
            <v>95.512404307838978</v>
          </cell>
        </row>
        <row r="1586">
          <cell r="AU1586">
            <v>99.394444364848241</v>
          </cell>
        </row>
        <row r="1587">
          <cell r="AU1587">
            <v>95.108679119700511</v>
          </cell>
        </row>
        <row r="1588">
          <cell r="AU1588">
            <v>99.050098791613507</v>
          </cell>
        </row>
        <row r="1589">
          <cell r="AU1589">
            <v>99.897881224365065</v>
          </cell>
        </row>
        <row r="1590">
          <cell r="AU1590">
            <v>100.71733673028096</v>
          </cell>
        </row>
        <row r="1591">
          <cell r="AU1591">
            <v>97.993617253854779</v>
          </cell>
        </row>
        <row r="1592">
          <cell r="AU1592">
            <v>99.123599290834477</v>
          </cell>
        </row>
        <row r="1593">
          <cell r="AU1593">
            <v>100.91355866471055</v>
          </cell>
        </row>
        <row r="1594">
          <cell r="AU1594">
            <v>98.239258499914229</v>
          </cell>
        </row>
        <row r="1596">
          <cell r="A1596" t="str">
            <v>CA737</v>
          </cell>
          <cell r="AU1596">
            <v>96.140007674122913</v>
          </cell>
        </row>
        <row r="1597">
          <cell r="A1597" t="str">
            <v>CA738</v>
          </cell>
          <cell r="AU1597">
            <v>98.862127909667777</v>
          </cell>
        </row>
        <row r="1598">
          <cell r="A1598" t="str">
            <v>CA739</v>
          </cell>
          <cell r="AU1598">
            <v>99.196916635814219</v>
          </cell>
        </row>
        <row r="1599">
          <cell r="A1599" t="str">
            <v>CA740</v>
          </cell>
          <cell r="AU1599">
            <v>102.87694546953874</v>
          </cell>
        </row>
        <row r="1600">
          <cell r="A1600" t="str">
            <v>CA741</v>
          </cell>
          <cell r="AU1600">
            <v>96.591695445097898</v>
          </cell>
        </row>
        <row r="1601">
          <cell r="A1601" t="str">
            <v>CA742</v>
          </cell>
          <cell r="AU1601">
            <v>97.778380143088455</v>
          </cell>
        </row>
        <row r="1602">
          <cell r="A1602" t="str">
            <v>CA743</v>
          </cell>
          <cell r="AU1602">
            <v>98.483754072592433</v>
          </cell>
        </row>
        <row r="1603">
          <cell r="A1603" t="str">
            <v>CA744</v>
          </cell>
          <cell r="AU1603">
            <v>102.64449836329833</v>
          </cell>
        </row>
        <row r="1604">
          <cell r="A1604" t="str">
            <v>CA745</v>
          </cell>
          <cell r="AU1604">
            <v>97.459769969122391</v>
          </cell>
        </row>
        <row r="1605">
          <cell r="A1605" t="str">
            <v>CA746</v>
          </cell>
          <cell r="AU1605">
            <v>98.47106395112759</v>
          </cell>
        </row>
        <row r="1606">
          <cell r="A1606" t="str">
            <v>CA747</v>
          </cell>
          <cell r="AU1606">
            <v>98.368893630377599</v>
          </cell>
        </row>
        <row r="1607">
          <cell r="A1607" t="str">
            <v>CA748</v>
          </cell>
          <cell r="AU1607">
            <v>98.0656739447262</v>
          </cell>
        </row>
        <row r="1608">
          <cell r="A1608" t="str">
            <v>CA749</v>
          </cell>
          <cell r="AU1608">
            <v>98.328536151991386</v>
          </cell>
        </row>
        <row r="1609">
          <cell r="A1609" t="str">
            <v>CA750</v>
          </cell>
          <cell r="AU1609">
            <v>98.610869614426989</v>
          </cell>
        </row>
        <row r="1610">
          <cell r="A1610" t="str">
            <v>CA751</v>
          </cell>
          <cell r="AU1610">
            <v>98.181504213358579</v>
          </cell>
        </row>
        <row r="1611">
          <cell r="A1611" t="str">
            <v>CA752</v>
          </cell>
          <cell r="AU1611">
            <v>97.771873602277154</v>
          </cell>
        </row>
        <row r="1612">
          <cell r="A1612" t="str">
            <v>CA753</v>
          </cell>
          <cell r="AU1612">
            <v>98.518334591745614</v>
          </cell>
        </row>
        <row r="1613">
          <cell r="A1613" t="str">
            <v>CA754</v>
          </cell>
          <cell r="AU1613">
            <v>98.060255244619768</v>
          </cell>
        </row>
        <row r="1614">
          <cell r="A1614" t="str">
            <v>CA755</v>
          </cell>
          <cell r="AU1614">
            <v>98.789089698523057</v>
          </cell>
        </row>
        <row r="1615">
          <cell r="A1615" t="str">
            <v>CA756</v>
          </cell>
          <cell r="AU1615">
            <v>98.004244968244933</v>
          </cell>
        </row>
        <row r="1616">
          <cell r="A1616" t="str">
            <v>CA757</v>
          </cell>
          <cell r="AU1616">
            <v>95.930243309637774</v>
          </cell>
        </row>
        <row r="1617">
          <cell r="A1617" t="str">
            <v>CA758</v>
          </cell>
          <cell r="AU1617">
            <v>98.685384517162291</v>
          </cell>
        </row>
        <row r="1618">
          <cell r="A1618" t="str">
            <v>CA759</v>
          </cell>
          <cell r="AU1618">
            <v>98.743419762147283</v>
          </cell>
        </row>
        <row r="1619">
          <cell r="A1619" t="str">
            <v>CA760</v>
          </cell>
          <cell r="AU1619">
            <v>98.527956697616446</v>
          </cell>
        </row>
      </sheetData>
      <sheetData sheetId="6">
        <row r="6">
          <cell r="D6">
            <v>11.6</v>
          </cell>
        </row>
      </sheetData>
      <sheetData sheetId="7"/>
      <sheetData sheetId="8"/>
      <sheetData sheetId="9">
        <row r="6">
          <cell r="H6">
            <v>2008.7500000000005</v>
          </cell>
        </row>
      </sheetData>
      <sheetData sheetId="10">
        <row r="6">
          <cell r="P6"/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Operator Performance '16"/>
      <sheetName val="Operator Performance '17"/>
      <sheetName val="Operator Performance '18"/>
      <sheetName val="Brew Times"/>
      <sheetName val="Chart1"/>
      <sheetName val="BrewMaterials"/>
      <sheetName val="Brewhouse"/>
      <sheetName val="Process"/>
      <sheetName val="Packaging"/>
      <sheetName val="Summary December '23 "/>
      <sheetName val="Summary November '23"/>
      <sheetName val="Summary October '23 "/>
      <sheetName val="Summary September '23 "/>
      <sheetName val="Summary August '23"/>
      <sheetName val="Summary July '23"/>
      <sheetName val="Summary June '23 "/>
      <sheetName val="Summary May '23"/>
      <sheetName val="Summary April '23   "/>
      <sheetName val="Summary March '23  "/>
      <sheetName val="Summary February '23 "/>
      <sheetName val="Summary January '23"/>
      <sheetName val="Summary December '22   "/>
      <sheetName val="Summary November '22  "/>
      <sheetName val="Summary October '22 "/>
      <sheetName val="Summary September '22 "/>
      <sheetName val="Summary August '22 "/>
      <sheetName val="Summary July '22"/>
      <sheetName val="Summary June '22 "/>
      <sheetName val="Summary May '22"/>
      <sheetName val="Summary April '22"/>
      <sheetName val="Summary March '22"/>
      <sheetName val="Summary February '22"/>
      <sheetName val="Summary January '22"/>
      <sheetName val="Summary December '21"/>
    </sheetNames>
    <sheetDataSet>
      <sheetData sheetId="0"/>
      <sheetData sheetId="1"/>
      <sheetData sheetId="2"/>
      <sheetData sheetId="3"/>
      <sheetData sheetId="4" refreshError="1"/>
      <sheetData sheetId="5"/>
      <sheetData sheetId="6">
        <row r="76">
          <cell r="AS76">
            <v>93.401228986840337</v>
          </cell>
        </row>
        <row r="577">
          <cell r="AS577">
            <v>96.252483291748931</v>
          </cell>
        </row>
        <row r="578">
          <cell r="AS578">
            <v>96.763055268385216</v>
          </cell>
        </row>
        <row r="579">
          <cell r="AS579">
            <v>99.07159368104702</v>
          </cell>
        </row>
        <row r="580">
          <cell r="AS580">
            <v>99.474323736661034</v>
          </cell>
        </row>
        <row r="581">
          <cell r="AS581">
            <v>99.055509044316352</v>
          </cell>
        </row>
        <row r="582">
          <cell r="AS582">
            <v>93.192210426599971</v>
          </cell>
        </row>
        <row r="583">
          <cell r="AS583">
            <v>99.214524668093944</v>
          </cell>
        </row>
        <row r="584">
          <cell r="AS584">
            <v>100.47597500168524</v>
          </cell>
        </row>
        <row r="585">
          <cell r="AS585">
            <v>99.267847045753157</v>
          </cell>
        </row>
        <row r="586">
          <cell r="AS586">
            <v>99.258908446871416</v>
          </cell>
        </row>
        <row r="587">
          <cell r="AS587">
            <v>97.107849520154573</v>
          </cell>
        </row>
        <row r="588">
          <cell r="AS588">
            <v>98.668863625433005</v>
          </cell>
        </row>
        <row r="589">
          <cell r="AS589">
            <v>98.142973914193277</v>
          </cell>
        </row>
        <row r="590">
          <cell r="AS590">
            <v>98.888083030736681</v>
          </cell>
        </row>
        <row r="591">
          <cell r="AS591">
            <v>98.795858839752356</v>
          </cell>
        </row>
        <row r="592">
          <cell r="AS592">
            <v>91.889557472352934</v>
          </cell>
        </row>
        <row r="593">
          <cell r="AS593">
            <v>98.277925070817602</v>
          </cell>
        </row>
        <row r="594">
          <cell r="AS594">
            <v>107.23727799236048</v>
          </cell>
        </row>
        <row r="595">
          <cell r="AS595">
            <v>96.947059611002658</v>
          </cell>
        </row>
        <row r="596">
          <cell r="AS596">
            <v>99.069170741587214</v>
          </cell>
        </row>
        <row r="597">
          <cell r="AS597">
            <v>98.950757400048701</v>
          </cell>
        </row>
        <row r="598">
          <cell r="AS598">
            <v>98.750452223125535</v>
          </cell>
        </row>
        <row r="599">
          <cell r="AS599">
            <v>98.797669427914244</v>
          </cell>
        </row>
        <row r="600">
          <cell r="AS600">
            <v>98.951450980542759</v>
          </cell>
        </row>
        <row r="601">
          <cell r="AS601">
            <v>98.358927321976608</v>
          </cell>
        </row>
        <row r="602">
          <cell r="AS602">
            <v>99.324019004612524</v>
          </cell>
        </row>
        <row r="603">
          <cell r="AS603">
            <v>95.711826504698735</v>
          </cell>
        </row>
        <row r="604">
          <cell r="AS604">
            <v>97.25483690737326</v>
          </cell>
        </row>
        <row r="605">
          <cell r="AS605">
            <v>99.197396562770763</v>
          </cell>
        </row>
        <row r="606">
          <cell r="AS606">
            <v>98.964857855624871</v>
          </cell>
        </row>
        <row r="607">
          <cell r="AS607">
            <v>98.670900841589486</v>
          </cell>
        </row>
        <row r="608">
          <cell r="AS608">
            <v>99.087053728189062</v>
          </cell>
        </row>
        <row r="609">
          <cell r="AS609">
            <v>98.611632976203893</v>
          </cell>
        </row>
        <row r="610">
          <cell r="AS610">
            <v>99.407921699666332</v>
          </cell>
        </row>
        <row r="611">
          <cell r="AS611">
            <v>94.124926180840106</v>
          </cell>
        </row>
        <row r="612">
          <cell r="AS612">
            <v>98.397610268960591</v>
          </cell>
        </row>
        <row r="613">
          <cell r="AS613">
            <v>98.595593388214027</v>
          </cell>
        </row>
        <row r="614">
          <cell r="AS614">
            <v>99.479970950945599</v>
          </cell>
        </row>
        <row r="615">
          <cell r="AS615">
            <v>99.087084140183208</v>
          </cell>
        </row>
        <row r="616">
          <cell r="AS616">
            <v>98.153313875331278</v>
          </cell>
        </row>
        <row r="617">
          <cell r="AS617">
            <v>99.059044031723758</v>
          </cell>
        </row>
        <row r="618">
          <cell r="AS618">
            <v>101.95499860919848</v>
          </cell>
        </row>
        <row r="620">
          <cell r="AS620">
            <v>96.869096710983925</v>
          </cell>
        </row>
        <row r="621">
          <cell r="AS621">
            <v>99.547292209557895</v>
          </cell>
        </row>
        <row r="622">
          <cell r="AS622">
            <v>99.147503887431171</v>
          </cell>
        </row>
        <row r="623">
          <cell r="AS623">
            <v>99.620723106468503</v>
          </cell>
        </row>
        <row r="624">
          <cell r="AS624">
            <v>98.668324843238935</v>
          </cell>
        </row>
        <row r="625">
          <cell r="AS625">
            <v>98.878395024922369</v>
          </cell>
        </row>
        <row r="626">
          <cell r="AS626">
            <v>98.954136148816616</v>
          </cell>
        </row>
        <row r="627">
          <cell r="AS627">
            <v>99.271695094228932</v>
          </cell>
        </row>
        <row r="628">
          <cell r="AS628">
            <v>101.89668600638116</v>
          </cell>
        </row>
        <row r="629">
          <cell r="AS629">
            <v>95.119246955670206</v>
          </cell>
        </row>
        <row r="630">
          <cell r="AS630">
            <v>98.490589508289219</v>
          </cell>
        </row>
        <row r="631">
          <cell r="AS631">
            <v>96.628314379016032</v>
          </cell>
        </row>
        <row r="632">
          <cell r="AS632">
            <v>94.847826299850496</v>
          </cell>
        </row>
        <row r="633">
          <cell r="AS633">
            <v>96.093928131654877</v>
          </cell>
        </row>
        <row r="634">
          <cell r="AS634">
            <v>99.093782747396475</v>
          </cell>
        </row>
        <row r="635">
          <cell r="AS635">
            <v>96.829566042226901</v>
          </cell>
        </row>
        <row r="636">
          <cell r="AS636">
            <v>92.651350322380281</v>
          </cell>
        </row>
        <row r="637">
          <cell r="AS637">
            <v>97.966465095398789</v>
          </cell>
        </row>
        <row r="638">
          <cell r="AS638">
            <v>96.902732836089029</v>
          </cell>
        </row>
        <row r="639">
          <cell r="AS639">
            <v>98.199317114722348</v>
          </cell>
        </row>
        <row r="640">
          <cell r="AS640">
            <v>97.961385739540034</v>
          </cell>
        </row>
        <row r="641">
          <cell r="AS641">
            <v>98.446315281893988</v>
          </cell>
        </row>
        <row r="642">
          <cell r="AS642">
            <v>97.257828578289633</v>
          </cell>
        </row>
        <row r="643">
          <cell r="AS643">
            <v>96.848003938337612</v>
          </cell>
        </row>
        <row r="644">
          <cell r="AS644">
            <v>94.268489640003139</v>
          </cell>
        </row>
        <row r="645">
          <cell r="AS645">
            <v>95.831746861950919</v>
          </cell>
        </row>
        <row r="646">
          <cell r="AS646">
            <v>94.58421149597136</v>
          </cell>
        </row>
        <row r="647">
          <cell r="AS647">
            <v>94.58421149597136</v>
          </cell>
        </row>
        <row r="648">
          <cell r="AS648">
            <v>96.15161614729854</v>
          </cell>
        </row>
        <row r="649">
          <cell r="AS649">
            <v>96.847824985200191</v>
          </cell>
        </row>
        <row r="650">
          <cell r="AS650">
            <v>99.045523542150946</v>
          </cell>
        </row>
        <row r="651">
          <cell r="AS651">
            <v>98.806499870618765</v>
          </cell>
        </row>
        <row r="653">
          <cell r="AS653">
            <v>94.97910754548144</v>
          </cell>
        </row>
        <row r="654">
          <cell r="AS654">
            <v>100.24919512912089</v>
          </cell>
        </row>
        <row r="655">
          <cell r="AS655">
            <v>99.670803955960778</v>
          </cell>
        </row>
        <row r="656">
          <cell r="AS656">
            <v>98.879686910798952</v>
          </cell>
        </row>
        <row r="657">
          <cell r="AS657">
            <v>99.590889443663684</v>
          </cell>
        </row>
        <row r="658">
          <cell r="AS658">
            <v>100.09856640654033</v>
          </cell>
        </row>
        <row r="659">
          <cell r="AS659">
            <v>99.619880103820094</v>
          </cell>
        </row>
        <row r="660">
          <cell r="AS660">
            <v>97.647209210675157</v>
          </cell>
        </row>
        <row r="661">
          <cell r="AS661">
            <v>99.625318640384748</v>
          </cell>
        </row>
        <row r="662">
          <cell r="AS662">
            <v>99.822596499078585</v>
          </cell>
        </row>
        <row r="663">
          <cell r="AS663">
            <v>96.66615075997727</v>
          </cell>
        </row>
        <row r="664">
          <cell r="AS664">
            <v>99.42804078169091</v>
          </cell>
        </row>
        <row r="665">
          <cell r="AS665">
            <v>98.619884998487549</v>
          </cell>
        </row>
        <row r="666">
          <cell r="AS666">
            <v>99.696020271350051</v>
          </cell>
        </row>
        <row r="667">
          <cell r="AS667">
            <v>99.401032602435976</v>
          </cell>
        </row>
        <row r="668">
          <cell r="AS668">
            <v>100.09007568744232</v>
          </cell>
        </row>
        <row r="669">
          <cell r="AS669">
            <v>99.596319503423089</v>
          </cell>
        </row>
        <row r="670">
          <cell r="AS670">
            <v>99.401032602435976</v>
          </cell>
        </row>
        <row r="671">
          <cell r="AS671">
            <v>97.07287270411102</v>
          </cell>
        </row>
        <row r="672">
          <cell r="AS672">
            <v>97.985891681833053</v>
          </cell>
        </row>
        <row r="673">
          <cell r="AS673">
            <v>98.776100485718814</v>
          </cell>
        </row>
        <row r="674">
          <cell r="AS674">
            <v>98.973652686690244</v>
          </cell>
        </row>
        <row r="675">
          <cell r="AS675">
            <v>99.278502850194101</v>
          </cell>
        </row>
        <row r="676">
          <cell r="AS676">
            <v>98.561912949528178</v>
          </cell>
        </row>
        <row r="677">
          <cell r="AS677">
            <v>99.861447517561885</v>
          </cell>
        </row>
        <row r="678">
          <cell r="AS678">
            <v>99.861447517561885</v>
          </cell>
        </row>
        <row r="679">
          <cell r="AS679">
            <v>101.21133303492269</v>
          </cell>
        </row>
        <row r="680">
          <cell r="AS680">
            <v>96.698904908769507</v>
          </cell>
        </row>
        <row r="681">
          <cell r="AS681">
            <v>102.00606382936222</v>
          </cell>
        </row>
        <row r="682">
          <cell r="AS682">
            <v>97.427677408967256</v>
          </cell>
        </row>
        <row r="683">
          <cell r="AS683">
            <v>98.108921308356997</v>
          </cell>
        </row>
        <row r="684">
          <cell r="AS684">
            <v>98.694063980176225</v>
          </cell>
        </row>
        <row r="685">
          <cell r="AS685">
            <v>100.2652450226567</v>
          </cell>
        </row>
        <row r="686">
          <cell r="AS686">
            <v>100.74539413116692</v>
          </cell>
        </row>
        <row r="687">
          <cell r="AS687">
            <v>101.27598337973996</v>
          </cell>
        </row>
        <row r="688">
          <cell r="AS688">
            <v>102.20244053927394</v>
          </cell>
        </row>
        <row r="689">
          <cell r="AS689">
            <v>99.163481197267728</v>
          </cell>
        </row>
        <row r="690">
          <cell r="AS690">
            <v>101.59733613737035</v>
          </cell>
        </row>
        <row r="691">
          <cell r="AS691">
            <v>102.18443014405814</v>
          </cell>
        </row>
        <row r="692">
          <cell r="AS692">
            <v>99.719071879528798</v>
          </cell>
        </row>
        <row r="693">
          <cell r="AS693">
            <v>100.84603073482505</v>
          </cell>
        </row>
        <row r="694">
          <cell r="AS694">
            <v>103.38659991045883</v>
          </cell>
        </row>
        <row r="695">
          <cell r="AS695">
            <v>103.24183379000793</v>
          </cell>
        </row>
        <row r="696">
          <cell r="AS696">
            <v>102.1830837779485</v>
          </cell>
        </row>
        <row r="698">
          <cell r="AS698">
            <v>96.429908671540403</v>
          </cell>
        </row>
        <row r="699">
          <cell r="AS699">
            <v>95.810688139372886</v>
          </cell>
        </row>
        <row r="700">
          <cell r="AS700">
            <v>96.451517171751576</v>
          </cell>
        </row>
        <row r="701">
          <cell r="AS701">
            <v>98.91585168536264</v>
          </cell>
        </row>
        <row r="702">
          <cell r="AS702">
            <v>98.741297270858453</v>
          </cell>
        </row>
        <row r="703">
          <cell r="AS703">
            <v>98.639026691655275</v>
          </cell>
        </row>
        <row r="704">
          <cell r="AS704">
            <v>99.708764324123052</v>
          </cell>
        </row>
        <row r="705">
          <cell r="AS705">
            <v>96.393313724689648</v>
          </cell>
        </row>
        <row r="706">
          <cell r="AS706">
            <v>99.872119258602709</v>
          </cell>
        </row>
        <row r="707">
          <cell r="AS707">
            <v>95.475287240863395</v>
          </cell>
        </row>
        <row r="708">
          <cell r="AS708">
            <v>100.07702758723762</v>
          </cell>
        </row>
        <row r="710">
          <cell r="AS710">
            <v>98.599223019705548</v>
          </cell>
        </row>
        <row r="711">
          <cell r="AS711">
            <v>95.550338344212662</v>
          </cell>
        </row>
        <row r="712">
          <cell r="AS712">
            <v>101.78290005234547</v>
          </cell>
        </row>
        <row r="713">
          <cell r="AS713">
            <v>99.28115997304883</v>
          </cell>
        </row>
        <row r="714">
          <cell r="AS714">
            <v>99.405266910839558</v>
          </cell>
        </row>
        <row r="715">
          <cell r="AS715">
            <v>100.88361338521632</v>
          </cell>
        </row>
        <row r="716">
          <cell r="AS716">
            <v>97.505342034239277</v>
          </cell>
        </row>
        <row r="717">
          <cell r="AS717">
            <v>99.114393178251547</v>
          </cell>
        </row>
        <row r="718">
          <cell r="AS718">
            <v>100.25044099616535</v>
          </cell>
        </row>
        <row r="719">
          <cell r="AS719">
            <v>98.090470150181261</v>
          </cell>
        </row>
        <row r="720">
          <cell r="AS720">
            <v>100.10522064350327</v>
          </cell>
        </row>
        <row r="721">
          <cell r="AS721">
            <v>99.700868877531136</v>
          </cell>
        </row>
        <row r="722">
          <cell r="AS722">
            <v>99.158966709289359</v>
          </cell>
        </row>
        <row r="723">
          <cell r="AS723">
            <v>101.64126027501119</v>
          </cell>
        </row>
        <row r="724">
          <cell r="AS724">
            <v>98.030709113713215</v>
          </cell>
        </row>
        <row r="725">
          <cell r="AS725">
            <v>103.30273119645332</v>
          </cell>
        </row>
        <row r="726">
          <cell r="AS726">
            <v>101.15019753270298</v>
          </cell>
        </row>
        <row r="727">
          <cell r="AS727">
            <v>105.78508118562733</v>
          </cell>
        </row>
        <row r="728">
          <cell r="AS728">
            <v>104.23720728533692</v>
          </cell>
        </row>
        <row r="729">
          <cell r="AS729">
            <v>103.57495308095812</v>
          </cell>
        </row>
        <row r="730">
          <cell r="AS730">
            <v>96.457778749263497</v>
          </cell>
        </row>
        <row r="731">
          <cell r="AS731">
            <v>98.26394823520674</v>
          </cell>
        </row>
        <row r="732">
          <cell r="AS732">
            <v>96.781019314036527</v>
          </cell>
        </row>
        <row r="733">
          <cell r="AS733">
            <v>98.535206939635856</v>
          </cell>
        </row>
        <row r="735">
          <cell r="AS735">
            <v>98.95536987190583</v>
          </cell>
        </row>
        <row r="736">
          <cell r="AS736">
            <v>100.69991425551854</v>
          </cell>
        </row>
        <row r="737">
          <cell r="AS737">
            <v>97.491795209253013</v>
          </cell>
        </row>
        <row r="738">
          <cell r="AS738">
            <v>99.907901362483045</v>
          </cell>
        </row>
        <row r="739">
          <cell r="AS739">
            <v>95.681008986054323</v>
          </cell>
        </row>
        <row r="740">
          <cell r="AS740">
            <v>101.34178018250964</v>
          </cell>
        </row>
        <row r="741">
          <cell r="AS741">
            <v>97.155168767938704</v>
          </cell>
        </row>
        <row r="742">
          <cell r="AS742">
            <v>98.829691341458499</v>
          </cell>
        </row>
        <row r="743">
          <cell r="AS743">
            <v>97.46378758207527</v>
          </cell>
        </row>
        <row r="744">
          <cell r="AS744">
            <v>95.215943842430946</v>
          </cell>
        </row>
        <row r="745">
          <cell r="AS745">
            <v>97.760584286850658</v>
          </cell>
        </row>
        <row r="746">
          <cell r="AS746">
            <v>100.17576788642711</v>
          </cell>
        </row>
        <row r="747">
          <cell r="AS747">
            <v>99.164002830183804</v>
          </cell>
        </row>
        <row r="748">
          <cell r="AS748">
            <v>98.282647159217547</v>
          </cell>
        </row>
        <row r="749">
          <cell r="AS749">
            <v>0</v>
          </cell>
        </row>
        <row r="750">
          <cell r="AS750">
            <v>98.310617012597305</v>
          </cell>
        </row>
        <row r="751">
          <cell r="AS751">
            <v>102.08679626615999</v>
          </cell>
        </row>
        <row r="752">
          <cell r="AS752">
            <v>100.5755863884288</v>
          </cell>
        </row>
        <row r="753">
          <cell r="AS753">
            <v>100.22177492564568</v>
          </cell>
        </row>
        <row r="754">
          <cell r="AS754">
            <v>101.02676910175529</v>
          </cell>
        </row>
        <row r="755">
          <cell r="AS755">
            <v>97.404295309262068</v>
          </cell>
        </row>
        <row r="756">
          <cell r="AS756">
            <v>96.82326614378033</v>
          </cell>
        </row>
        <row r="757">
          <cell r="AS757">
            <v>99.687040472011219</v>
          </cell>
        </row>
        <row r="758">
          <cell r="AS758">
            <v>98.111807696210434</v>
          </cell>
        </row>
        <row r="759">
          <cell r="AS759">
            <v>100.85106845139266</v>
          </cell>
        </row>
        <row r="760">
          <cell r="AS760">
            <v>100.21828140142605</v>
          </cell>
        </row>
        <row r="761">
          <cell r="AS761">
            <v>100.80172659044324</v>
          </cell>
        </row>
        <row r="762">
          <cell r="AS762">
            <v>101.5570974757542</v>
          </cell>
        </row>
        <row r="763">
          <cell r="AS763">
            <v>100.90521204600731</v>
          </cell>
        </row>
        <row r="764">
          <cell r="AS764">
            <v>100.54979181092753</v>
          </cell>
        </row>
        <row r="765">
          <cell r="AS765">
            <v>100.16529365581646</v>
          </cell>
        </row>
        <row r="766">
          <cell r="AS766">
            <v>98.790466396560987</v>
          </cell>
        </row>
        <row r="767">
          <cell r="AS767">
            <v>99.598542228550073</v>
          </cell>
        </row>
        <row r="768">
          <cell r="AS768">
            <v>97.527184757292375</v>
          </cell>
        </row>
        <row r="769">
          <cell r="AS769">
            <v>98.373863755008472</v>
          </cell>
        </row>
        <row r="770">
          <cell r="AS770">
            <v>99.931009421690447</v>
          </cell>
        </row>
        <row r="771">
          <cell r="AS771">
            <v>95.744176615880463</v>
          </cell>
        </row>
        <row r="772">
          <cell r="AS772">
            <v>101.39705127935868</v>
          </cell>
        </row>
        <row r="773">
          <cell r="AS773">
            <v>99.847915705494756</v>
          </cell>
        </row>
        <row r="774">
          <cell r="AS774">
            <v>93.951214784385911</v>
          </cell>
        </row>
        <row r="775">
          <cell r="AS775">
            <v>104.00634438574011</v>
          </cell>
        </row>
        <row r="776">
          <cell r="AS776">
            <v>96.391641700304547</v>
          </cell>
        </row>
        <row r="777">
          <cell r="AS777">
            <v>99.213409957842245</v>
          </cell>
        </row>
        <row r="779">
          <cell r="AS779">
            <v>97.077069258769328</v>
          </cell>
        </row>
        <row r="780">
          <cell r="AS780">
            <v>98.5575805155583</v>
          </cell>
        </row>
        <row r="781">
          <cell r="AS781">
            <v>97.286594404390684</v>
          </cell>
        </row>
        <row r="782">
          <cell r="AS782">
            <v>98.856766711971432</v>
          </cell>
        </row>
        <row r="783">
          <cell r="AS783">
            <v>101.26297533851098</v>
          </cell>
        </row>
        <row r="784">
          <cell r="AS784">
            <v>101.14713620940017</v>
          </cell>
        </row>
        <row r="785">
          <cell r="AS785">
            <v>97.0937677333973</v>
          </cell>
        </row>
        <row r="786">
          <cell r="AS786">
            <v>100.28174495732387</v>
          </cell>
        </row>
        <row r="787">
          <cell r="AS787">
            <v>95.812766380910489</v>
          </cell>
        </row>
        <row r="788">
          <cell r="AS788">
            <v>101.65546749098584</v>
          </cell>
        </row>
        <row r="789">
          <cell r="AS789">
            <v>97.853490599541431</v>
          </cell>
        </row>
        <row r="790">
          <cell r="AS790">
            <v>98.55010674540874</v>
          </cell>
        </row>
        <row r="791">
          <cell r="AS791">
            <v>97.613412018070761</v>
          </cell>
        </row>
        <row r="792">
          <cell r="AS792">
            <v>99.561158181986798</v>
          </cell>
        </row>
        <row r="793">
          <cell r="AS793">
            <v>100.24613889822621</v>
          </cell>
        </row>
        <row r="794">
          <cell r="AS794">
            <v>100.37170454522671</v>
          </cell>
        </row>
        <row r="795">
          <cell r="AS795">
            <v>100.70061057164963</v>
          </cell>
        </row>
        <row r="796">
          <cell r="AS796">
            <v>100.47480022325537</v>
          </cell>
        </row>
        <row r="797">
          <cell r="AS797">
            <v>99.841103993586884</v>
          </cell>
        </row>
        <row r="798">
          <cell r="AS798">
            <v>100.27740375916254</v>
          </cell>
        </row>
        <row r="799">
          <cell r="AS799">
            <v>97.48002702939435</v>
          </cell>
        </row>
        <row r="800">
          <cell r="AS800">
            <v>98.598067999045995</v>
          </cell>
        </row>
        <row r="801">
          <cell r="AS801">
            <v>100.85369125518513</v>
          </cell>
        </row>
        <row r="802">
          <cell r="AS802">
            <v>100.51892746653148</v>
          </cell>
        </row>
        <row r="803">
          <cell r="AS803">
            <v>101.64201292749718</v>
          </cell>
        </row>
        <row r="804">
          <cell r="AS804">
            <v>98.677122821490286</v>
          </cell>
        </row>
        <row r="805">
          <cell r="AS805">
            <v>94.602663444886986</v>
          </cell>
        </row>
        <row r="806">
          <cell r="AS806">
            <v>98.947982015755926</v>
          </cell>
        </row>
        <row r="807">
          <cell r="AS807">
            <v>99.1420270769014</v>
          </cell>
        </row>
        <row r="808">
          <cell r="AS808">
            <v>97.516997840525605</v>
          </cell>
        </row>
        <row r="809">
          <cell r="AS809">
            <v>99.751255694747158</v>
          </cell>
        </row>
        <row r="810">
          <cell r="AS810">
            <v>96.891431370869441</v>
          </cell>
        </row>
        <row r="811">
          <cell r="AS811">
            <v>100.18085577032127</v>
          </cell>
        </row>
        <row r="812">
          <cell r="AS812">
            <v>99.659757981465702</v>
          </cell>
        </row>
        <row r="813">
          <cell r="AS813">
            <v>107.34365755487836</v>
          </cell>
        </row>
        <row r="814">
          <cell r="AS814">
            <v>99.968736134069019</v>
          </cell>
        </row>
        <row r="815">
          <cell r="AS815">
            <v>99.217726998153125</v>
          </cell>
        </row>
        <row r="816">
          <cell r="AS816">
            <v>99.27225455813722</v>
          </cell>
        </row>
        <row r="817">
          <cell r="AS817">
            <v>97.215757839186651</v>
          </cell>
        </row>
        <row r="818">
          <cell r="AS818">
            <v>97.999909522417397</v>
          </cell>
        </row>
        <row r="819">
          <cell r="AS819">
            <v>99.644096363428588</v>
          </cell>
        </row>
        <row r="820">
          <cell r="AS820">
            <v>100.2807941835346</v>
          </cell>
        </row>
        <row r="821">
          <cell r="AS821">
            <v>98.168564653147371</v>
          </cell>
        </row>
        <row r="822">
          <cell r="AS822">
            <v>99.822806736202935</v>
          </cell>
        </row>
        <row r="824">
          <cell r="AS824">
            <v>99.414978940495374</v>
          </cell>
        </row>
        <row r="825">
          <cell r="AS825">
            <v>94.676492860195467</v>
          </cell>
        </row>
        <row r="826">
          <cell r="AS826">
            <v>101.52790626522442</v>
          </cell>
        </row>
        <row r="827">
          <cell r="AS827">
            <v>98.660106268344649</v>
          </cell>
        </row>
        <row r="828">
          <cell r="AS828">
            <v>97.981976311886754</v>
          </cell>
        </row>
        <row r="829">
          <cell r="AS829">
            <v>100.54504817750203</v>
          </cell>
        </row>
        <row r="830">
          <cell r="AS830">
            <v>99.549781561862332</v>
          </cell>
        </row>
        <row r="831">
          <cell r="AS831">
            <v>97.870128246333465</v>
          </cell>
        </row>
        <row r="832">
          <cell r="AS832">
            <v>98.918044513526468</v>
          </cell>
        </row>
        <row r="833">
          <cell r="AS833">
            <v>100.23810470072885</v>
          </cell>
        </row>
        <row r="834">
          <cell r="AS834">
            <v>98.141058126939669</v>
          </cell>
        </row>
        <row r="835">
          <cell r="AS835">
            <v>99.464351820346025</v>
          </cell>
        </row>
        <row r="836">
          <cell r="AS836">
            <v>99.891260601944538</v>
          </cell>
        </row>
        <row r="837">
          <cell r="AS837">
            <v>98.825303504106472</v>
          </cell>
        </row>
        <row r="838">
          <cell r="AS838">
            <v>99.811583978199351</v>
          </cell>
        </row>
        <row r="839">
          <cell r="AS839">
            <v>100.14229891746602</v>
          </cell>
        </row>
        <row r="840">
          <cell r="AS840">
            <v>96.508807516019175</v>
          </cell>
        </row>
        <row r="841">
          <cell r="AS841">
            <v>101.43378785819282</v>
          </cell>
        </row>
        <row r="842">
          <cell r="AS842">
            <v>97.423134038373789</v>
          </cell>
        </row>
        <row r="843">
          <cell r="AS843">
            <v>98.971240412158565</v>
          </cell>
        </row>
        <row r="844">
          <cell r="AS844">
            <v>99.48938955321573</v>
          </cell>
        </row>
        <row r="845">
          <cell r="AS845">
            <v>102.57854383778138</v>
          </cell>
        </row>
        <row r="846">
          <cell r="AS846">
            <v>98.992760119033306</v>
          </cell>
        </row>
        <row r="847">
          <cell r="AS847">
            <v>98.504346092292792</v>
          </cell>
        </row>
        <row r="848">
          <cell r="AS848">
            <v>96.413335590373151</v>
          </cell>
        </row>
        <row r="849">
          <cell r="AS849">
            <v>98.159547445229293</v>
          </cell>
        </row>
        <row r="850">
          <cell r="AS850">
            <v>99.986663333079832</v>
          </cell>
        </row>
        <row r="851">
          <cell r="AS851">
            <v>99.625287378566313</v>
          </cell>
        </row>
        <row r="852">
          <cell r="AS852">
            <v>95.365817891823511</v>
          </cell>
        </row>
        <row r="853">
          <cell r="AS853">
            <v>98.859846723026621</v>
          </cell>
        </row>
        <row r="854">
          <cell r="AS854">
            <v>98.241036026878831</v>
          </cell>
        </row>
        <row r="855">
          <cell r="AS855">
            <v>99.825568866022024</v>
          </cell>
        </row>
        <row r="856">
          <cell r="AS856">
            <v>98.645282808431347</v>
          </cell>
        </row>
        <row r="857">
          <cell r="AS857">
            <v>98.914939752442152</v>
          </cell>
        </row>
        <row r="858">
          <cell r="AS858">
            <v>97.758039872296649</v>
          </cell>
        </row>
        <row r="859">
          <cell r="AS859">
            <v>99.744802672280059</v>
          </cell>
        </row>
        <row r="860">
          <cell r="AS860">
            <v>94.213153736760106</v>
          </cell>
        </row>
        <row r="861">
          <cell r="AS861">
            <v>97.33408636572112</v>
          </cell>
        </row>
        <row r="862">
          <cell r="AS862">
            <v>98.687851500360367</v>
          </cell>
        </row>
        <row r="863">
          <cell r="AS863">
            <v>98.15830941278702</v>
          </cell>
        </row>
        <row r="865">
          <cell r="AS865">
            <v>95.322225589235501</v>
          </cell>
        </row>
        <row r="866">
          <cell r="AS866">
            <v>98.967121553081768</v>
          </cell>
        </row>
        <row r="867">
          <cell r="AS867">
            <v>99.238723942766654</v>
          </cell>
        </row>
        <row r="868">
          <cell r="AS868">
            <v>98.002274187869418</v>
          </cell>
        </row>
        <row r="869">
          <cell r="AS869">
            <v>99.648174106091631</v>
          </cell>
        </row>
        <row r="870">
          <cell r="AS870">
            <v>98.585621058035315</v>
          </cell>
        </row>
        <row r="871">
          <cell r="AS871">
            <v>98.936161390139659</v>
          </cell>
        </row>
        <row r="872">
          <cell r="AS872">
            <v>99.298623297788069</v>
          </cell>
        </row>
        <row r="873">
          <cell r="AS873">
            <v>95.78908667395234</v>
          </cell>
        </row>
        <row r="874">
          <cell r="AS874">
            <v>97.043689776083454</v>
          </cell>
        </row>
        <row r="875">
          <cell r="AS875">
            <v>99.899219809669859</v>
          </cell>
        </row>
        <row r="876">
          <cell r="AS876">
            <v>99.613745193751541</v>
          </cell>
        </row>
        <row r="877">
          <cell r="AS877">
            <v>97.024100682701572</v>
          </cell>
        </row>
        <row r="878">
          <cell r="AS878">
            <v>99.401026369834483</v>
          </cell>
        </row>
        <row r="879">
          <cell r="AS879">
            <v>99.42119726743698</v>
          </cell>
        </row>
        <row r="880">
          <cell r="AS880">
            <v>99.42119726743698</v>
          </cell>
        </row>
        <row r="881">
          <cell r="AS881">
            <v>99.934567640109535</v>
          </cell>
        </row>
        <row r="882">
          <cell r="AS882">
            <v>98.222358072958968</v>
          </cell>
        </row>
        <row r="883">
          <cell r="AS883">
            <v>99.47232737989826</v>
          </cell>
        </row>
        <row r="884">
          <cell r="AS884">
            <v>100.16108688972618</v>
          </cell>
        </row>
        <row r="885">
          <cell r="AS885">
            <v>97.436742232158792</v>
          </cell>
        </row>
        <row r="886">
          <cell r="AS886">
            <v>97.469417997799923</v>
          </cell>
        </row>
        <row r="887">
          <cell r="AS887">
            <v>100.01653377802042</v>
          </cell>
        </row>
        <row r="888">
          <cell r="AS888">
            <v>97.541487691308987</v>
          </cell>
        </row>
        <row r="889">
          <cell r="AS889">
            <v>99.793915802126293</v>
          </cell>
        </row>
        <row r="890">
          <cell r="AS890">
            <v>99.544198235265355</v>
          </cell>
        </row>
        <row r="891">
          <cell r="AS891">
            <v>99.434422211804062</v>
          </cell>
        </row>
        <row r="892">
          <cell r="AS892">
            <v>99.320165825298616</v>
          </cell>
        </row>
        <row r="893">
          <cell r="AS893">
            <v>96.667344780276736</v>
          </cell>
        </row>
        <row r="894">
          <cell r="AS894">
            <v>97.898322636248054</v>
          </cell>
        </row>
        <row r="895">
          <cell r="AS895">
            <v>98.729354665356169</v>
          </cell>
        </row>
        <row r="896">
          <cell r="AS896">
            <v>96.885068018319615</v>
          </cell>
        </row>
        <row r="897">
          <cell r="AS897">
            <v>99.160395090357554</v>
          </cell>
        </row>
        <row r="898">
          <cell r="AS898">
            <v>98.888094805680922</v>
          </cell>
        </row>
        <row r="899">
          <cell r="AS899">
            <v>99.712714771584814</v>
          </cell>
        </row>
        <row r="900">
          <cell r="AS900">
            <v>99.287176443605802</v>
          </cell>
        </row>
        <row r="901">
          <cell r="AS901">
            <v>97.739565481027867</v>
          </cell>
        </row>
        <row r="902">
          <cell r="AS902">
            <v>98.776041662093803</v>
          </cell>
        </row>
        <row r="903">
          <cell r="AS903">
            <v>100.04976276206206</v>
          </cell>
        </row>
        <row r="904">
          <cell r="AS904">
            <v>98.960447208711898</v>
          </cell>
        </row>
        <row r="905">
          <cell r="AS905">
            <v>91.188634381833737</v>
          </cell>
        </row>
        <row r="906">
          <cell r="AS906">
            <v>97.51764886680489</v>
          </cell>
        </row>
        <row r="907">
          <cell r="AS907">
            <v>93.374743432540484</v>
          </cell>
        </row>
        <row r="908">
          <cell r="AS908">
            <v>96.532622110574522</v>
          </cell>
        </row>
        <row r="909">
          <cell r="AS909">
            <v>98.302894296350672</v>
          </cell>
        </row>
        <row r="910">
          <cell r="AS910">
            <v>95.819139923451573</v>
          </cell>
        </row>
        <row r="911">
          <cell r="AS911">
            <v>98.815899469497609</v>
          </cell>
        </row>
        <row r="912">
          <cell r="AS912">
            <v>98.646048448871909</v>
          </cell>
        </row>
        <row r="913">
          <cell r="AS913">
            <v>99.820406168501322</v>
          </cell>
        </row>
        <row r="914">
          <cell r="AS914">
            <v>98.912440266800218</v>
          </cell>
        </row>
        <row r="915">
          <cell r="AS915">
            <v>99.698457329259341</v>
          </cell>
        </row>
        <row r="916">
          <cell r="AS916">
            <v>98.111238801725193</v>
          </cell>
        </row>
        <row r="917">
          <cell r="AS917">
            <v>99.424312497735059</v>
          </cell>
        </row>
        <row r="918">
          <cell r="AS918">
            <v>97.398766236179426</v>
          </cell>
        </row>
        <row r="919">
          <cell r="AS919">
            <v>99.073036673111616</v>
          </cell>
        </row>
        <row r="920">
          <cell r="AS920">
            <v>96.99725046263336</v>
          </cell>
        </row>
        <row r="921">
          <cell r="AS921">
            <v>99.014735311838592</v>
          </cell>
        </row>
        <row r="922">
          <cell r="AS922">
            <v>99.905301205894347</v>
          </cell>
        </row>
        <row r="923">
          <cell r="AS923">
            <v>99.584353447659552</v>
          </cell>
        </row>
        <row r="924">
          <cell r="AS924">
            <v>99.150286529956631</v>
          </cell>
        </row>
        <row r="925">
          <cell r="AS925">
            <v>94.442580550045619</v>
          </cell>
        </row>
        <row r="926">
          <cell r="AS926">
            <v>98.425890832697604</v>
          </cell>
        </row>
        <row r="927">
          <cell r="AS927">
            <v>96.309744781187845</v>
          </cell>
        </row>
        <row r="928">
          <cell r="AS928">
            <v>98.046206145005172</v>
          </cell>
        </row>
        <row r="929">
          <cell r="AS929">
            <v>98.295512714820589</v>
          </cell>
        </row>
        <row r="930">
          <cell r="AS930">
            <v>98.418510288190774</v>
          </cell>
        </row>
        <row r="931">
          <cell r="AS931">
            <v>98.353066766503787</v>
          </cell>
        </row>
        <row r="932">
          <cell r="AS932">
            <v>99.738823521857796</v>
          </cell>
        </row>
        <row r="933">
          <cell r="AS933">
            <v>95.285092230611866</v>
          </cell>
        </row>
        <row r="934">
          <cell r="AS934">
            <v>93.46325576838143</v>
          </cell>
        </row>
        <row r="935">
          <cell r="AS935">
            <v>97.692294560648392</v>
          </cell>
        </row>
        <row r="936">
          <cell r="AS936">
            <v>99.372075719358918</v>
          </cell>
        </row>
        <row r="937">
          <cell r="AS937">
            <v>98.77103493879828</v>
          </cell>
        </row>
        <row r="938">
          <cell r="AS938">
            <v>98.026774266751971</v>
          </cell>
        </row>
        <row r="939">
          <cell r="AS939">
            <v>99.321626062749729</v>
          </cell>
        </row>
        <row r="940">
          <cell r="AS940">
            <v>99.884127061726787</v>
          </cell>
        </row>
        <row r="941">
          <cell r="AS941">
            <v>94.752766498544304</v>
          </cell>
        </row>
        <row r="942">
          <cell r="AS942">
            <v>98.508753446513779</v>
          </cell>
        </row>
        <row r="943">
          <cell r="AS943">
            <v>101.68061311991168</v>
          </cell>
        </row>
        <row r="944">
          <cell r="AS944">
            <v>98.570688011944725</v>
          </cell>
        </row>
        <row r="945">
          <cell r="AS945">
            <v>99.162557027956495</v>
          </cell>
        </row>
        <row r="946">
          <cell r="AS946">
            <v>99.897543560915992</v>
          </cell>
        </row>
        <row r="947">
          <cell r="AS947">
            <v>97.786032279928818</v>
          </cell>
        </row>
        <row r="948">
          <cell r="AS948">
            <v>99.458598669556125</v>
          </cell>
        </row>
        <row r="949">
          <cell r="AS949">
            <v>98.98951864826472</v>
          </cell>
        </row>
        <row r="950">
          <cell r="AS950">
            <v>99.795950572079505</v>
          </cell>
        </row>
        <row r="951">
          <cell r="AS951">
            <v>100.03354018722838</v>
          </cell>
        </row>
        <row r="952">
          <cell r="AS952">
            <v>95.509530117217736</v>
          </cell>
        </row>
        <row r="953">
          <cell r="AS953">
            <v>98.628019884552387</v>
          </cell>
        </row>
        <row r="954">
          <cell r="AS954">
            <v>99.50828870315982</v>
          </cell>
        </row>
        <row r="955">
          <cell r="AS955">
            <v>97.44554981572918</v>
          </cell>
        </row>
        <row r="956">
          <cell r="AS956">
            <v>99.235165302311827</v>
          </cell>
        </row>
        <row r="957">
          <cell r="AS957">
            <v>99.345922764916011</v>
          </cell>
        </row>
        <row r="958">
          <cell r="AS958">
            <v>99.812648191819761</v>
          </cell>
        </row>
        <row r="959">
          <cell r="AS959">
            <v>99.110255548347155</v>
          </cell>
        </row>
        <row r="960">
          <cell r="AS960">
            <v>99.313907853259352</v>
          </cell>
        </row>
        <row r="961">
          <cell r="AS961">
            <v>99.459186839916782</v>
          </cell>
        </row>
        <row r="962">
          <cell r="AS962">
            <v>100.26127705636773</v>
          </cell>
        </row>
        <row r="963">
          <cell r="AS963">
            <v>95.275709637646131</v>
          </cell>
        </row>
        <row r="964">
          <cell r="AS964">
            <v>97.991827926819525</v>
          </cell>
        </row>
        <row r="965">
          <cell r="AS965">
            <v>99.059893854825532</v>
          </cell>
        </row>
        <row r="966">
          <cell r="AS966">
            <v>99.584378575324806</v>
          </cell>
        </row>
        <row r="967">
          <cell r="AS967">
            <v>98.761833735786624</v>
          </cell>
        </row>
        <row r="968">
          <cell r="AS968">
            <v>97.606431269436612</v>
          </cell>
        </row>
        <row r="969">
          <cell r="AS969">
            <v>96.421062953071228</v>
          </cell>
        </row>
        <row r="970">
          <cell r="AS970">
            <v>94.252076084576643</v>
          </cell>
        </row>
        <row r="971">
          <cell r="AS971">
            <v>97.076888940242085</v>
          </cell>
        </row>
        <row r="972">
          <cell r="AS972">
            <v>99.141534843347159</v>
          </cell>
        </row>
        <row r="973">
          <cell r="AS973">
            <v>99.634376452290198</v>
          </cell>
        </row>
        <row r="974">
          <cell r="AS974">
            <v>100.5587546462191</v>
          </cell>
        </row>
        <row r="976">
          <cell r="A976" t="str">
            <v>ST389</v>
          </cell>
          <cell r="AS976">
            <v>95.84769954565148</v>
          </cell>
        </row>
        <row r="977">
          <cell r="A977" t="str">
            <v>ST390</v>
          </cell>
          <cell r="AS977">
            <v>100.26238441701008</v>
          </cell>
        </row>
        <row r="978">
          <cell r="A978" t="str">
            <v>ST391</v>
          </cell>
          <cell r="AS978">
            <v>98.835712833337951</v>
          </cell>
        </row>
        <row r="979">
          <cell r="A979" t="str">
            <v>ST392</v>
          </cell>
          <cell r="AS979">
            <v>99.563123412098136</v>
          </cell>
        </row>
        <row r="980">
          <cell r="A980" t="str">
            <v>ST393</v>
          </cell>
        </row>
        <row r="981">
          <cell r="A981" t="str">
            <v>ST394</v>
          </cell>
          <cell r="AS981">
            <v>99.438369618907075</v>
          </cell>
        </row>
        <row r="982">
          <cell r="A982" t="str">
            <v>ST395</v>
          </cell>
          <cell r="AS982">
            <v>98.642275622859415</v>
          </cell>
        </row>
        <row r="983">
          <cell r="A983" t="str">
            <v>ST396</v>
          </cell>
          <cell r="AS983">
            <v>99.614073029250193</v>
          </cell>
        </row>
        <row r="984">
          <cell r="A984" t="str">
            <v>ST397</v>
          </cell>
          <cell r="AS984">
            <v>99.740392122501049</v>
          </cell>
        </row>
        <row r="985">
          <cell r="A985" t="str">
            <v>ST398</v>
          </cell>
          <cell r="AS985">
            <v>100.69666248352205</v>
          </cell>
        </row>
        <row r="986">
          <cell r="A986" t="str">
            <v>ST399</v>
          </cell>
          <cell r="AS986">
            <v>100.31792758418116</v>
          </cell>
        </row>
        <row r="987">
          <cell r="A987" t="str">
            <v>ST400</v>
          </cell>
          <cell r="AS987">
            <v>100.84109483792494</v>
          </cell>
        </row>
        <row r="988">
          <cell r="A988" t="str">
            <v>ST401</v>
          </cell>
          <cell r="AS988">
            <v>95.905620939078773</v>
          </cell>
        </row>
        <row r="989">
          <cell r="A989" t="str">
            <v>ST402</v>
          </cell>
          <cell r="AS989">
            <v>96.760533281323376</v>
          </cell>
        </row>
        <row r="990">
          <cell r="A990" t="str">
            <v>ST403</v>
          </cell>
          <cell r="AS990">
            <v>99.090851111924238</v>
          </cell>
        </row>
        <row r="991">
          <cell r="A991" t="str">
            <v>ST404</v>
          </cell>
          <cell r="AS991">
            <v>100.28953076247171</v>
          </cell>
        </row>
        <row r="992">
          <cell r="A992" t="str">
            <v>ST405</v>
          </cell>
          <cell r="AS992">
            <v>98.68100870163795</v>
          </cell>
        </row>
        <row r="993">
          <cell r="A993" t="str">
            <v>ST406</v>
          </cell>
          <cell r="AS993">
            <v>98.657011703724478</v>
          </cell>
        </row>
        <row r="994">
          <cell r="A994" t="str">
            <v>ST407</v>
          </cell>
          <cell r="AS994">
            <v>98.539725565001788</v>
          </cell>
        </row>
        <row r="995">
          <cell r="A995" t="str">
            <v>ST408</v>
          </cell>
          <cell r="AS995">
            <v>98.853539615484877</v>
          </cell>
        </row>
        <row r="996">
          <cell r="A996" t="str">
            <v>ST409</v>
          </cell>
          <cell r="AS996">
            <v>97.026739234878065</v>
          </cell>
        </row>
        <row r="997">
          <cell r="A997" t="str">
            <v>ST410</v>
          </cell>
          <cell r="AS997">
            <v>99.348173755912001</v>
          </cell>
        </row>
        <row r="998">
          <cell r="A998" t="str">
            <v>ST411</v>
          </cell>
          <cell r="AS998">
            <v>97.865007404547399</v>
          </cell>
        </row>
        <row r="999">
          <cell r="A999" t="str">
            <v>ST412</v>
          </cell>
          <cell r="AS999">
            <v>99.015667179643799</v>
          </cell>
        </row>
        <row r="1000">
          <cell r="A1000" t="str">
            <v>ST413</v>
          </cell>
          <cell r="AS1000">
            <v>92.840729271609433</v>
          </cell>
        </row>
        <row r="1001">
          <cell r="A1001" t="str">
            <v>ST414</v>
          </cell>
          <cell r="AS1001">
            <v>96.937453604595234</v>
          </cell>
        </row>
        <row r="1002">
          <cell r="A1002" t="str">
            <v>ST415</v>
          </cell>
          <cell r="AS1002">
            <v>96.267168950908413</v>
          </cell>
        </row>
        <row r="1003">
          <cell r="A1003" t="str">
            <v>ST416</v>
          </cell>
          <cell r="AS1003">
            <v>102.55783677768659</v>
          </cell>
        </row>
        <row r="1004">
          <cell r="A1004" t="str">
            <v>ST417</v>
          </cell>
          <cell r="AS1004">
            <v>101.12268847023552</v>
          </cell>
        </row>
        <row r="1005">
          <cell r="A1005" t="str">
            <v>ST418</v>
          </cell>
          <cell r="AS1005">
            <v>98.872876183901013</v>
          </cell>
        </row>
        <row r="1006">
          <cell r="A1006" t="str">
            <v>ST419</v>
          </cell>
          <cell r="AS1006">
            <v>97.893936815743572</v>
          </cell>
        </row>
        <row r="1007">
          <cell r="A1007" t="str">
            <v>ST420</v>
          </cell>
          <cell r="AS1007">
            <v>94.369755090376813</v>
          </cell>
        </row>
      </sheetData>
      <sheetData sheetId="7">
        <row r="16">
          <cell r="D16">
            <v>11.8</v>
          </cell>
        </row>
      </sheetData>
      <sheetData sheetId="8"/>
      <sheetData sheetId="9"/>
      <sheetData sheetId="10">
        <row r="6">
          <cell r="H6">
            <v>1387.6999999999996</v>
          </cell>
        </row>
      </sheetData>
      <sheetData sheetId="11">
        <row r="18">
          <cell r="E18">
            <v>26275</v>
          </cell>
        </row>
      </sheetData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BrewMaterials"/>
      <sheetName val="Brewhouse"/>
      <sheetName val="Process"/>
      <sheetName val="Guinnbottling"/>
      <sheetName val="Summary December '23"/>
      <sheetName val="Summary November '23"/>
      <sheetName val="Summary October '23"/>
      <sheetName val="Summary August '23"/>
      <sheetName val="Summary July '23  "/>
      <sheetName val="Summary June '23 "/>
      <sheetName val="Summary May '23 "/>
      <sheetName val="Summary April '23"/>
      <sheetName val="Summary March '23 "/>
      <sheetName val="Summary February '23 "/>
      <sheetName val="Summary January '23"/>
      <sheetName val="Summary December '22  "/>
      <sheetName val="Summary November '22 "/>
      <sheetName val="Summary October '22  "/>
      <sheetName val="Summary September '22 "/>
      <sheetName val="Summary August '22"/>
      <sheetName val="Summary July '22"/>
      <sheetName val="Summary June '22 "/>
      <sheetName val="Summary May '22"/>
      <sheetName val="Summary April '22"/>
      <sheetName val="Summary March '22 "/>
      <sheetName val="Summary February '22"/>
      <sheetName val="Summary January '22  "/>
      <sheetName val="Summary December '21  "/>
      <sheetName val="Brew Time"/>
    </sheetNames>
    <sheetDataSet>
      <sheetData sheetId="0"/>
      <sheetData sheetId="1">
        <row r="15">
          <cell r="A15" t="str">
            <v>GU001</v>
          </cell>
        </row>
        <row r="161">
          <cell r="AU161">
            <v>93.965368107965062</v>
          </cell>
        </row>
        <row r="162">
          <cell r="AU162">
            <v>96.592804250515826</v>
          </cell>
        </row>
        <row r="163">
          <cell r="AU163">
            <v>96.855226146869683</v>
          </cell>
        </row>
        <row r="164">
          <cell r="AU164">
            <v>99.719563433141545</v>
          </cell>
        </row>
        <row r="165">
          <cell r="AU165">
            <v>93.977747984844711</v>
          </cell>
        </row>
        <row r="166">
          <cell r="AU166">
            <v>96.800755402267797</v>
          </cell>
        </row>
        <row r="167">
          <cell r="AU167">
            <v>99.262577009986543</v>
          </cell>
        </row>
        <row r="168">
          <cell r="AU168">
            <v>97.617284872705341</v>
          </cell>
        </row>
        <row r="169">
          <cell r="AU169">
            <v>93.882081223571518</v>
          </cell>
        </row>
        <row r="170">
          <cell r="AU170">
            <v>96.880311362448069</v>
          </cell>
        </row>
        <row r="171">
          <cell r="AU171">
            <v>96.195289997407556</v>
          </cell>
        </row>
        <row r="172">
          <cell r="AU172">
            <v>94.522516586223233</v>
          </cell>
        </row>
        <row r="173">
          <cell r="AU173">
            <v>96.272098390562704</v>
          </cell>
        </row>
        <row r="174">
          <cell r="AU174">
            <v>97.145205727107424</v>
          </cell>
        </row>
        <row r="175">
          <cell r="AU175">
            <v>96.638158603901061</v>
          </cell>
        </row>
        <row r="176">
          <cell r="AU176">
            <v>97.558522019176309</v>
          </cell>
        </row>
        <row r="178">
          <cell r="AU178">
            <v>95.219650212398349</v>
          </cell>
        </row>
        <row r="179">
          <cell r="AU179">
            <v>96.915732176693737</v>
          </cell>
        </row>
        <row r="180">
          <cell r="AU180">
            <v>97.113229437227318</v>
          </cell>
        </row>
        <row r="181">
          <cell r="AU181">
            <v>96.11289270970039</v>
          </cell>
        </row>
        <row r="182">
          <cell r="AU182">
            <v>97.124856870387418</v>
          </cell>
        </row>
        <row r="183">
          <cell r="AU183">
            <v>95.95234352237965</v>
          </cell>
        </row>
        <row r="184">
          <cell r="AU184">
            <v>96.235994895137281</v>
          </cell>
        </row>
        <row r="185">
          <cell r="AU185">
            <v>96.793019114599005</v>
          </cell>
        </row>
        <row r="186">
          <cell r="AU186">
            <v>92.695309482159786</v>
          </cell>
        </row>
        <row r="187">
          <cell r="AU187">
            <v>97.112578466227518</v>
          </cell>
        </row>
        <row r="188">
          <cell r="AU188">
            <v>95.415425829106212</v>
          </cell>
        </row>
        <row r="189">
          <cell r="AU189">
            <v>94.650398073167125</v>
          </cell>
        </row>
        <row r="190">
          <cell r="AU190">
            <v>94.570799056132827</v>
          </cell>
        </row>
        <row r="191">
          <cell r="AU191">
            <v>94.719124067077729</v>
          </cell>
        </row>
        <row r="192">
          <cell r="AU192">
            <v>98.306178948356205</v>
          </cell>
        </row>
        <row r="193">
          <cell r="AU193">
            <v>97.925390388444455</v>
          </cell>
        </row>
        <row r="194">
          <cell r="AU194">
            <v>97.460735039452615</v>
          </cell>
        </row>
        <row r="195">
          <cell r="AU195">
            <v>98.199690790562769</v>
          </cell>
        </row>
        <row r="197">
          <cell r="AU197">
            <v>94.088744814062039</v>
          </cell>
        </row>
        <row r="198">
          <cell r="AU198">
            <v>96.46704124616916</v>
          </cell>
        </row>
        <row r="199">
          <cell r="AU199">
            <v>98.170890958243888</v>
          </cell>
        </row>
        <row r="200">
          <cell r="AU200">
            <v>94.209226425483408</v>
          </cell>
        </row>
        <row r="201">
          <cell r="AU201">
            <v>96.562972599320716</v>
          </cell>
        </row>
        <row r="202">
          <cell r="AU202">
            <v>97.230417534132712</v>
          </cell>
        </row>
        <row r="203">
          <cell r="AU203">
            <v>96.409854967197631</v>
          </cell>
        </row>
        <row r="204">
          <cell r="AU204">
            <v>96.223735556064042</v>
          </cell>
        </row>
        <row r="205">
          <cell r="AU205">
            <v>92.795938408997429</v>
          </cell>
        </row>
        <row r="206">
          <cell r="AU206">
            <v>98.244249996615551</v>
          </cell>
        </row>
        <row r="207">
          <cell r="AU207">
            <v>95.836438954768568</v>
          </cell>
        </row>
        <row r="208">
          <cell r="AU208">
            <v>95.89152658101861</v>
          </cell>
        </row>
        <row r="210">
          <cell r="AU210">
            <v>98.635700007401397</v>
          </cell>
        </row>
        <row r="211">
          <cell r="AU211">
            <v>99.515247118434473</v>
          </cell>
        </row>
        <row r="212">
          <cell r="AU212">
            <v>100.24798044319473</v>
          </cell>
        </row>
        <row r="213">
          <cell r="AU213">
            <v>98.642482588617568</v>
          </cell>
        </row>
        <row r="214">
          <cell r="AU214">
            <v>96.251461303435718</v>
          </cell>
        </row>
        <row r="215">
          <cell r="AU215">
            <v>98.419763453677945</v>
          </cell>
        </row>
        <row r="216">
          <cell r="AU216">
            <v>99.357094534189159</v>
          </cell>
        </row>
        <row r="217">
          <cell r="AU217">
            <v>99.078260666012184</v>
          </cell>
        </row>
        <row r="218">
          <cell r="AU218">
            <v>98.607229669780182</v>
          </cell>
        </row>
        <row r="219">
          <cell r="AU219">
            <v>100.06017468228244</v>
          </cell>
        </row>
        <row r="220">
          <cell r="AU220">
            <v>98.260147384785725</v>
          </cell>
        </row>
        <row r="221">
          <cell r="AU221">
            <v>99.115469296800924</v>
          </cell>
        </row>
        <row r="223">
          <cell r="AU223">
            <v>94.742021388622192</v>
          </cell>
        </row>
        <row r="224">
          <cell r="AU224">
            <v>95.167484764134443</v>
          </cell>
        </row>
        <row r="225">
          <cell r="AU225">
            <v>94.895677912202714</v>
          </cell>
        </row>
        <row r="226">
          <cell r="AU226">
            <v>96.401077155647016</v>
          </cell>
        </row>
        <row r="227">
          <cell r="AU227">
            <v>97.302930067568894</v>
          </cell>
        </row>
        <row r="228">
          <cell r="AU228">
            <v>96.314203603781138</v>
          </cell>
        </row>
        <row r="229">
          <cell r="AU229">
            <v>95.483762066712103</v>
          </cell>
        </row>
        <row r="230">
          <cell r="AU230">
            <v>96.625516268419005</v>
          </cell>
        </row>
        <row r="231">
          <cell r="AU231">
            <v>98.898456815142168</v>
          </cell>
        </row>
        <row r="232">
          <cell r="AU232">
            <v>98.225452926077566</v>
          </cell>
        </row>
        <row r="234">
          <cell r="AU234">
            <v>95.896677174536023</v>
          </cell>
        </row>
        <row r="235">
          <cell r="AU235">
            <v>97.936062938846518</v>
          </cell>
        </row>
        <row r="236">
          <cell r="AU236">
            <v>97.583693826153464</v>
          </cell>
        </row>
        <row r="237">
          <cell r="AU237">
            <v>98.994098566320872</v>
          </cell>
        </row>
        <row r="238">
          <cell r="AU238">
            <v>95.502837408186139</v>
          </cell>
        </row>
        <row r="239">
          <cell r="AU239">
            <v>98.869439166620126</v>
          </cell>
        </row>
        <row r="240">
          <cell r="AU240">
            <v>88.436653657881806</v>
          </cell>
        </row>
        <row r="241">
          <cell r="AU241">
            <v>102.62330939701198</v>
          </cell>
        </row>
        <row r="242">
          <cell r="AU242">
            <v>96.980346516944635</v>
          </cell>
        </row>
        <row r="243">
          <cell r="AU243">
            <v>94.08944508824446</v>
          </cell>
        </row>
        <row r="244">
          <cell r="AU244">
            <v>96.737333077403832</v>
          </cell>
        </row>
        <row r="245">
          <cell r="AU245">
            <v>94.446876631568699</v>
          </cell>
        </row>
        <row r="246">
          <cell r="AU246">
            <v>97.049787257774071</v>
          </cell>
        </row>
        <row r="247">
          <cell r="AU247">
            <v>97.142174485894344</v>
          </cell>
        </row>
        <row r="248">
          <cell r="AU248">
            <v>95.941599519115414</v>
          </cell>
        </row>
        <row r="249">
          <cell r="AU249">
            <v>96.627463359556657</v>
          </cell>
        </row>
        <row r="250">
          <cell r="AU250">
            <v>97.242672763693818</v>
          </cell>
        </row>
        <row r="251">
          <cell r="AU251">
            <v>98.084098750403911</v>
          </cell>
        </row>
        <row r="252">
          <cell r="AU252">
            <v>97.275212826418226</v>
          </cell>
        </row>
        <row r="253">
          <cell r="AU253">
            <v>96.463666376007339</v>
          </cell>
        </row>
        <row r="254">
          <cell r="AU254">
            <v>94.809860277644958</v>
          </cell>
        </row>
        <row r="255">
          <cell r="AU255">
            <v>95.372531830954301</v>
          </cell>
        </row>
        <row r="256">
          <cell r="AU256">
            <v>97.104793218026899</v>
          </cell>
        </row>
        <row r="257">
          <cell r="AU257">
            <v>101.15481250823689</v>
          </cell>
        </row>
        <row r="258">
          <cell r="AU258">
            <v>97.136421299139741</v>
          </cell>
        </row>
        <row r="259">
          <cell r="AU259">
            <v>97.470434535510464</v>
          </cell>
        </row>
        <row r="260">
          <cell r="AU260">
            <v>93.220228527399556</v>
          </cell>
        </row>
        <row r="261">
          <cell r="AU261">
            <v>97.417353739920216</v>
          </cell>
        </row>
        <row r="262">
          <cell r="AU262">
            <v>102.56453826919012</v>
          </cell>
        </row>
        <row r="263">
          <cell r="AU263">
            <v>94.2191347002763</v>
          </cell>
        </row>
        <row r="264">
          <cell r="AU264">
            <v>97.225537612550042</v>
          </cell>
        </row>
        <row r="265">
          <cell r="AU265">
            <v>95.46204926037683</v>
          </cell>
        </row>
        <row r="266">
          <cell r="AU266">
            <v>96.295198372398715</v>
          </cell>
        </row>
        <row r="267">
          <cell r="AU267">
            <v>94.766322071054688</v>
          </cell>
        </row>
        <row r="268">
          <cell r="AU268">
            <v>96.729944015905701</v>
          </cell>
        </row>
        <row r="269">
          <cell r="AU269">
            <v>93.515968326362071</v>
          </cell>
        </row>
        <row r="270">
          <cell r="AU270">
            <v>95.326405402124465</v>
          </cell>
        </row>
        <row r="271">
          <cell r="AU271">
            <v>96.578493608349746</v>
          </cell>
        </row>
        <row r="272">
          <cell r="AU272">
            <v>96.612052964288281</v>
          </cell>
        </row>
        <row r="273">
          <cell r="AU273">
            <v>95.101201382387686</v>
          </cell>
        </row>
        <row r="274">
          <cell r="AU274">
            <v>97.42245815143751</v>
          </cell>
        </row>
        <row r="275">
          <cell r="AU275">
            <v>96.319562398779738</v>
          </cell>
        </row>
        <row r="276">
          <cell r="AU276">
            <v>96.224117927496195</v>
          </cell>
        </row>
        <row r="277">
          <cell r="AU277">
            <v>94.401983484097656</v>
          </cell>
        </row>
        <row r="278">
          <cell r="AU278">
            <v>99.387627351361019</v>
          </cell>
        </row>
        <row r="279">
          <cell r="AU279">
            <v>96.627570521050842</v>
          </cell>
        </row>
        <row r="282">
          <cell r="A282" t="str">
            <v>GU113</v>
          </cell>
          <cell r="AU282">
            <v>93.663100829572898</v>
          </cell>
        </row>
        <row r="283">
          <cell r="A283" t="str">
            <v>GU114</v>
          </cell>
          <cell r="AU283">
            <v>97.254070900973858</v>
          </cell>
        </row>
        <row r="284">
          <cell r="A284" t="str">
            <v>GU115</v>
          </cell>
          <cell r="AU284">
            <v>99.149861756743334</v>
          </cell>
        </row>
        <row r="285">
          <cell r="A285" t="str">
            <v>GU116</v>
          </cell>
          <cell r="AU285">
            <v>94.471130452224315</v>
          </cell>
        </row>
        <row r="286">
          <cell r="A286" t="str">
            <v>GU117</v>
          </cell>
          <cell r="AU286">
            <v>97.247994648231</v>
          </cell>
        </row>
        <row r="287">
          <cell r="A287" t="str">
            <v>GU118</v>
          </cell>
          <cell r="AU287">
            <v>94.48140281101675</v>
          </cell>
        </row>
        <row r="288">
          <cell r="A288" t="str">
            <v>GU119</v>
          </cell>
          <cell r="AU288">
            <v>97.045557790227846</v>
          </cell>
        </row>
        <row r="289">
          <cell r="A289" t="str">
            <v>GU120</v>
          </cell>
          <cell r="AU289">
            <v>96.706799632100712</v>
          </cell>
        </row>
      </sheetData>
      <sheetData sheetId="2">
        <row r="5">
          <cell r="D5">
            <v>17.2</v>
          </cell>
        </row>
      </sheetData>
      <sheetData sheetId="3"/>
      <sheetData sheetId="4"/>
      <sheetData sheetId="5">
        <row r="7">
          <cell r="H7">
            <v>313.3</v>
          </cell>
        </row>
      </sheetData>
      <sheetData sheetId="6">
        <row r="19">
          <cell r="E19">
            <v>4299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>
        <row r="19">
          <cell r="E19">
            <v>5839</v>
          </cell>
        </row>
      </sheetData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Chart1"/>
      <sheetName val="VitaMalt - Operator Performance"/>
      <sheetName val="BrewMaterials"/>
      <sheetName val="Brewhouse"/>
      <sheetName val="Process"/>
      <sheetName val="Packaging"/>
      <sheetName val="Summary December '23"/>
      <sheetName val="Summary September '23"/>
      <sheetName val="Summary August '23"/>
      <sheetName val="Summary July '23"/>
      <sheetName val="Summary June '23 "/>
      <sheetName val="Summary May '23 "/>
      <sheetName val="Summary April '23"/>
      <sheetName val="Summary March '23"/>
      <sheetName val="Summary August '22"/>
      <sheetName val="Summary July '22 "/>
      <sheetName val="Summary June '22 "/>
      <sheetName val="Summary May '22"/>
      <sheetName val="Summary April '22"/>
      <sheetName val="Summary March '22"/>
      <sheetName val="Summary February '22"/>
      <sheetName val="Summary January '22"/>
      <sheetName val="Summary December '21 "/>
      <sheetName val="Summary January '22 "/>
      <sheetName val="Summary December '21  "/>
    </sheetNames>
    <sheetDataSet>
      <sheetData sheetId="0" refreshError="1"/>
      <sheetData sheetId="1"/>
      <sheetData sheetId="2"/>
      <sheetData sheetId="3">
        <row r="5">
          <cell r="B5">
            <v>44558</v>
          </cell>
        </row>
        <row r="92">
          <cell r="AU92">
            <v>92.976230173617424</v>
          </cell>
        </row>
        <row r="93">
          <cell r="AU93">
            <v>97.891128934292908</v>
          </cell>
        </row>
        <row r="94">
          <cell r="AU94">
            <v>97.973301157018028</v>
          </cell>
        </row>
        <row r="95">
          <cell r="AU95">
            <v>98.096408180762808</v>
          </cell>
        </row>
        <row r="96">
          <cell r="AU96">
            <v>96.60797006312923</v>
          </cell>
        </row>
        <row r="97">
          <cell r="AU97">
            <v>95.944323197552052</v>
          </cell>
        </row>
        <row r="98">
          <cell r="AU98">
            <v>97.96934029451829</v>
          </cell>
        </row>
        <row r="99">
          <cell r="AU99">
            <v>97.61931982421288</v>
          </cell>
        </row>
        <row r="100">
          <cell r="AU100">
            <v>96.832510902681079</v>
          </cell>
        </row>
        <row r="101">
          <cell r="AU101">
            <v>97.477315897621679</v>
          </cell>
        </row>
        <row r="103">
          <cell r="AU103">
            <v>97.93333635326627</v>
          </cell>
        </row>
        <row r="104">
          <cell r="AU104">
            <v>97.891046918081088</v>
          </cell>
        </row>
        <row r="105">
          <cell r="AU105">
            <v>99.033412354868091</v>
          </cell>
        </row>
        <row r="106">
          <cell r="AU106">
            <v>97.512358148572076</v>
          </cell>
        </row>
        <row r="107">
          <cell r="AU107">
            <v>95.87273211620672</v>
          </cell>
        </row>
        <row r="108">
          <cell r="AU108">
            <v>98.818321955908743</v>
          </cell>
        </row>
        <row r="109">
          <cell r="AU109">
            <v>98.005339225475495</v>
          </cell>
        </row>
        <row r="110">
          <cell r="AU110">
            <v>97.743136116212952</v>
          </cell>
        </row>
        <row r="111">
          <cell r="AU111">
            <v>96.815316848596865</v>
          </cell>
        </row>
        <row r="112">
          <cell r="AU112">
            <v>95.263079291761272</v>
          </cell>
        </row>
        <row r="114">
          <cell r="AU114">
            <v>98.814785799478145</v>
          </cell>
        </row>
        <row r="115">
          <cell r="AU115">
            <v>95.902564497676096</v>
          </cell>
        </row>
        <row r="116">
          <cell r="AU116">
            <v>98.175518315541183</v>
          </cell>
        </row>
        <row r="117">
          <cell r="AU117">
            <v>96.874026079753961</v>
          </cell>
        </row>
        <row r="118">
          <cell r="AU118">
            <v>96.210568758972599</v>
          </cell>
        </row>
        <row r="119">
          <cell r="AU119">
            <v>98.185551655182479</v>
          </cell>
        </row>
        <row r="120">
          <cell r="AU120">
            <v>98.090666634651427</v>
          </cell>
        </row>
        <row r="121">
          <cell r="AU121">
            <v>97.545012872669332</v>
          </cell>
        </row>
        <row r="122">
          <cell r="AU122">
            <v>95.071812655510129</v>
          </cell>
        </row>
        <row r="123">
          <cell r="AU123">
            <v>99.43552908729977</v>
          </cell>
        </row>
        <row r="125">
          <cell r="AU125">
            <v>89.924292290392472</v>
          </cell>
        </row>
        <row r="126">
          <cell r="AU126">
            <v>94.537695289743212</v>
          </cell>
        </row>
        <row r="127">
          <cell r="AU127">
            <v>98.000013979580487</v>
          </cell>
        </row>
        <row r="128">
          <cell r="AU128">
            <v>95.186842986970504</v>
          </cell>
        </row>
        <row r="129">
          <cell r="AU129">
            <v>96.696641173491798</v>
          </cell>
        </row>
        <row r="130">
          <cell r="AU130">
            <v>95.944138129340132</v>
          </cell>
        </row>
        <row r="131">
          <cell r="AU131">
            <v>93.413051544866548</v>
          </cell>
        </row>
        <row r="132">
          <cell r="AU132">
            <v>96.069102087559131</v>
          </cell>
        </row>
        <row r="133">
          <cell r="AU133">
            <v>98.137125811557496</v>
          </cell>
        </row>
        <row r="134">
          <cell r="AU134">
            <v>97.168379942866267</v>
          </cell>
        </row>
        <row r="136">
          <cell r="AU136">
            <v>94.124868174530278</v>
          </cell>
        </row>
        <row r="137">
          <cell r="AU137">
            <v>95.154601054457146</v>
          </cell>
        </row>
        <row r="138">
          <cell r="AU138">
            <v>96.220811022939529</v>
          </cell>
        </row>
        <row r="139">
          <cell r="AU139">
            <v>97.517216436709603</v>
          </cell>
        </row>
        <row r="140">
          <cell r="AU140">
            <v>96.281980045545069</v>
          </cell>
        </row>
        <row r="141">
          <cell r="AU141">
            <v>95.840387117370994</v>
          </cell>
        </row>
        <row r="142">
          <cell r="AU142">
            <v>95.62272817509934</v>
          </cell>
        </row>
        <row r="143">
          <cell r="AU143">
            <v>97.419625508620229</v>
          </cell>
        </row>
        <row r="144">
          <cell r="AU144">
            <v>96.095204819099521</v>
          </cell>
        </row>
        <row r="145">
          <cell r="AU145">
            <v>95.427155830154973</v>
          </cell>
        </row>
        <row r="147">
          <cell r="AU147">
            <v>91.160130162104309</v>
          </cell>
        </row>
        <row r="148">
          <cell r="AU148">
            <v>96.404323693454927</v>
          </cell>
        </row>
        <row r="149">
          <cell r="AU149">
            <v>95.683417143594824</v>
          </cell>
        </row>
        <row r="150">
          <cell r="AU150">
            <v>95.809489237012428</v>
          </cell>
        </row>
        <row r="151">
          <cell r="AU151">
            <v>97.090758279891048</v>
          </cell>
        </row>
        <row r="152">
          <cell r="AU152">
            <v>94.091899893433379</v>
          </cell>
        </row>
        <row r="153">
          <cell r="AU153">
            <v>96.193480056158236</v>
          </cell>
        </row>
        <row r="154">
          <cell r="AU154">
            <v>94.865416286743525</v>
          </cell>
        </row>
        <row r="155">
          <cell r="AU155">
            <v>94.951993001600584</v>
          </cell>
        </row>
        <row r="156">
          <cell r="AU156">
            <v>94.607872565715482</v>
          </cell>
        </row>
        <row r="158">
          <cell r="A158" t="str">
            <v>VM061</v>
          </cell>
          <cell r="AU158">
            <v>93.00523973792491</v>
          </cell>
        </row>
        <row r="159">
          <cell r="A159" t="str">
            <v>VM062</v>
          </cell>
          <cell r="AU159">
            <v>95.154968494234055</v>
          </cell>
        </row>
        <row r="160">
          <cell r="A160" t="str">
            <v>VM063</v>
          </cell>
          <cell r="AU160">
            <v>97.138427856424443</v>
          </cell>
        </row>
        <row r="161">
          <cell r="A161" t="str">
            <v>VM064</v>
          </cell>
          <cell r="AU161">
            <v>95.267023489278699</v>
          </cell>
        </row>
        <row r="162">
          <cell r="A162" t="str">
            <v>VM065</v>
          </cell>
          <cell r="AU162">
            <v>98.162235648460509</v>
          </cell>
        </row>
        <row r="163">
          <cell r="A163" t="str">
            <v>VM066</v>
          </cell>
          <cell r="AU163">
            <v>88.890405461826575</v>
          </cell>
        </row>
      </sheetData>
      <sheetData sheetId="4">
        <row r="5">
          <cell r="C5" t="str">
            <v>DPV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>
        <row r="8">
          <cell r="H8">
            <v>403.40000000000003</v>
          </cell>
        </row>
      </sheetData>
      <sheetData sheetId="23" refreshError="1"/>
      <sheetData sheetId="24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ProcessMaterials"/>
      <sheetName val="PackMaterials"/>
      <sheetName val="Operator Performance '16"/>
      <sheetName val="Operator Performance '17"/>
      <sheetName val="Operator Performance '18"/>
      <sheetName val="Brew Times"/>
      <sheetName val="BrewMaterials"/>
      <sheetName val="Brewhouse"/>
      <sheetName val="Process"/>
      <sheetName val="Packaging"/>
      <sheetName val="Summary September '23 "/>
      <sheetName val="Summary August '23 "/>
      <sheetName val="Summary July '23"/>
      <sheetName val="Summary January '23"/>
      <sheetName val="Summary December '22  "/>
      <sheetName val="Summary November '22  "/>
      <sheetName val="Summary October '22 "/>
      <sheetName val="Summary September '22 "/>
      <sheetName val="Summary August '22 "/>
      <sheetName val="Summary July '22 "/>
      <sheetName val="Summary June '22 "/>
      <sheetName val="Summary May '22 "/>
      <sheetName val="Summary April '22 "/>
      <sheetName val="Summary March '22 "/>
      <sheetName val="Summary February '22 "/>
      <sheetName val="Summary January '22 "/>
      <sheetName val="Summary December '21 "/>
      <sheetName val="Summary November '21 "/>
      <sheetName val="Summary September '21 "/>
      <sheetName val="Summary August '21"/>
      <sheetName val="Summary July'21"/>
      <sheetName val="Summary June '21 "/>
      <sheetName val="Summary May '21"/>
      <sheetName val="Summary April '21 "/>
      <sheetName val="Summary March '21"/>
      <sheetName val="Summary February '21"/>
      <sheetName val="Summary January '21"/>
      <sheetName val="Summary December '20 "/>
      <sheetName val="Summary November '20  "/>
      <sheetName val="Summary October '20 "/>
      <sheetName val="Summary September '20 "/>
      <sheetName val="Summary August '20  "/>
      <sheetName val="Summary July'20  "/>
      <sheetName val="Summary June'20 "/>
      <sheetName val="Summary May'20 "/>
      <sheetName val="Summary March'20 "/>
      <sheetName val="Summary February'20"/>
      <sheetName val="Summary January'20 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1">
          <cell r="AT11">
            <v>90.812413514896079</v>
          </cell>
        </row>
        <row r="74">
          <cell r="AT74">
            <v>97.150248014703294</v>
          </cell>
        </row>
        <row r="75">
          <cell r="AT75">
            <v>95.674742958147831</v>
          </cell>
        </row>
        <row r="76">
          <cell r="AT76">
            <v>100.84803557336481</v>
          </cell>
        </row>
        <row r="77">
          <cell r="AT77">
            <v>88.652151049519262</v>
          </cell>
        </row>
        <row r="78">
          <cell r="AT78">
            <v>91.164092280279334</v>
          </cell>
        </row>
        <row r="79">
          <cell r="AT79">
            <v>90.269749115607993</v>
          </cell>
        </row>
      </sheetData>
      <sheetData sheetId="8">
        <row r="4">
          <cell r="D4">
            <v>13.5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ummary Apr'14"/>
      <sheetName val="Summary May'14"/>
      <sheetName val="BrewMaterials"/>
      <sheetName val="Brewhouse"/>
      <sheetName val="Process"/>
      <sheetName val="Packaging"/>
      <sheetName val="Summary December ' 23 "/>
      <sheetName val="Summary November ' 23 "/>
      <sheetName val="Summary October ' 23  "/>
      <sheetName val="Summary September ' 23  "/>
      <sheetName val="Summary August ' 23 "/>
      <sheetName val="Summary July ' 23 "/>
      <sheetName val="Summary June ' 23"/>
      <sheetName val="Summary May ' 23 "/>
      <sheetName val="Summary April ' 23"/>
      <sheetName val="Summary March ' 23 "/>
      <sheetName val="Summary February ' 23 "/>
      <sheetName val="Summary January ' 23"/>
      <sheetName val="Summary December ' 22"/>
      <sheetName val="Summary November ' 22"/>
      <sheetName val="Summary October ' 22"/>
      <sheetName val="Summary September ' 22"/>
      <sheetName val="Summary August' 22"/>
      <sheetName val="Summary July' 22"/>
      <sheetName val="Summary June' 22"/>
      <sheetName val="Summary May' 22 "/>
      <sheetName val="Summary April' 22 "/>
      <sheetName val="Summary March' 22"/>
      <sheetName val="Summary February' 22"/>
      <sheetName val="Summary January' 22"/>
      <sheetName val="Summary December' 21 "/>
      <sheetName val="Summary November' 21"/>
      <sheetName val="Summary October' 21  "/>
      <sheetName val="Summary August' 21 "/>
      <sheetName val="Summary July' 21"/>
      <sheetName val="Summary April' 21"/>
      <sheetName val="Summary March' 21  "/>
      <sheetName val="Summary February' 21 "/>
      <sheetName val="Summary January' 21  "/>
      <sheetName val="Summary December' 20  "/>
      <sheetName val="Summary November' 20  "/>
      <sheetName val="Summary September' 20  "/>
      <sheetName val="Summary August' 20  "/>
      <sheetName val="Summary July' 20 "/>
      <sheetName val="Summary June' 20 "/>
      <sheetName val="Summary May' 20 "/>
      <sheetName val="Summary March' 20 "/>
      <sheetName val="Summary February' 20"/>
      <sheetName val="Summary January' 20   "/>
    </sheetNames>
    <sheetDataSet>
      <sheetData sheetId="0"/>
      <sheetData sheetId="1"/>
      <sheetData sheetId="2"/>
      <sheetData sheetId="3">
        <row r="11">
          <cell r="A11">
            <v>6</v>
          </cell>
        </row>
        <row r="138">
          <cell r="AY138">
            <v>96.857330707129194</v>
          </cell>
        </row>
        <row r="139">
          <cell r="AY139">
            <v>98.558634236722384</v>
          </cell>
        </row>
        <row r="140">
          <cell r="AY140">
            <v>99.06939404796357</v>
          </cell>
        </row>
        <row r="141">
          <cell r="AY141">
            <v>97.738542500229343</v>
          </cell>
        </row>
        <row r="142">
          <cell r="AY142">
            <v>98.88256763553963</v>
          </cell>
        </row>
        <row r="143">
          <cell r="AY143">
            <v>97.355423733832453</v>
          </cell>
        </row>
        <row r="145">
          <cell r="AY145">
            <v>93.537197811356393</v>
          </cell>
        </row>
        <row r="146">
          <cell r="AY146">
            <v>97.637568539650758</v>
          </cell>
        </row>
        <row r="147">
          <cell r="AY147">
            <v>97.44649697695084</v>
          </cell>
        </row>
        <row r="148">
          <cell r="AY148">
            <v>98.773382829033523</v>
          </cell>
        </row>
        <row r="149">
          <cell r="AY149">
            <v>98.071154008854393</v>
          </cell>
        </row>
        <row r="150">
          <cell r="AY150">
            <v>97.063843510838709</v>
          </cell>
        </row>
        <row r="151">
          <cell r="AY151">
            <v>97.828640102350647</v>
          </cell>
        </row>
        <row r="152">
          <cell r="AY152">
            <v>98.087689047934177</v>
          </cell>
        </row>
        <row r="153">
          <cell r="AY153">
            <v>97.828640102350647</v>
          </cell>
        </row>
        <row r="155">
          <cell r="AY155">
            <v>99.698842686065035</v>
          </cell>
        </row>
        <row r="156">
          <cell r="AY156">
            <v>97.271717302321889</v>
          </cell>
        </row>
        <row r="157">
          <cell r="AY157">
            <v>98.289192483980855</v>
          </cell>
        </row>
        <row r="158">
          <cell r="AY158">
            <v>99.439999141619637</v>
          </cell>
        </row>
        <row r="159">
          <cell r="AY159">
            <v>96.974002051291038</v>
          </cell>
        </row>
        <row r="160">
          <cell r="AY160">
            <v>98.975628221718509</v>
          </cell>
        </row>
        <row r="161">
          <cell r="AY161">
            <v>101.59530290991161</v>
          </cell>
        </row>
        <row r="162">
          <cell r="AY162">
            <v>100.37351945912778</v>
          </cell>
        </row>
        <row r="163">
          <cell r="AY163">
            <v>99.626623297989596</v>
          </cell>
        </row>
        <row r="164">
          <cell r="AY164">
            <v>99.801046914684065</v>
          </cell>
        </row>
        <row r="165">
          <cell r="AY165">
            <v>100.42261588043316</v>
          </cell>
        </row>
        <row r="166">
          <cell r="AY166">
            <v>100.59254189240451</v>
          </cell>
        </row>
        <row r="167">
          <cell r="AY167">
            <v>102.82818274430574</v>
          </cell>
        </row>
        <row r="168">
          <cell r="AY168">
            <v>100.73932467067223</v>
          </cell>
        </row>
        <row r="169">
          <cell r="AY169">
            <v>102.03003131939195</v>
          </cell>
        </row>
        <row r="170">
          <cell r="AY170">
            <v>100.72183263222499</v>
          </cell>
        </row>
        <row r="171">
          <cell r="AY171">
            <v>99.794955739547987</v>
          </cell>
        </row>
        <row r="172">
          <cell r="AY172">
            <v>99.174713278737329</v>
          </cell>
        </row>
        <row r="173">
          <cell r="AY173">
            <v>99.745776886868242</v>
          </cell>
        </row>
        <row r="174">
          <cell r="AY174">
            <v>101.45896771126101</v>
          </cell>
        </row>
        <row r="176">
          <cell r="AY176">
            <v>98.50164878062526</v>
          </cell>
        </row>
        <row r="177">
          <cell r="AY177">
            <v>97.864376229539815</v>
          </cell>
        </row>
        <row r="178">
          <cell r="AY178">
            <v>96.213174293907031</v>
          </cell>
        </row>
        <row r="179">
          <cell r="AY179">
            <v>96.737733426605146</v>
          </cell>
        </row>
        <row r="180">
          <cell r="AY180">
            <v>98.671919625154061</v>
          </cell>
        </row>
        <row r="181">
          <cell r="AY181">
            <v>98.678382046481531</v>
          </cell>
        </row>
        <row r="182">
          <cell r="AY182">
            <v>97.166069677953075</v>
          </cell>
        </row>
        <row r="183">
          <cell r="AY183">
            <v>98.512845152088531</v>
          </cell>
        </row>
        <row r="184">
          <cell r="AY184">
            <v>98.221762980912644</v>
          </cell>
        </row>
        <row r="185">
          <cell r="AY185">
            <v>96.458672125242785</v>
          </cell>
        </row>
        <row r="187">
          <cell r="AY187">
            <v>99.38661333018382</v>
          </cell>
        </row>
        <row r="188">
          <cell r="AY188">
            <v>99.646849535565863</v>
          </cell>
        </row>
        <row r="189">
          <cell r="AY189">
            <v>96.44315275935341</v>
          </cell>
        </row>
        <row r="190">
          <cell r="AY190">
            <v>95.740088181090002</v>
          </cell>
        </row>
        <row r="191">
          <cell r="AY191">
            <v>101.96087155142641</v>
          </cell>
        </row>
        <row r="192">
          <cell r="AY192">
            <v>100.87431145241574</v>
          </cell>
        </row>
        <row r="193">
          <cell r="AY193">
            <v>100.77276941900652</v>
          </cell>
        </row>
        <row r="194">
          <cell r="AY194">
            <v>99.308077161646651</v>
          </cell>
        </row>
        <row r="195">
          <cell r="AY195">
            <v>97.966049625236295</v>
          </cell>
        </row>
        <row r="196">
          <cell r="AY196">
            <v>99.036532823513113</v>
          </cell>
        </row>
        <row r="197">
          <cell r="AY197">
            <v>99.829910580594287</v>
          </cell>
        </row>
        <row r="198">
          <cell r="AY198">
            <v>101.34551268586694</v>
          </cell>
        </row>
        <row r="200">
          <cell r="AY200">
            <v>95.787719035267713</v>
          </cell>
        </row>
        <row r="201">
          <cell r="AY201">
            <v>98.6328988085925</v>
          </cell>
        </row>
        <row r="202">
          <cell r="AY202">
            <v>94.459968474382819</v>
          </cell>
        </row>
        <row r="203">
          <cell r="AY203">
            <v>106.3879873741687</v>
          </cell>
        </row>
        <row r="204">
          <cell r="AY204">
            <v>98.690694600233016</v>
          </cell>
        </row>
        <row r="205">
          <cell r="AY205">
            <v>98.776855194864339</v>
          </cell>
        </row>
        <row r="206">
          <cell r="AY206">
            <v>97.717380143030724</v>
          </cell>
        </row>
        <row r="207">
          <cell r="AY207">
            <v>98.298402403340631</v>
          </cell>
        </row>
        <row r="208">
          <cell r="AY208">
            <v>99.150475857619696</v>
          </cell>
        </row>
        <row r="209">
          <cell r="AY209">
            <v>98.480851582747462</v>
          </cell>
        </row>
        <row r="210">
          <cell r="AY210">
            <v>98.900294442784613</v>
          </cell>
        </row>
        <row r="211">
          <cell r="AY211">
            <v>99.774000543159772</v>
          </cell>
        </row>
        <row r="212">
          <cell r="AY212">
            <v>100.01290942200356</v>
          </cell>
        </row>
        <row r="213">
          <cell r="AY213">
            <v>98.851572144784257</v>
          </cell>
        </row>
        <row r="214">
          <cell r="AY214">
            <v>95.961586054602336</v>
          </cell>
        </row>
        <row r="215">
          <cell r="AY215">
            <v>97.742034692393759</v>
          </cell>
        </row>
        <row r="216">
          <cell r="AY216">
            <v>98.204218222146736</v>
          </cell>
        </row>
        <row r="217">
          <cell r="AY217">
            <v>97.636227486705479</v>
          </cell>
        </row>
        <row r="218">
          <cell r="AY218">
            <v>97.478600605828163</v>
          </cell>
        </row>
        <row r="219">
          <cell r="AY219">
            <v>98.717661711315671</v>
          </cell>
        </row>
        <row r="220">
          <cell r="AY220">
            <v>98.398499623008561</v>
          </cell>
        </row>
        <row r="221">
          <cell r="AY221">
            <v>98.42316068921798</v>
          </cell>
        </row>
        <row r="222">
          <cell r="AY222">
            <v>95.64281835332649</v>
          </cell>
        </row>
        <row r="223">
          <cell r="AY223">
            <v>100.30596808204508</v>
          </cell>
        </row>
        <row r="224">
          <cell r="AY224">
            <v>97.851077552059024</v>
          </cell>
        </row>
        <row r="225">
          <cell r="AY225">
            <v>96.158768386089662</v>
          </cell>
        </row>
        <row r="226">
          <cell r="AY226">
            <v>102.14052505286946</v>
          </cell>
        </row>
        <row r="227">
          <cell r="AY227">
            <v>97.431150141503139</v>
          </cell>
        </row>
        <row r="228">
          <cell r="AY228">
            <v>100.92420324719012</v>
          </cell>
        </row>
        <row r="229">
          <cell r="AY229">
            <v>99.872915840059974</v>
          </cell>
        </row>
        <row r="230">
          <cell r="AY230">
            <v>98.084502197854505</v>
          </cell>
        </row>
        <row r="231">
          <cell r="AY231">
            <v>93.702421135620355</v>
          </cell>
        </row>
        <row r="232">
          <cell r="AY232">
            <v>98.855100098271564</v>
          </cell>
        </row>
        <row r="233">
          <cell r="AY233">
            <v>98.396198262432364</v>
          </cell>
        </row>
        <row r="234">
          <cell r="AY234">
            <v>97.777907843168137</v>
          </cell>
        </row>
        <row r="235">
          <cell r="AY235">
            <v>99.308677437581736</v>
          </cell>
        </row>
        <row r="236">
          <cell r="AY236">
            <v>98.038546530836541</v>
          </cell>
        </row>
        <row r="237">
          <cell r="AY237">
            <v>99.401997081305353</v>
          </cell>
        </row>
        <row r="238">
          <cell r="AY238">
            <v>97.48935368165435</v>
          </cell>
        </row>
        <row r="239">
          <cell r="AY239">
            <v>99.898950116799284</v>
          </cell>
        </row>
        <row r="240">
          <cell r="AY240">
            <v>99.398999137874881</v>
          </cell>
        </row>
        <row r="241">
          <cell r="AY241">
            <v>100.7519165779202</v>
          </cell>
        </row>
        <row r="242">
          <cell r="AY242">
            <v>93.544301682511559</v>
          </cell>
        </row>
        <row r="243">
          <cell r="AY243">
            <v>101.0188654292426</v>
          </cell>
        </row>
        <row r="244">
          <cell r="AY244">
            <v>99.528763203902798</v>
          </cell>
        </row>
        <row r="245">
          <cell r="AY245">
            <v>100.66092013193017</v>
          </cell>
        </row>
        <row r="246">
          <cell r="AY246">
            <v>100.08424635979156</v>
          </cell>
        </row>
        <row r="247">
          <cell r="AY247">
            <v>99.518279181903651</v>
          </cell>
        </row>
        <row r="249">
          <cell r="A249" t="str">
            <v>SM103</v>
          </cell>
          <cell r="AY249">
            <v>99.163679317628919</v>
          </cell>
        </row>
        <row r="250">
          <cell r="A250" t="str">
            <v>SM104</v>
          </cell>
          <cell r="AY250">
            <v>100.11534610570595</v>
          </cell>
        </row>
        <row r="251">
          <cell r="A251" t="str">
            <v>SM105</v>
          </cell>
          <cell r="AY251">
            <v>100.73961911513112</v>
          </cell>
        </row>
        <row r="252">
          <cell r="A252" t="str">
            <v>SM106</v>
          </cell>
          <cell r="AY252">
            <v>99.354012675244334</v>
          </cell>
        </row>
        <row r="253">
          <cell r="A253" t="str">
            <v>SM107</v>
          </cell>
          <cell r="AY253">
            <v>99.145167583223554</v>
          </cell>
        </row>
        <row r="254">
          <cell r="A254" t="str">
            <v>SM108</v>
          </cell>
          <cell r="AY254">
            <v>99.57415406203171</v>
          </cell>
        </row>
      </sheetData>
      <sheetData sheetId="4">
        <row r="5">
          <cell r="D5">
            <v>17.260000000000002</v>
          </cell>
        </row>
      </sheetData>
      <sheetData sheetId="5"/>
      <sheetData sheetId="6"/>
      <sheetData sheetId="7">
        <row r="10">
          <cell r="H10">
            <v>306.60000000000002</v>
          </cell>
        </row>
      </sheetData>
      <sheetData sheetId="8">
        <row r="22">
          <cell r="E22">
            <v>5897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>
        <row r="22">
          <cell r="E22">
            <v>7513</v>
          </cell>
        </row>
      </sheetData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Chart1"/>
      <sheetName val="Operator Performance '18"/>
      <sheetName val="BrewMaterials"/>
      <sheetName val="Brewhouse"/>
      <sheetName val="Process"/>
      <sheetName val="Packaging"/>
      <sheetName val="Summary July '23"/>
      <sheetName val="Summary March '23"/>
      <sheetName val="Summary February '23"/>
      <sheetName val="Summary November '22 "/>
      <sheetName val="Summary October '22 "/>
      <sheetName val="Summary March '22"/>
      <sheetName val="Summary February '22 "/>
      <sheetName val="Summary August '21 "/>
      <sheetName val="Summary July '21"/>
      <sheetName val="Summary October '20 "/>
      <sheetName val="Summary September '20  "/>
      <sheetName val="Summary August '20 "/>
      <sheetName val="Summary July '20"/>
      <sheetName val="Summary June '20 "/>
    </sheetNames>
    <sheetDataSet>
      <sheetData sheetId="0"/>
      <sheetData sheetId="1"/>
      <sheetData sheetId="2"/>
      <sheetData sheetId="3">
        <row r="5">
          <cell r="A5" t="str">
            <v>HR001</v>
          </cell>
        </row>
        <row r="13">
          <cell r="AW13">
            <v>84.648574567528044</v>
          </cell>
        </row>
        <row r="14">
          <cell r="AW14">
            <v>92.105311967909813</v>
          </cell>
        </row>
        <row r="16">
          <cell r="AW16">
            <v>95.019583228533136</v>
          </cell>
        </row>
        <row r="17">
          <cell r="AW17">
            <v>96.397043172756128</v>
          </cell>
        </row>
      </sheetData>
      <sheetData sheetId="4">
        <row r="4">
          <cell r="C4" t="str">
            <v>FV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Jan. 3rd  "/>
      <sheetName val="Jan. 4th"/>
      <sheetName val="Jan.5th"/>
      <sheetName val="Jan.6th"/>
      <sheetName val="Jan.7th "/>
      <sheetName val="Jan.8th "/>
      <sheetName val="Jan.9th  "/>
      <sheetName val="Jan.10th  "/>
      <sheetName val="Jan.11th "/>
      <sheetName val="Jan.12th "/>
      <sheetName val="Jan.13th "/>
      <sheetName val="Jan.14th  "/>
      <sheetName val="Jan.16th &amp;17th  "/>
      <sheetName val="Closing- January 2023"/>
      <sheetName val="MTD_Links"/>
      <sheetName val="YTD_Links"/>
      <sheetName val="KPIs"/>
      <sheetName val="Brewer Performanc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42">
          <cell r="L42">
            <v>98.191435797113996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Feb. 6th"/>
      <sheetName val="Feb. 8th"/>
      <sheetName val="Feb Summ. to 24th"/>
      <sheetName val="Feb. 27th"/>
      <sheetName val="Feb. 28th"/>
      <sheetName val="MTD_Links"/>
      <sheetName val="YTD_Links"/>
      <sheetName val="KPIs"/>
      <sheetName val="Brewer Performance"/>
    </sheetNames>
    <sheetDataSet>
      <sheetData sheetId="0"/>
      <sheetData sheetId="1"/>
      <sheetData sheetId="2"/>
      <sheetData sheetId="3"/>
      <sheetData sheetId="4">
        <row r="42">
          <cell r="L42">
            <v>97.281713730188258</v>
          </cell>
        </row>
      </sheetData>
      <sheetData sheetId="5"/>
      <sheetData sheetId="6"/>
      <sheetData sheetId="7"/>
      <sheetData sheetId="8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March 1st"/>
      <sheetName val="March 2nd"/>
      <sheetName val="March 3rd"/>
      <sheetName val="March 6th"/>
      <sheetName val="March 7th "/>
      <sheetName val="March 8th"/>
      <sheetName val="March 9th"/>
      <sheetName val="March10th "/>
      <sheetName val="March11th  "/>
      <sheetName val="March13th"/>
      <sheetName val="March14th "/>
      <sheetName val="March15th"/>
      <sheetName val="March 16th &amp;18th "/>
      <sheetName val="March 20th"/>
      <sheetName val="March 21st"/>
      <sheetName val="March 22nd"/>
      <sheetName val="March 23"/>
      <sheetName val="March 24 &amp; 25th &amp; 26th"/>
      <sheetName val="March 27th"/>
      <sheetName val="March 28th "/>
      <sheetName val="March 29th "/>
      <sheetName val="March 30th "/>
      <sheetName val="March 31st"/>
      <sheetName val="MTD_Links"/>
      <sheetName val="YTD_Links"/>
      <sheetName val="KPIs"/>
      <sheetName val="Brewer Performanc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>
        <row r="75">
          <cell r="L75">
            <v>98.782352819681904</v>
          </cell>
        </row>
        <row r="80">
          <cell r="L80">
            <v>7.04</v>
          </cell>
        </row>
      </sheetData>
      <sheetData sheetId="23"/>
      <sheetData sheetId="24"/>
      <sheetData sheetId="25"/>
      <sheetData sheetId="26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April 1  "/>
      <sheetName val="April 3th "/>
      <sheetName val="April 4th "/>
      <sheetName val="April 5th "/>
      <sheetName val="April 6th"/>
      <sheetName val="Apri 8th"/>
      <sheetName val="Apri 11th"/>
      <sheetName val="Apri 12th "/>
      <sheetName val="Apri 13th "/>
      <sheetName val="Apri 14th  "/>
      <sheetName val="Apri 15th"/>
      <sheetName val="Apri 16th "/>
      <sheetName val="Apri 17th  "/>
      <sheetName val="Apri 18th "/>
      <sheetName val="Apri 19th"/>
      <sheetName val="Apri 20th &amp; 24th "/>
      <sheetName val="Apri 26th - 27th"/>
      <sheetName val="Apri 28th"/>
      <sheetName val="MTD_Links"/>
      <sheetName val="YTD_Links"/>
      <sheetName val="KPIs"/>
      <sheetName val="Brewer Performanc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>
        <row r="51">
          <cell r="L51">
            <v>98.125375133213936</v>
          </cell>
        </row>
      </sheetData>
      <sheetData sheetId="18"/>
      <sheetData sheetId="19"/>
      <sheetData sheetId="20"/>
      <sheetData sheetId="2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June 1st"/>
      <sheetName val="June 6th"/>
      <sheetName val="June 12th"/>
      <sheetName val="June 13th "/>
      <sheetName val="June 14th "/>
      <sheetName val="June 15th"/>
      <sheetName val="June 16th"/>
      <sheetName val="June 19th"/>
      <sheetName val="June 20th"/>
      <sheetName val="June 21st"/>
      <sheetName val="June 22nd"/>
      <sheetName val="June 23rd"/>
      <sheetName val="June 26th"/>
      <sheetName val="June 27th "/>
      <sheetName val="June 28th "/>
      <sheetName val="June 29th  "/>
      <sheetName val="June 30th  "/>
      <sheetName val="MTD_Links"/>
      <sheetName val="YTD_Links"/>
      <sheetName val="KPIs"/>
      <sheetName val="Brewer Performanc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>
        <row r="65">
          <cell r="L65">
            <v>98.889709416663237</v>
          </cell>
        </row>
        <row r="71">
          <cell r="L71">
            <v>7.3888888888888893</v>
          </cell>
        </row>
      </sheetData>
      <sheetData sheetId="17"/>
      <sheetData sheetId="18"/>
      <sheetData sheetId="19"/>
      <sheetData sheetId="20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July 3rd  "/>
      <sheetName val="July 5th"/>
      <sheetName val="July 6th"/>
      <sheetName val="July 7 &amp; 8th"/>
      <sheetName val="July 10th"/>
      <sheetName val="July 11th"/>
      <sheetName val="July 12th"/>
      <sheetName val="July 13th "/>
      <sheetName val="July 14th &amp; 15th  "/>
      <sheetName val="July 17th"/>
      <sheetName val="July 18th "/>
      <sheetName val="July 19th "/>
      <sheetName val="July 20th "/>
      <sheetName val="July 21st &amp;22nd"/>
      <sheetName val="July 24th"/>
      <sheetName val="July 25th"/>
      <sheetName val="July 26th "/>
      <sheetName val="July 27th"/>
      <sheetName val="July 28th "/>
      <sheetName val="July 31st"/>
      <sheetName val="MTD_Links"/>
      <sheetName val="YTD_Links"/>
      <sheetName val="KPIs"/>
      <sheetName val="Brewer Performanc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>
        <row r="102">
          <cell r="L102">
            <v>98.494349010083567</v>
          </cell>
        </row>
        <row r="108">
          <cell r="L108">
            <v>6.5909090909090908</v>
          </cell>
        </row>
      </sheetData>
      <sheetData sheetId="20"/>
      <sheetData sheetId="21"/>
      <sheetData sheetId="22"/>
      <sheetData sheetId="23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Aug 1st"/>
      <sheetName val="Aug 2nd"/>
      <sheetName val="Aug 30th"/>
      <sheetName val="MTD_Links"/>
      <sheetName val="YTD_Links"/>
      <sheetName val="KPIs"/>
      <sheetName val="Brewer Performance"/>
    </sheetNames>
    <sheetDataSet>
      <sheetData sheetId="0"/>
      <sheetData sheetId="1"/>
      <sheetData sheetId="2">
        <row r="118">
          <cell r="L118">
            <v>97.795315149035787</v>
          </cell>
        </row>
        <row r="124">
          <cell r="L124">
            <v>4.5</v>
          </cell>
        </row>
      </sheetData>
      <sheetData sheetId="3"/>
      <sheetData sheetId="4"/>
      <sheetData sheetId="5"/>
      <sheetData sheetId="6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Oct.2nd "/>
      <sheetName val="Oct.3rd"/>
      <sheetName val="Oct. 4th"/>
      <sheetName val="Oct. 5th "/>
      <sheetName val="Oct. 6th &amp;7th"/>
      <sheetName val="Oct. 9th"/>
      <sheetName val="Oct. 10th"/>
      <sheetName val="Oct. 11th"/>
      <sheetName val="Oct. 12th"/>
      <sheetName val="Oct. 13th &amp; 14th"/>
      <sheetName val="Oct. 16th"/>
      <sheetName val="Oct. 17th"/>
      <sheetName val="Oct. 18th"/>
      <sheetName val="Oct. 20th"/>
      <sheetName val="Oct. 23th"/>
      <sheetName val="Oct. 24th "/>
      <sheetName val="Oct. 26th  "/>
      <sheetName val="Oct. 27th &amp; 28th "/>
      <sheetName val="Oct.30th"/>
      <sheetName val="Oct.31st"/>
      <sheetName val="MTD_Links"/>
      <sheetName val="YTD_Links"/>
      <sheetName val="KPIs"/>
      <sheetName val="Brewer Performanc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>
        <row r="45">
          <cell r="L45">
            <v>97.702105534902586</v>
          </cell>
        </row>
        <row r="51">
          <cell r="L51">
            <v>5.291666666666667</v>
          </cell>
        </row>
      </sheetData>
      <sheetData sheetId="20"/>
      <sheetData sheetId="21"/>
      <sheetData sheetId="22"/>
      <sheetData sheetId="23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January_2023"/>
      <sheetName val="February_2023"/>
      <sheetName val="March_2023"/>
      <sheetName val="April_2023"/>
      <sheetName val="May_2023"/>
      <sheetName val="June_2023"/>
      <sheetName val="July_2023"/>
      <sheetName val="August_2018  (2)"/>
      <sheetName val="August_2023"/>
      <sheetName val="September_2023"/>
      <sheetName val="October_2023"/>
      <sheetName val="November_2023"/>
      <sheetName val="December_2023"/>
      <sheetName val="Average"/>
      <sheetName val="October_2022"/>
      <sheetName val="November_2022"/>
      <sheetName val="December_2022"/>
      <sheetName val="September_2022"/>
      <sheetName val="August_2022"/>
    </sheetNames>
    <sheetDataSet>
      <sheetData sheetId="0"/>
      <sheetData sheetId="1"/>
      <sheetData sheetId="2">
        <row r="7">
          <cell r="J7">
            <v>283.29999999999995</v>
          </cell>
        </row>
      </sheetData>
      <sheetData sheetId="3">
        <row r="7">
          <cell r="G7">
            <v>369.9</v>
          </cell>
        </row>
      </sheetData>
      <sheetData sheetId="4">
        <row r="7">
          <cell r="AA7">
            <v>264.39999999999998</v>
          </cell>
        </row>
      </sheetData>
      <sheetData sheetId="5">
        <row r="3">
          <cell r="O3">
            <v>317.7</v>
          </cell>
        </row>
      </sheetData>
      <sheetData sheetId="6">
        <row r="3">
          <cell r="F3">
            <v>406</v>
          </cell>
        </row>
      </sheetData>
      <sheetData sheetId="7"/>
      <sheetData sheetId="8">
        <row r="3">
          <cell r="D3">
            <v>208.10000000000002</v>
          </cell>
        </row>
      </sheetData>
      <sheetData sheetId="9">
        <row r="7">
          <cell r="I7">
            <v>278.8</v>
          </cell>
        </row>
      </sheetData>
      <sheetData sheetId="10">
        <row r="3">
          <cell r="G3">
            <v>304.60000000000002</v>
          </cell>
        </row>
      </sheetData>
      <sheetData sheetId="11">
        <row r="3">
          <cell r="D3">
            <v>212.5</v>
          </cell>
        </row>
      </sheetData>
      <sheetData sheetId="12">
        <row r="3">
          <cell r="I3">
            <v>305.05</v>
          </cell>
        </row>
        <row r="13">
          <cell r="U13">
            <v>150.4</v>
          </cell>
        </row>
        <row r="17">
          <cell r="U17">
            <v>120.8</v>
          </cell>
        </row>
        <row r="21">
          <cell r="U21">
            <v>19.680851063829799</v>
          </cell>
        </row>
      </sheetData>
      <sheetData sheetId="13"/>
      <sheetData sheetId="14"/>
      <sheetData sheetId="15"/>
      <sheetData sheetId="16"/>
      <sheetData sheetId="17" refreshError="1"/>
      <sheetData sheetId="18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January_2023"/>
      <sheetName val="February_2023"/>
      <sheetName val="March_2023"/>
      <sheetName val="April_2023"/>
      <sheetName val="May_2023"/>
      <sheetName val="June_2023"/>
      <sheetName val="July_2023"/>
      <sheetName val="August_2023"/>
      <sheetName val="August_2018 (2)"/>
      <sheetName val="September_2023"/>
      <sheetName val="October_2023"/>
      <sheetName val="November_2023"/>
      <sheetName val="December_2023"/>
      <sheetName val="October_2022"/>
      <sheetName val="November_2022"/>
      <sheetName val="December_2022"/>
      <sheetName val="September_2022"/>
      <sheetName val="August_202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>
        <row r="13">
          <cell r="AN13">
            <v>0.67939571150097466</v>
          </cell>
        </row>
        <row r="25">
          <cell r="U25">
            <v>0.42385964912280699</v>
          </cell>
        </row>
      </sheetData>
      <sheetData sheetId="13"/>
      <sheetData sheetId="14"/>
      <sheetData sheetId="15"/>
      <sheetData sheetId="16" refreshError="1"/>
      <sheetData sheetId="17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January_2022"/>
      <sheetName val="February_2022"/>
      <sheetName val="March_2022"/>
      <sheetName val="April_2022"/>
      <sheetName val="May_2022"/>
      <sheetName val="July_2022"/>
      <sheetName val="June_2022"/>
      <sheetName val="August_2018  (2)"/>
      <sheetName val="August_2022"/>
      <sheetName val="September_2022"/>
      <sheetName val="October_2022"/>
      <sheetName val="November_2022"/>
      <sheetName val="December_2022"/>
      <sheetName val="Average"/>
      <sheetName val="March_2021"/>
      <sheetName val="April_2021"/>
      <sheetName val="May_2021"/>
      <sheetName val="June_2021"/>
      <sheetName val="July_2021"/>
      <sheetName val="August_2021"/>
      <sheetName val="September_2021"/>
      <sheetName val="October_2021"/>
      <sheetName val="November_2021"/>
      <sheetName val="December_2021"/>
    </sheetNames>
    <sheetDataSet>
      <sheetData sheetId="0">
        <row r="7">
          <cell r="F7">
            <v>90.5</v>
          </cell>
        </row>
      </sheetData>
      <sheetData sheetId="1">
        <row r="3">
          <cell r="D3">
            <v>410.59999999999997</v>
          </cell>
        </row>
      </sheetData>
      <sheetData sheetId="2">
        <row r="7">
          <cell r="D7">
            <v>199.8</v>
          </cell>
        </row>
      </sheetData>
      <sheetData sheetId="3">
        <row r="7">
          <cell r="G7">
            <v>266.8</v>
          </cell>
        </row>
      </sheetData>
      <sheetData sheetId="4">
        <row r="7">
          <cell r="E7">
            <v>291.89999999999998</v>
          </cell>
        </row>
        <row r="43">
          <cell r="M43">
            <v>3.4878406700073312</v>
          </cell>
        </row>
      </sheetData>
      <sheetData sheetId="5">
        <row r="3">
          <cell r="G3">
            <v>319.81</v>
          </cell>
        </row>
      </sheetData>
      <sheetData sheetId="6">
        <row r="7">
          <cell r="D7">
            <v>190.7</v>
          </cell>
        </row>
      </sheetData>
      <sheetData sheetId="7"/>
      <sheetData sheetId="8">
        <row r="7">
          <cell r="E7">
            <v>293.3</v>
          </cell>
        </row>
      </sheetData>
      <sheetData sheetId="9">
        <row r="7">
          <cell r="E7">
            <v>374.7</v>
          </cell>
        </row>
      </sheetData>
      <sheetData sheetId="10">
        <row r="3">
          <cell r="G3">
            <v>207.23000000000002</v>
          </cell>
        </row>
      </sheetData>
      <sheetData sheetId="11">
        <row r="7">
          <cell r="E7">
            <v>572.10000000000014</v>
          </cell>
        </row>
      </sheetData>
      <sheetData sheetId="12">
        <row r="3">
          <cell r="D3">
            <v>315.21000000000004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TAG"/>
      <sheetName val="GUINNESS"/>
      <sheetName val="CARIB"/>
      <sheetName val="VITAMALT"/>
      <sheetName val="STARMALT"/>
      <sheetName val="MACKESON"/>
      <sheetName val="HR Pilsener"/>
      <sheetName val="IPA"/>
      <sheetName val="APA"/>
      <sheetName val="CARIBE"/>
      <sheetName val="MTD"/>
      <sheetName val="YTD 2026"/>
    </sheetNames>
    <sheetDataSet>
      <sheetData sheetId="0"/>
      <sheetData sheetId="1"/>
      <sheetData sheetId="2"/>
      <sheetData sheetId="3"/>
      <sheetData sheetId="4"/>
      <sheetData sheetId="5">
        <row r="7">
          <cell r="S7">
            <v>1.9</v>
          </cell>
        </row>
      </sheetData>
      <sheetData sheetId="6"/>
      <sheetData sheetId="7"/>
      <sheetData sheetId="8"/>
      <sheetData sheetId="9"/>
      <sheetData sheetId="10">
        <row r="5">
          <cell r="E5">
            <v>6.5070971580288672</v>
          </cell>
        </row>
        <row r="6">
          <cell r="E6">
            <v>6.720758239391091</v>
          </cell>
        </row>
        <row r="7">
          <cell r="E7">
            <v>9.7338366703301844</v>
          </cell>
        </row>
        <row r="8">
          <cell r="E8" t="e">
            <v>#DIV/0!</v>
          </cell>
        </row>
        <row r="9">
          <cell r="E9" t="e">
            <v>#DIV/0!</v>
          </cell>
        </row>
        <row r="10">
          <cell r="E10">
            <v>6.8855672629257718</v>
          </cell>
        </row>
        <row r="11">
          <cell r="E11" t="e">
            <v>#DIV/0!</v>
          </cell>
        </row>
        <row r="12">
          <cell r="E12" t="e">
            <v>#DIV/0!</v>
          </cell>
        </row>
        <row r="13">
          <cell r="E13" t="e">
            <v>#DIV/0!</v>
          </cell>
        </row>
        <row r="14">
          <cell r="E14">
            <v>6.7751741533263203</v>
          </cell>
        </row>
      </sheetData>
      <sheetData sheetId="11">
        <row r="5">
          <cell r="E5">
            <v>6.5170500907693674</v>
          </cell>
        </row>
        <row r="6">
          <cell r="E6">
            <v>5.8780358526209691</v>
          </cell>
        </row>
        <row r="7">
          <cell r="E7">
            <v>11.107064244881148</v>
          </cell>
        </row>
        <row r="8">
          <cell r="E8">
            <v>4.8685538193023836</v>
          </cell>
        </row>
        <row r="9">
          <cell r="E9" t="e">
            <v>#DIV/0!</v>
          </cell>
        </row>
        <row r="10">
          <cell r="E10">
            <v>6.3233965672990236</v>
          </cell>
        </row>
        <row r="11">
          <cell r="E11">
            <v>3.6168923014750334</v>
          </cell>
        </row>
        <row r="12">
          <cell r="E12" t="e">
            <v>#DIV/0!</v>
          </cell>
        </row>
        <row r="13">
          <cell r="E13" t="e">
            <v>#DIV/0!</v>
          </cell>
        </row>
        <row r="14">
          <cell r="E14">
            <v>6.3779022497499271</v>
          </cell>
        </row>
      </sheetData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cessMaterials"/>
      <sheetName val="Operator Performance '16"/>
      <sheetName val="Operator Performance '17"/>
      <sheetName val="Operator Performance '18"/>
      <sheetName val="BrewMaterials"/>
      <sheetName val="Brewhouse"/>
      <sheetName val="Process"/>
      <sheetName val="Packaging"/>
      <sheetName val="Summary January'18"/>
      <sheetName val="Summary December'17"/>
      <sheetName val="Summary November'17"/>
      <sheetName val="Summary October'17"/>
      <sheetName val="Summary September'17"/>
      <sheetName val="Summary August'17"/>
      <sheetName val="Summary July'17 "/>
      <sheetName val="Summary June '17 "/>
      <sheetName val="Summary May '17"/>
      <sheetName val="Summary April '17"/>
      <sheetName val="Summary March '17"/>
      <sheetName val="Summary February '17"/>
      <sheetName val="Summary January '17"/>
      <sheetName val="Summary December '16"/>
      <sheetName val="Summary November '16"/>
      <sheetName val="Summary October '16"/>
      <sheetName val="Summary September '16"/>
      <sheetName val="Summary August '16"/>
      <sheetName val="Summary July '16"/>
      <sheetName val="Summary June '16"/>
      <sheetName val="Summary May '16"/>
      <sheetName val="Summary April '16"/>
      <sheetName val="Summary March '16"/>
      <sheetName val="Summary February '16"/>
      <sheetName val="Summary January '16"/>
      <sheetName val="Summary December '15"/>
      <sheetName val="Summary November '15"/>
      <sheetName val="Summary October '15"/>
      <sheetName val="Summary September '15"/>
      <sheetName val="Summary August '15"/>
      <sheetName val="Summary July '15"/>
      <sheetName val="Summary June '15"/>
      <sheetName val="Summary May '15"/>
      <sheetName val="Summary April '15"/>
      <sheetName val="Summary March '15"/>
      <sheetName val="Summary February '15"/>
      <sheetName val="Summary January '15"/>
      <sheetName val="Summary December '14"/>
      <sheetName val="Summary November '14"/>
      <sheetName val="Summary October '14"/>
      <sheetName val="Summary September '14"/>
      <sheetName val="Summary August '14"/>
      <sheetName val="Summary July '14"/>
      <sheetName val="Summary June '14"/>
      <sheetName val="%EFF."/>
      <sheetName val="Sheet1"/>
    </sheetNames>
    <sheetDataSet>
      <sheetData sheetId="0"/>
      <sheetData sheetId="1"/>
      <sheetData sheetId="2"/>
      <sheetData sheetId="3"/>
      <sheetData sheetId="4">
        <row r="7681">
          <cell r="A7681" t="str">
            <v>CA044</v>
          </cell>
        </row>
      </sheetData>
      <sheetData sheetId="5">
        <row r="5311">
          <cell r="AS5311">
            <v>85.152851511661666</v>
          </cell>
        </row>
        <row r="5347">
          <cell r="AS5347">
            <v>96.242731384136675</v>
          </cell>
        </row>
        <row r="5348">
          <cell r="AS5348">
            <v>96.696346841973863</v>
          </cell>
        </row>
        <row r="5349">
          <cell r="AS5349">
            <v>95.126289890925335</v>
          </cell>
        </row>
        <row r="5350">
          <cell r="AS5350">
            <v>99.660489230254768</v>
          </cell>
        </row>
        <row r="5351">
          <cell r="AS5351">
            <v>98.281898080887714</v>
          </cell>
        </row>
        <row r="5352">
          <cell r="AS5352">
            <v>96.026108173442964</v>
          </cell>
        </row>
        <row r="5353">
          <cell r="AS5353">
            <v>96.743154793507031</v>
          </cell>
        </row>
        <row r="5354">
          <cell r="AS5354">
            <v>97.324543944910317</v>
          </cell>
        </row>
        <row r="5355">
          <cell r="AS5355">
            <v>94.904027111234612</v>
          </cell>
        </row>
        <row r="5356">
          <cell r="AS5356">
            <v>95.53313194763814</v>
          </cell>
        </row>
        <row r="5357">
          <cell r="AS5357">
            <v>95.421463455983542</v>
          </cell>
        </row>
        <row r="5358">
          <cell r="AS5358">
            <v>97.128454670344638</v>
          </cell>
        </row>
        <row r="5359">
          <cell r="A5359" t="str">
            <v>CA236</v>
          </cell>
          <cell r="B5359">
            <v>41437</v>
          </cell>
          <cell r="I5359">
            <v>19.79</v>
          </cell>
          <cell r="N5359">
            <v>60</v>
          </cell>
          <cell r="R5359">
            <v>0.51041666666666663</v>
          </cell>
          <cell r="S5359">
            <v>0.61736111111111114</v>
          </cell>
          <cell r="T5359">
            <v>60</v>
          </cell>
          <cell r="AG5359">
            <v>49.011000000000003</v>
          </cell>
          <cell r="AS5359">
            <v>94.981545664755075</v>
          </cell>
          <cell r="AT5359">
            <v>97.074072469002047</v>
          </cell>
        </row>
        <row r="5360">
          <cell r="A5360" t="str">
            <v>CA237</v>
          </cell>
          <cell r="B5360">
            <v>41437</v>
          </cell>
          <cell r="I5360">
            <v>17.7</v>
          </cell>
          <cell r="N5360">
            <v>60</v>
          </cell>
          <cell r="R5360">
            <v>0.58680555555555558</v>
          </cell>
          <cell r="S5360">
            <v>0.69652777777777775</v>
          </cell>
          <cell r="T5360">
            <v>68</v>
          </cell>
          <cell r="AG5360">
            <v>48.531999999999996</v>
          </cell>
          <cell r="AS5360">
            <v>94.053260986347809</v>
          </cell>
          <cell r="AT5360">
            <v>96.1253368644918</v>
          </cell>
        </row>
        <row r="5361">
          <cell r="A5361" t="str">
            <v>CA238</v>
          </cell>
          <cell r="B5361">
            <v>41437</v>
          </cell>
          <cell r="I5361">
            <v>19.7</v>
          </cell>
          <cell r="N5361">
            <v>60</v>
          </cell>
          <cell r="R5361">
            <v>0.65972222222222221</v>
          </cell>
          <cell r="S5361">
            <v>0.76180555555555562</v>
          </cell>
          <cell r="T5361">
            <v>61</v>
          </cell>
          <cell r="AG5361">
            <v>50.466999999999999</v>
          </cell>
          <cell r="AS5361">
            <v>96.931393272913695</v>
          </cell>
          <cell r="AT5361">
            <v>99.066876931102286</v>
          </cell>
        </row>
        <row r="5362">
          <cell r="A5362" t="str">
            <v>CA239</v>
          </cell>
          <cell r="B5362">
            <v>41437</v>
          </cell>
          <cell r="I5362">
            <v>19</v>
          </cell>
          <cell r="N5362">
            <v>60</v>
          </cell>
          <cell r="R5362">
            <v>0.73263888888888884</v>
          </cell>
          <cell r="S5362">
            <v>0.83680555555555547</v>
          </cell>
          <cell r="T5362">
            <v>62</v>
          </cell>
          <cell r="AG5362">
            <v>49.374000000000002</v>
          </cell>
          <cell r="AS5362">
            <v>95.68502653795305</v>
          </cell>
          <cell r="AT5362">
            <v>97.793051643192499</v>
          </cell>
        </row>
      </sheetData>
      <sheetData sheetId="6">
        <row r="7086">
          <cell r="AD7086">
            <v>49.378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perator Performance '16"/>
      <sheetName val="Operator Performance '17"/>
      <sheetName val="Operator Performance '18"/>
      <sheetName val="BrewMaterials"/>
      <sheetName val="Brewhouse"/>
      <sheetName val="Process"/>
      <sheetName val="Packaging"/>
      <sheetName val="Summary May '18 "/>
      <sheetName val="Summary April '18"/>
      <sheetName val="Summary March '18"/>
      <sheetName val="Summary February '18"/>
      <sheetName val="Summary January '18"/>
      <sheetName val="Summary December '17"/>
      <sheetName val="Summary November '17"/>
      <sheetName val="Summary October '17"/>
      <sheetName val="Summary September '17"/>
      <sheetName val="Summary August '17"/>
      <sheetName val="Summary July '17 "/>
      <sheetName val="Summary June '17"/>
      <sheetName val="Summary May '17"/>
      <sheetName val="Summary April '17"/>
      <sheetName val="Summary March '17"/>
      <sheetName val="Summary February '17"/>
      <sheetName val="Summary January '17"/>
      <sheetName val="Summary December '16"/>
      <sheetName val="Summary November '16"/>
      <sheetName val="Summary October '16"/>
      <sheetName val="Summary September '16"/>
      <sheetName val="Summary August '16"/>
      <sheetName val="Summary July '16"/>
      <sheetName val="Summary June '16"/>
      <sheetName val="Summary May '16"/>
      <sheetName val="Summary April '16"/>
      <sheetName val="Summary March '16"/>
      <sheetName val="Summary February '16"/>
      <sheetName val="Summary January '16"/>
      <sheetName val="Summary December '15"/>
      <sheetName val="Summary November '15"/>
      <sheetName val="Summary October '15"/>
      <sheetName val="Summary September '15"/>
      <sheetName val="Summary August '15"/>
      <sheetName val="Summary July '15"/>
      <sheetName val="Summary June '15"/>
      <sheetName val="Summary May '15"/>
      <sheetName val="Summary April '15"/>
      <sheetName val="Summary March '15"/>
      <sheetName val="Summary February '15"/>
      <sheetName val="Summary January '15"/>
      <sheetName val="Summary December '14"/>
      <sheetName val="Summary November '14"/>
      <sheetName val="Summary October '14"/>
      <sheetName val="Summary September '14"/>
      <sheetName val="Summary August '14"/>
      <sheetName val="Summary July '14"/>
      <sheetName val="Summary June '14"/>
      <sheetName val="Summary May '14"/>
      <sheetName val="Summary Apr '14"/>
      <sheetName val="ProcessMaterials"/>
      <sheetName val="PackMaterials"/>
      <sheetName val="%EFF."/>
    </sheetNames>
    <sheetDataSet>
      <sheetData sheetId="0"/>
      <sheetData sheetId="1"/>
      <sheetData sheetId="2"/>
      <sheetData sheetId="3">
        <row r="2408">
          <cell r="A2408" t="str">
            <v>ST051</v>
          </cell>
        </row>
      </sheetData>
      <sheetData sheetId="4">
        <row r="620">
          <cell r="AQ620">
            <v>94.769044771084623</v>
          </cell>
        </row>
        <row r="641">
          <cell r="AQ641">
            <v>93.076170468981061</v>
          </cell>
        </row>
        <row r="642">
          <cell r="AQ642">
            <v>95.149436694787028</v>
          </cell>
        </row>
        <row r="643">
          <cell r="AQ643">
            <v>95.833974927594824</v>
          </cell>
        </row>
        <row r="644">
          <cell r="AQ644">
            <v>93.377483332023004</v>
          </cell>
        </row>
      </sheetData>
      <sheetData sheetId="5">
        <row r="1851">
          <cell r="Z1851">
            <v>49.381999999999998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Chart1"/>
      <sheetName val="VitaMalt - Operator Performance"/>
      <sheetName val="Operator Performance '16"/>
      <sheetName val="Operator Performance '17"/>
      <sheetName val="Operator Performance '18"/>
      <sheetName val="Brew Times"/>
      <sheetName val="BrewMaterials"/>
      <sheetName val="Brewhouse"/>
      <sheetName val="Process"/>
      <sheetName val="Packaging"/>
      <sheetName val="Summary December '19"/>
      <sheetName val="Summary November '19 "/>
      <sheetName val="Summary October '19  "/>
      <sheetName val="Summary September '19  "/>
      <sheetName val="Summary August '19 "/>
      <sheetName val="Summary July '19 "/>
      <sheetName val="Summary June '19  "/>
      <sheetName val="Summary May '19 "/>
      <sheetName val="Summary April '19 "/>
      <sheetName val="Summary March '19"/>
      <sheetName val="Summary February '19"/>
      <sheetName val="Summary January '19"/>
      <sheetName val="Summary December'18 "/>
      <sheetName val="Summary November'18 "/>
      <sheetName val="Summary October'18"/>
      <sheetName val="Summary September'18 "/>
      <sheetName val="Summary August'18   "/>
      <sheetName val="Summary July'18  "/>
      <sheetName val="Summary June'18 "/>
      <sheetName val="Summary May'18"/>
      <sheetName val="Summary April'18"/>
      <sheetName val="Summary March'18"/>
      <sheetName val="Summary February'18"/>
      <sheetName val="Summary December '17"/>
      <sheetName val="Summary November '17"/>
      <sheetName val="Summary October '17 "/>
      <sheetName val="Summary September '17"/>
      <sheetName val="Summary August '17"/>
      <sheetName val="Summary July '17"/>
      <sheetName val="Summary June '17 "/>
      <sheetName val="Summary May '17"/>
      <sheetName val="Summary April '17"/>
      <sheetName val="Summary March '17"/>
      <sheetName val="Summary February '17"/>
      <sheetName val="Summary January '17"/>
      <sheetName val="Summary December '16"/>
      <sheetName val="Summary November '16"/>
      <sheetName val="Summary October '16"/>
      <sheetName val="Summary September '16"/>
      <sheetName val="Summary August '16"/>
      <sheetName val="Summary July '16"/>
      <sheetName val="Summary June '16"/>
      <sheetName val="Summary May '16"/>
      <sheetName val="Summary April '16"/>
      <sheetName val="Summary March '16"/>
      <sheetName val="Summary February '16"/>
      <sheetName val="Summary January '16"/>
      <sheetName val="Summary December '15 "/>
      <sheetName val="Summary November '15"/>
      <sheetName val="Summary October '15"/>
      <sheetName val="Summary September '15"/>
      <sheetName val="Summary August '15"/>
      <sheetName val="Summary July '15"/>
      <sheetName val="Summary June '15"/>
      <sheetName val="Summary May '15"/>
      <sheetName val="Summary April '15"/>
      <sheetName val="Summary March '15"/>
      <sheetName val="Summary February '15"/>
      <sheetName val="Summary January '15"/>
      <sheetName val="Summary December '14"/>
      <sheetName val="Summary November '14"/>
      <sheetName val="Summary October '14"/>
      <sheetName val="Summary September '14"/>
      <sheetName val="Summary August '14"/>
      <sheetName val="Summary July '14"/>
      <sheetName val="Summary June '14"/>
      <sheetName val="PackMaterials"/>
      <sheetName val="ProcessMaterials"/>
      <sheetName val="Sheet1"/>
      <sheetName val="Summary May '14"/>
      <sheetName val="Summary July '14)"/>
      <sheetName val="Summary Feb '14"/>
      <sheetName val="Summary Mar '14"/>
      <sheetName val="Summary Apr '14"/>
      <sheetName val="Summary Jan '14"/>
      <sheetName val="Summary Dec '13"/>
      <sheetName val="Summary Nov '13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>
        <row r="154">
          <cell r="AH154">
            <v>15.308000000000002</v>
          </cell>
        </row>
        <row r="708">
          <cell r="AU708">
            <v>93.632484874867401</v>
          </cell>
        </row>
        <row r="709">
          <cell r="AU709">
            <v>94.048293616380349</v>
          </cell>
        </row>
        <row r="710">
          <cell r="AU710">
            <v>96.982003109046275</v>
          </cell>
        </row>
        <row r="711">
          <cell r="AU711">
            <v>95.536254931189035</v>
          </cell>
        </row>
      </sheetData>
      <sheetData sheetId="8">
        <row r="917">
          <cell r="D917">
            <v>14.3</v>
          </cell>
        </row>
      </sheetData>
      <sheetData sheetId="9">
        <row r="769">
          <cell r="I769">
            <v>183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PackMaterials"/>
      <sheetName val="ProcessMaterials"/>
      <sheetName val="Operator Performance '16"/>
      <sheetName val="Operator Performance '17"/>
      <sheetName val="Operator Performance '18"/>
      <sheetName val="BrewMaterials"/>
      <sheetName val="Brewhouse"/>
      <sheetName val="Process"/>
      <sheetName val="Packaging"/>
      <sheetName val="Summary July '17"/>
      <sheetName val="Summary May '17"/>
      <sheetName val="Summary January '17"/>
      <sheetName val="Summary December '16"/>
      <sheetName val="Summary November '16"/>
      <sheetName val="Summary October '16"/>
      <sheetName val="Summary August '16"/>
      <sheetName val="Summary May '16"/>
      <sheetName val="Summary March '16"/>
      <sheetName val="Summary February '16"/>
      <sheetName val="Summary Jaunary '16"/>
      <sheetName val="Summary November '15"/>
      <sheetName val="Summary August'15"/>
      <sheetName val="Summary June'15"/>
      <sheetName val="Summary May'15"/>
      <sheetName val="Summary April'15"/>
      <sheetName val="Summary March'15"/>
      <sheetName val="Summary February'15"/>
      <sheetName val="Summary Janaury'15"/>
      <sheetName val="Summary December'14"/>
      <sheetName val="Summary November'14"/>
      <sheetName val="Summary September'14"/>
      <sheetName val="Summary August'14"/>
      <sheetName val="Summary July'14"/>
      <sheetName val="Sheet1"/>
      <sheetName val="Summary Feb'14"/>
      <sheetName val="Summary Mar'14"/>
      <sheetName val="Summary Apr'14"/>
      <sheetName val="Summary Sept '12"/>
      <sheetName val="Summary Oct '12"/>
      <sheetName val="Summary Nov '12"/>
      <sheetName val="Summary Dec '12"/>
      <sheetName val="Summary May'14"/>
      <sheetName val="Summary Jan'14"/>
      <sheetName val="NewMMaltLog"/>
      <sheetName val="Summary Dec'13"/>
      <sheetName val="Summary Oct'13"/>
      <sheetName val="Summary Aug '13"/>
      <sheetName val="Summary Sept'13"/>
    </sheetNames>
    <sheetDataSet>
      <sheetData sheetId="0"/>
      <sheetData sheetId="1"/>
      <sheetData sheetId="2"/>
      <sheetData sheetId="3"/>
      <sheetData sheetId="4"/>
      <sheetData sheetId="5"/>
      <sheetData sheetId="6">
        <row r="938">
          <cell r="AY938">
            <v>97.175540388161437</v>
          </cell>
        </row>
        <row r="943">
          <cell r="AY943">
            <v>96.228364837670995</v>
          </cell>
        </row>
        <row r="944">
          <cell r="AY944">
            <v>96.553980410505062</v>
          </cell>
        </row>
        <row r="945">
          <cell r="AY945">
            <v>93.079827038319294</v>
          </cell>
        </row>
        <row r="946">
          <cell r="AY946">
            <v>95.367156437373168</v>
          </cell>
        </row>
      </sheetData>
      <sheetData sheetId="7">
        <row r="1029">
          <cell r="D1029">
            <v>17.3</v>
          </cell>
        </row>
      </sheetData>
      <sheetData sheetId="8">
        <row r="1001">
          <cell r="I1001">
            <v>100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Jan. 3rd "/>
      <sheetName val="Jan. 4th"/>
      <sheetName val="Jan. 5th"/>
      <sheetName val="Jan. 6th"/>
      <sheetName val="Jan. 7th"/>
      <sheetName val="Jan. 8th "/>
      <sheetName val="Jan. 9th"/>
      <sheetName val="Jan. 10th"/>
      <sheetName val="Jan. 11th"/>
      <sheetName val="Jan. 12nd"/>
      <sheetName val="Jan. 13th"/>
      <sheetName val="Jan. 14th"/>
      <sheetName val="Jan. 17th"/>
      <sheetName val="Jan. 18th"/>
      <sheetName val="Jan. 19th "/>
      <sheetName val="Jan. 20th "/>
      <sheetName val="Jan. 21st "/>
      <sheetName val="Jan. 22nd "/>
      <sheetName val="Jan. 23rd"/>
      <sheetName val="Jan. 24th"/>
      <sheetName val="Jan. 25th "/>
      <sheetName val="Jan. 26th "/>
      <sheetName val="Jan. 27th"/>
      <sheetName val="Jan. 28th"/>
      <sheetName val="Jan. 29th"/>
      <sheetName val="Jan. 31st"/>
      <sheetName val="MTD_Links"/>
      <sheetName val="YTD_Links"/>
      <sheetName val="KPIs"/>
      <sheetName val="Brewer Performanc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>
        <row r="26">
          <cell r="M26"/>
        </row>
      </sheetData>
      <sheetData sheetId="26"/>
      <sheetData sheetId="27"/>
      <sheetData sheetId="28"/>
      <sheetData sheetId="29">
        <row r="40">
          <cell r="D40">
            <v>96.507822129582451</v>
          </cell>
        </row>
        <row r="41">
          <cell r="D41">
            <v>97.99738587335284</v>
          </cell>
        </row>
        <row r="43">
          <cell r="D43">
            <v>98.304611060419475</v>
          </cell>
        </row>
        <row r="44">
          <cell r="D44">
            <v>98.673584433402866</v>
          </cell>
        </row>
        <row r="45">
          <cell r="D45">
            <v>97.870850874189415</v>
          </cell>
        </row>
      </sheetData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Feb. 1"/>
      <sheetName val="Feb. 2"/>
      <sheetName val="Feb.3"/>
      <sheetName val="Feb.4"/>
      <sheetName val="Feb.5"/>
      <sheetName val="Feb.6"/>
      <sheetName val="Feb.8"/>
      <sheetName val="Feb.9"/>
      <sheetName val="Feb10"/>
      <sheetName val="Feb11"/>
      <sheetName val="Feb14"/>
      <sheetName val="Feb16"/>
      <sheetName val="Feb17"/>
      <sheetName val="Feb18"/>
      <sheetName val="Feb19"/>
      <sheetName val="Feb 20"/>
      <sheetName val="Feb 21"/>
      <sheetName val="Feb 22"/>
      <sheetName val="Feb 23"/>
      <sheetName val="Feb 24"/>
      <sheetName val="Feb 25"/>
      <sheetName val="Feb 28"/>
      <sheetName val="MTD_Links"/>
      <sheetName val="YTD_Links"/>
      <sheetName val="KPIs"/>
      <sheetName val="Brewer Performance"/>
    </sheetNames>
    <sheetDataSet>
      <sheetData sheetId="0">
        <row r="10">
          <cell r="I10">
            <v>98.123184148666738</v>
          </cell>
        </row>
        <row r="11">
          <cell r="I11">
            <v>98.683467559299089</v>
          </cell>
        </row>
        <row r="12">
          <cell r="I12">
            <v>98.314511323292791</v>
          </cell>
        </row>
        <row r="13">
          <cell r="I13">
            <v>97.922547536667238</v>
          </cell>
        </row>
      </sheetData>
      <sheetData sheetId="1">
        <row r="10">
          <cell r="I10">
            <v>96.654039768784585</v>
          </cell>
        </row>
        <row r="11">
          <cell r="I11">
            <v>97.626897597506286</v>
          </cell>
        </row>
        <row r="12">
          <cell r="I12">
            <v>96.897954070494137</v>
          </cell>
        </row>
        <row r="13">
          <cell r="I13">
            <v>97.197790342769324</v>
          </cell>
        </row>
        <row r="14">
          <cell r="I14">
            <v>126.64369016344237</v>
          </cell>
        </row>
        <row r="15">
          <cell r="I15">
            <v>96.838505772060998</v>
          </cell>
        </row>
      </sheetData>
      <sheetData sheetId="2">
        <row r="10">
          <cell r="I10">
            <v>93.401228986840337</v>
          </cell>
        </row>
        <row r="11">
          <cell r="I11">
            <v>98.002281531234885</v>
          </cell>
        </row>
        <row r="12">
          <cell r="I12">
            <v>98.835486091836955</v>
          </cell>
        </row>
        <row r="13">
          <cell r="I13">
            <v>98.759890407896819</v>
          </cell>
        </row>
      </sheetData>
      <sheetData sheetId="3">
        <row r="10">
          <cell r="I10">
            <v>99.702074763387657</v>
          </cell>
        </row>
        <row r="11">
          <cell r="I11">
            <v>100.90814824842866</v>
          </cell>
        </row>
        <row r="12">
          <cell r="I12">
            <v>99.144516581875834</v>
          </cell>
        </row>
        <row r="13">
          <cell r="I13">
            <v>98.812178600360937</v>
          </cell>
        </row>
        <row r="16">
          <cell r="I16">
            <v>93.753343561859964</v>
          </cell>
        </row>
        <row r="17">
          <cell r="I17">
            <v>97.360391272612617</v>
          </cell>
        </row>
      </sheetData>
      <sheetData sheetId="4"/>
      <sheetData sheetId="5"/>
      <sheetData sheetId="6">
        <row r="10">
          <cell r="I10">
            <v>94.68833319503716</v>
          </cell>
        </row>
        <row r="13">
          <cell r="I13">
            <v>98.850612416982429</v>
          </cell>
        </row>
        <row r="14">
          <cell r="I14">
            <v>98.168169114883824</v>
          </cell>
        </row>
        <row r="15">
          <cell r="I15">
            <v>98.688171350132521</v>
          </cell>
        </row>
        <row r="16">
          <cell r="I16">
            <v>100.71464055677211</v>
          </cell>
        </row>
        <row r="19">
          <cell r="I19">
            <v>96.029058348682</v>
          </cell>
        </row>
        <row r="20">
          <cell r="I20">
            <v>98.795135429785148</v>
          </cell>
        </row>
        <row r="21">
          <cell r="I21">
            <v>98.899033336355927</v>
          </cell>
        </row>
      </sheetData>
      <sheetData sheetId="7">
        <row r="10">
          <cell r="I10">
            <v>99.276637163611909</v>
          </cell>
        </row>
        <row r="11">
          <cell r="I11">
            <v>97.944376518529467</v>
          </cell>
        </row>
        <row r="12">
          <cell r="I12">
            <v>99.66217750211139</v>
          </cell>
        </row>
        <row r="13">
          <cell r="I13">
            <v>97.944376518529467</v>
          </cell>
        </row>
        <row r="14">
          <cell r="I14">
            <v>98.891096825112442</v>
          </cell>
        </row>
        <row r="17">
          <cell r="I17">
            <v>96.699606498403327</v>
          </cell>
        </row>
        <row r="18">
          <cell r="I18">
            <v>98.974669332616003</v>
          </cell>
        </row>
        <row r="19">
          <cell r="I19">
            <v>98.813320450261855</v>
          </cell>
        </row>
        <row r="20">
          <cell r="I20">
            <v>98.773909354253703</v>
          </cell>
        </row>
      </sheetData>
      <sheetData sheetId="8">
        <row r="10">
          <cell r="I10">
            <v>96.114465070299261</v>
          </cell>
        </row>
        <row r="11">
          <cell r="I11">
            <v>98.703671213689944</v>
          </cell>
        </row>
        <row r="12">
          <cell r="I12">
            <v>100.02066383926034</v>
          </cell>
        </row>
        <row r="13">
          <cell r="I13">
            <v>98.477044369894685</v>
          </cell>
        </row>
        <row r="14">
          <cell r="I14">
            <v>98.898737757590524</v>
          </cell>
        </row>
        <row r="15">
          <cell r="I15">
            <v>98.824177713880189</v>
          </cell>
        </row>
        <row r="16">
          <cell r="I16">
            <v>98.590372337038914</v>
          </cell>
        </row>
        <row r="17">
          <cell r="I17">
            <v>98.637973628130041</v>
          </cell>
        </row>
        <row r="18">
          <cell r="I18">
            <v>98.892528564617351</v>
          </cell>
        </row>
      </sheetData>
      <sheetData sheetId="9">
        <row r="10">
          <cell r="I10">
            <v>95.033114450535422</v>
          </cell>
        </row>
        <row r="11">
          <cell r="I11">
            <v>95.97632563766723</v>
          </cell>
        </row>
        <row r="12">
          <cell r="I12">
            <v>95.15577872519269</v>
          </cell>
        </row>
        <row r="13">
          <cell r="I13">
            <v>94.716849623972706</v>
          </cell>
        </row>
      </sheetData>
      <sheetData sheetId="10">
        <row r="10">
          <cell r="I10">
            <v>93.262012146617025</v>
          </cell>
        </row>
        <row r="11">
          <cell r="I11">
            <v>96.51966443717626</v>
          </cell>
        </row>
        <row r="12">
          <cell r="I12">
            <v>96.420162775074274</v>
          </cell>
        </row>
        <row r="13">
          <cell r="I13">
            <v>94.850777050345258</v>
          </cell>
        </row>
        <row r="14">
          <cell r="I14">
            <v>93.11184471354899</v>
          </cell>
        </row>
        <row r="15">
          <cell r="I15">
            <v>95.233332316878489</v>
          </cell>
        </row>
        <row r="16">
          <cell r="I16">
            <v>96.557005255666269</v>
          </cell>
        </row>
        <row r="17">
          <cell r="I17">
            <v>90.296683351916798</v>
          </cell>
        </row>
      </sheetData>
      <sheetData sheetId="11"/>
      <sheetData sheetId="12">
        <row r="10">
          <cell r="I10">
            <v>96.248353016017901</v>
          </cell>
        </row>
        <row r="11">
          <cell r="I11">
            <v>97.064511461322596</v>
          </cell>
        </row>
        <row r="12">
          <cell r="I12">
            <v>97.960588310011829</v>
          </cell>
        </row>
        <row r="13">
          <cell r="I13">
            <v>101.64563062243221</v>
          </cell>
        </row>
        <row r="16">
          <cell r="I16">
            <v>97.148656534767667</v>
          </cell>
        </row>
        <row r="17">
          <cell r="I17">
            <v>101.13282706862702</v>
          </cell>
        </row>
        <row r="18">
          <cell r="I18">
            <v>98.859340325604236</v>
          </cell>
        </row>
        <row r="19">
          <cell r="I19">
            <v>97.671892686767549</v>
          </cell>
        </row>
        <row r="20">
          <cell r="I20">
            <v>97.795650965100123</v>
          </cell>
        </row>
        <row r="21">
          <cell r="I21">
            <v>97.549177275509706</v>
          </cell>
        </row>
      </sheetData>
      <sheetData sheetId="13">
        <row r="10">
          <cell r="I10">
            <v>90.812413514896079</v>
          </cell>
        </row>
        <row r="11">
          <cell r="I11">
            <v>94.886065993628819</v>
          </cell>
        </row>
        <row r="12">
          <cell r="I12">
            <v>94.665038526850267</v>
          </cell>
        </row>
        <row r="13">
          <cell r="I13">
            <v>95.386395261799493</v>
          </cell>
        </row>
        <row r="14">
          <cell r="I14">
            <v>95.746555809018503</v>
          </cell>
        </row>
        <row r="15">
          <cell r="I15">
            <v>96.458811263569714</v>
          </cell>
        </row>
      </sheetData>
      <sheetData sheetId="14"/>
      <sheetData sheetId="15"/>
      <sheetData sheetId="16">
        <row r="10">
          <cell r="I10">
            <v>92.244154059965609</v>
          </cell>
        </row>
        <row r="11">
          <cell r="I11">
            <v>94.954580288699233</v>
          </cell>
        </row>
        <row r="12">
          <cell r="I12">
            <v>94.753648792324014</v>
          </cell>
        </row>
        <row r="13">
          <cell r="I13">
            <v>95.469672057516448</v>
          </cell>
        </row>
        <row r="16">
          <cell r="I16">
            <v>95.037629150459026</v>
          </cell>
        </row>
        <row r="17">
          <cell r="I17">
            <v>98.344635577363221</v>
          </cell>
        </row>
        <row r="18">
          <cell r="I18">
            <v>96.201930897199915</v>
          </cell>
        </row>
        <row r="19">
          <cell r="I19">
            <v>97.455737205534618</v>
          </cell>
        </row>
      </sheetData>
      <sheetData sheetId="17">
        <row r="10">
          <cell r="I10">
            <v>95.737170130083328</v>
          </cell>
        </row>
        <row r="11">
          <cell r="I11">
            <v>97.204145011682172</v>
          </cell>
        </row>
        <row r="12">
          <cell r="I12">
            <v>97.795650965100123</v>
          </cell>
        </row>
        <row r="13">
          <cell r="I13">
            <v>92.179060669436268</v>
          </cell>
        </row>
        <row r="16">
          <cell r="I16">
            <v>100.56180946337685</v>
          </cell>
        </row>
        <row r="17">
          <cell r="I17">
            <v>98.418170009595116</v>
          </cell>
        </row>
        <row r="18">
          <cell r="I18">
            <v>101.75209232957572</v>
          </cell>
        </row>
        <row r="19">
          <cell r="I19">
            <v>101.90982815614709</v>
          </cell>
        </row>
        <row r="20">
          <cell r="I20">
            <v>98.645399167542877</v>
          </cell>
        </row>
        <row r="21">
          <cell r="I21">
            <v>98.019248385454901</v>
          </cell>
        </row>
        <row r="22">
          <cell r="I22">
            <v>97.631897441591931</v>
          </cell>
        </row>
      </sheetData>
      <sheetData sheetId="18">
        <row r="10">
          <cell r="I10">
            <v>96.330365427788195</v>
          </cell>
        </row>
        <row r="11">
          <cell r="I11">
            <v>96.377132884428931</v>
          </cell>
        </row>
        <row r="14">
          <cell r="I14">
            <v>93.488258370937686</v>
          </cell>
        </row>
        <row r="15">
          <cell r="I15">
            <v>100.81408999243216</v>
          </cell>
        </row>
        <row r="16">
          <cell r="I16">
            <v>98.251697811855152</v>
          </cell>
        </row>
        <row r="17">
          <cell r="I17">
            <v>98.260907082704051</v>
          </cell>
        </row>
        <row r="18">
          <cell r="I18">
            <v>97.874813145247458</v>
          </cell>
        </row>
        <row r="19">
          <cell r="I19">
            <v>96.443322942180714</v>
          </cell>
        </row>
        <row r="20">
          <cell r="I20">
            <v>95.376782036144007</v>
          </cell>
        </row>
        <row r="21">
          <cell r="I21">
            <v>97.722861589047369</v>
          </cell>
        </row>
      </sheetData>
      <sheetData sheetId="19">
        <row r="10">
          <cell r="I10">
            <v>97.344774780858927</v>
          </cell>
        </row>
        <row r="11">
          <cell r="I11">
            <v>99.938000539259747</v>
          </cell>
        </row>
        <row r="12">
          <cell r="I12">
            <v>99.148955916989195</v>
          </cell>
        </row>
        <row r="15">
          <cell r="I15">
            <v>92.353930064406839</v>
          </cell>
        </row>
        <row r="16">
          <cell r="I16">
            <v>97.682055444668023</v>
          </cell>
        </row>
        <row r="17">
          <cell r="I17">
            <v>97.162594227257927</v>
          </cell>
        </row>
        <row r="18">
          <cell r="I18">
            <v>97.082444613255419</v>
          </cell>
        </row>
      </sheetData>
      <sheetData sheetId="20">
        <row r="10">
          <cell r="I10">
            <v>97.743444227837671</v>
          </cell>
        </row>
        <row r="11">
          <cell r="I11">
            <v>100.62303370508012</v>
          </cell>
        </row>
        <row r="12">
          <cell r="I12">
            <v>100.32085756447438</v>
          </cell>
        </row>
        <row r="13">
          <cell r="I13">
            <v>102.21334912318227</v>
          </cell>
        </row>
        <row r="14">
          <cell r="I14">
            <v>102.22340004631398</v>
          </cell>
        </row>
        <row r="15">
          <cell r="I15">
            <v>100.71268145494867</v>
          </cell>
        </row>
        <row r="16">
          <cell r="I16">
            <v>101.60819946880315</v>
          </cell>
        </row>
        <row r="17">
          <cell r="I17">
            <v>99.513054708255964</v>
          </cell>
        </row>
      </sheetData>
      <sheetData sheetId="21">
        <row r="10">
          <cell r="I10">
            <v>95.66367132027942</v>
          </cell>
        </row>
        <row r="11">
          <cell r="I11">
            <v>102.17092463684476</v>
          </cell>
        </row>
        <row r="12">
          <cell r="I12">
            <v>99.720751788720221</v>
          </cell>
        </row>
        <row r="13">
          <cell r="I13">
            <v>99.964453799637965</v>
          </cell>
        </row>
        <row r="14">
          <cell r="I14">
            <v>100.66118230226407</v>
          </cell>
        </row>
        <row r="15">
          <cell r="I15">
            <v>99.195496462717671</v>
          </cell>
        </row>
        <row r="16">
          <cell r="I16">
            <v>100.31967295635533</v>
          </cell>
        </row>
        <row r="17">
          <cell r="I17">
            <v>99.988679850652673</v>
          </cell>
        </row>
        <row r="18">
          <cell r="I18">
            <v>99.769922769334443</v>
          </cell>
        </row>
        <row r="19">
          <cell r="I19">
            <v>100.72177330021805</v>
          </cell>
        </row>
        <row r="20">
          <cell r="I20">
            <v>100.21013716886533</v>
          </cell>
        </row>
      </sheetData>
      <sheetData sheetId="22"/>
      <sheetData sheetId="23"/>
      <sheetData sheetId="24"/>
      <sheetData sheetId="25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May 3rd"/>
      <sheetName val="May 4th"/>
      <sheetName val="May 5th "/>
      <sheetName val="May 6th"/>
      <sheetName val="May 9th"/>
      <sheetName val="May 10th"/>
      <sheetName val="May 11th"/>
      <sheetName val="May 12th"/>
      <sheetName val="May 13th "/>
      <sheetName val="May 16th"/>
      <sheetName val="May 17th "/>
      <sheetName val="May 18th "/>
      <sheetName val="May 19th  "/>
      <sheetName val="May 20th  "/>
      <sheetName val="May 21st"/>
      <sheetName val="May 23rd"/>
      <sheetName val="May 24th"/>
      <sheetName val="May 25th "/>
      <sheetName val="May 26th  "/>
      <sheetName val="May 27th "/>
      <sheetName val="May 30th "/>
      <sheetName val="May 31st"/>
      <sheetName val="MTD_Links"/>
      <sheetName val="YTD_Links"/>
      <sheetName val="KPIs"/>
      <sheetName val="Brewer Performanc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>
        <row r="40">
          <cell r="L40">
            <v>98.589991376020791</v>
          </cell>
        </row>
      </sheetData>
      <sheetData sheetId="22"/>
      <sheetData sheetId="23"/>
      <sheetData sheetId="24"/>
      <sheetData sheetId="25">
        <row r="40">
          <cell r="H40">
            <v>98.517352497406634</v>
          </cell>
        </row>
        <row r="41">
          <cell r="H41">
            <v>98.442574874312371</v>
          </cell>
        </row>
        <row r="43">
          <cell r="H43">
            <v>98.685415156420575</v>
          </cell>
        </row>
      </sheetData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2E6E5198-E2A5-4551-BF7A-1C645E8B97FA}">
  <we:reference id="wa200005502" version="1.0.0.12" store="en-US" storeType="OMEX"/>
  <we:alternateReferences>
    <we:reference id="WA200005502" version="1.0.0.12" store="WA200005502" storeType="OMEX"/>
  </we:alternateReferences>
  <we:properties>
    <we:property name="docId" value="&quot;jTvk0IGNsCs061P7O_mj6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5.xml"/><Relationship Id="rId2" Type="http://schemas.openxmlformats.org/officeDocument/2006/relationships/vmlDrawing" Target="../drawings/vmlDrawing15.v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6.xml"/><Relationship Id="rId2" Type="http://schemas.openxmlformats.org/officeDocument/2006/relationships/vmlDrawing" Target="../drawings/vmlDrawing16.v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7.xml"/><Relationship Id="rId2" Type="http://schemas.openxmlformats.org/officeDocument/2006/relationships/vmlDrawing" Target="../drawings/vmlDrawing17.v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8.xml"/><Relationship Id="rId2" Type="http://schemas.openxmlformats.org/officeDocument/2006/relationships/vmlDrawing" Target="../drawings/vmlDrawing18.v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9.xml"/><Relationship Id="rId2" Type="http://schemas.openxmlformats.org/officeDocument/2006/relationships/vmlDrawing" Target="../drawings/vmlDrawing19.v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comments" Target="../comments20.xml"/><Relationship Id="rId2" Type="http://schemas.openxmlformats.org/officeDocument/2006/relationships/vmlDrawing" Target="../drawings/vmlDrawing20.v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comments" Target="../comments21.xml"/><Relationship Id="rId2" Type="http://schemas.openxmlformats.org/officeDocument/2006/relationships/vmlDrawing" Target="../drawings/vmlDrawing21.v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2.xml"/><Relationship Id="rId2" Type="http://schemas.openxmlformats.org/officeDocument/2006/relationships/vmlDrawing" Target="../drawings/vmlDrawing22.v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3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6.bin"/><Relationship Id="rId4" Type="http://schemas.openxmlformats.org/officeDocument/2006/relationships/comments" Target="../comments2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0B8A64-1E4B-4795-93AF-1113C3B47C6F}">
  <sheetPr codeName="Sheet1">
    <pageSetUpPr fitToPage="1"/>
  </sheetPr>
  <dimension ref="A1:BF110"/>
  <sheetViews>
    <sheetView zoomScale="80" zoomScaleNormal="80" workbookViewId="0">
      <selection activeCell="G90" sqref="G90"/>
    </sheetView>
  </sheetViews>
  <sheetFormatPr defaultColWidth="9.42578125" defaultRowHeight="14.25"/>
  <cols>
    <col min="1" max="1" width="3.42578125" style="275" customWidth="1"/>
    <col min="2" max="2" width="20.7109375" style="275" customWidth="1"/>
    <col min="3" max="3" width="13.42578125" style="275" customWidth="1"/>
    <col min="4" max="4" width="11.5703125" style="275" customWidth="1"/>
    <col min="5" max="5" width="12.42578125" style="275" customWidth="1"/>
    <col min="6" max="6" width="11.42578125" style="275" customWidth="1"/>
    <col min="7" max="7" width="13.42578125" style="275" customWidth="1"/>
    <col min="8" max="8" width="12.42578125" style="275" customWidth="1"/>
    <col min="9" max="9" width="17.5703125" style="275" customWidth="1"/>
    <col min="10" max="10" width="25.28515625" style="275" customWidth="1"/>
    <col min="11" max="11" width="18.5703125" style="275" customWidth="1"/>
    <col min="12" max="12" width="15.7109375" style="275" customWidth="1"/>
    <col min="13" max="13" width="27.5703125" style="275" customWidth="1"/>
    <col min="14" max="14" width="13.28515625" style="275" customWidth="1"/>
    <col min="15" max="15" width="19.42578125" style="275" customWidth="1"/>
    <col min="16" max="16" width="36.5703125" style="6" customWidth="1"/>
    <col min="17" max="17" width="14" style="275" hidden="1" customWidth="1"/>
    <col min="18" max="18" width="16.5703125" style="275" customWidth="1"/>
    <col min="19" max="19" width="15.7109375" style="275" bestFit="1" customWidth="1"/>
    <col min="20" max="20" width="12.42578125" style="275" customWidth="1"/>
    <col min="21" max="21" width="15" style="275" customWidth="1"/>
    <col min="22" max="22" width="12" style="275" customWidth="1"/>
    <col min="23" max="23" width="10.42578125" style="275" customWidth="1"/>
    <col min="24" max="24" width="11.42578125" style="275" customWidth="1"/>
    <col min="25" max="25" width="10.42578125" style="275" customWidth="1"/>
    <col min="26" max="26" width="8.42578125" style="275" customWidth="1"/>
    <col min="27" max="27" width="9.5703125" style="275" customWidth="1"/>
    <col min="28" max="28" width="8.42578125" style="275" customWidth="1"/>
    <col min="29" max="30" width="7.5703125" style="275" customWidth="1"/>
    <col min="31" max="52" width="9.42578125" style="275"/>
    <col min="53" max="53" width="1.5703125" style="275" customWidth="1"/>
    <col min="54" max="55" width="9.42578125" style="275"/>
    <col min="56" max="57" width="15.42578125" style="275" customWidth="1"/>
    <col min="58" max="16384" width="9.42578125" style="275"/>
  </cols>
  <sheetData>
    <row r="1" spans="2:30" ht="1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S1" s="3"/>
      <c r="T1" s="559" t="s">
        <v>0</v>
      </c>
      <c r="U1" s="559"/>
      <c r="V1" s="559" t="s">
        <v>1</v>
      </c>
      <c r="W1" s="559"/>
      <c r="X1" s="559" t="s">
        <v>2</v>
      </c>
      <c r="Y1" s="559"/>
      <c r="Z1" s="559" t="s">
        <v>124</v>
      </c>
      <c r="AA1" s="559"/>
    </row>
    <row r="2" spans="2:30" ht="15">
      <c r="B2" s="554" t="s">
        <v>3</v>
      </c>
      <c r="C2" s="554"/>
      <c r="D2" s="554"/>
      <c r="E2" s="554"/>
      <c r="F2" s="554"/>
      <c r="G2" s="554"/>
      <c r="H2" s="554"/>
      <c r="I2" s="554"/>
      <c r="J2" s="554"/>
      <c r="K2" s="554"/>
      <c r="L2" s="554"/>
      <c r="M2" s="554"/>
      <c r="N2" s="554"/>
      <c r="O2" s="554"/>
      <c r="P2" s="4"/>
      <c r="S2" s="3"/>
      <c r="T2" s="3" t="s">
        <v>4</v>
      </c>
      <c r="U2" s="3" t="s">
        <v>5</v>
      </c>
      <c r="V2" s="3" t="s">
        <v>4</v>
      </c>
      <c r="W2" s="3" t="s">
        <v>5</v>
      </c>
      <c r="X2" s="3" t="s">
        <v>4</v>
      </c>
      <c r="Y2" s="3" t="s">
        <v>5</v>
      </c>
      <c r="Z2" s="3" t="s">
        <v>4</v>
      </c>
      <c r="AA2" s="3" t="s">
        <v>5</v>
      </c>
    </row>
    <row r="3" spans="2:30" ht="14.25" customHeight="1">
      <c r="B3" s="5"/>
      <c r="S3" s="3" t="s">
        <v>6</v>
      </c>
      <c r="T3" s="7">
        <v>11.6</v>
      </c>
      <c r="U3" s="8">
        <v>12</v>
      </c>
      <c r="V3" s="9">
        <v>0</v>
      </c>
      <c r="W3" s="10">
        <v>0.118055555555556</v>
      </c>
      <c r="X3" s="10">
        <v>0.17361111111111113</v>
      </c>
      <c r="Y3" s="10">
        <v>0.21180555555555555</v>
      </c>
      <c r="Z3" s="273">
        <v>0</v>
      </c>
      <c r="AA3" s="7">
        <v>60</v>
      </c>
      <c r="AC3" s="275" t="s">
        <v>135</v>
      </c>
    </row>
    <row r="4" spans="2:30" ht="30.75" customHeight="1">
      <c r="B4" s="301" t="s">
        <v>133</v>
      </c>
      <c r="C4" s="549">
        <v>45278</v>
      </c>
      <c r="D4" s="549"/>
      <c r="J4" s="557" t="s">
        <v>153</v>
      </c>
      <c r="K4" s="557"/>
      <c r="L4" s="11"/>
      <c r="M4" s="555" t="s">
        <v>8</v>
      </c>
      <c r="N4" s="556"/>
      <c r="P4" s="12"/>
      <c r="S4" s="3" t="s">
        <v>9</v>
      </c>
      <c r="T4" s="7">
        <v>11.6</v>
      </c>
      <c r="U4" s="8">
        <v>12</v>
      </c>
      <c r="V4" s="9">
        <v>0</v>
      </c>
      <c r="W4" s="10">
        <v>0.118055555555556</v>
      </c>
      <c r="X4" s="10">
        <v>0.17361111111111113</v>
      </c>
      <c r="Y4" s="10">
        <v>0.21180555555555555</v>
      </c>
      <c r="Z4" s="273">
        <v>0</v>
      </c>
      <c r="AA4" s="7">
        <v>60</v>
      </c>
      <c r="AB4" s="13"/>
      <c r="AC4" s="13"/>
      <c r="AD4" s="13"/>
    </row>
    <row r="5" spans="2:30" ht="12.75" customHeight="1" thickBot="1">
      <c r="B5" s="1"/>
      <c r="C5" s="1"/>
      <c r="D5" s="1"/>
      <c r="J5" s="558"/>
      <c r="K5" s="558"/>
      <c r="L5" s="11"/>
      <c r="M5" s="14" t="s">
        <v>10</v>
      </c>
      <c r="N5" s="14" t="s">
        <v>11</v>
      </c>
      <c r="P5" s="12"/>
      <c r="S5" s="3" t="s">
        <v>12</v>
      </c>
      <c r="T5" s="7">
        <v>17</v>
      </c>
      <c r="U5" s="8">
        <v>17.5</v>
      </c>
      <c r="V5" s="9">
        <v>0</v>
      </c>
      <c r="W5" s="10">
        <v>0.1076388888888889</v>
      </c>
      <c r="X5" s="10">
        <v>0.19444444444444445</v>
      </c>
      <c r="Y5" s="10">
        <v>0.23263888888888887</v>
      </c>
      <c r="Z5" s="273">
        <v>0</v>
      </c>
      <c r="AA5" s="274">
        <v>60</v>
      </c>
      <c r="AB5" s="13"/>
      <c r="AC5" s="13"/>
      <c r="AD5" s="13"/>
    </row>
    <row r="6" spans="2:30" ht="14.25" customHeight="1">
      <c r="B6" s="15"/>
      <c r="C6" s="1"/>
      <c r="D6" s="1"/>
      <c r="J6" s="560" t="s">
        <v>151</v>
      </c>
      <c r="K6" s="561"/>
      <c r="L6" s="311" t="s">
        <v>14</v>
      </c>
      <c r="M6" s="340"/>
      <c r="N6" s="340"/>
      <c r="P6" s="16"/>
      <c r="S6" s="3" t="s">
        <v>15</v>
      </c>
      <c r="T6" s="7">
        <v>13.3</v>
      </c>
      <c r="U6" s="8">
        <v>13.5</v>
      </c>
      <c r="V6" s="9">
        <v>0</v>
      </c>
      <c r="W6" s="9">
        <v>0.12905092592592593</v>
      </c>
      <c r="X6" s="10">
        <v>0.22222222222222221</v>
      </c>
      <c r="Y6" s="10">
        <v>0.25347222222222221</v>
      </c>
      <c r="Z6" s="273">
        <v>0</v>
      </c>
      <c r="AA6" s="274"/>
      <c r="AB6" s="13"/>
      <c r="AC6" s="13"/>
      <c r="AD6" s="13"/>
    </row>
    <row r="7" spans="2:30" ht="13.35" customHeight="1" thickBot="1">
      <c r="J7" s="562"/>
      <c r="K7" s="563"/>
      <c r="S7" s="3" t="s">
        <v>16</v>
      </c>
      <c r="T7" s="7">
        <v>17.100000000000001</v>
      </c>
      <c r="U7" s="8">
        <v>17.5</v>
      </c>
      <c r="V7" s="9">
        <v>0</v>
      </c>
      <c r="W7" s="9">
        <v>0.13605324074074074</v>
      </c>
      <c r="X7" s="10">
        <v>0.20833333333333334</v>
      </c>
      <c r="Y7" s="10">
        <v>0.24305555555555555</v>
      </c>
      <c r="Z7" s="273">
        <v>0</v>
      </c>
      <c r="AA7" s="274">
        <v>60</v>
      </c>
      <c r="AB7" s="13"/>
      <c r="AC7" s="13"/>
      <c r="AD7" s="13"/>
    </row>
    <row r="8" spans="2:30" ht="25.5" customHeight="1">
      <c r="B8" s="507" t="s">
        <v>17</v>
      </c>
      <c r="C8" s="516" t="s">
        <v>18</v>
      </c>
      <c r="D8" s="516" t="s">
        <v>19</v>
      </c>
      <c r="E8" s="356" t="s">
        <v>20</v>
      </c>
      <c r="F8" s="356" t="s">
        <v>21</v>
      </c>
      <c r="G8" s="516" t="s">
        <v>22</v>
      </c>
      <c r="H8" s="551" t="s">
        <v>144</v>
      </c>
      <c r="I8" s="516" t="s">
        <v>152</v>
      </c>
      <c r="J8" s="542" t="s">
        <v>23</v>
      </c>
      <c r="K8" s="544" t="s">
        <v>142</v>
      </c>
      <c r="L8" s="546" t="s">
        <v>24</v>
      </c>
      <c r="M8" s="359" t="s">
        <v>25</v>
      </c>
      <c r="N8" s="17" t="s">
        <v>26</v>
      </c>
      <c r="O8" s="516"/>
      <c r="P8" s="509" t="s">
        <v>28</v>
      </c>
      <c r="Q8" s="565" t="s">
        <v>126</v>
      </c>
      <c r="R8" s="18"/>
      <c r="S8" s="3" t="s">
        <v>125</v>
      </c>
      <c r="T8" s="7">
        <v>16.600000000000001</v>
      </c>
      <c r="U8" s="8">
        <v>17</v>
      </c>
      <c r="V8" s="9">
        <v>0</v>
      </c>
      <c r="W8" s="9">
        <v>0.12905092592592593</v>
      </c>
      <c r="X8" s="10">
        <v>0.22222222222222221</v>
      </c>
      <c r="Y8" s="10">
        <v>0.25347222222222221</v>
      </c>
      <c r="Z8" s="273">
        <v>0</v>
      </c>
      <c r="AA8" s="274"/>
      <c r="AB8" s="19"/>
    </row>
    <row r="9" spans="2:30" ht="34.5" customHeight="1">
      <c r="B9" s="550"/>
      <c r="C9" s="541"/>
      <c r="D9" s="541"/>
      <c r="E9" s="357" t="s">
        <v>30</v>
      </c>
      <c r="F9" s="357" t="s">
        <v>31</v>
      </c>
      <c r="G9" s="541"/>
      <c r="H9" s="552"/>
      <c r="I9" s="541"/>
      <c r="J9" s="543"/>
      <c r="K9" s="545"/>
      <c r="L9" s="547"/>
      <c r="M9" s="20" t="s">
        <v>32</v>
      </c>
      <c r="N9" s="21" t="s">
        <v>41</v>
      </c>
      <c r="O9" s="541"/>
      <c r="P9" s="564"/>
      <c r="Q9" s="566"/>
      <c r="R9" s="18"/>
      <c r="S9" s="3" t="s">
        <v>33</v>
      </c>
      <c r="T9" s="7">
        <v>14.4</v>
      </c>
      <c r="U9" s="8">
        <v>14.6</v>
      </c>
      <c r="V9" s="9">
        <v>0</v>
      </c>
      <c r="W9" s="9">
        <v>0.13905092592592591</v>
      </c>
      <c r="X9" s="10">
        <v>0.19097222222222221</v>
      </c>
      <c r="Y9" s="10">
        <v>0.22569444444444445</v>
      </c>
      <c r="Z9" s="273">
        <v>0</v>
      </c>
      <c r="AA9" s="274">
        <v>75</v>
      </c>
      <c r="AB9" s="19"/>
    </row>
    <row r="10" spans="2:30" ht="15.75" hidden="1" customHeight="1">
      <c r="B10" s="34"/>
      <c r="C10" s="366"/>
      <c r="D10" s="279"/>
      <c r="E10" s="279"/>
      <c r="F10" s="278"/>
      <c r="G10" s="279"/>
      <c r="H10" s="394"/>
      <c r="I10" s="368"/>
      <c r="J10" s="368"/>
      <c r="K10" s="281"/>
      <c r="L10" s="276"/>
      <c r="M10" s="395"/>
      <c r="N10" s="370"/>
      <c r="O10" s="371"/>
      <c r="P10" s="375"/>
      <c r="Q10" s="347"/>
      <c r="S10" s="277">
        <f t="shared" ref="S10:S47" si="0">B10</f>
        <v>0</v>
      </c>
      <c r="T10" s="296" t="e">
        <f t="shared" ref="T10:T47" si="1">VLOOKUP($B10,$S$3:$Y$9,2,FALSE)</f>
        <v>#N/A</v>
      </c>
      <c r="U10" s="296" t="e">
        <f t="shared" ref="U10:U47" si="2">VLOOKUP($B10,$S$3:$Y$9,3,FALSE)</f>
        <v>#N/A</v>
      </c>
      <c r="V10" s="297" t="e">
        <f t="shared" ref="V10:V47" si="3">VLOOKUP($B10,$S$3:$Y$9,4,FALSE)</f>
        <v>#N/A</v>
      </c>
      <c r="W10" s="297" t="e">
        <f t="shared" ref="W10:W47" si="4">VLOOKUP($B10,$S$3:$Y$9,5,FALSE)</f>
        <v>#N/A</v>
      </c>
      <c r="X10" s="297" t="e">
        <f t="shared" ref="X10:X47" si="5">VLOOKUP($B10,$S$3:$Y$9,6,FALSE)</f>
        <v>#N/A</v>
      </c>
      <c r="Y10" s="297" t="e">
        <f t="shared" ref="Y10:Y47" si="6">VLOOKUP($B10,$S$3:$Y$9,7,FALSE)</f>
        <v>#N/A</v>
      </c>
      <c r="Z10" s="297" t="e">
        <f t="shared" ref="Z10:Z47" si="7">VLOOKUP($B10,$S$3:$AA$9,8,FALSE)</f>
        <v>#N/A</v>
      </c>
      <c r="AA10" s="296" t="e">
        <f t="shared" ref="AA10:AA47" si="8">VLOOKUP($B10,$S$3:$AA$9,9,FALSE)</f>
        <v>#N/A</v>
      </c>
    </row>
    <row r="11" spans="2:30" ht="15" hidden="1">
      <c r="B11" s="34"/>
      <c r="C11" s="366"/>
      <c r="D11" s="279"/>
      <c r="E11" s="279"/>
      <c r="F11" s="278"/>
      <c r="G11" s="279"/>
      <c r="H11" s="394"/>
      <c r="I11" s="368"/>
      <c r="J11" s="368"/>
      <c r="K11" s="281"/>
      <c r="L11" s="276"/>
      <c r="M11" s="395"/>
      <c r="N11" s="370"/>
      <c r="O11" s="371"/>
      <c r="P11" s="369"/>
      <c r="Q11" s="347"/>
      <c r="S11" s="277">
        <f t="shared" si="0"/>
        <v>0</v>
      </c>
      <c r="T11" s="296" t="e">
        <f t="shared" si="1"/>
        <v>#N/A</v>
      </c>
      <c r="U11" s="296" t="e">
        <f t="shared" si="2"/>
        <v>#N/A</v>
      </c>
      <c r="V11" s="297" t="e">
        <f t="shared" si="3"/>
        <v>#N/A</v>
      </c>
      <c r="W11" s="297" t="e">
        <f t="shared" si="4"/>
        <v>#N/A</v>
      </c>
      <c r="X11" s="297" t="e">
        <f t="shared" si="5"/>
        <v>#N/A</v>
      </c>
      <c r="Y11" s="297" t="e">
        <f t="shared" si="6"/>
        <v>#N/A</v>
      </c>
      <c r="Z11" s="297" t="e">
        <f t="shared" si="7"/>
        <v>#N/A</v>
      </c>
      <c r="AA11" s="296" t="e">
        <f t="shared" si="8"/>
        <v>#N/A</v>
      </c>
    </row>
    <row r="12" spans="2:30" ht="15" hidden="1">
      <c r="B12" s="34"/>
      <c r="C12" s="366"/>
      <c r="D12" s="279"/>
      <c r="E12" s="279"/>
      <c r="F12" s="278"/>
      <c r="G12" s="279"/>
      <c r="H12" s="394"/>
      <c r="I12" s="368"/>
      <c r="J12" s="368"/>
      <c r="K12" s="281"/>
      <c r="L12" s="276"/>
      <c r="M12" s="395"/>
      <c r="N12" s="370"/>
      <c r="O12" s="371"/>
      <c r="P12" s="369"/>
      <c r="Q12" s="347"/>
      <c r="S12" s="277">
        <f t="shared" si="0"/>
        <v>0</v>
      </c>
      <c r="T12" s="296" t="e">
        <f t="shared" si="1"/>
        <v>#N/A</v>
      </c>
      <c r="U12" s="296" t="e">
        <f t="shared" si="2"/>
        <v>#N/A</v>
      </c>
      <c r="V12" s="297" t="e">
        <f t="shared" si="3"/>
        <v>#N/A</v>
      </c>
      <c r="W12" s="297" t="e">
        <f t="shared" si="4"/>
        <v>#N/A</v>
      </c>
      <c r="X12" s="297" t="e">
        <f t="shared" si="5"/>
        <v>#N/A</v>
      </c>
      <c r="Y12" s="297" t="e">
        <f t="shared" si="6"/>
        <v>#N/A</v>
      </c>
      <c r="Z12" s="297" t="e">
        <f t="shared" si="7"/>
        <v>#N/A</v>
      </c>
      <c r="AA12" s="296" t="e">
        <f t="shared" si="8"/>
        <v>#N/A</v>
      </c>
    </row>
    <row r="13" spans="2:30" ht="15.75" hidden="1" customHeight="1">
      <c r="B13" s="393"/>
      <c r="C13" s="366"/>
      <c r="D13" s="279"/>
      <c r="E13" s="279"/>
      <c r="F13" s="278"/>
      <c r="G13" s="279"/>
      <c r="H13" s="394"/>
      <c r="I13" s="368"/>
      <c r="J13" s="368"/>
      <c r="K13" s="281"/>
      <c r="L13" s="276"/>
      <c r="M13" s="395"/>
      <c r="N13" s="370"/>
      <c r="O13" s="371"/>
      <c r="P13" s="375"/>
      <c r="Q13" s="347"/>
      <c r="S13" s="277">
        <f t="shared" si="0"/>
        <v>0</v>
      </c>
      <c r="T13" s="296" t="e">
        <f t="shared" si="1"/>
        <v>#N/A</v>
      </c>
      <c r="U13" s="296" t="e">
        <f t="shared" si="2"/>
        <v>#N/A</v>
      </c>
      <c r="V13" s="297" t="e">
        <f t="shared" si="3"/>
        <v>#N/A</v>
      </c>
      <c r="W13" s="297" t="e">
        <f t="shared" si="4"/>
        <v>#N/A</v>
      </c>
      <c r="X13" s="297" t="e">
        <f t="shared" si="5"/>
        <v>#N/A</v>
      </c>
      <c r="Y13" s="297" t="e">
        <f t="shared" si="6"/>
        <v>#N/A</v>
      </c>
      <c r="Z13" s="297" t="e">
        <f t="shared" si="7"/>
        <v>#N/A</v>
      </c>
      <c r="AA13" s="296" t="e">
        <f t="shared" si="8"/>
        <v>#N/A</v>
      </c>
    </row>
    <row r="14" spans="2:30" ht="15.75" hidden="1" customHeight="1">
      <c r="B14" s="34"/>
      <c r="C14" s="366"/>
      <c r="D14" s="279"/>
      <c r="E14" s="279"/>
      <c r="F14" s="278"/>
      <c r="G14" s="279"/>
      <c r="H14" s="394"/>
      <c r="I14" s="368"/>
      <c r="J14" s="368"/>
      <c r="K14" s="281"/>
      <c r="L14" s="276"/>
      <c r="M14" s="395"/>
      <c r="N14" s="370"/>
      <c r="O14" s="371"/>
      <c r="P14" s="375"/>
      <c r="Q14" s="347"/>
      <c r="S14" s="277">
        <f t="shared" si="0"/>
        <v>0</v>
      </c>
      <c r="T14" s="296" t="e">
        <f t="shared" si="1"/>
        <v>#N/A</v>
      </c>
      <c r="U14" s="296" t="e">
        <f t="shared" si="2"/>
        <v>#N/A</v>
      </c>
      <c r="V14" s="297" t="e">
        <f t="shared" si="3"/>
        <v>#N/A</v>
      </c>
      <c r="W14" s="297" t="e">
        <f t="shared" si="4"/>
        <v>#N/A</v>
      </c>
      <c r="X14" s="297" t="e">
        <f t="shared" si="5"/>
        <v>#N/A</v>
      </c>
      <c r="Y14" s="297" t="e">
        <f t="shared" si="6"/>
        <v>#N/A</v>
      </c>
      <c r="Z14" s="297" t="e">
        <f t="shared" si="7"/>
        <v>#N/A</v>
      </c>
      <c r="AA14" s="296" t="e">
        <f t="shared" si="8"/>
        <v>#N/A</v>
      </c>
    </row>
    <row r="15" spans="2:30" ht="15.75" hidden="1" customHeight="1">
      <c r="B15" s="373"/>
      <c r="C15" s="366"/>
      <c r="D15" s="279"/>
      <c r="E15" s="279"/>
      <c r="F15" s="278"/>
      <c r="G15" s="383"/>
      <c r="H15" s="367"/>
      <c r="I15" s="368"/>
      <c r="J15" s="368"/>
      <c r="K15" s="281"/>
      <c r="L15" s="276"/>
      <c r="M15" s="374"/>
      <c r="N15" s="370"/>
      <c r="O15" s="371"/>
      <c r="P15" s="375"/>
      <c r="Q15" s="347"/>
      <c r="S15" s="277">
        <f t="shared" si="0"/>
        <v>0</v>
      </c>
      <c r="T15" s="296" t="e">
        <f t="shared" si="1"/>
        <v>#N/A</v>
      </c>
      <c r="U15" s="296" t="e">
        <f t="shared" si="2"/>
        <v>#N/A</v>
      </c>
      <c r="V15" s="297" t="e">
        <f t="shared" si="3"/>
        <v>#N/A</v>
      </c>
      <c r="W15" s="297" t="e">
        <f t="shared" si="4"/>
        <v>#N/A</v>
      </c>
      <c r="X15" s="297" t="e">
        <f t="shared" si="5"/>
        <v>#N/A</v>
      </c>
      <c r="Y15" s="297" t="e">
        <f t="shared" si="6"/>
        <v>#N/A</v>
      </c>
      <c r="Z15" s="297" t="e">
        <f t="shared" si="7"/>
        <v>#N/A</v>
      </c>
      <c r="AA15" s="296" t="e">
        <f t="shared" si="8"/>
        <v>#N/A</v>
      </c>
    </row>
    <row r="16" spans="2:30" ht="15.75" hidden="1" customHeight="1">
      <c r="B16" s="373"/>
      <c r="C16" s="366"/>
      <c r="D16" s="279"/>
      <c r="E16" s="279"/>
      <c r="F16" s="278"/>
      <c r="G16" s="383"/>
      <c r="H16" s="367"/>
      <c r="I16" s="368"/>
      <c r="J16" s="368"/>
      <c r="K16" s="281"/>
      <c r="L16" s="276"/>
      <c r="M16" s="374"/>
      <c r="N16" s="370"/>
      <c r="O16" s="371"/>
      <c r="P16" s="375"/>
      <c r="Q16" s="347"/>
      <c r="S16" s="277">
        <f t="shared" si="0"/>
        <v>0</v>
      </c>
      <c r="T16" s="296" t="e">
        <f t="shared" si="1"/>
        <v>#N/A</v>
      </c>
      <c r="U16" s="296" t="e">
        <f t="shared" si="2"/>
        <v>#N/A</v>
      </c>
      <c r="V16" s="297" t="e">
        <f t="shared" si="3"/>
        <v>#N/A</v>
      </c>
      <c r="W16" s="297" t="e">
        <f t="shared" si="4"/>
        <v>#N/A</v>
      </c>
      <c r="X16" s="297" t="e">
        <f t="shared" si="5"/>
        <v>#N/A</v>
      </c>
      <c r="Y16" s="297" t="e">
        <f t="shared" si="6"/>
        <v>#N/A</v>
      </c>
      <c r="Z16" s="297" t="e">
        <f t="shared" si="7"/>
        <v>#N/A</v>
      </c>
      <c r="AA16" s="296" t="e">
        <f t="shared" si="8"/>
        <v>#N/A</v>
      </c>
    </row>
    <row r="17" spans="2:27" ht="15.75" hidden="1" customHeight="1">
      <c r="B17" s="373"/>
      <c r="C17" s="366"/>
      <c r="D17" s="279"/>
      <c r="E17" s="279"/>
      <c r="F17" s="278"/>
      <c r="G17" s="383"/>
      <c r="H17" s="367"/>
      <c r="I17" s="368"/>
      <c r="J17" s="368"/>
      <c r="K17" s="281"/>
      <c r="L17" s="276"/>
      <c r="M17" s="374"/>
      <c r="N17" s="370"/>
      <c r="O17" s="371"/>
      <c r="P17" s="375"/>
      <c r="Q17" s="347"/>
      <c r="S17" s="277">
        <f t="shared" si="0"/>
        <v>0</v>
      </c>
      <c r="T17" s="296" t="e">
        <f t="shared" si="1"/>
        <v>#N/A</v>
      </c>
      <c r="U17" s="296" t="e">
        <f t="shared" si="2"/>
        <v>#N/A</v>
      </c>
      <c r="V17" s="297" t="e">
        <f t="shared" si="3"/>
        <v>#N/A</v>
      </c>
      <c r="W17" s="297" t="e">
        <f t="shared" si="4"/>
        <v>#N/A</v>
      </c>
      <c r="X17" s="297" t="e">
        <f t="shared" si="5"/>
        <v>#N/A</v>
      </c>
      <c r="Y17" s="297" t="e">
        <f t="shared" si="6"/>
        <v>#N/A</v>
      </c>
      <c r="Z17" s="297" t="e">
        <f t="shared" si="7"/>
        <v>#N/A</v>
      </c>
      <c r="AA17" s="296" t="e">
        <f t="shared" si="8"/>
        <v>#N/A</v>
      </c>
    </row>
    <row r="18" spans="2:27" ht="15.75" hidden="1" customHeight="1">
      <c r="B18" s="373"/>
      <c r="C18" s="366"/>
      <c r="D18" s="279"/>
      <c r="E18" s="279"/>
      <c r="F18" s="278"/>
      <c r="G18" s="383"/>
      <c r="H18" s="367"/>
      <c r="I18" s="368"/>
      <c r="J18" s="368"/>
      <c r="K18" s="281"/>
      <c r="L18" s="276"/>
      <c r="M18" s="374"/>
      <c r="N18" s="370"/>
      <c r="O18" s="371"/>
      <c r="P18" s="375"/>
      <c r="Q18" s="347"/>
      <c r="S18" s="277">
        <f t="shared" si="0"/>
        <v>0</v>
      </c>
      <c r="T18" s="296" t="e">
        <f t="shared" si="1"/>
        <v>#N/A</v>
      </c>
      <c r="U18" s="296" t="e">
        <f t="shared" si="2"/>
        <v>#N/A</v>
      </c>
      <c r="V18" s="297" t="e">
        <f t="shared" si="3"/>
        <v>#N/A</v>
      </c>
      <c r="W18" s="297" t="e">
        <f t="shared" si="4"/>
        <v>#N/A</v>
      </c>
      <c r="X18" s="297" t="e">
        <f t="shared" si="5"/>
        <v>#N/A</v>
      </c>
      <c r="Y18" s="297" t="e">
        <f t="shared" si="6"/>
        <v>#N/A</v>
      </c>
      <c r="Z18" s="297" t="e">
        <f t="shared" si="7"/>
        <v>#N/A</v>
      </c>
      <c r="AA18" s="296" t="e">
        <f t="shared" si="8"/>
        <v>#N/A</v>
      </c>
    </row>
    <row r="19" spans="2:27" ht="15.75" hidden="1" customHeight="1">
      <c r="B19" s="373"/>
      <c r="C19" s="366"/>
      <c r="D19" s="279"/>
      <c r="E19" s="279"/>
      <c r="F19" s="278"/>
      <c r="G19" s="383"/>
      <c r="H19" s="367"/>
      <c r="I19" s="368"/>
      <c r="J19" s="368"/>
      <c r="K19" s="281"/>
      <c r="L19" s="276"/>
      <c r="M19" s="374"/>
      <c r="N19" s="370"/>
      <c r="O19" s="371"/>
      <c r="P19" s="375"/>
      <c r="Q19" s="347"/>
      <c r="S19" s="277">
        <f t="shared" si="0"/>
        <v>0</v>
      </c>
      <c r="T19" s="296" t="e">
        <f t="shared" si="1"/>
        <v>#N/A</v>
      </c>
      <c r="U19" s="296" t="e">
        <f t="shared" si="2"/>
        <v>#N/A</v>
      </c>
      <c r="V19" s="297" t="e">
        <f t="shared" si="3"/>
        <v>#N/A</v>
      </c>
      <c r="W19" s="297" t="e">
        <f t="shared" si="4"/>
        <v>#N/A</v>
      </c>
      <c r="X19" s="297" t="e">
        <f t="shared" si="5"/>
        <v>#N/A</v>
      </c>
      <c r="Y19" s="297" t="e">
        <f t="shared" si="6"/>
        <v>#N/A</v>
      </c>
      <c r="Z19" s="297" t="e">
        <f t="shared" si="7"/>
        <v>#N/A</v>
      </c>
      <c r="AA19" s="296" t="e">
        <f t="shared" si="8"/>
        <v>#N/A</v>
      </c>
    </row>
    <row r="20" spans="2:27" ht="15.75" hidden="1" customHeight="1">
      <c r="B20" s="373"/>
      <c r="C20" s="366"/>
      <c r="D20" s="279"/>
      <c r="E20" s="279"/>
      <c r="F20" s="278"/>
      <c r="G20" s="383"/>
      <c r="H20" s="367"/>
      <c r="I20" s="368"/>
      <c r="J20" s="368"/>
      <c r="K20" s="281"/>
      <c r="L20" s="276"/>
      <c r="M20" s="374"/>
      <c r="N20" s="370"/>
      <c r="O20" s="371"/>
      <c r="P20" s="375"/>
      <c r="Q20" s="347"/>
      <c r="S20" s="277">
        <f t="shared" si="0"/>
        <v>0</v>
      </c>
      <c r="T20" s="296" t="e">
        <f t="shared" si="1"/>
        <v>#N/A</v>
      </c>
      <c r="U20" s="296" t="e">
        <f t="shared" si="2"/>
        <v>#N/A</v>
      </c>
      <c r="V20" s="297" t="e">
        <f t="shared" si="3"/>
        <v>#N/A</v>
      </c>
      <c r="W20" s="297" t="e">
        <f t="shared" si="4"/>
        <v>#N/A</v>
      </c>
      <c r="X20" s="297" t="e">
        <f t="shared" si="5"/>
        <v>#N/A</v>
      </c>
      <c r="Y20" s="297" t="e">
        <f t="shared" si="6"/>
        <v>#N/A</v>
      </c>
      <c r="Z20" s="297" t="e">
        <f t="shared" si="7"/>
        <v>#N/A</v>
      </c>
      <c r="AA20" s="296" t="e">
        <f t="shared" si="8"/>
        <v>#N/A</v>
      </c>
    </row>
    <row r="21" spans="2:27" ht="15.75" hidden="1" customHeight="1">
      <c r="B21" s="373"/>
      <c r="C21" s="366"/>
      <c r="D21" s="279"/>
      <c r="E21" s="279"/>
      <c r="F21" s="278"/>
      <c r="G21" s="383"/>
      <c r="H21" s="367"/>
      <c r="I21" s="368"/>
      <c r="J21" s="368"/>
      <c r="K21" s="281"/>
      <c r="L21" s="276"/>
      <c r="M21" s="374"/>
      <c r="N21" s="370"/>
      <c r="O21" s="371"/>
      <c r="P21" s="375"/>
      <c r="Q21" s="347"/>
      <c r="S21" s="277">
        <f t="shared" si="0"/>
        <v>0</v>
      </c>
      <c r="T21" s="296" t="e">
        <f t="shared" si="1"/>
        <v>#N/A</v>
      </c>
      <c r="U21" s="296" t="e">
        <f t="shared" si="2"/>
        <v>#N/A</v>
      </c>
      <c r="V21" s="297" t="e">
        <f t="shared" si="3"/>
        <v>#N/A</v>
      </c>
      <c r="W21" s="297" t="e">
        <f t="shared" si="4"/>
        <v>#N/A</v>
      </c>
      <c r="X21" s="297" t="e">
        <f t="shared" si="5"/>
        <v>#N/A</v>
      </c>
      <c r="Y21" s="297" t="e">
        <f t="shared" si="6"/>
        <v>#N/A</v>
      </c>
      <c r="Z21" s="297" t="e">
        <f t="shared" si="7"/>
        <v>#N/A</v>
      </c>
      <c r="AA21" s="296" t="e">
        <f t="shared" si="8"/>
        <v>#N/A</v>
      </c>
    </row>
    <row r="22" spans="2:27" ht="15.75" hidden="1" customHeight="1">
      <c r="B22" s="373"/>
      <c r="C22" s="366"/>
      <c r="D22" s="279"/>
      <c r="E22" s="279"/>
      <c r="F22" s="278"/>
      <c r="G22" s="383"/>
      <c r="H22" s="367"/>
      <c r="I22" s="368"/>
      <c r="J22" s="368"/>
      <c r="K22" s="281"/>
      <c r="L22" s="276"/>
      <c r="M22" s="374"/>
      <c r="N22" s="370"/>
      <c r="O22" s="371"/>
      <c r="P22" s="375"/>
      <c r="Q22" s="347"/>
      <c r="S22" s="277">
        <f t="shared" si="0"/>
        <v>0</v>
      </c>
      <c r="T22" s="296" t="e">
        <f t="shared" si="1"/>
        <v>#N/A</v>
      </c>
      <c r="U22" s="296" t="e">
        <f t="shared" si="2"/>
        <v>#N/A</v>
      </c>
      <c r="V22" s="297" t="e">
        <f t="shared" si="3"/>
        <v>#N/A</v>
      </c>
      <c r="W22" s="297" t="e">
        <f t="shared" si="4"/>
        <v>#N/A</v>
      </c>
      <c r="X22" s="297" t="e">
        <f t="shared" si="5"/>
        <v>#N/A</v>
      </c>
      <c r="Y22" s="297" t="e">
        <f t="shared" si="6"/>
        <v>#N/A</v>
      </c>
      <c r="Z22" s="297" t="e">
        <f t="shared" si="7"/>
        <v>#N/A</v>
      </c>
      <c r="AA22" s="296" t="e">
        <f t="shared" si="8"/>
        <v>#N/A</v>
      </c>
    </row>
    <row r="23" spans="2:27" ht="15.75" hidden="1" customHeight="1">
      <c r="B23" s="373"/>
      <c r="C23" s="366"/>
      <c r="D23" s="279"/>
      <c r="E23" s="279"/>
      <c r="F23" s="278"/>
      <c r="G23" s="383"/>
      <c r="H23" s="367"/>
      <c r="I23" s="368"/>
      <c r="J23" s="368"/>
      <c r="K23" s="281"/>
      <c r="L23" s="276"/>
      <c r="M23" s="374"/>
      <c r="N23" s="370"/>
      <c r="O23" s="371"/>
      <c r="P23" s="375"/>
      <c r="Q23" s="347"/>
      <c r="S23" s="277">
        <f t="shared" si="0"/>
        <v>0</v>
      </c>
      <c r="T23" s="296" t="e">
        <f t="shared" si="1"/>
        <v>#N/A</v>
      </c>
      <c r="U23" s="296" t="e">
        <f t="shared" si="2"/>
        <v>#N/A</v>
      </c>
      <c r="V23" s="297" t="e">
        <f t="shared" si="3"/>
        <v>#N/A</v>
      </c>
      <c r="W23" s="297" t="e">
        <f t="shared" si="4"/>
        <v>#N/A</v>
      </c>
      <c r="X23" s="297" t="e">
        <f t="shared" si="5"/>
        <v>#N/A</v>
      </c>
      <c r="Y23" s="297" t="e">
        <f t="shared" si="6"/>
        <v>#N/A</v>
      </c>
      <c r="Z23" s="297" t="e">
        <f t="shared" si="7"/>
        <v>#N/A</v>
      </c>
      <c r="AA23" s="296" t="e">
        <f t="shared" si="8"/>
        <v>#N/A</v>
      </c>
    </row>
    <row r="24" spans="2:27" ht="15.75" hidden="1" customHeight="1">
      <c r="B24" s="373"/>
      <c r="C24" s="366"/>
      <c r="D24" s="279"/>
      <c r="E24" s="279"/>
      <c r="F24" s="278"/>
      <c r="G24" s="383"/>
      <c r="H24" s="367"/>
      <c r="I24" s="368"/>
      <c r="J24" s="368"/>
      <c r="K24" s="281"/>
      <c r="L24" s="276"/>
      <c r="M24" s="374"/>
      <c r="N24" s="370"/>
      <c r="O24" s="371"/>
      <c r="P24" s="375"/>
      <c r="Q24" s="347"/>
      <c r="S24" s="277">
        <f t="shared" si="0"/>
        <v>0</v>
      </c>
      <c r="T24" s="296" t="e">
        <f t="shared" si="1"/>
        <v>#N/A</v>
      </c>
      <c r="U24" s="296" t="e">
        <f t="shared" si="2"/>
        <v>#N/A</v>
      </c>
      <c r="V24" s="297" t="e">
        <f t="shared" si="3"/>
        <v>#N/A</v>
      </c>
      <c r="W24" s="297" t="e">
        <f t="shared" si="4"/>
        <v>#N/A</v>
      </c>
      <c r="X24" s="297" t="e">
        <f t="shared" si="5"/>
        <v>#N/A</v>
      </c>
      <c r="Y24" s="297" t="e">
        <f t="shared" si="6"/>
        <v>#N/A</v>
      </c>
      <c r="Z24" s="297" t="e">
        <f t="shared" si="7"/>
        <v>#N/A</v>
      </c>
      <c r="AA24" s="296" t="e">
        <f t="shared" si="8"/>
        <v>#N/A</v>
      </c>
    </row>
    <row r="25" spans="2:27" ht="15.75" hidden="1" customHeight="1">
      <c r="B25" s="373"/>
      <c r="C25" s="366"/>
      <c r="D25" s="279"/>
      <c r="E25" s="279"/>
      <c r="F25" s="278"/>
      <c r="G25" s="383"/>
      <c r="H25" s="367"/>
      <c r="I25" s="368"/>
      <c r="J25" s="368"/>
      <c r="K25" s="281"/>
      <c r="L25" s="276"/>
      <c r="M25" s="374"/>
      <c r="N25" s="370"/>
      <c r="O25" s="371"/>
      <c r="P25" s="375"/>
      <c r="Q25" s="347"/>
      <c r="S25" s="277">
        <f t="shared" si="0"/>
        <v>0</v>
      </c>
      <c r="T25" s="296" t="e">
        <f t="shared" si="1"/>
        <v>#N/A</v>
      </c>
      <c r="U25" s="296" t="e">
        <f t="shared" si="2"/>
        <v>#N/A</v>
      </c>
      <c r="V25" s="297" t="e">
        <f t="shared" si="3"/>
        <v>#N/A</v>
      </c>
      <c r="W25" s="297" t="e">
        <f t="shared" si="4"/>
        <v>#N/A</v>
      </c>
      <c r="X25" s="297" t="e">
        <f t="shared" si="5"/>
        <v>#N/A</v>
      </c>
      <c r="Y25" s="297" t="e">
        <f t="shared" si="6"/>
        <v>#N/A</v>
      </c>
      <c r="Z25" s="297" t="e">
        <f t="shared" si="7"/>
        <v>#N/A</v>
      </c>
      <c r="AA25" s="296" t="e">
        <f t="shared" si="8"/>
        <v>#N/A</v>
      </c>
    </row>
    <row r="26" spans="2:27" ht="15.75" hidden="1" customHeight="1">
      <c r="B26" s="373"/>
      <c r="C26" s="366"/>
      <c r="D26" s="279"/>
      <c r="E26" s="279"/>
      <c r="F26" s="278"/>
      <c r="G26" s="383"/>
      <c r="H26" s="367"/>
      <c r="I26" s="368"/>
      <c r="J26" s="368"/>
      <c r="K26" s="281"/>
      <c r="L26" s="276"/>
      <c r="M26" s="374"/>
      <c r="N26" s="370"/>
      <c r="O26" s="371"/>
      <c r="P26" s="375"/>
      <c r="Q26" s="347"/>
      <c r="S26" s="277">
        <f t="shared" si="0"/>
        <v>0</v>
      </c>
      <c r="T26" s="296" t="e">
        <f t="shared" si="1"/>
        <v>#N/A</v>
      </c>
      <c r="U26" s="296" t="e">
        <f t="shared" si="2"/>
        <v>#N/A</v>
      </c>
      <c r="V26" s="297" t="e">
        <f t="shared" si="3"/>
        <v>#N/A</v>
      </c>
      <c r="W26" s="297" t="e">
        <f t="shared" si="4"/>
        <v>#N/A</v>
      </c>
      <c r="X26" s="297" t="e">
        <f t="shared" si="5"/>
        <v>#N/A</v>
      </c>
      <c r="Y26" s="297" t="e">
        <f t="shared" si="6"/>
        <v>#N/A</v>
      </c>
      <c r="Z26" s="297" t="e">
        <f t="shared" si="7"/>
        <v>#N/A</v>
      </c>
      <c r="AA26" s="296" t="e">
        <f t="shared" si="8"/>
        <v>#N/A</v>
      </c>
    </row>
    <row r="27" spans="2:27" ht="15" hidden="1">
      <c r="B27" s="373"/>
      <c r="C27" s="366"/>
      <c r="D27" s="279"/>
      <c r="E27" s="279"/>
      <c r="F27" s="278"/>
      <c r="G27" s="383"/>
      <c r="H27" s="367"/>
      <c r="I27" s="368"/>
      <c r="J27" s="368"/>
      <c r="K27" s="281"/>
      <c r="L27" s="276"/>
      <c r="M27" s="374"/>
      <c r="N27" s="370"/>
      <c r="O27" s="371"/>
      <c r="P27" s="369"/>
      <c r="Q27" s="347"/>
      <c r="S27" s="277">
        <f t="shared" si="0"/>
        <v>0</v>
      </c>
      <c r="T27" s="296" t="e">
        <f t="shared" si="1"/>
        <v>#N/A</v>
      </c>
      <c r="U27" s="296" t="e">
        <f t="shared" si="2"/>
        <v>#N/A</v>
      </c>
      <c r="V27" s="297" t="e">
        <f t="shared" si="3"/>
        <v>#N/A</v>
      </c>
      <c r="W27" s="297" t="e">
        <f t="shared" si="4"/>
        <v>#N/A</v>
      </c>
      <c r="X27" s="297" t="e">
        <f t="shared" si="5"/>
        <v>#N/A</v>
      </c>
      <c r="Y27" s="297" t="e">
        <f t="shared" si="6"/>
        <v>#N/A</v>
      </c>
      <c r="Z27" s="297" t="e">
        <f t="shared" si="7"/>
        <v>#N/A</v>
      </c>
      <c r="AA27" s="296" t="e">
        <f t="shared" si="8"/>
        <v>#N/A</v>
      </c>
    </row>
    <row r="28" spans="2:27" ht="15" hidden="1">
      <c r="B28" s="373"/>
      <c r="C28" s="366"/>
      <c r="D28" s="279"/>
      <c r="E28" s="279"/>
      <c r="F28" s="278"/>
      <c r="G28" s="383"/>
      <c r="H28" s="367"/>
      <c r="I28" s="368"/>
      <c r="J28" s="368"/>
      <c r="K28" s="281"/>
      <c r="L28" s="276"/>
      <c r="M28" s="374"/>
      <c r="N28" s="370"/>
      <c r="O28" s="371"/>
      <c r="P28" s="369"/>
      <c r="Q28" s="347"/>
      <c r="S28" s="277">
        <f t="shared" si="0"/>
        <v>0</v>
      </c>
      <c r="T28" s="296" t="e">
        <f t="shared" si="1"/>
        <v>#N/A</v>
      </c>
      <c r="U28" s="296" t="e">
        <f t="shared" si="2"/>
        <v>#N/A</v>
      </c>
      <c r="V28" s="297" t="e">
        <f t="shared" si="3"/>
        <v>#N/A</v>
      </c>
      <c r="W28" s="297" t="e">
        <f t="shared" si="4"/>
        <v>#N/A</v>
      </c>
      <c r="X28" s="297" t="e">
        <f t="shared" si="5"/>
        <v>#N/A</v>
      </c>
      <c r="Y28" s="297" t="e">
        <f t="shared" si="6"/>
        <v>#N/A</v>
      </c>
      <c r="Z28" s="297" t="e">
        <f t="shared" si="7"/>
        <v>#N/A</v>
      </c>
      <c r="AA28" s="296" t="e">
        <f t="shared" si="8"/>
        <v>#N/A</v>
      </c>
    </row>
    <row r="29" spans="2:27" ht="15" hidden="1">
      <c r="B29" s="373"/>
      <c r="C29" s="366"/>
      <c r="D29" s="279"/>
      <c r="E29" s="279"/>
      <c r="F29" s="278"/>
      <c r="G29" s="383"/>
      <c r="H29" s="367"/>
      <c r="I29" s="368"/>
      <c r="J29" s="368"/>
      <c r="K29" s="392"/>
      <c r="L29" s="276"/>
      <c r="M29" s="374"/>
      <c r="N29" s="370"/>
      <c r="O29" s="371"/>
      <c r="P29" s="369"/>
      <c r="Q29" s="347"/>
      <c r="S29" s="277">
        <f t="shared" si="0"/>
        <v>0</v>
      </c>
      <c r="T29" s="296" t="e">
        <f t="shared" si="1"/>
        <v>#N/A</v>
      </c>
      <c r="U29" s="296" t="e">
        <f t="shared" si="2"/>
        <v>#N/A</v>
      </c>
      <c r="V29" s="297" t="e">
        <f t="shared" si="3"/>
        <v>#N/A</v>
      </c>
      <c r="W29" s="297" t="e">
        <f t="shared" si="4"/>
        <v>#N/A</v>
      </c>
      <c r="X29" s="297" t="e">
        <f t="shared" si="5"/>
        <v>#N/A</v>
      </c>
      <c r="Y29" s="297" t="e">
        <f t="shared" si="6"/>
        <v>#N/A</v>
      </c>
      <c r="Z29" s="297" t="e">
        <f t="shared" si="7"/>
        <v>#N/A</v>
      </c>
      <c r="AA29" s="296" t="e">
        <f t="shared" si="8"/>
        <v>#N/A</v>
      </c>
    </row>
    <row r="30" spans="2:27" ht="15" hidden="1">
      <c r="B30" s="373"/>
      <c r="C30" s="366"/>
      <c r="D30" s="279"/>
      <c r="E30" s="279"/>
      <c r="F30" s="278"/>
      <c r="G30" s="383"/>
      <c r="H30" s="367"/>
      <c r="I30" s="368"/>
      <c r="J30" s="368"/>
      <c r="K30" s="281"/>
      <c r="L30" s="276"/>
      <c r="M30" s="374"/>
      <c r="N30" s="370"/>
      <c r="O30" s="371"/>
      <c r="P30" s="369"/>
      <c r="Q30" s="347"/>
      <c r="S30" s="277">
        <f t="shared" si="0"/>
        <v>0</v>
      </c>
      <c r="T30" s="296" t="e">
        <f t="shared" si="1"/>
        <v>#N/A</v>
      </c>
      <c r="U30" s="296" t="e">
        <f t="shared" si="2"/>
        <v>#N/A</v>
      </c>
      <c r="V30" s="297" t="e">
        <f t="shared" si="3"/>
        <v>#N/A</v>
      </c>
      <c r="W30" s="297" t="e">
        <f t="shared" si="4"/>
        <v>#N/A</v>
      </c>
      <c r="X30" s="297" t="e">
        <f t="shared" si="5"/>
        <v>#N/A</v>
      </c>
      <c r="Y30" s="297" t="e">
        <f t="shared" si="6"/>
        <v>#N/A</v>
      </c>
      <c r="Z30" s="297" t="e">
        <f t="shared" si="7"/>
        <v>#N/A</v>
      </c>
      <c r="AA30" s="296" t="e">
        <f t="shared" si="8"/>
        <v>#N/A</v>
      </c>
    </row>
    <row r="31" spans="2:27" ht="15" hidden="1">
      <c r="B31" s="373"/>
      <c r="C31" s="366"/>
      <c r="D31" s="279"/>
      <c r="E31" s="279"/>
      <c r="F31" s="278"/>
      <c r="G31" s="383"/>
      <c r="H31" s="367"/>
      <c r="I31" s="368"/>
      <c r="J31" s="368"/>
      <c r="K31" s="281"/>
      <c r="L31" s="276"/>
      <c r="M31" s="374"/>
      <c r="N31" s="370"/>
      <c r="O31" s="371"/>
      <c r="P31" s="369"/>
      <c r="Q31" s="347"/>
      <c r="S31" s="277">
        <f t="shared" si="0"/>
        <v>0</v>
      </c>
      <c r="T31" s="296" t="e">
        <f t="shared" si="1"/>
        <v>#N/A</v>
      </c>
      <c r="U31" s="296" t="e">
        <f t="shared" si="2"/>
        <v>#N/A</v>
      </c>
      <c r="V31" s="297" t="e">
        <f t="shared" si="3"/>
        <v>#N/A</v>
      </c>
      <c r="W31" s="297" t="e">
        <f t="shared" si="4"/>
        <v>#N/A</v>
      </c>
      <c r="X31" s="297" t="e">
        <f t="shared" si="5"/>
        <v>#N/A</v>
      </c>
      <c r="Y31" s="297" t="e">
        <f t="shared" si="6"/>
        <v>#N/A</v>
      </c>
      <c r="Z31" s="297" t="e">
        <f t="shared" si="7"/>
        <v>#N/A</v>
      </c>
      <c r="AA31" s="296" t="e">
        <f t="shared" si="8"/>
        <v>#N/A</v>
      </c>
    </row>
    <row r="32" spans="2:27" ht="15" hidden="1">
      <c r="B32" s="373"/>
      <c r="C32" s="366"/>
      <c r="D32" s="279"/>
      <c r="E32" s="279"/>
      <c r="F32" s="278"/>
      <c r="G32" s="383"/>
      <c r="H32" s="367"/>
      <c r="I32" s="368"/>
      <c r="J32" s="368"/>
      <c r="K32" s="281"/>
      <c r="L32" s="276"/>
      <c r="M32" s="374"/>
      <c r="N32" s="370"/>
      <c r="O32" s="371"/>
      <c r="P32" s="369"/>
      <c r="Q32" s="347"/>
      <c r="S32" s="277">
        <f t="shared" si="0"/>
        <v>0</v>
      </c>
      <c r="T32" s="296" t="e">
        <f t="shared" si="1"/>
        <v>#N/A</v>
      </c>
      <c r="U32" s="296" t="e">
        <f t="shared" si="2"/>
        <v>#N/A</v>
      </c>
      <c r="V32" s="297" t="e">
        <f t="shared" si="3"/>
        <v>#N/A</v>
      </c>
      <c r="W32" s="297" t="e">
        <f t="shared" si="4"/>
        <v>#N/A</v>
      </c>
      <c r="X32" s="297" t="e">
        <f t="shared" si="5"/>
        <v>#N/A</v>
      </c>
      <c r="Y32" s="297" t="e">
        <f t="shared" si="6"/>
        <v>#N/A</v>
      </c>
      <c r="Z32" s="297" t="e">
        <f t="shared" si="7"/>
        <v>#N/A</v>
      </c>
      <c r="AA32" s="296" t="e">
        <f t="shared" si="8"/>
        <v>#N/A</v>
      </c>
    </row>
    <row r="33" spans="2:27" ht="15" hidden="1">
      <c r="B33" s="393"/>
      <c r="C33" s="366"/>
      <c r="D33" s="279"/>
      <c r="E33" s="279"/>
      <c r="F33" s="278"/>
      <c r="G33" s="279"/>
      <c r="H33" s="394"/>
      <c r="I33" s="368"/>
      <c r="J33" s="368"/>
      <c r="K33" s="281"/>
      <c r="L33" s="276"/>
      <c r="M33" s="395"/>
      <c r="N33" s="370"/>
      <c r="O33" s="371"/>
      <c r="P33" s="369"/>
      <c r="Q33" s="347"/>
      <c r="S33" s="277">
        <f t="shared" si="0"/>
        <v>0</v>
      </c>
      <c r="T33" s="296" t="e">
        <f t="shared" si="1"/>
        <v>#N/A</v>
      </c>
      <c r="U33" s="296" t="e">
        <f t="shared" si="2"/>
        <v>#N/A</v>
      </c>
      <c r="V33" s="297" t="e">
        <f t="shared" si="3"/>
        <v>#N/A</v>
      </c>
      <c r="W33" s="297" t="e">
        <f t="shared" si="4"/>
        <v>#N/A</v>
      </c>
      <c r="X33" s="297" t="e">
        <f t="shared" si="5"/>
        <v>#N/A</v>
      </c>
      <c r="Y33" s="297" t="e">
        <f t="shared" si="6"/>
        <v>#N/A</v>
      </c>
      <c r="Z33" s="297" t="e">
        <f t="shared" si="7"/>
        <v>#N/A</v>
      </c>
      <c r="AA33" s="296" t="e">
        <f t="shared" si="8"/>
        <v>#N/A</v>
      </c>
    </row>
    <row r="34" spans="2:27" ht="15" hidden="1">
      <c r="B34" s="393"/>
      <c r="C34" s="366"/>
      <c r="D34" s="279"/>
      <c r="E34" s="279"/>
      <c r="F34" s="278"/>
      <c r="G34" s="279"/>
      <c r="H34" s="394"/>
      <c r="I34" s="368"/>
      <c r="J34" s="368"/>
      <c r="K34" s="281"/>
      <c r="L34" s="276"/>
      <c r="M34" s="395"/>
      <c r="N34" s="370"/>
      <c r="O34" s="371"/>
      <c r="P34" s="369"/>
      <c r="Q34" s="347"/>
      <c r="S34" s="277">
        <f t="shared" si="0"/>
        <v>0</v>
      </c>
      <c r="T34" s="296" t="e">
        <f t="shared" si="1"/>
        <v>#N/A</v>
      </c>
      <c r="U34" s="296" t="e">
        <f t="shared" si="2"/>
        <v>#N/A</v>
      </c>
      <c r="V34" s="297" t="e">
        <f t="shared" si="3"/>
        <v>#N/A</v>
      </c>
      <c r="W34" s="297" t="e">
        <f t="shared" si="4"/>
        <v>#N/A</v>
      </c>
      <c r="X34" s="297" t="e">
        <f t="shared" si="5"/>
        <v>#N/A</v>
      </c>
      <c r="Y34" s="297" t="e">
        <f t="shared" si="6"/>
        <v>#N/A</v>
      </c>
      <c r="Z34" s="297" t="e">
        <f t="shared" si="7"/>
        <v>#N/A</v>
      </c>
      <c r="AA34" s="296" t="e">
        <f t="shared" si="8"/>
        <v>#N/A</v>
      </c>
    </row>
    <row r="35" spans="2:27" ht="15" hidden="1">
      <c r="B35" s="393"/>
      <c r="C35" s="366"/>
      <c r="D35" s="279"/>
      <c r="E35" s="279"/>
      <c r="F35" s="278"/>
      <c r="G35" s="279"/>
      <c r="H35" s="394"/>
      <c r="I35" s="368"/>
      <c r="J35" s="368"/>
      <c r="K35" s="281"/>
      <c r="L35" s="276"/>
      <c r="M35" s="395"/>
      <c r="N35" s="370"/>
      <c r="O35" s="371"/>
      <c r="P35" s="369"/>
      <c r="Q35" s="347"/>
      <c r="S35" s="277">
        <f t="shared" si="0"/>
        <v>0</v>
      </c>
      <c r="T35" s="296" t="e">
        <f t="shared" si="1"/>
        <v>#N/A</v>
      </c>
      <c r="U35" s="296" t="e">
        <f t="shared" si="2"/>
        <v>#N/A</v>
      </c>
      <c r="V35" s="297" t="e">
        <f t="shared" si="3"/>
        <v>#N/A</v>
      </c>
      <c r="W35" s="297" t="e">
        <f t="shared" si="4"/>
        <v>#N/A</v>
      </c>
      <c r="X35" s="297" t="e">
        <f t="shared" si="5"/>
        <v>#N/A</v>
      </c>
      <c r="Y35" s="297" t="e">
        <f t="shared" si="6"/>
        <v>#N/A</v>
      </c>
      <c r="Z35" s="297" t="e">
        <f t="shared" si="7"/>
        <v>#N/A</v>
      </c>
      <c r="AA35" s="296" t="e">
        <f t="shared" si="8"/>
        <v>#N/A</v>
      </c>
    </row>
    <row r="36" spans="2:27" ht="15" hidden="1">
      <c r="B36" s="393"/>
      <c r="C36" s="366"/>
      <c r="D36" s="279"/>
      <c r="E36" s="279"/>
      <c r="F36" s="278"/>
      <c r="G36" s="279"/>
      <c r="H36" s="394"/>
      <c r="I36" s="368"/>
      <c r="J36" s="368"/>
      <c r="K36" s="281"/>
      <c r="L36" s="276"/>
      <c r="M36" s="395"/>
      <c r="N36" s="370"/>
      <c r="O36" s="371"/>
      <c r="P36" s="369"/>
      <c r="Q36" s="347"/>
      <c r="S36" s="277">
        <f t="shared" si="0"/>
        <v>0</v>
      </c>
      <c r="T36" s="296" t="e">
        <f t="shared" si="1"/>
        <v>#N/A</v>
      </c>
      <c r="U36" s="296" t="e">
        <f t="shared" si="2"/>
        <v>#N/A</v>
      </c>
      <c r="V36" s="297" t="e">
        <f t="shared" si="3"/>
        <v>#N/A</v>
      </c>
      <c r="W36" s="297" t="e">
        <f t="shared" si="4"/>
        <v>#N/A</v>
      </c>
      <c r="X36" s="297" t="e">
        <f t="shared" si="5"/>
        <v>#N/A</v>
      </c>
      <c r="Y36" s="297" t="e">
        <f t="shared" si="6"/>
        <v>#N/A</v>
      </c>
      <c r="Z36" s="297" t="e">
        <f t="shared" si="7"/>
        <v>#N/A</v>
      </c>
      <c r="AA36" s="296" t="e">
        <f t="shared" si="8"/>
        <v>#N/A</v>
      </c>
    </row>
    <row r="37" spans="2:27" ht="15" hidden="1">
      <c r="B37" s="393"/>
      <c r="C37" s="366"/>
      <c r="D37" s="279"/>
      <c r="E37" s="279"/>
      <c r="F37" s="278"/>
      <c r="G37" s="279"/>
      <c r="H37" s="394"/>
      <c r="I37" s="368"/>
      <c r="J37" s="368"/>
      <c r="K37" s="281"/>
      <c r="L37" s="276"/>
      <c r="M37" s="395"/>
      <c r="N37" s="370"/>
      <c r="O37" s="371"/>
      <c r="P37" s="369"/>
      <c r="Q37" s="347"/>
      <c r="S37" s="277">
        <f t="shared" si="0"/>
        <v>0</v>
      </c>
      <c r="T37" s="296" t="e">
        <f t="shared" si="1"/>
        <v>#N/A</v>
      </c>
      <c r="U37" s="296" t="e">
        <f t="shared" si="2"/>
        <v>#N/A</v>
      </c>
      <c r="V37" s="297" t="e">
        <f t="shared" si="3"/>
        <v>#N/A</v>
      </c>
      <c r="W37" s="297" t="e">
        <f t="shared" si="4"/>
        <v>#N/A</v>
      </c>
      <c r="X37" s="297" t="e">
        <f t="shared" si="5"/>
        <v>#N/A</v>
      </c>
      <c r="Y37" s="297" t="e">
        <f t="shared" si="6"/>
        <v>#N/A</v>
      </c>
      <c r="Z37" s="297" t="e">
        <f t="shared" si="7"/>
        <v>#N/A</v>
      </c>
      <c r="AA37" s="296" t="e">
        <f t="shared" si="8"/>
        <v>#N/A</v>
      </c>
    </row>
    <row r="38" spans="2:27" ht="15" hidden="1">
      <c r="B38" s="393"/>
      <c r="C38" s="366"/>
      <c r="D38" s="279"/>
      <c r="E38" s="279"/>
      <c r="F38" s="278"/>
      <c r="G38" s="279"/>
      <c r="H38" s="394"/>
      <c r="I38" s="368"/>
      <c r="J38" s="368"/>
      <c r="K38" s="281"/>
      <c r="L38" s="276"/>
      <c r="M38" s="395"/>
      <c r="N38" s="370"/>
      <c r="O38" s="371"/>
      <c r="P38" s="369"/>
      <c r="Q38" s="347"/>
      <c r="S38" s="277">
        <f t="shared" si="0"/>
        <v>0</v>
      </c>
      <c r="T38" s="296" t="e">
        <f t="shared" si="1"/>
        <v>#N/A</v>
      </c>
      <c r="U38" s="296" t="e">
        <f t="shared" si="2"/>
        <v>#N/A</v>
      </c>
      <c r="V38" s="297" t="e">
        <f t="shared" si="3"/>
        <v>#N/A</v>
      </c>
      <c r="W38" s="297" t="e">
        <f t="shared" si="4"/>
        <v>#N/A</v>
      </c>
      <c r="X38" s="297" t="e">
        <f t="shared" si="5"/>
        <v>#N/A</v>
      </c>
      <c r="Y38" s="297" t="e">
        <f t="shared" si="6"/>
        <v>#N/A</v>
      </c>
      <c r="Z38" s="297" t="e">
        <f t="shared" si="7"/>
        <v>#N/A</v>
      </c>
      <c r="AA38" s="296" t="e">
        <f t="shared" si="8"/>
        <v>#N/A</v>
      </c>
    </row>
    <row r="39" spans="2:27" ht="15">
      <c r="B39" s="393"/>
      <c r="C39" s="366"/>
      <c r="D39" s="279"/>
      <c r="E39" s="279"/>
      <c r="F39" s="278"/>
      <c r="G39" s="279"/>
      <c r="H39" s="394"/>
      <c r="I39" s="368"/>
      <c r="J39" s="368"/>
      <c r="K39" s="281"/>
      <c r="L39" s="276"/>
      <c r="M39" s="395"/>
      <c r="N39" s="370"/>
      <c r="O39" s="371"/>
      <c r="P39" s="369"/>
      <c r="Q39" s="347"/>
      <c r="S39" s="277">
        <f t="shared" si="0"/>
        <v>0</v>
      </c>
      <c r="T39" s="296" t="e">
        <f t="shared" si="1"/>
        <v>#N/A</v>
      </c>
      <c r="U39" s="296" t="e">
        <f t="shared" si="2"/>
        <v>#N/A</v>
      </c>
      <c r="V39" s="297" t="e">
        <f t="shared" si="3"/>
        <v>#N/A</v>
      </c>
      <c r="W39" s="297" t="e">
        <f t="shared" si="4"/>
        <v>#N/A</v>
      </c>
      <c r="X39" s="297" t="e">
        <f t="shared" si="5"/>
        <v>#N/A</v>
      </c>
      <c r="Y39" s="297" t="e">
        <f t="shared" si="6"/>
        <v>#N/A</v>
      </c>
      <c r="Z39" s="297" t="e">
        <f t="shared" si="7"/>
        <v>#N/A</v>
      </c>
      <c r="AA39" s="296" t="e">
        <f t="shared" si="8"/>
        <v>#N/A</v>
      </c>
    </row>
    <row r="40" spans="2:27" ht="15">
      <c r="B40" s="393"/>
      <c r="C40" s="366"/>
      <c r="D40" s="279"/>
      <c r="E40" s="279"/>
      <c r="F40" s="278"/>
      <c r="G40" s="279"/>
      <c r="H40" s="394"/>
      <c r="I40" s="368"/>
      <c r="J40" s="368"/>
      <c r="K40" s="281"/>
      <c r="L40" s="276"/>
      <c r="M40" s="395"/>
      <c r="N40" s="370"/>
      <c r="O40" s="371"/>
      <c r="P40" s="369"/>
      <c r="Q40" s="347"/>
      <c r="S40" s="277">
        <f t="shared" si="0"/>
        <v>0</v>
      </c>
      <c r="T40" s="296" t="e">
        <f t="shared" si="1"/>
        <v>#N/A</v>
      </c>
      <c r="U40" s="296" t="e">
        <f t="shared" si="2"/>
        <v>#N/A</v>
      </c>
      <c r="V40" s="297" t="e">
        <f t="shared" si="3"/>
        <v>#N/A</v>
      </c>
      <c r="W40" s="297" t="e">
        <f t="shared" si="4"/>
        <v>#N/A</v>
      </c>
      <c r="X40" s="297" t="e">
        <f t="shared" si="5"/>
        <v>#N/A</v>
      </c>
      <c r="Y40" s="297" t="e">
        <f t="shared" si="6"/>
        <v>#N/A</v>
      </c>
      <c r="Z40" s="297" t="e">
        <f t="shared" si="7"/>
        <v>#N/A</v>
      </c>
      <c r="AA40" s="296" t="e">
        <f t="shared" si="8"/>
        <v>#N/A</v>
      </c>
    </row>
    <row r="41" spans="2:27" ht="15">
      <c r="B41" s="393"/>
      <c r="C41" s="366"/>
      <c r="D41" s="279"/>
      <c r="E41" s="279"/>
      <c r="F41" s="278"/>
      <c r="G41" s="279"/>
      <c r="H41" s="394"/>
      <c r="I41" s="368"/>
      <c r="J41" s="368"/>
      <c r="K41" s="281"/>
      <c r="L41" s="276"/>
      <c r="M41" s="395"/>
      <c r="N41" s="370"/>
      <c r="O41" s="371"/>
      <c r="P41" s="369"/>
      <c r="Q41" s="347"/>
      <c r="S41" s="277">
        <f t="shared" si="0"/>
        <v>0</v>
      </c>
      <c r="T41" s="296" t="e">
        <f t="shared" si="1"/>
        <v>#N/A</v>
      </c>
      <c r="U41" s="296" t="e">
        <f t="shared" si="2"/>
        <v>#N/A</v>
      </c>
      <c r="V41" s="297" t="e">
        <f t="shared" si="3"/>
        <v>#N/A</v>
      </c>
      <c r="W41" s="297" t="e">
        <f t="shared" si="4"/>
        <v>#N/A</v>
      </c>
      <c r="X41" s="297" t="e">
        <f t="shared" si="5"/>
        <v>#N/A</v>
      </c>
      <c r="Y41" s="297" t="e">
        <f t="shared" si="6"/>
        <v>#N/A</v>
      </c>
      <c r="Z41" s="297" t="e">
        <f t="shared" si="7"/>
        <v>#N/A</v>
      </c>
      <c r="AA41" s="296" t="e">
        <f t="shared" si="8"/>
        <v>#N/A</v>
      </c>
    </row>
    <row r="42" spans="2:27" ht="15">
      <c r="B42" s="393"/>
      <c r="C42" s="366"/>
      <c r="D42" s="279"/>
      <c r="E42" s="279"/>
      <c r="F42" s="278"/>
      <c r="G42" s="279"/>
      <c r="H42" s="394"/>
      <c r="I42" s="368"/>
      <c r="J42" s="368"/>
      <c r="K42" s="281"/>
      <c r="L42" s="276"/>
      <c r="M42" s="395"/>
      <c r="N42" s="370"/>
      <c r="O42" s="371"/>
      <c r="P42" s="369"/>
      <c r="Q42" s="347"/>
      <c r="S42" s="277">
        <f t="shared" si="0"/>
        <v>0</v>
      </c>
      <c r="T42" s="296" t="e">
        <f t="shared" si="1"/>
        <v>#N/A</v>
      </c>
      <c r="U42" s="296" t="e">
        <f t="shared" si="2"/>
        <v>#N/A</v>
      </c>
      <c r="V42" s="297" t="e">
        <f t="shared" si="3"/>
        <v>#N/A</v>
      </c>
      <c r="W42" s="297" t="e">
        <f t="shared" si="4"/>
        <v>#N/A</v>
      </c>
      <c r="X42" s="297" t="e">
        <f t="shared" si="5"/>
        <v>#N/A</v>
      </c>
      <c r="Y42" s="297" t="e">
        <f t="shared" si="6"/>
        <v>#N/A</v>
      </c>
      <c r="Z42" s="297" t="e">
        <f t="shared" si="7"/>
        <v>#N/A</v>
      </c>
      <c r="AA42" s="296" t="e">
        <f t="shared" si="8"/>
        <v>#N/A</v>
      </c>
    </row>
    <row r="43" spans="2:27" ht="15">
      <c r="B43" s="393"/>
      <c r="C43" s="366"/>
      <c r="D43" s="279"/>
      <c r="E43" s="279"/>
      <c r="F43" s="278"/>
      <c r="G43" s="279"/>
      <c r="H43" s="394"/>
      <c r="I43" s="368"/>
      <c r="J43" s="368"/>
      <c r="K43" s="281"/>
      <c r="L43" s="276"/>
      <c r="M43" s="395"/>
      <c r="N43" s="370"/>
      <c r="O43" s="371"/>
      <c r="P43" s="369"/>
      <c r="Q43" s="347"/>
      <c r="S43" s="277">
        <f t="shared" si="0"/>
        <v>0</v>
      </c>
      <c r="T43" s="296" t="e">
        <f t="shared" si="1"/>
        <v>#N/A</v>
      </c>
      <c r="U43" s="296" t="e">
        <f t="shared" si="2"/>
        <v>#N/A</v>
      </c>
      <c r="V43" s="297" t="e">
        <f t="shared" si="3"/>
        <v>#N/A</v>
      </c>
      <c r="W43" s="297" t="e">
        <f t="shared" si="4"/>
        <v>#N/A</v>
      </c>
      <c r="X43" s="297" t="e">
        <f t="shared" si="5"/>
        <v>#N/A</v>
      </c>
      <c r="Y43" s="297" t="e">
        <f t="shared" si="6"/>
        <v>#N/A</v>
      </c>
      <c r="Z43" s="297" t="e">
        <f t="shared" si="7"/>
        <v>#N/A</v>
      </c>
      <c r="AA43" s="296" t="e">
        <f t="shared" si="8"/>
        <v>#N/A</v>
      </c>
    </row>
    <row r="44" spans="2:27" ht="15" hidden="1">
      <c r="B44" s="393"/>
      <c r="C44" s="366"/>
      <c r="D44" s="279"/>
      <c r="E44" s="279"/>
      <c r="F44" s="278"/>
      <c r="G44" s="279"/>
      <c r="H44" s="394"/>
      <c r="I44" s="368"/>
      <c r="J44" s="368"/>
      <c r="K44" s="281"/>
      <c r="L44" s="276"/>
      <c r="M44" s="395"/>
      <c r="N44" s="370"/>
      <c r="O44" s="371"/>
      <c r="P44" s="369"/>
      <c r="Q44" s="347"/>
      <c r="S44" s="277">
        <f t="shared" si="0"/>
        <v>0</v>
      </c>
      <c r="T44" s="296" t="e">
        <f t="shared" si="1"/>
        <v>#N/A</v>
      </c>
      <c r="U44" s="296" t="e">
        <f t="shared" si="2"/>
        <v>#N/A</v>
      </c>
      <c r="V44" s="297" t="e">
        <f t="shared" si="3"/>
        <v>#N/A</v>
      </c>
      <c r="W44" s="297" t="e">
        <f t="shared" si="4"/>
        <v>#N/A</v>
      </c>
      <c r="X44" s="297" t="e">
        <f t="shared" si="5"/>
        <v>#N/A</v>
      </c>
      <c r="Y44" s="297" t="e">
        <f t="shared" si="6"/>
        <v>#N/A</v>
      </c>
      <c r="Z44" s="297" t="e">
        <f t="shared" si="7"/>
        <v>#N/A</v>
      </c>
      <c r="AA44" s="296" t="e">
        <f t="shared" si="8"/>
        <v>#N/A</v>
      </c>
    </row>
    <row r="45" spans="2:27" ht="15" hidden="1">
      <c r="B45" s="393"/>
      <c r="C45" s="366"/>
      <c r="D45" s="279"/>
      <c r="E45" s="279"/>
      <c r="F45" s="278"/>
      <c r="G45" s="279"/>
      <c r="H45" s="394"/>
      <c r="I45" s="368"/>
      <c r="J45" s="368"/>
      <c r="K45" s="281"/>
      <c r="L45" s="276"/>
      <c r="M45" s="395"/>
      <c r="N45" s="370"/>
      <c r="O45" s="371"/>
      <c r="P45" s="369"/>
      <c r="Q45" s="347"/>
      <c r="S45" s="277">
        <f t="shared" si="0"/>
        <v>0</v>
      </c>
      <c r="T45" s="296" t="e">
        <f t="shared" si="1"/>
        <v>#N/A</v>
      </c>
      <c r="U45" s="296" t="e">
        <f t="shared" si="2"/>
        <v>#N/A</v>
      </c>
      <c r="V45" s="297" t="e">
        <f t="shared" si="3"/>
        <v>#N/A</v>
      </c>
      <c r="W45" s="297" t="e">
        <f t="shared" si="4"/>
        <v>#N/A</v>
      </c>
      <c r="X45" s="297" t="e">
        <f t="shared" si="5"/>
        <v>#N/A</v>
      </c>
      <c r="Y45" s="297" t="e">
        <f t="shared" si="6"/>
        <v>#N/A</v>
      </c>
      <c r="Z45" s="297" t="e">
        <f t="shared" si="7"/>
        <v>#N/A</v>
      </c>
      <c r="AA45" s="296" t="e">
        <f t="shared" si="8"/>
        <v>#N/A</v>
      </c>
    </row>
    <row r="46" spans="2:27" ht="15" hidden="1">
      <c r="B46" s="393"/>
      <c r="C46" s="366"/>
      <c r="D46" s="279"/>
      <c r="E46" s="279"/>
      <c r="F46" s="278"/>
      <c r="G46" s="279"/>
      <c r="H46" s="394"/>
      <c r="I46" s="368"/>
      <c r="J46" s="368"/>
      <c r="K46" s="281"/>
      <c r="L46" s="276"/>
      <c r="M46" s="395"/>
      <c r="N46" s="370"/>
      <c r="O46" s="371"/>
      <c r="P46" s="369"/>
      <c r="Q46" s="347"/>
      <c r="S46" s="277">
        <f t="shared" si="0"/>
        <v>0</v>
      </c>
      <c r="T46" s="296" t="e">
        <f t="shared" si="1"/>
        <v>#N/A</v>
      </c>
      <c r="U46" s="296" t="e">
        <f t="shared" si="2"/>
        <v>#N/A</v>
      </c>
      <c r="V46" s="297" t="e">
        <f t="shared" si="3"/>
        <v>#N/A</v>
      </c>
      <c r="W46" s="297" t="e">
        <f t="shared" si="4"/>
        <v>#N/A</v>
      </c>
      <c r="X46" s="297" t="e">
        <f t="shared" si="5"/>
        <v>#N/A</v>
      </c>
      <c r="Y46" s="297" t="e">
        <f t="shared" si="6"/>
        <v>#N/A</v>
      </c>
      <c r="Z46" s="297" t="e">
        <f t="shared" si="7"/>
        <v>#N/A</v>
      </c>
      <c r="AA46" s="296" t="e">
        <f t="shared" si="8"/>
        <v>#N/A</v>
      </c>
    </row>
    <row r="47" spans="2:27" ht="15" hidden="1">
      <c r="B47" s="373"/>
      <c r="C47" s="366"/>
      <c r="D47" s="279"/>
      <c r="E47" s="279"/>
      <c r="F47" s="278"/>
      <c r="G47" s="383"/>
      <c r="H47" s="367"/>
      <c r="I47" s="368"/>
      <c r="J47" s="368"/>
      <c r="K47" s="281"/>
      <c r="L47" s="276"/>
      <c r="M47" s="374"/>
      <c r="N47" s="370"/>
      <c r="O47" s="371"/>
      <c r="P47" s="369"/>
      <c r="Q47" s="347"/>
      <c r="S47" s="277">
        <f t="shared" si="0"/>
        <v>0</v>
      </c>
      <c r="T47" s="296" t="e">
        <f t="shared" si="1"/>
        <v>#N/A</v>
      </c>
      <c r="U47" s="296" t="e">
        <f t="shared" si="2"/>
        <v>#N/A</v>
      </c>
      <c r="V47" s="297" t="e">
        <f t="shared" si="3"/>
        <v>#N/A</v>
      </c>
      <c r="W47" s="297" t="e">
        <f t="shared" si="4"/>
        <v>#N/A</v>
      </c>
      <c r="X47" s="297" t="e">
        <f t="shared" si="5"/>
        <v>#N/A</v>
      </c>
      <c r="Y47" s="297" t="e">
        <f t="shared" si="6"/>
        <v>#N/A</v>
      </c>
      <c r="Z47" s="297" t="e">
        <f t="shared" si="7"/>
        <v>#N/A</v>
      </c>
      <c r="AA47" s="296" t="e">
        <f t="shared" si="8"/>
        <v>#N/A</v>
      </c>
    </row>
    <row r="48" spans="2:27" ht="15.75" customHeight="1" thickBot="1">
      <c r="B48" s="358"/>
      <c r="C48" s="358"/>
      <c r="D48" s="358"/>
      <c r="E48" s="358"/>
      <c r="F48" s="294"/>
      <c r="G48" s="294"/>
      <c r="H48" s="348"/>
      <c r="I48" s="535" t="s">
        <v>34</v>
      </c>
      <c r="J48" s="535"/>
      <c r="K48" s="535"/>
      <c r="L48" s="535"/>
      <c r="M48" s="535"/>
      <c r="N48" s="535"/>
      <c r="O48" s="1"/>
      <c r="P48" s="12"/>
      <c r="S48" s="277"/>
      <c r="T48" s="296"/>
      <c r="U48" s="296"/>
      <c r="V48" s="297"/>
      <c r="W48" s="297"/>
      <c r="X48" s="297"/>
      <c r="Y48" s="297"/>
      <c r="Z48" s="297"/>
      <c r="AA48" s="296"/>
    </row>
    <row r="49" spans="1:27" ht="30.75" thickBot="1">
      <c r="B49" s="388" t="s">
        <v>145</v>
      </c>
      <c r="C49" s="388"/>
      <c r="D49" s="536" t="s">
        <v>35</v>
      </c>
      <c r="E49" s="537"/>
      <c r="F49" s="294"/>
      <c r="G49" s="294"/>
      <c r="H49" s="23"/>
      <c r="I49" s="24" t="s">
        <v>17</v>
      </c>
      <c r="J49" s="25" t="s">
        <v>146</v>
      </c>
      <c r="K49" s="26" t="s">
        <v>138</v>
      </c>
      <c r="L49" s="25" t="s">
        <v>37</v>
      </c>
      <c r="M49" s="25" t="s">
        <v>38</v>
      </c>
      <c r="N49" s="27" t="s">
        <v>39</v>
      </c>
      <c r="O49" s="294"/>
      <c r="P49" s="12"/>
      <c r="S49" s="277"/>
      <c r="T49" s="296"/>
      <c r="U49" s="296"/>
      <c r="V49" s="297"/>
      <c r="W49" s="297"/>
      <c r="X49" s="297"/>
      <c r="Y49" s="297"/>
      <c r="Z49" s="297"/>
      <c r="AA49" s="296"/>
    </row>
    <row r="50" spans="1:27" ht="15" customHeight="1">
      <c r="A50" s="28"/>
      <c r="B50" s="567" t="s">
        <v>9</v>
      </c>
      <c r="C50" s="362">
        <v>11.8</v>
      </c>
      <c r="D50" s="523">
        <v>11.73</v>
      </c>
      <c r="E50" s="524"/>
      <c r="F50" s="294"/>
      <c r="G50" s="294"/>
      <c r="H50" s="294"/>
      <c r="I50" s="29" t="s">
        <v>6</v>
      </c>
      <c r="J50" s="323"/>
      <c r="K50" s="284">
        <f>COUNTA([20]Brewhouse!$A$1596:$A$1619)</f>
        <v>24</v>
      </c>
      <c r="L50" s="302">
        <f>AVERAGE([20]Brewhouse!$AU$1529,[20]Brewhouse!$AU$1531:$AU$1594,[20]Brewhouse!$AU$1596:$AU$1619)</f>
        <v>98.205761326291494</v>
      </c>
      <c r="M50" s="302">
        <f>AVERAGE([20]Brewhouse!$AU$849:$AU$924,[20]Brewhouse!$AU$926:$AU$971,[20]Brewhouse!$AU$973:$AU$1066,[20]Brewhouse!$AU$1068:$AU$1111,[20]Brewhouse!$AU$1113:$AU$1132,[20]Brewhouse!$AU$1134:$AU$1167,[20]Brewhouse!$AU$1169:$AU$1230,[20]Brewhouse!$AU$1232:$AU$1299,[20]Brewhouse!$AU$1301:$AU$1363,[20]Brewhouse!$AU$1365:$AU$1444,[20]Brewhouse!$AU$1446:$AU$1527,[20]Brewhouse!$AU$1529,[20]Brewhouse!$AU$1531:$AU$1594,[20]Brewhouse!$AU$1596:$AU$1619)</f>
        <v>98.38180565872257</v>
      </c>
      <c r="N50" s="30">
        <v>98</v>
      </c>
      <c r="O50" s="11"/>
      <c r="P50" s="31"/>
      <c r="S50" s="277"/>
      <c r="T50" s="296"/>
      <c r="U50" s="296"/>
      <c r="V50" s="297"/>
      <c r="W50" s="297"/>
      <c r="X50" s="297"/>
      <c r="Y50" s="297"/>
      <c r="Z50" s="297"/>
      <c r="AA50" s="296"/>
    </row>
    <row r="51" spans="1:27" ht="15" customHeight="1">
      <c r="A51" s="28"/>
      <c r="B51" s="539"/>
      <c r="C51" s="349">
        <v>11.9</v>
      </c>
      <c r="D51" s="525"/>
      <c r="E51" s="526"/>
      <c r="F51" s="294"/>
      <c r="G51" s="294"/>
      <c r="H51" s="32"/>
      <c r="I51" s="33" t="s">
        <v>9</v>
      </c>
      <c r="J51" s="323"/>
      <c r="K51" s="284">
        <f>COUNTA([21]Brewhouse!$A$976:$A$1007)</f>
        <v>32</v>
      </c>
      <c r="L51" s="302">
        <f>AVERAGE([21]Brewhouse!$AS$976:$AS$979,[21]Brewhouse!$AS$981:$AS$1007)</f>
        <v>98.538566771868645</v>
      </c>
      <c r="M51" s="302">
        <f>AVERAGE([21]Brewhouse!$AS$577:$AS$618,[21]Brewhouse!$AS$620:$AS$651,[21]Brewhouse!$AS$653:$AS$696,[21]Brewhouse!$AS$698:$AS$708,[21]Brewhouse!$AS$710:$AS$733,[21]Brewhouse!$AS$735:$AS$777,[21]Brewhouse!$AS$779:$AS$822,[21]Brewhouse!$AS$824:$AS$863,[21]Brewhouse!$AS$865:$AS$974,[21]Brewhouse!$AS$976:$AS$979,[21]Brewhouse!$AS$981:$AS$1007)</f>
        <v>98.489670500712904</v>
      </c>
      <c r="N51" s="30">
        <v>98</v>
      </c>
      <c r="O51" s="11"/>
      <c r="P51" s="31"/>
      <c r="S51" s="277"/>
      <c r="T51" s="296"/>
      <c r="U51" s="296"/>
      <c r="V51" s="297"/>
      <c r="W51" s="297"/>
      <c r="X51" s="297"/>
      <c r="Y51" s="297"/>
      <c r="Z51" s="297"/>
      <c r="AA51" s="296"/>
    </row>
    <row r="52" spans="1:27" ht="14.65" customHeight="1">
      <c r="A52" s="28"/>
      <c r="B52" s="539"/>
      <c r="C52" s="349"/>
      <c r="D52" s="523"/>
      <c r="E52" s="524"/>
      <c r="F52" s="294"/>
      <c r="G52" s="294"/>
      <c r="H52" s="32"/>
      <c r="I52" s="34" t="s">
        <v>12</v>
      </c>
      <c r="J52" s="280"/>
      <c r="K52" s="284">
        <f>COUNTA([22]Brewhouse!$A$282:$A$289)</f>
        <v>8</v>
      </c>
      <c r="L52" s="302">
        <f>AVERAGE([22]Brewhouse!$AU$269:$AU$279,[22]Brewhouse!$AU$282:$AU$289)</f>
        <v>96.1861768599382</v>
      </c>
      <c r="M52" s="302">
        <f>AVERAGE([22]Brewhouse!$AU$161:$AU$176,[22]Brewhouse!$AU$178:$AU$195,[22]Brewhouse!$AU$197:$AU$208,[22]Brewhouse!$AU$210:$AU$221,[22]Brewhouse!$AU$223:$AU$232,[22]Brewhouse!$AU$234:$AU$279,[22]Brewhouse!$AU$282:$AU$289)</f>
        <v>96.649159522318769</v>
      </c>
      <c r="N52" s="30">
        <v>98</v>
      </c>
      <c r="O52" s="11"/>
      <c r="P52" s="31"/>
      <c r="S52" s="23"/>
      <c r="T52" s="1"/>
      <c r="U52" s="1"/>
      <c r="AA52" s="285"/>
    </row>
    <row r="53" spans="1:27" ht="14.65" customHeight="1">
      <c r="A53" s="28"/>
      <c r="B53" s="539"/>
      <c r="C53" s="349"/>
      <c r="D53" s="525"/>
      <c r="E53" s="526"/>
      <c r="F53" s="294"/>
      <c r="G53" s="294"/>
      <c r="H53" s="32"/>
      <c r="I53" s="22" t="s">
        <v>33</v>
      </c>
      <c r="J53" s="280"/>
      <c r="K53" s="284">
        <f>COUNTA([23]Brewhouse!$A$158:$A$163)</f>
        <v>6</v>
      </c>
      <c r="L53" s="302">
        <f>AVERAGE([23]Brewhouse!$AU$158:$AU$163)</f>
        <v>94.603050114691541</v>
      </c>
      <c r="M53" s="302">
        <f>AVERAGE([23]Brewhouse!$AU$91:$AU$101,[23]Brewhouse!$AU$103:$AU$112,[23]Brewhouse!$AU$114:$AU$123,[23]Brewhouse!$AU$125:$AU$134,[23]Brewhouse!$AU$136:$AU$145,[23]Brewhouse!$AU$147:$AU$156,[23]Brewhouse!$AU$158:$AU$163)</f>
        <v>96.240013738482446</v>
      </c>
      <c r="N53" s="30">
        <v>98</v>
      </c>
      <c r="O53" s="11"/>
      <c r="P53" s="31"/>
      <c r="S53" s="23"/>
      <c r="T53" s="1"/>
      <c r="U53" s="1"/>
      <c r="AA53" s="285"/>
    </row>
    <row r="54" spans="1:27" ht="14.65" customHeight="1">
      <c r="A54" s="28"/>
      <c r="B54" s="539"/>
      <c r="C54" s="349"/>
      <c r="D54" s="523"/>
      <c r="E54" s="524"/>
      <c r="F54" s="294"/>
      <c r="G54" s="294"/>
      <c r="H54" s="32"/>
      <c r="I54" s="35" t="s">
        <v>29</v>
      </c>
      <c r="J54" s="280"/>
      <c r="K54" s="284"/>
      <c r="L54" s="302"/>
      <c r="M54" s="302"/>
      <c r="N54" s="30">
        <v>98</v>
      </c>
      <c r="O54" s="11"/>
      <c r="P54" s="31"/>
      <c r="S54" s="23"/>
    </row>
    <row r="55" spans="1:27" ht="14.65" customHeight="1">
      <c r="A55" s="28"/>
      <c r="B55" s="539"/>
      <c r="C55" s="349"/>
      <c r="D55" s="525"/>
      <c r="E55" s="526"/>
      <c r="F55" s="294"/>
      <c r="G55" s="294"/>
      <c r="H55" s="32"/>
      <c r="I55" s="36" t="s">
        <v>15</v>
      </c>
      <c r="J55" s="323"/>
      <c r="K55" s="284"/>
      <c r="L55" s="302"/>
      <c r="M55" s="302">
        <f>AVERAGE([24]Brewhouse!$AT$74:$AT$79)</f>
        <v>93.95983649860375</v>
      </c>
      <c r="N55" s="30">
        <v>98</v>
      </c>
      <c r="O55" s="11"/>
      <c r="P55" s="31"/>
      <c r="S55" s="23"/>
    </row>
    <row r="56" spans="1:27" ht="14.65" customHeight="1">
      <c r="A56" s="28"/>
      <c r="B56" s="539"/>
      <c r="C56" s="349"/>
      <c r="D56" s="523"/>
      <c r="E56" s="524"/>
      <c r="F56" s="294"/>
      <c r="G56" s="294"/>
      <c r="H56" s="32"/>
      <c r="I56" s="37" t="s">
        <v>16</v>
      </c>
      <c r="J56" s="323"/>
      <c r="K56" s="284">
        <f>COUNTA([25]Brewhouse!$A$249:$A$254)</f>
        <v>6</v>
      </c>
      <c r="L56" s="302">
        <f>AVERAGE([25]Brewhouse!$AY$249:$AY$254)</f>
        <v>99.681996476494263</v>
      </c>
      <c r="M56" s="302">
        <f>AVERAGE([25]Brewhouse!$AY$138:$AY$143,[25]Brewhouse!$AY$145:$AY$153,[25]Brewhouse!$AY$155,[25]Brewhouse!$AY$156:$AY$174,[25]Brewhouse!$AY$176:$AY$185,[25]Brewhouse!$AY$187:$AY$198,[25]Brewhouse!$AY$200:$AY$247,[25]Brewhouse!$AY$249:$AY$254)</f>
        <v>98.774702677266788</v>
      </c>
      <c r="N56" s="30">
        <v>98</v>
      </c>
      <c r="O56" s="11"/>
      <c r="P56" s="31" t="s">
        <v>41</v>
      </c>
      <c r="S56" s="23"/>
      <c r="X56" s="275" t="s">
        <v>41</v>
      </c>
    </row>
    <row r="57" spans="1:27" ht="14.65" customHeight="1">
      <c r="A57" s="28"/>
      <c r="B57" s="539"/>
      <c r="C57" s="349"/>
      <c r="D57" s="525"/>
      <c r="E57" s="526"/>
      <c r="F57" s="294"/>
      <c r="G57" s="294"/>
      <c r="H57" s="32"/>
      <c r="I57" s="306" t="s">
        <v>137</v>
      </c>
      <c r="J57" s="326"/>
      <c r="K57" s="284"/>
      <c r="L57" s="305"/>
      <c r="M57" s="305">
        <f>AVERAGE([26]Brewhouse!$AW$13:$AW$14,[26]Brewhouse!$AW$16:$AW$17)</f>
        <v>92.042628234181777</v>
      </c>
      <c r="N57" s="30">
        <v>98</v>
      </c>
      <c r="O57" s="11"/>
      <c r="P57" s="31"/>
      <c r="S57" s="23"/>
    </row>
    <row r="58" spans="1:27" ht="15" customHeight="1" thickBot="1">
      <c r="A58" s="28"/>
      <c r="B58" s="539"/>
      <c r="C58" s="349"/>
      <c r="D58" s="569"/>
      <c r="E58" s="570"/>
      <c r="F58" s="294"/>
      <c r="G58" s="294"/>
      <c r="H58" s="32"/>
      <c r="I58" s="38" t="s">
        <v>125</v>
      </c>
      <c r="J58" s="327"/>
      <c r="K58" s="284"/>
      <c r="L58" s="328"/>
      <c r="M58" s="328">
        <f>AVERAGE([26]Brewhouse!$AW$13:$AW$14)</f>
        <v>88.376943267718929</v>
      </c>
      <c r="N58" s="30">
        <v>98</v>
      </c>
      <c r="O58" s="11"/>
      <c r="P58" s="31"/>
      <c r="S58" s="23"/>
    </row>
    <row r="59" spans="1:27" ht="15" customHeight="1" thickTop="1" thickBot="1">
      <c r="A59" s="28"/>
      <c r="B59" s="539"/>
      <c r="C59" s="349"/>
      <c r="D59" s="571"/>
      <c r="E59" s="572"/>
      <c r="F59" s="294"/>
      <c r="G59" s="294"/>
      <c r="H59" s="32"/>
      <c r="I59" s="1"/>
      <c r="J59" s="39"/>
      <c r="K59" s="330">
        <f>SUM(K50:K58)</f>
        <v>76</v>
      </c>
      <c r="L59" s="329">
        <f>((L50*K50)+(L51*K51)+(L52*K52)+(L53*K53)+(L54*K54)+(K57*L57)+(L55*K55)+(L56*K56)+(L58*K58))/(K59)</f>
        <v>97.965422407334373</v>
      </c>
      <c r="M59" s="329">
        <f>AVERAGE('[27]Closing- January 2023'!$L$42,'[28]Feb. 28th'!$L$42,'[29]March 31st'!$L$75,'[30]Apri 28th'!$L$51,L59)</f>
        <v>98.069259977506491</v>
      </c>
      <c r="N59" s="40">
        <v>98</v>
      </c>
      <c r="O59" s="11"/>
      <c r="P59" s="31"/>
      <c r="S59" s="23"/>
    </row>
    <row r="60" spans="1:27" ht="15" customHeight="1">
      <c r="A60" s="28"/>
      <c r="B60" s="539"/>
      <c r="C60" s="349"/>
      <c r="D60" s="569"/>
      <c r="E60" s="570"/>
      <c r="F60" s="294"/>
      <c r="G60" s="294"/>
      <c r="H60" s="32"/>
      <c r="I60" s="1"/>
      <c r="J60" s="39"/>
      <c r="O60" s="11"/>
      <c r="P60" s="31"/>
      <c r="S60" s="23"/>
    </row>
    <row r="61" spans="1:27" ht="21.6" customHeight="1" thickBot="1">
      <c r="B61" s="568"/>
      <c r="C61" s="350"/>
      <c r="D61" s="573"/>
      <c r="E61" s="574"/>
      <c r="F61" s="294"/>
      <c r="G61" s="42"/>
      <c r="H61" s="41"/>
      <c r="I61" s="42"/>
      <c r="J61" s="42"/>
      <c r="K61" s="351"/>
      <c r="L61" s="348"/>
      <c r="M61" s="348"/>
      <c r="N61" s="11"/>
      <c r="O61" s="294"/>
      <c r="P61" s="12"/>
      <c r="S61" s="23"/>
    </row>
    <row r="62" spans="1:27" ht="15.75" thickBot="1">
      <c r="B62" s="575"/>
      <c r="C62" s="362"/>
      <c r="D62" s="578"/>
      <c r="E62" s="579"/>
      <c r="F62" s="43"/>
      <c r="G62" s="41"/>
      <c r="H62" s="41"/>
      <c r="I62" s="42"/>
      <c r="J62" s="580" t="s">
        <v>129</v>
      </c>
      <c r="K62" s="580"/>
      <c r="L62" s="294"/>
      <c r="M62" s="294"/>
      <c r="N62" s="294"/>
      <c r="O62" s="294"/>
      <c r="P62" s="12"/>
      <c r="S62" s="23" t="s">
        <v>41</v>
      </c>
    </row>
    <row r="63" spans="1:27" ht="13.5" customHeight="1" thickBot="1">
      <c r="B63" s="576"/>
      <c r="C63" s="349"/>
      <c r="D63" s="532"/>
      <c r="E63" s="526"/>
      <c r="F63" s="43"/>
      <c r="G63" s="41"/>
      <c r="H63" s="41"/>
      <c r="I63" s="42"/>
      <c r="J63" s="292" t="s">
        <v>17</v>
      </c>
      <c r="K63" s="293" t="s">
        <v>147</v>
      </c>
      <c r="L63" s="528" t="s">
        <v>136</v>
      </c>
      <c r="M63" s="528"/>
      <c r="N63" s="529"/>
      <c r="O63" s="294"/>
      <c r="P63" s="12"/>
      <c r="S63" s="23"/>
    </row>
    <row r="64" spans="1:27" ht="15" customHeight="1" thickBot="1">
      <c r="B64" s="576"/>
      <c r="C64" s="349"/>
      <c r="D64" s="581"/>
      <c r="E64" s="524"/>
      <c r="F64" s="43"/>
      <c r="G64" s="41"/>
      <c r="H64" s="41"/>
      <c r="I64" s="42"/>
      <c r="J64" s="287" t="s">
        <v>6</v>
      </c>
      <c r="K64" s="324"/>
      <c r="L64" s="343" t="s">
        <v>37</v>
      </c>
      <c r="M64" s="307" t="s">
        <v>38</v>
      </c>
      <c r="N64" s="307" t="s">
        <v>84</v>
      </c>
      <c r="O64" s="294"/>
      <c r="P64" s="12"/>
      <c r="S64" s="23"/>
    </row>
    <row r="65" spans="2:58" ht="15.75" customHeight="1" thickBot="1">
      <c r="B65" s="576"/>
      <c r="C65" s="349"/>
      <c r="D65" s="532"/>
      <c r="E65" s="526"/>
      <c r="F65" s="43"/>
      <c r="G65" s="41"/>
      <c r="H65" s="41"/>
      <c r="I65" s="42"/>
      <c r="J65" s="345" t="s">
        <v>9</v>
      </c>
      <c r="K65" s="324">
        <v>5</v>
      </c>
      <c r="L65" s="344" t="e">
        <f>AVERAGE(#REF!,#REF!,K74,#REF!,#REF!,#REF!,#REF!,#REF!,#REF!,#REF!,#REF!)</f>
        <v>#REF!</v>
      </c>
      <c r="M65" s="325" t="e">
        <f>AVERAGE(6,6,'[29]March 31st'!$L$80,'[31]June 30th  '!$L$71,6,L65,'[32]July 31st'!$L$108,'[33]Aug 30th'!$L$124,7,[34]Oct.31st!$L$51)</f>
        <v>#REF!</v>
      </c>
      <c r="N65" s="308">
        <v>9</v>
      </c>
      <c r="O65" s="294"/>
      <c r="P65" s="12"/>
      <c r="S65" s="23"/>
    </row>
    <row r="66" spans="2:58" ht="15" customHeight="1">
      <c r="B66" s="576"/>
      <c r="C66" s="349"/>
      <c r="D66" s="581"/>
      <c r="E66" s="524"/>
      <c r="F66" s="43"/>
      <c r="G66" s="41"/>
      <c r="H66" s="41"/>
      <c r="I66" s="42"/>
      <c r="J66" s="288" t="s">
        <v>40</v>
      </c>
      <c r="K66" s="324"/>
      <c r="L66" s="294"/>
      <c r="M66" s="294"/>
      <c r="N66" s="294"/>
      <c r="O66" s="294"/>
      <c r="P66" s="12"/>
      <c r="S66" s="23"/>
    </row>
    <row r="67" spans="2:58" ht="15" customHeight="1">
      <c r="B67" s="576"/>
      <c r="C67" s="349"/>
      <c r="D67" s="532"/>
      <c r="E67" s="526"/>
      <c r="F67" s="43"/>
      <c r="G67" s="41"/>
      <c r="H67" s="41"/>
      <c r="I67" s="42"/>
      <c r="J67" s="289" t="s">
        <v>33</v>
      </c>
      <c r="K67" s="324"/>
      <c r="L67" s="294"/>
      <c r="M67" s="294"/>
      <c r="N67" s="294"/>
      <c r="O67" s="294"/>
      <c r="P67" s="12"/>
      <c r="S67" s="23"/>
    </row>
    <row r="68" spans="2:58" ht="15">
      <c r="B68" s="576"/>
      <c r="C68" s="349"/>
      <c r="D68" s="581"/>
      <c r="E68" s="524"/>
      <c r="F68" s="43"/>
      <c r="G68" s="41"/>
      <c r="H68" s="41"/>
      <c r="I68" s="42"/>
      <c r="J68" s="290" t="s">
        <v>16</v>
      </c>
      <c r="K68" s="324"/>
      <c r="L68" s="294"/>
      <c r="M68" s="294"/>
      <c r="N68" s="294"/>
      <c r="O68" s="294"/>
      <c r="P68" s="12"/>
      <c r="S68" s="23"/>
      <c r="BD68" s="44"/>
      <c r="BE68" s="44"/>
    </row>
    <row r="69" spans="2:58" ht="15">
      <c r="B69" s="576"/>
      <c r="C69" s="349"/>
      <c r="D69" s="532"/>
      <c r="E69" s="526"/>
      <c r="F69" s="43"/>
      <c r="G69" s="41"/>
      <c r="H69" s="41"/>
      <c r="I69" s="42"/>
      <c r="J69" s="291" t="s">
        <v>15</v>
      </c>
      <c r="K69" s="324"/>
      <c r="L69" s="294"/>
      <c r="M69" s="294"/>
      <c r="N69" s="294"/>
      <c r="O69" s="294"/>
      <c r="P69" s="12"/>
      <c r="S69" s="23"/>
      <c r="BD69" s="44"/>
      <c r="BE69" s="44"/>
    </row>
    <row r="70" spans="2:58" ht="15">
      <c r="B70" s="576"/>
      <c r="C70" s="349"/>
      <c r="D70" s="582"/>
      <c r="E70" s="570"/>
      <c r="F70" s="43"/>
      <c r="G70" s="41"/>
      <c r="H70" s="41"/>
      <c r="I70" s="42"/>
      <c r="J70" s="291" t="s">
        <v>149</v>
      </c>
      <c r="K70" s="324"/>
      <c r="L70" s="294"/>
      <c r="M70" s="294"/>
      <c r="N70" s="294"/>
      <c r="O70" s="294"/>
      <c r="P70" s="12"/>
      <c r="S70" s="23"/>
      <c r="BD70" s="44"/>
      <c r="BE70" s="44"/>
    </row>
    <row r="71" spans="2:58" ht="15.75" thickBot="1">
      <c r="B71" s="577"/>
      <c r="C71" s="350"/>
      <c r="D71" s="583"/>
      <c r="E71" s="584"/>
      <c r="F71" s="43"/>
      <c r="G71" s="41"/>
      <c r="H71" s="41"/>
      <c r="I71" s="42"/>
      <c r="J71" s="291" t="s">
        <v>148</v>
      </c>
      <c r="K71" s="324"/>
      <c r="L71" s="294"/>
      <c r="M71" s="294"/>
      <c r="N71" s="294"/>
      <c r="O71" s="294"/>
      <c r="P71" s="12"/>
      <c r="S71" s="23"/>
      <c r="BD71" s="44"/>
      <c r="BE71" s="44"/>
    </row>
    <row r="72" spans="2:58" ht="17.649999999999999" customHeight="1" thickBot="1">
      <c r="B72" s="312" t="s">
        <v>139</v>
      </c>
      <c r="C72" s="313"/>
      <c r="D72" s="585">
        <f>AVERAGE(D50:E71)</f>
        <v>11.73</v>
      </c>
      <c r="E72" s="586"/>
      <c r="F72" s="43"/>
      <c r="G72" s="41"/>
      <c r="H72" s="41"/>
      <c r="I72" s="42"/>
      <c r="J72" s="295" t="s">
        <v>134</v>
      </c>
      <c r="K72" s="324"/>
      <c r="L72" s="294"/>
      <c r="M72" s="294"/>
      <c r="N72" s="294"/>
      <c r="O72" s="294"/>
      <c r="P72" s="12"/>
      <c r="S72" s="23"/>
      <c r="BD72" s="44"/>
      <c r="BE72" s="44"/>
    </row>
    <row r="73" spans="2:58" ht="17.649999999999999" customHeight="1">
      <c r="B73" s="363"/>
      <c r="C73" s="364"/>
      <c r="D73" s="365"/>
      <c r="E73" s="365"/>
      <c r="F73" s="43"/>
      <c r="G73" s="41"/>
      <c r="H73" s="41"/>
      <c r="I73" s="42"/>
      <c r="J73" s="295" t="s">
        <v>131</v>
      </c>
      <c r="K73" s="324"/>
      <c r="L73" s="294"/>
      <c r="M73" s="294"/>
      <c r="N73" s="294"/>
      <c r="O73" s="294"/>
      <c r="P73" s="12"/>
      <c r="S73" s="23"/>
      <c r="BD73" s="44"/>
      <c r="BE73" s="44"/>
    </row>
    <row r="74" spans="2:58" ht="15.75" customHeight="1">
      <c r="B74" s="45"/>
      <c r="C74" s="11"/>
      <c r="D74" s="11"/>
      <c r="E74" s="46"/>
      <c r="F74" s="23"/>
      <c r="G74" s="11"/>
      <c r="H74" s="41"/>
      <c r="I74" s="42"/>
      <c r="J74" s="346" t="s">
        <v>130</v>
      </c>
      <c r="K74" s="324">
        <f>SUM(K64:K73)</f>
        <v>5</v>
      </c>
      <c r="L74" s="294"/>
      <c r="M74" s="294"/>
      <c r="N74" s="294"/>
      <c r="O74" s="294"/>
      <c r="P74" s="12"/>
    </row>
    <row r="75" spans="2:58" ht="20.25" customHeight="1">
      <c r="B75" s="15" t="s">
        <v>42</v>
      </c>
      <c r="C75" s="1" t="s">
        <v>43</v>
      </c>
      <c r="D75" s="1"/>
      <c r="E75" s="1"/>
      <c r="I75" s="42"/>
      <c r="L75" s="294"/>
      <c r="P75" s="334"/>
    </row>
    <row r="76" spans="2:58" ht="15" customHeight="1" thickBot="1">
      <c r="B76" s="47"/>
      <c r="C76" s="47"/>
      <c r="D76" s="47"/>
      <c r="E76" s="47"/>
      <c r="F76" s="47"/>
      <c r="G76" s="47"/>
      <c r="H76" s="47"/>
      <c r="I76" s="47"/>
      <c r="J76" s="47"/>
      <c r="K76" s="47"/>
      <c r="L76" s="47"/>
      <c r="M76" s="47"/>
      <c r="N76" s="48"/>
      <c r="O76" s="48"/>
      <c r="P76" s="49"/>
      <c r="X76" s="275" t="s">
        <v>41</v>
      </c>
    </row>
    <row r="77" spans="2:58" ht="15" customHeight="1" thickBot="1">
      <c r="B77" s="505" t="s">
        <v>17</v>
      </c>
      <c r="C77" s="505" t="s">
        <v>44</v>
      </c>
      <c r="D77" s="514" t="s">
        <v>45</v>
      </c>
      <c r="E77" s="516" t="s">
        <v>46</v>
      </c>
      <c r="F77" s="518" t="s">
        <v>47</v>
      </c>
      <c r="G77" s="503" t="s">
        <v>48</v>
      </c>
      <c r="H77" s="505" t="s">
        <v>49</v>
      </c>
      <c r="I77" s="587" t="s">
        <v>50</v>
      </c>
      <c r="J77" s="497" t="s">
        <v>28</v>
      </c>
      <c r="K77" s="507" t="s">
        <v>51</v>
      </c>
      <c r="L77" s="509" t="s">
        <v>52</v>
      </c>
      <c r="M77" s="497" t="s">
        <v>53</v>
      </c>
      <c r="N77" s="77"/>
      <c r="O77" s="13"/>
      <c r="P77" s="50"/>
    </row>
    <row r="78" spans="2:58" ht="28.5" customHeight="1" thickTop="1" thickBot="1">
      <c r="B78" s="513"/>
      <c r="C78" s="513"/>
      <c r="D78" s="515"/>
      <c r="E78" s="517"/>
      <c r="F78" s="519"/>
      <c r="G78" s="504"/>
      <c r="H78" s="513"/>
      <c r="I78" s="588"/>
      <c r="J78" s="498"/>
      <c r="K78" s="508"/>
      <c r="L78" s="510"/>
      <c r="M78" s="498"/>
      <c r="N78" s="77"/>
      <c r="O78" s="13"/>
      <c r="P78" s="50"/>
      <c r="Q78" s="355"/>
      <c r="R78" s="355"/>
      <c r="S78" s="355"/>
      <c r="T78" s="355"/>
      <c r="U78" s="51">
        <v>43466</v>
      </c>
      <c r="V78" s="51">
        <v>43467</v>
      </c>
      <c r="W78" s="51">
        <v>43468</v>
      </c>
      <c r="X78" s="51">
        <v>43469</v>
      </c>
      <c r="Y78" s="51">
        <v>43470</v>
      </c>
      <c r="Z78" s="51">
        <v>43471</v>
      </c>
      <c r="AA78" s="51">
        <v>43472</v>
      </c>
      <c r="AB78" s="51">
        <v>43473</v>
      </c>
      <c r="AC78" s="51">
        <v>43474</v>
      </c>
      <c r="AD78" s="51">
        <v>43475</v>
      </c>
      <c r="AE78" s="51">
        <v>43476</v>
      </c>
      <c r="AF78" s="51">
        <v>43477</v>
      </c>
      <c r="AG78" s="51">
        <v>43478</v>
      </c>
      <c r="AH78" s="51">
        <v>43479</v>
      </c>
      <c r="AI78" s="51">
        <v>43480</v>
      </c>
      <c r="AJ78" s="51">
        <v>43481</v>
      </c>
      <c r="AK78" s="51">
        <v>43482</v>
      </c>
      <c r="AL78" s="51">
        <v>43483</v>
      </c>
      <c r="AM78" s="51">
        <v>43484</v>
      </c>
      <c r="AN78" s="51">
        <v>43485</v>
      </c>
      <c r="AO78" s="51">
        <v>43486</v>
      </c>
      <c r="AP78" s="51">
        <v>43487</v>
      </c>
      <c r="AQ78" s="51">
        <v>43488</v>
      </c>
      <c r="AR78" s="51">
        <v>43489</v>
      </c>
      <c r="AS78" s="51">
        <v>43490</v>
      </c>
      <c r="AT78" s="51">
        <v>43491</v>
      </c>
      <c r="AU78" s="51">
        <v>43492</v>
      </c>
      <c r="AV78" s="51">
        <v>43493</v>
      </c>
      <c r="AW78" s="51">
        <v>43494</v>
      </c>
      <c r="AX78" s="51">
        <v>43495</v>
      </c>
      <c r="AY78" s="51">
        <v>43496</v>
      </c>
    </row>
    <row r="79" spans="2:58" s="54" customFormat="1" ht="41.25" customHeight="1">
      <c r="B79" s="385" t="s">
        <v>9</v>
      </c>
      <c r="C79" s="283">
        <v>45278</v>
      </c>
      <c r="D79" s="377">
        <f>[35]December_2023!$U$13</f>
        <v>150.4</v>
      </c>
      <c r="E79" s="378"/>
      <c r="F79" s="379"/>
      <c r="G79" s="303">
        <f>[35]December_2023!$U$17</f>
        <v>120.8</v>
      </c>
      <c r="H79" s="381"/>
      <c r="I79" s="382"/>
      <c r="J79" s="360" t="s">
        <v>150</v>
      </c>
      <c r="K79" s="380">
        <f>[36]December_2023!$U$25</f>
        <v>0.42385964912280699</v>
      </c>
      <c r="L79" s="391">
        <f>(((D79+E79)-G79)/(D79+E79))*100</f>
        <v>19.680851063829792</v>
      </c>
      <c r="M79" s="357" t="s">
        <v>154</v>
      </c>
      <c r="N79" s="13"/>
      <c r="O79" s="13"/>
      <c r="P79" s="50"/>
      <c r="T79" s="272" t="s">
        <v>54</v>
      </c>
      <c r="U79" s="279"/>
      <c r="V79" s="279"/>
      <c r="W79" s="279"/>
      <c r="X79" s="279"/>
      <c r="Y79" s="279"/>
      <c r="Z79" s="279"/>
      <c r="AA79" s="279"/>
      <c r="AB79" s="279"/>
      <c r="AC79" s="279"/>
      <c r="AD79" s="279"/>
      <c r="AE79" s="279"/>
      <c r="AF79" s="279"/>
      <c r="AG79" s="279"/>
      <c r="AH79" s="279"/>
      <c r="AI79" s="279"/>
      <c r="AJ79" s="279"/>
      <c r="AK79" s="279"/>
      <c r="AL79" s="279"/>
      <c r="AM79" s="279"/>
      <c r="AN79" s="279"/>
      <c r="AO79" s="279"/>
      <c r="AP79" s="279"/>
      <c r="AQ79" s="279"/>
      <c r="AR79" s="279"/>
      <c r="AS79" s="279"/>
      <c r="AT79" s="279"/>
      <c r="AU79" s="279"/>
      <c r="AV79" s="279"/>
      <c r="AW79" s="279"/>
      <c r="AX79" s="279"/>
    </row>
    <row r="80" spans="2:58" s="54" customFormat="1" ht="18.75" customHeight="1" thickBot="1">
      <c r="B80" s="387"/>
      <c r="C80" s="283"/>
      <c r="D80" s="279"/>
      <c r="E80" s="279"/>
      <c r="F80" s="279"/>
      <c r="G80" s="279"/>
      <c r="H80" s="320"/>
      <c r="I80" s="321"/>
      <c r="J80" s="281" t="s">
        <v>41</v>
      </c>
      <c r="K80" s="376"/>
      <c r="L80" s="314"/>
      <c r="M80" s="384"/>
      <c r="N80" s="13"/>
      <c r="O80" s="13"/>
      <c r="P80" s="50"/>
      <c r="T80" s="272" t="s">
        <v>51</v>
      </c>
      <c r="U80" s="57" t="e">
        <f>[17]January_2019!D8</f>
        <v>#DIV/0!</v>
      </c>
      <c r="V80" s="57">
        <f>[17]January_2019!E8</f>
        <v>1.0319298245614037</v>
      </c>
      <c r="W80" s="57">
        <f>[17]January_2019!F8</f>
        <v>1.7789473684210526</v>
      </c>
      <c r="X80" s="57">
        <f>[17]January_2019!G8</f>
        <v>0.51929824561403504</v>
      </c>
      <c r="Y80" s="57" t="e">
        <f>[17]January_2019!H8</f>
        <v>#DIV/0!</v>
      </c>
      <c r="Z80" s="57" t="e">
        <f>[17]January_2019!I8</f>
        <v>#DIV/0!</v>
      </c>
      <c r="AA80" s="57">
        <f>[17]January_2019!J8</f>
        <v>1.365263157894737</v>
      </c>
      <c r="AB80" s="57" t="e">
        <f>[17]January_2019!K8</f>
        <v>#DIV/0!</v>
      </c>
      <c r="AC80" s="57">
        <f>[17]January_2019!L8</f>
        <v>1.0028070175438597</v>
      </c>
      <c r="AD80" s="57">
        <f>[17]January_2019!M8</f>
        <v>1.7828070175438597</v>
      </c>
      <c r="AE80" s="57" t="e">
        <f>[17]January_2019!N8</f>
        <v>#DIV/0!</v>
      </c>
      <c r="AF80" s="57" t="e">
        <f>[17]January_2019!O8</f>
        <v>#DIV/0!</v>
      </c>
      <c r="AG80" s="57">
        <f>[17]January_2019!P8</f>
        <v>0.19222222222222221</v>
      </c>
      <c r="AH80" s="57">
        <f>[17]January_2019!Q8</f>
        <v>0.52219298245614032</v>
      </c>
      <c r="AI80" s="57">
        <f>[17]January_2019!R8</f>
        <v>0.42912280701754385</v>
      </c>
      <c r="AJ80" s="57" t="e">
        <f>[17]January_2019!S8</f>
        <v>#DIV/0!</v>
      </c>
      <c r="AK80" s="57">
        <f>[17]January_2019!T8</f>
        <v>1.0340350877192983</v>
      </c>
      <c r="AL80" s="57">
        <f>[17]January_2019!U8</f>
        <v>0.98421052631578942</v>
      </c>
      <c r="AM80" s="57" t="e">
        <f>[17]January_2019!V8</f>
        <v>#DIV/0!</v>
      </c>
      <c r="AN80" s="57" t="e">
        <f>[17]January_2019!W8</f>
        <v>#DIV/0!</v>
      </c>
      <c r="AO80" s="57">
        <f>[17]January_2019!X8</f>
        <v>0.66052631578947374</v>
      </c>
      <c r="AP80" s="57">
        <f>[17]January_2019!Y8</f>
        <v>1.0375438596491227</v>
      </c>
      <c r="AQ80" s="57">
        <f>[17]January_2019!Z8</f>
        <v>0.90456140350877201</v>
      </c>
      <c r="AR80" s="57">
        <f>[17]January_2019!AA8</f>
        <v>1.0217543859649123</v>
      </c>
      <c r="AS80" s="57">
        <f>[17]January_2019!AB8</f>
        <v>0.65614035087719302</v>
      </c>
      <c r="AT80" s="57" t="e">
        <f>[17]January_2019!AC8</f>
        <v>#DIV/0!</v>
      </c>
      <c r="AU80" s="57" t="e">
        <f>[17]January_2019!AD8</f>
        <v>#DIV/0!</v>
      </c>
      <c r="AV80" s="57">
        <f>[17]January_2019!AE8</f>
        <v>1.7021052631578948</v>
      </c>
      <c r="AW80" s="57">
        <f>[17]January_2019!AF8</f>
        <v>0.60192982456140354</v>
      </c>
      <c r="AX80" s="57">
        <f>[17]January_2019!AG8</f>
        <v>1.4870175438596491</v>
      </c>
      <c r="AY80" s="277" t="e">
        <f>[17]January_2019!AH8</f>
        <v>#DIV/0!</v>
      </c>
      <c r="AZ80" s="277"/>
      <c r="BA80" s="277"/>
      <c r="BB80" s="277"/>
      <c r="BC80" s="277"/>
      <c r="BD80" s="277"/>
      <c r="BE80" s="277"/>
      <c r="BF80" s="277"/>
    </row>
    <row r="81" spans="2:58" s="54" customFormat="1" ht="45.75" hidden="1" customHeight="1" thickBot="1">
      <c r="B81" s="29"/>
      <c r="C81" s="283"/>
      <c r="D81" s="279"/>
      <c r="E81" s="279"/>
      <c r="F81" s="279"/>
      <c r="G81" s="279"/>
      <c r="H81" s="381"/>
      <c r="I81" s="382"/>
      <c r="J81" s="390"/>
      <c r="K81" s="372"/>
      <c r="L81" s="391"/>
      <c r="M81" s="357"/>
      <c r="N81" s="13"/>
      <c r="O81" s="13"/>
      <c r="P81" s="50"/>
      <c r="T81" s="272"/>
      <c r="U81" s="57"/>
      <c r="V81" s="57"/>
      <c r="W81" s="57"/>
      <c r="X81" s="57"/>
      <c r="Y81" s="57"/>
      <c r="Z81" s="57"/>
      <c r="AA81" s="57"/>
      <c r="AB81" s="57"/>
      <c r="AC81" s="57"/>
      <c r="AD81" s="57"/>
      <c r="AE81" s="57"/>
      <c r="AF81" s="57"/>
      <c r="AG81" s="57"/>
      <c r="AH81" s="57"/>
      <c r="AI81" s="57"/>
      <c r="AJ81" s="57"/>
      <c r="AK81" s="57"/>
      <c r="AL81" s="57"/>
      <c r="AM81" s="57"/>
      <c r="AN81" s="57"/>
      <c r="AO81" s="57"/>
      <c r="AP81" s="57"/>
      <c r="AQ81" s="57"/>
      <c r="AR81" s="57"/>
      <c r="AS81" s="57"/>
      <c r="AT81" s="57"/>
      <c r="AU81" s="57"/>
      <c r="AV81" s="57"/>
      <c r="AW81" s="57"/>
      <c r="AX81" s="57"/>
      <c r="AY81" s="277"/>
      <c r="AZ81" s="277"/>
      <c r="BA81" s="277"/>
      <c r="BB81" s="277"/>
      <c r="BC81" s="277"/>
      <c r="BD81" s="277"/>
      <c r="BE81" s="277"/>
      <c r="BF81" s="277"/>
    </row>
    <row r="82" spans="2:58" s="54" customFormat="1" ht="28.5" hidden="1" customHeight="1" thickBot="1">
      <c r="B82" s="361"/>
      <c r="C82" s="283"/>
      <c r="D82" s="304"/>
      <c r="E82" s="279"/>
      <c r="F82" s="279"/>
      <c r="G82" s="279"/>
      <c r="H82" s="320"/>
      <c r="I82" s="321"/>
      <c r="J82" s="389"/>
      <c r="K82" s="376"/>
      <c r="L82" s="314"/>
      <c r="M82" s="354"/>
      <c r="N82" s="13"/>
      <c r="O82" s="13"/>
      <c r="P82" s="50"/>
      <c r="T82" s="272"/>
      <c r="U82" s="57"/>
      <c r="V82" s="57"/>
      <c r="W82" s="57"/>
      <c r="X82" s="57"/>
      <c r="Y82" s="57"/>
      <c r="Z82" s="57"/>
      <c r="AA82" s="57"/>
      <c r="AB82" s="57"/>
      <c r="AC82" s="57"/>
      <c r="AD82" s="57"/>
      <c r="AE82" s="57"/>
      <c r="AF82" s="57"/>
      <c r="AG82" s="57"/>
      <c r="AH82" s="57"/>
      <c r="AI82" s="57"/>
      <c r="AJ82" s="57"/>
      <c r="AK82" s="57"/>
      <c r="AL82" s="57"/>
      <c r="AM82" s="57"/>
      <c r="AN82" s="57"/>
      <c r="AO82" s="57"/>
      <c r="AP82" s="57"/>
      <c r="AQ82" s="57"/>
      <c r="AR82" s="57"/>
      <c r="AS82" s="57"/>
      <c r="AT82" s="57"/>
      <c r="AU82" s="57"/>
      <c r="AV82" s="57"/>
      <c r="AW82" s="57"/>
      <c r="AX82" s="57"/>
      <c r="AY82" s="277"/>
      <c r="AZ82" s="277"/>
      <c r="BA82" s="277"/>
      <c r="BB82" s="277"/>
      <c r="BC82" s="277"/>
      <c r="BD82" s="277"/>
      <c r="BE82" s="277"/>
      <c r="BF82" s="277"/>
    </row>
    <row r="83" spans="2:58" s="54" customFormat="1" ht="45.75" hidden="1" customHeight="1">
      <c r="B83" s="385"/>
      <c r="C83" s="283"/>
      <c r="D83" s="279"/>
      <c r="E83" s="279"/>
      <c r="F83" s="279"/>
      <c r="G83" s="279"/>
      <c r="H83" s="320"/>
      <c r="I83" s="322"/>
      <c r="J83" s="360"/>
      <c r="K83" s="286"/>
      <c r="L83" s="314"/>
      <c r="M83" s="384"/>
      <c r="N83" s="13"/>
      <c r="O83" s="13"/>
      <c r="P83" s="50"/>
      <c r="T83" s="272"/>
      <c r="U83" s="57"/>
      <c r="V83" s="57"/>
      <c r="W83" s="57"/>
      <c r="X83" s="57"/>
      <c r="Y83" s="57"/>
      <c r="Z83" s="57"/>
      <c r="AA83" s="57"/>
      <c r="AB83" s="57"/>
      <c r="AC83" s="57"/>
      <c r="AD83" s="57"/>
      <c r="AE83" s="57"/>
      <c r="AF83" s="57"/>
      <c r="AG83" s="57"/>
      <c r="AH83" s="57"/>
      <c r="AI83" s="57"/>
      <c r="AJ83" s="57"/>
      <c r="AK83" s="57"/>
      <c r="AL83" s="57"/>
      <c r="AM83" s="57"/>
      <c r="AN83" s="57"/>
      <c r="AO83" s="57"/>
      <c r="AP83" s="57"/>
      <c r="AQ83" s="57"/>
      <c r="AR83" s="57"/>
      <c r="AS83" s="57"/>
      <c r="AT83" s="57"/>
      <c r="AU83" s="57"/>
      <c r="AV83" s="57"/>
      <c r="AW83" s="57"/>
      <c r="AX83" s="57"/>
      <c r="AY83" s="277"/>
      <c r="AZ83" s="277"/>
      <c r="BA83" s="277"/>
      <c r="BB83" s="277"/>
      <c r="BC83" s="277"/>
      <c r="BD83" s="277"/>
      <c r="BE83" s="277"/>
      <c r="BF83" s="277"/>
    </row>
    <row r="84" spans="2:58" s="54" customFormat="1" ht="45.75" hidden="1" customHeight="1">
      <c r="B84" s="361"/>
      <c r="C84" s="283"/>
      <c r="D84" s="279"/>
      <c r="E84" s="279"/>
      <c r="F84" s="279"/>
      <c r="G84" s="279"/>
      <c r="H84" s="320"/>
      <c r="I84" s="322"/>
      <c r="J84" s="281"/>
      <c r="K84" s="286"/>
      <c r="L84" s="314"/>
      <c r="M84" s="339"/>
      <c r="N84" s="13"/>
      <c r="O84" s="13"/>
      <c r="P84" s="50"/>
      <c r="T84" s="272"/>
      <c r="U84" s="57"/>
      <c r="V84" s="57"/>
      <c r="W84" s="57"/>
      <c r="X84" s="57"/>
      <c r="Y84" s="57"/>
      <c r="Z84" s="57"/>
      <c r="AA84" s="57"/>
      <c r="AB84" s="57"/>
      <c r="AC84" s="57"/>
      <c r="AD84" s="57"/>
      <c r="AE84" s="57"/>
      <c r="AF84" s="57"/>
      <c r="AG84" s="57"/>
      <c r="AH84" s="57"/>
      <c r="AI84" s="57"/>
      <c r="AJ84" s="57"/>
      <c r="AK84" s="57"/>
      <c r="AL84" s="57"/>
      <c r="AM84" s="57"/>
      <c r="AN84" s="57"/>
      <c r="AO84" s="57"/>
      <c r="AP84" s="57"/>
      <c r="AQ84" s="57"/>
      <c r="AR84" s="57"/>
      <c r="AS84" s="57"/>
      <c r="AT84" s="57"/>
      <c r="AU84" s="57"/>
      <c r="AV84" s="57"/>
      <c r="AW84" s="57"/>
      <c r="AX84" s="57"/>
      <c r="AY84" s="277"/>
      <c r="AZ84" s="277"/>
      <c r="BA84" s="277"/>
      <c r="BB84" s="277"/>
      <c r="BC84" s="277"/>
      <c r="BD84" s="277"/>
      <c r="BE84" s="277"/>
      <c r="BF84" s="277"/>
    </row>
    <row r="85" spans="2:58" ht="15.75" hidden="1" thickBot="1">
      <c r="B85" s="33"/>
      <c r="C85" s="310"/>
      <c r="D85" s="279"/>
      <c r="E85" s="279"/>
      <c r="F85" s="279"/>
      <c r="G85" s="279"/>
      <c r="H85" s="352"/>
      <c r="I85" s="353"/>
      <c r="J85" s="52"/>
      <c r="K85" s="52"/>
      <c r="L85" s="53"/>
      <c r="M85" s="55"/>
      <c r="N85" s="77"/>
      <c r="O85" s="13"/>
      <c r="P85" s="56"/>
    </row>
    <row r="86" spans="2:58" ht="15.75" thickBot="1">
      <c r="B86" s="58"/>
      <c r="C86" s="309"/>
      <c r="D86" s="58"/>
      <c r="E86" s="58"/>
      <c r="F86" s="58"/>
      <c r="G86" s="58"/>
      <c r="H86" s="58"/>
      <c r="I86" s="58"/>
      <c r="J86" s="58"/>
      <c r="K86" s="58"/>
      <c r="L86" s="58"/>
      <c r="M86" s="58"/>
      <c r="N86" s="59"/>
      <c r="O86" s="56"/>
      <c r="P86" s="60"/>
    </row>
    <row r="87" spans="2:58" ht="15.75" thickBot="1">
      <c r="B87" s="499" t="s">
        <v>55</v>
      </c>
      <c r="C87" s="500"/>
      <c r="D87" s="500"/>
      <c r="E87" s="500"/>
      <c r="F87" s="501"/>
      <c r="G87" s="499" t="s">
        <v>56</v>
      </c>
      <c r="H87" s="500"/>
      <c r="I87" s="500"/>
      <c r="J87" s="501"/>
      <c r="K87" s="499" t="s">
        <v>51</v>
      </c>
      <c r="L87" s="500"/>
      <c r="M87" s="500"/>
      <c r="N87" s="502"/>
      <c r="O87" s="56"/>
      <c r="P87" s="50"/>
    </row>
    <row r="88" spans="2:58" ht="15">
      <c r="B88" s="61" t="s">
        <v>17</v>
      </c>
      <c r="C88" s="62" t="s">
        <v>36</v>
      </c>
      <c r="D88" s="62" t="s">
        <v>37</v>
      </c>
      <c r="E88" s="62" t="s">
        <v>38</v>
      </c>
      <c r="F88" s="63" t="s">
        <v>39</v>
      </c>
      <c r="G88" s="62" t="s">
        <v>36</v>
      </c>
      <c r="H88" s="62" t="s">
        <v>37</v>
      </c>
      <c r="I88" s="62" t="s">
        <v>38</v>
      </c>
      <c r="J88" s="63" t="s">
        <v>39</v>
      </c>
      <c r="K88" s="62" t="s">
        <v>36</v>
      </c>
      <c r="L88" s="62" t="s">
        <v>37</v>
      </c>
      <c r="M88" s="62" t="s">
        <v>38</v>
      </c>
      <c r="N88" s="63" t="s">
        <v>39</v>
      </c>
      <c r="O88" s="56"/>
      <c r="P88" s="64"/>
    </row>
    <row r="89" spans="2:58" ht="15">
      <c r="B89" s="29" t="s">
        <v>6</v>
      </c>
      <c r="D89" s="76">
        <v>5.181332008533289</v>
      </c>
      <c r="E89" s="76">
        <v>6.6038502743493472</v>
      </c>
      <c r="F89" s="66">
        <v>4.8</v>
      </c>
      <c r="H89" s="76">
        <v>5.2502762338962023</v>
      </c>
      <c r="I89" s="76">
        <v>6.9665257793219286</v>
      </c>
      <c r="J89" s="66">
        <v>4.8</v>
      </c>
      <c r="L89" s="194">
        <v>0.70807017543859652</v>
      </c>
      <c r="M89" s="194">
        <v>0.77999467121139654</v>
      </c>
      <c r="N89" s="68">
        <v>1</v>
      </c>
      <c r="O89" s="56"/>
      <c r="P89" s="69"/>
    </row>
    <row r="90" spans="2:58" ht="15">
      <c r="B90" s="33" t="s">
        <v>9</v>
      </c>
      <c r="C90" s="65">
        <f>AVERAGE(L79,L81)</f>
        <v>19.680851063829792</v>
      </c>
      <c r="D90" s="76">
        <v>6.5498914589415387</v>
      </c>
      <c r="E90" s="76">
        <v>6.1662321034923213</v>
      </c>
      <c r="F90" s="66">
        <v>4.8</v>
      </c>
      <c r="G90" s="65">
        <f>[35]December_2023!$U$21</f>
        <v>19.680851063829799</v>
      </c>
      <c r="H90" s="76">
        <v>6.3458281571920923</v>
      </c>
      <c r="I90" s="76">
        <v>5.9138833775175614</v>
      </c>
      <c r="J90" s="66">
        <v>4.8</v>
      </c>
      <c r="K90" s="67">
        <f>AVERAGE(K79,K81)</f>
        <v>0.42385964912280699</v>
      </c>
      <c r="L90" s="194">
        <v>0.66137426900584784</v>
      </c>
      <c r="M90" s="194">
        <v>0.71942943874066057</v>
      </c>
      <c r="N90" s="68">
        <v>1</v>
      </c>
      <c r="P90" s="69"/>
    </row>
    <row r="91" spans="2:58" ht="15">
      <c r="B91" s="34" t="s">
        <v>40</v>
      </c>
      <c r="C91" s="65"/>
      <c r="D91" s="76">
        <v>8.4423676012461133</v>
      </c>
      <c r="E91" s="76">
        <v>8.9890454879433594</v>
      </c>
      <c r="F91" s="66">
        <v>5.5</v>
      </c>
      <c r="G91" s="65"/>
      <c r="H91" s="76">
        <v>5.9624998430282856</v>
      </c>
      <c r="I91" s="76">
        <v>8.6652309201910018</v>
      </c>
      <c r="J91" s="66">
        <v>5.5</v>
      </c>
      <c r="K91" s="67"/>
      <c r="L91" s="194">
        <v>0.5156140350877193</v>
      </c>
      <c r="M91" s="194">
        <v>0.65035607537361928</v>
      </c>
      <c r="N91" s="68">
        <v>1</v>
      </c>
      <c r="P91" s="69"/>
    </row>
    <row r="92" spans="2:58" ht="15">
      <c r="B92" s="22" t="s">
        <v>33</v>
      </c>
      <c r="C92" s="65"/>
      <c r="D92" s="76">
        <v>3.5978480161398938</v>
      </c>
      <c r="E92" s="76">
        <v>2.9936806546492249</v>
      </c>
      <c r="F92" s="66">
        <v>3.3</v>
      </c>
      <c r="G92" s="65"/>
      <c r="H92" s="76">
        <v>6.0982020044620322</v>
      </c>
      <c r="I92" s="76">
        <v>3.3134542932705222</v>
      </c>
      <c r="J92" s="66">
        <v>3.3</v>
      </c>
      <c r="K92" s="67"/>
      <c r="L92" s="194">
        <v>0.50298245614035086</v>
      </c>
      <c r="M92" s="194">
        <v>1.0625518341307816</v>
      </c>
      <c r="N92" s="68">
        <v>1</v>
      </c>
      <c r="P92" s="69"/>
    </row>
    <row r="93" spans="2:58" ht="15">
      <c r="B93" s="35" t="s">
        <v>29</v>
      </c>
      <c r="C93" s="65"/>
      <c r="D93" s="76"/>
      <c r="E93" s="76"/>
      <c r="F93" s="66">
        <v>3.3</v>
      </c>
      <c r="G93" s="282"/>
      <c r="H93" s="76"/>
      <c r="I93" s="76"/>
      <c r="J93" s="66">
        <v>3</v>
      </c>
      <c r="K93" s="67"/>
      <c r="L93" s="194"/>
      <c r="M93" s="194"/>
      <c r="N93" s="68">
        <v>1</v>
      </c>
      <c r="P93" s="69"/>
    </row>
    <row r="94" spans="2:58" ht="15">
      <c r="B94" s="36" t="s">
        <v>15</v>
      </c>
      <c r="C94" s="282"/>
      <c r="D94" s="76"/>
      <c r="E94" s="76">
        <v>6.4174306465055304</v>
      </c>
      <c r="F94" s="70">
        <f>[37]May_2022!$M$43</f>
        <v>3.4878406700073312</v>
      </c>
      <c r="G94" s="282"/>
      <c r="H94" s="76"/>
      <c r="I94" s="76">
        <v>7.0730654939490236</v>
      </c>
      <c r="J94" s="70">
        <v>5.5</v>
      </c>
      <c r="K94" s="67"/>
      <c r="L94" s="194"/>
      <c r="M94" s="194">
        <v>1.0342105263157895</v>
      </c>
      <c r="N94" s="68">
        <v>1</v>
      </c>
      <c r="P94" s="69"/>
    </row>
    <row r="95" spans="2:58" ht="15">
      <c r="B95" s="37" t="s">
        <v>16</v>
      </c>
      <c r="C95" s="65"/>
      <c r="D95" s="76">
        <v>2.7692803091289537</v>
      </c>
      <c r="E95" s="76">
        <v>3.0589057857018314</v>
      </c>
      <c r="F95" s="70">
        <v>3.3</v>
      </c>
      <c r="G95" s="282"/>
      <c r="H95" s="76">
        <v>4.2179953480824466</v>
      </c>
      <c r="I95" s="76">
        <v>4.9470952635574701</v>
      </c>
      <c r="J95" s="70">
        <v>3.3</v>
      </c>
      <c r="K95" s="67"/>
      <c r="L95" s="194">
        <v>1.0594736842105266</v>
      </c>
      <c r="M95" s="194">
        <v>1.0223839009287927</v>
      </c>
      <c r="N95" s="71">
        <v>1</v>
      </c>
      <c r="P95" s="69"/>
    </row>
    <row r="96" spans="2:58" ht="15.75" thickBot="1">
      <c r="B96" s="38" t="s">
        <v>127</v>
      </c>
      <c r="C96" s="65"/>
      <c r="D96" s="76"/>
      <c r="E96" s="76">
        <v>11.178247734138981</v>
      </c>
      <c r="F96" s="72">
        <v>7.5</v>
      </c>
      <c r="G96" s="73"/>
      <c r="H96" s="76"/>
      <c r="I96" s="76">
        <v>14.598510156332937</v>
      </c>
      <c r="J96" s="72">
        <v>7.5</v>
      </c>
      <c r="K96" s="67"/>
      <c r="L96" s="194"/>
      <c r="M96" s="194">
        <v>0.30947368421052629</v>
      </c>
      <c r="N96" s="71">
        <v>1</v>
      </c>
      <c r="P96" s="69"/>
    </row>
    <row r="97" spans="3:30" ht="15">
      <c r="C97" s="65"/>
      <c r="D97" s="76">
        <v>5.3927000828210607</v>
      </c>
      <c r="E97" s="76">
        <v>6.2517133375322747</v>
      </c>
      <c r="F97" s="341">
        <v>4.5</v>
      </c>
      <c r="G97" s="74"/>
      <c r="H97" s="76">
        <v>5.4965257407735688</v>
      </c>
      <c r="I97" s="76">
        <v>6.5279580392540781</v>
      </c>
      <c r="J97" s="342">
        <v>4.5</v>
      </c>
      <c r="K97" s="67"/>
      <c r="L97" s="194">
        <v>0.69682017543859642</v>
      </c>
      <c r="M97" s="194">
        <v>0.78265037728044273</v>
      </c>
      <c r="N97" s="386">
        <v>1</v>
      </c>
      <c r="O97" s="74"/>
      <c r="P97" s="75"/>
    </row>
    <row r="102" spans="3:30">
      <c r="F102" s="315"/>
    </row>
    <row r="110" spans="3:30">
      <c r="AD110" s="275" t="s">
        <v>57</v>
      </c>
    </row>
  </sheetData>
  <mergeCells count="54">
    <mergeCell ref="M77:M78"/>
    <mergeCell ref="B87:F87"/>
    <mergeCell ref="G87:J87"/>
    <mergeCell ref="K87:N87"/>
    <mergeCell ref="G77:G78"/>
    <mergeCell ref="H77:H78"/>
    <mergeCell ref="I77:I78"/>
    <mergeCell ref="J77:J78"/>
    <mergeCell ref="K77:K78"/>
    <mergeCell ref="L77:L78"/>
    <mergeCell ref="F77:F78"/>
    <mergeCell ref="D72:E72"/>
    <mergeCell ref="B77:B78"/>
    <mergeCell ref="C77:C78"/>
    <mergeCell ref="D77:D78"/>
    <mergeCell ref="E77:E78"/>
    <mergeCell ref="B62:B71"/>
    <mergeCell ref="D62:E63"/>
    <mergeCell ref="J62:K62"/>
    <mergeCell ref="L63:N63"/>
    <mergeCell ref="D64:E65"/>
    <mergeCell ref="D66:E67"/>
    <mergeCell ref="D68:E69"/>
    <mergeCell ref="D70:E71"/>
    <mergeCell ref="Q8:Q9"/>
    <mergeCell ref="I48:N48"/>
    <mergeCell ref="B50:B61"/>
    <mergeCell ref="D50:E51"/>
    <mergeCell ref="D52:E53"/>
    <mergeCell ref="D54:E55"/>
    <mergeCell ref="D56:E57"/>
    <mergeCell ref="D58:E59"/>
    <mergeCell ref="D60:E61"/>
    <mergeCell ref="X1:Y1"/>
    <mergeCell ref="Z1:AA1"/>
    <mergeCell ref="B2:O2"/>
    <mergeCell ref="D49:E49"/>
    <mergeCell ref="J6:K7"/>
    <mergeCell ref="B8:B9"/>
    <mergeCell ref="C8:C9"/>
    <mergeCell ref="D8:D9"/>
    <mergeCell ref="G8:G9"/>
    <mergeCell ref="H8:H9"/>
    <mergeCell ref="I8:I9"/>
    <mergeCell ref="J8:J9"/>
    <mergeCell ref="K8:K9"/>
    <mergeCell ref="L8:L9"/>
    <mergeCell ref="O8:O9"/>
    <mergeCell ref="P8:P9"/>
    <mergeCell ref="C4:D4"/>
    <mergeCell ref="J4:K5"/>
    <mergeCell ref="M4:N4"/>
    <mergeCell ref="T1:U1"/>
    <mergeCell ref="V1:W1"/>
  </mergeCells>
  <conditionalFormatting sqref="B72:B73">
    <cfRule type="cellIs" dxfId="4219" priority="157" operator="notBetween">
      <formula>#REF!</formula>
      <formula>#REF!</formula>
    </cfRule>
  </conditionalFormatting>
  <conditionalFormatting sqref="C76">
    <cfRule type="cellIs" dxfId="4218" priority="190" stopIfTrue="1" operator="greaterThan">
      <formula>100</formula>
    </cfRule>
    <cfRule type="cellIs" dxfId="4217" priority="189" stopIfTrue="1" operator="lessThan">
      <formula>96</formula>
    </cfRule>
  </conditionalFormatting>
  <conditionalFormatting sqref="C90">
    <cfRule type="cellIs" dxfId="4216" priority="212" stopIfTrue="1" operator="greaterThan">
      <formula>$F89</formula>
    </cfRule>
    <cfRule type="cellIs" dxfId="4215" priority="106" stopIfTrue="1" operator="lessThanOrEqual">
      <formula>0</formula>
    </cfRule>
  </conditionalFormatting>
  <conditionalFormatting sqref="C91:C93">
    <cfRule type="cellIs" dxfId="4214" priority="105" stopIfTrue="1" operator="greaterThan">
      <formula>$F91</formula>
    </cfRule>
  </conditionalFormatting>
  <conditionalFormatting sqref="C91:C94">
    <cfRule type="cellIs" dxfId="4213" priority="129" stopIfTrue="1" operator="lessThanOrEqual">
      <formula>0</formula>
    </cfRule>
  </conditionalFormatting>
  <conditionalFormatting sqref="C94">
    <cfRule type="cellIs" dxfId="4212" priority="128" stopIfTrue="1" operator="greaterThan">
      <formula>$J94</formula>
    </cfRule>
  </conditionalFormatting>
  <conditionalFormatting sqref="C95:C97">
    <cfRule type="cellIs" dxfId="4211" priority="145" stopIfTrue="1" operator="greaterThan">
      <formula>$F95</formula>
    </cfRule>
    <cfRule type="cellIs" dxfId="4210" priority="146" stopIfTrue="1" operator="lessThanOrEqual">
      <formula>0</formula>
    </cfRule>
  </conditionalFormatting>
  <conditionalFormatting sqref="C100:C104">
    <cfRule type="cellIs" dxfId="4209" priority="181" stopIfTrue="1" operator="lessThanOrEqual">
      <formula>0</formula>
    </cfRule>
  </conditionalFormatting>
  <conditionalFormatting sqref="C101:C104">
    <cfRule type="cellIs" dxfId="4208" priority="180" stopIfTrue="1" operator="greaterThan">
      <formula>$F$100</formula>
    </cfRule>
  </conditionalFormatting>
  <conditionalFormatting sqref="C106">
    <cfRule type="cellIs" dxfId="4207" priority="183" stopIfTrue="1" operator="lessThanOrEqual">
      <formula>0</formula>
    </cfRule>
    <cfRule type="cellIs" dxfId="4206" priority="182" stopIfTrue="1" operator="greaterThan">
      <formula>$F$100</formula>
    </cfRule>
  </conditionalFormatting>
  <conditionalFormatting sqref="C100:D100 D102:D108">
    <cfRule type="cellIs" dxfId="4205" priority="175" stopIfTrue="1" operator="greaterThan">
      <formula>4.5</formula>
    </cfRule>
  </conditionalFormatting>
  <conditionalFormatting sqref="D72:D73">
    <cfRule type="cellIs" dxfId="4204" priority="158" operator="notBetween">
      <formula>#REF!</formula>
      <formula>#REF!</formula>
    </cfRule>
  </conditionalFormatting>
  <conditionalFormatting sqref="D89:D96">
    <cfRule type="cellIs" dxfId="4203" priority="144" stopIfTrue="1" operator="lessThanOrEqual">
      <formula>0</formula>
    </cfRule>
  </conditionalFormatting>
  <conditionalFormatting sqref="D97">
    <cfRule type="cellIs" dxfId="4202" priority="143" stopIfTrue="1" operator="lessThanOrEqual">
      <formula>0</formula>
    </cfRule>
  </conditionalFormatting>
  <conditionalFormatting sqref="D100 D102:D108">
    <cfRule type="cellIs" dxfId="4201" priority="176" stopIfTrue="1" operator="lessThanOrEqual">
      <formula>0</formula>
    </cfRule>
  </conditionalFormatting>
  <conditionalFormatting sqref="D101">
    <cfRule type="cellIs" dxfId="4200" priority="167" stopIfTrue="1" operator="greaterThan">
      <formula>$F$100</formula>
    </cfRule>
    <cfRule type="cellIs" dxfId="4199" priority="168" stopIfTrue="1" operator="lessThanOrEqual">
      <formula>0</formula>
    </cfRule>
  </conditionalFormatting>
  <conditionalFormatting sqref="D89:E97">
    <cfRule type="cellIs" dxfId="4198" priority="135" stopIfTrue="1" operator="greaterThan">
      <formula>$F89</formula>
    </cfRule>
  </conditionalFormatting>
  <conditionalFormatting sqref="E10:E14">
    <cfRule type="cellIs" dxfId="4197" priority="52" operator="lessThan">
      <formula>48</formula>
    </cfRule>
  </conditionalFormatting>
  <conditionalFormatting sqref="E33:E46">
    <cfRule type="cellIs" dxfId="4196" priority="25" operator="lessThan">
      <formula>48</formula>
    </cfRule>
  </conditionalFormatting>
  <conditionalFormatting sqref="E76">
    <cfRule type="cellIs" dxfId="4195" priority="169" stopIfTrue="1" operator="lessThan">
      <formula>96.8</formula>
    </cfRule>
    <cfRule type="cellIs" dxfId="4194" priority="170" stopIfTrue="1" operator="greaterThan">
      <formula>100</formula>
    </cfRule>
  </conditionalFormatting>
  <conditionalFormatting sqref="E89:E97">
    <cfRule type="cellIs" dxfId="4193" priority="136" stopIfTrue="1" operator="lessThanOrEqual">
      <formula>0</formula>
    </cfRule>
  </conditionalFormatting>
  <conditionalFormatting sqref="E100:E108">
    <cfRule type="cellIs" dxfId="4192" priority="161" stopIfTrue="1" operator="greaterThan">
      <formula>4.5</formula>
    </cfRule>
    <cfRule type="cellIs" dxfId="4191" priority="162" stopIfTrue="1" operator="lessThanOrEqual">
      <formula>0</formula>
    </cfRule>
  </conditionalFormatting>
  <conditionalFormatting sqref="E75:F76">
    <cfRule type="cellIs" dxfId="4190" priority="171" stopIfTrue="1" operator="lessThan">
      <formula>96.5</formula>
    </cfRule>
    <cfRule type="cellIs" dxfId="4189" priority="172" stopIfTrue="1" operator="greaterThan">
      <formula>100</formula>
    </cfRule>
  </conditionalFormatting>
  <conditionalFormatting sqref="F10:F12">
    <cfRule type="cellIs" dxfId="4188" priority="62" operator="greaterThan">
      <formula>#REF!</formula>
    </cfRule>
  </conditionalFormatting>
  <conditionalFormatting sqref="F10:F47">
    <cfRule type="cellIs" dxfId="4187" priority="15" operator="greaterThan">
      <formula>$AA10</formula>
    </cfRule>
  </conditionalFormatting>
  <conditionalFormatting sqref="F13">
    <cfRule type="cellIs" dxfId="4186" priority="53" operator="greaterThan">
      <formula>$AA47</formula>
    </cfRule>
  </conditionalFormatting>
  <conditionalFormatting sqref="F14">
    <cfRule type="cellIs" dxfId="4185" priority="196" operator="greaterThan">
      <formula>#REF!</formula>
    </cfRule>
  </conditionalFormatting>
  <conditionalFormatting sqref="F33:F46">
    <cfRule type="cellIs" dxfId="4184" priority="26" operator="greaterThan">
      <formula>$AA48</formula>
    </cfRule>
  </conditionalFormatting>
  <conditionalFormatting sqref="F76">
    <cfRule type="cellIs" dxfId="4183" priority="188" stopIfTrue="1" operator="greaterThan">
      <formula>100</formula>
    </cfRule>
    <cfRule type="cellIs" dxfId="4182" priority="187" stopIfTrue="1" operator="lessThan">
      <formula>96.8</formula>
    </cfRule>
  </conditionalFormatting>
  <conditionalFormatting sqref="F97">
    <cfRule type="cellIs" dxfId="4181" priority="137" stopIfTrue="1" operator="greaterThan">
      <formula>$F97</formula>
    </cfRule>
    <cfRule type="cellIs" dxfId="4180" priority="138" stopIfTrue="1" operator="lessThanOrEqual">
      <formula>0</formula>
    </cfRule>
  </conditionalFormatting>
  <conditionalFormatting sqref="G10:G14">
    <cfRule type="expression" dxfId="4179" priority="54">
      <formula>IF(+(IF(G10&lt;#REF!,0,IF(G10&gt;#REF!,0,1)))=0,1)</formula>
    </cfRule>
  </conditionalFormatting>
  <conditionalFormatting sqref="G33:G46">
    <cfRule type="expression" dxfId="4178" priority="27">
      <formula>IF(+(IF(G33&lt;#REF!,0,IF(G33&gt;#REF!,0,1)))=0,1)</formula>
    </cfRule>
  </conditionalFormatting>
  <conditionalFormatting sqref="G90">
    <cfRule type="cellIs" dxfId="4177" priority="71" stopIfTrue="1" operator="lessThanOrEqual">
      <formula>0</formula>
    </cfRule>
    <cfRule type="cellIs" dxfId="4176" priority="70" stopIfTrue="1" operator="greaterThan">
      <formula>$F89</formula>
    </cfRule>
  </conditionalFormatting>
  <conditionalFormatting sqref="G90:G91">
    <cfRule type="cellIs" dxfId="4175" priority="192" stopIfTrue="1" operator="lessThanOrEqual">
      <formula>0</formula>
    </cfRule>
    <cfRule type="cellIs" dxfId="4174" priority="191" stopIfTrue="1" operator="greaterThan">
      <formula>$F89</formula>
    </cfRule>
  </conditionalFormatting>
  <conditionalFormatting sqref="G92">
    <cfRule type="cellIs" dxfId="4173" priority="140" stopIfTrue="1" operator="lessThanOrEqual">
      <formula>0</formula>
    </cfRule>
    <cfRule type="cellIs" dxfId="4172" priority="139" stopIfTrue="1" operator="greaterThan">
      <formula>$F92</formula>
    </cfRule>
  </conditionalFormatting>
  <conditionalFormatting sqref="G93:G96">
    <cfRule type="cellIs" dxfId="4171" priority="149" stopIfTrue="1" operator="lessThanOrEqual">
      <formula>0</formula>
    </cfRule>
    <cfRule type="cellIs" dxfId="4170" priority="148" stopIfTrue="1" operator="greaterThan">
      <formula>$J93</formula>
    </cfRule>
  </conditionalFormatting>
  <conditionalFormatting sqref="G97">
    <cfRule type="cellIs" dxfId="4169" priority="147" operator="greaterThan">
      <formula>4.5</formula>
    </cfRule>
  </conditionalFormatting>
  <conditionalFormatting sqref="G102:G107 C105 C107">
    <cfRule type="cellIs" dxfId="4168" priority="184" stopIfTrue="1" operator="greaterThan">
      <formula>4.5</formula>
    </cfRule>
    <cfRule type="cellIs" dxfId="4167" priority="185" stopIfTrue="1" operator="lessThanOrEqual">
      <formula>0</formula>
    </cfRule>
  </conditionalFormatting>
  <conditionalFormatting sqref="G62:H62 G63:G73 H63:H74">
    <cfRule type="cellIs" dxfId="4166" priority="163" stopIfTrue="1" operator="greaterThan">
      <formula>0</formula>
    </cfRule>
  </conditionalFormatting>
  <conditionalFormatting sqref="G101:H101">
    <cfRule type="cellIs" dxfId="4165" priority="166" stopIfTrue="1" operator="lessThanOrEqual">
      <formula>0</formula>
    </cfRule>
    <cfRule type="cellIs" dxfId="4164" priority="165" stopIfTrue="1" operator="greaterThan">
      <formula>$F$100</formula>
    </cfRule>
  </conditionalFormatting>
  <conditionalFormatting sqref="H10">
    <cfRule type="expression" dxfId="4163" priority="63">
      <formula>IF(+(IF(H10&lt;T27,0,IF(H10&gt;U27,0,1)))=0,1)</formula>
    </cfRule>
  </conditionalFormatting>
  <conditionalFormatting sqref="H10:H12">
    <cfRule type="expression" dxfId="4162" priority="64">
      <formula>IF(+(IF(H10&lt;#REF!,0,IF(H10&gt;#REF!,0,1)))=0,1)</formula>
    </cfRule>
  </conditionalFormatting>
  <conditionalFormatting sqref="H11:H12">
    <cfRule type="expression" dxfId="4161" priority="207">
      <formula>IF(+(IF(H11&lt;T47,0,IF(H11&gt;U47,0,1)))=0,1)</formula>
    </cfRule>
  </conditionalFormatting>
  <conditionalFormatting sqref="H13">
    <cfRule type="expression" dxfId="4160" priority="55">
      <formula>IF(+(IF(H13&lt;T56,0,IF(H13&gt;U56,0,1)))=0,1)</formula>
    </cfRule>
    <cfRule type="expression" dxfId="4159" priority="56">
      <formula>IF(+(IF(H13&lt;T47,0,IF(H13&gt;U47,0,1)))=0,1)</formula>
    </cfRule>
  </conditionalFormatting>
  <conditionalFormatting sqref="H14">
    <cfRule type="expression" dxfId="4158" priority="197">
      <formula>IF(+(IF(H14&lt;T50,0,IF(H14&gt;U50,0,1)))=0,1)</formula>
    </cfRule>
    <cfRule type="expression" dxfId="4157" priority="198">
      <formula>IF(+(IF(H14&lt;#REF!,0,IF(H14&gt;#REF!,0,1)))=0,1)</formula>
    </cfRule>
  </conditionalFormatting>
  <conditionalFormatting sqref="H15:H32">
    <cfRule type="expression" dxfId="4156" priority="209">
      <formula>IF(+(IF(H15&lt;T66,0,IF(H15&gt;U66,0,1)))=0,1)</formula>
    </cfRule>
  </conditionalFormatting>
  <conditionalFormatting sqref="H33:H46">
    <cfRule type="expression" dxfId="4155" priority="29">
      <formula>IF(+(IF(H33&lt;T48,0,IF(H33&gt;U48,0,1)))=0,1)</formula>
    </cfRule>
    <cfRule type="expression" dxfId="4154" priority="28">
      <formula>IF(+(IF(H33&lt;T57,0,IF(H33&gt;U57,0,1)))=0,1)</formula>
    </cfRule>
  </conditionalFormatting>
  <conditionalFormatting sqref="H47">
    <cfRule type="expression" dxfId="4153" priority="193">
      <formula>IF(+(IF(H47&lt;#REF!,0,IF(H47&gt;#REF!,0,1)))=0,1)</formula>
    </cfRule>
  </conditionalFormatting>
  <conditionalFormatting sqref="H51:H61">
    <cfRule type="cellIs" dxfId="4152" priority="159" stopIfTrue="1" operator="greaterThan">
      <formula>0</formula>
    </cfRule>
  </conditionalFormatting>
  <conditionalFormatting sqref="H79">
    <cfRule type="cellIs" dxfId="4151" priority="12" stopIfTrue="1" operator="lessThanOrEqual">
      <formula>0</formula>
    </cfRule>
    <cfRule type="cellIs" dxfId="4150" priority="14" stopIfTrue="1" operator="lessThanOrEqual">
      <formula>0</formula>
    </cfRule>
    <cfRule type="cellIs" dxfId="4149" priority="13" stopIfTrue="1" operator="greaterThan">
      <formula>$F$54</formula>
    </cfRule>
    <cfRule type="cellIs" dxfId="4148" priority="11" stopIfTrue="1" operator="greaterThan">
      <formula>$F$56</formula>
    </cfRule>
    <cfRule type="cellIs" dxfId="4147" priority="2" stopIfTrue="1" operator="lessThanOrEqual">
      <formula>0</formula>
    </cfRule>
    <cfRule type="cellIs" dxfId="4146" priority="3" stopIfTrue="1" operator="greaterThan">
      <formula>$F$53</formula>
    </cfRule>
  </conditionalFormatting>
  <conditionalFormatting sqref="H80">
    <cfRule type="cellIs" dxfId="4145" priority="92" stopIfTrue="1" operator="lessThanOrEqual">
      <formula>0</formula>
    </cfRule>
    <cfRule type="cellIs" dxfId="4144" priority="93" stopIfTrue="1" operator="greaterThan">
      <formula>$F$88</formula>
    </cfRule>
    <cfRule type="cellIs" dxfId="4143" priority="104" stopIfTrue="1" operator="lessThanOrEqual">
      <formula>0</formula>
    </cfRule>
    <cfRule type="cellIs" dxfId="4142" priority="101" stopIfTrue="1" operator="greaterThan">
      <formula>$F$91</formula>
    </cfRule>
    <cfRule type="cellIs" dxfId="4141" priority="102" stopIfTrue="1" operator="lessThanOrEqual">
      <formula>0</formula>
    </cfRule>
    <cfRule type="cellIs" dxfId="4140" priority="103" stopIfTrue="1" operator="greaterThan">
      <formula>$F$89</formula>
    </cfRule>
  </conditionalFormatting>
  <conditionalFormatting sqref="H81">
    <cfRule type="cellIs" dxfId="4139" priority="45" stopIfTrue="1" operator="lessThanOrEqual">
      <formula>0</formula>
    </cfRule>
    <cfRule type="cellIs" dxfId="4138" priority="36" stopIfTrue="1" operator="greaterThan">
      <formula>$F$72</formula>
    </cfRule>
    <cfRule type="cellIs" dxfId="4137" priority="35" stopIfTrue="1" operator="lessThanOrEqual">
      <formula>0</formula>
    </cfRule>
    <cfRule type="cellIs" dxfId="4136" priority="44" stopIfTrue="1" operator="greaterThan">
      <formula>$F$75</formula>
    </cfRule>
    <cfRule type="cellIs" dxfId="4135" priority="47" stopIfTrue="1" operator="lessThanOrEqual">
      <formula>0</formula>
    </cfRule>
    <cfRule type="cellIs" dxfId="4134" priority="46" stopIfTrue="1" operator="greaterThan">
      <formula>$F$73</formula>
    </cfRule>
  </conditionalFormatting>
  <conditionalFormatting sqref="H82">
    <cfRule type="cellIs" dxfId="4133" priority="84" stopIfTrue="1" operator="greaterThan">
      <formula>#REF!</formula>
    </cfRule>
    <cfRule type="cellIs" dxfId="4132" priority="75" stopIfTrue="1" operator="lessThanOrEqual">
      <formula>0</formula>
    </cfRule>
    <cfRule type="cellIs" dxfId="4131" priority="76" stopIfTrue="1" operator="greaterThan">
      <formula>#REF!</formula>
    </cfRule>
  </conditionalFormatting>
  <conditionalFormatting sqref="H82:H84">
    <cfRule type="cellIs" dxfId="4130" priority="85" stopIfTrue="1" operator="lessThanOrEqual">
      <formula>0</formula>
    </cfRule>
  </conditionalFormatting>
  <conditionalFormatting sqref="H83:H84">
    <cfRule type="cellIs" dxfId="4129" priority="125" stopIfTrue="1" operator="lessThanOrEqual">
      <formula>0</formula>
    </cfRule>
    <cfRule type="cellIs" dxfId="4128" priority="124" stopIfTrue="1" operator="greaterThan">
      <formula>$F$90</formula>
    </cfRule>
    <cfRule type="cellIs" dxfId="4127" priority="122" stopIfTrue="1" operator="greaterThan">
      <formula>$F$92</formula>
    </cfRule>
    <cfRule type="cellIs" dxfId="4126" priority="114" stopIfTrue="1" operator="greaterThan">
      <formula>$F$89</formula>
    </cfRule>
    <cfRule type="cellIs" dxfId="4125" priority="123" stopIfTrue="1" operator="lessThanOrEqual">
      <formula>0</formula>
    </cfRule>
  </conditionalFormatting>
  <conditionalFormatting sqref="H85">
    <cfRule type="cellIs" dxfId="4124" priority="155" stopIfTrue="1" operator="greaterThan">
      <formula>$F$82</formula>
    </cfRule>
    <cfRule type="cellIs" dxfId="4123" priority="156" stopIfTrue="1" operator="lessThanOrEqual">
      <formula>0</formula>
    </cfRule>
    <cfRule type="cellIs" dxfId="4122" priority="153" stopIfTrue="1" operator="greaterThan">
      <formula>$F$86</formula>
    </cfRule>
    <cfRule type="cellIs" dxfId="4121" priority="154" stopIfTrue="1" operator="lessThanOrEqual">
      <formula>0</formula>
    </cfRule>
  </conditionalFormatting>
  <conditionalFormatting sqref="H89:H96">
    <cfRule type="cellIs" dxfId="4120" priority="127" stopIfTrue="1" operator="lessThanOrEqual">
      <formula>0</formula>
    </cfRule>
    <cfRule type="cellIs" dxfId="4119" priority="126" stopIfTrue="1" operator="greaterThan">
      <formula>$J89</formula>
    </cfRule>
  </conditionalFormatting>
  <conditionalFormatting sqref="H97">
    <cfRule type="cellIs" dxfId="4118" priority="132" operator="greaterThan">
      <formula>5.3</formula>
    </cfRule>
  </conditionalFormatting>
  <conditionalFormatting sqref="H100 H102:H108">
    <cfRule type="cellIs" dxfId="4117" priority="177" stopIfTrue="1" operator="greaterThan">
      <formula>4.5</formula>
    </cfRule>
    <cfRule type="cellIs" dxfId="4116" priority="178" stopIfTrue="1" operator="lessThanOrEqual">
      <formula>0</formula>
    </cfRule>
  </conditionalFormatting>
  <conditionalFormatting sqref="H79:I79">
    <cfRule type="cellIs" dxfId="4115" priority="4" stopIfTrue="1" operator="lessThanOrEqual">
      <formula>0</formula>
    </cfRule>
    <cfRule type="cellIs" dxfId="4114" priority="1" stopIfTrue="1" operator="greaterThan">
      <formula>$F$55</formula>
    </cfRule>
  </conditionalFormatting>
  <conditionalFormatting sqref="H80:I80">
    <cfRule type="cellIs" dxfId="4113" priority="94" stopIfTrue="1" operator="lessThanOrEqual">
      <formula>0</formula>
    </cfRule>
    <cfRule type="cellIs" dxfId="4112" priority="91" stopIfTrue="1" operator="greaterThan">
      <formula>$F$90</formula>
    </cfRule>
  </conditionalFormatting>
  <conditionalFormatting sqref="H81:I81">
    <cfRule type="cellIs" dxfId="4111" priority="37" stopIfTrue="1" operator="lessThanOrEqual">
      <formula>0</formula>
    </cfRule>
    <cfRule type="cellIs" dxfId="4110" priority="34" stopIfTrue="1" operator="greaterThan">
      <formula>$F$74</formula>
    </cfRule>
  </conditionalFormatting>
  <conditionalFormatting sqref="H82:I82">
    <cfRule type="cellIs" dxfId="4109" priority="83" stopIfTrue="1" operator="lessThanOrEqual">
      <formula>0</formula>
    </cfRule>
    <cfRule type="cellIs" dxfId="4108" priority="82" stopIfTrue="1" operator="greaterThan">
      <formula>#REF!</formula>
    </cfRule>
    <cfRule type="cellIs" dxfId="4107" priority="74" stopIfTrue="1" operator="greaterThan">
      <formula>#REF!</formula>
    </cfRule>
    <cfRule type="cellIs" dxfId="4106" priority="77" stopIfTrue="1" operator="lessThanOrEqual">
      <formula>0</formula>
    </cfRule>
  </conditionalFormatting>
  <conditionalFormatting sqref="H83:I83">
    <cfRule type="cellIs" dxfId="4105" priority="115" stopIfTrue="1" operator="lessThanOrEqual">
      <formula>0</formula>
    </cfRule>
  </conditionalFormatting>
  <conditionalFormatting sqref="H83:I84">
    <cfRule type="cellIs" dxfId="4104" priority="72" stopIfTrue="1" operator="greaterThan">
      <formula>$F$91</formula>
    </cfRule>
  </conditionalFormatting>
  <conditionalFormatting sqref="H84:I84">
    <cfRule type="cellIs" dxfId="4103" priority="73" stopIfTrue="1" operator="lessThanOrEqual">
      <formula>0</formula>
    </cfRule>
  </conditionalFormatting>
  <conditionalFormatting sqref="I10:I14">
    <cfRule type="cellIs" dxfId="4102" priority="49" operator="lessThan">
      <formula>97.8</formula>
    </cfRule>
  </conditionalFormatting>
  <conditionalFormatting sqref="I10:I47">
    <cfRule type="cellIs" dxfId="4101" priority="21" operator="lessThan">
      <formula>98</formula>
    </cfRule>
  </conditionalFormatting>
  <conditionalFormatting sqref="I33:I46">
    <cfRule type="cellIs" dxfId="4100" priority="22" operator="lessThan">
      <formula>97.8</formula>
    </cfRule>
  </conditionalFormatting>
  <conditionalFormatting sqref="I79">
    <cfRule type="cellIs" dxfId="4099" priority="5" stopIfTrue="1" operator="greaterThan">
      <formula>$F$53</formula>
    </cfRule>
    <cfRule type="cellIs" dxfId="4098" priority="6" stopIfTrue="1" operator="lessThanOrEqual">
      <formula>0</formula>
    </cfRule>
    <cfRule type="cellIs" dxfId="4097" priority="7" stopIfTrue="1" operator="greaterThan">
      <formula>$F$55</formula>
    </cfRule>
    <cfRule type="cellIs" dxfId="4096" priority="8" stopIfTrue="1" operator="lessThanOrEqual">
      <formula>0</formula>
    </cfRule>
    <cfRule type="cellIs" dxfId="4095" priority="9" stopIfTrue="1" operator="greaterThan">
      <formula>$F$53</formula>
    </cfRule>
    <cfRule type="cellIs" dxfId="4094" priority="10" stopIfTrue="1" operator="lessThanOrEqual">
      <formula>0</formula>
    </cfRule>
  </conditionalFormatting>
  <conditionalFormatting sqref="I80">
    <cfRule type="cellIs" dxfId="4093" priority="99" stopIfTrue="1" operator="greaterThan">
      <formula>$F$88</formula>
    </cfRule>
    <cfRule type="cellIs" dxfId="4092" priority="97" stopIfTrue="1" operator="greaterThan">
      <formula>$F$90</formula>
    </cfRule>
    <cfRule type="cellIs" dxfId="4091" priority="96" stopIfTrue="1" operator="lessThanOrEqual">
      <formula>0</formula>
    </cfRule>
    <cfRule type="cellIs" dxfId="4090" priority="95" stopIfTrue="1" operator="greaterThan">
      <formula>$F$88</formula>
    </cfRule>
    <cfRule type="cellIs" dxfId="4089" priority="100" stopIfTrue="1" operator="lessThanOrEqual">
      <formula>0</formula>
    </cfRule>
    <cfRule type="cellIs" dxfId="4088" priority="98" stopIfTrue="1" operator="lessThanOrEqual">
      <formula>0</formula>
    </cfRule>
  </conditionalFormatting>
  <conditionalFormatting sqref="I81">
    <cfRule type="cellIs" dxfId="4087" priority="43" stopIfTrue="1" operator="lessThanOrEqual">
      <formula>0</formula>
    </cfRule>
    <cfRule type="cellIs" dxfId="4086" priority="42" stopIfTrue="1" operator="greaterThan">
      <formula>$F$72</formula>
    </cfRule>
    <cfRule type="cellIs" dxfId="4085" priority="41" stopIfTrue="1" operator="lessThanOrEqual">
      <formula>0</formula>
    </cfRule>
    <cfRule type="cellIs" dxfId="4084" priority="40" stopIfTrue="1" operator="greaterThan">
      <formula>$F$74</formula>
    </cfRule>
    <cfRule type="cellIs" dxfId="4083" priority="39" stopIfTrue="1" operator="lessThanOrEqual">
      <formula>0</formula>
    </cfRule>
    <cfRule type="cellIs" dxfId="4082" priority="38" stopIfTrue="1" operator="greaterThan">
      <formula>$F$72</formula>
    </cfRule>
  </conditionalFormatting>
  <conditionalFormatting sqref="I82">
    <cfRule type="cellIs" dxfId="4081" priority="80" stopIfTrue="1" operator="greaterThan">
      <formula>#REF!</formula>
    </cfRule>
    <cfRule type="cellIs" dxfId="4080" priority="79" stopIfTrue="1" operator="lessThanOrEqual">
      <formula>0</formula>
    </cfRule>
    <cfRule type="cellIs" dxfId="4079" priority="78" stopIfTrue="1" operator="greaterThan">
      <formula>#REF!</formula>
    </cfRule>
    <cfRule type="cellIs" dxfId="4078" priority="81" stopIfTrue="1" operator="lessThanOrEqual">
      <formula>0</formula>
    </cfRule>
  </conditionalFormatting>
  <conditionalFormatting sqref="I83:I84">
    <cfRule type="cellIs" dxfId="4077" priority="118" stopIfTrue="1" operator="greaterThan">
      <formula>$F$91</formula>
    </cfRule>
    <cfRule type="cellIs" dxfId="4076" priority="116" stopIfTrue="1" operator="greaterThan">
      <formula>$F$89</formula>
    </cfRule>
    <cfRule type="cellIs" dxfId="4075" priority="117" stopIfTrue="1" operator="lessThanOrEqual">
      <formula>0</formula>
    </cfRule>
    <cfRule type="cellIs" dxfId="4074" priority="119" stopIfTrue="1" operator="lessThanOrEqual">
      <formula>0</formula>
    </cfRule>
    <cfRule type="cellIs" dxfId="4073" priority="120" stopIfTrue="1" operator="greaterThan">
      <formula>$F$89</formula>
    </cfRule>
    <cfRule type="cellIs" dxfId="4072" priority="121" stopIfTrue="1" operator="lessThanOrEqual">
      <formula>0</formula>
    </cfRule>
  </conditionalFormatting>
  <conditionalFormatting sqref="I89:I97">
    <cfRule type="cellIs" dxfId="4071" priority="133" stopIfTrue="1" operator="greaterThan">
      <formula>$J89</formula>
    </cfRule>
    <cfRule type="cellIs" dxfId="4070" priority="134" stopIfTrue="1" operator="lessThanOrEqual">
      <formula>0</formula>
    </cfRule>
  </conditionalFormatting>
  <conditionalFormatting sqref="I100:I108">
    <cfRule type="cellIs" dxfId="4069" priority="173" stopIfTrue="1" operator="greaterThan">
      <formula>4.5</formula>
    </cfRule>
    <cfRule type="cellIs" dxfId="4068" priority="174" stopIfTrue="1" operator="lessThanOrEqual">
      <formula>0</formula>
    </cfRule>
  </conditionalFormatting>
  <conditionalFormatting sqref="J10:J14">
    <cfRule type="cellIs" dxfId="4067" priority="51" operator="notBetween">
      <formula>98</formula>
      <formula>99.9</formula>
    </cfRule>
  </conditionalFormatting>
  <conditionalFormatting sqref="J10:J47">
    <cfRule type="cellIs" dxfId="4066" priority="20" operator="lessThan">
      <formula>97.4</formula>
    </cfRule>
  </conditionalFormatting>
  <conditionalFormatting sqref="J33:J46">
    <cfRule type="cellIs" dxfId="4065" priority="24" operator="notBetween">
      <formula>98</formula>
      <formula>99.9</formula>
    </cfRule>
  </conditionalFormatting>
  <conditionalFormatting sqref="J50:J52">
    <cfRule type="cellIs" dxfId="4064" priority="108" stopIfTrue="1" operator="greaterThan">
      <formula>100</formula>
    </cfRule>
    <cfRule type="cellIs" dxfId="4063" priority="109" operator="lessThan">
      <formula>98</formula>
    </cfRule>
    <cfRule type="cellIs" dxfId="4062" priority="107" stopIfTrue="1" operator="lessThan">
      <formula>96.8</formula>
    </cfRule>
  </conditionalFormatting>
  <conditionalFormatting sqref="J50:J54">
    <cfRule type="cellIs" dxfId="4061" priority="48" operator="lessThan">
      <formula>97.4</formula>
    </cfRule>
  </conditionalFormatting>
  <conditionalFormatting sqref="J55 L59:M59 L61:M61">
    <cfRule type="cellIs" dxfId="4060" priority="110" operator="lessThan">
      <formula>98</formula>
    </cfRule>
  </conditionalFormatting>
  <conditionalFormatting sqref="J56:J57">
    <cfRule type="cellIs" dxfId="4059" priority="111" stopIfTrue="1" operator="lessThan">
      <formula>96.8</formula>
    </cfRule>
    <cfRule type="cellIs" dxfId="4058" priority="112" stopIfTrue="1" operator="greaterThan">
      <formula>100</formula>
    </cfRule>
  </conditionalFormatting>
  <conditionalFormatting sqref="J56:J58">
    <cfRule type="cellIs" dxfId="4057" priority="113" operator="lessThan">
      <formula>98</formula>
    </cfRule>
  </conditionalFormatting>
  <conditionalFormatting sqref="K10:K14">
    <cfRule type="cellIs" dxfId="4056" priority="50" operator="greaterThan">
      <formula>6.4</formula>
    </cfRule>
  </conditionalFormatting>
  <conditionalFormatting sqref="K10:K47">
    <cfRule type="cellIs" dxfId="4055" priority="17" operator="lessThan">
      <formula>4</formula>
    </cfRule>
    <cfRule type="cellIs" dxfId="4054" priority="16" operator="greaterThan">
      <formula>6</formula>
    </cfRule>
  </conditionalFormatting>
  <conditionalFormatting sqref="K33:K46">
    <cfRule type="cellIs" dxfId="4053" priority="23" operator="greaterThan">
      <formula>6.4</formula>
    </cfRule>
  </conditionalFormatting>
  <conditionalFormatting sqref="K64:K73">
    <cfRule type="cellIs" dxfId="4052" priority="141" operator="notEqual">
      <formula>#REF!</formula>
    </cfRule>
  </conditionalFormatting>
  <conditionalFormatting sqref="K79:K84 J85:K85 L89:N89 K90:N97">
    <cfRule type="cellIs" dxfId="4051" priority="152" stopIfTrue="1" operator="lessThan">
      <formula>100%</formula>
    </cfRule>
  </conditionalFormatting>
  <conditionalFormatting sqref="K100:K105">
    <cfRule type="cellIs" dxfId="4050" priority="179" stopIfTrue="1" operator="lessThan">
      <formula>100%</formula>
    </cfRule>
  </conditionalFormatting>
  <conditionalFormatting sqref="K107:K108">
    <cfRule type="cellIs" dxfId="4049" priority="186" stopIfTrue="1" operator="lessThan">
      <formula>100%</formula>
    </cfRule>
  </conditionalFormatting>
  <conditionalFormatting sqref="L10:L47">
    <cfRule type="cellIs" dxfId="4048" priority="19" operator="greaterThan">
      <formula>65</formula>
    </cfRule>
    <cfRule type="cellIs" dxfId="4047" priority="18" operator="between">
      <formula>61</formula>
      <formula>65</formula>
    </cfRule>
  </conditionalFormatting>
  <conditionalFormatting sqref="L52:L58">
    <cfRule type="cellIs" dxfId="4046" priority="88" operator="lessThan">
      <formula>98</formula>
    </cfRule>
  </conditionalFormatting>
  <conditionalFormatting sqref="L65:N65">
    <cfRule type="cellIs" dxfId="4045" priority="87" operator="notEqual">
      <formula>#REF!</formula>
    </cfRule>
  </conditionalFormatting>
  <conditionalFormatting sqref="L100:N108">
    <cfRule type="cellIs" dxfId="4044" priority="164" stopIfTrue="1" operator="lessThan">
      <formula>100%</formula>
    </cfRule>
  </conditionalFormatting>
  <conditionalFormatting sqref="M10:M11">
    <cfRule type="expression" dxfId="4043" priority="65">
      <formula>IF(+(IF(M10&lt;V23,0,IF(M10&gt;W23,0,1)))=0,1)</formula>
    </cfRule>
  </conditionalFormatting>
  <conditionalFormatting sqref="M13">
    <cfRule type="expression" dxfId="4042" priority="58">
      <formula>IF(+(IF(M13&lt;V47,0,IF(M13&gt;W47,0,1)))=0,1)</formula>
    </cfRule>
    <cfRule type="expression" dxfId="4041" priority="57">
      <formula>IF(+(IF(M13&lt;V52,0,IF(M13&gt;W52,0,1)))=0,1)</formula>
    </cfRule>
  </conditionalFormatting>
  <conditionalFormatting sqref="M14">
    <cfRule type="expression" dxfId="4040" priority="199">
      <formula>IF(+(IF(M14&lt;V27,0,IF(M14&gt;W27,0,1)))=0,1)</formula>
    </cfRule>
  </conditionalFormatting>
  <conditionalFormatting sqref="M15:M32">
    <cfRule type="expression" dxfId="4039" priority="210">
      <formula>IF(+(IF(M15&lt;V62,0,IF(M15&gt;W62,0,1)))=0,1)</formula>
    </cfRule>
  </conditionalFormatting>
  <conditionalFormatting sqref="M33:M46">
    <cfRule type="expression" dxfId="4038" priority="31">
      <formula>IF(+(IF(M33&lt;V48,0,IF(M33&gt;W48,0,1)))=0,1)</formula>
    </cfRule>
    <cfRule type="expression" dxfId="4037" priority="30">
      <formula>IF(+(IF(M33&lt;V53,0,IF(M33&gt;W53,0,1)))=0,1)</formula>
    </cfRule>
  </conditionalFormatting>
  <conditionalFormatting sqref="M50:M58">
    <cfRule type="cellIs" dxfId="4036" priority="86" operator="lessThan">
      <formula>98</formula>
    </cfRule>
  </conditionalFormatting>
  <conditionalFormatting sqref="M10:N12">
    <cfRule type="expression" dxfId="4035" priority="66">
      <formula>IF(+(IF(M10&lt;#REF!,0,IF(M10&gt;#REF!,0,1)))=0,1)</formula>
    </cfRule>
  </conditionalFormatting>
  <conditionalFormatting sqref="M14:N14">
    <cfRule type="expression" dxfId="4034" priority="200">
      <formula>IF(+(IF(M14&lt;#REF!,0,IF(M14&gt;#REF!,0,1)))=0,1)</formula>
    </cfRule>
  </conditionalFormatting>
  <conditionalFormatting sqref="M47:N47">
    <cfRule type="expression" dxfId="4033" priority="194">
      <formula>IF(+(IF(M47&lt;#REF!,0,IF(M47&gt;#REF!,0,1)))=0,1)</formula>
    </cfRule>
  </conditionalFormatting>
  <conditionalFormatting sqref="N10:N11">
    <cfRule type="expression" dxfId="4032" priority="67">
      <formula>IF(+(IF(N10&lt;X23,0,IF(N10&gt;Y23,0,1)))=0,1)</formula>
    </cfRule>
  </conditionalFormatting>
  <conditionalFormatting sqref="N13">
    <cfRule type="expression" dxfId="4031" priority="60">
      <formula>IF(+(IF(N13&lt;X47,0,IF(N13&gt;Y47,0,1)))=0,1)</formula>
    </cfRule>
    <cfRule type="expression" dxfId="4030" priority="59">
      <formula>IF(+(IF(N13&lt;X52,0,IF(N13&gt;Y52,0,1)))=0,1)</formula>
    </cfRule>
  </conditionalFormatting>
  <conditionalFormatting sqref="N14">
    <cfRule type="expression" dxfId="4029" priority="203">
      <formula>IF(+(IF(N14&lt;X27,0,IF(N14&gt;Y27,0,1)))=0,1)</formula>
    </cfRule>
  </conditionalFormatting>
  <conditionalFormatting sqref="N15:N32">
    <cfRule type="expression" dxfId="4028" priority="211">
      <formula>IF(+(IF(N15&lt;X62,0,IF(N15&gt;Y62,0,1)))=0,1)</formula>
    </cfRule>
  </conditionalFormatting>
  <conditionalFormatting sqref="N33:N46">
    <cfRule type="expression" dxfId="4027" priority="33">
      <formula>IF(+(IF(N33&lt;X48,0,IF(N33&gt;Y48,0,1)))=0,1)</formula>
    </cfRule>
    <cfRule type="expression" dxfId="4026" priority="32">
      <formula>IF(+(IF(N33&lt;X53,0,IF(N33&gt;Y53,0,1)))=0,1)</formula>
    </cfRule>
  </conditionalFormatting>
  <conditionalFormatting sqref="P6">
    <cfRule type="cellIs" dxfId="4025" priority="160" operator="greaterThanOrEqual">
      <formula>19</formula>
    </cfRule>
  </conditionalFormatting>
  <dataValidations count="1">
    <dataValidation type="list" allowBlank="1" showInputMessage="1" showErrorMessage="1" sqref="S8 B13 B15:B47" xr:uid="{0829AB47-947B-4730-ADDD-DF3E14D3F471}">
      <formula1>ProductList</formula1>
    </dataValidation>
  </dataValidations>
  <pageMargins left="0.7" right="0.7" top="0.75" bottom="0.75" header="0.3" footer="0.3"/>
  <pageSetup scale="46" fitToWidth="0" orientation="landscape" r:id="rId1"/>
  <rowBreaks count="1" manualBreakCount="1">
    <brk id="102" max="16383" man="1"/>
  </rowBreaks>
  <colBreaks count="1" manualBreakCount="1">
    <brk id="15" max="89" man="1"/>
  </colBreak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030BE4-5402-4FBE-8E27-242F82BF9798}">
  <sheetPr>
    <pageSetUpPr fitToPage="1"/>
  </sheetPr>
  <dimension ref="A1:BE72"/>
  <sheetViews>
    <sheetView zoomScale="85" zoomScaleNormal="85" workbookViewId="0">
      <selection activeCell="E10" sqref="E10:E16"/>
    </sheetView>
  </sheetViews>
  <sheetFormatPr defaultColWidth="9.42578125" defaultRowHeight="14.25"/>
  <cols>
    <col min="1" max="1" width="7.28515625" style="275" customWidth="1"/>
    <col min="2" max="2" width="31.28515625" style="275" customWidth="1"/>
    <col min="3" max="3" width="22.28515625" style="275" customWidth="1"/>
    <col min="4" max="7" width="16.5703125" style="275" customWidth="1"/>
    <col min="8" max="8" width="20.7109375" style="275" customWidth="1"/>
    <col min="9" max="9" width="31.42578125" style="275" customWidth="1"/>
    <col min="10" max="10" width="35.28515625" style="275" customWidth="1"/>
    <col min="11" max="11" width="29" style="275" customWidth="1"/>
    <col min="12" max="12" width="17.28515625" style="275" bestFit="1" customWidth="1"/>
    <col min="13" max="13" width="23.28515625" style="275" customWidth="1"/>
    <col min="14" max="14" width="13.7109375" style="275" bestFit="1" customWidth="1"/>
    <col min="15" max="15" width="17.5703125" style="275" customWidth="1"/>
    <col min="16" max="16" width="109.28515625" style="6" customWidth="1"/>
    <col min="17" max="17" width="16.5703125" style="275" customWidth="1"/>
    <col min="18" max="18" width="15.7109375" style="275" bestFit="1" customWidth="1"/>
    <col min="19" max="19" width="12.42578125" style="275" customWidth="1"/>
    <col min="20" max="20" width="15" style="275" customWidth="1"/>
    <col min="21" max="21" width="12" style="275" customWidth="1"/>
    <col min="22" max="22" width="10.42578125" style="275" customWidth="1"/>
    <col min="23" max="23" width="11.42578125" style="275" customWidth="1"/>
    <col min="24" max="24" width="10.42578125" style="275" customWidth="1"/>
    <col min="25" max="25" width="8.42578125" style="275" customWidth="1"/>
    <col min="26" max="26" width="9.5703125" style="275" customWidth="1"/>
    <col min="27" max="27" width="8.42578125" style="275" customWidth="1"/>
    <col min="28" max="29" width="7.5703125" style="275" customWidth="1"/>
    <col min="30" max="51" width="9.42578125" style="275"/>
    <col min="52" max="52" width="1.5703125" style="275" customWidth="1"/>
    <col min="53" max="54" width="9.42578125" style="275"/>
    <col min="55" max="56" width="15.42578125" style="275" customWidth="1"/>
    <col min="57" max="16384" width="9.42578125" style="275"/>
  </cols>
  <sheetData>
    <row r="1" spans="2:29" ht="1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R1" s="467"/>
      <c r="S1" s="553" t="s">
        <v>0</v>
      </c>
      <c r="T1" s="553"/>
      <c r="U1" s="553" t="s">
        <v>1</v>
      </c>
      <c r="V1" s="553"/>
      <c r="W1" s="553" t="s">
        <v>2</v>
      </c>
      <c r="X1" s="553"/>
      <c r="Y1" s="553" t="s">
        <v>124</v>
      </c>
      <c r="Z1" s="553"/>
    </row>
    <row r="2" spans="2:29" ht="15">
      <c r="B2" s="554" t="s">
        <v>3</v>
      </c>
      <c r="C2" s="554"/>
      <c r="D2" s="554"/>
      <c r="E2" s="554"/>
      <c r="F2" s="554"/>
      <c r="G2" s="554"/>
      <c r="H2" s="554"/>
      <c r="I2" s="554"/>
      <c r="J2" s="554"/>
      <c r="K2" s="554"/>
      <c r="L2" s="554"/>
      <c r="M2" s="554"/>
      <c r="N2" s="554"/>
      <c r="O2" s="554"/>
      <c r="P2" s="4"/>
      <c r="R2" s="467"/>
      <c r="S2" s="467" t="s">
        <v>4</v>
      </c>
      <c r="T2" s="467" t="s">
        <v>5</v>
      </c>
      <c r="U2" s="467" t="s">
        <v>4</v>
      </c>
      <c r="V2" s="467" t="s">
        <v>5</v>
      </c>
      <c r="W2" s="467" t="s">
        <v>4</v>
      </c>
      <c r="X2" s="467" t="s">
        <v>5</v>
      </c>
      <c r="Y2" s="467" t="s">
        <v>4</v>
      </c>
      <c r="Z2" s="467" t="s">
        <v>5</v>
      </c>
    </row>
    <row r="3" spans="2:29" ht="14.25" customHeight="1">
      <c r="B3" s="5"/>
      <c r="R3" s="467" t="s">
        <v>6</v>
      </c>
      <c r="S3" s="468">
        <v>11.6</v>
      </c>
      <c r="T3" s="469">
        <v>12</v>
      </c>
      <c r="U3" s="9">
        <v>0</v>
      </c>
      <c r="V3" s="10">
        <v>0.118055555555556</v>
      </c>
      <c r="W3" s="10">
        <v>0.22569444444444445</v>
      </c>
      <c r="X3" s="10">
        <v>0.2638888888888889</v>
      </c>
      <c r="Y3" s="470">
        <v>0</v>
      </c>
      <c r="Z3" s="468">
        <v>60</v>
      </c>
      <c r="AB3" s="275" t="s">
        <v>135</v>
      </c>
    </row>
    <row r="4" spans="2:29" ht="30.75" customHeight="1">
      <c r="B4" s="301" t="s">
        <v>133</v>
      </c>
      <c r="C4" s="419">
        <v>46267</v>
      </c>
      <c r="J4" s="398" t="s">
        <v>153</v>
      </c>
      <c r="K4" s="398"/>
      <c r="L4" s="11"/>
      <c r="M4" s="555" t="s">
        <v>8</v>
      </c>
      <c r="N4" s="556"/>
      <c r="P4" s="12"/>
      <c r="R4" s="467" t="s">
        <v>9</v>
      </c>
      <c r="S4" s="468">
        <v>11.6</v>
      </c>
      <c r="T4" s="469">
        <v>12</v>
      </c>
      <c r="U4" s="9">
        <v>0</v>
      </c>
      <c r="V4" s="10">
        <v>0.118055555555556</v>
      </c>
      <c r="W4" s="10">
        <v>0.22569444444444445</v>
      </c>
      <c r="X4" s="10">
        <v>0.2638888888888889</v>
      </c>
      <c r="Y4" s="470">
        <v>0</v>
      </c>
      <c r="Z4" s="468">
        <v>60</v>
      </c>
      <c r="AA4" s="13"/>
      <c r="AB4" s="13"/>
      <c r="AC4" s="13"/>
    </row>
    <row r="5" spans="2:29" ht="12.75" customHeight="1" thickBot="1">
      <c r="B5" s="1"/>
      <c r="C5" s="549"/>
      <c r="D5" s="549"/>
      <c r="J5" s="403"/>
      <c r="K5" s="403"/>
      <c r="L5" s="11"/>
      <c r="M5" s="14" t="s">
        <v>10</v>
      </c>
      <c r="N5" s="14" t="s">
        <v>11</v>
      </c>
      <c r="P5" s="12"/>
      <c r="R5" s="467" t="s">
        <v>12</v>
      </c>
      <c r="S5" s="468">
        <v>17</v>
      </c>
      <c r="T5" s="469">
        <v>17.5</v>
      </c>
      <c r="U5" s="9">
        <v>0</v>
      </c>
      <c r="V5" s="10">
        <v>0.1076388888888889</v>
      </c>
      <c r="W5" s="10">
        <v>0.24652777777777779</v>
      </c>
      <c r="X5" s="10">
        <v>0.28472222222222221</v>
      </c>
      <c r="Y5" s="470">
        <v>0</v>
      </c>
      <c r="Z5" s="471">
        <v>60</v>
      </c>
      <c r="AA5" s="13"/>
      <c r="AB5" s="13"/>
      <c r="AC5" s="13"/>
    </row>
    <row r="6" spans="2:29" ht="14.25" customHeight="1">
      <c r="B6" s="15"/>
      <c r="C6" s="1"/>
      <c r="D6" s="1"/>
      <c r="J6" s="399" t="s">
        <v>168</v>
      </c>
      <c r="K6" s="400"/>
      <c r="L6" s="311" t="s">
        <v>14</v>
      </c>
      <c r="M6" s="340"/>
      <c r="N6" s="340"/>
      <c r="P6" s="16"/>
      <c r="R6" s="467" t="s">
        <v>15</v>
      </c>
      <c r="S6" s="468">
        <v>13.3</v>
      </c>
      <c r="T6" s="469">
        <v>13.5</v>
      </c>
      <c r="U6" s="9">
        <v>0</v>
      </c>
      <c r="V6" s="9">
        <v>0.12905092592592593</v>
      </c>
      <c r="W6" s="10">
        <v>0.27430555555555552</v>
      </c>
      <c r="X6" s="10">
        <v>0.30208333333333331</v>
      </c>
      <c r="Y6" s="470">
        <v>0</v>
      </c>
      <c r="Z6" s="471"/>
      <c r="AA6" s="13"/>
      <c r="AB6" s="13"/>
      <c r="AC6" s="13"/>
    </row>
    <row r="7" spans="2:29" ht="13.35" customHeight="1" thickBot="1">
      <c r="J7" s="401"/>
      <c r="K7" s="402"/>
      <c r="R7" s="467" t="s">
        <v>16</v>
      </c>
      <c r="S7" s="468">
        <v>17</v>
      </c>
      <c r="T7" s="469">
        <v>17.399999999999999</v>
      </c>
      <c r="U7" s="9">
        <v>0</v>
      </c>
      <c r="V7" s="9">
        <v>0.13605324074074074</v>
      </c>
      <c r="W7" s="10">
        <v>0.27430555555555552</v>
      </c>
      <c r="X7" s="10">
        <v>0.30902777777777779</v>
      </c>
      <c r="Y7" s="470">
        <v>0</v>
      </c>
      <c r="Z7" s="471">
        <v>85</v>
      </c>
      <c r="AA7" s="13"/>
      <c r="AB7" s="13"/>
      <c r="AC7" s="13"/>
    </row>
    <row r="8" spans="2:29" ht="25.5" customHeight="1">
      <c r="B8" s="507" t="s">
        <v>17</v>
      </c>
      <c r="C8" s="516" t="s">
        <v>18</v>
      </c>
      <c r="D8" s="516" t="s">
        <v>19</v>
      </c>
      <c r="E8" s="356" t="s">
        <v>20</v>
      </c>
      <c r="F8" s="356" t="s">
        <v>21</v>
      </c>
      <c r="G8" s="516" t="s">
        <v>22</v>
      </c>
      <c r="H8" s="551" t="s">
        <v>144</v>
      </c>
      <c r="I8" s="516" t="s">
        <v>167</v>
      </c>
      <c r="J8" s="542" t="s">
        <v>23</v>
      </c>
      <c r="K8" s="544" t="s">
        <v>142</v>
      </c>
      <c r="L8" s="546" t="s">
        <v>24</v>
      </c>
      <c r="M8" s="359" t="s">
        <v>25</v>
      </c>
      <c r="N8" s="17" t="s">
        <v>166</v>
      </c>
      <c r="O8" s="516" t="s">
        <v>155</v>
      </c>
      <c r="P8" s="548"/>
      <c r="R8" s="467" t="s">
        <v>125</v>
      </c>
      <c r="S8" s="468">
        <v>16.600000000000001</v>
      </c>
      <c r="T8" s="469">
        <v>17</v>
      </c>
      <c r="U8" s="9">
        <v>0</v>
      </c>
      <c r="V8" s="9">
        <v>0.12905092592592593</v>
      </c>
      <c r="W8" s="10">
        <v>0.27430555555555552</v>
      </c>
      <c r="X8" s="10">
        <v>0.30208333333333331</v>
      </c>
      <c r="Y8" s="470">
        <v>0</v>
      </c>
      <c r="Z8" s="471"/>
    </row>
    <row r="9" spans="2:29" ht="36" customHeight="1">
      <c r="B9" s="550"/>
      <c r="C9" s="541"/>
      <c r="D9" s="541"/>
      <c r="E9" s="357" t="s">
        <v>30</v>
      </c>
      <c r="F9" s="357" t="s">
        <v>31</v>
      </c>
      <c r="G9" s="541"/>
      <c r="H9" s="552"/>
      <c r="I9" s="541"/>
      <c r="J9" s="543"/>
      <c r="K9" s="545"/>
      <c r="L9" s="547"/>
      <c r="M9" s="20" t="s">
        <v>32</v>
      </c>
      <c r="N9" s="21" t="s">
        <v>41</v>
      </c>
      <c r="O9" s="541"/>
      <c r="P9" s="541"/>
      <c r="R9" s="467" t="s">
        <v>33</v>
      </c>
      <c r="S9" s="468">
        <v>14.2</v>
      </c>
      <c r="T9" s="469">
        <v>14.6</v>
      </c>
      <c r="U9" s="9">
        <v>0</v>
      </c>
      <c r="V9" s="9">
        <v>0.13905092592592591</v>
      </c>
      <c r="W9" s="10">
        <v>0.26041666666666669</v>
      </c>
      <c r="X9" s="10">
        <v>0.2951388888888889</v>
      </c>
      <c r="Y9" s="470">
        <v>0</v>
      </c>
      <c r="Z9" s="471">
        <v>75</v>
      </c>
    </row>
    <row r="10" spans="2:29" ht="15" customHeight="1">
      <c r="B10" s="29" t="s">
        <v>6</v>
      </c>
      <c r="C10" s="366" t="str">
        <f>[4]Brewhouse!$A696</f>
        <v>CA647</v>
      </c>
      <c r="D10" s="279">
        <f>[4]Brewhouse!$AF696</f>
        <v>48.6</v>
      </c>
      <c r="E10" s="279">
        <f>[4]Brewhouse!$AI696</f>
        <v>49.2</v>
      </c>
      <c r="F10" s="278">
        <f>[4]Brewhouse!$V696</f>
        <v>61</v>
      </c>
      <c r="G10" s="279">
        <f>[4]Brewhouse!AG696</f>
        <v>11.8</v>
      </c>
      <c r="H10" s="396"/>
      <c r="I10" s="368">
        <f>[4]Brewhouse!$AU696</f>
        <v>97.633608454436768</v>
      </c>
      <c r="J10" s="368">
        <f>[4]Brewhouse!$AV696</f>
        <v>97.722344795969988</v>
      </c>
      <c r="K10" s="281">
        <f>[4]Brewhouse!$Q696</f>
        <v>11.497227356746762</v>
      </c>
      <c r="L10" s="276">
        <f>[4]Brewhouse!$P696</f>
        <v>60</v>
      </c>
      <c r="M10" s="374">
        <f>[4]Brewhouse!$U696-[4]Brewhouse!$T696</f>
        <v>0.13194444444444442</v>
      </c>
      <c r="N10" s="370">
        <f>[4]Brewhouse!$Z696</f>
        <v>0.2722222222222222</v>
      </c>
      <c r="O10" s="420" t="str">
        <f>[4]Brewhouse!$AX696</f>
        <v>R. Sookram</v>
      </c>
      <c r="P10" s="418"/>
      <c r="R10" s="277"/>
      <c r="S10" s="472"/>
      <c r="T10" s="472"/>
      <c r="U10" s="297"/>
      <c r="V10" s="297"/>
      <c r="W10" s="297"/>
      <c r="X10" s="297"/>
      <c r="Y10" s="297"/>
      <c r="Z10" s="472"/>
    </row>
    <row r="11" spans="2:29" ht="15" customHeight="1">
      <c r="B11" s="29" t="s">
        <v>6</v>
      </c>
      <c r="C11" s="366" t="str">
        <f>[4]Brewhouse!$A697</f>
        <v>CA648</v>
      </c>
      <c r="D11" s="279">
        <f>[4]Brewhouse!$AF697</f>
        <v>48.2</v>
      </c>
      <c r="E11" s="279">
        <f>[4]Brewhouse!$AI697</f>
        <v>49.1</v>
      </c>
      <c r="F11" s="278">
        <f>[4]Brewhouse!$V697</f>
        <v>64</v>
      </c>
      <c r="G11" s="279">
        <f>[4]Brewhouse!AG697</f>
        <v>12</v>
      </c>
      <c r="H11" s="396"/>
      <c r="I11" s="368">
        <f>[4]Brewhouse!$AU697</f>
        <v>99.296130618355448</v>
      </c>
      <c r="J11" s="368">
        <f>[4]Brewhouse!$AV697</f>
        <v>99.386371956878179</v>
      </c>
      <c r="K11" s="281">
        <f>[4]Brewhouse!$Q697</f>
        <v>12.074074074074066</v>
      </c>
      <c r="L11" s="276">
        <f>[4]Brewhouse!$P697</f>
        <v>58</v>
      </c>
      <c r="M11" s="374">
        <f>[4]Brewhouse!$U697-[4]Brewhouse!$T697</f>
        <v>0.1333333333333333</v>
      </c>
      <c r="N11" s="370">
        <f>[4]Brewhouse!$Z697</f>
        <v>0.29374999999999996</v>
      </c>
      <c r="O11" s="420" t="str">
        <f>[4]Brewhouse!$AX697</f>
        <v>R. Sookram</v>
      </c>
      <c r="P11" s="418"/>
      <c r="R11" s="277"/>
      <c r="S11" s="472"/>
      <c r="T11" s="472"/>
      <c r="U11" s="297"/>
      <c r="V11" s="297"/>
      <c r="W11" s="297"/>
      <c r="X11" s="297"/>
      <c r="Y11" s="297"/>
      <c r="Z11" s="472"/>
    </row>
    <row r="12" spans="2:29" ht="15" customHeight="1">
      <c r="B12" s="29" t="s">
        <v>6</v>
      </c>
      <c r="C12" s="366" t="str">
        <f>[4]Brewhouse!$A698</f>
        <v>CA649</v>
      </c>
      <c r="D12" s="279">
        <f>[4]Brewhouse!$AF698</f>
        <v>41.7</v>
      </c>
      <c r="E12" s="279">
        <f>[4]Brewhouse!$AI698</f>
        <v>43</v>
      </c>
      <c r="F12" s="278">
        <f>[4]Brewhouse!$V698</f>
        <v>46</v>
      </c>
      <c r="G12" s="279">
        <f>[4]Brewhouse!AG698</f>
        <v>11.9</v>
      </c>
      <c r="H12" s="396"/>
      <c r="I12" s="368">
        <f>[4]Brewhouse!$AU698</f>
        <v>98.221285990904661</v>
      </c>
      <c r="J12" s="368">
        <f>[4]Brewhouse!$AV698</f>
        <v>98.309884597141846</v>
      </c>
      <c r="K12" s="281">
        <f>[4]Brewhouse!$Q698</f>
        <v>16.537678207739301</v>
      </c>
      <c r="L12" s="276">
        <f>[4]Brewhouse!$P698</f>
        <v>60</v>
      </c>
      <c r="M12" s="374">
        <f>[4]Brewhouse!$U698-[4]Brewhouse!$T698</f>
        <v>0.12083333333333335</v>
      </c>
      <c r="N12" s="370">
        <f>[4]Brewhouse!$Z698</f>
        <v>0.26874999999999999</v>
      </c>
      <c r="O12" s="420" t="str">
        <f>[4]Brewhouse!$AX698</f>
        <v>R. Regis</v>
      </c>
      <c r="P12" s="418"/>
      <c r="R12" s="277"/>
      <c r="S12" s="472"/>
      <c r="T12" s="472"/>
      <c r="U12" s="297"/>
      <c r="V12" s="297"/>
      <c r="W12" s="297"/>
      <c r="X12" s="297"/>
      <c r="Y12" s="297"/>
      <c r="Z12" s="472"/>
    </row>
    <row r="13" spans="2:29" ht="15" customHeight="1">
      <c r="B13" s="29" t="s">
        <v>6</v>
      </c>
      <c r="C13" s="366" t="str">
        <f>[4]Brewhouse!$A699</f>
        <v>CA650</v>
      </c>
      <c r="D13" s="279">
        <f>[4]Brewhouse!$AF699</f>
        <v>48.1</v>
      </c>
      <c r="E13" s="279">
        <f>[4]Brewhouse!$AI699</f>
        <v>48.9</v>
      </c>
      <c r="F13" s="278">
        <f>[4]Brewhouse!$V699</f>
        <v>58</v>
      </c>
      <c r="G13" s="279">
        <f>[4]Brewhouse!AG699</f>
        <v>11.7</v>
      </c>
      <c r="H13" s="396"/>
      <c r="I13" s="368">
        <f>[4]Brewhouse!$AU699</f>
        <v>96.173272580659344</v>
      </c>
      <c r="J13" s="368">
        <f>[4]Brewhouse!$AV699</f>
        <v>96.260681665473285</v>
      </c>
      <c r="K13" s="281">
        <f>[4]Brewhouse!$Q699</f>
        <v>12.421441774491679</v>
      </c>
      <c r="L13" s="276">
        <f>[4]Brewhouse!$P699</f>
        <v>60</v>
      </c>
      <c r="M13" s="374">
        <f>[4]Brewhouse!$U699-[4]Brewhouse!$T699</f>
        <v>0.11041666666666672</v>
      </c>
      <c r="N13" s="370">
        <f>[4]Brewhouse!$Z699</f>
        <v>0.43263888888888891</v>
      </c>
      <c r="O13" s="420" t="str">
        <f>[4]Brewhouse!$AX699</f>
        <v>R. Regis</v>
      </c>
      <c r="P13" s="418"/>
      <c r="R13" s="277"/>
      <c r="S13" s="472"/>
      <c r="T13" s="472"/>
      <c r="U13" s="297"/>
      <c r="V13" s="297"/>
      <c r="W13" s="297"/>
      <c r="X13" s="297"/>
      <c r="Y13" s="297"/>
      <c r="Z13" s="472"/>
    </row>
    <row r="14" spans="2:29" ht="15" customHeight="1">
      <c r="B14" s="29" t="s">
        <v>6</v>
      </c>
      <c r="C14" s="366" t="str">
        <f>[4]Brewhouse!$A700</f>
        <v>CA651</v>
      </c>
      <c r="D14" s="279">
        <f>[4]Brewhouse!$AF700</f>
        <v>48.1</v>
      </c>
      <c r="E14" s="279">
        <f>[4]Brewhouse!$AI700</f>
        <v>49</v>
      </c>
      <c r="F14" s="278">
        <f>[4]Brewhouse!$V700</f>
        <v>60</v>
      </c>
      <c r="G14" s="279">
        <f>[4]Brewhouse!AG700</f>
        <v>11.7</v>
      </c>
      <c r="H14" s="396"/>
      <c r="I14" s="368">
        <f>[4]Brewhouse!$AU700</f>
        <v>96.130103634337729</v>
      </c>
      <c r="J14" s="368">
        <f>[4]Brewhouse!$AV700</f>
        <v>96.217485098596541</v>
      </c>
      <c r="K14" s="281">
        <f>[4]Brewhouse!$Q700</f>
        <v>12.421441774491679</v>
      </c>
      <c r="L14" s="276">
        <f>[4]Brewhouse!$P700</f>
        <v>60</v>
      </c>
      <c r="M14" s="374">
        <f>[4]Brewhouse!$U700-[4]Brewhouse!$T700</f>
        <v>0.10763888888888895</v>
      </c>
      <c r="N14" s="370">
        <f>[4]Brewhouse!$Z700</f>
        <v>0.24166666666666681</v>
      </c>
      <c r="O14" s="420" t="str">
        <f>[4]Brewhouse!$AX700</f>
        <v>R. Regis</v>
      </c>
      <c r="P14" s="418"/>
      <c r="R14" s="277"/>
      <c r="S14" s="472"/>
      <c r="T14" s="472"/>
      <c r="U14" s="297"/>
      <c r="V14" s="297"/>
      <c r="W14" s="297"/>
      <c r="X14" s="297"/>
      <c r="Y14" s="297"/>
      <c r="Z14" s="472"/>
    </row>
    <row r="15" spans="2:29" ht="15" customHeight="1">
      <c r="B15" s="29" t="s">
        <v>6</v>
      </c>
      <c r="C15" s="366" t="str">
        <f>[4]Brewhouse!$A701</f>
        <v>CA652</v>
      </c>
      <c r="D15" s="279">
        <f>[4]Brewhouse!$AF701</f>
        <v>50.3</v>
      </c>
      <c r="E15" s="279">
        <f>[4]Brewhouse!$AI701</f>
        <v>51.1</v>
      </c>
      <c r="F15" s="278">
        <f>[4]Brewhouse!$V701</f>
        <v>64</v>
      </c>
      <c r="G15" s="279">
        <f>[4]Brewhouse!AG701</f>
        <v>11.9</v>
      </c>
      <c r="H15" s="396"/>
      <c r="I15" s="368">
        <f>[4]Brewhouse!$AU701</f>
        <v>102.43572492564348</v>
      </c>
      <c r="J15" s="368">
        <f>[4]Brewhouse!$AV701</f>
        <v>102.52881955956596</v>
      </c>
      <c r="K15" s="281">
        <f>[4]Brewhouse!$Q701</f>
        <v>8.3548983364140526</v>
      </c>
      <c r="L15" s="276">
        <f>[4]Brewhouse!$P701</f>
        <v>57</v>
      </c>
      <c r="M15" s="374">
        <f>[4]Brewhouse!$U701-[4]Brewhouse!$T701</f>
        <v>0.12569444444444444</v>
      </c>
      <c r="N15" s="370">
        <f>[4]Brewhouse!$Z701</f>
        <v>0.26180555555555562</v>
      </c>
      <c r="O15" s="420" t="str">
        <f>[4]Brewhouse!$AX701</f>
        <v>R. Regis</v>
      </c>
      <c r="P15" s="418"/>
      <c r="R15" s="277"/>
      <c r="S15" s="472"/>
      <c r="T15" s="472"/>
      <c r="U15" s="297"/>
      <c r="V15" s="297"/>
      <c r="W15" s="297"/>
      <c r="X15" s="297"/>
      <c r="Y15" s="297"/>
      <c r="Z15" s="472"/>
    </row>
    <row r="16" spans="2:29" ht="15" customHeight="1">
      <c r="B16" s="29" t="s">
        <v>6</v>
      </c>
      <c r="C16" s="366" t="str">
        <f>[4]Brewhouse!$A702</f>
        <v>CA653</v>
      </c>
      <c r="D16" s="279">
        <f>[4]Brewhouse!$AF702</f>
        <v>48</v>
      </c>
      <c r="E16" s="279">
        <f>[4]Brewhouse!$AI702</f>
        <v>48.6</v>
      </c>
      <c r="F16" s="278">
        <f>[4]Brewhouse!$V702</f>
        <v>56</v>
      </c>
      <c r="G16" s="279">
        <f>[4]Brewhouse!AG702</f>
        <v>11.8</v>
      </c>
      <c r="H16" s="396"/>
      <c r="I16" s="368">
        <f>[4]Brewhouse!$AU702</f>
        <v>96.684179403949585</v>
      </c>
      <c r="J16" s="368">
        <f>[4]Brewhouse!$AV702</f>
        <v>96.772041097268485</v>
      </c>
      <c r="K16" s="281">
        <f>[4]Brewhouse!$Q702</f>
        <v>12.606284658040664</v>
      </c>
      <c r="L16" s="276">
        <f>[4]Brewhouse!$P702</f>
        <v>57</v>
      </c>
      <c r="M16" s="374">
        <f>[4]Brewhouse!$U702-[4]Brewhouse!$T702</f>
        <v>0.10347222222222219</v>
      </c>
      <c r="N16" s="370">
        <f>[4]Brewhouse!$Z702</f>
        <v>0.25486111111111109</v>
      </c>
      <c r="O16" s="420" t="str">
        <f>[4]Brewhouse!$AX702</f>
        <v>R. Regis</v>
      </c>
      <c r="P16" s="418"/>
      <c r="R16" s="277"/>
      <c r="S16" s="472"/>
      <c r="T16" s="472"/>
      <c r="U16" s="297"/>
      <c r="V16" s="297"/>
      <c r="W16" s="297"/>
      <c r="X16" s="297"/>
      <c r="Y16" s="297"/>
      <c r="Z16" s="472"/>
    </row>
    <row r="17" spans="1:27" ht="15" customHeight="1">
      <c r="B17" s="22"/>
      <c r="C17" s="366"/>
      <c r="D17" s="279"/>
      <c r="E17" s="279"/>
      <c r="F17" s="278"/>
      <c r="G17" s="279"/>
      <c r="H17" s="396"/>
      <c r="I17" s="368"/>
      <c r="J17" s="368"/>
      <c r="K17" s="281"/>
      <c r="L17" s="276"/>
      <c r="M17" s="374"/>
      <c r="N17" s="370"/>
      <c r="O17" s="371"/>
      <c r="P17" s="418"/>
      <c r="R17" s="277">
        <f t="shared" ref="R17:R32" si="0">B17</f>
        <v>0</v>
      </c>
      <c r="S17" s="472" t="e">
        <f t="shared" ref="S17:S32" si="1">VLOOKUP($B17,$R$3:$X$9,2,FALSE)</f>
        <v>#N/A</v>
      </c>
      <c r="T17" s="472" t="e">
        <f t="shared" ref="T17:T32" si="2">VLOOKUP($B17,$R$3:$X$9,3,FALSE)</f>
        <v>#N/A</v>
      </c>
      <c r="U17" s="297" t="e">
        <f t="shared" ref="U17:U32" si="3">VLOOKUP($B17,$R$3:$X$9,4,FALSE)</f>
        <v>#N/A</v>
      </c>
      <c r="V17" s="297" t="e">
        <f t="shared" ref="V17:V32" si="4">VLOOKUP($B17,$R$3:$X$9,5,FALSE)</f>
        <v>#N/A</v>
      </c>
      <c r="W17" s="297" t="e">
        <f t="shared" ref="W17:W32" si="5">VLOOKUP($B17,$R$3:$X$9,6,FALSE)</f>
        <v>#N/A</v>
      </c>
      <c r="X17" s="297" t="e">
        <f t="shared" ref="X17:X32" si="6">VLOOKUP($B17,$R$3:$X$9,7,FALSE)</f>
        <v>#N/A</v>
      </c>
      <c r="Y17" s="297" t="e">
        <f t="shared" ref="Y17:Y32" si="7">VLOOKUP($B17,$R$3:$Z$9,8,FALSE)</f>
        <v>#N/A</v>
      </c>
      <c r="Z17" s="472" t="e">
        <f t="shared" ref="Z17:Z32" si="8">VLOOKUP($B17,$R$3:$Z$9,9,FALSE)</f>
        <v>#N/A</v>
      </c>
    </row>
    <row r="18" spans="1:27" ht="15" customHeight="1">
      <c r="B18" s="29"/>
      <c r="C18" s="366"/>
      <c r="D18" s="279"/>
      <c r="E18" s="279"/>
      <c r="F18" s="278"/>
      <c r="G18" s="279"/>
      <c r="H18" s="396"/>
      <c r="I18" s="368"/>
      <c r="J18" s="368"/>
      <c r="K18" s="281"/>
      <c r="L18" s="276"/>
      <c r="M18" s="397"/>
      <c r="N18" s="370"/>
      <c r="O18" s="420"/>
      <c r="P18" s="418"/>
      <c r="R18" s="277">
        <f t="shared" si="0"/>
        <v>0</v>
      </c>
      <c r="S18" s="472" t="e">
        <f t="shared" si="1"/>
        <v>#N/A</v>
      </c>
      <c r="T18" s="472" t="e">
        <f t="shared" si="2"/>
        <v>#N/A</v>
      </c>
      <c r="U18" s="297" t="e">
        <f t="shared" si="3"/>
        <v>#N/A</v>
      </c>
      <c r="V18" s="297" t="e">
        <f t="shared" si="4"/>
        <v>#N/A</v>
      </c>
      <c r="W18" s="297" t="e">
        <f t="shared" si="5"/>
        <v>#N/A</v>
      </c>
      <c r="X18" s="297" t="e">
        <f t="shared" si="6"/>
        <v>#N/A</v>
      </c>
      <c r="Y18" s="297" t="e">
        <f t="shared" si="7"/>
        <v>#N/A</v>
      </c>
      <c r="Z18" s="472" t="e">
        <f t="shared" si="8"/>
        <v>#N/A</v>
      </c>
    </row>
    <row r="19" spans="1:27" ht="17.25" customHeight="1" thickBot="1">
      <c r="B19" s="358"/>
      <c r="C19" s="358"/>
      <c r="D19" s="358"/>
      <c r="E19" s="358"/>
      <c r="F19" s="294"/>
      <c r="G19" s="294"/>
      <c r="H19" s="348"/>
      <c r="I19" s="535"/>
      <c r="J19" s="535"/>
      <c r="K19" s="535"/>
      <c r="L19" s="535"/>
      <c r="M19" s="535"/>
      <c r="N19" s="535"/>
      <c r="O19" s="1"/>
      <c r="P19" s="12"/>
      <c r="R19" s="277">
        <f t="shared" si="0"/>
        <v>0</v>
      </c>
      <c r="S19" s="472" t="e">
        <f t="shared" si="1"/>
        <v>#N/A</v>
      </c>
      <c r="T19" s="472" t="e">
        <f t="shared" si="2"/>
        <v>#N/A</v>
      </c>
      <c r="U19" s="297" t="e">
        <f t="shared" si="3"/>
        <v>#N/A</v>
      </c>
      <c r="V19" s="297" t="e">
        <f t="shared" si="4"/>
        <v>#N/A</v>
      </c>
      <c r="W19" s="297" t="e">
        <f t="shared" si="5"/>
        <v>#N/A</v>
      </c>
      <c r="X19" s="297" t="e">
        <f t="shared" si="6"/>
        <v>#N/A</v>
      </c>
      <c r="Y19" s="297" t="e">
        <f t="shared" si="7"/>
        <v>#N/A</v>
      </c>
      <c r="Z19" s="472" t="e">
        <f t="shared" si="8"/>
        <v>#N/A</v>
      </c>
    </row>
    <row r="20" spans="1:27" ht="17.25" customHeight="1" thickBot="1">
      <c r="B20" s="483" t="s">
        <v>162</v>
      </c>
      <c r="C20" s="388"/>
      <c r="D20" s="536" t="s">
        <v>35</v>
      </c>
      <c r="E20" s="537"/>
      <c r="F20" s="294"/>
      <c r="G20" s="294"/>
      <c r="H20" s="348"/>
      <c r="I20" s="24" t="s">
        <v>17</v>
      </c>
      <c r="J20" s="25"/>
      <c r="K20" s="26" t="s">
        <v>138</v>
      </c>
      <c r="L20" s="25" t="s">
        <v>37</v>
      </c>
      <c r="M20" s="25" t="s">
        <v>38</v>
      </c>
      <c r="N20" s="27" t="s">
        <v>39</v>
      </c>
      <c r="O20" s="294"/>
      <c r="P20" s="12"/>
      <c r="R20" s="277" t="str">
        <f t="shared" si="0"/>
        <v xml:space="preserve">BRAND </v>
      </c>
      <c r="S20" s="472" t="e">
        <f t="shared" si="1"/>
        <v>#N/A</v>
      </c>
      <c r="T20" s="472" t="e">
        <f t="shared" si="2"/>
        <v>#N/A</v>
      </c>
      <c r="U20" s="297" t="e">
        <f t="shared" si="3"/>
        <v>#N/A</v>
      </c>
      <c r="V20" s="297" t="e">
        <f t="shared" si="4"/>
        <v>#N/A</v>
      </c>
      <c r="W20" s="297" t="e">
        <f t="shared" si="5"/>
        <v>#N/A</v>
      </c>
      <c r="X20" s="297" t="e">
        <f t="shared" si="6"/>
        <v>#N/A</v>
      </c>
      <c r="Y20" s="297" t="e">
        <f t="shared" si="7"/>
        <v>#N/A</v>
      </c>
      <c r="Z20" s="472" t="e">
        <f t="shared" si="8"/>
        <v>#N/A</v>
      </c>
    </row>
    <row r="21" spans="1:27" ht="17.25" customHeight="1">
      <c r="A21" s="28"/>
      <c r="B21" s="538"/>
      <c r="C21" s="484"/>
      <c r="D21" s="523"/>
      <c r="E21" s="524"/>
      <c r="F21" s="294"/>
      <c r="G21" s="294"/>
      <c r="H21" s="348"/>
      <c r="I21" s="29" t="s">
        <v>6</v>
      </c>
      <c r="J21" s="323">
        <f>AVERAGE(I10:I16)</f>
        <v>98.082043658326711</v>
      </c>
      <c r="K21" s="284">
        <f>COUNTA([4]Brewhouse!$A$696:$A$702)</f>
        <v>7</v>
      </c>
      <c r="L21" s="305">
        <f>AVERAGE([4]Brewhouse!$AU$696:$AU$702)</f>
        <v>98.082043658326711</v>
      </c>
      <c r="M21" s="305">
        <f>AVERAGE([4]Brewhouse!$AU$42:$AU$123,[4]Brewhouse!$AU$125:$AU$188,[4]Brewhouse!$AU$198:$AU$290,[4]Brewhouse!$AU$292:$AU$370,[4]Brewhouse!$AU$372:$AU$439,[4]Brewhouse!$AU$441:$AU$497,[4]Brewhouse!$AU$499:$AU$519,[4]Brewhouse!$AU$521:$AU$593,[4]Brewhouse!$AU$595:$AU$703)</f>
        <v>98.283438685134982</v>
      </c>
      <c r="N21" s="30">
        <v>98</v>
      </c>
      <c r="O21" s="11"/>
      <c r="P21" s="31"/>
      <c r="R21" s="277">
        <f t="shared" si="0"/>
        <v>0</v>
      </c>
      <c r="S21" s="472" t="e">
        <f t="shared" si="1"/>
        <v>#N/A</v>
      </c>
      <c r="T21" s="472" t="e">
        <f t="shared" si="2"/>
        <v>#N/A</v>
      </c>
      <c r="U21" s="297" t="e">
        <f t="shared" si="3"/>
        <v>#N/A</v>
      </c>
      <c r="V21" s="297" t="e">
        <f t="shared" si="4"/>
        <v>#N/A</v>
      </c>
      <c r="W21" s="297" t="e">
        <f t="shared" si="5"/>
        <v>#N/A</v>
      </c>
      <c r="X21" s="297" t="e">
        <f t="shared" si="6"/>
        <v>#N/A</v>
      </c>
      <c r="Y21" s="297" t="e">
        <f t="shared" si="7"/>
        <v>#N/A</v>
      </c>
      <c r="Z21" s="472" t="e">
        <f t="shared" si="8"/>
        <v>#N/A</v>
      </c>
    </row>
    <row r="22" spans="1:27" ht="15" customHeight="1">
      <c r="A22" s="28"/>
      <c r="B22" s="539"/>
      <c r="C22" s="362"/>
      <c r="D22" s="525"/>
      <c r="E22" s="526"/>
      <c r="F22" s="294"/>
      <c r="G22" s="294"/>
      <c r="H22" s="348"/>
      <c r="I22" s="33" t="s">
        <v>9</v>
      </c>
      <c r="J22" s="323"/>
      <c r="K22" s="284"/>
      <c r="L22" s="302"/>
      <c r="M22" s="302">
        <f>AVERAGE([5]Brewhouse!$AS$52:$AS$81,[5]Brewhouse!$AS$83:$AS$124,[5]Brewhouse!$AS$134:$AS$177,[5]Brewhouse!$AS$22:$AS$179,[5]Brewhouse!$AS$214:$AS$249,[5]Brewhouse!$AS$252:$AS$293,[5]Brewhouse!$AS$295:$AS$325,[5]Brewhouse!$AS$327:$AS$361)</f>
        <v>98.239656393693409</v>
      </c>
      <c r="N22" s="30">
        <v>98</v>
      </c>
      <c r="O22" s="11"/>
      <c r="P22" s="31"/>
      <c r="R22" s="277">
        <f t="shared" si="0"/>
        <v>0</v>
      </c>
      <c r="S22" s="472" t="e">
        <f t="shared" si="1"/>
        <v>#N/A</v>
      </c>
      <c r="T22" s="472" t="e">
        <f t="shared" si="2"/>
        <v>#N/A</v>
      </c>
      <c r="U22" s="297" t="e">
        <f t="shared" si="3"/>
        <v>#N/A</v>
      </c>
      <c r="V22" s="297" t="e">
        <f t="shared" si="4"/>
        <v>#N/A</v>
      </c>
      <c r="W22" s="297" t="e">
        <f t="shared" si="5"/>
        <v>#N/A</v>
      </c>
      <c r="X22" s="297" t="e">
        <f t="shared" si="6"/>
        <v>#N/A</v>
      </c>
      <c r="Y22" s="297" t="e">
        <f t="shared" si="7"/>
        <v>#N/A</v>
      </c>
      <c r="Z22" s="472" t="e">
        <f t="shared" si="8"/>
        <v>#N/A</v>
      </c>
    </row>
    <row r="23" spans="1:27" ht="14.65" customHeight="1">
      <c r="A23" s="28"/>
      <c r="B23" s="539"/>
      <c r="C23" s="362"/>
      <c r="D23" s="530"/>
      <c r="E23" s="531"/>
      <c r="F23" s="294"/>
      <c r="G23" s="294"/>
      <c r="H23" s="348"/>
      <c r="I23" s="34" t="s">
        <v>12</v>
      </c>
      <c r="J23" s="323"/>
      <c r="K23" s="284"/>
      <c r="L23" s="302"/>
      <c r="M23" s="302">
        <f>AVERAGE([6]Brewhouse!$AU$16:$AU$23,[6]Brewhouse!$AU$25:$AU$32,[6]Brewhouse!$AU$34:$AU$41,[6]Brewhouse!$AU$43:$AU$60,[6]Brewhouse!$AU$62:$AU$69,[6]Brewhouse!$AU$71:$AU$88,[6]Brewhouse!$AU$90:$AU$97)</f>
        <v>96.502171439390338</v>
      </c>
      <c r="N23" s="30">
        <v>98</v>
      </c>
      <c r="O23" s="11"/>
      <c r="P23" s="31"/>
      <c r="R23" s="277">
        <f t="shared" si="0"/>
        <v>0</v>
      </c>
      <c r="S23" s="472" t="e">
        <f t="shared" si="1"/>
        <v>#N/A</v>
      </c>
      <c r="T23" s="472" t="e">
        <f t="shared" si="2"/>
        <v>#N/A</v>
      </c>
      <c r="U23" s="297" t="e">
        <f t="shared" si="3"/>
        <v>#N/A</v>
      </c>
      <c r="V23" s="297" t="e">
        <f t="shared" si="4"/>
        <v>#N/A</v>
      </c>
      <c r="W23" s="297" t="e">
        <f t="shared" si="5"/>
        <v>#N/A</v>
      </c>
      <c r="X23" s="297" t="e">
        <f t="shared" si="6"/>
        <v>#N/A</v>
      </c>
      <c r="Y23" s="297" t="e">
        <f t="shared" si="7"/>
        <v>#N/A</v>
      </c>
      <c r="Z23" s="472" t="e">
        <f t="shared" si="8"/>
        <v>#N/A</v>
      </c>
    </row>
    <row r="24" spans="1:27" ht="14.65" customHeight="1">
      <c r="A24" s="28"/>
      <c r="B24" s="539"/>
      <c r="C24" s="362"/>
      <c r="D24" s="532"/>
      <c r="E24" s="526"/>
      <c r="F24" s="294"/>
      <c r="G24" s="294"/>
      <c r="H24" s="348"/>
      <c r="I24" s="22" t="s">
        <v>33</v>
      </c>
      <c r="J24" s="280"/>
      <c r="K24" s="284"/>
      <c r="L24" s="302"/>
      <c r="M24" s="302">
        <f>AVERAGE([7]Brewhouse!$AV$23:$AV$34,[7]Brewhouse!$AV$36,[7]Brewhouse!$AV$38:$AV$52,[7]Brewhouse!$AV$54:$AV$60,[7]Brewhouse!$AV$62:$AV$69,[7]Brewhouse!$AV$71:$AV$78,[7]Brewhouse!$AV$80:$AV$87,[7]Brewhouse!$AV$89:$AV$96)</f>
        <v>97.559547139003357</v>
      </c>
      <c r="N24" s="30">
        <v>98</v>
      </c>
      <c r="O24" s="11"/>
      <c r="P24" s="31"/>
      <c r="R24" s="277">
        <f t="shared" si="0"/>
        <v>0</v>
      </c>
      <c r="S24" s="472" t="e">
        <f t="shared" si="1"/>
        <v>#N/A</v>
      </c>
      <c r="T24" s="472" t="e">
        <f t="shared" si="2"/>
        <v>#N/A</v>
      </c>
      <c r="U24" s="297" t="e">
        <f t="shared" si="3"/>
        <v>#N/A</v>
      </c>
      <c r="V24" s="297" t="e">
        <f t="shared" si="4"/>
        <v>#N/A</v>
      </c>
      <c r="W24" s="297" t="e">
        <f t="shared" si="5"/>
        <v>#N/A</v>
      </c>
      <c r="X24" s="297" t="e">
        <f t="shared" si="6"/>
        <v>#N/A</v>
      </c>
      <c r="Y24" s="297" t="e">
        <f t="shared" si="7"/>
        <v>#N/A</v>
      </c>
      <c r="Z24" s="472" t="e">
        <f t="shared" si="8"/>
        <v>#N/A</v>
      </c>
    </row>
    <row r="25" spans="1:27" ht="14.65" customHeight="1">
      <c r="A25" s="28"/>
      <c r="B25" s="539"/>
      <c r="C25" s="362"/>
      <c r="D25" s="530"/>
      <c r="E25" s="531"/>
      <c r="F25" s="294"/>
      <c r="G25" s="294"/>
      <c r="H25" s="348"/>
      <c r="I25" s="35" t="s">
        <v>29</v>
      </c>
      <c r="J25" s="280"/>
      <c r="K25" s="284"/>
      <c r="L25" s="302"/>
      <c r="M25" s="302"/>
      <c r="N25" s="30">
        <v>98</v>
      </c>
      <c r="O25" s="11"/>
      <c r="P25" s="31"/>
      <c r="R25" s="277">
        <f t="shared" si="0"/>
        <v>0</v>
      </c>
      <c r="S25" s="472" t="e">
        <f t="shared" si="1"/>
        <v>#N/A</v>
      </c>
      <c r="T25" s="472" t="e">
        <f t="shared" si="2"/>
        <v>#N/A</v>
      </c>
      <c r="U25" s="297" t="e">
        <f t="shared" si="3"/>
        <v>#N/A</v>
      </c>
      <c r="V25" s="297" t="e">
        <f t="shared" si="4"/>
        <v>#N/A</v>
      </c>
      <c r="W25" s="297" t="e">
        <f t="shared" si="5"/>
        <v>#N/A</v>
      </c>
      <c r="X25" s="297" t="e">
        <f t="shared" si="6"/>
        <v>#N/A</v>
      </c>
      <c r="Y25" s="297" t="e">
        <f t="shared" si="7"/>
        <v>#N/A</v>
      </c>
      <c r="Z25" s="472" t="e">
        <f t="shared" si="8"/>
        <v>#N/A</v>
      </c>
    </row>
    <row r="26" spans="1:27" ht="14.65" customHeight="1">
      <c r="A26" s="28"/>
      <c r="B26" s="539"/>
      <c r="C26" s="362"/>
      <c r="D26" s="532"/>
      <c r="E26" s="526"/>
      <c r="F26" s="417"/>
      <c r="G26" s="294"/>
      <c r="H26" s="348"/>
      <c r="I26" s="36" t="s">
        <v>15</v>
      </c>
      <c r="J26" s="323"/>
      <c r="K26" s="284"/>
      <c r="L26" s="302"/>
      <c r="M26" s="302">
        <f>AVERAGE([8]Brewhouse!$AT$4:$AT$11,[8]Brewhouse!$AT$13:$AT$16,[8]Brewhouse!$AT$18:$AT$21)</f>
        <v>91.832675391763644</v>
      </c>
      <c r="N26" s="30">
        <v>98</v>
      </c>
      <c r="O26" s="11"/>
      <c r="P26" s="31"/>
      <c r="R26" s="277">
        <f t="shared" si="0"/>
        <v>0</v>
      </c>
      <c r="S26" s="472" t="e">
        <f t="shared" si="1"/>
        <v>#N/A</v>
      </c>
      <c r="T26" s="472" t="e">
        <f t="shared" si="2"/>
        <v>#N/A</v>
      </c>
      <c r="U26" s="297" t="e">
        <f t="shared" si="3"/>
        <v>#N/A</v>
      </c>
      <c r="V26" s="297" t="e">
        <f t="shared" si="4"/>
        <v>#N/A</v>
      </c>
      <c r="W26" s="297" t="e">
        <f t="shared" si="5"/>
        <v>#N/A</v>
      </c>
      <c r="X26" s="297" t="e">
        <f t="shared" si="6"/>
        <v>#N/A</v>
      </c>
      <c r="Y26" s="297" t="e">
        <f t="shared" si="7"/>
        <v>#N/A</v>
      </c>
      <c r="Z26" s="472" t="e">
        <f t="shared" si="8"/>
        <v>#N/A</v>
      </c>
    </row>
    <row r="27" spans="1:27" ht="14.65" customHeight="1">
      <c r="A27" s="28"/>
      <c r="B27" s="539"/>
      <c r="C27" s="362"/>
      <c r="D27" s="530"/>
      <c r="E27" s="531"/>
      <c r="F27" s="417"/>
      <c r="G27" s="294"/>
      <c r="H27" s="348"/>
      <c r="I27" s="37" t="s">
        <v>16</v>
      </c>
      <c r="J27" s="323"/>
      <c r="K27" s="284"/>
      <c r="L27" s="302"/>
      <c r="M27" s="302">
        <f>AVERAGE([3]Brewhouse!$AY$5:$AY$14,[3]Brewhouse!$AY$16:$AY$23,[3]Brewhouse!$AY$42,[3]Brewhouse!$AY$44:$AY$51,[3]Brewhouse!$AY$53:$AY$64,[3]Brewhouse!$AY$66:$AY$73,[3]Brewhouse!$AY$75:$AY$82,[3]Brewhouse!$AY$84:$AY$101)</f>
        <v>97.784660430003186</v>
      </c>
      <c r="N27" s="30">
        <v>98</v>
      </c>
      <c r="O27" s="11"/>
      <c r="P27" s="31" t="s">
        <v>41</v>
      </c>
      <c r="R27" s="277">
        <f t="shared" si="0"/>
        <v>0</v>
      </c>
      <c r="S27" s="472" t="e">
        <f t="shared" si="1"/>
        <v>#N/A</v>
      </c>
      <c r="T27" s="472" t="e">
        <f t="shared" si="2"/>
        <v>#N/A</v>
      </c>
      <c r="U27" s="297" t="e">
        <f t="shared" si="3"/>
        <v>#N/A</v>
      </c>
      <c r="V27" s="297" t="e">
        <f t="shared" si="4"/>
        <v>#N/A</v>
      </c>
      <c r="W27" s="297" t="e">
        <f t="shared" si="5"/>
        <v>#N/A</v>
      </c>
      <c r="X27" s="297" t="e">
        <f t="shared" si="6"/>
        <v>#N/A</v>
      </c>
      <c r="Y27" s="297" t="e">
        <f t="shared" si="7"/>
        <v>#N/A</v>
      </c>
      <c r="Z27" s="472" t="e">
        <f t="shared" si="8"/>
        <v>#N/A</v>
      </c>
    </row>
    <row r="28" spans="1:27" ht="14.65" customHeight="1">
      <c r="A28" s="28"/>
      <c r="B28" s="539"/>
      <c r="C28" s="362"/>
      <c r="D28" s="532"/>
      <c r="E28" s="526"/>
      <c r="F28" s="294"/>
      <c r="G28" s="294"/>
      <c r="H28" s="348"/>
      <c r="I28" s="411" t="s">
        <v>158</v>
      </c>
      <c r="J28" s="326"/>
      <c r="K28" s="284"/>
      <c r="L28" s="305"/>
      <c r="M28" s="305"/>
      <c r="N28" s="30">
        <v>98</v>
      </c>
      <c r="O28" s="11"/>
      <c r="P28" s="31"/>
      <c r="R28" s="277">
        <f t="shared" si="0"/>
        <v>0</v>
      </c>
      <c r="S28" s="472" t="e">
        <f t="shared" si="1"/>
        <v>#N/A</v>
      </c>
      <c r="T28" s="472" t="e">
        <f t="shared" si="2"/>
        <v>#N/A</v>
      </c>
      <c r="U28" s="297" t="e">
        <f t="shared" si="3"/>
        <v>#N/A</v>
      </c>
      <c r="V28" s="297" t="e">
        <f t="shared" si="4"/>
        <v>#N/A</v>
      </c>
      <c r="W28" s="297" t="e">
        <f t="shared" si="5"/>
        <v>#N/A</v>
      </c>
      <c r="X28" s="297" t="e">
        <f t="shared" si="6"/>
        <v>#N/A</v>
      </c>
      <c r="Y28" s="297" t="e">
        <f t="shared" si="7"/>
        <v>#N/A</v>
      </c>
      <c r="Z28" s="472" t="e">
        <f t="shared" si="8"/>
        <v>#N/A</v>
      </c>
    </row>
    <row r="29" spans="1:27" ht="14.65" customHeight="1">
      <c r="A29" s="28"/>
      <c r="B29" s="539"/>
      <c r="C29" s="362"/>
      <c r="D29" s="530"/>
      <c r="E29" s="531"/>
      <c r="F29" s="294"/>
      <c r="G29" s="294"/>
      <c r="H29" s="348"/>
      <c r="I29" s="410" t="s">
        <v>157</v>
      </c>
      <c r="J29" s="326"/>
      <c r="K29" s="284"/>
      <c r="L29" s="305"/>
      <c r="M29" s="305"/>
      <c r="N29" s="30">
        <v>98</v>
      </c>
      <c r="O29" s="11"/>
      <c r="P29" s="31"/>
      <c r="R29" s="277">
        <f t="shared" si="0"/>
        <v>0</v>
      </c>
      <c r="S29" s="472" t="e">
        <f t="shared" si="1"/>
        <v>#N/A</v>
      </c>
      <c r="T29" s="472" t="e">
        <f t="shared" si="2"/>
        <v>#N/A</v>
      </c>
      <c r="U29" s="297" t="e">
        <f t="shared" si="3"/>
        <v>#N/A</v>
      </c>
      <c r="V29" s="297" t="e">
        <f t="shared" si="4"/>
        <v>#N/A</v>
      </c>
      <c r="W29" s="297" t="e">
        <f t="shared" si="5"/>
        <v>#N/A</v>
      </c>
      <c r="X29" s="297" t="e">
        <f t="shared" si="6"/>
        <v>#N/A</v>
      </c>
      <c r="Y29" s="297" t="e">
        <f t="shared" si="7"/>
        <v>#N/A</v>
      </c>
      <c r="Z29" s="472" t="e">
        <f t="shared" si="8"/>
        <v>#N/A</v>
      </c>
      <c r="AA29" s="472"/>
    </row>
    <row r="30" spans="1:27" ht="15" customHeight="1" thickBot="1">
      <c r="A30" s="28"/>
      <c r="B30" s="539"/>
      <c r="C30" s="362"/>
      <c r="D30" s="532"/>
      <c r="E30" s="526"/>
      <c r="F30" s="294"/>
      <c r="G30" s="294"/>
      <c r="H30" s="348"/>
      <c r="I30" s="406" t="s">
        <v>156</v>
      </c>
      <c r="J30" s="327"/>
      <c r="K30" s="407"/>
      <c r="L30" s="408"/>
      <c r="M30" s="408"/>
      <c r="N30" s="409">
        <v>98</v>
      </c>
      <c r="O30" s="11"/>
      <c r="P30" s="31"/>
      <c r="R30" s="277">
        <f t="shared" si="0"/>
        <v>0</v>
      </c>
      <c r="S30" s="472" t="e">
        <f t="shared" si="1"/>
        <v>#N/A</v>
      </c>
      <c r="T30" s="472" t="e">
        <f t="shared" si="2"/>
        <v>#N/A</v>
      </c>
      <c r="U30" s="297" t="e">
        <f t="shared" si="3"/>
        <v>#N/A</v>
      </c>
      <c r="V30" s="297" t="e">
        <f t="shared" si="4"/>
        <v>#N/A</v>
      </c>
      <c r="W30" s="297" t="e">
        <f t="shared" si="5"/>
        <v>#N/A</v>
      </c>
      <c r="X30" s="297" t="e">
        <f t="shared" si="6"/>
        <v>#N/A</v>
      </c>
      <c r="Y30" s="297" t="e">
        <f t="shared" si="7"/>
        <v>#N/A</v>
      </c>
      <c r="Z30" s="472" t="e">
        <f t="shared" si="8"/>
        <v>#N/A</v>
      </c>
      <c r="AA30" s="472"/>
    </row>
    <row r="31" spans="1:27" ht="15" customHeight="1" thickBot="1">
      <c r="A31" s="28"/>
      <c r="B31" s="539"/>
      <c r="C31" s="349"/>
      <c r="D31" s="523"/>
      <c r="E31" s="524"/>
      <c r="F31" s="294"/>
      <c r="G31" s="294"/>
      <c r="H31" s="348"/>
      <c r="I31" s="1"/>
      <c r="J31" s="39"/>
      <c r="K31" s="404">
        <f>SUM(K21:K30)</f>
        <v>7</v>
      </c>
      <c r="L31" s="405">
        <f>((L21*K21)+(L22*K22)+(L23*K23)+(L24*K24)+(L25*K25)+(K28*L28)+(L26*K26)+(L27*K27)+(L30*K30))/(K31)</f>
        <v>98.082043658326711</v>
      </c>
      <c r="M31" s="405">
        <f>AVERAGE('[9]Jan30th-31st'!$L$42,'[10]Feb 27th-28th'!$L$45,'[11]Mar 31st'!$L$42,'[12]Apr 30th'!$L$41,'[13]May 29th '!$L$35,'[14]June 30th'!$L$32,[15]July31st!$L$36,'[16]Aug 31st'!$L$32,L31)</f>
        <v>97.995732701183286</v>
      </c>
      <c r="N31" s="40">
        <v>98</v>
      </c>
      <c r="O31" s="11"/>
      <c r="P31" s="31"/>
      <c r="R31" s="277">
        <f t="shared" si="0"/>
        <v>0</v>
      </c>
      <c r="S31" s="472" t="e">
        <f t="shared" si="1"/>
        <v>#N/A</v>
      </c>
      <c r="T31" s="472" t="e">
        <f t="shared" si="2"/>
        <v>#N/A</v>
      </c>
      <c r="U31" s="297" t="e">
        <f t="shared" si="3"/>
        <v>#N/A</v>
      </c>
      <c r="V31" s="297" t="e">
        <f t="shared" si="4"/>
        <v>#N/A</v>
      </c>
      <c r="W31" s="297" t="e">
        <f t="shared" si="5"/>
        <v>#N/A</v>
      </c>
      <c r="X31" s="297" t="e">
        <f t="shared" si="6"/>
        <v>#N/A</v>
      </c>
      <c r="Y31" s="297" t="e">
        <f t="shared" si="7"/>
        <v>#N/A</v>
      </c>
      <c r="Z31" s="472" t="e">
        <f t="shared" si="8"/>
        <v>#N/A</v>
      </c>
      <c r="AA31" s="472"/>
    </row>
    <row r="32" spans="1:27" ht="15.75" thickBot="1">
      <c r="B32" s="540"/>
      <c r="C32" s="350"/>
      <c r="D32" s="525"/>
      <c r="E32" s="526"/>
      <c r="F32" s="294"/>
      <c r="G32" s="42"/>
      <c r="H32" s="41"/>
      <c r="I32" s="42"/>
      <c r="J32" s="42"/>
      <c r="K32" s="351"/>
      <c r="L32" s="348"/>
      <c r="M32" s="348"/>
      <c r="N32" s="11"/>
      <c r="O32" s="294"/>
      <c r="P32" s="12"/>
      <c r="R32" s="277">
        <f t="shared" si="0"/>
        <v>0</v>
      </c>
      <c r="S32" s="472" t="e">
        <f t="shared" si="1"/>
        <v>#N/A</v>
      </c>
      <c r="T32" s="472" t="e">
        <f t="shared" si="2"/>
        <v>#N/A</v>
      </c>
      <c r="U32" s="297" t="e">
        <f t="shared" si="3"/>
        <v>#N/A</v>
      </c>
      <c r="V32" s="297" t="e">
        <f t="shared" si="4"/>
        <v>#N/A</v>
      </c>
      <c r="W32" s="297" t="e">
        <f t="shared" si="5"/>
        <v>#N/A</v>
      </c>
      <c r="X32" s="297" t="e">
        <f t="shared" si="6"/>
        <v>#N/A</v>
      </c>
      <c r="Y32" s="297" t="e">
        <f t="shared" si="7"/>
        <v>#N/A</v>
      </c>
      <c r="Z32" s="472" t="e">
        <f t="shared" si="8"/>
        <v>#N/A</v>
      </c>
      <c r="AA32" s="472"/>
    </row>
    <row r="33" spans="2:56" ht="15.75" thickBot="1">
      <c r="B33" s="520"/>
      <c r="C33" s="362"/>
      <c r="D33" s="523"/>
      <c r="E33" s="524"/>
      <c r="F33" s="294"/>
      <c r="G33" s="42"/>
      <c r="H33" s="41"/>
      <c r="I33" s="42"/>
      <c r="J33" s="527" t="s">
        <v>129</v>
      </c>
      <c r="K33" s="527"/>
      <c r="L33" s="294"/>
      <c r="M33" s="294"/>
      <c r="N33" s="294"/>
      <c r="O33" s="294"/>
      <c r="P33" s="12"/>
    </row>
    <row r="34" spans="2:56" ht="15.75" thickBot="1">
      <c r="B34" s="521"/>
      <c r="C34" s="362"/>
      <c r="D34" s="525"/>
      <c r="E34" s="526"/>
      <c r="F34" s="294"/>
      <c r="G34" s="42"/>
      <c r="H34" s="42"/>
      <c r="I34" s="42"/>
      <c r="J34" s="292" t="s">
        <v>17</v>
      </c>
      <c r="K34" s="293"/>
      <c r="L34" s="528" t="s">
        <v>136</v>
      </c>
      <c r="M34" s="528"/>
      <c r="N34" s="529"/>
      <c r="O34" s="294"/>
      <c r="P34" s="12"/>
    </row>
    <row r="35" spans="2:56" ht="15" customHeight="1" thickBot="1">
      <c r="B35" s="521"/>
      <c r="C35" s="349"/>
      <c r="D35" s="530"/>
      <c r="E35" s="531"/>
      <c r="F35" s="294"/>
      <c r="G35" s="42"/>
      <c r="H35" s="42"/>
      <c r="I35" s="42"/>
      <c r="J35" s="287" t="s">
        <v>6</v>
      </c>
      <c r="K35" s="324">
        <v>7</v>
      </c>
      <c r="L35" s="473" t="s">
        <v>37</v>
      </c>
      <c r="M35" s="474" t="s">
        <v>38</v>
      </c>
      <c r="N35" s="474" t="s">
        <v>84</v>
      </c>
      <c r="O35" s="294"/>
      <c r="P35" s="12"/>
    </row>
    <row r="36" spans="2:56" ht="15.75" customHeight="1" thickBot="1">
      <c r="B36" s="521"/>
      <c r="C36" s="349"/>
      <c r="D36" s="532"/>
      <c r="E36" s="526"/>
      <c r="F36" s="294"/>
      <c r="G36" s="42"/>
      <c r="H36" s="42"/>
      <c r="I36" s="42"/>
      <c r="J36" s="345" t="s">
        <v>9</v>
      </c>
      <c r="K36" s="324"/>
      <c r="L36" s="485">
        <f>AVERAGE(K45)</f>
        <v>7</v>
      </c>
      <c r="M36" s="486">
        <f>AVERAGE('[9]Jan30th-31st'!$L$47,L36,'[10]Feb 26th '!$L$39,'[11]Mar 31st'!$L$47,'[12]Apr 30th'!$L$46,'[13]May 29th '!$L$40,'[14]June 30th'!$L$39,[15]July31st!$L$41,'[16]Aug 31st'!$L$37)</f>
        <v>6.5155670416539984</v>
      </c>
      <c r="N36" s="416">
        <v>9.1999999999999993</v>
      </c>
      <c r="O36" s="294"/>
      <c r="P36" s="12"/>
    </row>
    <row r="37" spans="2:56" ht="15" customHeight="1">
      <c r="B37" s="521"/>
      <c r="C37" s="349"/>
      <c r="D37" s="530"/>
      <c r="E37" s="531"/>
      <c r="F37" s="294"/>
      <c r="G37" s="42"/>
      <c r="H37" s="42"/>
      <c r="I37" s="42"/>
      <c r="J37" s="288" t="s">
        <v>40</v>
      </c>
      <c r="K37" s="324"/>
      <c r="L37" s="294"/>
      <c r="M37" s="294"/>
      <c r="N37" s="294"/>
      <c r="O37" s="294"/>
      <c r="P37" s="12"/>
    </row>
    <row r="38" spans="2:56" ht="15" customHeight="1">
      <c r="B38" s="521"/>
      <c r="C38" s="349"/>
      <c r="D38" s="532"/>
      <c r="E38" s="526"/>
      <c r="F38" s="294"/>
      <c r="G38" s="42"/>
      <c r="H38" s="42"/>
      <c r="I38" s="42"/>
      <c r="J38" s="289" t="s">
        <v>33</v>
      </c>
      <c r="K38" s="324"/>
      <c r="L38" s="294"/>
      <c r="M38" s="294"/>
      <c r="N38" s="294"/>
      <c r="O38" s="294"/>
      <c r="P38" s="12"/>
    </row>
    <row r="39" spans="2:56" ht="15">
      <c r="B39" s="521"/>
      <c r="C39" s="349"/>
      <c r="D39" s="530"/>
      <c r="E39" s="531"/>
      <c r="F39" s="294"/>
      <c r="G39" s="42"/>
      <c r="H39" s="42"/>
      <c r="I39" s="42"/>
      <c r="J39" s="290" t="s">
        <v>16</v>
      </c>
      <c r="K39" s="324"/>
      <c r="L39" s="294"/>
      <c r="M39" s="294"/>
      <c r="N39" s="294"/>
      <c r="O39" s="294"/>
      <c r="P39" s="12"/>
      <c r="BC39" s="44"/>
      <c r="BD39" s="44"/>
    </row>
    <row r="40" spans="2:56" ht="15">
      <c r="B40" s="521"/>
      <c r="C40" s="349"/>
      <c r="D40" s="532"/>
      <c r="E40" s="526"/>
      <c r="F40" s="294"/>
      <c r="G40" s="42"/>
      <c r="H40" s="42"/>
      <c r="I40" s="42"/>
      <c r="J40" s="291" t="s">
        <v>15</v>
      </c>
      <c r="K40" s="324"/>
      <c r="L40" s="294"/>
      <c r="M40" s="294"/>
      <c r="N40" s="294"/>
      <c r="O40" s="294"/>
      <c r="P40" s="12"/>
      <c r="BC40" s="44"/>
      <c r="BD40" s="44"/>
    </row>
    <row r="41" spans="2:56" ht="15">
      <c r="B41" s="521"/>
      <c r="C41" s="349"/>
      <c r="D41" s="530"/>
      <c r="E41" s="531"/>
      <c r="F41" s="294"/>
      <c r="G41" s="42"/>
      <c r="H41" s="42"/>
      <c r="I41" s="42"/>
      <c r="J41" s="291" t="s">
        <v>149</v>
      </c>
      <c r="K41" s="324"/>
      <c r="L41" s="294"/>
      <c r="M41" s="294"/>
      <c r="N41" s="294"/>
      <c r="O41" s="294"/>
      <c r="P41" s="12"/>
      <c r="BC41" s="44"/>
      <c r="BD41" s="44"/>
    </row>
    <row r="42" spans="2:56" ht="15.75" thickBot="1">
      <c r="B42" s="522"/>
      <c r="C42" s="350"/>
      <c r="D42" s="533"/>
      <c r="E42" s="534"/>
      <c r="F42" s="294" t="s">
        <v>165</v>
      </c>
      <c r="G42" s="42"/>
      <c r="H42" s="42"/>
      <c r="I42" s="42"/>
      <c r="J42" s="291" t="s">
        <v>148</v>
      </c>
      <c r="K42" s="324"/>
      <c r="L42" s="294"/>
      <c r="M42" s="294"/>
      <c r="N42" s="294" t="s">
        <v>41</v>
      </c>
      <c r="O42" s="294"/>
      <c r="P42" s="12"/>
      <c r="BC42" s="44"/>
      <c r="BD42" s="44"/>
    </row>
    <row r="43" spans="2:56" ht="17.649999999999999" customHeight="1" thickBot="1">
      <c r="B43" s="312" t="s">
        <v>139</v>
      </c>
      <c r="C43" s="313"/>
      <c r="D43" s="511"/>
      <c r="E43" s="512"/>
      <c r="F43" s="294"/>
      <c r="J43" s="295" t="s">
        <v>134</v>
      </c>
      <c r="K43" s="324"/>
      <c r="L43" s="294"/>
      <c r="M43" s="294"/>
      <c r="N43" s="294"/>
      <c r="O43" s="294"/>
      <c r="P43" s="12"/>
      <c r="BC43" s="44"/>
      <c r="BD43" s="44"/>
    </row>
    <row r="44" spans="2:56" ht="17.649999999999999" customHeight="1">
      <c r="B44" s="363"/>
      <c r="C44" s="364"/>
      <c r="D44" s="365"/>
      <c r="E44" s="365"/>
      <c r="F44" s="294"/>
      <c r="G44" s="42"/>
      <c r="H44" s="42"/>
      <c r="I44" s="42"/>
      <c r="J44" s="295" t="s">
        <v>131</v>
      </c>
      <c r="K44" s="324"/>
      <c r="L44" s="294"/>
      <c r="M44" s="294"/>
      <c r="N44" s="294"/>
      <c r="O44" s="294"/>
      <c r="P44" s="12"/>
      <c r="BC44" s="44"/>
      <c r="BD44" s="44"/>
    </row>
    <row r="45" spans="2:56" ht="15.6" customHeight="1">
      <c r="B45" s="45"/>
      <c r="C45" s="11"/>
      <c r="D45" s="11"/>
      <c r="E45" s="46"/>
      <c r="F45" s="294"/>
      <c r="G45" s="42"/>
      <c r="H45" s="42"/>
      <c r="I45" s="42"/>
      <c r="J45" s="346" t="s">
        <v>130</v>
      </c>
      <c r="K45" s="324">
        <f>SUM(K35:K44)</f>
        <v>7</v>
      </c>
      <c r="L45" s="294"/>
      <c r="M45" s="294"/>
      <c r="N45" s="294"/>
      <c r="O45" s="294"/>
      <c r="P45" s="12"/>
    </row>
    <row r="46" spans="2:56" ht="20.25" customHeight="1">
      <c r="B46" s="15" t="s">
        <v>42</v>
      </c>
      <c r="C46" s="1" t="s">
        <v>43</v>
      </c>
      <c r="D46" s="1"/>
      <c r="E46" s="1"/>
      <c r="F46" s="294"/>
      <c r="G46" s="42"/>
      <c r="H46" s="41"/>
      <c r="I46" s="42"/>
      <c r="L46" s="42"/>
      <c r="N46" s="315"/>
      <c r="P46" s="334"/>
    </row>
    <row r="47" spans="2:56" ht="15" customHeight="1" thickBot="1">
      <c r="B47" s="48"/>
      <c r="C47" s="48"/>
      <c r="D47" s="48"/>
      <c r="E47" s="48"/>
      <c r="F47" s="48"/>
      <c r="G47" s="48"/>
      <c r="H47" s="48"/>
      <c r="I47" s="48"/>
      <c r="J47" s="48"/>
      <c r="K47" s="48"/>
      <c r="L47" s="48"/>
      <c r="M47" s="48"/>
      <c r="N47" s="41"/>
      <c r="O47" s="48"/>
      <c r="P47" s="49"/>
    </row>
    <row r="48" spans="2:56" ht="15" customHeight="1" thickBot="1">
      <c r="B48" s="505" t="s">
        <v>17</v>
      </c>
      <c r="C48" s="505" t="s">
        <v>44</v>
      </c>
      <c r="D48" s="514" t="s">
        <v>45</v>
      </c>
      <c r="E48" s="516" t="s">
        <v>46</v>
      </c>
      <c r="F48" s="518" t="s">
        <v>47</v>
      </c>
      <c r="G48" s="503" t="s">
        <v>48</v>
      </c>
      <c r="H48" s="505" t="s">
        <v>49</v>
      </c>
      <c r="I48" s="505" t="s">
        <v>50</v>
      </c>
      <c r="J48" s="497" t="s">
        <v>28</v>
      </c>
      <c r="K48" s="507" t="s">
        <v>51</v>
      </c>
      <c r="L48" s="509" t="s">
        <v>52</v>
      </c>
      <c r="M48" s="497" t="s">
        <v>53</v>
      </c>
      <c r="N48" s="13"/>
      <c r="O48" s="13"/>
      <c r="P48" s="50"/>
    </row>
    <row r="49" spans="2:57" ht="28.5" customHeight="1" thickTop="1" thickBot="1">
      <c r="B49" s="506"/>
      <c r="C49" s="513"/>
      <c r="D49" s="515"/>
      <c r="E49" s="517"/>
      <c r="F49" s="519"/>
      <c r="G49" s="504"/>
      <c r="H49" s="506"/>
      <c r="I49" s="506"/>
      <c r="J49" s="498"/>
      <c r="K49" s="508"/>
      <c r="L49" s="510"/>
      <c r="M49" s="498"/>
      <c r="N49" s="13"/>
      <c r="O49" s="13"/>
      <c r="P49" s="50"/>
      <c r="Q49" s="355"/>
      <c r="AB49" s="475">
        <v>43474</v>
      </c>
      <c r="AC49" s="475">
        <v>43475</v>
      </c>
      <c r="AD49" s="475">
        <v>43476</v>
      </c>
      <c r="AE49" s="475">
        <v>43477</v>
      </c>
      <c r="AF49" s="475">
        <v>43478</v>
      </c>
      <c r="AG49" s="475">
        <v>43479</v>
      </c>
      <c r="AH49" s="475">
        <v>43480</v>
      </c>
      <c r="AI49" s="475">
        <v>43481</v>
      </c>
      <c r="AJ49" s="475">
        <v>43482</v>
      </c>
      <c r="AK49" s="475">
        <v>43483</v>
      </c>
      <c r="AL49" s="475">
        <v>43484</v>
      </c>
      <c r="AM49" s="475">
        <v>43485</v>
      </c>
      <c r="AN49" s="475">
        <v>43486</v>
      </c>
      <c r="AO49" s="475">
        <v>43487</v>
      </c>
      <c r="AP49" s="475">
        <v>43488</v>
      </c>
      <c r="AQ49" s="475">
        <v>43489</v>
      </c>
      <c r="AR49" s="475">
        <v>43490</v>
      </c>
      <c r="AS49" s="475">
        <v>43491</v>
      </c>
      <c r="AT49" s="475">
        <v>43492</v>
      </c>
      <c r="AU49" s="475">
        <v>43493</v>
      </c>
      <c r="AV49" s="475">
        <v>43494</v>
      </c>
      <c r="AW49" s="475">
        <v>43495</v>
      </c>
      <c r="AX49" s="475">
        <v>43496</v>
      </c>
    </row>
    <row r="50" spans="2:57" s="54" customFormat="1" ht="36.75" customHeight="1" thickBot="1">
      <c r="B50" s="456" t="str">
        <f>J35</f>
        <v>CARIB</v>
      </c>
      <c r="C50" s="479">
        <v>46266</v>
      </c>
      <c r="D50" s="445">
        <f>[18]September_2026!$D$3</f>
        <v>405.70000000000005</v>
      </c>
      <c r="E50" s="443"/>
      <c r="F50" s="444"/>
      <c r="G50" s="444">
        <f>[18]September_2026!$D$7</f>
        <v>376.2</v>
      </c>
      <c r="H50" s="458"/>
      <c r="I50" s="458"/>
      <c r="J50" s="448" t="s">
        <v>169</v>
      </c>
      <c r="K50" s="449">
        <f>[19]September_2026!$D$18</f>
        <v>0.33</v>
      </c>
      <c r="L50" s="457">
        <f>(((D50+E50)-G50)/(D50+E50))*100</f>
        <v>7.271382795168857</v>
      </c>
      <c r="M50" s="455" t="s">
        <v>170</v>
      </c>
      <c r="N50" s="13"/>
      <c r="O50" s="13"/>
      <c r="P50" s="50"/>
      <c r="R50" s="275"/>
      <c r="S50" s="275"/>
      <c r="T50" s="275"/>
      <c r="U50" s="275"/>
      <c r="V50" s="275"/>
      <c r="W50" s="275"/>
      <c r="X50" s="275"/>
      <c r="Y50" s="275"/>
      <c r="Z50" s="275"/>
      <c r="AA50" s="275"/>
      <c r="AB50" s="57">
        <f>[17]January_2019!L5</f>
        <v>0</v>
      </c>
      <c r="AC50" s="57">
        <f>[17]January_2019!M5</f>
        <v>0</v>
      </c>
      <c r="AD50" s="57">
        <f>[17]January_2019!N5</f>
        <v>0</v>
      </c>
      <c r="AE50" s="57">
        <f>[17]January_2019!O5</f>
        <v>0</v>
      </c>
      <c r="AF50" s="57">
        <f>[17]January_2019!P5</f>
        <v>0</v>
      </c>
      <c r="AG50" s="57">
        <f>[17]January_2019!Q5</f>
        <v>0</v>
      </c>
      <c r="AH50" s="57">
        <f>[17]January_2019!R5</f>
        <v>0</v>
      </c>
      <c r="AI50" s="57">
        <f>[17]January_2019!S5</f>
        <v>0</v>
      </c>
      <c r="AJ50" s="57">
        <f>[17]January_2019!T5</f>
        <v>0</v>
      </c>
      <c r="AK50" s="57">
        <f>[17]January_2019!U5</f>
        <v>0</v>
      </c>
      <c r="AL50" s="57">
        <f>[17]January_2019!V5</f>
        <v>0</v>
      </c>
      <c r="AM50" s="57">
        <f>[17]January_2019!W5</f>
        <v>0</v>
      </c>
      <c r="AN50" s="57">
        <f>[17]January_2019!X5</f>
        <v>0</v>
      </c>
      <c r="AO50" s="57">
        <f>[17]January_2019!Y5</f>
        <v>0</v>
      </c>
      <c r="AP50" s="57">
        <f>[17]January_2019!Z5</f>
        <v>0</v>
      </c>
      <c r="AQ50" s="57">
        <f>[17]January_2019!AA5</f>
        <v>0</v>
      </c>
      <c r="AR50" s="57">
        <f>[17]January_2019!AB5</f>
        <v>0</v>
      </c>
      <c r="AS50" s="57">
        <f>[17]January_2019!AC5</f>
        <v>0</v>
      </c>
      <c r="AT50" s="57">
        <f>[17]January_2019!AD5</f>
        <v>0</v>
      </c>
      <c r="AU50" s="57">
        <f>[17]January_2019!AE5</f>
        <v>0</v>
      </c>
      <c r="AV50" s="57">
        <f>[17]January_2019!AF5</f>
        <v>0</v>
      </c>
      <c r="AW50" s="57">
        <f>[17]January_2019!AG5</f>
        <v>0</v>
      </c>
      <c r="AX50" s="277">
        <f>[17]January_2019!AH5</f>
        <v>0</v>
      </c>
      <c r="AY50" s="277"/>
      <c r="AZ50" s="277"/>
      <c r="BA50" s="277"/>
      <c r="BB50" s="277"/>
      <c r="BC50" s="277"/>
      <c r="BD50" s="277"/>
      <c r="BE50" s="277"/>
    </row>
    <row r="51" spans="2:57" s="54" customFormat="1" ht="14.25" customHeight="1" thickBot="1">
      <c r="B51" s="480"/>
      <c r="C51" s="479"/>
      <c r="D51" s="442"/>
      <c r="E51" s="443"/>
      <c r="F51" s="444"/>
      <c r="G51" s="445"/>
      <c r="H51" s="458"/>
      <c r="I51" s="458"/>
      <c r="J51" s="476"/>
      <c r="K51" s="449"/>
      <c r="L51" s="457"/>
      <c r="M51" s="455"/>
      <c r="N51" s="13"/>
      <c r="O51" s="13"/>
      <c r="P51" s="50"/>
      <c r="R51" s="275"/>
      <c r="S51" s="275"/>
      <c r="T51" s="275"/>
      <c r="U51" s="275"/>
      <c r="V51" s="275"/>
      <c r="W51" s="275"/>
      <c r="X51" s="275"/>
      <c r="Y51" s="275"/>
      <c r="Z51" s="275"/>
      <c r="AA51" s="275"/>
      <c r="AB51" s="57">
        <f>[17]January_2019!L6</f>
        <v>0</v>
      </c>
      <c r="AC51" s="57">
        <f>[17]January_2019!M6</f>
        <v>0</v>
      </c>
      <c r="AD51" s="57">
        <f>[17]January_2019!N6</f>
        <v>0</v>
      </c>
      <c r="AE51" s="57">
        <f>[17]January_2019!O6</f>
        <v>0</v>
      </c>
      <c r="AF51" s="57">
        <f>[17]January_2019!P6</f>
        <v>0</v>
      </c>
      <c r="AG51" s="57">
        <f>[17]January_2019!Q6</f>
        <v>0</v>
      </c>
      <c r="AH51" s="57">
        <f>[17]January_2019!R6</f>
        <v>0</v>
      </c>
      <c r="AI51" s="57">
        <f>[17]January_2019!S6</f>
        <v>0</v>
      </c>
      <c r="AJ51" s="57">
        <f>[17]January_2019!T6</f>
        <v>0</v>
      </c>
      <c r="AK51" s="57">
        <f>[17]January_2019!U6</f>
        <v>0</v>
      </c>
      <c r="AL51" s="57">
        <f>[17]January_2019!V6</f>
        <v>0</v>
      </c>
      <c r="AM51" s="57">
        <f>[17]January_2019!W6</f>
        <v>0</v>
      </c>
      <c r="AN51" s="57">
        <f>[17]January_2019!X6</f>
        <v>0</v>
      </c>
      <c r="AO51" s="57">
        <f>[17]January_2019!Y6</f>
        <v>0</v>
      </c>
      <c r="AP51" s="57">
        <f>[17]January_2019!Z6</f>
        <v>0</v>
      </c>
      <c r="AQ51" s="57">
        <f>[17]January_2019!AA6</f>
        <v>0</v>
      </c>
      <c r="AR51" s="57">
        <f>[17]January_2019!AB6</f>
        <v>0</v>
      </c>
      <c r="AS51" s="57">
        <f>[17]January_2019!AC6</f>
        <v>0</v>
      </c>
      <c r="AT51" s="57">
        <f>[17]January_2019!AD6</f>
        <v>0</v>
      </c>
      <c r="AU51" s="57">
        <f>[17]January_2019!AE6</f>
        <v>0</v>
      </c>
      <c r="AV51" s="57">
        <f>[17]January_2019!AF6</f>
        <v>0</v>
      </c>
      <c r="AW51" s="57">
        <f>[17]January_2019!AG6</f>
        <v>0</v>
      </c>
      <c r="AX51" s="277">
        <f>[17]January_2019!AH6</f>
        <v>0</v>
      </c>
      <c r="AY51" s="277"/>
      <c r="AZ51" s="277"/>
      <c r="BA51" s="277"/>
      <c r="BB51" s="277"/>
      <c r="BC51" s="277"/>
      <c r="BD51" s="277"/>
      <c r="BE51" s="277"/>
    </row>
    <row r="52" spans="2:57" s="54" customFormat="1" ht="37.15" customHeight="1" thickBot="1">
      <c r="B52" s="456"/>
      <c r="C52" s="479"/>
      <c r="D52" s="442"/>
      <c r="E52" s="443"/>
      <c r="F52" s="444"/>
      <c r="G52" s="444"/>
      <c r="H52" s="446"/>
      <c r="I52" s="446"/>
      <c r="J52" s="476"/>
      <c r="K52" s="449"/>
      <c r="L52" s="457"/>
      <c r="M52" s="455"/>
      <c r="N52" s="13"/>
      <c r="O52" s="13"/>
      <c r="P52" s="50"/>
      <c r="R52" s="275"/>
      <c r="S52" s="275"/>
      <c r="T52" s="275"/>
      <c r="U52" s="275"/>
      <c r="V52" s="275"/>
      <c r="W52" s="275"/>
      <c r="X52" s="275"/>
      <c r="Y52" s="275"/>
      <c r="Z52" s="275"/>
      <c r="AA52" s="275"/>
      <c r="AB52" s="57">
        <f>[17]January_2019!L7</f>
        <v>285.8</v>
      </c>
      <c r="AC52" s="57">
        <f>[17]January_2019!M7</f>
        <v>508.1</v>
      </c>
      <c r="AD52" s="57">
        <f>[17]January_2019!N7</f>
        <v>0</v>
      </c>
      <c r="AE52" s="57">
        <f>[17]January_2019!O7</f>
        <v>0</v>
      </c>
      <c r="AF52" s="57">
        <f>[17]January_2019!P7</f>
        <v>109.56666666666666</v>
      </c>
      <c r="AG52" s="57">
        <f>[17]January_2019!Q7</f>
        <v>297.64999999999998</v>
      </c>
      <c r="AH52" s="57">
        <f>[17]January_2019!R7</f>
        <v>122.3</v>
      </c>
      <c r="AI52" s="57">
        <f>[17]January_2019!S7</f>
        <v>0</v>
      </c>
      <c r="AJ52" s="57">
        <f>[17]January_2019!T7</f>
        <v>294.7</v>
      </c>
      <c r="AK52" s="57">
        <f>[17]January_2019!U7</f>
        <v>280.5</v>
      </c>
      <c r="AL52" s="57">
        <f>[17]January_2019!V7</f>
        <v>0</v>
      </c>
      <c r="AM52" s="57">
        <f>[17]January_2019!W7</f>
        <v>0</v>
      </c>
      <c r="AN52" s="57">
        <f>[17]January_2019!X7</f>
        <v>188.25</v>
      </c>
      <c r="AO52" s="57">
        <f>[17]January_2019!Y7</f>
        <v>295.7</v>
      </c>
      <c r="AP52" s="57">
        <f>[17]January_2019!Z7</f>
        <v>257.8</v>
      </c>
      <c r="AQ52" s="57">
        <f>[17]January_2019!AA7</f>
        <v>291.2</v>
      </c>
      <c r="AR52" s="57">
        <f>[17]January_2019!AB7</f>
        <v>187</v>
      </c>
      <c r="AS52" s="57">
        <f>[17]January_2019!AC7</f>
        <v>0</v>
      </c>
      <c r="AT52" s="57">
        <f>[17]January_2019!AD7</f>
        <v>0</v>
      </c>
      <c r="AU52" s="57">
        <f>[17]January_2019!AE7</f>
        <v>485.1</v>
      </c>
      <c r="AV52" s="57">
        <f>[17]January_2019!AF7</f>
        <v>171.55</v>
      </c>
      <c r="AW52" s="57">
        <f>[17]January_2019!AG7</f>
        <v>423.8</v>
      </c>
      <c r="AX52" s="277">
        <f>[17]January_2019!AH7</f>
        <v>0</v>
      </c>
      <c r="AY52" s="277"/>
      <c r="AZ52" s="277"/>
      <c r="BA52" s="277"/>
      <c r="BB52" s="277"/>
      <c r="BC52" s="277"/>
      <c r="BD52" s="277"/>
      <c r="BE52" s="277"/>
    </row>
    <row r="53" spans="2:57" s="54" customFormat="1" ht="18.600000000000001" hidden="1" customHeight="1" thickBot="1">
      <c r="B53" s="478"/>
      <c r="C53" s="430"/>
      <c r="D53" s="431"/>
      <c r="E53" s="432"/>
      <c r="F53" s="433"/>
      <c r="G53" s="434"/>
      <c r="H53" s="458"/>
      <c r="I53" s="458"/>
      <c r="J53" s="451"/>
      <c r="K53" s="436"/>
      <c r="L53" s="452"/>
      <c r="M53" s="421"/>
      <c r="N53" s="13"/>
      <c r="O53" s="13"/>
      <c r="P53" s="50"/>
      <c r="R53" s="275"/>
      <c r="S53" s="275"/>
      <c r="T53" s="275"/>
      <c r="U53" s="275"/>
      <c r="V53" s="275"/>
      <c r="W53" s="275"/>
      <c r="X53" s="275"/>
      <c r="Y53" s="275"/>
      <c r="Z53" s="275"/>
      <c r="AA53" s="275"/>
      <c r="AB53" s="57"/>
      <c r="AC53" s="57"/>
      <c r="AD53" s="57"/>
      <c r="AE53" s="57"/>
      <c r="AF53" s="57"/>
      <c r="AG53" s="57"/>
      <c r="AH53" s="57"/>
      <c r="AI53" s="57"/>
      <c r="AJ53" s="57"/>
      <c r="AK53" s="57"/>
      <c r="AL53" s="57"/>
      <c r="AM53" s="57"/>
      <c r="AN53" s="57"/>
      <c r="AO53" s="57"/>
      <c r="AP53" s="57"/>
      <c r="AQ53" s="57"/>
      <c r="AR53" s="57"/>
      <c r="AS53" s="57"/>
      <c r="AT53" s="57"/>
      <c r="AU53" s="57"/>
      <c r="AV53" s="57"/>
      <c r="AW53" s="57"/>
      <c r="AX53" s="277"/>
      <c r="AY53" s="277"/>
      <c r="AZ53" s="277"/>
      <c r="BA53" s="277"/>
      <c r="BB53" s="277"/>
      <c r="BC53" s="277"/>
      <c r="BD53" s="277"/>
      <c r="BE53" s="277"/>
    </row>
    <row r="54" spans="2:57" s="54" customFormat="1" ht="38.65" hidden="1" customHeight="1" thickBot="1">
      <c r="B54" s="487"/>
      <c r="C54" s="479"/>
      <c r="D54" s="442"/>
      <c r="E54" s="443"/>
      <c r="F54" s="444"/>
      <c r="G54" s="445"/>
      <c r="H54" s="458"/>
      <c r="I54" s="458"/>
      <c r="J54" s="448"/>
      <c r="K54" s="459"/>
      <c r="L54" s="457"/>
      <c r="M54" s="455"/>
      <c r="N54" s="13"/>
      <c r="O54" s="13"/>
      <c r="P54" s="50"/>
      <c r="R54" s="275"/>
      <c r="S54" s="275"/>
      <c r="T54" s="275"/>
      <c r="U54" s="275"/>
      <c r="V54" s="275"/>
      <c r="W54" s="275"/>
      <c r="X54" s="275"/>
      <c r="Y54" s="275"/>
      <c r="Z54" s="275"/>
      <c r="AA54" s="275"/>
      <c r="AB54" s="57"/>
      <c r="AC54" s="57"/>
      <c r="AD54" s="57"/>
      <c r="AE54" s="57"/>
      <c r="AF54" s="57"/>
      <c r="AG54" s="57"/>
      <c r="AH54" s="57"/>
      <c r="AI54" s="57"/>
      <c r="AJ54" s="57"/>
      <c r="AK54" s="57"/>
      <c r="AL54" s="57"/>
      <c r="AM54" s="57"/>
      <c r="AN54" s="57"/>
      <c r="AO54" s="57"/>
      <c r="AP54" s="57"/>
      <c r="AQ54" s="57"/>
      <c r="AR54" s="57"/>
      <c r="AS54" s="57"/>
      <c r="AT54" s="57"/>
      <c r="AU54" s="57"/>
      <c r="AV54" s="57"/>
      <c r="AW54" s="57"/>
      <c r="AX54" s="277"/>
      <c r="AY54" s="277"/>
      <c r="AZ54" s="277"/>
      <c r="BA54" s="277"/>
      <c r="BB54" s="277"/>
      <c r="BC54" s="277"/>
      <c r="BD54" s="277"/>
      <c r="BE54" s="277"/>
    </row>
    <row r="55" spans="2:57" s="54" customFormat="1" ht="15" hidden="1">
      <c r="B55" s="453"/>
      <c r="C55" s="430"/>
      <c r="D55" s="431"/>
      <c r="E55" s="432"/>
      <c r="F55" s="433"/>
      <c r="G55" s="434"/>
      <c r="H55" s="435"/>
      <c r="I55" s="450"/>
      <c r="J55" s="451"/>
      <c r="K55" s="436"/>
      <c r="L55" s="452"/>
      <c r="M55" s="421"/>
      <c r="N55" s="13"/>
      <c r="O55" s="13"/>
      <c r="P55" s="50"/>
      <c r="R55" s="275"/>
      <c r="S55" s="275"/>
      <c r="T55" s="275"/>
      <c r="U55" s="275"/>
      <c r="V55" s="275"/>
      <c r="W55" s="275"/>
      <c r="X55" s="275"/>
      <c r="Y55" s="275"/>
      <c r="Z55" s="275"/>
      <c r="AA55" s="275"/>
      <c r="AB55" s="57"/>
      <c r="AC55" s="57"/>
      <c r="AD55" s="57"/>
      <c r="AE55" s="57"/>
      <c r="AF55" s="57"/>
      <c r="AG55" s="57"/>
      <c r="AH55" s="57"/>
      <c r="AI55" s="57"/>
      <c r="AJ55" s="57"/>
      <c r="AK55" s="57"/>
      <c r="AL55" s="57"/>
      <c r="AM55" s="57"/>
      <c r="AN55" s="57"/>
      <c r="AO55" s="57"/>
      <c r="AP55" s="57"/>
      <c r="AQ55" s="57"/>
      <c r="AR55" s="57"/>
      <c r="AS55" s="57"/>
      <c r="AT55" s="57"/>
      <c r="AU55" s="57"/>
      <c r="AV55" s="57"/>
      <c r="AW55" s="57"/>
      <c r="AX55" s="277"/>
      <c r="AY55" s="277"/>
      <c r="AZ55" s="277"/>
      <c r="BA55" s="277"/>
      <c r="BB55" s="277"/>
      <c r="BC55" s="277"/>
      <c r="BD55" s="277"/>
      <c r="BE55" s="277"/>
    </row>
    <row r="56" spans="2:57" s="54" customFormat="1" ht="37.15" hidden="1" customHeight="1" thickBot="1">
      <c r="B56" s="481"/>
      <c r="C56" s="479"/>
      <c r="D56" s="442"/>
      <c r="E56" s="443"/>
      <c r="F56" s="444"/>
      <c r="G56" s="445"/>
      <c r="H56" s="446"/>
      <c r="I56" s="447"/>
      <c r="J56" s="448"/>
      <c r="K56" s="449"/>
      <c r="L56" s="457"/>
      <c r="M56" s="455"/>
      <c r="N56" s="13"/>
      <c r="O56" s="13"/>
      <c r="P56" s="50"/>
      <c r="R56" s="275"/>
      <c r="S56" s="275"/>
      <c r="T56" s="275"/>
      <c r="U56" s="275"/>
      <c r="V56" s="275"/>
      <c r="W56" s="275"/>
      <c r="X56" s="275"/>
      <c r="Y56" s="275"/>
      <c r="Z56" s="275"/>
      <c r="AA56" s="275"/>
      <c r="AB56" s="57"/>
      <c r="AC56" s="57"/>
      <c r="AD56" s="57"/>
      <c r="AE56" s="57"/>
      <c r="AF56" s="57"/>
      <c r="AG56" s="57"/>
      <c r="AH56" s="57"/>
      <c r="AI56" s="57"/>
      <c r="AJ56" s="57"/>
      <c r="AK56" s="57"/>
      <c r="AL56" s="57"/>
      <c r="AM56" s="57"/>
      <c r="AN56" s="57"/>
      <c r="AO56" s="57"/>
      <c r="AP56" s="57"/>
      <c r="AQ56" s="57"/>
      <c r="AR56" s="57"/>
      <c r="AS56" s="57"/>
      <c r="AT56" s="57"/>
      <c r="AU56" s="57"/>
      <c r="AV56" s="57"/>
      <c r="AW56" s="57"/>
      <c r="AX56" s="277"/>
      <c r="AY56" s="277"/>
      <c r="AZ56" s="277"/>
      <c r="BA56" s="277"/>
      <c r="BB56" s="277"/>
      <c r="BC56" s="277"/>
      <c r="BD56" s="277"/>
      <c r="BE56" s="277"/>
    </row>
    <row r="57" spans="2:57" s="54" customFormat="1" ht="16.5" hidden="1" customHeight="1" thickBot="1">
      <c r="B57" s="437"/>
      <c r="C57" s="423"/>
      <c r="D57" s="424"/>
      <c r="E57" s="425"/>
      <c r="F57" s="426"/>
      <c r="G57" s="427"/>
      <c r="H57" s="428"/>
      <c r="I57" s="438"/>
      <c r="J57" s="439"/>
      <c r="K57" s="429"/>
      <c r="L57" s="440"/>
      <c r="M57" s="422"/>
      <c r="N57" s="13"/>
      <c r="O57" s="13"/>
      <c r="P57" s="50"/>
      <c r="R57" s="275"/>
      <c r="S57" s="275"/>
      <c r="T57" s="275"/>
      <c r="U57" s="275"/>
      <c r="V57" s="275"/>
      <c r="W57" s="275"/>
      <c r="X57" s="275"/>
      <c r="Y57" s="275"/>
      <c r="Z57" s="275"/>
      <c r="AA57" s="275"/>
      <c r="AB57" s="415"/>
      <c r="AC57" s="415"/>
      <c r="AD57" s="415"/>
      <c r="AE57" s="415"/>
      <c r="AF57" s="415"/>
      <c r="AG57" s="415"/>
      <c r="AH57" s="415"/>
      <c r="AI57" s="415"/>
      <c r="AJ57" s="415"/>
      <c r="AK57" s="415"/>
      <c r="AL57" s="415"/>
      <c r="AM57" s="415"/>
      <c r="AN57" s="415"/>
      <c r="AO57" s="415"/>
      <c r="AP57" s="415"/>
      <c r="AQ57" s="415"/>
      <c r="AR57" s="415"/>
      <c r="AS57" s="415"/>
      <c r="AT57" s="415"/>
      <c r="AU57" s="415"/>
      <c r="AV57" s="415"/>
      <c r="AW57" s="415"/>
    </row>
    <row r="58" spans="2:57" s="54" customFormat="1" ht="37.15" hidden="1" customHeight="1" thickBot="1">
      <c r="B58" s="456"/>
      <c r="C58" s="441"/>
      <c r="D58" s="442"/>
      <c r="E58" s="443"/>
      <c r="F58" s="444"/>
      <c r="G58" s="445"/>
      <c r="H58" s="446"/>
      <c r="I58" s="447"/>
      <c r="J58" s="448"/>
      <c r="K58" s="449"/>
      <c r="L58" s="457"/>
      <c r="M58" s="454"/>
      <c r="N58" s="13"/>
      <c r="O58" s="13"/>
      <c r="P58" s="50"/>
      <c r="R58" s="275"/>
      <c r="S58" s="275"/>
      <c r="T58" s="275"/>
      <c r="U58" s="275"/>
      <c r="V58" s="275"/>
      <c r="W58" s="275"/>
      <c r="X58" s="275"/>
      <c r="Y58" s="275"/>
      <c r="Z58" s="275"/>
      <c r="AA58" s="275"/>
      <c r="AB58" s="57"/>
      <c r="AC58" s="57"/>
      <c r="AD58" s="57"/>
      <c r="AE58" s="57"/>
      <c r="AF58" s="57"/>
      <c r="AG58" s="57"/>
      <c r="AH58" s="57"/>
      <c r="AI58" s="57"/>
      <c r="AJ58" s="57"/>
      <c r="AK58" s="57"/>
      <c r="AL58" s="57"/>
      <c r="AM58" s="57"/>
      <c r="AN58" s="57"/>
      <c r="AO58" s="57"/>
      <c r="AP58" s="57"/>
      <c r="AQ58" s="57"/>
      <c r="AR58" s="57"/>
      <c r="AS58" s="57"/>
      <c r="AT58" s="57"/>
      <c r="AU58" s="57"/>
      <c r="AV58" s="57"/>
      <c r="AW58" s="57"/>
      <c r="AX58" s="277"/>
      <c r="AY58" s="277"/>
      <c r="AZ58" s="277"/>
      <c r="BA58" s="277"/>
      <c r="BB58" s="277"/>
      <c r="BC58" s="277"/>
      <c r="BD58" s="277"/>
      <c r="BE58" s="277"/>
    </row>
    <row r="59" spans="2:57" s="54" customFormat="1" ht="37.15" customHeight="1">
      <c r="B59" s="466"/>
      <c r="C59" s="430"/>
      <c r="D59" s="460"/>
      <c r="E59" s="461"/>
      <c r="F59" s="462"/>
      <c r="G59" s="460"/>
      <c r="H59" s="463"/>
      <c r="I59" s="463"/>
      <c r="J59" s="463"/>
      <c r="K59" s="464"/>
      <c r="L59" s="465"/>
      <c r="M59" s="50"/>
      <c r="N59" s="13"/>
      <c r="O59" s="13"/>
      <c r="P59" s="50"/>
      <c r="R59" s="275"/>
      <c r="S59" s="275"/>
      <c r="T59" s="275"/>
      <c r="U59" s="275"/>
      <c r="V59" s="275"/>
      <c r="W59" s="275"/>
      <c r="X59" s="275"/>
      <c r="Y59" s="275"/>
      <c r="Z59" s="275"/>
      <c r="AA59" s="275"/>
      <c r="AB59" s="57"/>
      <c r="AC59" s="57"/>
      <c r="AD59" s="57"/>
      <c r="AE59" s="57"/>
      <c r="AF59" s="57"/>
      <c r="AG59" s="57"/>
      <c r="AH59" s="57"/>
      <c r="AI59" s="57"/>
      <c r="AJ59" s="57"/>
      <c r="AK59" s="57"/>
      <c r="AL59" s="57"/>
      <c r="AM59" s="57"/>
      <c r="AN59" s="57"/>
      <c r="AO59" s="57"/>
      <c r="AP59" s="57"/>
      <c r="AQ59" s="57"/>
      <c r="AR59" s="57"/>
      <c r="AS59" s="57"/>
      <c r="AT59" s="57"/>
      <c r="AU59" s="57"/>
      <c r="AV59" s="57"/>
      <c r="AW59" s="57"/>
      <c r="AX59" s="277"/>
      <c r="AY59" s="277"/>
      <c r="AZ59" s="277"/>
      <c r="BA59" s="277"/>
      <c r="BB59" s="277"/>
      <c r="BC59" s="277"/>
      <c r="BD59" s="277"/>
      <c r="BE59" s="277"/>
    </row>
    <row r="60" spans="2:57" ht="18" customHeight="1" thickBot="1">
      <c r="B60" s="59"/>
      <c r="C60" s="309"/>
      <c r="D60" s="59"/>
      <c r="E60" s="59"/>
      <c r="F60" s="59"/>
      <c r="G60" s="59"/>
      <c r="H60" s="59"/>
      <c r="I60" s="59"/>
      <c r="J60" s="59"/>
      <c r="K60" s="59"/>
      <c r="L60" s="59"/>
      <c r="M60" s="59"/>
      <c r="N60" s="59" t="s">
        <v>41</v>
      </c>
      <c r="O60" s="56"/>
      <c r="P60" s="60"/>
    </row>
    <row r="61" spans="2:57" ht="15.75" thickBot="1">
      <c r="B61" s="499" t="s">
        <v>55</v>
      </c>
      <c r="C61" s="500"/>
      <c r="D61" s="500"/>
      <c r="E61" s="500"/>
      <c r="F61" s="501"/>
      <c r="G61" s="499" t="s">
        <v>56</v>
      </c>
      <c r="H61" s="500"/>
      <c r="I61" s="500"/>
      <c r="J61" s="501"/>
      <c r="K61" s="499" t="s">
        <v>51</v>
      </c>
      <c r="L61" s="500"/>
      <c r="M61" s="500"/>
      <c r="N61" s="502"/>
      <c r="O61" s="56"/>
      <c r="P61" s="50"/>
    </row>
    <row r="62" spans="2:57" ht="15">
      <c r="B62" s="61" t="s">
        <v>17</v>
      </c>
      <c r="C62" s="62" t="s">
        <v>36</v>
      </c>
      <c r="D62" s="62" t="s">
        <v>37</v>
      </c>
      <c r="E62" s="62" t="s">
        <v>38</v>
      </c>
      <c r="F62" s="63" t="s">
        <v>39</v>
      </c>
      <c r="G62" s="62" t="s">
        <v>36</v>
      </c>
      <c r="H62" s="62" t="s">
        <v>37</v>
      </c>
      <c r="I62" s="62" t="s">
        <v>38</v>
      </c>
      <c r="J62" s="63" t="s">
        <v>39</v>
      </c>
      <c r="K62" s="62"/>
      <c r="L62" s="62" t="s">
        <v>37</v>
      </c>
      <c r="M62" s="62" t="s">
        <v>38</v>
      </c>
      <c r="N62" s="63" t="s">
        <v>39</v>
      </c>
      <c r="O62" s="56"/>
      <c r="P62" s="64"/>
    </row>
    <row r="63" spans="2:57" ht="15">
      <c r="B63" s="29" t="s">
        <v>6</v>
      </c>
      <c r="C63" s="65">
        <f>L50</f>
        <v>7.271382795168857</v>
      </c>
      <c r="D63" s="76">
        <v>7.271382795168857</v>
      </c>
      <c r="E63" s="76">
        <v>6.5305768396704069</v>
      </c>
      <c r="F63" s="66">
        <v>4.8</v>
      </c>
      <c r="G63" s="65">
        <f>[18]September_2026!$D$11</f>
        <v>6.7445156519595884</v>
      </c>
      <c r="H63" s="477">
        <v>6.7445156519595884</v>
      </c>
      <c r="I63" s="477">
        <v>6.6531065401354397</v>
      </c>
      <c r="J63" s="66">
        <v>4.8</v>
      </c>
      <c r="K63" s="67">
        <f>K50</f>
        <v>0.33</v>
      </c>
      <c r="L63" s="194">
        <v>0.33</v>
      </c>
      <c r="M63" s="194">
        <v>0.5236163256450509</v>
      </c>
      <c r="N63" s="68">
        <v>1</v>
      </c>
      <c r="O63" s="56"/>
      <c r="P63" s="69"/>
    </row>
    <row r="64" spans="2:57" ht="15">
      <c r="B64" s="33" t="s">
        <v>9</v>
      </c>
      <c r="C64" s="65"/>
      <c r="D64" s="76"/>
      <c r="E64" s="76">
        <v>5.7899437818525694</v>
      </c>
      <c r="F64" s="66">
        <v>4.8</v>
      </c>
      <c r="G64" s="65"/>
      <c r="H64" s="76"/>
      <c r="I64" s="76">
        <v>5.9483336713979043</v>
      </c>
      <c r="J64" s="66">
        <v>4.8</v>
      </c>
      <c r="K64" s="67"/>
      <c r="L64" s="194"/>
      <c r="M64" s="194">
        <v>0.69969789623338174</v>
      </c>
      <c r="N64" s="68">
        <v>1</v>
      </c>
      <c r="P64" s="69"/>
    </row>
    <row r="65" spans="2:16" ht="15">
      <c r="B65" s="34" t="s">
        <v>40</v>
      </c>
      <c r="C65" s="65"/>
      <c r="D65" s="76"/>
      <c r="E65" s="76">
        <v>11.277593164016125</v>
      </c>
      <c r="F65" s="66">
        <v>5.5</v>
      </c>
      <c r="G65" s="65"/>
      <c r="H65" s="76"/>
      <c r="I65" s="76">
        <v>11.857907912244482</v>
      </c>
      <c r="J65" s="66">
        <v>5.5</v>
      </c>
      <c r="K65" s="67"/>
      <c r="L65" s="194"/>
      <c r="M65" s="194">
        <v>0.35370190356844494</v>
      </c>
      <c r="N65" s="68">
        <v>1</v>
      </c>
      <c r="P65" s="69"/>
    </row>
    <row r="66" spans="2:16" ht="15">
      <c r="B66" s="22" t="s">
        <v>33</v>
      </c>
      <c r="C66" s="65"/>
      <c r="D66" s="76"/>
      <c r="E66" s="76">
        <v>4.8685538193023836</v>
      </c>
      <c r="F66" s="66">
        <v>3.3</v>
      </c>
      <c r="G66" s="65"/>
      <c r="H66" s="76"/>
      <c r="I66" s="76">
        <v>4.8702525342252114</v>
      </c>
      <c r="J66" s="66">
        <v>3.3</v>
      </c>
      <c r="K66" s="67"/>
      <c r="L66" s="194"/>
      <c r="M66" s="194">
        <v>0.77919298245614044</v>
      </c>
      <c r="N66" s="68">
        <v>1</v>
      </c>
      <c r="P66" s="69"/>
    </row>
    <row r="67" spans="2:16" ht="15">
      <c r="B67" s="35" t="s">
        <v>164</v>
      </c>
      <c r="C67" s="65"/>
      <c r="D67" s="76"/>
      <c r="E67" s="76"/>
      <c r="F67" s="66">
        <v>3.3</v>
      </c>
      <c r="G67" s="282"/>
      <c r="H67" s="76"/>
      <c r="I67" s="76"/>
      <c r="J67" s="66">
        <v>3</v>
      </c>
      <c r="K67" s="67"/>
      <c r="L67" s="194"/>
      <c r="M67" s="194"/>
      <c r="N67" s="68">
        <v>1</v>
      </c>
      <c r="P67" s="69"/>
    </row>
    <row r="68" spans="2:16" ht="15">
      <c r="B68" s="36" t="s">
        <v>15</v>
      </c>
      <c r="C68" s="65"/>
      <c r="D68" s="76"/>
      <c r="E68" s="76">
        <v>6.0400197628458603</v>
      </c>
      <c r="F68" s="70">
        <v>5.5</v>
      </c>
      <c r="G68" s="65"/>
      <c r="H68" s="76"/>
      <c r="I68" s="76">
        <v>8.2405787675951316</v>
      </c>
      <c r="J68" s="66">
        <v>5.5</v>
      </c>
      <c r="K68" s="67"/>
      <c r="L68" s="194"/>
      <c r="M68" s="194">
        <v>0.78491228070175445</v>
      </c>
      <c r="N68" s="68">
        <v>1</v>
      </c>
      <c r="P68" s="69"/>
    </row>
    <row r="69" spans="2:16" ht="15">
      <c r="B69" s="37" t="s">
        <v>16</v>
      </c>
      <c r="C69" s="482"/>
      <c r="D69" s="76"/>
      <c r="E69" s="76">
        <v>3.6168923014750334</v>
      </c>
      <c r="F69" s="66">
        <v>3.3</v>
      </c>
      <c r="G69" s="282"/>
      <c r="H69" s="76"/>
      <c r="I69" s="76">
        <v>5.0091179718082053</v>
      </c>
      <c r="J69" s="66">
        <v>3.3</v>
      </c>
      <c r="K69" s="67"/>
      <c r="L69" s="194"/>
      <c r="M69" s="194">
        <v>0.92642300194931759</v>
      </c>
      <c r="N69" s="71">
        <v>1</v>
      </c>
      <c r="P69" s="69"/>
    </row>
    <row r="70" spans="2:16" ht="15.75" thickBot="1">
      <c r="B70" s="38" t="s">
        <v>163</v>
      </c>
      <c r="C70" s="65"/>
      <c r="D70" s="76"/>
      <c r="E70" s="76"/>
      <c r="F70" s="66">
        <v>7.5</v>
      </c>
      <c r="G70" s="282"/>
      <c r="H70" s="76"/>
      <c r="I70" s="76"/>
      <c r="J70" s="66">
        <v>7.5</v>
      </c>
      <c r="K70" s="67"/>
      <c r="L70" s="194"/>
      <c r="M70" s="194"/>
      <c r="N70" s="71">
        <v>1</v>
      </c>
      <c r="P70" s="69"/>
    </row>
    <row r="71" spans="2:16" ht="15.75" thickBot="1">
      <c r="B71" s="414" t="s">
        <v>161</v>
      </c>
      <c r="C71" s="65"/>
      <c r="D71" s="76"/>
      <c r="E71" s="76"/>
      <c r="F71" s="66">
        <v>4.8</v>
      </c>
      <c r="G71" s="282"/>
      <c r="H71" s="76"/>
      <c r="I71" s="76"/>
      <c r="J71" s="66">
        <v>4.8</v>
      </c>
      <c r="K71" s="67"/>
      <c r="L71" s="194">
        <v>0</v>
      </c>
      <c r="M71" s="194"/>
      <c r="N71" s="71">
        <v>1</v>
      </c>
      <c r="O71" s="74"/>
      <c r="P71" s="75"/>
    </row>
    <row r="72" spans="2:16" ht="15">
      <c r="D72" s="76">
        <v>7.271382795168857</v>
      </c>
      <c r="E72" s="76">
        <v>6.3318074586839979</v>
      </c>
      <c r="F72" s="341">
        <v>5.5</v>
      </c>
      <c r="H72" s="76">
        <v>6.7445156519595884</v>
      </c>
      <c r="I72" s="76">
        <v>6.6937814591291902</v>
      </c>
      <c r="J72" s="341">
        <v>5.5</v>
      </c>
      <c r="L72" s="194">
        <v>0.33</v>
      </c>
      <c r="M72" s="194">
        <v>0.59677828832179292</v>
      </c>
      <c r="N72" s="386">
        <v>1</v>
      </c>
    </row>
  </sheetData>
  <mergeCells count="51">
    <mergeCell ref="M48:M49"/>
    <mergeCell ref="B61:F61"/>
    <mergeCell ref="G61:J61"/>
    <mergeCell ref="K61:N61"/>
    <mergeCell ref="G48:G49"/>
    <mergeCell ref="H48:H49"/>
    <mergeCell ref="I48:I49"/>
    <mergeCell ref="J48:J49"/>
    <mergeCell ref="K48:K49"/>
    <mergeCell ref="L48:L49"/>
    <mergeCell ref="F48:F49"/>
    <mergeCell ref="D43:E43"/>
    <mergeCell ref="B48:B49"/>
    <mergeCell ref="C48:C49"/>
    <mergeCell ref="D48:D49"/>
    <mergeCell ref="E48:E49"/>
    <mergeCell ref="B33:B42"/>
    <mergeCell ref="D33:E34"/>
    <mergeCell ref="J33:K33"/>
    <mergeCell ref="L34:N34"/>
    <mergeCell ref="D35:E36"/>
    <mergeCell ref="D37:E38"/>
    <mergeCell ref="D39:E40"/>
    <mergeCell ref="D41:E42"/>
    <mergeCell ref="I19:N19"/>
    <mergeCell ref="D20:E20"/>
    <mergeCell ref="B21:B32"/>
    <mergeCell ref="D21:E22"/>
    <mergeCell ref="D23:E24"/>
    <mergeCell ref="D25:E26"/>
    <mergeCell ref="D27:E28"/>
    <mergeCell ref="D29:E30"/>
    <mergeCell ref="D31:E32"/>
    <mergeCell ref="P8:P9"/>
    <mergeCell ref="C5:D5"/>
    <mergeCell ref="B8:B9"/>
    <mergeCell ref="C8:C9"/>
    <mergeCell ref="D8:D9"/>
    <mergeCell ref="G8:G9"/>
    <mergeCell ref="H8:H9"/>
    <mergeCell ref="I8:I9"/>
    <mergeCell ref="J8:J9"/>
    <mergeCell ref="K8:K9"/>
    <mergeCell ref="L8:L9"/>
    <mergeCell ref="O8:O9"/>
    <mergeCell ref="M4:N4"/>
    <mergeCell ref="S1:T1"/>
    <mergeCell ref="U1:V1"/>
    <mergeCell ref="W1:X1"/>
    <mergeCell ref="Y1:Z1"/>
    <mergeCell ref="B2:O2"/>
  </mergeCells>
  <conditionalFormatting sqref="B43:B44">
    <cfRule type="cellIs" dxfId="4024" priority="121" operator="notBetween">
      <formula>#REF!</formula>
      <formula>#REF!</formula>
    </cfRule>
  </conditionalFormatting>
  <conditionalFormatting sqref="C47">
    <cfRule type="cellIs" dxfId="4023" priority="204" stopIfTrue="1" operator="greaterThan">
      <formula>100</formula>
    </cfRule>
    <cfRule type="cellIs" dxfId="4022" priority="203" stopIfTrue="1" operator="lessThan">
      <formula>96</formula>
    </cfRule>
  </conditionalFormatting>
  <conditionalFormatting sqref="C63:C64">
    <cfRule type="cellIs" dxfId="4021" priority="86" stopIfTrue="1" operator="lessThanOrEqual">
      <formula>0</formula>
    </cfRule>
    <cfRule type="cellIs" dxfId="4020" priority="83" stopIfTrue="1" operator="greaterThan">
      <formula>$F63</formula>
    </cfRule>
    <cfRule type="cellIs" dxfId="4019" priority="84" stopIfTrue="1" operator="lessThanOrEqual">
      <formula>0</formula>
    </cfRule>
    <cfRule type="cellIs" dxfId="4018" priority="85" stopIfTrue="1" operator="greaterThan">
      <formula>$F63</formula>
    </cfRule>
  </conditionalFormatting>
  <conditionalFormatting sqref="C65:C67 C69:C71">
    <cfRule type="cellIs" dxfId="4017" priority="93" stopIfTrue="1" operator="greaterThan">
      <formula>$F68</formula>
    </cfRule>
  </conditionalFormatting>
  <conditionalFormatting sqref="C65:C67">
    <cfRule type="cellIs" dxfId="4016" priority="94" stopIfTrue="1" operator="lessThanOrEqual">
      <formula>0</formula>
    </cfRule>
  </conditionalFormatting>
  <conditionalFormatting sqref="C68">
    <cfRule type="cellIs" dxfId="4015" priority="207" stopIfTrue="1" operator="greaterThan">
      <formula>$F63</formula>
    </cfRule>
    <cfRule type="cellIs" dxfId="4014" priority="206" stopIfTrue="1" operator="lessThanOrEqual">
      <formula>0</formula>
    </cfRule>
    <cfRule type="cellIs" dxfId="4013" priority="205" stopIfTrue="1" operator="greaterThan">
      <formula>$F63</formula>
    </cfRule>
    <cfRule type="cellIs" dxfId="4012" priority="208" stopIfTrue="1" operator="lessThanOrEqual">
      <formula>0</formula>
    </cfRule>
  </conditionalFormatting>
  <conditionalFormatting sqref="C69:C71">
    <cfRule type="cellIs" dxfId="4011" priority="95" stopIfTrue="1" operator="lessThanOrEqual">
      <formula>0</formula>
    </cfRule>
  </conditionalFormatting>
  <conditionalFormatting sqref="C74:C78">
    <cfRule type="cellIs" dxfId="4010" priority="195" stopIfTrue="1" operator="lessThanOrEqual">
      <formula>0</formula>
    </cfRule>
  </conditionalFormatting>
  <conditionalFormatting sqref="C75:C78">
    <cfRule type="cellIs" dxfId="4009" priority="194" stopIfTrue="1" operator="greaterThan">
      <formula>$F$74</formula>
    </cfRule>
  </conditionalFormatting>
  <conditionalFormatting sqref="C80">
    <cfRule type="cellIs" dxfId="4008" priority="197" stopIfTrue="1" operator="lessThanOrEqual">
      <formula>0</formula>
    </cfRule>
    <cfRule type="cellIs" dxfId="4007" priority="196" stopIfTrue="1" operator="greaterThan">
      <formula>$F$74</formula>
    </cfRule>
  </conditionalFormatting>
  <conditionalFormatting sqref="C68:D68">
    <cfRule type="cellIs" dxfId="4006" priority="81" stopIfTrue="1" operator="greaterThan">
      <formula>$J68</formula>
    </cfRule>
    <cfRule type="cellIs" dxfId="4005" priority="82" stopIfTrue="1" operator="lessThanOrEqual">
      <formula>0</formula>
    </cfRule>
  </conditionalFormatting>
  <conditionalFormatting sqref="C74:D74 D76:D82">
    <cfRule type="cellIs" dxfId="4004" priority="189" stopIfTrue="1" operator="greaterThan">
      <formula>4.5</formula>
    </cfRule>
  </conditionalFormatting>
  <conditionalFormatting sqref="D43:D44">
    <cfRule type="cellIs" dxfId="4003" priority="122" operator="notBetween">
      <formula>#REF!</formula>
      <formula>#REF!</formula>
    </cfRule>
  </conditionalFormatting>
  <conditionalFormatting sqref="D63:D67 D69:D70">
    <cfRule type="cellIs" dxfId="4002" priority="92" stopIfTrue="1" operator="lessThanOrEqual">
      <formula>0</formula>
    </cfRule>
  </conditionalFormatting>
  <conditionalFormatting sqref="D63:D67 D69:D72">
    <cfRule type="cellIs" dxfId="4001" priority="88" stopIfTrue="1" operator="lessThanOrEqual">
      <formula>0</formula>
    </cfRule>
    <cfRule type="cellIs" dxfId="4000" priority="89" stopIfTrue="1" operator="greaterThan">
      <formula>$F63</formula>
    </cfRule>
  </conditionalFormatting>
  <conditionalFormatting sqref="D71:D72">
    <cfRule type="cellIs" dxfId="3999" priority="90" stopIfTrue="1" operator="lessThanOrEqual">
      <formula>0</formula>
    </cfRule>
  </conditionalFormatting>
  <conditionalFormatting sqref="D72">
    <cfRule type="cellIs" dxfId="3998" priority="91" stopIfTrue="1" operator="lessThanOrEqual">
      <formula>0</formula>
    </cfRule>
  </conditionalFormatting>
  <conditionalFormatting sqref="D74 D76:D82">
    <cfRule type="cellIs" dxfId="3997" priority="190" stopIfTrue="1" operator="lessThanOrEqual">
      <formula>0</formula>
    </cfRule>
  </conditionalFormatting>
  <conditionalFormatting sqref="D75">
    <cfRule type="cellIs" dxfId="3996" priority="182" stopIfTrue="1" operator="lessThanOrEqual">
      <formula>0</formula>
    </cfRule>
    <cfRule type="cellIs" dxfId="3995" priority="181" stopIfTrue="1" operator="greaterThan">
      <formula>$F$74</formula>
    </cfRule>
  </conditionalFormatting>
  <conditionalFormatting sqref="E10:E18">
    <cfRule type="cellIs" dxfId="3994" priority="24" operator="lessThan">
      <formula>48</formula>
    </cfRule>
  </conditionalFormatting>
  <conditionalFormatting sqref="E46 E47:F47">
    <cfRule type="cellIs" dxfId="3993" priority="186" stopIfTrue="1" operator="greaterThan">
      <formula>100</formula>
    </cfRule>
  </conditionalFormatting>
  <conditionalFormatting sqref="E47">
    <cfRule type="cellIs" dxfId="3992" priority="184" stopIfTrue="1" operator="greaterThan">
      <formula>100</formula>
    </cfRule>
    <cfRule type="cellIs" dxfId="3991" priority="183" stopIfTrue="1" operator="lessThan">
      <formula>96.8</formula>
    </cfRule>
  </conditionalFormatting>
  <conditionalFormatting sqref="E63:E71">
    <cfRule type="cellIs" dxfId="3990" priority="54" stopIfTrue="1" operator="lessThanOrEqual">
      <formula>0</formula>
    </cfRule>
  </conditionalFormatting>
  <conditionalFormatting sqref="E63:E72">
    <cfRule type="cellIs" dxfId="3989" priority="55" stopIfTrue="1" operator="greaterThan">
      <formula>$F63</formula>
    </cfRule>
    <cfRule type="cellIs" dxfId="3988" priority="56" stopIfTrue="1" operator="lessThanOrEqual">
      <formula>0</formula>
    </cfRule>
  </conditionalFormatting>
  <conditionalFormatting sqref="E72">
    <cfRule type="cellIs" dxfId="3987" priority="57" stopIfTrue="1" operator="lessThanOrEqual">
      <formula>0</formula>
    </cfRule>
  </conditionalFormatting>
  <conditionalFormatting sqref="E74:E82">
    <cfRule type="cellIs" dxfId="3986" priority="175" stopIfTrue="1" operator="greaterThan">
      <formula>4.5</formula>
    </cfRule>
    <cfRule type="cellIs" dxfId="3985" priority="176" stopIfTrue="1" operator="lessThanOrEqual">
      <formula>0</formula>
    </cfRule>
  </conditionalFormatting>
  <conditionalFormatting sqref="E47:F47 E46">
    <cfRule type="cellIs" dxfId="3984" priority="185" stopIfTrue="1" operator="lessThan">
      <formula>96.5</formula>
    </cfRule>
  </conditionalFormatting>
  <conditionalFormatting sqref="F10:F18">
    <cfRule type="cellIs" dxfId="3983" priority="31" operator="greaterThan">
      <formula>60</formula>
    </cfRule>
  </conditionalFormatting>
  <conditionalFormatting sqref="F47">
    <cfRule type="cellIs" dxfId="3982" priority="202" stopIfTrue="1" operator="greaterThan">
      <formula>100</formula>
    </cfRule>
    <cfRule type="cellIs" dxfId="3981" priority="201" stopIfTrue="1" operator="lessThan">
      <formula>96.8</formula>
    </cfRule>
  </conditionalFormatting>
  <conditionalFormatting sqref="G17">
    <cfRule type="expression" dxfId="3980" priority="27">
      <formula>IF(+(IF(G17&lt;S17,0,IF(G17&gt;T17,0,1)))=0,1)</formula>
    </cfRule>
  </conditionalFormatting>
  <conditionalFormatting sqref="G63:G66 F72">
    <cfRule type="cellIs" dxfId="3979" priority="63" stopIfTrue="1" operator="greaterThan">
      <formula>$F63</formula>
    </cfRule>
    <cfRule type="cellIs" dxfId="3978" priority="64" stopIfTrue="1" operator="lessThanOrEqual">
      <formula>0</formula>
    </cfRule>
  </conditionalFormatting>
  <conditionalFormatting sqref="G65:G66">
    <cfRule type="cellIs" dxfId="3977" priority="50" stopIfTrue="1" operator="lessThanOrEqual">
      <formula>0</formula>
    </cfRule>
    <cfRule type="cellIs" dxfId="3976" priority="49" stopIfTrue="1" operator="greaterThan">
      <formula>$F65</formula>
    </cfRule>
  </conditionalFormatting>
  <conditionalFormatting sqref="G67:G71">
    <cfRule type="cellIs" dxfId="3975" priority="65" stopIfTrue="1" operator="greaterThan">
      <formula>$J67</formula>
    </cfRule>
    <cfRule type="cellIs" dxfId="3974" priority="66" stopIfTrue="1" operator="lessThanOrEqual">
      <formula>0</formula>
    </cfRule>
  </conditionalFormatting>
  <conditionalFormatting sqref="G68">
    <cfRule type="cellIs" dxfId="3973" priority="210" stopIfTrue="1" operator="lessThanOrEqual">
      <formula>0</formula>
    </cfRule>
    <cfRule type="cellIs" dxfId="3972" priority="209" stopIfTrue="1" operator="greaterThan">
      <formula>$F63</formula>
    </cfRule>
  </conditionalFormatting>
  <conditionalFormatting sqref="G76:G81 C79 C81">
    <cfRule type="cellIs" dxfId="3971" priority="199" stopIfTrue="1" operator="lessThanOrEqual">
      <formula>0</formula>
    </cfRule>
    <cfRule type="cellIs" dxfId="3970" priority="198" stopIfTrue="1" operator="greaterThan">
      <formula>4.5</formula>
    </cfRule>
  </conditionalFormatting>
  <conditionalFormatting sqref="G10:H16 M10:N18 H17 G18:H18">
    <cfRule type="expression" dxfId="3969" priority="29">
      <formula>IF(+(IF(G10&lt;#REF!,0,IF(G10&gt;#REF!,0,1)))=0,1)</formula>
    </cfRule>
  </conditionalFormatting>
  <conditionalFormatting sqref="G75:H75">
    <cfRule type="cellIs" dxfId="3968" priority="180" stopIfTrue="1" operator="lessThanOrEqual">
      <formula>0</formula>
    </cfRule>
    <cfRule type="cellIs" dxfId="3967" priority="179" stopIfTrue="1" operator="greaterThan">
      <formula>$F$74</formula>
    </cfRule>
  </conditionalFormatting>
  <conditionalFormatting sqref="H32:H33 H46">
    <cfRule type="cellIs" dxfId="3966" priority="177" stopIfTrue="1" operator="greaterThan">
      <formula>0</formula>
    </cfRule>
  </conditionalFormatting>
  <conditionalFormatting sqref="H50">
    <cfRule type="cellIs" dxfId="3965" priority="69" stopIfTrue="1" operator="greaterThan">
      <formula>$F$63</formula>
    </cfRule>
    <cfRule type="cellIs" dxfId="3964" priority="77" stopIfTrue="1" operator="greaterThan">
      <formula>$F$66</formula>
    </cfRule>
    <cfRule type="cellIs" dxfId="3963" priority="78" stopIfTrue="1" operator="lessThanOrEqual">
      <formula>0</formula>
    </cfRule>
    <cfRule type="cellIs" dxfId="3962" priority="79" stopIfTrue="1" operator="greaterThan">
      <formula>$F$64</formula>
    </cfRule>
    <cfRule type="cellIs" dxfId="3961" priority="68" stopIfTrue="1" operator="lessThanOrEqual">
      <formula>0</formula>
    </cfRule>
  </conditionalFormatting>
  <conditionalFormatting sqref="H50:H51">
    <cfRule type="cellIs" dxfId="3960" priority="80" stopIfTrue="1" operator="lessThanOrEqual">
      <formula>0</formula>
    </cfRule>
  </conditionalFormatting>
  <conditionalFormatting sqref="H51 H53:H54">
    <cfRule type="cellIs" dxfId="3959" priority="107" stopIfTrue="1" operator="lessThanOrEqual">
      <formula>0</formula>
    </cfRule>
  </conditionalFormatting>
  <conditionalFormatting sqref="H51">
    <cfRule type="cellIs" dxfId="3958" priority="96" stopIfTrue="1" operator="greaterThan">
      <formula>$F$63</formula>
    </cfRule>
    <cfRule type="cellIs" dxfId="3957" priority="104" stopIfTrue="1" operator="greaterThan">
      <formula>$F$66</formula>
    </cfRule>
    <cfRule type="cellIs" dxfId="3956" priority="105" stopIfTrue="1" operator="lessThanOrEqual">
      <formula>0</formula>
    </cfRule>
    <cfRule type="cellIs" dxfId="3955" priority="106" stopIfTrue="1" operator="greaterThan">
      <formula>$F$64</formula>
    </cfRule>
  </conditionalFormatting>
  <conditionalFormatting sqref="H52">
    <cfRule type="cellIs" dxfId="3954" priority="47" stopIfTrue="1" operator="lessThanOrEqual">
      <formula>0</formula>
    </cfRule>
    <cfRule type="cellIs" dxfId="3953" priority="36" stopIfTrue="1" operator="greaterThan">
      <formula>$F$65</formula>
    </cfRule>
    <cfRule type="cellIs" dxfId="3952" priority="35" stopIfTrue="1" operator="lessThanOrEqual">
      <formula>0</formula>
    </cfRule>
    <cfRule type="cellIs" dxfId="3951" priority="44" stopIfTrue="1" operator="greaterThan">
      <formula>$F$68</formula>
    </cfRule>
    <cfRule type="cellIs" dxfId="3950" priority="45" stopIfTrue="1" operator="lessThanOrEqual">
      <formula>0</formula>
    </cfRule>
    <cfRule type="cellIs" dxfId="3949" priority="46" stopIfTrue="1" operator="greaterThan">
      <formula>$F$66</formula>
    </cfRule>
  </conditionalFormatting>
  <conditionalFormatting sqref="H53:H54">
    <cfRule type="cellIs" dxfId="3948" priority="109" stopIfTrue="1" operator="greaterThan">
      <formula>$F$63</formula>
    </cfRule>
    <cfRule type="cellIs" dxfId="3947" priority="120" stopIfTrue="1" operator="lessThanOrEqual">
      <formula>0</formula>
    </cfRule>
    <cfRule type="cellIs" dxfId="3946" priority="119" stopIfTrue="1" operator="greaterThan">
      <formula>$F$64</formula>
    </cfRule>
    <cfRule type="cellIs" dxfId="3945" priority="117" stopIfTrue="1" operator="greaterThan">
      <formula>$F$66</formula>
    </cfRule>
    <cfRule type="cellIs" dxfId="3944" priority="118" stopIfTrue="1" operator="lessThanOrEqual">
      <formula>0</formula>
    </cfRule>
  </conditionalFormatting>
  <conditionalFormatting sqref="H55:H56">
    <cfRule type="cellIs" dxfId="3943" priority="153" stopIfTrue="1" operator="greaterThan">
      <formula>#REF!</formula>
    </cfRule>
    <cfRule type="cellIs" dxfId="3942" priority="154" stopIfTrue="1" operator="lessThanOrEqual">
      <formula>0</formula>
    </cfRule>
    <cfRule type="cellIs" dxfId="3941" priority="145" stopIfTrue="1" operator="greaterThan">
      <formula>#REF!</formula>
    </cfRule>
    <cfRule type="cellIs" dxfId="3940" priority="144" stopIfTrue="1" operator="lessThanOrEqual">
      <formula>0</formula>
    </cfRule>
  </conditionalFormatting>
  <conditionalFormatting sqref="H57">
    <cfRule type="cellIs" dxfId="3939" priority="168" stopIfTrue="1" operator="lessThanOrEqual">
      <formula>0</formula>
    </cfRule>
    <cfRule type="cellIs" dxfId="3938" priority="166" stopIfTrue="1" operator="lessThanOrEqual">
      <formula>0</formula>
    </cfRule>
    <cfRule type="cellIs" dxfId="3937" priority="156" stopIfTrue="1" operator="lessThanOrEqual">
      <formula>0</formula>
    </cfRule>
    <cfRule type="cellIs" dxfId="3936" priority="157" stopIfTrue="1" operator="greaterThan">
      <formula>$F$31</formula>
    </cfRule>
    <cfRule type="cellIs" dxfId="3935" priority="165" stopIfTrue="1" operator="greaterThan">
      <formula>$F$34</formula>
    </cfRule>
    <cfRule type="cellIs" dxfId="3934" priority="167" stopIfTrue="1" operator="greaterThan">
      <formula>$F$32</formula>
    </cfRule>
  </conditionalFormatting>
  <conditionalFormatting sqref="H58:H59">
    <cfRule type="cellIs" dxfId="3933" priority="132" stopIfTrue="1" operator="lessThanOrEqual">
      <formula>0</formula>
    </cfRule>
    <cfRule type="cellIs" dxfId="3932" priority="142" stopIfTrue="1" operator="lessThanOrEqual">
      <formula>0</formula>
    </cfRule>
    <cfRule type="cellIs" dxfId="3931" priority="133" stopIfTrue="1" operator="greaterThan">
      <formula>#REF!</formula>
    </cfRule>
    <cfRule type="cellIs" dxfId="3930" priority="141" stopIfTrue="1" operator="greaterThan">
      <formula>#REF!</formula>
    </cfRule>
  </conditionalFormatting>
  <conditionalFormatting sqref="H74 H76:H82">
    <cfRule type="cellIs" dxfId="3929" priority="191" stopIfTrue="1" operator="greaterThan">
      <formula>4.5</formula>
    </cfRule>
    <cfRule type="cellIs" dxfId="3928" priority="192" stopIfTrue="1" operator="lessThanOrEqual">
      <formula>0</formula>
    </cfRule>
  </conditionalFormatting>
  <conditionalFormatting sqref="H50:I50">
    <cfRule type="cellIs" dxfId="3927" priority="70" stopIfTrue="1" operator="lessThanOrEqual">
      <formula>0</formula>
    </cfRule>
  </conditionalFormatting>
  <conditionalFormatting sqref="H50:I51 H53:I54">
    <cfRule type="cellIs" dxfId="3926" priority="67" stopIfTrue="1" operator="greaterThan">
      <formula>$F$65</formula>
    </cfRule>
  </conditionalFormatting>
  <conditionalFormatting sqref="H51:I51">
    <cfRule type="cellIs" dxfId="3925" priority="97" stopIfTrue="1" operator="lessThanOrEqual">
      <formula>0</formula>
    </cfRule>
  </conditionalFormatting>
  <conditionalFormatting sqref="H52:I52">
    <cfRule type="cellIs" dxfId="3924" priority="37" stopIfTrue="1" operator="lessThanOrEqual">
      <formula>0</formula>
    </cfRule>
    <cfRule type="cellIs" dxfId="3923" priority="34" stopIfTrue="1" operator="greaterThan">
      <formula>$F$67</formula>
    </cfRule>
  </conditionalFormatting>
  <conditionalFormatting sqref="H53:I54">
    <cfRule type="cellIs" dxfId="3922" priority="110" stopIfTrue="1" operator="lessThanOrEqual">
      <formula>0</formula>
    </cfRule>
  </conditionalFormatting>
  <conditionalFormatting sqref="H55:I56">
    <cfRule type="cellIs" dxfId="3921" priority="143" stopIfTrue="1" operator="greaterThan">
      <formula>#REF!</formula>
    </cfRule>
    <cfRule type="cellIs" dxfId="3920" priority="146" stopIfTrue="1" operator="lessThanOrEqual">
      <formula>0</formula>
    </cfRule>
    <cfRule type="cellIs" dxfId="3919" priority="151" stopIfTrue="1" operator="greaterThan">
      <formula>#REF!</formula>
    </cfRule>
    <cfRule type="cellIs" dxfId="3918" priority="152" stopIfTrue="1" operator="lessThanOrEqual">
      <formula>0</formula>
    </cfRule>
  </conditionalFormatting>
  <conditionalFormatting sqref="H57:I57">
    <cfRule type="cellIs" dxfId="3917" priority="158" stopIfTrue="1" operator="lessThanOrEqual">
      <formula>0</formula>
    </cfRule>
    <cfRule type="cellIs" dxfId="3916" priority="155" stopIfTrue="1" operator="greaterThan">
      <formula>$F$33</formula>
    </cfRule>
  </conditionalFormatting>
  <conditionalFormatting sqref="H58:I59">
    <cfRule type="cellIs" dxfId="3915" priority="139" stopIfTrue="1" operator="greaterThan">
      <formula>#REF!</formula>
    </cfRule>
    <cfRule type="cellIs" dxfId="3914" priority="140" stopIfTrue="1" operator="lessThanOrEqual">
      <formula>0</formula>
    </cfRule>
    <cfRule type="cellIs" dxfId="3913" priority="134" stopIfTrue="1" operator="lessThanOrEqual">
      <formula>0</formula>
    </cfRule>
    <cfRule type="cellIs" dxfId="3912" priority="131" stopIfTrue="1" operator="greaterThan">
      <formula>#REF!</formula>
    </cfRule>
  </conditionalFormatting>
  <conditionalFormatting sqref="H63:I70">
    <cfRule type="cellIs" dxfId="3911" priority="52" stopIfTrue="1" operator="greaterThan">
      <formula>$J63</formula>
    </cfRule>
    <cfRule type="cellIs" dxfId="3910" priority="53" stopIfTrue="1" operator="lessThanOrEqual">
      <formula>0</formula>
    </cfRule>
  </conditionalFormatting>
  <conditionalFormatting sqref="H71:I71">
    <cfRule type="cellIs" dxfId="3909" priority="60" operator="greaterThan">
      <formula>5.3</formula>
    </cfRule>
  </conditionalFormatting>
  <conditionalFormatting sqref="H72:I72">
    <cfRule type="cellIs" dxfId="3908" priority="58" stopIfTrue="1" operator="greaterThan">
      <formula>$J72</formula>
    </cfRule>
    <cfRule type="cellIs" dxfId="3907" priority="59" stopIfTrue="1" operator="lessThanOrEqual">
      <formula>0</formula>
    </cfRule>
  </conditionalFormatting>
  <conditionalFormatting sqref="I50">
    <cfRule type="cellIs" dxfId="3906" priority="76" stopIfTrue="1" operator="lessThanOrEqual">
      <formula>0</formula>
    </cfRule>
    <cfRule type="cellIs" dxfId="3905" priority="75" stopIfTrue="1" operator="greaterThan">
      <formula>$F$63</formula>
    </cfRule>
    <cfRule type="cellIs" dxfId="3904" priority="74" stopIfTrue="1" operator="lessThanOrEqual">
      <formula>0</formula>
    </cfRule>
    <cfRule type="cellIs" dxfId="3903" priority="73" stopIfTrue="1" operator="greaterThan">
      <formula>$F$65</formula>
    </cfRule>
    <cfRule type="cellIs" dxfId="3902" priority="71" stopIfTrue="1" operator="greaterThan">
      <formula>$F$63</formula>
    </cfRule>
    <cfRule type="cellIs" dxfId="3901" priority="72" stopIfTrue="1" operator="lessThanOrEqual">
      <formula>0</formula>
    </cfRule>
  </conditionalFormatting>
  <conditionalFormatting sqref="I51">
    <cfRule type="cellIs" dxfId="3900" priority="98" stopIfTrue="1" operator="greaterThan">
      <formula>$F$63</formula>
    </cfRule>
    <cfRule type="cellIs" dxfId="3899" priority="99" stopIfTrue="1" operator="lessThanOrEqual">
      <formula>0</formula>
    </cfRule>
    <cfRule type="cellIs" dxfId="3898" priority="100" stopIfTrue="1" operator="greaterThan">
      <formula>$F$65</formula>
    </cfRule>
    <cfRule type="cellIs" dxfId="3897" priority="101" stopIfTrue="1" operator="lessThanOrEqual">
      <formula>0</formula>
    </cfRule>
    <cfRule type="cellIs" dxfId="3896" priority="103" stopIfTrue="1" operator="lessThanOrEqual">
      <formula>0</formula>
    </cfRule>
    <cfRule type="cellIs" dxfId="3895" priority="102" stopIfTrue="1" operator="greaterThan">
      <formula>$F$63</formula>
    </cfRule>
  </conditionalFormatting>
  <conditionalFormatting sqref="I52">
    <cfRule type="cellIs" dxfId="3894" priority="42" stopIfTrue="1" operator="greaterThan">
      <formula>$F$65</formula>
    </cfRule>
    <cfRule type="cellIs" dxfId="3893" priority="43" stopIfTrue="1" operator="lessThanOrEqual">
      <formula>0</formula>
    </cfRule>
    <cfRule type="cellIs" dxfId="3892" priority="38" stopIfTrue="1" operator="greaterThan">
      <formula>$F$65</formula>
    </cfRule>
    <cfRule type="cellIs" dxfId="3891" priority="39" stopIfTrue="1" operator="lessThanOrEqual">
      <formula>0</formula>
    </cfRule>
    <cfRule type="cellIs" dxfId="3890" priority="40" stopIfTrue="1" operator="greaterThan">
      <formula>$F$67</formula>
    </cfRule>
    <cfRule type="cellIs" dxfId="3889" priority="41" stopIfTrue="1" operator="lessThanOrEqual">
      <formula>0</formula>
    </cfRule>
  </conditionalFormatting>
  <conditionalFormatting sqref="I53:I54">
    <cfRule type="cellIs" dxfId="3888" priority="112" stopIfTrue="1" operator="lessThanOrEqual">
      <formula>0</formula>
    </cfRule>
    <cfRule type="cellIs" dxfId="3887" priority="111" stopIfTrue="1" operator="greaterThan">
      <formula>$F$63</formula>
    </cfRule>
    <cfRule type="cellIs" dxfId="3886" priority="113" stopIfTrue="1" operator="greaterThan">
      <formula>$F$65</formula>
    </cfRule>
    <cfRule type="cellIs" dxfId="3885" priority="114" stopIfTrue="1" operator="lessThanOrEqual">
      <formula>0</formula>
    </cfRule>
    <cfRule type="cellIs" dxfId="3884" priority="115" stopIfTrue="1" operator="greaterThan">
      <formula>$F$63</formula>
    </cfRule>
    <cfRule type="cellIs" dxfId="3883" priority="116" stopIfTrue="1" operator="lessThanOrEqual">
      <formula>0</formula>
    </cfRule>
  </conditionalFormatting>
  <conditionalFormatting sqref="I55:I56">
    <cfRule type="cellIs" dxfId="3882" priority="147" stopIfTrue="1" operator="greaterThan">
      <formula>#REF!</formula>
    </cfRule>
    <cfRule type="cellIs" dxfId="3881" priority="150" stopIfTrue="1" operator="lessThanOrEqual">
      <formula>0</formula>
    </cfRule>
    <cfRule type="cellIs" dxfId="3880" priority="149" stopIfTrue="1" operator="greaterThan">
      <formula>#REF!</formula>
    </cfRule>
    <cfRule type="cellIs" dxfId="3879" priority="148" stopIfTrue="1" operator="lessThanOrEqual">
      <formula>0</formula>
    </cfRule>
  </conditionalFormatting>
  <conditionalFormatting sqref="I57">
    <cfRule type="cellIs" dxfId="3878" priority="159" stopIfTrue="1" operator="greaterThan">
      <formula>$F$31</formula>
    </cfRule>
    <cfRule type="cellIs" dxfId="3877" priority="160" stopIfTrue="1" operator="lessThanOrEqual">
      <formula>0</formula>
    </cfRule>
    <cfRule type="cellIs" dxfId="3876" priority="161" stopIfTrue="1" operator="greaterThan">
      <formula>$F$33</formula>
    </cfRule>
    <cfRule type="cellIs" dxfId="3875" priority="162" stopIfTrue="1" operator="lessThanOrEqual">
      <formula>0</formula>
    </cfRule>
    <cfRule type="cellIs" dxfId="3874" priority="163" stopIfTrue="1" operator="greaterThan">
      <formula>$F$31</formula>
    </cfRule>
    <cfRule type="cellIs" dxfId="3873" priority="164" stopIfTrue="1" operator="lessThanOrEqual">
      <formula>0</formula>
    </cfRule>
  </conditionalFormatting>
  <conditionalFormatting sqref="I58:I59">
    <cfRule type="cellIs" dxfId="3872" priority="136" stopIfTrue="1" operator="lessThanOrEqual">
      <formula>0</formula>
    </cfRule>
    <cfRule type="cellIs" dxfId="3871" priority="137" stopIfTrue="1" operator="greaterThan">
      <formula>#REF!</formula>
    </cfRule>
    <cfRule type="cellIs" dxfId="3870" priority="138" stopIfTrue="1" operator="lessThanOrEqual">
      <formula>0</formula>
    </cfRule>
    <cfRule type="cellIs" dxfId="3869" priority="135" stopIfTrue="1" operator="greaterThan">
      <formula>#REF!</formula>
    </cfRule>
  </conditionalFormatting>
  <conditionalFormatting sqref="I74:I82">
    <cfRule type="cellIs" dxfId="3868" priority="188" stopIfTrue="1" operator="lessThanOrEqual">
      <formula>0</formula>
    </cfRule>
    <cfRule type="cellIs" dxfId="3867" priority="187" stopIfTrue="1" operator="greaterThan">
      <formula>4.5</formula>
    </cfRule>
  </conditionalFormatting>
  <conditionalFormatting sqref="I10:J18">
    <cfRule type="cellIs" dxfId="3866" priority="18" operator="lessThan">
      <formula>97.9</formula>
    </cfRule>
  </conditionalFormatting>
  <conditionalFormatting sqref="J21:J23">
    <cfRule type="cellIs" dxfId="3865" priority="33" operator="lessThan">
      <formula>97.95</formula>
    </cfRule>
  </conditionalFormatting>
  <conditionalFormatting sqref="J23:J25">
    <cfRule type="cellIs" dxfId="3864" priority="169" operator="lessThan">
      <formula>97.4</formula>
    </cfRule>
  </conditionalFormatting>
  <conditionalFormatting sqref="J26:J27">
    <cfRule type="cellIs" dxfId="3863" priority="170" operator="lessThan">
      <formula>98</formula>
    </cfRule>
  </conditionalFormatting>
  <conditionalFormatting sqref="J28:J29">
    <cfRule type="cellIs" dxfId="3862" priority="171" stopIfTrue="1" operator="lessThan">
      <formula>96.8</formula>
    </cfRule>
    <cfRule type="cellIs" dxfId="3861" priority="172" stopIfTrue="1" operator="greaterThan">
      <formula>100</formula>
    </cfRule>
  </conditionalFormatting>
  <conditionalFormatting sqref="J28:J30">
    <cfRule type="cellIs" dxfId="3860" priority="173" operator="lessThan">
      <formula>98</formula>
    </cfRule>
  </conditionalFormatting>
  <conditionalFormatting sqref="J59">
    <cfRule type="cellIs" dxfId="3859" priority="123" stopIfTrue="1" operator="greaterThan">
      <formula>#REF!</formula>
    </cfRule>
    <cfRule type="cellIs" dxfId="3858" priority="124" stopIfTrue="1" operator="lessThanOrEqual">
      <formula>0</formula>
    </cfRule>
    <cfRule type="cellIs" dxfId="3857" priority="125" stopIfTrue="1" operator="greaterThan">
      <formula>#REF!</formula>
    </cfRule>
    <cfRule type="cellIs" dxfId="3856" priority="126" stopIfTrue="1" operator="lessThanOrEqual">
      <formula>0</formula>
    </cfRule>
    <cfRule type="cellIs" dxfId="3855" priority="130" stopIfTrue="1" operator="lessThanOrEqual">
      <formula>0</formula>
    </cfRule>
    <cfRule type="cellIs" dxfId="3854" priority="129" stopIfTrue="1" operator="greaterThan">
      <formula>#REF!</formula>
    </cfRule>
    <cfRule type="cellIs" dxfId="3853" priority="128" stopIfTrue="1" operator="lessThanOrEqual">
      <formula>0</formula>
    </cfRule>
    <cfRule type="cellIs" dxfId="3852" priority="127" stopIfTrue="1" operator="greaterThan">
      <formula>#REF!</formula>
    </cfRule>
  </conditionalFormatting>
  <conditionalFormatting sqref="J72">
    <cfRule type="cellIs" dxfId="3851" priority="61" stopIfTrue="1" operator="greaterThan">
      <formula>$F72</formula>
    </cfRule>
    <cfRule type="cellIs" dxfId="3850" priority="62" stopIfTrue="1" operator="lessThanOrEqual">
      <formula>0</formula>
    </cfRule>
  </conditionalFormatting>
  <conditionalFormatting sqref="K10:K18">
    <cfRule type="cellIs" dxfId="3849" priority="19" operator="greaterThan">
      <formula>6</formula>
    </cfRule>
    <cfRule type="cellIs" dxfId="3848" priority="20" operator="lessThan">
      <formula>4</formula>
    </cfRule>
    <cfRule type="cellIs" dxfId="3847" priority="21" operator="greaterThan">
      <formula>6.4</formula>
    </cfRule>
  </conditionalFormatting>
  <conditionalFormatting sqref="K50:K59">
    <cfRule type="cellIs" dxfId="3846" priority="108" stopIfTrue="1" operator="lessThan">
      <formula>100%</formula>
    </cfRule>
  </conditionalFormatting>
  <conditionalFormatting sqref="K63:K71">
    <cfRule type="cellIs" dxfId="3845" priority="51" stopIfTrue="1" operator="lessThan">
      <formula>100%</formula>
    </cfRule>
  </conditionalFormatting>
  <conditionalFormatting sqref="K74:K79">
    <cfRule type="cellIs" dxfId="3844" priority="193" stopIfTrue="1" operator="lessThan">
      <formula>100%</formula>
    </cfRule>
  </conditionalFormatting>
  <conditionalFormatting sqref="K81:K82">
    <cfRule type="cellIs" dxfId="3843" priority="200" stopIfTrue="1" operator="lessThan">
      <formula>100%</formula>
    </cfRule>
  </conditionalFormatting>
  <conditionalFormatting sqref="L10:L18">
    <cfRule type="cellIs" dxfId="3842" priority="4" operator="greaterThan">
      <formula>65</formula>
    </cfRule>
    <cfRule type="cellIs" dxfId="3841" priority="3" operator="between">
      <formula>61</formula>
      <formula>65</formula>
    </cfRule>
  </conditionalFormatting>
  <conditionalFormatting sqref="L21:M32">
    <cfRule type="cellIs" dxfId="3840" priority="32" operator="lessThan">
      <formula>97.95</formula>
    </cfRule>
  </conditionalFormatting>
  <conditionalFormatting sqref="L36:N36">
    <cfRule type="cellIs" dxfId="3839" priority="1" operator="notEqual">
      <formula>#REF!</formula>
    </cfRule>
  </conditionalFormatting>
  <conditionalFormatting sqref="L63:N72">
    <cfRule type="cellIs" dxfId="3838" priority="48" stopIfTrue="1" operator="lessThan">
      <formula>100%</formula>
    </cfRule>
  </conditionalFormatting>
  <conditionalFormatting sqref="L74:N82">
    <cfRule type="cellIs" dxfId="3837" priority="178" stopIfTrue="1" operator="lessThan">
      <formula>100%</formula>
    </cfRule>
  </conditionalFormatting>
  <conditionalFormatting sqref="N10:N18">
    <cfRule type="expression" dxfId="3836" priority="5">
      <formula>IF(+(IF(N10&lt;W10,0,IF(N10&gt;X10,0,1)))=0,1)</formula>
    </cfRule>
  </conditionalFormatting>
  <conditionalFormatting sqref="P6">
    <cfRule type="cellIs" dxfId="3835" priority="174" operator="greaterThanOrEqual">
      <formula>19</formula>
    </cfRule>
  </conditionalFormatting>
  <dataValidations count="1">
    <dataValidation type="list" allowBlank="1" showInputMessage="1" showErrorMessage="1" sqref="R8" xr:uid="{879EBCB5-09B0-4B73-84F5-DE0378FFCDC4}">
      <formula1>ProductList</formula1>
    </dataValidation>
  </dataValidations>
  <pageMargins left="0.7" right="0.7" top="0.75" bottom="0.75" header="0.3" footer="0.3"/>
  <pageSetup scale="40" fitToWidth="0" orientation="landscape" r:id="rId1"/>
  <rowBreaks count="1" manualBreakCount="1">
    <brk id="76" max="16383" man="1"/>
  </rowBreaks>
  <colBreaks count="1" manualBreakCount="1">
    <brk id="15" max="89" man="1"/>
  </colBreaks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FD5F31-1BA0-488D-837A-BECEB101A45B}">
  <sheetPr>
    <pageSetUpPr fitToPage="1"/>
  </sheetPr>
  <dimension ref="A1:BE74"/>
  <sheetViews>
    <sheetView topLeftCell="A4" zoomScale="85" zoomScaleNormal="85" workbookViewId="0">
      <selection activeCell="E10" sqref="E10:E18"/>
    </sheetView>
  </sheetViews>
  <sheetFormatPr defaultColWidth="9.42578125" defaultRowHeight="14.25"/>
  <cols>
    <col min="1" max="1" width="7.28515625" style="275" customWidth="1"/>
    <col min="2" max="2" width="31.28515625" style="275" customWidth="1"/>
    <col min="3" max="3" width="22.28515625" style="275" customWidth="1"/>
    <col min="4" max="7" width="16.5703125" style="275" customWidth="1"/>
    <col min="8" max="8" width="20.7109375" style="275" customWidth="1"/>
    <col min="9" max="9" width="31.42578125" style="275" customWidth="1"/>
    <col min="10" max="10" width="35.28515625" style="275" customWidth="1"/>
    <col min="11" max="11" width="29" style="275" customWidth="1"/>
    <col min="12" max="12" width="17.28515625" style="275" bestFit="1" customWidth="1"/>
    <col min="13" max="13" width="23.28515625" style="275" customWidth="1"/>
    <col min="14" max="14" width="13.7109375" style="275" bestFit="1" customWidth="1"/>
    <col min="15" max="15" width="17.5703125" style="275" customWidth="1"/>
    <col min="16" max="16" width="109.28515625" style="6" customWidth="1"/>
    <col min="17" max="17" width="16.5703125" style="275" customWidth="1"/>
    <col min="18" max="18" width="15.7109375" style="275" bestFit="1" customWidth="1"/>
    <col min="19" max="19" width="12.42578125" style="275" customWidth="1"/>
    <col min="20" max="20" width="15" style="275" customWidth="1"/>
    <col min="21" max="21" width="12" style="275" customWidth="1"/>
    <col min="22" max="22" width="10.42578125" style="275" customWidth="1"/>
    <col min="23" max="23" width="11.42578125" style="275" customWidth="1"/>
    <col min="24" max="24" width="10.42578125" style="275" customWidth="1"/>
    <col min="25" max="25" width="8.42578125" style="275" customWidth="1"/>
    <col min="26" max="26" width="9.5703125" style="275" customWidth="1"/>
    <col min="27" max="27" width="8.42578125" style="275" customWidth="1"/>
    <col min="28" max="29" width="7.5703125" style="275" customWidth="1"/>
    <col min="30" max="51" width="9.42578125" style="275"/>
    <col min="52" max="52" width="1.5703125" style="275" customWidth="1"/>
    <col min="53" max="54" width="9.42578125" style="275"/>
    <col min="55" max="56" width="15.42578125" style="275" customWidth="1"/>
    <col min="57" max="16384" width="9.42578125" style="275"/>
  </cols>
  <sheetData>
    <row r="1" spans="2:29" ht="1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R1" s="467"/>
      <c r="S1" s="553" t="s">
        <v>0</v>
      </c>
      <c r="T1" s="553"/>
      <c r="U1" s="553" t="s">
        <v>1</v>
      </c>
      <c r="V1" s="553"/>
      <c r="W1" s="553" t="s">
        <v>2</v>
      </c>
      <c r="X1" s="553"/>
      <c r="Y1" s="553" t="s">
        <v>124</v>
      </c>
      <c r="Z1" s="553"/>
    </row>
    <row r="2" spans="2:29" ht="15">
      <c r="B2" s="554" t="s">
        <v>3</v>
      </c>
      <c r="C2" s="554"/>
      <c r="D2" s="554"/>
      <c r="E2" s="554"/>
      <c r="F2" s="554"/>
      <c r="G2" s="554"/>
      <c r="H2" s="554"/>
      <c r="I2" s="554"/>
      <c r="J2" s="554"/>
      <c r="K2" s="554"/>
      <c r="L2" s="554"/>
      <c r="M2" s="554"/>
      <c r="N2" s="554"/>
      <c r="O2" s="554"/>
      <c r="P2" s="4"/>
      <c r="R2" s="467"/>
      <c r="S2" s="467" t="s">
        <v>4</v>
      </c>
      <c r="T2" s="467" t="s">
        <v>5</v>
      </c>
      <c r="U2" s="467" t="s">
        <v>4</v>
      </c>
      <c r="V2" s="467" t="s">
        <v>5</v>
      </c>
      <c r="W2" s="467" t="s">
        <v>4</v>
      </c>
      <c r="X2" s="467" t="s">
        <v>5</v>
      </c>
      <c r="Y2" s="467" t="s">
        <v>4</v>
      </c>
      <c r="Z2" s="467" t="s">
        <v>5</v>
      </c>
    </row>
    <row r="3" spans="2:29" ht="14.25" customHeight="1">
      <c r="B3" s="5"/>
      <c r="R3" s="467" t="s">
        <v>6</v>
      </c>
      <c r="S3" s="468">
        <v>11.6</v>
      </c>
      <c r="T3" s="469">
        <v>12</v>
      </c>
      <c r="U3" s="9">
        <v>0</v>
      </c>
      <c r="V3" s="10">
        <v>0.118055555555556</v>
      </c>
      <c r="W3" s="10">
        <v>0.22569444444444445</v>
      </c>
      <c r="X3" s="10">
        <v>0.2638888888888889</v>
      </c>
      <c r="Y3" s="470">
        <v>0</v>
      </c>
      <c r="Z3" s="468">
        <v>60</v>
      </c>
      <c r="AB3" s="275" t="s">
        <v>135</v>
      </c>
    </row>
    <row r="4" spans="2:29" ht="30.75" customHeight="1">
      <c r="B4" s="301" t="s">
        <v>133</v>
      </c>
      <c r="C4" s="419">
        <v>46268</v>
      </c>
      <c r="J4" s="398" t="s">
        <v>153</v>
      </c>
      <c r="K4" s="398"/>
      <c r="L4" s="11"/>
      <c r="M4" s="555" t="s">
        <v>8</v>
      </c>
      <c r="N4" s="556"/>
      <c r="P4" s="12"/>
      <c r="R4" s="467" t="s">
        <v>9</v>
      </c>
      <c r="S4" s="468">
        <v>11.6</v>
      </c>
      <c r="T4" s="469">
        <v>12</v>
      </c>
      <c r="U4" s="9">
        <v>0</v>
      </c>
      <c r="V4" s="10">
        <v>0.118055555555556</v>
      </c>
      <c r="W4" s="10">
        <v>0.22569444444444445</v>
      </c>
      <c r="X4" s="10">
        <v>0.2638888888888889</v>
      </c>
      <c r="Y4" s="470">
        <v>0</v>
      </c>
      <c r="Z4" s="468">
        <v>60</v>
      </c>
      <c r="AA4" s="13"/>
      <c r="AB4" s="13"/>
      <c r="AC4" s="13"/>
    </row>
    <row r="5" spans="2:29" ht="12.75" customHeight="1" thickBot="1">
      <c r="B5" s="1"/>
      <c r="C5" s="549"/>
      <c r="D5" s="549"/>
      <c r="J5" s="403"/>
      <c r="K5" s="403"/>
      <c r="L5" s="11"/>
      <c r="M5" s="14" t="s">
        <v>10</v>
      </c>
      <c r="N5" s="14" t="s">
        <v>11</v>
      </c>
      <c r="P5" s="12"/>
      <c r="R5" s="467" t="s">
        <v>12</v>
      </c>
      <c r="S5" s="468">
        <v>17</v>
      </c>
      <c r="T5" s="469">
        <v>17.5</v>
      </c>
      <c r="U5" s="9">
        <v>0</v>
      </c>
      <c r="V5" s="10">
        <v>0.1076388888888889</v>
      </c>
      <c r="W5" s="10">
        <v>0.24652777777777779</v>
      </c>
      <c r="X5" s="10">
        <v>0.28472222222222221</v>
      </c>
      <c r="Y5" s="470">
        <v>0</v>
      </c>
      <c r="Z5" s="471">
        <v>60</v>
      </c>
      <c r="AA5" s="13"/>
      <c r="AB5" s="13"/>
      <c r="AC5" s="13"/>
    </row>
    <row r="6" spans="2:29" ht="14.25" customHeight="1">
      <c r="B6" s="15"/>
      <c r="C6" s="1"/>
      <c r="D6" s="1"/>
      <c r="J6" s="399" t="s">
        <v>168</v>
      </c>
      <c r="K6" s="400"/>
      <c r="L6" s="311" t="s">
        <v>14</v>
      </c>
      <c r="M6" s="340"/>
      <c r="N6" s="340"/>
      <c r="P6" s="16"/>
      <c r="R6" s="467" t="s">
        <v>15</v>
      </c>
      <c r="S6" s="468">
        <v>13.3</v>
      </c>
      <c r="T6" s="469">
        <v>13.5</v>
      </c>
      <c r="U6" s="9">
        <v>0</v>
      </c>
      <c r="V6" s="9">
        <v>0.12905092592592593</v>
      </c>
      <c r="W6" s="10">
        <v>0.27430555555555552</v>
      </c>
      <c r="X6" s="10">
        <v>0.30208333333333331</v>
      </c>
      <c r="Y6" s="470">
        <v>0</v>
      </c>
      <c r="Z6" s="471"/>
      <c r="AA6" s="13"/>
      <c r="AB6" s="13"/>
      <c r="AC6" s="13"/>
    </row>
    <row r="7" spans="2:29" ht="13.35" customHeight="1" thickBot="1">
      <c r="J7" s="401"/>
      <c r="K7" s="402"/>
      <c r="R7" s="467" t="s">
        <v>16</v>
      </c>
      <c r="S7" s="468">
        <v>17</v>
      </c>
      <c r="T7" s="469">
        <v>17.399999999999999</v>
      </c>
      <c r="U7" s="9">
        <v>0</v>
      </c>
      <c r="V7" s="9">
        <v>0.13605324074074074</v>
      </c>
      <c r="W7" s="10">
        <v>0.27430555555555552</v>
      </c>
      <c r="X7" s="10">
        <v>0.30902777777777779</v>
      </c>
      <c r="Y7" s="470">
        <v>0</v>
      </c>
      <c r="Z7" s="471">
        <v>85</v>
      </c>
      <c r="AA7" s="13"/>
      <c r="AB7" s="13"/>
      <c r="AC7" s="13"/>
    </row>
    <row r="8" spans="2:29" ht="25.5" customHeight="1">
      <c r="B8" s="507" t="s">
        <v>17</v>
      </c>
      <c r="C8" s="516" t="s">
        <v>18</v>
      </c>
      <c r="D8" s="516" t="s">
        <v>19</v>
      </c>
      <c r="E8" s="356" t="s">
        <v>20</v>
      </c>
      <c r="F8" s="356" t="s">
        <v>21</v>
      </c>
      <c r="G8" s="516" t="s">
        <v>22</v>
      </c>
      <c r="H8" s="551" t="s">
        <v>144</v>
      </c>
      <c r="I8" s="516" t="s">
        <v>167</v>
      </c>
      <c r="J8" s="542" t="s">
        <v>23</v>
      </c>
      <c r="K8" s="544" t="s">
        <v>142</v>
      </c>
      <c r="L8" s="546" t="s">
        <v>24</v>
      </c>
      <c r="M8" s="359" t="s">
        <v>25</v>
      </c>
      <c r="N8" s="17" t="s">
        <v>166</v>
      </c>
      <c r="O8" s="516" t="s">
        <v>155</v>
      </c>
      <c r="P8" s="548"/>
      <c r="R8" s="467" t="s">
        <v>125</v>
      </c>
      <c r="S8" s="468">
        <v>16.600000000000001</v>
      </c>
      <c r="T8" s="469">
        <v>17</v>
      </c>
      <c r="U8" s="9">
        <v>0</v>
      </c>
      <c r="V8" s="9">
        <v>0.12905092592592593</v>
      </c>
      <c r="W8" s="10">
        <v>0.27430555555555552</v>
      </c>
      <c r="X8" s="10">
        <v>0.30208333333333331</v>
      </c>
      <c r="Y8" s="470">
        <v>0</v>
      </c>
      <c r="Z8" s="471"/>
    </row>
    <row r="9" spans="2:29" ht="36" customHeight="1">
      <c r="B9" s="550"/>
      <c r="C9" s="541"/>
      <c r="D9" s="541"/>
      <c r="E9" s="357" t="s">
        <v>30</v>
      </c>
      <c r="F9" s="357" t="s">
        <v>31</v>
      </c>
      <c r="G9" s="541"/>
      <c r="H9" s="552"/>
      <c r="I9" s="541"/>
      <c r="J9" s="543"/>
      <c r="K9" s="545"/>
      <c r="L9" s="547"/>
      <c r="M9" s="20" t="s">
        <v>32</v>
      </c>
      <c r="N9" s="21" t="s">
        <v>41</v>
      </c>
      <c r="O9" s="541"/>
      <c r="P9" s="541"/>
      <c r="R9" s="467" t="s">
        <v>33</v>
      </c>
      <c r="S9" s="468">
        <v>14.2</v>
      </c>
      <c r="T9" s="469">
        <v>14.6</v>
      </c>
      <c r="U9" s="9">
        <v>0</v>
      </c>
      <c r="V9" s="9">
        <v>0.13905092592592591</v>
      </c>
      <c r="W9" s="10">
        <v>0.26041666666666669</v>
      </c>
      <c r="X9" s="10">
        <v>0.2951388888888889</v>
      </c>
      <c r="Y9" s="470">
        <v>0</v>
      </c>
      <c r="Z9" s="471">
        <v>75</v>
      </c>
    </row>
    <row r="10" spans="2:29" ht="15" customHeight="1">
      <c r="B10" s="29" t="s">
        <v>6</v>
      </c>
      <c r="C10" s="366" t="str">
        <f>[4]Brewhouse!$A703</f>
        <v>CA654</v>
      </c>
      <c r="D10" s="279">
        <f>[4]Brewhouse!$AF703</f>
        <v>49</v>
      </c>
      <c r="E10" s="279">
        <f>[4]Brewhouse!$AI703</f>
        <v>49.6</v>
      </c>
      <c r="F10" s="278">
        <f>[4]Brewhouse!$V703</f>
        <v>60</v>
      </c>
      <c r="G10" s="279">
        <f>[4]Brewhouse!AG703</f>
        <v>11.8</v>
      </c>
      <c r="H10" s="396"/>
      <c r="I10" s="368">
        <f>[4]Brewhouse!$AU703</f>
        <v>98.126698757069292</v>
      </c>
      <c r="J10" s="368">
        <f>[4]Brewhouse!$AV703</f>
        <v>98.886898116741477</v>
      </c>
      <c r="K10" s="281">
        <f>[4]Brewhouse!$Q703</f>
        <v>11.497227356746762</v>
      </c>
      <c r="L10" s="276">
        <f>[4]Brewhouse!$P703</f>
        <v>57</v>
      </c>
      <c r="M10" s="374">
        <f>[4]Brewhouse!$U703-[4]Brewhouse!$T703</f>
        <v>0.11041666666666661</v>
      </c>
      <c r="N10" s="370">
        <f>[4]Brewhouse!$Z703</f>
        <v>0.25972222222222219</v>
      </c>
      <c r="O10" s="420" t="str">
        <f>[4]Brewhouse!$AX703</f>
        <v>R. Sookram</v>
      </c>
      <c r="P10" s="418"/>
      <c r="R10" s="277" t="str">
        <f t="shared" ref="R10:R18" si="0">B10</f>
        <v>CARIB</v>
      </c>
      <c r="S10" s="472">
        <f t="shared" ref="S10:S18" si="1">VLOOKUP($B10,$R$3:$X$9,2,FALSE)</f>
        <v>11.6</v>
      </c>
      <c r="T10" s="472">
        <f t="shared" ref="T10:T18" si="2">VLOOKUP($B10,$R$3:$X$9,3,FALSE)</f>
        <v>12</v>
      </c>
      <c r="U10" s="297">
        <f t="shared" ref="U10:U18" si="3">VLOOKUP($B10,$R$3:$X$9,4,FALSE)</f>
        <v>0</v>
      </c>
      <c r="V10" s="297">
        <f t="shared" ref="V10:V18" si="4">VLOOKUP($B10,$R$3:$X$9,5,FALSE)</f>
        <v>0.118055555555556</v>
      </c>
      <c r="W10" s="297">
        <f t="shared" ref="W10:W18" si="5">VLOOKUP($B10,$R$3:$X$9,6,FALSE)</f>
        <v>0.22569444444444445</v>
      </c>
      <c r="X10" s="297">
        <f t="shared" ref="X10:X18" si="6">VLOOKUP($B10,$R$3:$X$9,7,FALSE)</f>
        <v>0.2638888888888889</v>
      </c>
      <c r="Y10" s="297">
        <f t="shared" ref="Y10:Y18" si="7">VLOOKUP($B10,$R$3:$Z$9,8,FALSE)</f>
        <v>0</v>
      </c>
      <c r="Z10" s="472">
        <f t="shared" ref="Z10:Z18" si="8">VLOOKUP($B10,$R$3:$Z$9,9,FALSE)</f>
        <v>60</v>
      </c>
    </row>
    <row r="11" spans="2:29" ht="15" customHeight="1">
      <c r="B11" s="29" t="s">
        <v>6</v>
      </c>
      <c r="C11" s="366" t="str">
        <f>[4]Brewhouse!$A704</f>
        <v>CA655</v>
      </c>
      <c r="D11" s="279">
        <f>[4]Brewhouse!$AF704</f>
        <v>49.9</v>
      </c>
      <c r="E11" s="279">
        <f>[4]Brewhouse!$AI704</f>
        <v>50.7</v>
      </c>
      <c r="F11" s="278">
        <f>[4]Brewhouse!$V704</f>
        <v>63</v>
      </c>
      <c r="G11" s="279">
        <f>[4]Brewhouse!AG704</f>
        <v>11.7</v>
      </c>
      <c r="H11" s="396"/>
      <c r="I11" s="368">
        <f>[4]Brewhouse!$AU704</f>
        <v>99.408785613934398</v>
      </c>
      <c r="J11" s="368">
        <f>[4]Brewhouse!$AV704</f>
        <v>100.17891745497994</v>
      </c>
      <c r="K11" s="281">
        <f>[4]Brewhouse!$Q704</f>
        <v>9.0942698706099847</v>
      </c>
      <c r="L11" s="276">
        <f>[4]Brewhouse!$P704</f>
        <v>57</v>
      </c>
      <c r="M11" s="374">
        <f>[4]Brewhouse!$U704-[4]Brewhouse!$T704</f>
        <v>0.10972222222222222</v>
      </c>
      <c r="N11" s="370">
        <f>[4]Brewhouse!$Z704</f>
        <v>0.25833333333333336</v>
      </c>
      <c r="O11" s="420" t="str">
        <f>[4]Brewhouse!$AX704</f>
        <v>D. Gomaz</v>
      </c>
      <c r="P11" s="418"/>
      <c r="R11" s="277" t="str">
        <f t="shared" si="0"/>
        <v>CARIB</v>
      </c>
      <c r="S11" s="472">
        <f t="shared" si="1"/>
        <v>11.6</v>
      </c>
      <c r="T11" s="472">
        <f t="shared" si="2"/>
        <v>12</v>
      </c>
      <c r="U11" s="297">
        <f t="shared" si="3"/>
        <v>0</v>
      </c>
      <c r="V11" s="297">
        <f t="shared" si="4"/>
        <v>0.118055555555556</v>
      </c>
      <c r="W11" s="297">
        <f t="shared" si="5"/>
        <v>0.22569444444444445</v>
      </c>
      <c r="X11" s="297">
        <f t="shared" si="6"/>
        <v>0.2638888888888889</v>
      </c>
      <c r="Y11" s="297">
        <f t="shared" si="7"/>
        <v>0</v>
      </c>
      <c r="Z11" s="472">
        <f t="shared" si="8"/>
        <v>60</v>
      </c>
    </row>
    <row r="12" spans="2:29" ht="15" customHeight="1">
      <c r="B12" s="29" t="s">
        <v>6</v>
      </c>
      <c r="C12" s="366" t="str">
        <f>[4]Brewhouse!$A705</f>
        <v>CA656</v>
      </c>
      <c r="D12" s="279">
        <f>[4]Brewhouse!$AF705</f>
        <v>48.7</v>
      </c>
      <c r="E12" s="279">
        <f>[4]Brewhouse!$AI705</f>
        <v>48.8</v>
      </c>
      <c r="F12" s="278">
        <f>[4]Brewhouse!$V705</f>
        <v>60</v>
      </c>
      <c r="G12" s="279">
        <f>[4]Brewhouse!AG705</f>
        <v>11.8</v>
      </c>
      <c r="H12" s="396"/>
      <c r="I12" s="368">
        <f>[4]Brewhouse!$AU705</f>
        <v>96.544010067439146</v>
      </c>
      <c r="J12" s="368">
        <f>[4]Brewhouse!$AV705</f>
        <v>97.291948147116628</v>
      </c>
      <c r="K12" s="281">
        <f>[4]Brewhouse!$Q705</f>
        <v>12.791127541589651</v>
      </c>
      <c r="L12" s="276">
        <f>[4]Brewhouse!$P705</f>
        <v>60</v>
      </c>
      <c r="M12" s="374">
        <f>[4]Brewhouse!$U705-[4]Brewhouse!$T705</f>
        <v>0.11041666666666666</v>
      </c>
      <c r="N12" s="370">
        <f>[4]Brewhouse!$Z705</f>
        <v>0.25416666666666665</v>
      </c>
      <c r="O12" s="420" t="str">
        <f>[4]Brewhouse!$AX705</f>
        <v>D. Gomaz</v>
      </c>
      <c r="P12" s="418"/>
      <c r="R12" s="277" t="str">
        <f t="shared" si="0"/>
        <v>CARIB</v>
      </c>
      <c r="S12" s="472">
        <f t="shared" si="1"/>
        <v>11.6</v>
      </c>
      <c r="T12" s="472">
        <f t="shared" si="2"/>
        <v>12</v>
      </c>
      <c r="U12" s="297">
        <f t="shared" si="3"/>
        <v>0</v>
      </c>
      <c r="V12" s="297">
        <f t="shared" si="4"/>
        <v>0.118055555555556</v>
      </c>
      <c r="W12" s="297">
        <f t="shared" si="5"/>
        <v>0.22569444444444445</v>
      </c>
      <c r="X12" s="297">
        <f t="shared" si="6"/>
        <v>0.2638888888888889</v>
      </c>
      <c r="Y12" s="297">
        <f t="shared" si="7"/>
        <v>0</v>
      </c>
      <c r="Z12" s="472">
        <f t="shared" si="8"/>
        <v>60</v>
      </c>
    </row>
    <row r="13" spans="2:29" ht="15" customHeight="1">
      <c r="B13" s="29" t="s">
        <v>6</v>
      </c>
      <c r="C13" s="366" t="str">
        <f>[4]Brewhouse!$A706</f>
        <v>CA657</v>
      </c>
      <c r="D13" s="279">
        <f>[4]Brewhouse!$AF706</f>
        <v>50.6</v>
      </c>
      <c r="E13" s="279">
        <f>[4]Brewhouse!$AI706</f>
        <v>51.7</v>
      </c>
      <c r="F13" s="278">
        <f>[4]Brewhouse!$V706</f>
        <v>60</v>
      </c>
      <c r="G13" s="279">
        <f>[4]Brewhouse!AG706</f>
        <v>11.6</v>
      </c>
      <c r="H13" s="396"/>
      <c r="I13" s="368">
        <f>[4]Brewhouse!$AU706</f>
        <v>98.726419047556874</v>
      </c>
      <c r="J13" s="368">
        <f>[4]Brewhouse!$AV706</f>
        <v>99.491971134924498</v>
      </c>
      <c r="K13" s="281">
        <f>[4]Brewhouse!$Q706</f>
        <v>7.8003696857670963</v>
      </c>
      <c r="L13" s="276">
        <f>[4]Brewhouse!$P706</f>
        <v>59</v>
      </c>
      <c r="M13" s="374">
        <f>[4]Brewhouse!$U706-[4]Brewhouse!$T706</f>
        <v>0.10694444444444445</v>
      </c>
      <c r="N13" s="370">
        <f>[4]Brewhouse!$Z706</f>
        <v>0.25277777777777777</v>
      </c>
      <c r="O13" s="420" t="str">
        <f>[4]Brewhouse!$AX706</f>
        <v>D. Gomaz</v>
      </c>
      <c r="P13" s="418"/>
      <c r="R13" s="277" t="str">
        <f t="shared" si="0"/>
        <v>CARIB</v>
      </c>
      <c r="S13" s="472">
        <f t="shared" si="1"/>
        <v>11.6</v>
      </c>
      <c r="T13" s="472">
        <f t="shared" si="2"/>
        <v>12</v>
      </c>
      <c r="U13" s="297">
        <f t="shared" si="3"/>
        <v>0</v>
      </c>
      <c r="V13" s="297">
        <f t="shared" si="4"/>
        <v>0.118055555555556</v>
      </c>
      <c r="W13" s="297">
        <f t="shared" si="5"/>
        <v>0.22569444444444445</v>
      </c>
      <c r="X13" s="297">
        <f t="shared" si="6"/>
        <v>0.2638888888888889</v>
      </c>
      <c r="Y13" s="297">
        <f t="shared" si="7"/>
        <v>0</v>
      </c>
      <c r="Z13" s="472">
        <f t="shared" si="8"/>
        <v>60</v>
      </c>
    </row>
    <row r="14" spans="2:29" ht="15" customHeight="1">
      <c r="B14" s="29" t="s">
        <v>6</v>
      </c>
      <c r="C14" s="366" t="str">
        <f>[4]Brewhouse!$A707</f>
        <v>CA658</v>
      </c>
      <c r="D14" s="279">
        <f>[4]Brewhouse!$AF707</f>
        <v>48.7</v>
      </c>
      <c r="E14" s="279">
        <f>[4]Brewhouse!$AI707</f>
        <v>48.3</v>
      </c>
      <c r="F14" s="278">
        <f>[4]Brewhouse!$V707</f>
        <v>55</v>
      </c>
      <c r="G14" s="279">
        <f>[4]Brewhouse!AG707</f>
        <v>11.9</v>
      </c>
      <c r="H14" s="396"/>
      <c r="I14" s="368">
        <f>[4]Brewhouse!$AU707</f>
        <v>95.56863040279265</v>
      </c>
      <c r="J14" s="368">
        <f>[4]Brewhouse!$AV707</f>
        <v>96.309357080703435</v>
      </c>
      <c r="K14" s="281">
        <f>[4]Brewhouse!$Q707</f>
        <v>11.312384473197778</v>
      </c>
      <c r="L14" s="276">
        <f>[4]Brewhouse!$P707</f>
        <v>61</v>
      </c>
      <c r="M14" s="374">
        <f>[4]Brewhouse!$U707-[4]Brewhouse!$T707</f>
        <v>0.10902777777777783</v>
      </c>
      <c r="N14" s="370">
        <f>[4]Brewhouse!$Z707</f>
        <v>0.24236111111111114</v>
      </c>
      <c r="O14" s="420" t="str">
        <f>[4]Brewhouse!$AX707</f>
        <v>D. Gomaz</v>
      </c>
      <c r="P14" s="418"/>
      <c r="R14" s="277" t="str">
        <f t="shared" si="0"/>
        <v>CARIB</v>
      </c>
      <c r="S14" s="472">
        <f t="shared" si="1"/>
        <v>11.6</v>
      </c>
      <c r="T14" s="472">
        <f t="shared" si="2"/>
        <v>12</v>
      </c>
      <c r="U14" s="297">
        <f t="shared" si="3"/>
        <v>0</v>
      </c>
      <c r="V14" s="297">
        <f t="shared" si="4"/>
        <v>0.118055555555556</v>
      </c>
      <c r="W14" s="297">
        <f t="shared" si="5"/>
        <v>0.22569444444444445</v>
      </c>
      <c r="X14" s="297">
        <f t="shared" si="6"/>
        <v>0.2638888888888889</v>
      </c>
      <c r="Y14" s="297">
        <f t="shared" si="7"/>
        <v>0</v>
      </c>
      <c r="Z14" s="472">
        <f t="shared" si="8"/>
        <v>60</v>
      </c>
    </row>
    <row r="15" spans="2:29" ht="15" customHeight="1">
      <c r="B15" s="29" t="s">
        <v>6</v>
      </c>
      <c r="C15" s="366" t="str">
        <f>[4]Brewhouse!$A708</f>
        <v>CA659</v>
      </c>
      <c r="D15" s="279">
        <f>[4]Brewhouse!$AF708</f>
        <v>48.6</v>
      </c>
      <c r="E15" s="279">
        <f>[4]Brewhouse!$AI708</f>
        <v>49.7</v>
      </c>
      <c r="F15" s="278">
        <f>[4]Brewhouse!$V708</f>
        <v>60</v>
      </c>
      <c r="G15" s="279">
        <f>[4]Brewhouse!AG708</f>
        <v>11.6</v>
      </c>
      <c r="H15" s="396"/>
      <c r="I15" s="368">
        <f>[4]Brewhouse!$AU708</f>
        <v>96.692705408905809</v>
      </c>
      <c r="J15" s="368">
        <f>[4]Brewhouse!$AV708</f>
        <v>97.441745086400459</v>
      </c>
      <c r="K15" s="281">
        <f>[4]Brewhouse!$Q708</f>
        <v>12.975970425138639</v>
      </c>
      <c r="L15" s="276">
        <f>[4]Brewhouse!$P708</f>
        <v>62</v>
      </c>
      <c r="M15" s="374">
        <f>[4]Brewhouse!$U708-[4]Brewhouse!$T708</f>
        <v>0.11111111111111116</v>
      </c>
      <c r="N15" s="370">
        <f>[4]Brewhouse!$Z708</f>
        <v>0.24583333333333335</v>
      </c>
      <c r="O15" s="420" t="str">
        <f>[4]Brewhouse!$AX708</f>
        <v>D. Gomaz</v>
      </c>
      <c r="P15" s="418"/>
      <c r="R15" s="277" t="str">
        <f t="shared" si="0"/>
        <v>CARIB</v>
      </c>
      <c r="S15" s="472">
        <f t="shared" si="1"/>
        <v>11.6</v>
      </c>
      <c r="T15" s="472">
        <f t="shared" si="2"/>
        <v>12</v>
      </c>
      <c r="U15" s="297">
        <f t="shared" si="3"/>
        <v>0</v>
      </c>
      <c r="V15" s="297">
        <f t="shared" si="4"/>
        <v>0.118055555555556</v>
      </c>
      <c r="W15" s="297">
        <f t="shared" si="5"/>
        <v>0.22569444444444445</v>
      </c>
      <c r="X15" s="297">
        <f t="shared" si="6"/>
        <v>0.2638888888888889</v>
      </c>
      <c r="Y15" s="297">
        <f t="shared" si="7"/>
        <v>0</v>
      </c>
      <c r="Z15" s="472">
        <f t="shared" si="8"/>
        <v>60</v>
      </c>
    </row>
    <row r="16" spans="2:29" ht="15" customHeight="1">
      <c r="B16" s="29" t="s">
        <v>6</v>
      </c>
      <c r="C16" s="366" t="str">
        <f>[4]Brewhouse!$A709</f>
        <v>CA660</v>
      </c>
      <c r="D16" s="279">
        <f>[4]Brewhouse!$AF709</f>
        <v>50.5</v>
      </c>
      <c r="E16" s="279">
        <f>[4]Brewhouse!$AI709</f>
        <v>50.1</v>
      </c>
      <c r="F16" s="278">
        <f>[4]Brewhouse!$V709</f>
        <v>58</v>
      </c>
      <c r="G16" s="279">
        <f>[4]Brewhouse!AG709</f>
        <v>12</v>
      </c>
      <c r="H16" s="396"/>
      <c r="I16" s="368">
        <f>[4]Brewhouse!$AU709</f>
        <v>101.00946443477108</v>
      </c>
      <c r="J16" s="368">
        <f>[4]Brewhouse!$AV709</f>
        <v>101.79194431620748</v>
      </c>
      <c r="K16" s="281">
        <f>[4]Brewhouse!$Q709</f>
        <v>9.4639556377079437</v>
      </c>
      <c r="L16" s="276">
        <f>[4]Brewhouse!$P709</f>
        <v>100</v>
      </c>
      <c r="M16" s="374">
        <f>[4]Brewhouse!$U709-[4]Brewhouse!$T709</f>
        <v>0.21597222222222223</v>
      </c>
      <c r="N16" s="370">
        <f>[4]Brewhouse!$Z709</f>
        <v>0.36180555555555549</v>
      </c>
      <c r="O16" s="420" t="str">
        <f>[4]Brewhouse!$AX709</f>
        <v>R. Regis</v>
      </c>
      <c r="P16" s="418" t="s">
        <v>172</v>
      </c>
      <c r="R16" s="277" t="str">
        <f t="shared" si="0"/>
        <v>CARIB</v>
      </c>
      <c r="S16" s="472">
        <f t="shared" si="1"/>
        <v>11.6</v>
      </c>
      <c r="T16" s="472">
        <f t="shared" si="2"/>
        <v>12</v>
      </c>
      <c r="U16" s="297">
        <f t="shared" si="3"/>
        <v>0</v>
      </c>
      <c r="V16" s="297">
        <f t="shared" si="4"/>
        <v>0.118055555555556</v>
      </c>
      <c r="W16" s="297">
        <f t="shared" si="5"/>
        <v>0.22569444444444445</v>
      </c>
      <c r="X16" s="297">
        <f t="shared" si="6"/>
        <v>0.2638888888888889</v>
      </c>
      <c r="Y16" s="297">
        <f t="shared" si="7"/>
        <v>0</v>
      </c>
      <c r="Z16" s="472">
        <f t="shared" si="8"/>
        <v>60</v>
      </c>
    </row>
    <row r="17" spans="1:27" ht="15" customHeight="1">
      <c r="B17" s="29" t="s">
        <v>6</v>
      </c>
      <c r="C17" s="366" t="str">
        <f>[4]Brewhouse!$A710</f>
        <v>CA661</v>
      </c>
      <c r="D17" s="279">
        <f>[4]Brewhouse!$AF710</f>
        <v>48.8</v>
      </c>
      <c r="E17" s="279">
        <f>[4]Brewhouse!$AI710</f>
        <v>49.4</v>
      </c>
      <c r="F17" s="278">
        <f>[4]Brewhouse!$V710</f>
        <v>59</v>
      </c>
      <c r="G17" s="488">
        <f>[4]Brewhouse!AG710</f>
        <v>11.5</v>
      </c>
      <c r="H17" s="396"/>
      <c r="I17" s="368">
        <f>[4]Brewhouse!$AU710</f>
        <v>95.236770396091657</v>
      </c>
      <c r="J17" s="368">
        <f>[4]Brewhouse!$AV710</f>
        <v>95.97453152793139</v>
      </c>
      <c r="K17" s="281">
        <f>[4]Brewhouse!$Q710</f>
        <v>10.962962962962965</v>
      </c>
      <c r="L17" s="276">
        <f>[4]Brewhouse!$P710</f>
        <v>57</v>
      </c>
      <c r="M17" s="374">
        <f>[4]Brewhouse!$U710-[4]Brewhouse!$T710</f>
        <v>0.12986111111111098</v>
      </c>
      <c r="N17" s="370">
        <f>[4]Brewhouse!$Z710</f>
        <v>0.4916666666666667</v>
      </c>
      <c r="O17" s="420" t="str">
        <f>[4]Brewhouse!$AX710</f>
        <v>R. Regis</v>
      </c>
      <c r="P17" s="418" t="s">
        <v>172</v>
      </c>
      <c r="R17" s="277" t="str">
        <f t="shared" si="0"/>
        <v>CARIB</v>
      </c>
      <c r="S17" s="472">
        <f t="shared" si="1"/>
        <v>11.6</v>
      </c>
      <c r="T17" s="472">
        <f t="shared" si="2"/>
        <v>12</v>
      </c>
      <c r="U17" s="297">
        <f t="shared" si="3"/>
        <v>0</v>
      </c>
      <c r="V17" s="297">
        <f t="shared" si="4"/>
        <v>0.118055555555556</v>
      </c>
      <c r="W17" s="297">
        <f t="shared" si="5"/>
        <v>0.22569444444444445</v>
      </c>
      <c r="X17" s="297">
        <f t="shared" si="6"/>
        <v>0.2638888888888889</v>
      </c>
      <c r="Y17" s="297">
        <f t="shared" si="7"/>
        <v>0</v>
      </c>
      <c r="Z17" s="472">
        <f t="shared" si="8"/>
        <v>60</v>
      </c>
    </row>
    <row r="18" spans="1:27" ht="15" customHeight="1">
      <c r="B18" s="29" t="s">
        <v>6</v>
      </c>
      <c r="C18" s="366" t="str">
        <f>[4]Brewhouse!$A711</f>
        <v>CA662</v>
      </c>
      <c r="D18" s="279">
        <f>[4]Brewhouse!$AF711</f>
        <v>48</v>
      </c>
      <c r="E18" s="279">
        <f>[4]Brewhouse!$AI711</f>
        <v>48.7</v>
      </c>
      <c r="F18" s="278">
        <f>[4]Brewhouse!$V711</f>
        <v>60</v>
      </c>
      <c r="G18" s="488">
        <f>[4]Brewhouse!AG711</f>
        <v>12</v>
      </c>
      <c r="H18" s="396"/>
      <c r="I18" s="368">
        <f>[4]Brewhouse!$AU711</f>
        <v>97.941168938335963</v>
      </c>
      <c r="J18" s="368">
        <f>[4]Brewhouse!$AV711</f>
        <v>98.699981861737058</v>
      </c>
      <c r="K18" s="281">
        <f>[4]Brewhouse!$Q711</f>
        <v>12.444444444444443</v>
      </c>
      <c r="L18" s="276">
        <f>[4]Brewhouse!$P711</f>
        <v>59</v>
      </c>
      <c r="M18" s="374">
        <f>[4]Brewhouse!$U711-[4]Brewhouse!$T711</f>
        <v>0.10486111111111107</v>
      </c>
      <c r="N18" s="370">
        <f>[4]Brewhouse!$Z711</f>
        <v>0.51111111111111107</v>
      </c>
      <c r="O18" s="420" t="str">
        <f>[4]Brewhouse!$AX711</f>
        <v>R. Regis</v>
      </c>
      <c r="P18" s="418"/>
      <c r="R18" s="277" t="str">
        <f t="shared" si="0"/>
        <v>CARIB</v>
      </c>
      <c r="S18" s="472">
        <f t="shared" si="1"/>
        <v>11.6</v>
      </c>
      <c r="T18" s="472">
        <f t="shared" si="2"/>
        <v>12</v>
      </c>
      <c r="U18" s="297">
        <f t="shared" si="3"/>
        <v>0</v>
      </c>
      <c r="V18" s="297">
        <f t="shared" si="4"/>
        <v>0.118055555555556</v>
      </c>
      <c r="W18" s="297">
        <f t="shared" si="5"/>
        <v>0.22569444444444445</v>
      </c>
      <c r="X18" s="297">
        <f t="shared" si="6"/>
        <v>0.2638888888888889</v>
      </c>
      <c r="Y18" s="297">
        <f t="shared" si="7"/>
        <v>0</v>
      </c>
      <c r="Z18" s="472">
        <f t="shared" si="8"/>
        <v>60</v>
      </c>
    </row>
    <row r="19" spans="1:27" ht="15" customHeight="1">
      <c r="B19" s="22"/>
      <c r="C19" s="366"/>
      <c r="D19" s="279"/>
      <c r="E19" s="279"/>
      <c r="F19" s="278"/>
      <c r="G19" s="279"/>
      <c r="H19" s="396"/>
      <c r="I19" s="368"/>
      <c r="J19" s="368"/>
      <c r="K19" s="281"/>
      <c r="L19" s="276"/>
      <c r="M19" s="374"/>
      <c r="N19" s="370"/>
      <c r="O19" s="371"/>
      <c r="P19" s="418"/>
      <c r="R19" s="277">
        <f t="shared" ref="R19:R34" si="9">B19</f>
        <v>0</v>
      </c>
      <c r="S19" s="472" t="e">
        <f t="shared" ref="S19:S34" si="10">VLOOKUP($B19,$R$3:$X$9,2,FALSE)</f>
        <v>#N/A</v>
      </c>
      <c r="T19" s="472" t="e">
        <f t="shared" ref="T19:T34" si="11">VLOOKUP($B19,$R$3:$X$9,3,FALSE)</f>
        <v>#N/A</v>
      </c>
      <c r="U19" s="297" t="e">
        <f t="shared" ref="U19:U34" si="12">VLOOKUP($B19,$R$3:$X$9,4,FALSE)</f>
        <v>#N/A</v>
      </c>
      <c r="V19" s="297" t="e">
        <f t="shared" ref="V19:V34" si="13">VLOOKUP($B19,$R$3:$X$9,5,FALSE)</f>
        <v>#N/A</v>
      </c>
      <c r="W19" s="297" t="e">
        <f t="shared" ref="W19:W34" si="14">VLOOKUP($B19,$R$3:$X$9,6,FALSE)</f>
        <v>#N/A</v>
      </c>
      <c r="X19" s="297" t="e">
        <f t="shared" ref="X19:X34" si="15">VLOOKUP($B19,$R$3:$X$9,7,FALSE)</f>
        <v>#N/A</v>
      </c>
      <c r="Y19" s="297" t="e">
        <f t="shared" ref="Y19:Y34" si="16">VLOOKUP($B19,$R$3:$Z$9,8,FALSE)</f>
        <v>#N/A</v>
      </c>
      <c r="Z19" s="472" t="e">
        <f t="shared" ref="Z19:Z34" si="17">VLOOKUP($B19,$R$3:$Z$9,9,FALSE)</f>
        <v>#N/A</v>
      </c>
    </row>
    <row r="20" spans="1:27" ht="15" customHeight="1">
      <c r="B20" s="29"/>
      <c r="C20" s="366"/>
      <c r="D20" s="279"/>
      <c r="E20" s="279"/>
      <c r="F20" s="278"/>
      <c r="G20" s="279"/>
      <c r="H20" s="396"/>
      <c r="I20" s="368"/>
      <c r="J20" s="368"/>
      <c r="K20" s="281"/>
      <c r="L20" s="276"/>
      <c r="M20" s="397"/>
      <c r="N20" s="370"/>
      <c r="O20" s="420"/>
      <c r="P20" s="418"/>
      <c r="R20" s="277">
        <f t="shared" si="9"/>
        <v>0</v>
      </c>
      <c r="S20" s="472" t="e">
        <f t="shared" si="10"/>
        <v>#N/A</v>
      </c>
      <c r="T20" s="472" t="e">
        <f t="shared" si="11"/>
        <v>#N/A</v>
      </c>
      <c r="U20" s="297" t="e">
        <f t="shared" si="12"/>
        <v>#N/A</v>
      </c>
      <c r="V20" s="297" t="e">
        <f t="shared" si="13"/>
        <v>#N/A</v>
      </c>
      <c r="W20" s="297" t="e">
        <f t="shared" si="14"/>
        <v>#N/A</v>
      </c>
      <c r="X20" s="297" t="e">
        <f t="shared" si="15"/>
        <v>#N/A</v>
      </c>
      <c r="Y20" s="297" t="e">
        <f t="shared" si="16"/>
        <v>#N/A</v>
      </c>
      <c r="Z20" s="472" t="e">
        <f t="shared" si="17"/>
        <v>#N/A</v>
      </c>
    </row>
    <row r="21" spans="1:27" ht="17.25" customHeight="1" thickBot="1">
      <c r="B21" s="358"/>
      <c r="C21" s="358"/>
      <c r="D21" s="358"/>
      <c r="E21" s="358"/>
      <c r="F21" s="294"/>
      <c r="G21" s="294"/>
      <c r="H21" s="348"/>
      <c r="I21" s="535"/>
      <c r="J21" s="535"/>
      <c r="K21" s="535"/>
      <c r="L21" s="535"/>
      <c r="M21" s="535"/>
      <c r="N21" s="535"/>
      <c r="O21" s="1"/>
      <c r="P21" s="12"/>
      <c r="R21" s="277">
        <f t="shared" si="9"/>
        <v>0</v>
      </c>
      <c r="S21" s="472" t="e">
        <f t="shared" si="10"/>
        <v>#N/A</v>
      </c>
      <c r="T21" s="472" t="e">
        <f t="shared" si="11"/>
        <v>#N/A</v>
      </c>
      <c r="U21" s="297" t="e">
        <f t="shared" si="12"/>
        <v>#N/A</v>
      </c>
      <c r="V21" s="297" t="e">
        <f t="shared" si="13"/>
        <v>#N/A</v>
      </c>
      <c r="W21" s="297" t="e">
        <f t="shared" si="14"/>
        <v>#N/A</v>
      </c>
      <c r="X21" s="297" t="e">
        <f t="shared" si="15"/>
        <v>#N/A</v>
      </c>
      <c r="Y21" s="297" t="e">
        <f t="shared" si="16"/>
        <v>#N/A</v>
      </c>
      <c r="Z21" s="472" t="e">
        <f t="shared" si="17"/>
        <v>#N/A</v>
      </c>
    </row>
    <row r="22" spans="1:27" ht="17.25" customHeight="1" thickBot="1">
      <c r="B22" s="483" t="s">
        <v>162</v>
      </c>
      <c r="C22" s="388"/>
      <c r="D22" s="536" t="s">
        <v>35</v>
      </c>
      <c r="E22" s="537"/>
      <c r="F22" s="294"/>
      <c r="G22" s="294"/>
      <c r="H22" s="348"/>
      <c r="I22" s="24" t="s">
        <v>17</v>
      </c>
      <c r="J22" s="25"/>
      <c r="K22" s="26" t="s">
        <v>138</v>
      </c>
      <c r="L22" s="25" t="s">
        <v>37</v>
      </c>
      <c r="M22" s="25" t="s">
        <v>38</v>
      </c>
      <c r="N22" s="27" t="s">
        <v>39</v>
      </c>
      <c r="O22" s="294"/>
      <c r="P22" s="12"/>
      <c r="R22" s="277" t="str">
        <f t="shared" si="9"/>
        <v xml:space="preserve">BRAND </v>
      </c>
      <c r="S22" s="472" t="e">
        <f t="shared" si="10"/>
        <v>#N/A</v>
      </c>
      <c r="T22" s="472" t="e">
        <f t="shared" si="11"/>
        <v>#N/A</v>
      </c>
      <c r="U22" s="297" t="e">
        <f t="shared" si="12"/>
        <v>#N/A</v>
      </c>
      <c r="V22" s="297" t="e">
        <f t="shared" si="13"/>
        <v>#N/A</v>
      </c>
      <c r="W22" s="297" t="e">
        <f t="shared" si="14"/>
        <v>#N/A</v>
      </c>
      <c r="X22" s="297" t="e">
        <f t="shared" si="15"/>
        <v>#N/A</v>
      </c>
      <c r="Y22" s="297" t="e">
        <f t="shared" si="16"/>
        <v>#N/A</v>
      </c>
      <c r="Z22" s="472" t="e">
        <f t="shared" si="17"/>
        <v>#N/A</v>
      </c>
    </row>
    <row r="23" spans="1:27" ht="17.25" customHeight="1">
      <c r="A23" s="28"/>
      <c r="B23" s="538"/>
      <c r="C23" s="484"/>
      <c r="D23" s="523"/>
      <c r="E23" s="524"/>
      <c r="F23" s="294"/>
      <c r="G23" s="294"/>
      <c r="H23" s="348"/>
      <c r="I23" s="29" t="s">
        <v>6</v>
      </c>
      <c r="J23" s="323">
        <f>AVERAGE(I10:I17)</f>
        <v>97.664185516070106</v>
      </c>
      <c r="K23" s="284">
        <f>COUNTA([4]Brewhouse!$A$696:$A$711)</f>
        <v>16</v>
      </c>
      <c r="L23" s="305">
        <f>AVERAGE([4]Brewhouse!$AU$696:$AU$711)</f>
        <v>97.864309917198995</v>
      </c>
      <c r="M23" s="305">
        <f>AVERAGE([4]Brewhouse!$AU$42:$AU$123,[4]Brewhouse!$AU$125:$AU$188,[4]Brewhouse!$AU$198:$AU$290,[4]Brewhouse!$AU$292:$AU$370,[4]Brewhouse!$AU$372:$AU$439,[4]Brewhouse!$AU$441:$AU$497,[4]Brewhouse!$AU$499:$AU$519,[4]Brewhouse!$AU$521:$AU$593,[4]Brewhouse!$AU$595:$AU$711)</f>
        <v>98.275568003402569</v>
      </c>
      <c r="N23" s="30">
        <v>98</v>
      </c>
      <c r="O23" s="11"/>
      <c r="P23" s="31"/>
      <c r="R23" s="277">
        <f t="shared" si="9"/>
        <v>0</v>
      </c>
      <c r="S23" s="472" t="e">
        <f t="shared" si="10"/>
        <v>#N/A</v>
      </c>
      <c r="T23" s="472" t="e">
        <f t="shared" si="11"/>
        <v>#N/A</v>
      </c>
      <c r="U23" s="297" t="e">
        <f t="shared" si="12"/>
        <v>#N/A</v>
      </c>
      <c r="V23" s="297" t="e">
        <f t="shared" si="13"/>
        <v>#N/A</v>
      </c>
      <c r="W23" s="297" t="e">
        <f t="shared" si="14"/>
        <v>#N/A</v>
      </c>
      <c r="X23" s="297" t="e">
        <f t="shared" si="15"/>
        <v>#N/A</v>
      </c>
      <c r="Y23" s="297" t="e">
        <f t="shared" si="16"/>
        <v>#N/A</v>
      </c>
      <c r="Z23" s="472" t="e">
        <f t="shared" si="17"/>
        <v>#N/A</v>
      </c>
    </row>
    <row r="24" spans="1:27" ht="15" customHeight="1">
      <c r="A24" s="28"/>
      <c r="B24" s="539"/>
      <c r="C24" s="362"/>
      <c r="D24" s="525"/>
      <c r="E24" s="526"/>
      <c r="F24" s="294"/>
      <c r="G24" s="294"/>
      <c r="H24" s="348"/>
      <c r="I24" s="33" t="s">
        <v>9</v>
      </c>
      <c r="J24" s="323"/>
      <c r="K24" s="284"/>
      <c r="L24" s="302"/>
      <c r="M24" s="302">
        <f>AVERAGE([5]Brewhouse!$AS$52:$AS$81,[5]Brewhouse!$AS$83:$AS$124,[5]Brewhouse!$AS$134:$AS$177,[5]Brewhouse!$AS$22:$AS$179,[5]Brewhouse!$AS$214:$AS$249,[5]Brewhouse!$AS$252:$AS$293,[5]Brewhouse!$AS$295:$AS$325,[5]Brewhouse!$AS$327:$AS$361)</f>
        <v>98.239656393693409</v>
      </c>
      <c r="N24" s="30">
        <v>98</v>
      </c>
      <c r="O24" s="11"/>
      <c r="P24" s="31"/>
      <c r="R24" s="277">
        <f t="shared" si="9"/>
        <v>0</v>
      </c>
      <c r="S24" s="472" t="e">
        <f t="shared" si="10"/>
        <v>#N/A</v>
      </c>
      <c r="T24" s="472" t="e">
        <f t="shared" si="11"/>
        <v>#N/A</v>
      </c>
      <c r="U24" s="297" t="e">
        <f t="shared" si="12"/>
        <v>#N/A</v>
      </c>
      <c r="V24" s="297" t="e">
        <f t="shared" si="13"/>
        <v>#N/A</v>
      </c>
      <c r="W24" s="297" t="e">
        <f t="shared" si="14"/>
        <v>#N/A</v>
      </c>
      <c r="X24" s="297" t="e">
        <f t="shared" si="15"/>
        <v>#N/A</v>
      </c>
      <c r="Y24" s="297" t="e">
        <f t="shared" si="16"/>
        <v>#N/A</v>
      </c>
      <c r="Z24" s="472" t="e">
        <f t="shared" si="17"/>
        <v>#N/A</v>
      </c>
    </row>
    <row r="25" spans="1:27" ht="14.65" customHeight="1">
      <c r="A25" s="28"/>
      <c r="B25" s="539"/>
      <c r="C25" s="362"/>
      <c r="D25" s="530"/>
      <c r="E25" s="531"/>
      <c r="F25" s="294"/>
      <c r="G25" s="294"/>
      <c r="H25" s="348"/>
      <c r="I25" s="34" t="s">
        <v>12</v>
      </c>
      <c r="J25" s="323"/>
      <c r="K25" s="284"/>
      <c r="L25" s="302"/>
      <c r="M25" s="302">
        <f>AVERAGE([6]Brewhouse!$AU$16:$AU$23,[6]Brewhouse!$AU$25:$AU$32,[6]Brewhouse!$AU$34:$AU$41,[6]Brewhouse!$AU$43:$AU$60,[6]Brewhouse!$AU$62:$AU$69,[6]Brewhouse!$AU$71:$AU$88,[6]Brewhouse!$AU$90:$AU$97)</f>
        <v>96.502171439390338</v>
      </c>
      <c r="N25" s="30">
        <v>98</v>
      </c>
      <c r="O25" s="11"/>
      <c r="P25" s="31"/>
      <c r="R25" s="277">
        <f t="shared" si="9"/>
        <v>0</v>
      </c>
      <c r="S25" s="472" t="e">
        <f t="shared" si="10"/>
        <v>#N/A</v>
      </c>
      <c r="T25" s="472" t="e">
        <f t="shared" si="11"/>
        <v>#N/A</v>
      </c>
      <c r="U25" s="297" t="e">
        <f t="shared" si="12"/>
        <v>#N/A</v>
      </c>
      <c r="V25" s="297" t="e">
        <f t="shared" si="13"/>
        <v>#N/A</v>
      </c>
      <c r="W25" s="297" t="e">
        <f t="shared" si="14"/>
        <v>#N/A</v>
      </c>
      <c r="X25" s="297" t="e">
        <f t="shared" si="15"/>
        <v>#N/A</v>
      </c>
      <c r="Y25" s="297" t="e">
        <f t="shared" si="16"/>
        <v>#N/A</v>
      </c>
      <c r="Z25" s="472" t="e">
        <f t="shared" si="17"/>
        <v>#N/A</v>
      </c>
    </row>
    <row r="26" spans="1:27" ht="14.65" customHeight="1">
      <c r="A26" s="28"/>
      <c r="B26" s="539"/>
      <c r="C26" s="362"/>
      <c r="D26" s="532"/>
      <c r="E26" s="526"/>
      <c r="F26" s="294"/>
      <c r="G26" s="294"/>
      <c r="H26" s="348"/>
      <c r="I26" s="22" t="s">
        <v>33</v>
      </c>
      <c r="J26" s="280"/>
      <c r="K26" s="284"/>
      <c r="L26" s="302"/>
      <c r="M26" s="302">
        <f>AVERAGE([7]Brewhouse!$AV$23:$AV$34,[7]Brewhouse!$AV$36,[7]Brewhouse!$AV$38:$AV$52,[7]Brewhouse!$AV$54:$AV$60,[7]Brewhouse!$AV$62:$AV$69,[7]Brewhouse!$AV$71:$AV$78,[7]Brewhouse!$AV$80:$AV$87,[7]Brewhouse!$AV$89:$AV$96)</f>
        <v>97.559547139003357</v>
      </c>
      <c r="N26" s="30">
        <v>98</v>
      </c>
      <c r="O26" s="11"/>
      <c r="P26" s="31"/>
      <c r="R26" s="277">
        <f t="shared" si="9"/>
        <v>0</v>
      </c>
      <c r="S26" s="472" t="e">
        <f t="shared" si="10"/>
        <v>#N/A</v>
      </c>
      <c r="T26" s="472" t="e">
        <f t="shared" si="11"/>
        <v>#N/A</v>
      </c>
      <c r="U26" s="297" t="e">
        <f t="shared" si="12"/>
        <v>#N/A</v>
      </c>
      <c r="V26" s="297" t="e">
        <f t="shared" si="13"/>
        <v>#N/A</v>
      </c>
      <c r="W26" s="297" t="e">
        <f t="shared" si="14"/>
        <v>#N/A</v>
      </c>
      <c r="X26" s="297" t="e">
        <f t="shared" si="15"/>
        <v>#N/A</v>
      </c>
      <c r="Y26" s="297" t="e">
        <f t="shared" si="16"/>
        <v>#N/A</v>
      </c>
      <c r="Z26" s="472" t="e">
        <f t="shared" si="17"/>
        <v>#N/A</v>
      </c>
    </row>
    <row r="27" spans="1:27" ht="14.65" customHeight="1">
      <c r="A27" s="28"/>
      <c r="B27" s="539"/>
      <c r="C27" s="362"/>
      <c r="D27" s="530"/>
      <c r="E27" s="531"/>
      <c r="F27" s="294"/>
      <c r="G27" s="294"/>
      <c r="H27" s="348"/>
      <c r="I27" s="35" t="s">
        <v>29</v>
      </c>
      <c r="J27" s="280"/>
      <c r="K27" s="284"/>
      <c r="L27" s="302"/>
      <c r="M27" s="302"/>
      <c r="N27" s="30">
        <v>98</v>
      </c>
      <c r="O27" s="11"/>
      <c r="P27" s="31"/>
      <c r="R27" s="277">
        <f t="shared" si="9"/>
        <v>0</v>
      </c>
      <c r="S27" s="472" t="e">
        <f t="shared" si="10"/>
        <v>#N/A</v>
      </c>
      <c r="T27" s="472" t="e">
        <f t="shared" si="11"/>
        <v>#N/A</v>
      </c>
      <c r="U27" s="297" t="e">
        <f t="shared" si="12"/>
        <v>#N/A</v>
      </c>
      <c r="V27" s="297" t="e">
        <f t="shared" si="13"/>
        <v>#N/A</v>
      </c>
      <c r="W27" s="297" t="e">
        <f t="shared" si="14"/>
        <v>#N/A</v>
      </c>
      <c r="X27" s="297" t="e">
        <f t="shared" si="15"/>
        <v>#N/A</v>
      </c>
      <c r="Y27" s="297" t="e">
        <f t="shared" si="16"/>
        <v>#N/A</v>
      </c>
      <c r="Z27" s="472" t="e">
        <f t="shared" si="17"/>
        <v>#N/A</v>
      </c>
    </row>
    <row r="28" spans="1:27" ht="14.65" customHeight="1">
      <c r="A28" s="28"/>
      <c r="B28" s="539"/>
      <c r="C28" s="362"/>
      <c r="D28" s="532"/>
      <c r="E28" s="526"/>
      <c r="F28" s="417"/>
      <c r="G28" s="294"/>
      <c r="H28" s="348"/>
      <c r="I28" s="36" t="s">
        <v>15</v>
      </c>
      <c r="J28" s="323"/>
      <c r="K28" s="284"/>
      <c r="L28" s="302"/>
      <c r="M28" s="302">
        <f>AVERAGE([8]Brewhouse!$AT$4:$AT$11,[8]Brewhouse!$AT$13:$AT$16,[8]Brewhouse!$AT$18:$AT$21)</f>
        <v>91.832675391763644</v>
      </c>
      <c r="N28" s="30">
        <v>98</v>
      </c>
      <c r="O28" s="11"/>
      <c r="P28" s="31"/>
      <c r="R28" s="277">
        <f t="shared" si="9"/>
        <v>0</v>
      </c>
      <c r="S28" s="472" t="e">
        <f t="shared" si="10"/>
        <v>#N/A</v>
      </c>
      <c r="T28" s="472" t="e">
        <f t="shared" si="11"/>
        <v>#N/A</v>
      </c>
      <c r="U28" s="297" t="e">
        <f t="shared" si="12"/>
        <v>#N/A</v>
      </c>
      <c r="V28" s="297" t="e">
        <f t="shared" si="13"/>
        <v>#N/A</v>
      </c>
      <c r="W28" s="297" t="e">
        <f t="shared" si="14"/>
        <v>#N/A</v>
      </c>
      <c r="X28" s="297" t="e">
        <f t="shared" si="15"/>
        <v>#N/A</v>
      </c>
      <c r="Y28" s="297" t="e">
        <f t="shared" si="16"/>
        <v>#N/A</v>
      </c>
      <c r="Z28" s="472" t="e">
        <f t="shared" si="17"/>
        <v>#N/A</v>
      </c>
    </row>
    <row r="29" spans="1:27" ht="14.65" customHeight="1">
      <c r="A29" s="28"/>
      <c r="B29" s="539"/>
      <c r="C29" s="362"/>
      <c r="D29" s="530"/>
      <c r="E29" s="531"/>
      <c r="F29" s="417"/>
      <c r="G29" s="294"/>
      <c r="H29" s="348"/>
      <c r="I29" s="37" t="s">
        <v>16</v>
      </c>
      <c r="J29" s="323"/>
      <c r="K29" s="284"/>
      <c r="L29" s="302"/>
      <c r="M29" s="302">
        <f>AVERAGE([3]Brewhouse!$AY$5:$AY$14,[3]Brewhouse!$AY$16:$AY$23,[3]Brewhouse!$AY$42,[3]Brewhouse!$AY$44:$AY$51,[3]Brewhouse!$AY$53:$AY$64,[3]Brewhouse!$AY$66:$AY$73,[3]Brewhouse!$AY$75:$AY$82,[3]Brewhouse!$AY$84:$AY$101)</f>
        <v>97.784660430003186</v>
      </c>
      <c r="N29" s="30">
        <v>98</v>
      </c>
      <c r="O29" s="11"/>
      <c r="P29" s="31" t="s">
        <v>41</v>
      </c>
      <c r="R29" s="277">
        <f t="shared" si="9"/>
        <v>0</v>
      </c>
      <c r="S29" s="472" t="e">
        <f t="shared" si="10"/>
        <v>#N/A</v>
      </c>
      <c r="T29" s="472" t="e">
        <f t="shared" si="11"/>
        <v>#N/A</v>
      </c>
      <c r="U29" s="297" t="e">
        <f t="shared" si="12"/>
        <v>#N/A</v>
      </c>
      <c r="V29" s="297" t="e">
        <f t="shared" si="13"/>
        <v>#N/A</v>
      </c>
      <c r="W29" s="297" t="e">
        <f t="shared" si="14"/>
        <v>#N/A</v>
      </c>
      <c r="X29" s="297" t="e">
        <f t="shared" si="15"/>
        <v>#N/A</v>
      </c>
      <c r="Y29" s="297" t="e">
        <f t="shared" si="16"/>
        <v>#N/A</v>
      </c>
      <c r="Z29" s="472" t="e">
        <f t="shared" si="17"/>
        <v>#N/A</v>
      </c>
    </row>
    <row r="30" spans="1:27" ht="14.65" customHeight="1">
      <c r="A30" s="28"/>
      <c r="B30" s="539"/>
      <c r="C30" s="362"/>
      <c r="D30" s="532"/>
      <c r="E30" s="526"/>
      <c r="F30" s="294"/>
      <c r="G30" s="294"/>
      <c r="H30" s="348"/>
      <c r="I30" s="411" t="s">
        <v>158</v>
      </c>
      <c r="J30" s="326"/>
      <c r="K30" s="284"/>
      <c r="L30" s="305"/>
      <c r="M30" s="305"/>
      <c r="N30" s="30">
        <v>98</v>
      </c>
      <c r="O30" s="11"/>
      <c r="P30" s="31"/>
      <c r="R30" s="277">
        <f t="shared" si="9"/>
        <v>0</v>
      </c>
      <c r="S30" s="472" t="e">
        <f t="shared" si="10"/>
        <v>#N/A</v>
      </c>
      <c r="T30" s="472" t="e">
        <f t="shared" si="11"/>
        <v>#N/A</v>
      </c>
      <c r="U30" s="297" t="e">
        <f t="shared" si="12"/>
        <v>#N/A</v>
      </c>
      <c r="V30" s="297" t="e">
        <f t="shared" si="13"/>
        <v>#N/A</v>
      </c>
      <c r="W30" s="297" t="e">
        <f t="shared" si="14"/>
        <v>#N/A</v>
      </c>
      <c r="X30" s="297" t="e">
        <f t="shared" si="15"/>
        <v>#N/A</v>
      </c>
      <c r="Y30" s="297" t="e">
        <f t="shared" si="16"/>
        <v>#N/A</v>
      </c>
      <c r="Z30" s="472" t="e">
        <f t="shared" si="17"/>
        <v>#N/A</v>
      </c>
    </row>
    <row r="31" spans="1:27" ht="14.65" customHeight="1">
      <c r="A31" s="28"/>
      <c r="B31" s="539"/>
      <c r="C31" s="362"/>
      <c r="D31" s="530"/>
      <c r="E31" s="531"/>
      <c r="F31" s="294"/>
      <c r="G31" s="294"/>
      <c r="H31" s="348"/>
      <c r="I31" s="410" t="s">
        <v>157</v>
      </c>
      <c r="J31" s="326"/>
      <c r="K31" s="284"/>
      <c r="L31" s="305"/>
      <c r="M31" s="305"/>
      <c r="N31" s="30">
        <v>98</v>
      </c>
      <c r="O31" s="11"/>
      <c r="P31" s="31"/>
      <c r="R31" s="277">
        <f t="shared" si="9"/>
        <v>0</v>
      </c>
      <c r="S31" s="472" t="e">
        <f t="shared" si="10"/>
        <v>#N/A</v>
      </c>
      <c r="T31" s="472" t="e">
        <f t="shared" si="11"/>
        <v>#N/A</v>
      </c>
      <c r="U31" s="297" t="e">
        <f t="shared" si="12"/>
        <v>#N/A</v>
      </c>
      <c r="V31" s="297" t="e">
        <f t="shared" si="13"/>
        <v>#N/A</v>
      </c>
      <c r="W31" s="297" t="e">
        <f t="shared" si="14"/>
        <v>#N/A</v>
      </c>
      <c r="X31" s="297" t="e">
        <f t="shared" si="15"/>
        <v>#N/A</v>
      </c>
      <c r="Y31" s="297" t="e">
        <f t="shared" si="16"/>
        <v>#N/A</v>
      </c>
      <c r="Z31" s="472" t="e">
        <f t="shared" si="17"/>
        <v>#N/A</v>
      </c>
      <c r="AA31" s="472"/>
    </row>
    <row r="32" spans="1:27" ht="15" customHeight="1" thickBot="1">
      <c r="A32" s="28"/>
      <c r="B32" s="539"/>
      <c r="C32" s="362"/>
      <c r="D32" s="532"/>
      <c r="E32" s="526"/>
      <c r="F32" s="294"/>
      <c r="G32" s="294"/>
      <c r="H32" s="348"/>
      <c r="I32" s="406" t="s">
        <v>156</v>
      </c>
      <c r="J32" s="327"/>
      <c r="K32" s="407"/>
      <c r="L32" s="408"/>
      <c r="M32" s="408"/>
      <c r="N32" s="409">
        <v>98</v>
      </c>
      <c r="O32" s="11"/>
      <c r="P32" s="31"/>
      <c r="R32" s="277">
        <f t="shared" si="9"/>
        <v>0</v>
      </c>
      <c r="S32" s="472" t="e">
        <f t="shared" si="10"/>
        <v>#N/A</v>
      </c>
      <c r="T32" s="472" t="e">
        <f t="shared" si="11"/>
        <v>#N/A</v>
      </c>
      <c r="U32" s="297" t="e">
        <f t="shared" si="12"/>
        <v>#N/A</v>
      </c>
      <c r="V32" s="297" t="e">
        <f t="shared" si="13"/>
        <v>#N/A</v>
      </c>
      <c r="W32" s="297" t="e">
        <f t="shared" si="14"/>
        <v>#N/A</v>
      </c>
      <c r="X32" s="297" t="e">
        <f t="shared" si="15"/>
        <v>#N/A</v>
      </c>
      <c r="Y32" s="297" t="e">
        <f t="shared" si="16"/>
        <v>#N/A</v>
      </c>
      <c r="Z32" s="472" t="e">
        <f t="shared" si="17"/>
        <v>#N/A</v>
      </c>
      <c r="AA32" s="472"/>
    </row>
    <row r="33" spans="1:56" ht="15" customHeight="1" thickBot="1">
      <c r="A33" s="28"/>
      <c r="B33" s="539"/>
      <c r="C33" s="349"/>
      <c r="D33" s="523"/>
      <c r="E33" s="524"/>
      <c r="F33" s="294"/>
      <c r="G33" s="294"/>
      <c r="H33" s="348"/>
      <c r="I33" s="1"/>
      <c r="J33" s="39"/>
      <c r="K33" s="404">
        <f>SUM(K23:K32)</f>
        <v>16</v>
      </c>
      <c r="L33" s="405">
        <f>((L23*K23)+(L24*K24)+(L25*K25)+(L26*K26)+(L27*K27)+(K30*L30)+(L28*K28)+(L29*K29)+(L32*K32))/(K33)</f>
        <v>97.864309917198995</v>
      </c>
      <c r="M33" s="405">
        <f>AVERAGE('[9]Jan30th-31st'!$L$42,'[10]Feb 27th-28th'!$L$45,'[11]Mar 31st'!$L$42,'[12]Apr 30th'!$L$41,'[13]May 29th '!$L$35,'[14]June 30th'!$L$32,[15]July31st!$L$36,'[16]Aug 31st'!$L$32,L33)</f>
        <v>97.968515983542318</v>
      </c>
      <c r="N33" s="40">
        <v>98</v>
      </c>
      <c r="O33" s="11"/>
      <c r="P33" s="31"/>
      <c r="R33" s="277">
        <f t="shared" si="9"/>
        <v>0</v>
      </c>
      <c r="S33" s="472" t="e">
        <f t="shared" si="10"/>
        <v>#N/A</v>
      </c>
      <c r="T33" s="472" t="e">
        <f t="shared" si="11"/>
        <v>#N/A</v>
      </c>
      <c r="U33" s="297" t="e">
        <f t="shared" si="12"/>
        <v>#N/A</v>
      </c>
      <c r="V33" s="297" t="e">
        <f t="shared" si="13"/>
        <v>#N/A</v>
      </c>
      <c r="W33" s="297" t="e">
        <f t="shared" si="14"/>
        <v>#N/A</v>
      </c>
      <c r="X33" s="297" t="e">
        <f t="shared" si="15"/>
        <v>#N/A</v>
      </c>
      <c r="Y33" s="297" t="e">
        <f t="shared" si="16"/>
        <v>#N/A</v>
      </c>
      <c r="Z33" s="472" t="e">
        <f t="shared" si="17"/>
        <v>#N/A</v>
      </c>
      <c r="AA33" s="472"/>
    </row>
    <row r="34" spans="1:56" ht="15.75" thickBot="1">
      <c r="B34" s="540"/>
      <c r="C34" s="350"/>
      <c r="D34" s="525"/>
      <c r="E34" s="526"/>
      <c r="F34" s="294"/>
      <c r="G34" s="42"/>
      <c r="H34" s="41"/>
      <c r="I34" s="42"/>
      <c r="J34" s="42"/>
      <c r="K34" s="351"/>
      <c r="L34" s="348"/>
      <c r="M34" s="348"/>
      <c r="N34" s="11"/>
      <c r="O34" s="294"/>
      <c r="P34" s="12"/>
      <c r="R34" s="277">
        <f t="shared" si="9"/>
        <v>0</v>
      </c>
      <c r="S34" s="472" t="e">
        <f t="shared" si="10"/>
        <v>#N/A</v>
      </c>
      <c r="T34" s="472" t="e">
        <f t="shared" si="11"/>
        <v>#N/A</v>
      </c>
      <c r="U34" s="297" t="e">
        <f t="shared" si="12"/>
        <v>#N/A</v>
      </c>
      <c r="V34" s="297" t="e">
        <f t="shared" si="13"/>
        <v>#N/A</v>
      </c>
      <c r="W34" s="297" t="e">
        <f t="shared" si="14"/>
        <v>#N/A</v>
      </c>
      <c r="X34" s="297" t="e">
        <f t="shared" si="15"/>
        <v>#N/A</v>
      </c>
      <c r="Y34" s="297" t="e">
        <f t="shared" si="16"/>
        <v>#N/A</v>
      </c>
      <c r="Z34" s="472" t="e">
        <f t="shared" si="17"/>
        <v>#N/A</v>
      </c>
      <c r="AA34" s="472"/>
    </row>
    <row r="35" spans="1:56" ht="15.75" thickBot="1">
      <c r="B35" s="520"/>
      <c r="C35" s="362"/>
      <c r="D35" s="523"/>
      <c r="E35" s="524"/>
      <c r="F35" s="294"/>
      <c r="G35" s="42"/>
      <c r="H35" s="41"/>
      <c r="I35" s="42"/>
      <c r="J35" s="527" t="s">
        <v>129</v>
      </c>
      <c r="K35" s="527"/>
      <c r="L35" s="294"/>
      <c r="M35" s="294"/>
      <c r="N35" s="294"/>
      <c r="O35" s="294"/>
      <c r="P35" s="12"/>
    </row>
    <row r="36" spans="1:56" ht="15.75" thickBot="1">
      <c r="B36" s="521"/>
      <c r="C36" s="362"/>
      <c r="D36" s="525"/>
      <c r="E36" s="526"/>
      <c r="F36" s="294"/>
      <c r="G36" s="42"/>
      <c r="H36" s="42"/>
      <c r="I36" s="42"/>
      <c r="J36" s="292" t="s">
        <v>17</v>
      </c>
      <c r="K36" s="293"/>
      <c r="L36" s="528" t="s">
        <v>136</v>
      </c>
      <c r="M36" s="528"/>
      <c r="N36" s="529"/>
      <c r="O36" s="294"/>
      <c r="P36" s="12"/>
    </row>
    <row r="37" spans="1:56" ht="15" customHeight="1" thickBot="1">
      <c r="B37" s="521"/>
      <c r="C37" s="349"/>
      <c r="D37" s="530"/>
      <c r="E37" s="531"/>
      <c r="F37" s="294"/>
      <c r="G37" s="42"/>
      <c r="H37" s="42"/>
      <c r="I37" s="42"/>
      <c r="J37" s="287" t="s">
        <v>6</v>
      </c>
      <c r="K37" s="324">
        <v>9</v>
      </c>
      <c r="L37" s="473" t="s">
        <v>37</v>
      </c>
      <c r="M37" s="474" t="s">
        <v>38</v>
      </c>
      <c r="N37" s="474" t="s">
        <v>84</v>
      </c>
      <c r="O37" s="294"/>
      <c r="P37" s="12"/>
    </row>
    <row r="38" spans="1:56" ht="15.75" customHeight="1" thickBot="1">
      <c r="B38" s="521"/>
      <c r="C38" s="349"/>
      <c r="D38" s="532"/>
      <c r="E38" s="526"/>
      <c r="F38" s="294"/>
      <c r="G38" s="42"/>
      <c r="H38" s="42"/>
      <c r="I38" s="42"/>
      <c r="J38" s="345" t="s">
        <v>9</v>
      </c>
      <c r="K38" s="324"/>
      <c r="L38" s="485">
        <f>AVERAGE('Sept 1st'!K45,K47)</f>
        <v>8</v>
      </c>
      <c r="M38" s="486">
        <f>AVERAGE('[9]Jan30th-31st'!$L$47,L38,'[10]Feb 26th '!$L$39,'[11]Mar 31st'!$L$47,'[12]Apr 30th'!$L$46,'[13]May 29th '!$L$40,'[14]June 30th'!$L$39,[15]July31st!$L$41,'[16]Aug 31st'!$L$37)</f>
        <v>6.6266781527651091</v>
      </c>
      <c r="N38" s="416">
        <v>9.1999999999999993</v>
      </c>
      <c r="O38" s="294"/>
      <c r="P38" s="12"/>
    </row>
    <row r="39" spans="1:56" ht="15" customHeight="1">
      <c r="B39" s="521"/>
      <c r="C39" s="349"/>
      <c r="D39" s="530"/>
      <c r="E39" s="531"/>
      <c r="F39" s="294"/>
      <c r="G39" s="42"/>
      <c r="H39" s="42"/>
      <c r="I39" s="42"/>
      <c r="J39" s="288" t="s">
        <v>40</v>
      </c>
      <c r="K39" s="324"/>
      <c r="L39" s="294"/>
      <c r="M39" s="294"/>
      <c r="N39" s="294"/>
      <c r="O39" s="294"/>
      <c r="P39" s="12"/>
    </row>
    <row r="40" spans="1:56" ht="15" customHeight="1">
      <c r="B40" s="521"/>
      <c r="C40" s="349"/>
      <c r="D40" s="532"/>
      <c r="E40" s="526"/>
      <c r="F40" s="294"/>
      <c r="G40" s="42"/>
      <c r="H40" s="42"/>
      <c r="I40" s="42"/>
      <c r="J40" s="289" t="s">
        <v>33</v>
      </c>
      <c r="K40" s="324"/>
      <c r="L40" s="294"/>
      <c r="M40" s="294"/>
      <c r="N40" s="294"/>
      <c r="O40" s="294"/>
      <c r="P40" s="12"/>
    </row>
    <row r="41" spans="1:56" ht="15">
      <c r="B41" s="521"/>
      <c r="C41" s="349"/>
      <c r="D41" s="530"/>
      <c r="E41" s="531"/>
      <c r="F41" s="294"/>
      <c r="G41" s="42"/>
      <c r="H41" s="42"/>
      <c r="I41" s="42"/>
      <c r="J41" s="290" t="s">
        <v>16</v>
      </c>
      <c r="K41" s="324"/>
      <c r="L41" s="294"/>
      <c r="M41" s="294"/>
      <c r="N41" s="294"/>
      <c r="O41" s="294"/>
      <c r="P41" s="12"/>
      <c r="BC41" s="44"/>
      <c r="BD41" s="44"/>
    </row>
    <row r="42" spans="1:56" ht="15">
      <c r="B42" s="521"/>
      <c r="C42" s="349"/>
      <c r="D42" s="532"/>
      <c r="E42" s="526"/>
      <c r="F42" s="294"/>
      <c r="G42" s="42"/>
      <c r="H42" s="42"/>
      <c r="I42" s="42"/>
      <c r="J42" s="291" t="s">
        <v>15</v>
      </c>
      <c r="K42" s="324"/>
      <c r="L42" s="294"/>
      <c r="M42" s="294"/>
      <c r="N42" s="294"/>
      <c r="O42" s="294"/>
      <c r="P42" s="12"/>
      <c r="BC42" s="44"/>
      <c r="BD42" s="44"/>
    </row>
    <row r="43" spans="1:56" ht="15">
      <c r="B43" s="521"/>
      <c r="C43" s="349"/>
      <c r="D43" s="530"/>
      <c r="E43" s="531"/>
      <c r="F43" s="294"/>
      <c r="G43" s="42"/>
      <c r="H43" s="42"/>
      <c r="I43" s="42"/>
      <c r="J43" s="291" t="s">
        <v>149</v>
      </c>
      <c r="K43" s="324"/>
      <c r="L43" s="294"/>
      <c r="M43" s="294"/>
      <c r="N43" s="294"/>
      <c r="O43" s="294"/>
      <c r="P43" s="12"/>
      <c r="BC43" s="44"/>
      <c r="BD43" s="44"/>
    </row>
    <row r="44" spans="1:56" ht="15.75" thickBot="1">
      <c r="B44" s="522"/>
      <c r="C44" s="350"/>
      <c r="D44" s="533"/>
      <c r="E44" s="534"/>
      <c r="F44" s="294" t="s">
        <v>165</v>
      </c>
      <c r="G44" s="42"/>
      <c r="H44" s="42"/>
      <c r="I44" s="42"/>
      <c r="J44" s="291" t="s">
        <v>148</v>
      </c>
      <c r="K44" s="324"/>
      <c r="L44" s="294"/>
      <c r="M44" s="294"/>
      <c r="N44" s="294" t="s">
        <v>41</v>
      </c>
      <c r="O44" s="294"/>
      <c r="P44" s="12"/>
      <c r="BC44" s="44"/>
      <c r="BD44" s="44"/>
    </row>
    <row r="45" spans="1:56" ht="17.649999999999999" customHeight="1" thickBot="1">
      <c r="B45" s="312" t="s">
        <v>139</v>
      </c>
      <c r="C45" s="313"/>
      <c r="D45" s="511"/>
      <c r="E45" s="512"/>
      <c r="F45" s="294"/>
      <c r="J45" s="295" t="s">
        <v>134</v>
      </c>
      <c r="K45" s="324"/>
      <c r="L45" s="294"/>
      <c r="M45" s="294"/>
      <c r="N45" s="294"/>
      <c r="O45" s="294"/>
      <c r="P45" s="12"/>
      <c r="BC45" s="44"/>
      <c r="BD45" s="44"/>
    </row>
    <row r="46" spans="1:56" ht="17.649999999999999" customHeight="1">
      <c r="B46" s="363"/>
      <c r="C46" s="364"/>
      <c r="D46" s="365"/>
      <c r="E46" s="365"/>
      <c r="F46" s="294"/>
      <c r="G46" s="42"/>
      <c r="H46" s="42"/>
      <c r="I46" s="42"/>
      <c r="J46" s="295" t="s">
        <v>131</v>
      </c>
      <c r="K46" s="324"/>
      <c r="L46" s="294"/>
      <c r="M46" s="294"/>
      <c r="N46" s="294"/>
      <c r="O46" s="294"/>
      <c r="P46" s="12"/>
      <c r="BC46" s="44"/>
      <c r="BD46" s="44"/>
    </row>
    <row r="47" spans="1:56" ht="15.6" customHeight="1">
      <c r="B47" s="45"/>
      <c r="C47" s="11"/>
      <c r="D47" s="11"/>
      <c r="E47" s="46"/>
      <c r="F47" s="294"/>
      <c r="G47" s="42"/>
      <c r="H47" s="42"/>
      <c r="I47" s="42"/>
      <c r="J47" s="346" t="s">
        <v>130</v>
      </c>
      <c r="K47" s="324">
        <f>SUM(K37:K46)</f>
        <v>9</v>
      </c>
      <c r="L47" s="294"/>
      <c r="M47" s="294"/>
      <c r="N47" s="294"/>
      <c r="O47" s="294"/>
      <c r="P47" s="12"/>
    </row>
    <row r="48" spans="1:56" ht="20.25" customHeight="1">
      <c r="B48" s="15" t="s">
        <v>42</v>
      </c>
      <c r="C48" s="1" t="s">
        <v>43</v>
      </c>
      <c r="D48" s="1"/>
      <c r="E48" s="1"/>
      <c r="F48" s="294"/>
      <c r="G48" s="42"/>
      <c r="H48" s="41"/>
      <c r="I48" s="42"/>
      <c r="L48" s="42"/>
      <c r="N48" s="315"/>
      <c r="P48" s="334"/>
    </row>
    <row r="49" spans="2:57" ht="15" customHeight="1" thickBot="1">
      <c r="B49" s="48"/>
      <c r="C49" s="48"/>
      <c r="D49" s="48"/>
      <c r="E49" s="48"/>
      <c r="F49" s="48"/>
      <c r="G49" s="48"/>
      <c r="H49" s="48"/>
      <c r="I49" s="48"/>
      <c r="J49" s="48"/>
      <c r="K49" s="48"/>
      <c r="L49" s="48"/>
      <c r="M49" s="48"/>
      <c r="N49" s="41"/>
      <c r="O49" s="48"/>
      <c r="P49" s="49"/>
    </row>
    <row r="50" spans="2:57" ht="15" customHeight="1" thickBot="1">
      <c r="B50" s="505" t="s">
        <v>17</v>
      </c>
      <c r="C50" s="505" t="s">
        <v>44</v>
      </c>
      <c r="D50" s="514" t="s">
        <v>45</v>
      </c>
      <c r="E50" s="516" t="s">
        <v>46</v>
      </c>
      <c r="F50" s="518" t="s">
        <v>47</v>
      </c>
      <c r="G50" s="503" t="s">
        <v>48</v>
      </c>
      <c r="H50" s="505" t="s">
        <v>49</v>
      </c>
      <c r="I50" s="505" t="s">
        <v>50</v>
      </c>
      <c r="J50" s="497" t="s">
        <v>28</v>
      </c>
      <c r="K50" s="507" t="s">
        <v>51</v>
      </c>
      <c r="L50" s="509" t="s">
        <v>52</v>
      </c>
      <c r="M50" s="497" t="s">
        <v>53</v>
      </c>
      <c r="N50" s="13"/>
      <c r="O50" s="13"/>
      <c r="P50" s="50"/>
    </row>
    <row r="51" spans="2:57" ht="28.5" customHeight="1" thickTop="1" thickBot="1">
      <c r="B51" s="506"/>
      <c r="C51" s="513"/>
      <c r="D51" s="515"/>
      <c r="E51" s="517"/>
      <c r="F51" s="519"/>
      <c r="G51" s="504"/>
      <c r="H51" s="506"/>
      <c r="I51" s="506"/>
      <c r="J51" s="498"/>
      <c r="K51" s="508"/>
      <c r="L51" s="510"/>
      <c r="M51" s="498"/>
      <c r="N51" s="13"/>
      <c r="O51" s="13"/>
      <c r="P51" s="50"/>
      <c r="Q51" s="355"/>
      <c r="AB51" s="475">
        <v>43474</v>
      </c>
      <c r="AC51" s="475">
        <v>43475</v>
      </c>
      <c r="AD51" s="475">
        <v>43476</v>
      </c>
      <c r="AE51" s="475">
        <v>43477</v>
      </c>
      <c r="AF51" s="475">
        <v>43478</v>
      </c>
      <c r="AG51" s="475">
        <v>43479</v>
      </c>
      <c r="AH51" s="475">
        <v>43480</v>
      </c>
      <c r="AI51" s="475">
        <v>43481</v>
      </c>
      <c r="AJ51" s="475">
        <v>43482</v>
      </c>
      <c r="AK51" s="475">
        <v>43483</v>
      </c>
      <c r="AL51" s="475">
        <v>43484</v>
      </c>
      <c r="AM51" s="475">
        <v>43485</v>
      </c>
      <c r="AN51" s="475">
        <v>43486</v>
      </c>
      <c r="AO51" s="475">
        <v>43487</v>
      </c>
      <c r="AP51" s="475">
        <v>43488</v>
      </c>
      <c r="AQ51" s="475">
        <v>43489</v>
      </c>
      <c r="AR51" s="475">
        <v>43490</v>
      </c>
      <c r="AS51" s="475">
        <v>43491</v>
      </c>
      <c r="AT51" s="475">
        <v>43492</v>
      </c>
      <c r="AU51" s="475">
        <v>43493</v>
      </c>
      <c r="AV51" s="475">
        <v>43494</v>
      </c>
      <c r="AW51" s="475">
        <v>43495</v>
      </c>
      <c r="AX51" s="475">
        <v>43496</v>
      </c>
    </row>
    <row r="52" spans="2:57" s="54" customFormat="1" ht="36.75" customHeight="1" thickBot="1">
      <c r="B52" s="456" t="str">
        <f>J37</f>
        <v>CARIB</v>
      </c>
      <c r="C52" s="479">
        <v>46267</v>
      </c>
      <c r="D52" s="445">
        <f>[18]September_2026!$E$3</f>
        <v>400.4</v>
      </c>
      <c r="E52" s="443"/>
      <c r="F52" s="444"/>
      <c r="G52" s="444">
        <f>[18]September_2026!$E$7</f>
        <v>369.80000000000007</v>
      </c>
      <c r="H52" s="458"/>
      <c r="I52" s="458"/>
      <c r="J52" s="448" t="s">
        <v>171</v>
      </c>
      <c r="K52" s="449"/>
      <c r="L52" s="457">
        <f>(((D52+E52)-G52)/(D52+E52))*100</f>
        <v>7.6423576423576192</v>
      </c>
      <c r="M52" s="455" t="s">
        <v>170</v>
      </c>
      <c r="N52" s="13"/>
      <c r="O52" s="13"/>
      <c r="P52" s="50"/>
      <c r="R52" s="275"/>
      <c r="S52" s="275"/>
      <c r="T52" s="275"/>
      <c r="U52" s="275"/>
      <c r="V52" s="275"/>
      <c r="W52" s="275"/>
      <c r="X52" s="275"/>
      <c r="Y52" s="275"/>
      <c r="Z52" s="275"/>
      <c r="AA52" s="275"/>
      <c r="AB52" s="57">
        <f>[17]January_2019!L5</f>
        <v>0</v>
      </c>
      <c r="AC52" s="57">
        <f>[17]January_2019!M5</f>
        <v>0</v>
      </c>
      <c r="AD52" s="57">
        <f>[17]January_2019!N5</f>
        <v>0</v>
      </c>
      <c r="AE52" s="57">
        <f>[17]January_2019!O5</f>
        <v>0</v>
      </c>
      <c r="AF52" s="57">
        <f>[17]January_2019!P5</f>
        <v>0</v>
      </c>
      <c r="AG52" s="57">
        <f>[17]January_2019!Q5</f>
        <v>0</v>
      </c>
      <c r="AH52" s="57">
        <f>[17]January_2019!R5</f>
        <v>0</v>
      </c>
      <c r="AI52" s="57">
        <f>[17]January_2019!S5</f>
        <v>0</v>
      </c>
      <c r="AJ52" s="57">
        <f>[17]January_2019!T5</f>
        <v>0</v>
      </c>
      <c r="AK52" s="57">
        <f>[17]January_2019!U5</f>
        <v>0</v>
      </c>
      <c r="AL52" s="57">
        <f>[17]January_2019!V5</f>
        <v>0</v>
      </c>
      <c r="AM52" s="57">
        <f>[17]January_2019!W5</f>
        <v>0</v>
      </c>
      <c r="AN52" s="57">
        <f>[17]January_2019!X5</f>
        <v>0</v>
      </c>
      <c r="AO52" s="57">
        <f>[17]January_2019!Y5</f>
        <v>0</v>
      </c>
      <c r="AP52" s="57">
        <f>[17]January_2019!Z5</f>
        <v>0</v>
      </c>
      <c r="AQ52" s="57">
        <f>[17]January_2019!AA5</f>
        <v>0</v>
      </c>
      <c r="AR52" s="57">
        <f>[17]January_2019!AB5</f>
        <v>0</v>
      </c>
      <c r="AS52" s="57">
        <f>[17]January_2019!AC5</f>
        <v>0</v>
      </c>
      <c r="AT52" s="57">
        <f>[17]January_2019!AD5</f>
        <v>0</v>
      </c>
      <c r="AU52" s="57">
        <f>[17]January_2019!AE5</f>
        <v>0</v>
      </c>
      <c r="AV52" s="57">
        <f>[17]January_2019!AF5</f>
        <v>0</v>
      </c>
      <c r="AW52" s="57">
        <f>[17]January_2019!AG5</f>
        <v>0</v>
      </c>
      <c r="AX52" s="277">
        <f>[17]January_2019!AH5</f>
        <v>0</v>
      </c>
      <c r="AY52" s="277"/>
      <c r="AZ52" s="277"/>
      <c r="BA52" s="277"/>
      <c r="BB52" s="277"/>
      <c r="BC52" s="277"/>
      <c r="BD52" s="277"/>
      <c r="BE52" s="277"/>
    </row>
    <row r="53" spans="2:57" s="54" customFormat="1" ht="14.25" customHeight="1" thickBot="1">
      <c r="B53" s="480"/>
      <c r="C53" s="479"/>
      <c r="D53" s="442"/>
      <c r="E53" s="443"/>
      <c r="F53" s="444"/>
      <c r="G53" s="445"/>
      <c r="H53" s="458"/>
      <c r="I53" s="458"/>
      <c r="J53" s="476"/>
      <c r="K53" s="449"/>
      <c r="L53" s="457"/>
      <c r="M53" s="455"/>
      <c r="N53" s="13"/>
      <c r="O53" s="13"/>
      <c r="P53" s="50"/>
      <c r="R53" s="275"/>
      <c r="S53" s="275"/>
      <c r="T53" s="275"/>
      <c r="U53" s="275"/>
      <c r="V53" s="275"/>
      <c r="W53" s="275"/>
      <c r="X53" s="275"/>
      <c r="Y53" s="275"/>
      <c r="Z53" s="275"/>
      <c r="AA53" s="275"/>
      <c r="AB53" s="57">
        <f>[17]January_2019!L6</f>
        <v>0</v>
      </c>
      <c r="AC53" s="57">
        <f>[17]January_2019!M6</f>
        <v>0</v>
      </c>
      <c r="AD53" s="57">
        <f>[17]January_2019!N6</f>
        <v>0</v>
      </c>
      <c r="AE53" s="57">
        <f>[17]January_2019!O6</f>
        <v>0</v>
      </c>
      <c r="AF53" s="57">
        <f>[17]January_2019!P6</f>
        <v>0</v>
      </c>
      <c r="AG53" s="57">
        <f>[17]January_2019!Q6</f>
        <v>0</v>
      </c>
      <c r="AH53" s="57">
        <f>[17]January_2019!R6</f>
        <v>0</v>
      </c>
      <c r="AI53" s="57">
        <f>[17]January_2019!S6</f>
        <v>0</v>
      </c>
      <c r="AJ53" s="57">
        <f>[17]January_2019!T6</f>
        <v>0</v>
      </c>
      <c r="AK53" s="57">
        <f>[17]January_2019!U6</f>
        <v>0</v>
      </c>
      <c r="AL53" s="57">
        <f>[17]January_2019!V6</f>
        <v>0</v>
      </c>
      <c r="AM53" s="57">
        <f>[17]January_2019!W6</f>
        <v>0</v>
      </c>
      <c r="AN53" s="57">
        <f>[17]January_2019!X6</f>
        <v>0</v>
      </c>
      <c r="AO53" s="57">
        <f>[17]January_2019!Y6</f>
        <v>0</v>
      </c>
      <c r="AP53" s="57">
        <f>[17]January_2019!Z6</f>
        <v>0</v>
      </c>
      <c r="AQ53" s="57">
        <f>[17]January_2019!AA6</f>
        <v>0</v>
      </c>
      <c r="AR53" s="57">
        <f>[17]January_2019!AB6</f>
        <v>0</v>
      </c>
      <c r="AS53" s="57">
        <f>[17]January_2019!AC6</f>
        <v>0</v>
      </c>
      <c r="AT53" s="57">
        <f>[17]January_2019!AD6</f>
        <v>0</v>
      </c>
      <c r="AU53" s="57">
        <f>[17]January_2019!AE6</f>
        <v>0</v>
      </c>
      <c r="AV53" s="57">
        <f>[17]January_2019!AF6</f>
        <v>0</v>
      </c>
      <c r="AW53" s="57">
        <f>[17]January_2019!AG6</f>
        <v>0</v>
      </c>
      <c r="AX53" s="277">
        <f>[17]January_2019!AH6</f>
        <v>0</v>
      </c>
      <c r="AY53" s="277"/>
      <c r="AZ53" s="277"/>
      <c r="BA53" s="277"/>
      <c r="BB53" s="277"/>
      <c r="BC53" s="277"/>
      <c r="BD53" s="277"/>
      <c r="BE53" s="277"/>
    </row>
    <row r="54" spans="2:57" s="54" customFormat="1" ht="37.15" customHeight="1" thickBot="1">
      <c r="B54" s="456"/>
      <c r="C54" s="479"/>
      <c r="D54" s="442"/>
      <c r="E54" s="443"/>
      <c r="F54" s="444"/>
      <c r="G54" s="444"/>
      <c r="H54" s="446"/>
      <c r="I54" s="446"/>
      <c r="J54" s="476"/>
      <c r="K54" s="449"/>
      <c r="L54" s="457"/>
      <c r="M54" s="455"/>
      <c r="N54" s="13"/>
      <c r="O54" s="13"/>
      <c r="P54" s="50"/>
      <c r="R54" s="275"/>
      <c r="S54" s="275"/>
      <c r="T54" s="275"/>
      <c r="U54" s="275"/>
      <c r="V54" s="275"/>
      <c r="W54" s="275"/>
      <c r="X54" s="275"/>
      <c r="Y54" s="275"/>
      <c r="Z54" s="275"/>
      <c r="AA54" s="275"/>
      <c r="AB54" s="57">
        <f>[17]January_2019!L7</f>
        <v>285.8</v>
      </c>
      <c r="AC54" s="57">
        <f>[17]January_2019!M7</f>
        <v>508.1</v>
      </c>
      <c r="AD54" s="57">
        <f>[17]January_2019!N7</f>
        <v>0</v>
      </c>
      <c r="AE54" s="57">
        <f>[17]January_2019!O7</f>
        <v>0</v>
      </c>
      <c r="AF54" s="57">
        <f>[17]January_2019!P7</f>
        <v>109.56666666666666</v>
      </c>
      <c r="AG54" s="57">
        <f>[17]January_2019!Q7</f>
        <v>297.64999999999998</v>
      </c>
      <c r="AH54" s="57">
        <f>[17]January_2019!R7</f>
        <v>122.3</v>
      </c>
      <c r="AI54" s="57">
        <f>[17]January_2019!S7</f>
        <v>0</v>
      </c>
      <c r="AJ54" s="57">
        <f>[17]January_2019!T7</f>
        <v>294.7</v>
      </c>
      <c r="AK54" s="57">
        <f>[17]January_2019!U7</f>
        <v>280.5</v>
      </c>
      <c r="AL54" s="57">
        <f>[17]January_2019!V7</f>
        <v>0</v>
      </c>
      <c r="AM54" s="57">
        <f>[17]January_2019!W7</f>
        <v>0</v>
      </c>
      <c r="AN54" s="57">
        <f>[17]January_2019!X7</f>
        <v>188.25</v>
      </c>
      <c r="AO54" s="57">
        <f>[17]January_2019!Y7</f>
        <v>295.7</v>
      </c>
      <c r="AP54" s="57">
        <f>[17]January_2019!Z7</f>
        <v>257.8</v>
      </c>
      <c r="AQ54" s="57">
        <f>[17]January_2019!AA7</f>
        <v>291.2</v>
      </c>
      <c r="AR54" s="57">
        <f>[17]January_2019!AB7</f>
        <v>187</v>
      </c>
      <c r="AS54" s="57">
        <f>[17]January_2019!AC7</f>
        <v>0</v>
      </c>
      <c r="AT54" s="57">
        <f>[17]January_2019!AD7</f>
        <v>0</v>
      </c>
      <c r="AU54" s="57">
        <f>[17]January_2019!AE7</f>
        <v>485.1</v>
      </c>
      <c r="AV54" s="57">
        <f>[17]January_2019!AF7</f>
        <v>171.55</v>
      </c>
      <c r="AW54" s="57">
        <f>[17]January_2019!AG7</f>
        <v>423.8</v>
      </c>
      <c r="AX54" s="277">
        <f>[17]January_2019!AH7</f>
        <v>0</v>
      </c>
      <c r="AY54" s="277"/>
      <c r="AZ54" s="277"/>
      <c r="BA54" s="277"/>
      <c r="BB54" s="277"/>
      <c r="BC54" s="277"/>
      <c r="BD54" s="277"/>
      <c r="BE54" s="277"/>
    </row>
    <row r="55" spans="2:57" s="54" customFormat="1" ht="18.600000000000001" hidden="1" customHeight="1" thickBot="1">
      <c r="B55" s="478"/>
      <c r="C55" s="430"/>
      <c r="D55" s="431"/>
      <c r="E55" s="432"/>
      <c r="F55" s="433"/>
      <c r="G55" s="434"/>
      <c r="H55" s="458"/>
      <c r="I55" s="458"/>
      <c r="J55" s="451"/>
      <c r="K55" s="436"/>
      <c r="L55" s="452"/>
      <c r="M55" s="421"/>
      <c r="N55" s="13"/>
      <c r="O55" s="13"/>
      <c r="P55" s="50"/>
      <c r="R55" s="275"/>
      <c r="S55" s="275"/>
      <c r="T55" s="275"/>
      <c r="U55" s="275"/>
      <c r="V55" s="275"/>
      <c r="W55" s="275"/>
      <c r="X55" s="275"/>
      <c r="Y55" s="275"/>
      <c r="Z55" s="275"/>
      <c r="AA55" s="275"/>
      <c r="AB55" s="57"/>
      <c r="AC55" s="57"/>
      <c r="AD55" s="57"/>
      <c r="AE55" s="57"/>
      <c r="AF55" s="57"/>
      <c r="AG55" s="57"/>
      <c r="AH55" s="57"/>
      <c r="AI55" s="57"/>
      <c r="AJ55" s="57"/>
      <c r="AK55" s="57"/>
      <c r="AL55" s="57"/>
      <c r="AM55" s="57"/>
      <c r="AN55" s="57"/>
      <c r="AO55" s="57"/>
      <c r="AP55" s="57"/>
      <c r="AQ55" s="57"/>
      <c r="AR55" s="57"/>
      <c r="AS55" s="57"/>
      <c r="AT55" s="57"/>
      <c r="AU55" s="57"/>
      <c r="AV55" s="57"/>
      <c r="AW55" s="57"/>
      <c r="AX55" s="277"/>
      <c r="AY55" s="277"/>
      <c r="AZ55" s="277"/>
      <c r="BA55" s="277"/>
      <c r="BB55" s="277"/>
      <c r="BC55" s="277"/>
      <c r="BD55" s="277"/>
      <c r="BE55" s="277"/>
    </row>
    <row r="56" spans="2:57" s="54" customFormat="1" ht="38.65" hidden="1" customHeight="1" thickBot="1">
      <c r="B56" s="487"/>
      <c r="C56" s="479"/>
      <c r="D56" s="442"/>
      <c r="E56" s="443"/>
      <c r="F56" s="444"/>
      <c r="G56" s="445"/>
      <c r="H56" s="458"/>
      <c r="I56" s="458"/>
      <c r="J56" s="448"/>
      <c r="K56" s="459"/>
      <c r="L56" s="457"/>
      <c r="M56" s="455"/>
      <c r="N56" s="13"/>
      <c r="O56" s="13"/>
      <c r="P56" s="50"/>
      <c r="R56" s="275"/>
      <c r="S56" s="275"/>
      <c r="T56" s="275"/>
      <c r="U56" s="275"/>
      <c r="V56" s="275"/>
      <c r="W56" s="275"/>
      <c r="X56" s="275"/>
      <c r="Y56" s="275"/>
      <c r="Z56" s="275"/>
      <c r="AA56" s="275"/>
      <c r="AB56" s="57"/>
      <c r="AC56" s="57"/>
      <c r="AD56" s="57"/>
      <c r="AE56" s="57"/>
      <c r="AF56" s="57"/>
      <c r="AG56" s="57"/>
      <c r="AH56" s="57"/>
      <c r="AI56" s="57"/>
      <c r="AJ56" s="57"/>
      <c r="AK56" s="57"/>
      <c r="AL56" s="57"/>
      <c r="AM56" s="57"/>
      <c r="AN56" s="57"/>
      <c r="AO56" s="57"/>
      <c r="AP56" s="57"/>
      <c r="AQ56" s="57"/>
      <c r="AR56" s="57"/>
      <c r="AS56" s="57"/>
      <c r="AT56" s="57"/>
      <c r="AU56" s="57"/>
      <c r="AV56" s="57"/>
      <c r="AW56" s="57"/>
      <c r="AX56" s="277"/>
      <c r="AY56" s="277"/>
      <c r="AZ56" s="277"/>
      <c r="BA56" s="277"/>
      <c r="BB56" s="277"/>
      <c r="BC56" s="277"/>
      <c r="BD56" s="277"/>
      <c r="BE56" s="277"/>
    </row>
    <row r="57" spans="2:57" s="54" customFormat="1" ht="15" hidden="1">
      <c r="B57" s="453"/>
      <c r="C57" s="430"/>
      <c r="D57" s="431"/>
      <c r="E57" s="432"/>
      <c r="F57" s="433"/>
      <c r="G57" s="434"/>
      <c r="H57" s="435"/>
      <c r="I57" s="450"/>
      <c r="J57" s="451"/>
      <c r="K57" s="436"/>
      <c r="L57" s="452"/>
      <c r="M57" s="421"/>
      <c r="N57" s="13"/>
      <c r="O57" s="13"/>
      <c r="P57" s="50"/>
      <c r="R57" s="275"/>
      <c r="S57" s="275"/>
      <c r="T57" s="275"/>
      <c r="U57" s="275"/>
      <c r="V57" s="275"/>
      <c r="W57" s="275"/>
      <c r="X57" s="275"/>
      <c r="Y57" s="275"/>
      <c r="Z57" s="275"/>
      <c r="AA57" s="275"/>
      <c r="AB57" s="57"/>
      <c r="AC57" s="57"/>
      <c r="AD57" s="57"/>
      <c r="AE57" s="57"/>
      <c r="AF57" s="57"/>
      <c r="AG57" s="57"/>
      <c r="AH57" s="57"/>
      <c r="AI57" s="57"/>
      <c r="AJ57" s="57"/>
      <c r="AK57" s="57"/>
      <c r="AL57" s="57"/>
      <c r="AM57" s="57"/>
      <c r="AN57" s="57"/>
      <c r="AO57" s="57"/>
      <c r="AP57" s="57"/>
      <c r="AQ57" s="57"/>
      <c r="AR57" s="57"/>
      <c r="AS57" s="57"/>
      <c r="AT57" s="57"/>
      <c r="AU57" s="57"/>
      <c r="AV57" s="57"/>
      <c r="AW57" s="57"/>
      <c r="AX57" s="277"/>
      <c r="AY57" s="277"/>
      <c r="AZ57" s="277"/>
      <c r="BA57" s="277"/>
      <c r="BB57" s="277"/>
      <c r="BC57" s="277"/>
      <c r="BD57" s="277"/>
      <c r="BE57" s="277"/>
    </row>
    <row r="58" spans="2:57" s="54" customFormat="1" ht="37.15" hidden="1" customHeight="1" thickBot="1">
      <c r="B58" s="481"/>
      <c r="C58" s="479"/>
      <c r="D58" s="442"/>
      <c r="E58" s="443"/>
      <c r="F58" s="444"/>
      <c r="G58" s="445"/>
      <c r="H58" s="446"/>
      <c r="I58" s="447"/>
      <c r="J58" s="448"/>
      <c r="K58" s="449"/>
      <c r="L58" s="457"/>
      <c r="M58" s="455"/>
      <c r="N58" s="13"/>
      <c r="O58" s="13"/>
      <c r="P58" s="50"/>
      <c r="R58" s="275"/>
      <c r="S58" s="275"/>
      <c r="T58" s="275"/>
      <c r="U58" s="275"/>
      <c r="V58" s="275"/>
      <c r="W58" s="275"/>
      <c r="X58" s="275"/>
      <c r="Y58" s="275"/>
      <c r="Z58" s="275"/>
      <c r="AA58" s="275"/>
      <c r="AB58" s="57"/>
      <c r="AC58" s="57"/>
      <c r="AD58" s="57"/>
      <c r="AE58" s="57"/>
      <c r="AF58" s="57"/>
      <c r="AG58" s="57"/>
      <c r="AH58" s="57"/>
      <c r="AI58" s="57"/>
      <c r="AJ58" s="57"/>
      <c r="AK58" s="57"/>
      <c r="AL58" s="57"/>
      <c r="AM58" s="57"/>
      <c r="AN58" s="57"/>
      <c r="AO58" s="57"/>
      <c r="AP58" s="57"/>
      <c r="AQ58" s="57"/>
      <c r="AR58" s="57"/>
      <c r="AS58" s="57"/>
      <c r="AT58" s="57"/>
      <c r="AU58" s="57"/>
      <c r="AV58" s="57"/>
      <c r="AW58" s="57"/>
      <c r="AX58" s="277"/>
      <c r="AY58" s="277"/>
      <c r="AZ58" s="277"/>
      <c r="BA58" s="277"/>
      <c r="BB58" s="277"/>
      <c r="BC58" s="277"/>
      <c r="BD58" s="277"/>
      <c r="BE58" s="277"/>
    </row>
    <row r="59" spans="2:57" s="54" customFormat="1" ht="16.5" hidden="1" customHeight="1" thickBot="1">
      <c r="B59" s="437"/>
      <c r="C59" s="423"/>
      <c r="D59" s="424"/>
      <c r="E59" s="425"/>
      <c r="F59" s="426"/>
      <c r="G59" s="427"/>
      <c r="H59" s="428"/>
      <c r="I59" s="438"/>
      <c r="J59" s="439"/>
      <c r="K59" s="429"/>
      <c r="L59" s="440"/>
      <c r="M59" s="422"/>
      <c r="N59" s="13"/>
      <c r="O59" s="13"/>
      <c r="P59" s="50"/>
      <c r="R59" s="275"/>
      <c r="S59" s="275"/>
      <c r="T59" s="275"/>
      <c r="U59" s="275"/>
      <c r="V59" s="275"/>
      <c r="W59" s="275"/>
      <c r="X59" s="275"/>
      <c r="Y59" s="275"/>
      <c r="Z59" s="275"/>
      <c r="AA59" s="275"/>
      <c r="AB59" s="415"/>
      <c r="AC59" s="415"/>
      <c r="AD59" s="415"/>
      <c r="AE59" s="415"/>
      <c r="AF59" s="415"/>
      <c r="AG59" s="415"/>
      <c r="AH59" s="415"/>
      <c r="AI59" s="415"/>
      <c r="AJ59" s="415"/>
      <c r="AK59" s="415"/>
      <c r="AL59" s="415"/>
      <c r="AM59" s="415"/>
      <c r="AN59" s="415"/>
      <c r="AO59" s="415"/>
      <c r="AP59" s="415"/>
      <c r="AQ59" s="415"/>
      <c r="AR59" s="415"/>
      <c r="AS59" s="415"/>
      <c r="AT59" s="415"/>
      <c r="AU59" s="415"/>
      <c r="AV59" s="415"/>
      <c r="AW59" s="415"/>
    </row>
    <row r="60" spans="2:57" s="54" customFormat="1" ht="37.15" hidden="1" customHeight="1" thickBot="1">
      <c r="B60" s="456"/>
      <c r="C60" s="441"/>
      <c r="D60" s="442"/>
      <c r="E60" s="443"/>
      <c r="F60" s="444"/>
      <c r="G60" s="445"/>
      <c r="H60" s="446"/>
      <c r="I60" s="447"/>
      <c r="J60" s="448"/>
      <c r="K60" s="449"/>
      <c r="L60" s="457"/>
      <c r="M60" s="454"/>
      <c r="N60" s="13"/>
      <c r="O60" s="13"/>
      <c r="P60" s="50"/>
      <c r="R60" s="275"/>
      <c r="S60" s="275"/>
      <c r="T60" s="275"/>
      <c r="U60" s="275"/>
      <c r="V60" s="275"/>
      <c r="W60" s="275"/>
      <c r="X60" s="275"/>
      <c r="Y60" s="275"/>
      <c r="Z60" s="275"/>
      <c r="AA60" s="275"/>
      <c r="AB60" s="57"/>
      <c r="AC60" s="57"/>
      <c r="AD60" s="57"/>
      <c r="AE60" s="57"/>
      <c r="AF60" s="57"/>
      <c r="AG60" s="57"/>
      <c r="AH60" s="57"/>
      <c r="AI60" s="57"/>
      <c r="AJ60" s="57"/>
      <c r="AK60" s="57"/>
      <c r="AL60" s="57"/>
      <c r="AM60" s="57"/>
      <c r="AN60" s="57"/>
      <c r="AO60" s="57"/>
      <c r="AP60" s="57"/>
      <c r="AQ60" s="57"/>
      <c r="AR60" s="57"/>
      <c r="AS60" s="57"/>
      <c r="AT60" s="57"/>
      <c r="AU60" s="57"/>
      <c r="AV60" s="57"/>
      <c r="AW60" s="57"/>
      <c r="AX60" s="277"/>
      <c r="AY60" s="277"/>
      <c r="AZ60" s="277"/>
      <c r="BA60" s="277"/>
      <c r="BB60" s="277"/>
      <c r="BC60" s="277"/>
      <c r="BD60" s="277"/>
      <c r="BE60" s="277"/>
    </row>
    <row r="61" spans="2:57" s="54" customFormat="1" ht="37.15" customHeight="1">
      <c r="B61" s="466"/>
      <c r="C61" s="430"/>
      <c r="D61" s="460"/>
      <c r="E61" s="461"/>
      <c r="F61" s="462"/>
      <c r="G61" s="460"/>
      <c r="H61" s="463"/>
      <c r="I61" s="463"/>
      <c r="J61" s="463"/>
      <c r="K61" s="464"/>
      <c r="L61" s="465"/>
      <c r="M61" s="50"/>
      <c r="N61" s="13"/>
      <c r="O61" s="13"/>
      <c r="P61" s="50"/>
      <c r="R61" s="275"/>
      <c r="S61" s="275"/>
      <c r="T61" s="275"/>
      <c r="U61" s="275"/>
      <c r="V61" s="275"/>
      <c r="W61" s="275"/>
      <c r="X61" s="275"/>
      <c r="Y61" s="275"/>
      <c r="Z61" s="275"/>
      <c r="AA61" s="275"/>
      <c r="AB61" s="57"/>
      <c r="AC61" s="57"/>
      <c r="AD61" s="57"/>
      <c r="AE61" s="57"/>
      <c r="AF61" s="57"/>
      <c r="AG61" s="57"/>
      <c r="AH61" s="57"/>
      <c r="AI61" s="57"/>
      <c r="AJ61" s="57"/>
      <c r="AK61" s="57"/>
      <c r="AL61" s="57"/>
      <c r="AM61" s="57"/>
      <c r="AN61" s="57"/>
      <c r="AO61" s="57"/>
      <c r="AP61" s="57"/>
      <c r="AQ61" s="57"/>
      <c r="AR61" s="57"/>
      <c r="AS61" s="57"/>
      <c r="AT61" s="57"/>
      <c r="AU61" s="57"/>
      <c r="AV61" s="57"/>
      <c r="AW61" s="57"/>
      <c r="AX61" s="277"/>
      <c r="AY61" s="277"/>
      <c r="AZ61" s="277"/>
      <c r="BA61" s="277"/>
      <c r="BB61" s="277"/>
      <c r="BC61" s="277"/>
      <c r="BD61" s="277"/>
      <c r="BE61" s="277"/>
    </row>
    <row r="62" spans="2:57" ht="18" customHeight="1" thickBot="1">
      <c r="B62" s="59"/>
      <c r="C62" s="309"/>
      <c r="D62" s="59"/>
      <c r="E62" s="59"/>
      <c r="F62" s="59"/>
      <c r="G62" s="59"/>
      <c r="H62" s="59"/>
      <c r="I62" s="59"/>
      <c r="J62" s="59"/>
      <c r="K62" s="59"/>
      <c r="L62" s="59"/>
      <c r="M62" s="59"/>
      <c r="N62" s="59" t="s">
        <v>41</v>
      </c>
      <c r="O62" s="56"/>
      <c r="P62" s="60"/>
    </row>
    <row r="63" spans="2:57" ht="15.75" thickBot="1">
      <c r="B63" s="499" t="s">
        <v>55</v>
      </c>
      <c r="C63" s="500"/>
      <c r="D63" s="500"/>
      <c r="E63" s="500"/>
      <c r="F63" s="501"/>
      <c r="G63" s="499" t="s">
        <v>56</v>
      </c>
      <c r="H63" s="500"/>
      <c r="I63" s="500"/>
      <c r="J63" s="501"/>
      <c r="K63" s="499" t="s">
        <v>51</v>
      </c>
      <c r="L63" s="500"/>
      <c r="M63" s="500"/>
      <c r="N63" s="502"/>
      <c r="O63" s="56"/>
      <c r="P63" s="50"/>
    </row>
    <row r="64" spans="2:57" ht="15">
      <c r="B64" s="61" t="s">
        <v>17</v>
      </c>
      <c r="C64" s="62" t="s">
        <v>36</v>
      </c>
      <c r="D64" s="62" t="s">
        <v>37</v>
      </c>
      <c r="E64" s="62" t="s">
        <v>38</v>
      </c>
      <c r="F64" s="63" t="s">
        <v>39</v>
      </c>
      <c r="G64" s="62" t="s">
        <v>36</v>
      </c>
      <c r="H64" s="62" t="s">
        <v>37</v>
      </c>
      <c r="I64" s="62" t="s">
        <v>38</v>
      </c>
      <c r="J64" s="63" t="s">
        <v>39</v>
      </c>
      <c r="K64" s="62"/>
      <c r="L64" s="62" t="s">
        <v>37</v>
      </c>
      <c r="M64" s="62" t="s">
        <v>38</v>
      </c>
      <c r="N64" s="63" t="s">
        <v>39</v>
      </c>
      <c r="O64" s="56"/>
      <c r="P64" s="64"/>
    </row>
    <row r="65" spans="2:16" ht="15">
      <c r="B65" s="29" t="s">
        <v>6</v>
      </c>
      <c r="C65" s="65">
        <f>L52</f>
        <v>7.6423576423576192</v>
      </c>
      <c r="D65" s="76">
        <v>7.4556506636893838</v>
      </c>
      <c r="E65" s="76">
        <v>6.5474778039534414</v>
      </c>
      <c r="F65" s="66">
        <v>4.8</v>
      </c>
      <c r="G65" s="65"/>
      <c r="H65" s="477">
        <v>6.7445156519595884</v>
      </c>
      <c r="I65" s="477">
        <v>6.6531065401354397</v>
      </c>
      <c r="J65" s="66">
        <v>4.8</v>
      </c>
      <c r="K65" s="67"/>
      <c r="L65" s="194">
        <v>0.33</v>
      </c>
      <c r="M65" s="194">
        <v>0.5236163256450509</v>
      </c>
      <c r="N65" s="68">
        <v>1</v>
      </c>
      <c r="O65" s="56"/>
      <c r="P65" s="69"/>
    </row>
    <row r="66" spans="2:16" ht="15">
      <c r="B66" s="33" t="s">
        <v>9</v>
      </c>
      <c r="C66" s="65"/>
      <c r="D66" s="76"/>
      <c r="E66" s="76">
        <v>5.7899437818525694</v>
      </c>
      <c r="F66" s="66">
        <v>4.8</v>
      </c>
      <c r="G66" s="65"/>
      <c r="H66" s="76"/>
      <c r="I66" s="76">
        <v>5.9483336713979043</v>
      </c>
      <c r="J66" s="66">
        <v>4.8</v>
      </c>
      <c r="K66" s="67"/>
      <c r="L66" s="194"/>
      <c r="M66" s="194">
        <v>0.69969789623338174</v>
      </c>
      <c r="N66" s="68">
        <v>1</v>
      </c>
      <c r="P66" s="69"/>
    </row>
    <row r="67" spans="2:16" ht="15">
      <c r="B67" s="34" t="s">
        <v>40</v>
      </c>
      <c r="C67" s="65"/>
      <c r="D67" s="76"/>
      <c r="E67" s="76">
        <v>11.277593164016125</v>
      </c>
      <c r="F67" s="66">
        <v>5.5</v>
      </c>
      <c r="G67" s="65"/>
      <c r="H67" s="76"/>
      <c r="I67" s="76">
        <v>11.857907912244482</v>
      </c>
      <c r="J67" s="66">
        <v>5.5</v>
      </c>
      <c r="K67" s="67"/>
      <c r="L67" s="194"/>
      <c r="M67" s="194">
        <v>0.35370190356844494</v>
      </c>
      <c r="N67" s="68">
        <v>1</v>
      </c>
      <c r="P67" s="69"/>
    </row>
    <row r="68" spans="2:16" ht="15">
      <c r="B68" s="22" t="s">
        <v>33</v>
      </c>
      <c r="C68" s="65"/>
      <c r="D68" s="76"/>
      <c r="E68" s="76">
        <v>4.8685538193023836</v>
      </c>
      <c r="F68" s="66">
        <v>3.3</v>
      </c>
      <c r="G68" s="65"/>
      <c r="H68" s="76"/>
      <c r="I68" s="76">
        <v>4.8702525342252114</v>
      </c>
      <c r="J68" s="66">
        <v>3.3</v>
      </c>
      <c r="K68" s="67"/>
      <c r="L68" s="194"/>
      <c r="M68" s="194">
        <v>0.77919298245614044</v>
      </c>
      <c r="N68" s="68">
        <v>1</v>
      </c>
      <c r="P68" s="69"/>
    </row>
    <row r="69" spans="2:16" ht="15">
      <c r="B69" s="35" t="s">
        <v>164</v>
      </c>
      <c r="C69" s="65"/>
      <c r="D69" s="76"/>
      <c r="E69" s="76"/>
      <c r="F69" s="66">
        <v>3.3</v>
      </c>
      <c r="G69" s="282"/>
      <c r="H69" s="76"/>
      <c r="I69" s="76"/>
      <c r="J69" s="66">
        <v>3</v>
      </c>
      <c r="K69" s="67"/>
      <c r="L69" s="194"/>
      <c r="M69" s="194"/>
      <c r="N69" s="68">
        <v>1</v>
      </c>
      <c r="P69" s="69"/>
    </row>
    <row r="70" spans="2:16" ht="15">
      <c r="B70" s="36" t="s">
        <v>15</v>
      </c>
      <c r="C70" s="65"/>
      <c r="D70" s="76"/>
      <c r="E70" s="76">
        <v>6.0400197628458603</v>
      </c>
      <c r="F70" s="70">
        <v>5.5</v>
      </c>
      <c r="G70" s="65"/>
      <c r="H70" s="76"/>
      <c r="I70" s="76">
        <v>8.2405787675951316</v>
      </c>
      <c r="J70" s="66">
        <v>5.5</v>
      </c>
      <c r="K70" s="67"/>
      <c r="L70" s="194"/>
      <c r="M70" s="194">
        <v>0.78491228070175445</v>
      </c>
      <c r="N70" s="68">
        <v>1</v>
      </c>
      <c r="P70" s="69"/>
    </row>
    <row r="71" spans="2:16" ht="15">
      <c r="B71" s="37" t="s">
        <v>16</v>
      </c>
      <c r="C71" s="482"/>
      <c r="D71" s="76"/>
      <c r="E71" s="76">
        <v>3.6168923014750334</v>
      </c>
      <c r="F71" s="66">
        <v>3.3</v>
      </c>
      <c r="G71" s="282"/>
      <c r="H71" s="76"/>
      <c r="I71" s="76">
        <v>5.0091179718082053</v>
      </c>
      <c r="J71" s="66">
        <v>3.3</v>
      </c>
      <c r="K71" s="67"/>
      <c r="L71" s="194"/>
      <c r="M71" s="194">
        <v>0.92642300194931759</v>
      </c>
      <c r="N71" s="71">
        <v>1</v>
      </c>
      <c r="P71" s="69"/>
    </row>
    <row r="72" spans="2:16" ht="15.75" thickBot="1">
      <c r="B72" s="38" t="s">
        <v>163</v>
      </c>
      <c r="C72" s="65"/>
      <c r="D72" s="76"/>
      <c r="E72" s="76"/>
      <c r="F72" s="66">
        <v>7.5</v>
      </c>
      <c r="G72" s="282"/>
      <c r="H72" s="76"/>
      <c r="I72" s="76"/>
      <c r="J72" s="66">
        <v>7.5</v>
      </c>
      <c r="K72" s="67"/>
      <c r="L72" s="194"/>
      <c r="M72" s="194"/>
      <c r="N72" s="71">
        <v>1</v>
      </c>
      <c r="P72" s="69"/>
    </row>
    <row r="73" spans="2:16" ht="15.75" thickBot="1">
      <c r="B73" s="414" t="s">
        <v>161</v>
      </c>
      <c r="C73" s="65"/>
      <c r="D73" s="76"/>
      <c r="E73" s="76"/>
      <c r="F73" s="66">
        <v>4.8</v>
      </c>
      <c r="G73" s="282"/>
      <c r="H73" s="76"/>
      <c r="I73" s="76"/>
      <c r="J73" s="66">
        <v>4.8</v>
      </c>
      <c r="K73" s="67"/>
      <c r="L73" s="194">
        <v>0</v>
      </c>
      <c r="M73" s="194"/>
      <c r="N73" s="71">
        <v>1</v>
      </c>
      <c r="O73" s="74"/>
      <c r="P73" s="75"/>
    </row>
    <row r="74" spans="2:16" ht="15">
      <c r="D74" s="76">
        <v>7.4556506636893838</v>
      </c>
      <c r="E74" s="76">
        <v>6.3422010033370562</v>
      </c>
      <c r="F74" s="341">
        <v>5.5</v>
      </c>
      <c r="H74" s="76">
        <v>6.7445156519595884</v>
      </c>
      <c r="I74" s="76">
        <v>6.6937814591291902</v>
      </c>
      <c r="J74" s="341">
        <v>5.5</v>
      </c>
      <c r="L74" s="194">
        <v>0.33</v>
      </c>
      <c r="M74" s="194">
        <v>0.59677828832179292</v>
      </c>
      <c r="N74" s="386">
        <v>1</v>
      </c>
    </row>
  </sheetData>
  <mergeCells count="51">
    <mergeCell ref="M4:N4"/>
    <mergeCell ref="S1:T1"/>
    <mergeCell ref="U1:V1"/>
    <mergeCell ref="W1:X1"/>
    <mergeCell ref="Y1:Z1"/>
    <mergeCell ref="B2:O2"/>
    <mergeCell ref="P8:P9"/>
    <mergeCell ref="C5:D5"/>
    <mergeCell ref="B8:B9"/>
    <mergeCell ref="C8:C9"/>
    <mergeCell ref="D8:D9"/>
    <mergeCell ref="G8:G9"/>
    <mergeCell ref="H8:H9"/>
    <mergeCell ref="I8:I9"/>
    <mergeCell ref="J8:J9"/>
    <mergeCell ref="K8:K9"/>
    <mergeCell ref="L8:L9"/>
    <mergeCell ref="O8:O9"/>
    <mergeCell ref="I21:N21"/>
    <mergeCell ref="D22:E22"/>
    <mergeCell ref="B23:B34"/>
    <mergeCell ref="D23:E24"/>
    <mergeCell ref="D25:E26"/>
    <mergeCell ref="D27:E28"/>
    <mergeCell ref="D29:E30"/>
    <mergeCell ref="D31:E32"/>
    <mergeCell ref="D33:E34"/>
    <mergeCell ref="B35:B44"/>
    <mergeCell ref="D35:E36"/>
    <mergeCell ref="J35:K35"/>
    <mergeCell ref="L36:N36"/>
    <mergeCell ref="D37:E38"/>
    <mergeCell ref="D39:E40"/>
    <mergeCell ref="D41:E42"/>
    <mergeCell ref="D43:E44"/>
    <mergeCell ref="D45:E45"/>
    <mergeCell ref="B50:B51"/>
    <mergeCell ref="C50:C51"/>
    <mergeCell ref="D50:D51"/>
    <mergeCell ref="E50:E51"/>
    <mergeCell ref="M50:M51"/>
    <mergeCell ref="B63:F63"/>
    <mergeCell ref="G63:J63"/>
    <mergeCell ref="K63:N63"/>
    <mergeCell ref="G50:G51"/>
    <mergeCell ref="H50:H51"/>
    <mergeCell ref="I50:I51"/>
    <mergeCell ref="J50:J51"/>
    <mergeCell ref="K50:K51"/>
    <mergeCell ref="L50:L51"/>
    <mergeCell ref="F50:F51"/>
  </mergeCells>
  <conditionalFormatting sqref="B45:B46">
    <cfRule type="cellIs" dxfId="3834" priority="101" operator="notBetween">
      <formula>#REF!</formula>
      <formula>#REF!</formula>
    </cfRule>
  </conditionalFormatting>
  <conditionalFormatting sqref="C49">
    <cfRule type="cellIs" dxfId="3833" priority="184" stopIfTrue="1" operator="greaterThan">
      <formula>100</formula>
    </cfRule>
    <cfRule type="cellIs" dxfId="3832" priority="183" stopIfTrue="1" operator="lessThan">
      <formula>96</formula>
    </cfRule>
  </conditionalFormatting>
  <conditionalFormatting sqref="C65:C66">
    <cfRule type="cellIs" dxfId="3831" priority="67" stopIfTrue="1" operator="lessThanOrEqual">
      <formula>0</formula>
    </cfRule>
    <cfRule type="cellIs" dxfId="3830" priority="64" stopIfTrue="1" operator="greaterThan">
      <formula>$F65</formula>
    </cfRule>
    <cfRule type="cellIs" dxfId="3829" priority="65" stopIfTrue="1" operator="lessThanOrEqual">
      <formula>0</formula>
    </cfRule>
    <cfRule type="cellIs" dxfId="3828" priority="66" stopIfTrue="1" operator="greaterThan">
      <formula>$F65</formula>
    </cfRule>
  </conditionalFormatting>
  <conditionalFormatting sqref="C67:C69 C71:C73">
    <cfRule type="cellIs" dxfId="3827" priority="73" stopIfTrue="1" operator="greaterThan">
      <formula>$F70</formula>
    </cfRule>
  </conditionalFormatting>
  <conditionalFormatting sqref="C67:C69">
    <cfRule type="cellIs" dxfId="3826" priority="74" stopIfTrue="1" operator="lessThanOrEqual">
      <formula>0</formula>
    </cfRule>
  </conditionalFormatting>
  <conditionalFormatting sqref="C70">
    <cfRule type="cellIs" dxfId="3825" priority="187" stopIfTrue="1" operator="greaterThan">
      <formula>$F65</formula>
    </cfRule>
    <cfRule type="cellIs" dxfId="3824" priority="186" stopIfTrue="1" operator="lessThanOrEqual">
      <formula>0</formula>
    </cfRule>
    <cfRule type="cellIs" dxfId="3823" priority="185" stopIfTrue="1" operator="greaterThan">
      <formula>$F65</formula>
    </cfRule>
    <cfRule type="cellIs" dxfId="3822" priority="188" stopIfTrue="1" operator="lessThanOrEqual">
      <formula>0</formula>
    </cfRule>
  </conditionalFormatting>
  <conditionalFormatting sqref="C71:C73">
    <cfRule type="cellIs" dxfId="3821" priority="75" stopIfTrue="1" operator="lessThanOrEqual">
      <formula>0</formula>
    </cfRule>
  </conditionalFormatting>
  <conditionalFormatting sqref="C76:C80">
    <cfRule type="cellIs" dxfId="3820" priority="175" stopIfTrue="1" operator="lessThanOrEqual">
      <formula>0</formula>
    </cfRule>
  </conditionalFormatting>
  <conditionalFormatting sqref="C77:C80">
    <cfRule type="cellIs" dxfId="3819" priority="174" stopIfTrue="1" operator="greaterThan">
      <formula>$F$76</formula>
    </cfRule>
  </conditionalFormatting>
  <conditionalFormatting sqref="C82">
    <cfRule type="cellIs" dxfId="3818" priority="177" stopIfTrue="1" operator="lessThanOrEqual">
      <formula>0</formula>
    </cfRule>
    <cfRule type="cellIs" dxfId="3817" priority="176" stopIfTrue="1" operator="greaterThan">
      <formula>$F$76</formula>
    </cfRule>
  </conditionalFormatting>
  <conditionalFormatting sqref="C70:D70">
    <cfRule type="cellIs" dxfId="3816" priority="62" stopIfTrue="1" operator="greaterThan">
      <formula>$J70</formula>
    </cfRule>
    <cfRule type="cellIs" dxfId="3815" priority="63" stopIfTrue="1" operator="lessThanOrEqual">
      <formula>0</formula>
    </cfRule>
  </conditionalFormatting>
  <conditionalFormatting sqref="C76:D76 D78:D84">
    <cfRule type="cellIs" dxfId="3814" priority="169" stopIfTrue="1" operator="greaterThan">
      <formula>4.5</formula>
    </cfRule>
  </conditionalFormatting>
  <conditionalFormatting sqref="D45:D46">
    <cfRule type="cellIs" dxfId="3813" priority="102" operator="notBetween">
      <formula>#REF!</formula>
      <formula>#REF!</formula>
    </cfRule>
  </conditionalFormatting>
  <conditionalFormatting sqref="D65:D69 D71:D72">
    <cfRule type="cellIs" dxfId="3812" priority="72" stopIfTrue="1" operator="lessThanOrEqual">
      <formula>0</formula>
    </cfRule>
  </conditionalFormatting>
  <conditionalFormatting sqref="D65:D69 D71:D74">
    <cfRule type="cellIs" dxfId="3811" priority="68" stopIfTrue="1" operator="lessThanOrEqual">
      <formula>0</formula>
    </cfRule>
    <cfRule type="cellIs" dxfId="3810" priority="69" stopIfTrue="1" operator="greaterThan">
      <formula>$F65</formula>
    </cfRule>
  </conditionalFormatting>
  <conditionalFormatting sqref="D73:D74">
    <cfRule type="cellIs" dxfId="3809" priority="70" stopIfTrue="1" operator="lessThanOrEqual">
      <formula>0</formula>
    </cfRule>
  </conditionalFormatting>
  <conditionalFormatting sqref="D74">
    <cfRule type="cellIs" dxfId="3808" priority="71" stopIfTrue="1" operator="lessThanOrEqual">
      <formula>0</formula>
    </cfRule>
  </conditionalFormatting>
  <conditionalFormatting sqref="D76 D78:D84">
    <cfRule type="cellIs" dxfId="3807" priority="170" stopIfTrue="1" operator="lessThanOrEqual">
      <formula>0</formula>
    </cfRule>
  </conditionalFormatting>
  <conditionalFormatting sqref="D77">
    <cfRule type="cellIs" dxfId="3806" priority="162" stopIfTrue="1" operator="lessThanOrEqual">
      <formula>0</formula>
    </cfRule>
    <cfRule type="cellIs" dxfId="3805" priority="161" stopIfTrue="1" operator="greaterThan">
      <formula>$F$76</formula>
    </cfRule>
  </conditionalFormatting>
  <conditionalFormatting sqref="E10:E20">
    <cfRule type="cellIs" dxfId="3804" priority="9" operator="lessThan">
      <formula>48</formula>
    </cfRule>
  </conditionalFormatting>
  <conditionalFormatting sqref="E48 E49:F49">
    <cfRule type="cellIs" dxfId="3803" priority="166" stopIfTrue="1" operator="greaterThan">
      <formula>100</formula>
    </cfRule>
  </conditionalFormatting>
  <conditionalFormatting sqref="E49">
    <cfRule type="cellIs" dxfId="3802" priority="164" stopIfTrue="1" operator="greaterThan">
      <formula>100</formula>
    </cfRule>
    <cfRule type="cellIs" dxfId="3801" priority="163" stopIfTrue="1" operator="lessThan">
      <formula>96.8</formula>
    </cfRule>
  </conditionalFormatting>
  <conditionalFormatting sqref="E65:E73">
    <cfRule type="cellIs" dxfId="3800" priority="35" stopIfTrue="1" operator="lessThanOrEqual">
      <formula>0</formula>
    </cfRule>
  </conditionalFormatting>
  <conditionalFormatting sqref="E65:E74">
    <cfRule type="cellIs" dxfId="3799" priority="36" stopIfTrue="1" operator="greaterThan">
      <formula>$F65</formula>
    </cfRule>
    <cfRule type="cellIs" dxfId="3798" priority="37" stopIfTrue="1" operator="lessThanOrEqual">
      <formula>0</formula>
    </cfRule>
  </conditionalFormatting>
  <conditionalFormatting sqref="E74">
    <cfRule type="cellIs" dxfId="3797" priority="38" stopIfTrue="1" operator="lessThanOrEqual">
      <formula>0</formula>
    </cfRule>
  </conditionalFormatting>
  <conditionalFormatting sqref="E76:E84">
    <cfRule type="cellIs" dxfId="3796" priority="155" stopIfTrue="1" operator="greaterThan">
      <formula>4.5</formula>
    </cfRule>
    <cfRule type="cellIs" dxfId="3795" priority="156" stopIfTrue="1" operator="lessThanOrEqual">
      <formula>0</formula>
    </cfRule>
  </conditionalFormatting>
  <conditionalFormatting sqref="E49:F49 E48">
    <cfRule type="cellIs" dxfId="3794" priority="165" stopIfTrue="1" operator="lessThan">
      <formula>96.5</formula>
    </cfRule>
  </conditionalFormatting>
  <conditionalFormatting sqref="F10:F20">
    <cfRule type="cellIs" dxfId="3793" priority="12" operator="greaterThan">
      <formula>60</formula>
    </cfRule>
  </conditionalFormatting>
  <conditionalFormatting sqref="F49">
    <cfRule type="cellIs" dxfId="3792" priority="182" stopIfTrue="1" operator="greaterThan">
      <formula>100</formula>
    </cfRule>
    <cfRule type="cellIs" dxfId="3791" priority="181" stopIfTrue="1" operator="lessThan">
      <formula>96.8</formula>
    </cfRule>
  </conditionalFormatting>
  <conditionalFormatting sqref="G19">
    <cfRule type="expression" dxfId="3790" priority="10">
      <formula>IF(+(IF(G19&lt;S19,0,IF(G19&gt;T19,0,1)))=0,1)</formula>
    </cfRule>
  </conditionalFormatting>
  <conditionalFormatting sqref="G65:G68 F74">
    <cfRule type="cellIs" dxfId="3789" priority="44" stopIfTrue="1" operator="greaterThan">
      <formula>$F65</formula>
    </cfRule>
    <cfRule type="cellIs" dxfId="3788" priority="45" stopIfTrue="1" operator="lessThanOrEqual">
      <formula>0</formula>
    </cfRule>
  </conditionalFormatting>
  <conditionalFormatting sqref="G67:G68">
    <cfRule type="cellIs" dxfId="3787" priority="31" stopIfTrue="1" operator="lessThanOrEqual">
      <formula>0</formula>
    </cfRule>
    <cfRule type="cellIs" dxfId="3786" priority="30" stopIfTrue="1" operator="greaterThan">
      <formula>$F67</formula>
    </cfRule>
  </conditionalFormatting>
  <conditionalFormatting sqref="G69:G73">
    <cfRule type="cellIs" dxfId="3785" priority="46" stopIfTrue="1" operator="greaterThan">
      <formula>$J69</formula>
    </cfRule>
    <cfRule type="cellIs" dxfId="3784" priority="47" stopIfTrue="1" operator="lessThanOrEqual">
      <formula>0</formula>
    </cfRule>
  </conditionalFormatting>
  <conditionalFormatting sqref="G70">
    <cfRule type="cellIs" dxfId="3783" priority="190" stopIfTrue="1" operator="lessThanOrEqual">
      <formula>0</formula>
    </cfRule>
    <cfRule type="cellIs" dxfId="3782" priority="189" stopIfTrue="1" operator="greaterThan">
      <formula>$F65</formula>
    </cfRule>
  </conditionalFormatting>
  <conditionalFormatting sqref="G78:G83 C81 C83">
    <cfRule type="cellIs" dxfId="3781" priority="179" stopIfTrue="1" operator="lessThanOrEqual">
      <formula>0</formula>
    </cfRule>
    <cfRule type="cellIs" dxfId="3780" priority="178" stopIfTrue="1" operator="greaterThan">
      <formula>4.5</formula>
    </cfRule>
  </conditionalFormatting>
  <conditionalFormatting sqref="G10:H16 M10:N20 G17:G18 H17:H19 G20:H20">
    <cfRule type="expression" dxfId="3779" priority="11">
      <formula>IF(+(IF(G10&lt;#REF!,0,IF(G10&gt;#REF!,0,1)))=0,1)</formula>
    </cfRule>
  </conditionalFormatting>
  <conditionalFormatting sqref="G77:H77">
    <cfRule type="cellIs" dxfId="3778" priority="160" stopIfTrue="1" operator="lessThanOrEqual">
      <formula>0</formula>
    </cfRule>
    <cfRule type="cellIs" dxfId="3777" priority="159" stopIfTrue="1" operator="greaterThan">
      <formula>$F$76</formula>
    </cfRule>
  </conditionalFormatting>
  <conditionalFormatting sqref="H34:H35 H48">
    <cfRule type="cellIs" dxfId="3776" priority="157" stopIfTrue="1" operator="greaterThan">
      <formula>0</formula>
    </cfRule>
  </conditionalFormatting>
  <conditionalFormatting sqref="H52">
    <cfRule type="cellIs" dxfId="3775" priority="50" stopIfTrue="1" operator="greaterThan">
      <formula>$F$65</formula>
    </cfRule>
    <cfRule type="cellIs" dxfId="3774" priority="58" stopIfTrue="1" operator="greaterThan">
      <formula>$F$68</formula>
    </cfRule>
    <cfRule type="cellIs" dxfId="3773" priority="59" stopIfTrue="1" operator="lessThanOrEqual">
      <formula>0</formula>
    </cfRule>
    <cfRule type="cellIs" dxfId="3772" priority="60" stopIfTrue="1" operator="greaterThan">
      <formula>$F$66</formula>
    </cfRule>
    <cfRule type="cellIs" dxfId="3771" priority="49" stopIfTrue="1" operator="lessThanOrEqual">
      <formula>0</formula>
    </cfRule>
  </conditionalFormatting>
  <conditionalFormatting sqref="H52:H53">
    <cfRule type="cellIs" dxfId="3770" priority="61" stopIfTrue="1" operator="lessThanOrEqual">
      <formula>0</formula>
    </cfRule>
  </conditionalFormatting>
  <conditionalFormatting sqref="H53 H55:H56">
    <cfRule type="cellIs" dxfId="3769" priority="87" stopIfTrue="1" operator="lessThanOrEqual">
      <formula>0</formula>
    </cfRule>
  </conditionalFormatting>
  <conditionalFormatting sqref="H53">
    <cfRule type="cellIs" dxfId="3768" priority="76" stopIfTrue="1" operator="greaterThan">
      <formula>$F$65</formula>
    </cfRule>
    <cfRule type="cellIs" dxfId="3767" priority="84" stopIfTrue="1" operator="greaterThan">
      <formula>$F$68</formula>
    </cfRule>
    <cfRule type="cellIs" dxfId="3766" priority="85" stopIfTrue="1" operator="lessThanOrEqual">
      <formula>0</formula>
    </cfRule>
    <cfRule type="cellIs" dxfId="3765" priority="86" stopIfTrue="1" operator="greaterThan">
      <formula>$F$66</formula>
    </cfRule>
  </conditionalFormatting>
  <conditionalFormatting sqref="H54">
    <cfRule type="cellIs" dxfId="3764" priority="28" stopIfTrue="1" operator="lessThanOrEqual">
      <formula>0</formula>
    </cfRule>
    <cfRule type="cellIs" dxfId="3763" priority="17" stopIfTrue="1" operator="greaterThan">
      <formula>$F$67</formula>
    </cfRule>
    <cfRule type="cellIs" dxfId="3762" priority="16" stopIfTrue="1" operator="lessThanOrEqual">
      <formula>0</formula>
    </cfRule>
    <cfRule type="cellIs" dxfId="3761" priority="25" stopIfTrue="1" operator="greaterThan">
      <formula>$F$70</formula>
    </cfRule>
    <cfRule type="cellIs" dxfId="3760" priority="26" stopIfTrue="1" operator="lessThanOrEqual">
      <formula>0</formula>
    </cfRule>
    <cfRule type="cellIs" dxfId="3759" priority="27" stopIfTrue="1" operator="greaterThan">
      <formula>$F$68</formula>
    </cfRule>
  </conditionalFormatting>
  <conditionalFormatting sqref="H55:H56">
    <cfRule type="cellIs" dxfId="3758" priority="89" stopIfTrue="1" operator="greaterThan">
      <formula>$F$65</formula>
    </cfRule>
    <cfRule type="cellIs" dxfId="3757" priority="100" stopIfTrue="1" operator="lessThanOrEqual">
      <formula>0</formula>
    </cfRule>
    <cfRule type="cellIs" dxfId="3756" priority="99" stopIfTrue="1" operator="greaterThan">
      <formula>$F$66</formula>
    </cfRule>
    <cfRule type="cellIs" dxfId="3755" priority="97" stopIfTrue="1" operator="greaterThan">
      <formula>$F$68</formula>
    </cfRule>
    <cfRule type="cellIs" dxfId="3754" priority="98" stopIfTrue="1" operator="lessThanOrEqual">
      <formula>0</formula>
    </cfRule>
  </conditionalFormatting>
  <conditionalFormatting sqref="H57:H58">
    <cfRule type="cellIs" dxfId="3753" priority="133" stopIfTrue="1" operator="greaterThan">
      <formula>#REF!</formula>
    </cfRule>
    <cfRule type="cellIs" dxfId="3752" priority="134" stopIfTrue="1" operator="lessThanOrEqual">
      <formula>0</formula>
    </cfRule>
    <cfRule type="cellIs" dxfId="3751" priority="125" stopIfTrue="1" operator="greaterThan">
      <formula>#REF!</formula>
    </cfRule>
    <cfRule type="cellIs" dxfId="3750" priority="124" stopIfTrue="1" operator="lessThanOrEqual">
      <formula>0</formula>
    </cfRule>
  </conditionalFormatting>
  <conditionalFormatting sqref="H59">
    <cfRule type="cellIs" dxfId="3749" priority="148" stopIfTrue="1" operator="lessThanOrEqual">
      <formula>0</formula>
    </cfRule>
    <cfRule type="cellIs" dxfId="3748" priority="146" stopIfTrue="1" operator="lessThanOrEqual">
      <formula>0</formula>
    </cfRule>
    <cfRule type="cellIs" dxfId="3747" priority="136" stopIfTrue="1" operator="lessThanOrEqual">
      <formula>0</formula>
    </cfRule>
    <cfRule type="cellIs" dxfId="3746" priority="137" stopIfTrue="1" operator="greaterThan">
      <formula>$F$33</formula>
    </cfRule>
    <cfRule type="cellIs" dxfId="3745" priority="145" stopIfTrue="1" operator="greaterThan">
      <formula>$F$36</formula>
    </cfRule>
    <cfRule type="cellIs" dxfId="3744" priority="147" stopIfTrue="1" operator="greaterThan">
      <formula>$F$34</formula>
    </cfRule>
  </conditionalFormatting>
  <conditionalFormatting sqref="H60:H61">
    <cfRule type="cellIs" dxfId="3743" priority="112" stopIfTrue="1" operator="lessThanOrEqual">
      <formula>0</formula>
    </cfRule>
    <cfRule type="cellIs" dxfId="3742" priority="122" stopIfTrue="1" operator="lessThanOrEqual">
      <formula>0</formula>
    </cfRule>
    <cfRule type="cellIs" dxfId="3741" priority="113" stopIfTrue="1" operator="greaterThan">
      <formula>#REF!</formula>
    </cfRule>
    <cfRule type="cellIs" dxfId="3740" priority="121" stopIfTrue="1" operator="greaterThan">
      <formula>#REF!</formula>
    </cfRule>
  </conditionalFormatting>
  <conditionalFormatting sqref="H76 H78:H84">
    <cfRule type="cellIs" dxfId="3739" priority="171" stopIfTrue="1" operator="greaterThan">
      <formula>4.5</formula>
    </cfRule>
    <cfRule type="cellIs" dxfId="3738" priority="172" stopIfTrue="1" operator="lessThanOrEqual">
      <formula>0</formula>
    </cfRule>
  </conditionalFormatting>
  <conditionalFormatting sqref="H52:I52">
    <cfRule type="cellIs" dxfId="3737" priority="51" stopIfTrue="1" operator="lessThanOrEqual">
      <formula>0</formula>
    </cfRule>
  </conditionalFormatting>
  <conditionalFormatting sqref="H52:I53 H55:I56">
    <cfRule type="cellIs" dxfId="3736" priority="48" stopIfTrue="1" operator="greaterThan">
      <formula>$F$67</formula>
    </cfRule>
  </conditionalFormatting>
  <conditionalFormatting sqref="H53:I53">
    <cfRule type="cellIs" dxfId="3735" priority="77" stopIfTrue="1" operator="lessThanOrEqual">
      <formula>0</formula>
    </cfRule>
  </conditionalFormatting>
  <conditionalFormatting sqref="H54:I54">
    <cfRule type="cellIs" dxfId="3734" priority="18" stopIfTrue="1" operator="lessThanOrEqual">
      <formula>0</formula>
    </cfRule>
    <cfRule type="cellIs" dxfId="3733" priority="15" stopIfTrue="1" operator="greaterThan">
      <formula>$F$69</formula>
    </cfRule>
  </conditionalFormatting>
  <conditionalFormatting sqref="H55:I56">
    <cfRule type="cellIs" dxfId="3732" priority="90" stopIfTrue="1" operator="lessThanOrEqual">
      <formula>0</formula>
    </cfRule>
  </conditionalFormatting>
  <conditionalFormatting sqref="H57:I58">
    <cfRule type="cellIs" dxfId="3731" priority="123" stopIfTrue="1" operator="greaterThan">
      <formula>#REF!</formula>
    </cfRule>
    <cfRule type="cellIs" dxfId="3730" priority="126" stopIfTrue="1" operator="lessThanOrEqual">
      <formula>0</formula>
    </cfRule>
    <cfRule type="cellIs" dxfId="3729" priority="131" stopIfTrue="1" operator="greaterThan">
      <formula>#REF!</formula>
    </cfRule>
    <cfRule type="cellIs" dxfId="3728" priority="132" stopIfTrue="1" operator="lessThanOrEqual">
      <formula>0</formula>
    </cfRule>
  </conditionalFormatting>
  <conditionalFormatting sqref="H59:I59">
    <cfRule type="cellIs" dxfId="3727" priority="138" stopIfTrue="1" operator="lessThanOrEqual">
      <formula>0</formula>
    </cfRule>
    <cfRule type="cellIs" dxfId="3726" priority="135" stopIfTrue="1" operator="greaterThan">
      <formula>$F$35</formula>
    </cfRule>
  </conditionalFormatting>
  <conditionalFormatting sqref="H60:I61">
    <cfRule type="cellIs" dxfId="3725" priority="119" stopIfTrue="1" operator="greaterThan">
      <formula>#REF!</formula>
    </cfRule>
    <cfRule type="cellIs" dxfId="3724" priority="120" stopIfTrue="1" operator="lessThanOrEqual">
      <formula>0</formula>
    </cfRule>
    <cfRule type="cellIs" dxfId="3723" priority="114" stopIfTrue="1" operator="lessThanOrEqual">
      <formula>0</formula>
    </cfRule>
    <cfRule type="cellIs" dxfId="3722" priority="111" stopIfTrue="1" operator="greaterThan">
      <formula>#REF!</formula>
    </cfRule>
  </conditionalFormatting>
  <conditionalFormatting sqref="H65:I72">
    <cfRule type="cellIs" dxfId="3721" priority="33" stopIfTrue="1" operator="greaterThan">
      <formula>$J65</formula>
    </cfRule>
    <cfRule type="cellIs" dxfId="3720" priority="34" stopIfTrue="1" operator="lessThanOrEqual">
      <formula>0</formula>
    </cfRule>
  </conditionalFormatting>
  <conditionalFormatting sqref="H73:I73">
    <cfRule type="cellIs" dxfId="3719" priority="41" operator="greaterThan">
      <formula>5.3</formula>
    </cfRule>
  </conditionalFormatting>
  <conditionalFormatting sqref="H74:I74">
    <cfRule type="cellIs" dxfId="3718" priority="39" stopIfTrue="1" operator="greaterThan">
      <formula>$J74</formula>
    </cfRule>
    <cfRule type="cellIs" dxfId="3717" priority="40" stopIfTrue="1" operator="lessThanOrEqual">
      <formula>0</formula>
    </cfRule>
  </conditionalFormatting>
  <conditionalFormatting sqref="I52">
    <cfRule type="cellIs" dxfId="3716" priority="57" stopIfTrue="1" operator="lessThanOrEqual">
      <formula>0</formula>
    </cfRule>
    <cfRule type="cellIs" dxfId="3715" priority="56" stopIfTrue="1" operator="greaterThan">
      <formula>$F$65</formula>
    </cfRule>
    <cfRule type="cellIs" dxfId="3714" priority="55" stopIfTrue="1" operator="lessThanOrEqual">
      <formula>0</formula>
    </cfRule>
    <cfRule type="cellIs" dxfId="3713" priority="54" stopIfTrue="1" operator="greaterThan">
      <formula>$F$67</formula>
    </cfRule>
    <cfRule type="cellIs" dxfId="3712" priority="52" stopIfTrue="1" operator="greaterThan">
      <formula>$F$65</formula>
    </cfRule>
    <cfRule type="cellIs" dxfId="3711" priority="53" stopIfTrue="1" operator="lessThanOrEqual">
      <formula>0</formula>
    </cfRule>
  </conditionalFormatting>
  <conditionalFormatting sqref="I53">
    <cfRule type="cellIs" dxfId="3710" priority="78" stopIfTrue="1" operator="greaterThan">
      <formula>$F$65</formula>
    </cfRule>
    <cfRule type="cellIs" dxfId="3709" priority="79" stopIfTrue="1" operator="lessThanOrEqual">
      <formula>0</formula>
    </cfRule>
    <cfRule type="cellIs" dxfId="3708" priority="80" stopIfTrue="1" operator="greaterThan">
      <formula>$F$67</formula>
    </cfRule>
    <cfRule type="cellIs" dxfId="3707" priority="81" stopIfTrue="1" operator="lessThanOrEqual">
      <formula>0</formula>
    </cfRule>
    <cfRule type="cellIs" dxfId="3706" priority="83" stopIfTrue="1" operator="lessThanOrEqual">
      <formula>0</formula>
    </cfRule>
    <cfRule type="cellIs" dxfId="3705" priority="82" stopIfTrue="1" operator="greaterThan">
      <formula>$F$65</formula>
    </cfRule>
  </conditionalFormatting>
  <conditionalFormatting sqref="I54">
    <cfRule type="cellIs" dxfId="3704" priority="23" stopIfTrue="1" operator="greaterThan">
      <formula>$F$67</formula>
    </cfRule>
    <cfRule type="cellIs" dxfId="3703" priority="24" stopIfTrue="1" operator="lessThanOrEqual">
      <formula>0</formula>
    </cfRule>
    <cfRule type="cellIs" dxfId="3702" priority="19" stopIfTrue="1" operator="greaterThan">
      <formula>$F$67</formula>
    </cfRule>
    <cfRule type="cellIs" dxfId="3701" priority="20" stopIfTrue="1" operator="lessThanOrEqual">
      <formula>0</formula>
    </cfRule>
    <cfRule type="cellIs" dxfId="3700" priority="21" stopIfTrue="1" operator="greaterThan">
      <formula>$F$69</formula>
    </cfRule>
    <cfRule type="cellIs" dxfId="3699" priority="22" stopIfTrue="1" operator="lessThanOrEqual">
      <formula>0</formula>
    </cfRule>
  </conditionalFormatting>
  <conditionalFormatting sqref="I55:I56">
    <cfRule type="cellIs" dxfId="3698" priority="92" stopIfTrue="1" operator="lessThanOrEqual">
      <formula>0</formula>
    </cfRule>
    <cfRule type="cellIs" dxfId="3697" priority="91" stopIfTrue="1" operator="greaterThan">
      <formula>$F$65</formula>
    </cfRule>
    <cfRule type="cellIs" dxfId="3696" priority="93" stopIfTrue="1" operator="greaterThan">
      <formula>$F$67</formula>
    </cfRule>
    <cfRule type="cellIs" dxfId="3695" priority="94" stopIfTrue="1" operator="lessThanOrEqual">
      <formula>0</formula>
    </cfRule>
    <cfRule type="cellIs" dxfId="3694" priority="95" stopIfTrue="1" operator="greaterThan">
      <formula>$F$65</formula>
    </cfRule>
    <cfRule type="cellIs" dxfId="3693" priority="96" stopIfTrue="1" operator="lessThanOrEqual">
      <formula>0</formula>
    </cfRule>
  </conditionalFormatting>
  <conditionalFormatting sqref="I57:I58">
    <cfRule type="cellIs" dxfId="3692" priority="127" stopIfTrue="1" operator="greaterThan">
      <formula>#REF!</formula>
    </cfRule>
    <cfRule type="cellIs" dxfId="3691" priority="130" stopIfTrue="1" operator="lessThanOrEqual">
      <formula>0</formula>
    </cfRule>
    <cfRule type="cellIs" dxfId="3690" priority="129" stopIfTrue="1" operator="greaterThan">
      <formula>#REF!</formula>
    </cfRule>
    <cfRule type="cellIs" dxfId="3689" priority="128" stopIfTrue="1" operator="lessThanOrEqual">
      <formula>0</formula>
    </cfRule>
  </conditionalFormatting>
  <conditionalFormatting sqref="I59">
    <cfRule type="cellIs" dxfId="3688" priority="139" stopIfTrue="1" operator="greaterThan">
      <formula>$F$33</formula>
    </cfRule>
    <cfRule type="cellIs" dxfId="3687" priority="140" stopIfTrue="1" operator="lessThanOrEqual">
      <formula>0</formula>
    </cfRule>
    <cfRule type="cellIs" dxfId="3686" priority="141" stopIfTrue="1" operator="greaterThan">
      <formula>$F$35</formula>
    </cfRule>
    <cfRule type="cellIs" dxfId="3685" priority="142" stopIfTrue="1" operator="lessThanOrEqual">
      <formula>0</formula>
    </cfRule>
    <cfRule type="cellIs" dxfId="3684" priority="143" stopIfTrue="1" operator="greaterThan">
      <formula>$F$33</formula>
    </cfRule>
    <cfRule type="cellIs" dxfId="3683" priority="144" stopIfTrue="1" operator="lessThanOrEqual">
      <formula>0</formula>
    </cfRule>
  </conditionalFormatting>
  <conditionalFormatting sqref="I60:I61">
    <cfRule type="cellIs" dxfId="3682" priority="116" stopIfTrue="1" operator="lessThanOrEqual">
      <formula>0</formula>
    </cfRule>
    <cfRule type="cellIs" dxfId="3681" priority="117" stopIfTrue="1" operator="greaterThan">
      <formula>#REF!</formula>
    </cfRule>
    <cfRule type="cellIs" dxfId="3680" priority="118" stopIfTrue="1" operator="lessThanOrEqual">
      <formula>0</formula>
    </cfRule>
    <cfRule type="cellIs" dxfId="3679" priority="115" stopIfTrue="1" operator="greaterThan">
      <formula>#REF!</formula>
    </cfRule>
  </conditionalFormatting>
  <conditionalFormatting sqref="I76:I84">
    <cfRule type="cellIs" dxfId="3678" priority="168" stopIfTrue="1" operator="lessThanOrEqual">
      <formula>0</formula>
    </cfRule>
    <cfRule type="cellIs" dxfId="3677" priority="167" stopIfTrue="1" operator="greaterThan">
      <formula>4.5</formula>
    </cfRule>
  </conditionalFormatting>
  <conditionalFormatting sqref="I10:J20">
    <cfRule type="cellIs" dxfId="3676" priority="5" operator="lessThan">
      <formula>97.9</formula>
    </cfRule>
  </conditionalFormatting>
  <conditionalFormatting sqref="J23:J25">
    <cfRule type="cellIs" dxfId="3675" priority="14" operator="lessThan">
      <formula>97.95</formula>
    </cfRule>
  </conditionalFormatting>
  <conditionalFormatting sqref="J25:J27">
    <cfRule type="cellIs" dxfId="3674" priority="149" operator="lessThan">
      <formula>97.4</formula>
    </cfRule>
  </conditionalFormatting>
  <conditionalFormatting sqref="J28:J29">
    <cfRule type="cellIs" dxfId="3673" priority="150" operator="lessThan">
      <formula>98</formula>
    </cfRule>
  </conditionalFormatting>
  <conditionalFormatting sqref="J30:J31">
    <cfRule type="cellIs" dxfId="3672" priority="151" stopIfTrue="1" operator="lessThan">
      <formula>96.8</formula>
    </cfRule>
    <cfRule type="cellIs" dxfId="3671" priority="152" stopIfTrue="1" operator="greaterThan">
      <formula>100</formula>
    </cfRule>
  </conditionalFormatting>
  <conditionalFormatting sqref="J30:J32">
    <cfRule type="cellIs" dxfId="3670" priority="153" operator="lessThan">
      <formula>98</formula>
    </cfRule>
  </conditionalFormatting>
  <conditionalFormatting sqref="J61">
    <cfRule type="cellIs" dxfId="3669" priority="103" stopIfTrue="1" operator="greaterThan">
      <formula>#REF!</formula>
    </cfRule>
    <cfRule type="cellIs" dxfId="3668" priority="104" stopIfTrue="1" operator="lessThanOrEqual">
      <formula>0</formula>
    </cfRule>
    <cfRule type="cellIs" dxfId="3667" priority="105" stopIfTrue="1" operator="greaterThan">
      <formula>#REF!</formula>
    </cfRule>
    <cfRule type="cellIs" dxfId="3666" priority="106" stopIfTrue="1" operator="lessThanOrEqual">
      <formula>0</formula>
    </cfRule>
    <cfRule type="cellIs" dxfId="3665" priority="110" stopIfTrue="1" operator="lessThanOrEqual">
      <formula>0</formula>
    </cfRule>
    <cfRule type="cellIs" dxfId="3664" priority="109" stopIfTrue="1" operator="greaterThan">
      <formula>#REF!</formula>
    </cfRule>
    <cfRule type="cellIs" dxfId="3663" priority="108" stopIfTrue="1" operator="lessThanOrEqual">
      <formula>0</formula>
    </cfRule>
    <cfRule type="cellIs" dxfId="3662" priority="107" stopIfTrue="1" operator="greaterThan">
      <formula>#REF!</formula>
    </cfRule>
  </conditionalFormatting>
  <conditionalFormatting sqref="J74">
    <cfRule type="cellIs" dxfId="3661" priority="42" stopIfTrue="1" operator="greaterThan">
      <formula>$F74</formula>
    </cfRule>
    <cfRule type="cellIs" dxfId="3660" priority="43" stopIfTrue="1" operator="lessThanOrEqual">
      <formula>0</formula>
    </cfRule>
  </conditionalFormatting>
  <conditionalFormatting sqref="K10:K20">
    <cfRule type="cellIs" dxfId="3659" priority="6" operator="greaterThan">
      <formula>6</formula>
    </cfRule>
    <cfRule type="cellIs" dxfId="3658" priority="7" operator="lessThan">
      <formula>4</formula>
    </cfRule>
    <cfRule type="cellIs" dxfId="3657" priority="8" operator="greaterThan">
      <formula>6.4</formula>
    </cfRule>
  </conditionalFormatting>
  <conditionalFormatting sqref="K52:K61">
    <cfRule type="cellIs" dxfId="3656" priority="88" stopIfTrue="1" operator="lessThan">
      <formula>100%</formula>
    </cfRule>
  </conditionalFormatting>
  <conditionalFormatting sqref="K65:K73">
    <cfRule type="cellIs" dxfId="3655" priority="32" stopIfTrue="1" operator="lessThan">
      <formula>100%</formula>
    </cfRule>
  </conditionalFormatting>
  <conditionalFormatting sqref="K76:K81">
    <cfRule type="cellIs" dxfId="3654" priority="173" stopIfTrue="1" operator="lessThan">
      <formula>100%</formula>
    </cfRule>
  </conditionalFormatting>
  <conditionalFormatting sqref="K83:K84">
    <cfRule type="cellIs" dxfId="3653" priority="180" stopIfTrue="1" operator="lessThan">
      <formula>100%</formula>
    </cfRule>
  </conditionalFormatting>
  <conditionalFormatting sqref="L10:L20">
    <cfRule type="cellIs" dxfId="3652" priority="3" operator="greaterThan">
      <formula>65</formula>
    </cfRule>
    <cfRule type="cellIs" dxfId="3651" priority="2" operator="between">
      <formula>61</formula>
      <formula>65</formula>
    </cfRule>
  </conditionalFormatting>
  <conditionalFormatting sqref="L23:M34">
    <cfRule type="cellIs" dxfId="3650" priority="13" operator="lessThan">
      <formula>97.95</formula>
    </cfRule>
  </conditionalFormatting>
  <conditionalFormatting sqref="L38:N38">
    <cfRule type="cellIs" dxfId="3649" priority="1" operator="notEqual">
      <formula>#REF!</formula>
    </cfRule>
  </conditionalFormatting>
  <conditionalFormatting sqref="L65:N74">
    <cfRule type="cellIs" dxfId="3648" priority="29" stopIfTrue="1" operator="lessThan">
      <formula>100%</formula>
    </cfRule>
  </conditionalFormatting>
  <conditionalFormatting sqref="L76:N84">
    <cfRule type="cellIs" dxfId="3647" priority="158" stopIfTrue="1" operator="lessThan">
      <formula>100%</formula>
    </cfRule>
  </conditionalFormatting>
  <conditionalFormatting sqref="N10:N20">
    <cfRule type="expression" dxfId="3646" priority="4">
      <formula>IF(+(IF(N10&lt;W10,0,IF(N10&gt;X10,0,1)))=0,1)</formula>
    </cfRule>
  </conditionalFormatting>
  <conditionalFormatting sqref="P6">
    <cfRule type="cellIs" dxfId="3645" priority="154" operator="greaterThanOrEqual">
      <formula>19</formula>
    </cfRule>
  </conditionalFormatting>
  <dataValidations count="1">
    <dataValidation type="list" allowBlank="1" showInputMessage="1" showErrorMessage="1" sqref="R8" xr:uid="{93728DB6-604C-46CB-AC29-AEFB8F9DEE6D}">
      <formula1>ProductList</formula1>
    </dataValidation>
  </dataValidations>
  <pageMargins left="0.7" right="0.7" top="0.75" bottom="0.75" header="0.3" footer="0.3"/>
  <pageSetup scale="40" fitToWidth="0" orientation="landscape" r:id="rId1"/>
  <rowBreaks count="1" manualBreakCount="1">
    <brk id="78" max="16383" man="1"/>
  </rowBreaks>
  <colBreaks count="1" manualBreakCount="1">
    <brk id="15" max="89" man="1"/>
  </colBreak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73CD0B-234A-4102-81F4-D7C48310E32F}">
  <sheetPr>
    <pageSetUpPr fitToPage="1"/>
  </sheetPr>
  <dimension ref="A1:BE71"/>
  <sheetViews>
    <sheetView topLeftCell="A4" zoomScale="85" zoomScaleNormal="85" workbookViewId="0">
      <selection activeCell="E10" sqref="E10:E17"/>
    </sheetView>
  </sheetViews>
  <sheetFormatPr defaultColWidth="9.42578125" defaultRowHeight="14.25"/>
  <cols>
    <col min="1" max="1" width="7.28515625" style="275" customWidth="1"/>
    <col min="2" max="2" width="31.28515625" style="275" customWidth="1"/>
    <col min="3" max="3" width="22.28515625" style="275" customWidth="1"/>
    <col min="4" max="7" width="16.5703125" style="275" customWidth="1"/>
    <col min="8" max="8" width="20.7109375" style="275" customWidth="1"/>
    <col min="9" max="9" width="31.42578125" style="275" customWidth="1"/>
    <col min="10" max="10" width="35.28515625" style="275" customWidth="1"/>
    <col min="11" max="11" width="29" style="275" customWidth="1"/>
    <col min="12" max="12" width="17.28515625" style="275" bestFit="1" customWidth="1"/>
    <col min="13" max="13" width="23.28515625" style="275" customWidth="1"/>
    <col min="14" max="14" width="13.7109375" style="275" bestFit="1" customWidth="1"/>
    <col min="15" max="15" width="17.5703125" style="275" customWidth="1"/>
    <col min="16" max="16" width="109.28515625" style="6" customWidth="1"/>
    <col min="17" max="17" width="16.5703125" style="275" customWidth="1"/>
    <col min="18" max="18" width="15.7109375" style="275" bestFit="1" customWidth="1"/>
    <col min="19" max="19" width="12.42578125" style="275" customWidth="1"/>
    <col min="20" max="20" width="15" style="275" customWidth="1"/>
    <col min="21" max="21" width="12" style="275" customWidth="1"/>
    <col min="22" max="22" width="10.42578125" style="275" customWidth="1"/>
    <col min="23" max="23" width="11.42578125" style="275" customWidth="1"/>
    <col min="24" max="24" width="10.42578125" style="275" customWidth="1"/>
    <col min="25" max="25" width="8.42578125" style="275" customWidth="1"/>
    <col min="26" max="26" width="9.5703125" style="275" customWidth="1"/>
    <col min="27" max="27" width="8.42578125" style="275" customWidth="1"/>
    <col min="28" max="29" width="7.5703125" style="275" customWidth="1"/>
    <col min="30" max="51" width="9.42578125" style="275"/>
    <col min="52" max="52" width="1.5703125" style="275" customWidth="1"/>
    <col min="53" max="54" width="9.42578125" style="275"/>
    <col min="55" max="56" width="15.42578125" style="275" customWidth="1"/>
    <col min="57" max="16384" width="9.42578125" style="275"/>
  </cols>
  <sheetData>
    <row r="1" spans="2:29" ht="1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R1" s="467"/>
      <c r="S1" s="553" t="s">
        <v>0</v>
      </c>
      <c r="T1" s="553"/>
      <c r="U1" s="553" t="s">
        <v>1</v>
      </c>
      <c r="V1" s="553"/>
      <c r="W1" s="553" t="s">
        <v>2</v>
      </c>
      <c r="X1" s="553"/>
      <c r="Y1" s="553" t="s">
        <v>124</v>
      </c>
      <c r="Z1" s="553"/>
    </row>
    <row r="2" spans="2:29" ht="15">
      <c r="B2" s="554" t="s">
        <v>3</v>
      </c>
      <c r="C2" s="554"/>
      <c r="D2" s="554"/>
      <c r="E2" s="554"/>
      <c r="F2" s="554"/>
      <c r="G2" s="554"/>
      <c r="H2" s="554"/>
      <c r="I2" s="554"/>
      <c r="J2" s="554"/>
      <c r="K2" s="554"/>
      <c r="L2" s="554"/>
      <c r="M2" s="554"/>
      <c r="N2" s="554"/>
      <c r="O2" s="554"/>
      <c r="P2" s="4"/>
      <c r="R2" s="467"/>
      <c r="S2" s="467" t="s">
        <v>4</v>
      </c>
      <c r="T2" s="467" t="s">
        <v>5</v>
      </c>
      <c r="U2" s="467" t="s">
        <v>4</v>
      </c>
      <c r="V2" s="467" t="s">
        <v>5</v>
      </c>
      <c r="W2" s="467" t="s">
        <v>4</v>
      </c>
      <c r="X2" s="467" t="s">
        <v>5</v>
      </c>
      <c r="Y2" s="467" t="s">
        <v>4</v>
      </c>
      <c r="Z2" s="467" t="s">
        <v>5</v>
      </c>
    </row>
    <row r="3" spans="2:29" ht="14.25" customHeight="1">
      <c r="B3" s="5"/>
      <c r="R3" s="467" t="s">
        <v>6</v>
      </c>
      <c r="S3" s="468">
        <v>11.6</v>
      </c>
      <c r="T3" s="469">
        <v>12</v>
      </c>
      <c r="U3" s="9">
        <v>0</v>
      </c>
      <c r="V3" s="10">
        <v>0.118055555555556</v>
      </c>
      <c r="W3" s="10">
        <v>0.22569444444444445</v>
      </c>
      <c r="X3" s="10">
        <v>0.2638888888888889</v>
      </c>
      <c r="Y3" s="470">
        <v>0</v>
      </c>
      <c r="Z3" s="468">
        <v>60</v>
      </c>
      <c r="AB3" s="275" t="s">
        <v>135</v>
      </c>
    </row>
    <row r="4" spans="2:29" ht="30.75" customHeight="1">
      <c r="B4" s="301" t="s">
        <v>133</v>
      </c>
      <c r="C4" s="419">
        <v>46268</v>
      </c>
      <c r="J4" s="398" t="s">
        <v>153</v>
      </c>
      <c r="K4" s="398"/>
      <c r="L4" s="11"/>
      <c r="M4" s="555" t="s">
        <v>8</v>
      </c>
      <c r="N4" s="556"/>
      <c r="P4" s="12"/>
      <c r="R4" s="467" t="s">
        <v>9</v>
      </c>
      <c r="S4" s="468">
        <v>11.6</v>
      </c>
      <c r="T4" s="469">
        <v>12</v>
      </c>
      <c r="U4" s="9">
        <v>0</v>
      </c>
      <c r="V4" s="10">
        <v>0.118055555555556</v>
      </c>
      <c r="W4" s="10">
        <v>0.22569444444444445</v>
      </c>
      <c r="X4" s="10">
        <v>0.2638888888888889</v>
      </c>
      <c r="Y4" s="470">
        <v>0</v>
      </c>
      <c r="Z4" s="468">
        <v>60</v>
      </c>
      <c r="AA4" s="13"/>
      <c r="AB4" s="13"/>
      <c r="AC4" s="13"/>
    </row>
    <row r="5" spans="2:29" ht="12.75" customHeight="1" thickBot="1">
      <c r="B5" s="1"/>
      <c r="C5" s="549"/>
      <c r="D5" s="549"/>
      <c r="J5" s="403"/>
      <c r="K5" s="403"/>
      <c r="L5" s="11"/>
      <c r="M5" s="14" t="s">
        <v>10</v>
      </c>
      <c r="N5" s="14" t="s">
        <v>11</v>
      </c>
      <c r="P5" s="12"/>
      <c r="R5" s="467" t="s">
        <v>12</v>
      </c>
      <c r="S5" s="468">
        <v>17</v>
      </c>
      <c r="T5" s="469">
        <v>17.5</v>
      </c>
      <c r="U5" s="9">
        <v>0</v>
      </c>
      <c r="V5" s="10">
        <v>0.1076388888888889</v>
      </c>
      <c r="W5" s="10">
        <v>0.24652777777777779</v>
      </c>
      <c r="X5" s="10">
        <v>0.28472222222222221</v>
      </c>
      <c r="Y5" s="470">
        <v>0</v>
      </c>
      <c r="Z5" s="471">
        <v>60</v>
      </c>
      <c r="AA5" s="13"/>
      <c r="AB5" s="13"/>
      <c r="AC5" s="13"/>
    </row>
    <row r="6" spans="2:29" ht="14.25" customHeight="1">
      <c r="B6" s="15"/>
      <c r="C6" s="1"/>
      <c r="D6" s="1"/>
      <c r="J6" s="399" t="s">
        <v>168</v>
      </c>
      <c r="K6" s="400"/>
      <c r="L6" s="311" t="s">
        <v>14</v>
      </c>
      <c r="M6" s="340"/>
      <c r="N6" s="340"/>
      <c r="P6" s="16"/>
      <c r="R6" s="467" t="s">
        <v>15</v>
      </c>
      <c r="S6" s="468">
        <v>13.3</v>
      </c>
      <c r="T6" s="469">
        <v>13.5</v>
      </c>
      <c r="U6" s="9">
        <v>0</v>
      </c>
      <c r="V6" s="9">
        <v>0.12905092592592593</v>
      </c>
      <c r="W6" s="10">
        <v>0.27430555555555552</v>
      </c>
      <c r="X6" s="10">
        <v>0.30208333333333331</v>
      </c>
      <c r="Y6" s="470">
        <v>0</v>
      </c>
      <c r="Z6" s="471"/>
      <c r="AA6" s="13"/>
      <c r="AB6" s="13"/>
      <c r="AC6" s="13"/>
    </row>
    <row r="7" spans="2:29" ht="13.35" customHeight="1" thickBot="1">
      <c r="J7" s="401"/>
      <c r="K7" s="402"/>
      <c r="R7" s="467" t="s">
        <v>16</v>
      </c>
      <c r="S7" s="468">
        <v>17</v>
      </c>
      <c r="T7" s="469">
        <v>17.399999999999999</v>
      </c>
      <c r="U7" s="9">
        <v>0</v>
      </c>
      <c r="V7" s="9">
        <v>0.13605324074074074</v>
      </c>
      <c r="W7" s="10">
        <v>0.27430555555555552</v>
      </c>
      <c r="X7" s="10">
        <v>0.30902777777777779</v>
      </c>
      <c r="Y7" s="470">
        <v>0</v>
      </c>
      <c r="Z7" s="471">
        <v>85</v>
      </c>
      <c r="AA7" s="13"/>
      <c r="AB7" s="13"/>
      <c r="AC7" s="13"/>
    </row>
    <row r="8" spans="2:29" ht="25.5" customHeight="1">
      <c r="B8" s="507" t="s">
        <v>17</v>
      </c>
      <c r="C8" s="516" t="s">
        <v>18</v>
      </c>
      <c r="D8" s="516" t="s">
        <v>19</v>
      </c>
      <c r="E8" s="356" t="s">
        <v>20</v>
      </c>
      <c r="F8" s="356" t="s">
        <v>21</v>
      </c>
      <c r="G8" s="516" t="s">
        <v>22</v>
      </c>
      <c r="H8" s="551" t="s">
        <v>144</v>
      </c>
      <c r="I8" s="516" t="s">
        <v>167</v>
      </c>
      <c r="J8" s="542" t="s">
        <v>23</v>
      </c>
      <c r="K8" s="544" t="s">
        <v>142</v>
      </c>
      <c r="L8" s="546" t="s">
        <v>24</v>
      </c>
      <c r="M8" s="359" t="s">
        <v>25</v>
      </c>
      <c r="N8" s="17" t="s">
        <v>166</v>
      </c>
      <c r="O8" s="516" t="s">
        <v>155</v>
      </c>
      <c r="P8" s="548"/>
      <c r="R8" s="467" t="s">
        <v>125</v>
      </c>
      <c r="S8" s="468">
        <v>16.600000000000001</v>
      </c>
      <c r="T8" s="469">
        <v>17</v>
      </c>
      <c r="U8" s="9">
        <v>0</v>
      </c>
      <c r="V8" s="9">
        <v>0.12905092592592593</v>
      </c>
      <c r="W8" s="10">
        <v>0.27430555555555552</v>
      </c>
      <c r="X8" s="10">
        <v>0.30208333333333331</v>
      </c>
      <c r="Y8" s="470">
        <v>0</v>
      </c>
      <c r="Z8" s="471"/>
    </row>
    <row r="9" spans="2:29" ht="36" customHeight="1">
      <c r="B9" s="550"/>
      <c r="C9" s="541"/>
      <c r="D9" s="541"/>
      <c r="E9" s="357" t="s">
        <v>30</v>
      </c>
      <c r="F9" s="357" t="s">
        <v>31</v>
      </c>
      <c r="G9" s="541"/>
      <c r="H9" s="552"/>
      <c r="I9" s="541"/>
      <c r="J9" s="543"/>
      <c r="K9" s="545"/>
      <c r="L9" s="547"/>
      <c r="M9" s="20" t="s">
        <v>32</v>
      </c>
      <c r="N9" s="21" t="s">
        <v>41</v>
      </c>
      <c r="O9" s="541"/>
      <c r="P9" s="541"/>
      <c r="R9" s="467" t="s">
        <v>33</v>
      </c>
      <c r="S9" s="468">
        <v>14.2</v>
      </c>
      <c r="T9" s="469">
        <v>14.6</v>
      </c>
      <c r="U9" s="9">
        <v>0</v>
      </c>
      <c r="V9" s="9">
        <v>0.13905092592592591</v>
      </c>
      <c r="W9" s="10">
        <v>0.26041666666666669</v>
      </c>
      <c r="X9" s="10">
        <v>0.2951388888888889</v>
      </c>
      <c r="Y9" s="470">
        <v>0</v>
      </c>
      <c r="Z9" s="471">
        <v>75</v>
      </c>
    </row>
    <row r="10" spans="2:29" ht="15" customHeight="1">
      <c r="B10" s="29" t="s">
        <v>6</v>
      </c>
      <c r="C10" s="366" t="str">
        <f>[4]Brewhouse!$A712</f>
        <v>CA663</v>
      </c>
      <c r="D10" s="279">
        <f>[4]Brewhouse!$AF712</f>
        <v>49.6</v>
      </c>
      <c r="E10" s="279">
        <f>[4]Brewhouse!$AI712</f>
        <v>50.3</v>
      </c>
      <c r="F10" s="278">
        <f>[4]Brewhouse!$V712</f>
        <v>63</v>
      </c>
      <c r="G10" s="279">
        <f>[4]Brewhouse!AG712</f>
        <v>11.7</v>
      </c>
      <c r="H10" s="396"/>
      <c r="I10" s="368">
        <f>[4]Brewhouse!$AU712</f>
        <v>98.62449539212821</v>
      </c>
      <c r="J10" s="368">
        <f>[4]Brewhouse!$AV712</f>
        <v>99.388551242317362</v>
      </c>
      <c r="K10" s="281">
        <f>[4]Brewhouse!$Q712</f>
        <v>9.6487985212569285</v>
      </c>
      <c r="L10" s="276">
        <f>[4]Brewhouse!$P712</f>
        <v>60</v>
      </c>
      <c r="M10" s="374">
        <f>[4]Brewhouse!$U712-[4]Brewhouse!$T712</f>
        <v>0.1159722222222222</v>
      </c>
      <c r="N10" s="370">
        <f>[4]Brewhouse!$Z712</f>
        <v>0.26319444444444445</v>
      </c>
      <c r="O10" s="420" t="str">
        <f>[4]Brewhouse!$AX712</f>
        <v>R. Sookram</v>
      </c>
      <c r="P10" s="418"/>
      <c r="R10" s="277" t="str">
        <f t="shared" ref="R10:R14" si="0">B10</f>
        <v>CARIB</v>
      </c>
      <c r="S10" s="472">
        <f t="shared" ref="S10:S14" si="1">VLOOKUP($B10,$R$3:$X$9,2,FALSE)</f>
        <v>11.6</v>
      </c>
      <c r="T10" s="472">
        <f t="shared" ref="T10:T14" si="2">VLOOKUP($B10,$R$3:$X$9,3,FALSE)</f>
        <v>12</v>
      </c>
      <c r="U10" s="297">
        <f t="shared" ref="U10:U14" si="3">VLOOKUP($B10,$R$3:$X$9,4,FALSE)</f>
        <v>0</v>
      </c>
      <c r="V10" s="297">
        <f t="shared" ref="V10:V14" si="4">VLOOKUP($B10,$R$3:$X$9,5,FALSE)</f>
        <v>0.118055555555556</v>
      </c>
      <c r="W10" s="297">
        <f t="shared" ref="W10:W14" si="5">VLOOKUP($B10,$R$3:$X$9,6,FALSE)</f>
        <v>0.22569444444444445</v>
      </c>
      <c r="X10" s="297">
        <f t="shared" ref="X10:X14" si="6">VLOOKUP($B10,$R$3:$X$9,7,FALSE)</f>
        <v>0.2638888888888889</v>
      </c>
      <c r="Y10" s="297">
        <f t="shared" ref="Y10:Y14" si="7">VLOOKUP($B10,$R$3:$Z$9,8,FALSE)</f>
        <v>0</v>
      </c>
      <c r="Z10" s="472">
        <f t="shared" ref="Z10:Z14" si="8">VLOOKUP($B10,$R$3:$Z$9,9,FALSE)</f>
        <v>60</v>
      </c>
    </row>
    <row r="11" spans="2:29" ht="15" customHeight="1">
      <c r="B11" s="29" t="s">
        <v>6</v>
      </c>
      <c r="C11" s="366" t="str">
        <f>[4]Brewhouse!$A713</f>
        <v>CA664</v>
      </c>
      <c r="D11" s="279">
        <f>[4]Brewhouse!$AF713</f>
        <v>50.4</v>
      </c>
      <c r="E11" s="279">
        <f>[4]Brewhouse!$AI713</f>
        <v>51.1</v>
      </c>
      <c r="F11" s="278">
        <f>[4]Brewhouse!$V713</f>
        <v>63</v>
      </c>
      <c r="G11" s="279">
        <f>[4]Brewhouse!AG713</f>
        <v>11.6</v>
      </c>
      <c r="H11" s="396"/>
      <c r="I11" s="368">
        <f>[4]Brewhouse!$AU713</f>
        <v>99.291911621355354</v>
      </c>
      <c r="J11" s="368">
        <f>[4]Brewhouse!$AV713</f>
        <v>100.0611380254969</v>
      </c>
      <c r="K11" s="281">
        <f>[4]Brewhouse!$Q713</f>
        <v>8.1700554528650677</v>
      </c>
      <c r="L11" s="276">
        <f>[4]Brewhouse!$P713</f>
        <v>61</v>
      </c>
      <c r="M11" s="374">
        <f>[4]Brewhouse!$U713-[4]Brewhouse!$T713</f>
        <v>0.10833333333333328</v>
      </c>
      <c r="N11" s="370">
        <f>[4]Brewhouse!$Z713</f>
        <v>0.26111111111111107</v>
      </c>
      <c r="O11" s="420" t="str">
        <f>[4]Brewhouse!$AX713</f>
        <v>D. Gomaz</v>
      </c>
      <c r="P11" s="418"/>
      <c r="R11" s="277" t="str">
        <f t="shared" si="0"/>
        <v>CARIB</v>
      </c>
      <c r="S11" s="472">
        <f t="shared" si="1"/>
        <v>11.6</v>
      </c>
      <c r="T11" s="472">
        <f t="shared" si="2"/>
        <v>12</v>
      </c>
      <c r="U11" s="297">
        <f t="shared" si="3"/>
        <v>0</v>
      </c>
      <c r="V11" s="297">
        <f t="shared" si="4"/>
        <v>0.118055555555556</v>
      </c>
      <c r="W11" s="297">
        <f t="shared" si="5"/>
        <v>0.22569444444444445</v>
      </c>
      <c r="X11" s="297">
        <f t="shared" si="6"/>
        <v>0.2638888888888889</v>
      </c>
      <c r="Y11" s="297">
        <f t="shared" si="7"/>
        <v>0</v>
      </c>
      <c r="Z11" s="472">
        <f t="shared" si="8"/>
        <v>60</v>
      </c>
    </row>
    <row r="12" spans="2:29" ht="15" customHeight="1">
      <c r="B12" s="29" t="s">
        <v>6</v>
      </c>
      <c r="C12" s="366" t="str">
        <f>[4]Brewhouse!$A714</f>
        <v>CA665</v>
      </c>
      <c r="D12" s="279">
        <f>[4]Brewhouse!$AF714</f>
        <v>51.4</v>
      </c>
      <c r="E12" s="279">
        <f>[4]Brewhouse!$AI714</f>
        <v>51.9</v>
      </c>
      <c r="F12" s="278">
        <f>[4]Brewhouse!$V714</f>
        <v>60</v>
      </c>
      <c r="G12" s="279">
        <f>[4]Brewhouse!AG714</f>
        <v>11.8</v>
      </c>
      <c r="H12" s="396"/>
      <c r="I12" s="368">
        <f>[4]Brewhouse!$AU714</f>
        <v>102.67692873975598</v>
      </c>
      <c r="J12" s="368">
        <f>[4]Brewhouse!$AV714</f>
        <v>103.47237927941298</v>
      </c>
      <c r="K12" s="281">
        <f>[4]Brewhouse!$Q714</f>
        <v>6.3216266173752338</v>
      </c>
      <c r="L12" s="276">
        <f>[4]Brewhouse!$P714</f>
        <v>62</v>
      </c>
      <c r="M12" s="374">
        <f>[4]Brewhouse!$U714-[4]Brewhouse!$T714</f>
        <v>0.125</v>
      </c>
      <c r="N12" s="370">
        <f>[4]Brewhouse!$Z714</f>
        <v>0.27986111111111112</v>
      </c>
      <c r="O12" s="420" t="str">
        <f>[4]Brewhouse!$AX714</f>
        <v>D. Gomaz</v>
      </c>
      <c r="P12" s="418"/>
      <c r="R12" s="277" t="str">
        <f t="shared" si="0"/>
        <v>CARIB</v>
      </c>
      <c r="S12" s="472">
        <f t="shared" si="1"/>
        <v>11.6</v>
      </c>
      <c r="T12" s="472">
        <f t="shared" si="2"/>
        <v>12</v>
      </c>
      <c r="U12" s="297">
        <f t="shared" si="3"/>
        <v>0</v>
      </c>
      <c r="V12" s="297">
        <f t="shared" si="4"/>
        <v>0.118055555555556</v>
      </c>
      <c r="W12" s="297">
        <f t="shared" si="5"/>
        <v>0.22569444444444445</v>
      </c>
      <c r="X12" s="297">
        <f t="shared" si="6"/>
        <v>0.2638888888888889</v>
      </c>
      <c r="Y12" s="297">
        <f t="shared" si="7"/>
        <v>0</v>
      </c>
      <c r="Z12" s="472">
        <f t="shared" si="8"/>
        <v>60</v>
      </c>
    </row>
    <row r="13" spans="2:29" ht="15" customHeight="1">
      <c r="B13" s="29" t="s">
        <v>6</v>
      </c>
      <c r="C13" s="366" t="str">
        <f>[4]Brewhouse!$A715</f>
        <v>CA666</v>
      </c>
      <c r="D13" s="279">
        <f>[4]Brewhouse!$AF715</f>
        <v>45.3</v>
      </c>
      <c r="E13" s="279">
        <f>[4]Brewhouse!$AI715</f>
        <v>46.2</v>
      </c>
      <c r="F13" s="278">
        <f>[4]Brewhouse!$V715</f>
        <v>57</v>
      </c>
      <c r="G13" s="279">
        <f>[4]Brewhouse!AG715</f>
        <v>11.7</v>
      </c>
      <c r="H13" s="396"/>
      <c r="I13" s="368">
        <f>[4]Brewhouse!$AU715</f>
        <v>102.38450698329868</v>
      </c>
      <c r="J13" s="368">
        <f>[4]Brewhouse!$AV715</f>
        <v>103.1721541696329</v>
      </c>
      <c r="K13" s="281">
        <f>[4]Brewhouse!$Q715</f>
        <v>9.939393939393943</v>
      </c>
      <c r="L13" s="276">
        <f>[4]Brewhouse!$P715</f>
        <v>61</v>
      </c>
      <c r="M13" s="374">
        <f>[4]Brewhouse!$U715-[4]Brewhouse!$T715</f>
        <v>0.11250000000000004</v>
      </c>
      <c r="N13" s="370">
        <f>[4]Brewhouse!$Z715</f>
        <v>0.25694444444444442</v>
      </c>
      <c r="O13" s="420" t="str">
        <f>[4]Brewhouse!$AX715</f>
        <v>D. Gomaz</v>
      </c>
      <c r="P13" s="418"/>
      <c r="R13" s="277" t="str">
        <f t="shared" si="0"/>
        <v>CARIB</v>
      </c>
      <c r="S13" s="472">
        <f t="shared" si="1"/>
        <v>11.6</v>
      </c>
      <c r="T13" s="472">
        <f t="shared" si="2"/>
        <v>12</v>
      </c>
      <c r="U13" s="297">
        <f t="shared" si="3"/>
        <v>0</v>
      </c>
      <c r="V13" s="297">
        <f t="shared" si="4"/>
        <v>0.118055555555556</v>
      </c>
      <c r="W13" s="297">
        <f t="shared" si="5"/>
        <v>0.22569444444444445</v>
      </c>
      <c r="X13" s="297">
        <f t="shared" si="6"/>
        <v>0.2638888888888889</v>
      </c>
      <c r="Y13" s="297">
        <f t="shared" si="7"/>
        <v>0</v>
      </c>
      <c r="Z13" s="472">
        <f t="shared" si="8"/>
        <v>60</v>
      </c>
    </row>
    <row r="14" spans="2:29" ht="15" customHeight="1">
      <c r="B14" s="29"/>
      <c r="C14" s="366"/>
      <c r="D14" s="279"/>
      <c r="E14" s="279"/>
      <c r="F14" s="278"/>
      <c r="G14" s="488"/>
      <c r="H14" s="396"/>
      <c r="I14" s="368"/>
      <c r="J14" s="368"/>
      <c r="K14" s="281"/>
      <c r="L14" s="276"/>
      <c r="M14" s="374"/>
      <c r="N14" s="370"/>
      <c r="O14" s="420"/>
      <c r="P14" s="418"/>
      <c r="R14" s="277">
        <f t="shared" si="0"/>
        <v>0</v>
      </c>
      <c r="S14" s="472" t="e">
        <f t="shared" si="1"/>
        <v>#N/A</v>
      </c>
      <c r="T14" s="472" t="e">
        <f t="shared" si="2"/>
        <v>#N/A</v>
      </c>
      <c r="U14" s="297" t="e">
        <f t="shared" si="3"/>
        <v>#N/A</v>
      </c>
      <c r="V14" s="297" t="e">
        <f t="shared" si="4"/>
        <v>#N/A</v>
      </c>
      <c r="W14" s="297" t="e">
        <f t="shared" si="5"/>
        <v>#N/A</v>
      </c>
      <c r="X14" s="297" t="e">
        <f t="shared" si="6"/>
        <v>#N/A</v>
      </c>
      <c r="Y14" s="297" t="e">
        <f t="shared" si="7"/>
        <v>#N/A</v>
      </c>
      <c r="Z14" s="472" t="e">
        <f t="shared" si="8"/>
        <v>#N/A</v>
      </c>
    </row>
    <row r="15" spans="2:29" ht="15" customHeight="1">
      <c r="B15" s="36" t="s">
        <v>15</v>
      </c>
      <c r="C15" s="366" t="str">
        <f>[8]Brewhouse!$A23</f>
        <v>MK017</v>
      </c>
      <c r="D15" s="279">
        <f>[8]Brewhouse!$AF23</f>
        <v>49.3</v>
      </c>
      <c r="E15" s="279">
        <f>[8]Brewhouse!$AI23</f>
        <v>48.1</v>
      </c>
      <c r="F15" s="278">
        <f>[8]Brewhouse!$X23</f>
        <v>53</v>
      </c>
      <c r="G15" s="279">
        <f>[8]Brewhouse!$AG23</f>
        <v>13</v>
      </c>
      <c r="H15" s="396"/>
      <c r="I15" s="489">
        <f>[8]Brewhouse!$AT23</f>
        <v>91.951723879434397</v>
      </c>
      <c r="J15" s="489">
        <f>[8]Brewhouse!$AU23</f>
        <v>92.579945457932411</v>
      </c>
      <c r="K15" s="490">
        <f>[8]Brewhouse!$S23</f>
        <v>12.685918003565073</v>
      </c>
      <c r="L15" s="276">
        <f>[8]Brewhouse!$R23</f>
        <v>111</v>
      </c>
      <c r="M15" s="374">
        <f>[8]Brewhouse!$W23-[8]Brewhouse!$V23</f>
        <v>0.14930555555555547</v>
      </c>
      <c r="N15" s="370">
        <f>[8]Brewhouse!$AA23</f>
        <v>0.31666666666666654</v>
      </c>
      <c r="O15" s="420" t="str">
        <f>[8]Brewhouse!$AX23</f>
        <v>R.Regis</v>
      </c>
      <c r="P15" s="418"/>
      <c r="R15" s="277" t="str">
        <f t="shared" ref="R15:R31" si="9">B15</f>
        <v>MACKESON</v>
      </c>
      <c r="S15" s="472">
        <f t="shared" ref="S15:S31" si="10">VLOOKUP($B15,$R$3:$X$9,2,FALSE)</f>
        <v>13.3</v>
      </c>
      <c r="T15" s="472">
        <f t="shared" ref="T15:T31" si="11">VLOOKUP($B15,$R$3:$X$9,3,FALSE)</f>
        <v>13.5</v>
      </c>
      <c r="U15" s="297">
        <f t="shared" ref="U15:U31" si="12">VLOOKUP($B15,$R$3:$X$9,4,FALSE)</f>
        <v>0</v>
      </c>
      <c r="V15" s="297">
        <f t="shared" ref="V15:V31" si="13">VLOOKUP($B15,$R$3:$X$9,5,FALSE)</f>
        <v>0.12905092592592593</v>
      </c>
      <c r="W15" s="297">
        <f t="shared" ref="W15:W31" si="14">VLOOKUP($B15,$R$3:$X$9,6,FALSE)</f>
        <v>0.27430555555555552</v>
      </c>
      <c r="X15" s="297">
        <f t="shared" ref="X15:X31" si="15">VLOOKUP($B15,$R$3:$X$9,7,FALSE)</f>
        <v>0.30208333333333331</v>
      </c>
      <c r="Y15" s="297">
        <f t="shared" ref="Y15:Y31" si="16">VLOOKUP($B15,$R$3:$Z$9,8,FALSE)</f>
        <v>0</v>
      </c>
      <c r="Z15" s="472">
        <f t="shared" ref="Z15:Z31" si="17">VLOOKUP($B15,$R$3:$Z$9,9,FALSE)</f>
        <v>0</v>
      </c>
    </row>
    <row r="16" spans="2:29" ht="15" customHeight="1">
      <c r="B16" s="36" t="s">
        <v>15</v>
      </c>
      <c r="C16" s="366" t="str">
        <f>[8]Brewhouse!$A24</f>
        <v>MK018</v>
      </c>
      <c r="D16" s="279">
        <f>[8]Brewhouse!$AF24</f>
        <v>51.6</v>
      </c>
      <c r="E16" s="279">
        <f>[8]Brewhouse!$AI24</f>
        <v>51.1</v>
      </c>
      <c r="F16" s="278">
        <f>[8]Brewhouse!$X24</f>
        <v>62</v>
      </c>
      <c r="G16" s="279">
        <f>[8]Brewhouse!$AG24</f>
        <v>13.1</v>
      </c>
      <c r="H16" s="396"/>
      <c r="I16" s="489">
        <f>[8]Brewhouse!$AT24</f>
        <v>96.150583729382561</v>
      </c>
      <c r="J16" s="489">
        <f>[8]Brewhouse!$AU24</f>
        <v>96.807492256330661</v>
      </c>
      <c r="K16" s="490">
        <f>[8]Brewhouse!$S24</f>
        <v>8.4228571428571417</v>
      </c>
      <c r="L16" s="276">
        <f>[8]Brewhouse!$R24</f>
        <v>95</v>
      </c>
      <c r="M16" s="374">
        <f>[8]Brewhouse!$W24-[8]Brewhouse!$V24</f>
        <v>0.13888888888888906</v>
      </c>
      <c r="N16" s="370">
        <f>[8]Brewhouse!$AA24</f>
        <v>0.35902777777777783</v>
      </c>
      <c r="O16" s="420" t="str">
        <f>[8]Brewhouse!$AX24</f>
        <v>R.Regis</v>
      </c>
      <c r="P16" s="418"/>
      <c r="R16" s="277" t="str">
        <f t="shared" ref="R16:R26" si="18">B16</f>
        <v>MACKESON</v>
      </c>
      <c r="S16" s="472">
        <f t="shared" si="10"/>
        <v>13.3</v>
      </c>
      <c r="T16" s="472">
        <f t="shared" si="11"/>
        <v>13.5</v>
      </c>
      <c r="U16" s="297">
        <f t="shared" si="12"/>
        <v>0</v>
      </c>
      <c r="V16" s="297">
        <f t="shared" si="13"/>
        <v>0.12905092592592593</v>
      </c>
      <c r="W16" s="297">
        <f t="shared" si="14"/>
        <v>0.27430555555555552</v>
      </c>
      <c r="X16" s="297">
        <f t="shared" si="15"/>
        <v>0.30208333333333331</v>
      </c>
      <c r="Y16" s="297">
        <f t="shared" si="16"/>
        <v>0</v>
      </c>
      <c r="Z16" s="472">
        <f t="shared" si="17"/>
        <v>0</v>
      </c>
    </row>
    <row r="17" spans="1:27" ht="15" customHeight="1">
      <c r="B17" s="36" t="s">
        <v>15</v>
      </c>
      <c r="C17" s="366" t="str">
        <f>[8]Brewhouse!$A25</f>
        <v>MK019</v>
      </c>
      <c r="D17" s="279">
        <f>[8]Brewhouse!$AF25</f>
        <v>51.1</v>
      </c>
      <c r="E17" s="279">
        <f>[8]Brewhouse!$AI25</f>
        <v>50.6</v>
      </c>
      <c r="F17" s="278">
        <f>[8]Brewhouse!$X25</f>
        <v>55</v>
      </c>
      <c r="G17" s="279">
        <f>[8]Brewhouse!$AG25</f>
        <v>13.3</v>
      </c>
      <c r="H17" s="396"/>
      <c r="I17" s="489">
        <f>[8]Brewhouse!$AT25</f>
        <v>96.730919507263621</v>
      </c>
      <c r="J17" s="489">
        <f>[8]Brewhouse!$AU25</f>
        <v>97.39179293495593</v>
      </c>
      <c r="K17" s="490">
        <f>[8]Brewhouse!$S25</f>
        <v>9.3157142857142841</v>
      </c>
      <c r="L17" s="276">
        <f>[8]Brewhouse!$R25</f>
        <v>80</v>
      </c>
      <c r="M17" s="374">
        <f>[8]Brewhouse!$W25-[8]Brewhouse!$V25</f>
        <v>0.14236111111111116</v>
      </c>
      <c r="N17" s="370">
        <f>[8]Brewhouse!$AA25</f>
        <v>0.34375</v>
      </c>
      <c r="O17" s="420" t="str">
        <f>[8]Brewhouse!$AX25</f>
        <v>R.Regis</v>
      </c>
      <c r="P17" s="418"/>
      <c r="R17" s="277" t="str">
        <f t="shared" si="18"/>
        <v>MACKESON</v>
      </c>
      <c r="S17" s="472">
        <f t="shared" si="10"/>
        <v>13.3</v>
      </c>
      <c r="T17" s="472">
        <f t="shared" si="11"/>
        <v>13.5</v>
      </c>
      <c r="U17" s="297">
        <f t="shared" si="12"/>
        <v>0</v>
      </c>
      <c r="V17" s="297">
        <f t="shared" si="13"/>
        <v>0.12905092592592593</v>
      </c>
      <c r="W17" s="297">
        <f t="shared" si="14"/>
        <v>0.27430555555555552</v>
      </c>
      <c r="X17" s="297">
        <f t="shared" si="15"/>
        <v>0.30208333333333331</v>
      </c>
      <c r="Y17" s="297">
        <f t="shared" si="16"/>
        <v>0</v>
      </c>
      <c r="Z17" s="472">
        <f t="shared" si="17"/>
        <v>0</v>
      </c>
    </row>
    <row r="18" spans="1:27" ht="17.25" customHeight="1" thickBot="1">
      <c r="B18" s="358"/>
      <c r="C18" s="358"/>
      <c r="D18" s="358"/>
      <c r="E18" s="358"/>
      <c r="F18" s="294"/>
      <c r="G18" s="294"/>
      <c r="H18" s="348"/>
      <c r="I18" s="535"/>
      <c r="J18" s="535"/>
      <c r="K18" s="535"/>
      <c r="L18" s="535"/>
      <c r="M18" s="535"/>
      <c r="N18" s="535"/>
      <c r="O18" s="1"/>
      <c r="P18" s="12"/>
      <c r="R18" s="277">
        <f t="shared" si="18"/>
        <v>0</v>
      </c>
      <c r="S18" s="472" t="e">
        <f t="shared" si="10"/>
        <v>#N/A</v>
      </c>
      <c r="T18" s="472" t="e">
        <f t="shared" si="11"/>
        <v>#N/A</v>
      </c>
      <c r="U18" s="297" t="e">
        <f t="shared" si="12"/>
        <v>#N/A</v>
      </c>
      <c r="V18" s="297" t="e">
        <f t="shared" si="13"/>
        <v>#N/A</v>
      </c>
      <c r="W18" s="297" t="e">
        <f t="shared" si="14"/>
        <v>#N/A</v>
      </c>
      <c r="X18" s="297" t="e">
        <f t="shared" si="15"/>
        <v>#N/A</v>
      </c>
      <c r="Y18" s="297" t="e">
        <f t="shared" si="16"/>
        <v>#N/A</v>
      </c>
      <c r="Z18" s="472" t="e">
        <f t="shared" si="17"/>
        <v>#N/A</v>
      </c>
    </row>
    <row r="19" spans="1:27" ht="17.25" customHeight="1" thickBot="1">
      <c r="B19" s="483" t="s">
        <v>162</v>
      </c>
      <c r="C19" s="388"/>
      <c r="D19" s="536" t="s">
        <v>35</v>
      </c>
      <c r="E19" s="537"/>
      <c r="F19" s="294"/>
      <c r="G19" s="294"/>
      <c r="H19" s="348"/>
      <c r="I19" s="24" t="s">
        <v>17</v>
      </c>
      <c r="J19" s="25"/>
      <c r="K19" s="26" t="s">
        <v>138</v>
      </c>
      <c r="L19" s="25" t="s">
        <v>37</v>
      </c>
      <c r="M19" s="25" t="s">
        <v>38</v>
      </c>
      <c r="N19" s="27" t="s">
        <v>39</v>
      </c>
      <c r="O19" s="294"/>
      <c r="P19" s="12"/>
      <c r="R19" s="277" t="str">
        <f t="shared" si="18"/>
        <v xml:space="preserve">BRAND </v>
      </c>
      <c r="S19" s="472" t="e">
        <f t="shared" si="10"/>
        <v>#N/A</v>
      </c>
      <c r="T19" s="472" t="e">
        <f t="shared" si="11"/>
        <v>#N/A</v>
      </c>
      <c r="U19" s="297" t="e">
        <f t="shared" si="12"/>
        <v>#N/A</v>
      </c>
      <c r="V19" s="297" t="e">
        <f t="shared" si="13"/>
        <v>#N/A</v>
      </c>
      <c r="W19" s="297" t="e">
        <f t="shared" si="14"/>
        <v>#N/A</v>
      </c>
      <c r="X19" s="297" t="e">
        <f t="shared" si="15"/>
        <v>#N/A</v>
      </c>
      <c r="Y19" s="297" t="e">
        <f t="shared" si="16"/>
        <v>#N/A</v>
      </c>
      <c r="Z19" s="472" t="e">
        <f t="shared" si="17"/>
        <v>#N/A</v>
      </c>
    </row>
    <row r="20" spans="1:27" ht="17.25" customHeight="1">
      <c r="A20" s="28"/>
      <c r="B20" s="538"/>
      <c r="C20" s="484"/>
      <c r="D20" s="523"/>
      <c r="E20" s="524"/>
      <c r="F20" s="294"/>
      <c r="G20" s="294"/>
      <c r="H20" s="348"/>
      <c r="I20" s="29" t="s">
        <v>6</v>
      </c>
      <c r="J20" s="323">
        <f>AVERAGE(I10:I13)</f>
        <v>100.74446068413457</v>
      </c>
      <c r="K20" s="284">
        <f>COUNTA([4]Brewhouse!$A$696:$A$715)</f>
        <v>20</v>
      </c>
      <c r="L20" s="305">
        <f>AVERAGE([4]Brewhouse!$AU$696:$AU$715)</f>
        <v>98.440340070586117</v>
      </c>
      <c r="M20" s="305">
        <f>AVERAGE([4]Brewhouse!$AU$42:$AU$123,[4]Brewhouse!$AU$125:$AU$188,[4]Brewhouse!$AU$198:$AU$290,[4]Brewhouse!$AU$292:$AU$370,[4]Brewhouse!$AU$372:$AU$439,[4]Brewhouse!$AU$441:$AU$497,[4]Brewhouse!$AU$499:$AU$519,[4]Brewhouse!$AU$521:$AU$593,[4]Brewhouse!$AU$595:$AU$715)</f>
        <v>98.290599313483128</v>
      </c>
      <c r="N20" s="30">
        <v>98</v>
      </c>
      <c r="O20" s="11"/>
      <c r="P20" s="31"/>
      <c r="R20" s="277">
        <f t="shared" si="18"/>
        <v>0</v>
      </c>
      <c r="S20" s="472" t="e">
        <f t="shared" si="10"/>
        <v>#N/A</v>
      </c>
      <c r="T20" s="472" t="e">
        <f t="shared" si="11"/>
        <v>#N/A</v>
      </c>
      <c r="U20" s="297" t="e">
        <f t="shared" si="12"/>
        <v>#N/A</v>
      </c>
      <c r="V20" s="297" t="e">
        <f t="shared" si="13"/>
        <v>#N/A</v>
      </c>
      <c r="W20" s="297" t="e">
        <f t="shared" si="14"/>
        <v>#N/A</v>
      </c>
      <c r="X20" s="297" t="e">
        <f t="shared" si="15"/>
        <v>#N/A</v>
      </c>
      <c r="Y20" s="297" t="e">
        <f t="shared" si="16"/>
        <v>#N/A</v>
      </c>
      <c r="Z20" s="472" t="e">
        <f t="shared" si="17"/>
        <v>#N/A</v>
      </c>
    </row>
    <row r="21" spans="1:27" ht="15" customHeight="1">
      <c r="A21" s="28"/>
      <c r="B21" s="539"/>
      <c r="C21" s="362"/>
      <c r="D21" s="525"/>
      <c r="E21" s="526"/>
      <c r="F21" s="294"/>
      <c r="G21" s="294"/>
      <c r="H21" s="348"/>
      <c r="I21" s="33" t="s">
        <v>9</v>
      </c>
      <c r="J21" s="323"/>
      <c r="K21" s="284"/>
      <c r="L21" s="302"/>
      <c r="M21" s="302">
        <f>AVERAGE([5]Brewhouse!$AS$52:$AS$81,[5]Brewhouse!$AS$83:$AS$124,[5]Brewhouse!$AS$134:$AS$177,[5]Brewhouse!$AS$22:$AS$179,[5]Brewhouse!$AS$214:$AS$249,[5]Brewhouse!$AS$252:$AS$293,[5]Brewhouse!$AS$295:$AS$325,[5]Brewhouse!$AS$327:$AS$361)</f>
        <v>98.239656393693409</v>
      </c>
      <c r="N21" s="30">
        <v>98</v>
      </c>
      <c r="O21" s="11"/>
      <c r="P21" s="31"/>
      <c r="R21" s="277">
        <f t="shared" si="18"/>
        <v>0</v>
      </c>
      <c r="S21" s="472" t="e">
        <f t="shared" si="10"/>
        <v>#N/A</v>
      </c>
      <c r="T21" s="472" t="e">
        <f t="shared" si="11"/>
        <v>#N/A</v>
      </c>
      <c r="U21" s="297" t="e">
        <f t="shared" si="12"/>
        <v>#N/A</v>
      </c>
      <c r="V21" s="297" t="e">
        <f t="shared" si="13"/>
        <v>#N/A</v>
      </c>
      <c r="W21" s="297" t="e">
        <f t="shared" si="14"/>
        <v>#N/A</v>
      </c>
      <c r="X21" s="297" t="e">
        <f t="shared" si="15"/>
        <v>#N/A</v>
      </c>
      <c r="Y21" s="297" t="e">
        <f t="shared" si="16"/>
        <v>#N/A</v>
      </c>
      <c r="Z21" s="472" t="e">
        <f t="shared" si="17"/>
        <v>#N/A</v>
      </c>
    </row>
    <row r="22" spans="1:27" ht="14.65" customHeight="1">
      <c r="A22" s="28"/>
      <c r="B22" s="539"/>
      <c r="C22" s="362"/>
      <c r="D22" s="530"/>
      <c r="E22" s="531"/>
      <c r="F22" s="294"/>
      <c r="G22" s="294"/>
      <c r="H22" s="348"/>
      <c r="I22" s="34" t="s">
        <v>12</v>
      </c>
      <c r="J22" s="323"/>
      <c r="K22" s="284"/>
      <c r="L22" s="302"/>
      <c r="M22" s="302">
        <f>AVERAGE([6]Brewhouse!$AU$16:$AU$23,[6]Brewhouse!$AU$25:$AU$32,[6]Brewhouse!$AU$34:$AU$41,[6]Brewhouse!$AU$43:$AU$60,[6]Brewhouse!$AU$62:$AU$69,[6]Brewhouse!$AU$71:$AU$88,[6]Brewhouse!$AU$90:$AU$97)</f>
        <v>96.502171439390338</v>
      </c>
      <c r="N22" s="30">
        <v>98</v>
      </c>
      <c r="O22" s="11"/>
      <c r="P22" s="31"/>
      <c r="R22" s="277">
        <f t="shared" si="18"/>
        <v>0</v>
      </c>
      <c r="S22" s="472" t="e">
        <f t="shared" si="10"/>
        <v>#N/A</v>
      </c>
      <c r="T22" s="472" t="e">
        <f t="shared" si="11"/>
        <v>#N/A</v>
      </c>
      <c r="U22" s="297" t="e">
        <f t="shared" si="12"/>
        <v>#N/A</v>
      </c>
      <c r="V22" s="297" t="e">
        <f t="shared" si="13"/>
        <v>#N/A</v>
      </c>
      <c r="W22" s="297" t="e">
        <f t="shared" si="14"/>
        <v>#N/A</v>
      </c>
      <c r="X22" s="297" t="e">
        <f t="shared" si="15"/>
        <v>#N/A</v>
      </c>
      <c r="Y22" s="297" t="e">
        <f t="shared" si="16"/>
        <v>#N/A</v>
      </c>
      <c r="Z22" s="472" t="e">
        <f t="shared" si="17"/>
        <v>#N/A</v>
      </c>
    </row>
    <row r="23" spans="1:27" ht="14.65" customHeight="1">
      <c r="A23" s="28"/>
      <c r="B23" s="539"/>
      <c r="C23" s="362"/>
      <c r="D23" s="532"/>
      <c r="E23" s="526"/>
      <c r="F23" s="294"/>
      <c r="G23" s="294"/>
      <c r="H23" s="348"/>
      <c r="I23" s="22" t="s">
        <v>33</v>
      </c>
      <c r="J23" s="280"/>
      <c r="K23" s="284"/>
      <c r="L23" s="302"/>
      <c r="M23" s="302">
        <f>AVERAGE([7]Brewhouse!$AV$23:$AV$34,[7]Brewhouse!$AV$36,[7]Brewhouse!$AV$38:$AV$52,[7]Brewhouse!$AV$54:$AV$60,[7]Brewhouse!$AV$62:$AV$69,[7]Brewhouse!$AV$71:$AV$78,[7]Brewhouse!$AV$80:$AV$87,[7]Brewhouse!$AV$89:$AV$96)</f>
        <v>97.559547139003357</v>
      </c>
      <c r="N23" s="30">
        <v>98</v>
      </c>
      <c r="O23" s="11"/>
      <c r="P23" s="31"/>
      <c r="R23" s="277">
        <f t="shared" si="18"/>
        <v>0</v>
      </c>
      <c r="S23" s="472" t="e">
        <f t="shared" si="10"/>
        <v>#N/A</v>
      </c>
      <c r="T23" s="472" t="e">
        <f t="shared" si="11"/>
        <v>#N/A</v>
      </c>
      <c r="U23" s="297" t="e">
        <f t="shared" si="12"/>
        <v>#N/A</v>
      </c>
      <c r="V23" s="297" t="e">
        <f t="shared" si="13"/>
        <v>#N/A</v>
      </c>
      <c r="W23" s="297" t="e">
        <f t="shared" si="14"/>
        <v>#N/A</v>
      </c>
      <c r="X23" s="297" t="e">
        <f t="shared" si="15"/>
        <v>#N/A</v>
      </c>
      <c r="Y23" s="297" t="e">
        <f t="shared" si="16"/>
        <v>#N/A</v>
      </c>
      <c r="Z23" s="472" t="e">
        <f t="shared" si="17"/>
        <v>#N/A</v>
      </c>
    </row>
    <row r="24" spans="1:27" ht="14.65" customHeight="1">
      <c r="A24" s="28"/>
      <c r="B24" s="539"/>
      <c r="C24" s="362"/>
      <c r="D24" s="530"/>
      <c r="E24" s="531"/>
      <c r="F24" s="294"/>
      <c r="G24" s="294"/>
      <c r="H24" s="348"/>
      <c r="I24" s="35" t="s">
        <v>29</v>
      </c>
      <c r="J24" s="280"/>
      <c r="K24" s="284"/>
      <c r="L24" s="302"/>
      <c r="M24" s="302"/>
      <c r="N24" s="30">
        <v>98</v>
      </c>
      <c r="O24" s="11"/>
      <c r="P24" s="31"/>
      <c r="R24" s="277">
        <f t="shared" si="18"/>
        <v>0</v>
      </c>
      <c r="S24" s="472" t="e">
        <f t="shared" si="10"/>
        <v>#N/A</v>
      </c>
      <c r="T24" s="472" t="e">
        <f t="shared" si="11"/>
        <v>#N/A</v>
      </c>
      <c r="U24" s="297" t="e">
        <f t="shared" si="12"/>
        <v>#N/A</v>
      </c>
      <c r="V24" s="297" t="e">
        <f t="shared" si="13"/>
        <v>#N/A</v>
      </c>
      <c r="W24" s="297" t="e">
        <f t="shared" si="14"/>
        <v>#N/A</v>
      </c>
      <c r="X24" s="297" t="e">
        <f t="shared" si="15"/>
        <v>#N/A</v>
      </c>
      <c r="Y24" s="297" t="e">
        <f t="shared" si="16"/>
        <v>#N/A</v>
      </c>
      <c r="Z24" s="472" t="e">
        <f t="shared" si="17"/>
        <v>#N/A</v>
      </c>
    </row>
    <row r="25" spans="1:27" ht="14.65" customHeight="1">
      <c r="A25" s="28"/>
      <c r="B25" s="539"/>
      <c r="C25" s="362"/>
      <c r="D25" s="532"/>
      <c r="E25" s="526"/>
      <c r="F25" s="417"/>
      <c r="G25" s="294"/>
      <c r="H25" s="348"/>
      <c r="I25" s="36" t="s">
        <v>15</v>
      </c>
      <c r="J25" s="323">
        <f>AVERAGE(I15:I17)</f>
        <v>94.944409038693536</v>
      </c>
      <c r="K25" s="284">
        <f>COUNTA([8]Brewhouse!$A$23:$A$25)</f>
        <v>3</v>
      </c>
      <c r="L25" s="302">
        <f>AVERAGE([8]Brewhouse!$AT$23:$AT$25)</f>
        <v>94.944409038693536</v>
      </c>
      <c r="M25" s="302">
        <f>AVERAGE([8]Brewhouse!$AT$4:$AT$11,[8]Brewhouse!$AT$13:$AT$16,[8]Brewhouse!$AT$18:$AT$25)</f>
        <v>92.343580441446861</v>
      </c>
      <c r="N25" s="30">
        <v>98</v>
      </c>
      <c r="O25" s="11"/>
      <c r="P25" s="31"/>
      <c r="R25" s="277">
        <f t="shared" si="18"/>
        <v>0</v>
      </c>
      <c r="S25" s="472" t="e">
        <f t="shared" si="10"/>
        <v>#N/A</v>
      </c>
      <c r="T25" s="472" t="e">
        <f t="shared" si="11"/>
        <v>#N/A</v>
      </c>
      <c r="U25" s="297" t="e">
        <f t="shared" si="12"/>
        <v>#N/A</v>
      </c>
      <c r="V25" s="297" t="e">
        <f t="shared" si="13"/>
        <v>#N/A</v>
      </c>
      <c r="W25" s="297" t="e">
        <f t="shared" si="14"/>
        <v>#N/A</v>
      </c>
      <c r="X25" s="297" t="e">
        <f t="shared" si="15"/>
        <v>#N/A</v>
      </c>
      <c r="Y25" s="297" t="e">
        <f t="shared" si="16"/>
        <v>#N/A</v>
      </c>
      <c r="Z25" s="472" t="e">
        <f t="shared" si="17"/>
        <v>#N/A</v>
      </c>
    </row>
    <row r="26" spans="1:27" ht="14.65" customHeight="1">
      <c r="A26" s="28"/>
      <c r="B26" s="539"/>
      <c r="C26" s="362"/>
      <c r="D26" s="530"/>
      <c r="E26" s="531"/>
      <c r="F26" s="417"/>
      <c r="G26" s="294"/>
      <c r="H26" s="348"/>
      <c r="I26" s="37" t="s">
        <v>16</v>
      </c>
      <c r="J26" s="323"/>
      <c r="K26" s="284"/>
      <c r="L26" s="302"/>
      <c r="M26" s="302">
        <f>AVERAGE([3]Brewhouse!$AY$5:$AY$14,[3]Brewhouse!$AY$16:$AY$23,[3]Brewhouse!$AY$42,[3]Brewhouse!$AY$44:$AY$51,[3]Brewhouse!$AY$53:$AY$64,[3]Brewhouse!$AY$66:$AY$73,[3]Brewhouse!$AY$75:$AY$82,[3]Brewhouse!$AY$84:$AY$101)</f>
        <v>97.784660430003186</v>
      </c>
      <c r="N26" s="30">
        <v>98</v>
      </c>
      <c r="O26" s="11"/>
      <c r="P26" s="31" t="s">
        <v>41</v>
      </c>
      <c r="R26" s="277">
        <f t="shared" si="18"/>
        <v>0</v>
      </c>
      <c r="S26" s="472" t="e">
        <f t="shared" si="10"/>
        <v>#N/A</v>
      </c>
      <c r="T26" s="472" t="e">
        <f t="shared" si="11"/>
        <v>#N/A</v>
      </c>
      <c r="U26" s="297" t="e">
        <f t="shared" si="12"/>
        <v>#N/A</v>
      </c>
      <c r="V26" s="297" t="e">
        <f t="shared" si="13"/>
        <v>#N/A</v>
      </c>
      <c r="W26" s="297" t="e">
        <f t="shared" si="14"/>
        <v>#N/A</v>
      </c>
      <c r="X26" s="297" t="e">
        <f t="shared" si="15"/>
        <v>#N/A</v>
      </c>
      <c r="Y26" s="297" t="e">
        <f t="shared" si="16"/>
        <v>#N/A</v>
      </c>
      <c r="Z26" s="472" t="e">
        <f t="shared" si="17"/>
        <v>#N/A</v>
      </c>
    </row>
    <row r="27" spans="1:27" ht="14.65" customHeight="1">
      <c r="A27" s="28"/>
      <c r="B27" s="539"/>
      <c r="C27" s="362"/>
      <c r="D27" s="532"/>
      <c r="E27" s="526"/>
      <c r="F27" s="294"/>
      <c r="G27" s="294"/>
      <c r="H27" s="348"/>
      <c r="I27" s="411" t="s">
        <v>158</v>
      </c>
      <c r="J27" s="326"/>
      <c r="K27" s="284"/>
      <c r="L27" s="305"/>
      <c r="M27" s="305"/>
      <c r="N27" s="30">
        <v>98</v>
      </c>
      <c r="O27" s="11"/>
      <c r="P27" s="31"/>
      <c r="R27" s="277">
        <f t="shared" si="9"/>
        <v>0</v>
      </c>
      <c r="S27" s="472" t="e">
        <f t="shared" si="10"/>
        <v>#N/A</v>
      </c>
      <c r="T27" s="472" t="e">
        <f t="shared" si="11"/>
        <v>#N/A</v>
      </c>
      <c r="U27" s="297" t="e">
        <f t="shared" si="12"/>
        <v>#N/A</v>
      </c>
      <c r="V27" s="297" t="e">
        <f t="shared" si="13"/>
        <v>#N/A</v>
      </c>
      <c r="W27" s="297" t="e">
        <f t="shared" si="14"/>
        <v>#N/A</v>
      </c>
      <c r="X27" s="297" t="e">
        <f t="shared" si="15"/>
        <v>#N/A</v>
      </c>
      <c r="Y27" s="297" t="e">
        <f t="shared" si="16"/>
        <v>#N/A</v>
      </c>
      <c r="Z27" s="472" t="e">
        <f t="shared" si="17"/>
        <v>#N/A</v>
      </c>
    </row>
    <row r="28" spans="1:27" ht="14.65" customHeight="1">
      <c r="A28" s="28"/>
      <c r="B28" s="539"/>
      <c r="C28" s="362"/>
      <c r="D28" s="530"/>
      <c r="E28" s="531"/>
      <c r="F28" s="294"/>
      <c r="G28" s="294"/>
      <c r="H28" s="348"/>
      <c r="I28" s="410" t="s">
        <v>157</v>
      </c>
      <c r="J28" s="326"/>
      <c r="K28" s="284"/>
      <c r="L28" s="305"/>
      <c r="M28" s="305"/>
      <c r="N28" s="30">
        <v>98</v>
      </c>
      <c r="O28" s="11"/>
      <c r="P28" s="31"/>
      <c r="R28" s="277">
        <f t="shared" si="9"/>
        <v>0</v>
      </c>
      <c r="S28" s="472" t="e">
        <f t="shared" si="10"/>
        <v>#N/A</v>
      </c>
      <c r="T28" s="472" t="e">
        <f t="shared" si="11"/>
        <v>#N/A</v>
      </c>
      <c r="U28" s="297" t="e">
        <f t="shared" si="12"/>
        <v>#N/A</v>
      </c>
      <c r="V28" s="297" t="e">
        <f t="shared" si="13"/>
        <v>#N/A</v>
      </c>
      <c r="W28" s="297" t="e">
        <f t="shared" si="14"/>
        <v>#N/A</v>
      </c>
      <c r="X28" s="297" t="e">
        <f t="shared" si="15"/>
        <v>#N/A</v>
      </c>
      <c r="Y28" s="297" t="e">
        <f t="shared" si="16"/>
        <v>#N/A</v>
      </c>
      <c r="Z28" s="472" t="e">
        <f t="shared" si="17"/>
        <v>#N/A</v>
      </c>
      <c r="AA28" s="472"/>
    </row>
    <row r="29" spans="1:27" ht="15" customHeight="1" thickBot="1">
      <c r="A29" s="28"/>
      <c r="B29" s="539"/>
      <c r="C29" s="362"/>
      <c r="D29" s="532"/>
      <c r="E29" s="526"/>
      <c r="F29" s="294"/>
      <c r="G29" s="294"/>
      <c r="H29" s="348"/>
      <c r="I29" s="406" t="s">
        <v>156</v>
      </c>
      <c r="J29" s="327"/>
      <c r="K29" s="407"/>
      <c r="L29" s="408"/>
      <c r="M29" s="408"/>
      <c r="N29" s="409">
        <v>98</v>
      </c>
      <c r="O29" s="11"/>
      <c r="P29" s="31"/>
      <c r="R29" s="277">
        <f t="shared" si="9"/>
        <v>0</v>
      </c>
      <c r="S29" s="472" t="e">
        <f t="shared" si="10"/>
        <v>#N/A</v>
      </c>
      <c r="T29" s="472" t="e">
        <f t="shared" si="11"/>
        <v>#N/A</v>
      </c>
      <c r="U29" s="297" t="e">
        <f t="shared" si="12"/>
        <v>#N/A</v>
      </c>
      <c r="V29" s="297" t="e">
        <f t="shared" si="13"/>
        <v>#N/A</v>
      </c>
      <c r="W29" s="297" t="e">
        <f t="shared" si="14"/>
        <v>#N/A</v>
      </c>
      <c r="X29" s="297" t="e">
        <f t="shared" si="15"/>
        <v>#N/A</v>
      </c>
      <c r="Y29" s="297" t="e">
        <f t="shared" si="16"/>
        <v>#N/A</v>
      </c>
      <c r="Z29" s="472" t="e">
        <f t="shared" si="17"/>
        <v>#N/A</v>
      </c>
      <c r="AA29" s="472"/>
    </row>
    <row r="30" spans="1:27" ht="15" customHeight="1" thickBot="1">
      <c r="A30" s="28"/>
      <c r="B30" s="539"/>
      <c r="C30" s="349"/>
      <c r="D30" s="523"/>
      <c r="E30" s="524"/>
      <c r="F30" s="294"/>
      <c r="G30" s="294"/>
      <c r="H30" s="348"/>
      <c r="I30" s="1"/>
      <c r="J30" s="39"/>
      <c r="K30" s="404">
        <f>SUM(K20:K29)</f>
        <v>23</v>
      </c>
      <c r="L30" s="405">
        <f>((L20*K20)+(L21*K21)+(L22*K22)+(L23*K23)+(L24*K24)+(K27*L27)+(L25*K25)+(L26*K26)+(L29*K29))/(K30)</f>
        <v>97.984349066426205</v>
      </c>
      <c r="M30" s="405">
        <f>AVERAGE('[9]Jan30th-31st'!$L$42,'[10]Feb 27th-28th'!$L$45,'[11]Mar 31st'!$L$42,'[12]Apr 30th'!$L$41,'[13]May 29th '!$L$35,'[14]June 30th'!$L$32,[15]July31st!$L$36,'[16]Aug 31st'!$L$32,L30)</f>
        <v>97.98352087719573</v>
      </c>
      <c r="N30" s="40">
        <v>98</v>
      </c>
      <c r="O30" s="11"/>
      <c r="P30" s="31"/>
      <c r="R30" s="277">
        <f t="shared" si="9"/>
        <v>0</v>
      </c>
      <c r="S30" s="472" t="e">
        <f t="shared" si="10"/>
        <v>#N/A</v>
      </c>
      <c r="T30" s="472" t="e">
        <f t="shared" si="11"/>
        <v>#N/A</v>
      </c>
      <c r="U30" s="297" t="e">
        <f t="shared" si="12"/>
        <v>#N/A</v>
      </c>
      <c r="V30" s="297" t="e">
        <f t="shared" si="13"/>
        <v>#N/A</v>
      </c>
      <c r="W30" s="297" t="e">
        <f t="shared" si="14"/>
        <v>#N/A</v>
      </c>
      <c r="X30" s="297" t="e">
        <f t="shared" si="15"/>
        <v>#N/A</v>
      </c>
      <c r="Y30" s="297" t="e">
        <f t="shared" si="16"/>
        <v>#N/A</v>
      </c>
      <c r="Z30" s="472" t="e">
        <f t="shared" si="17"/>
        <v>#N/A</v>
      </c>
      <c r="AA30" s="472"/>
    </row>
    <row r="31" spans="1:27" ht="15.75" thickBot="1">
      <c r="B31" s="540"/>
      <c r="C31" s="350"/>
      <c r="D31" s="525"/>
      <c r="E31" s="526"/>
      <c r="F31" s="294"/>
      <c r="G31" s="42"/>
      <c r="H31" s="41"/>
      <c r="I31" s="42"/>
      <c r="J31" s="42"/>
      <c r="K31" s="351"/>
      <c r="L31" s="348"/>
      <c r="M31" s="348"/>
      <c r="N31" s="11"/>
      <c r="O31" s="294"/>
      <c r="P31" s="12"/>
      <c r="R31" s="277">
        <f t="shared" si="9"/>
        <v>0</v>
      </c>
      <c r="S31" s="472" t="e">
        <f t="shared" si="10"/>
        <v>#N/A</v>
      </c>
      <c r="T31" s="472" t="e">
        <f t="shared" si="11"/>
        <v>#N/A</v>
      </c>
      <c r="U31" s="297" t="e">
        <f t="shared" si="12"/>
        <v>#N/A</v>
      </c>
      <c r="V31" s="297" t="e">
        <f t="shared" si="13"/>
        <v>#N/A</v>
      </c>
      <c r="W31" s="297" t="e">
        <f t="shared" si="14"/>
        <v>#N/A</v>
      </c>
      <c r="X31" s="297" t="e">
        <f t="shared" si="15"/>
        <v>#N/A</v>
      </c>
      <c r="Y31" s="297" t="e">
        <f t="shared" si="16"/>
        <v>#N/A</v>
      </c>
      <c r="Z31" s="472" t="e">
        <f t="shared" si="17"/>
        <v>#N/A</v>
      </c>
      <c r="AA31" s="472"/>
    </row>
    <row r="32" spans="1:27" ht="15.75" thickBot="1">
      <c r="B32" s="520"/>
      <c r="C32" s="362"/>
      <c r="D32" s="523"/>
      <c r="E32" s="524"/>
      <c r="F32" s="294"/>
      <c r="G32" s="42"/>
      <c r="H32" s="41"/>
      <c r="I32" s="42"/>
      <c r="J32" s="527" t="s">
        <v>129</v>
      </c>
      <c r="K32" s="527"/>
      <c r="L32" s="294"/>
      <c r="M32" s="294"/>
      <c r="N32" s="294"/>
      <c r="O32" s="294"/>
      <c r="P32" s="12"/>
    </row>
    <row r="33" spans="2:56" ht="15.75" thickBot="1">
      <c r="B33" s="521"/>
      <c r="C33" s="362"/>
      <c r="D33" s="525"/>
      <c r="E33" s="526"/>
      <c r="F33" s="294"/>
      <c r="G33" s="42"/>
      <c r="H33" s="42"/>
      <c r="I33" s="42"/>
      <c r="J33" s="292" t="s">
        <v>17</v>
      </c>
      <c r="K33" s="293"/>
      <c r="L33" s="528" t="s">
        <v>136</v>
      </c>
      <c r="M33" s="528"/>
      <c r="N33" s="529"/>
      <c r="O33" s="294"/>
      <c r="P33" s="12"/>
    </row>
    <row r="34" spans="2:56" ht="15" customHeight="1" thickBot="1">
      <c r="B34" s="521"/>
      <c r="C34" s="349"/>
      <c r="D34" s="530"/>
      <c r="E34" s="531"/>
      <c r="F34" s="294"/>
      <c r="G34" s="42"/>
      <c r="H34" s="42"/>
      <c r="I34" s="42"/>
      <c r="J34" s="287" t="s">
        <v>6</v>
      </c>
      <c r="K34" s="324">
        <v>4</v>
      </c>
      <c r="L34" s="473" t="s">
        <v>37</v>
      </c>
      <c r="M34" s="474" t="s">
        <v>38</v>
      </c>
      <c r="N34" s="474" t="s">
        <v>84</v>
      </c>
      <c r="O34" s="294"/>
      <c r="P34" s="12"/>
    </row>
    <row r="35" spans="2:56" ht="15.75" customHeight="1" thickBot="1">
      <c r="B35" s="521"/>
      <c r="C35" s="349"/>
      <c r="D35" s="532"/>
      <c r="E35" s="526"/>
      <c r="F35" s="294"/>
      <c r="G35" s="42"/>
      <c r="H35" s="42"/>
      <c r="I35" s="42"/>
      <c r="J35" s="345" t="s">
        <v>9</v>
      </c>
      <c r="K35" s="324"/>
      <c r="L35" s="485">
        <f>AVERAGE('Sept 1st'!K45,'Sept 2nd'!K47,K44)</f>
        <v>7.666666666666667</v>
      </c>
      <c r="M35" s="486">
        <f>AVERAGE('[9]Jan30th-31st'!$L$47,L35,'[10]Feb 26th '!$L$39,'[11]Mar 31st'!$L$47,'[12]Apr 30th'!$L$46,'[13]May 29th '!$L$40,'[14]June 30th'!$L$39,[15]July31st!$L$41,'[16]Aug 31st'!$L$37)</f>
        <v>6.5896411157280728</v>
      </c>
      <c r="N35" s="416">
        <v>9.1999999999999993</v>
      </c>
      <c r="O35" s="294"/>
      <c r="P35" s="12"/>
    </row>
    <row r="36" spans="2:56" ht="15" customHeight="1">
      <c r="B36" s="521"/>
      <c r="C36" s="349"/>
      <c r="D36" s="530"/>
      <c r="E36" s="531"/>
      <c r="F36" s="294"/>
      <c r="G36" s="42"/>
      <c r="H36" s="42"/>
      <c r="I36" s="42"/>
      <c r="J36" s="288" t="s">
        <v>40</v>
      </c>
      <c r="K36" s="324"/>
      <c r="L36" s="294"/>
      <c r="M36" s="294"/>
      <c r="N36" s="294"/>
      <c r="O36" s="294"/>
      <c r="P36" s="12"/>
    </row>
    <row r="37" spans="2:56" ht="15" customHeight="1">
      <c r="B37" s="521"/>
      <c r="C37" s="349"/>
      <c r="D37" s="532"/>
      <c r="E37" s="526"/>
      <c r="F37" s="294"/>
      <c r="G37" s="42"/>
      <c r="H37" s="42"/>
      <c r="I37" s="42"/>
      <c r="J37" s="289" t="s">
        <v>33</v>
      </c>
      <c r="K37" s="324"/>
      <c r="L37" s="294"/>
      <c r="M37" s="294"/>
      <c r="N37" s="294"/>
      <c r="O37" s="294"/>
      <c r="P37" s="12"/>
    </row>
    <row r="38" spans="2:56" ht="15">
      <c r="B38" s="521"/>
      <c r="C38" s="349"/>
      <c r="D38" s="530"/>
      <c r="E38" s="531"/>
      <c r="F38" s="294"/>
      <c r="G38" s="42"/>
      <c r="H38" s="42"/>
      <c r="I38" s="42"/>
      <c r="J38" s="290" t="s">
        <v>16</v>
      </c>
      <c r="K38" s="324">
        <v>3</v>
      </c>
      <c r="L38" s="294"/>
      <c r="M38" s="294"/>
      <c r="N38" s="294"/>
      <c r="O38" s="294"/>
      <c r="P38" s="12"/>
      <c r="BC38" s="44"/>
      <c r="BD38" s="44"/>
    </row>
    <row r="39" spans="2:56" ht="15">
      <c r="B39" s="521"/>
      <c r="C39" s="349"/>
      <c r="D39" s="532"/>
      <c r="E39" s="526"/>
      <c r="F39" s="294"/>
      <c r="G39" s="42"/>
      <c r="H39" s="42"/>
      <c r="I39" s="42"/>
      <c r="J39" s="291" t="s">
        <v>15</v>
      </c>
      <c r="K39" s="324"/>
      <c r="L39" s="294"/>
      <c r="M39" s="294"/>
      <c r="N39" s="294"/>
      <c r="O39" s="294"/>
      <c r="P39" s="12"/>
      <c r="BC39" s="44"/>
      <c r="BD39" s="44"/>
    </row>
    <row r="40" spans="2:56" ht="15">
      <c r="B40" s="521"/>
      <c r="C40" s="349"/>
      <c r="D40" s="530"/>
      <c r="E40" s="531"/>
      <c r="F40" s="294"/>
      <c r="G40" s="42"/>
      <c r="H40" s="42"/>
      <c r="I40" s="42"/>
      <c r="J40" s="291" t="s">
        <v>149</v>
      </c>
      <c r="K40" s="324"/>
      <c r="L40" s="294"/>
      <c r="M40" s="294"/>
      <c r="N40" s="294"/>
      <c r="O40" s="294"/>
      <c r="P40" s="12"/>
      <c r="BC40" s="44"/>
      <c r="BD40" s="44"/>
    </row>
    <row r="41" spans="2:56" ht="15.75" thickBot="1">
      <c r="B41" s="522"/>
      <c r="C41" s="350"/>
      <c r="D41" s="533"/>
      <c r="E41" s="534"/>
      <c r="F41" s="294" t="s">
        <v>165</v>
      </c>
      <c r="G41" s="42"/>
      <c r="H41" s="42"/>
      <c r="I41" s="42"/>
      <c r="J41" s="291" t="s">
        <v>148</v>
      </c>
      <c r="K41" s="324"/>
      <c r="L41" s="294"/>
      <c r="M41" s="294"/>
      <c r="N41" s="294" t="s">
        <v>41</v>
      </c>
      <c r="O41" s="294"/>
      <c r="P41" s="12"/>
      <c r="BC41" s="44"/>
      <c r="BD41" s="44"/>
    </row>
    <row r="42" spans="2:56" ht="17.649999999999999" customHeight="1" thickBot="1">
      <c r="B42" s="312" t="s">
        <v>139</v>
      </c>
      <c r="C42" s="313"/>
      <c r="D42" s="511"/>
      <c r="E42" s="512"/>
      <c r="F42" s="294"/>
      <c r="J42" s="295" t="s">
        <v>134</v>
      </c>
      <c r="K42" s="324"/>
      <c r="L42" s="294"/>
      <c r="M42" s="294"/>
      <c r="N42" s="294"/>
      <c r="O42" s="294"/>
      <c r="P42" s="12"/>
      <c r="BC42" s="44"/>
      <c r="BD42" s="44"/>
    </row>
    <row r="43" spans="2:56" ht="17.649999999999999" customHeight="1">
      <c r="B43" s="363"/>
      <c r="C43" s="364"/>
      <c r="D43" s="365"/>
      <c r="E43" s="365"/>
      <c r="F43" s="294"/>
      <c r="G43" s="42"/>
      <c r="H43" s="42"/>
      <c r="I43" s="42"/>
      <c r="J43" s="295" t="s">
        <v>131</v>
      </c>
      <c r="K43" s="324"/>
      <c r="L43" s="294"/>
      <c r="M43" s="294"/>
      <c r="N43" s="294"/>
      <c r="O43" s="294"/>
      <c r="P43" s="12"/>
      <c r="BC43" s="44"/>
      <c r="BD43" s="44"/>
    </row>
    <row r="44" spans="2:56" ht="15.6" customHeight="1">
      <c r="B44" s="45"/>
      <c r="C44" s="11"/>
      <c r="D44" s="11"/>
      <c r="E44" s="46"/>
      <c r="F44" s="294"/>
      <c r="G44" s="42"/>
      <c r="H44" s="42"/>
      <c r="I44" s="42"/>
      <c r="J44" s="346" t="s">
        <v>130</v>
      </c>
      <c r="K44" s="324">
        <f>SUM(K34:K43)</f>
        <v>7</v>
      </c>
      <c r="L44" s="294"/>
      <c r="M44" s="294"/>
      <c r="N44" s="294"/>
      <c r="O44" s="294"/>
      <c r="P44" s="12"/>
    </row>
    <row r="45" spans="2:56" ht="20.25" customHeight="1">
      <c r="B45" s="15" t="s">
        <v>42</v>
      </c>
      <c r="C45" s="1" t="s">
        <v>43</v>
      </c>
      <c r="D45" s="1"/>
      <c r="E45" s="1"/>
      <c r="F45" s="294"/>
      <c r="G45" s="42"/>
      <c r="H45" s="41"/>
      <c r="I45" s="42"/>
      <c r="L45" s="42"/>
      <c r="N45" s="315"/>
      <c r="P45" s="334"/>
    </row>
    <row r="46" spans="2:56" ht="15" customHeight="1" thickBot="1">
      <c r="B46" s="48"/>
      <c r="C46" s="48"/>
      <c r="D46" s="48"/>
      <c r="E46" s="48"/>
      <c r="F46" s="48"/>
      <c r="G46" s="48"/>
      <c r="H46" s="48"/>
      <c r="I46" s="48"/>
      <c r="J46" s="48"/>
      <c r="K46" s="48"/>
      <c r="L46" s="48"/>
      <c r="M46" s="48"/>
      <c r="N46" s="41"/>
      <c r="O46" s="48"/>
      <c r="P46" s="49"/>
    </row>
    <row r="47" spans="2:56" ht="15" customHeight="1" thickBot="1">
      <c r="B47" s="505" t="s">
        <v>17</v>
      </c>
      <c r="C47" s="505" t="s">
        <v>44</v>
      </c>
      <c r="D47" s="514" t="s">
        <v>45</v>
      </c>
      <c r="E47" s="516" t="s">
        <v>46</v>
      </c>
      <c r="F47" s="518" t="s">
        <v>47</v>
      </c>
      <c r="G47" s="503" t="s">
        <v>48</v>
      </c>
      <c r="H47" s="505" t="s">
        <v>49</v>
      </c>
      <c r="I47" s="505" t="s">
        <v>50</v>
      </c>
      <c r="J47" s="497" t="s">
        <v>28</v>
      </c>
      <c r="K47" s="507" t="s">
        <v>51</v>
      </c>
      <c r="L47" s="509" t="s">
        <v>52</v>
      </c>
      <c r="M47" s="497" t="s">
        <v>53</v>
      </c>
      <c r="N47" s="13"/>
      <c r="O47" s="13"/>
      <c r="P47" s="50"/>
    </row>
    <row r="48" spans="2:56" ht="28.5" customHeight="1" thickTop="1" thickBot="1">
      <c r="B48" s="506"/>
      <c r="C48" s="513"/>
      <c r="D48" s="515"/>
      <c r="E48" s="517"/>
      <c r="F48" s="519"/>
      <c r="G48" s="504"/>
      <c r="H48" s="506"/>
      <c r="I48" s="506"/>
      <c r="J48" s="498"/>
      <c r="K48" s="508"/>
      <c r="L48" s="510"/>
      <c r="M48" s="498"/>
      <c r="N48" s="13"/>
      <c r="O48" s="13"/>
      <c r="P48" s="50"/>
      <c r="Q48" s="355"/>
      <c r="AB48" s="475">
        <v>43474</v>
      </c>
      <c r="AC48" s="475">
        <v>43475</v>
      </c>
      <c r="AD48" s="475">
        <v>43476</v>
      </c>
      <c r="AE48" s="475">
        <v>43477</v>
      </c>
      <c r="AF48" s="475">
        <v>43478</v>
      </c>
      <c r="AG48" s="475">
        <v>43479</v>
      </c>
      <c r="AH48" s="475">
        <v>43480</v>
      </c>
      <c r="AI48" s="475">
        <v>43481</v>
      </c>
      <c r="AJ48" s="475">
        <v>43482</v>
      </c>
      <c r="AK48" s="475">
        <v>43483</v>
      </c>
      <c r="AL48" s="475">
        <v>43484</v>
      </c>
      <c r="AM48" s="475">
        <v>43485</v>
      </c>
      <c r="AN48" s="475">
        <v>43486</v>
      </c>
      <c r="AO48" s="475">
        <v>43487</v>
      </c>
      <c r="AP48" s="475">
        <v>43488</v>
      </c>
      <c r="AQ48" s="475">
        <v>43489</v>
      </c>
      <c r="AR48" s="475">
        <v>43490</v>
      </c>
      <c r="AS48" s="475">
        <v>43491</v>
      </c>
      <c r="AT48" s="475">
        <v>43492</v>
      </c>
      <c r="AU48" s="475">
        <v>43493</v>
      </c>
      <c r="AV48" s="475">
        <v>43494</v>
      </c>
      <c r="AW48" s="475">
        <v>43495</v>
      </c>
      <c r="AX48" s="475">
        <v>43496</v>
      </c>
    </row>
    <row r="49" spans="2:57" s="54" customFormat="1" ht="36.75" customHeight="1" thickBot="1">
      <c r="B49" s="491" t="str">
        <f>J35</f>
        <v>STAG</v>
      </c>
      <c r="C49" s="479">
        <v>46268</v>
      </c>
      <c r="D49" s="445">
        <f>[18]September_2026!$F$13</f>
        <v>395.99999999999994</v>
      </c>
      <c r="E49" s="443"/>
      <c r="F49" s="444"/>
      <c r="G49" s="444">
        <f>[18]September_2026!$F$17</f>
        <v>361.8</v>
      </c>
      <c r="H49" s="458"/>
      <c r="I49" s="458"/>
      <c r="J49" s="448" t="s">
        <v>169</v>
      </c>
      <c r="K49" s="449">
        <f>[19]September_2026!$F$25</f>
        <v>0.31736842105263158</v>
      </c>
      <c r="L49" s="457">
        <f>(((D49+E49)-G49)/(D49+E49))*100</f>
        <v>8.6363636363636189</v>
      </c>
      <c r="M49" s="455" t="s">
        <v>173</v>
      </c>
      <c r="N49" s="13"/>
      <c r="O49" s="13"/>
      <c r="P49" s="50"/>
      <c r="R49" s="275"/>
      <c r="S49" s="275"/>
      <c r="T49" s="275"/>
      <c r="U49" s="275"/>
      <c r="V49" s="275"/>
      <c r="W49" s="275"/>
      <c r="X49" s="275"/>
      <c r="Y49" s="275"/>
      <c r="Z49" s="275"/>
      <c r="AA49" s="275"/>
      <c r="AB49" s="57">
        <f>[17]January_2019!L5</f>
        <v>0</v>
      </c>
      <c r="AC49" s="57">
        <f>[17]January_2019!M5</f>
        <v>0</v>
      </c>
      <c r="AD49" s="57">
        <f>[17]January_2019!N5</f>
        <v>0</v>
      </c>
      <c r="AE49" s="57">
        <f>[17]January_2019!O5</f>
        <v>0</v>
      </c>
      <c r="AF49" s="57">
        <f>[17]January_2019!P5</f>
        <v>0</v>
      </c>
      <c r="AG49" s="57">
        <f>[17]January_2019!Q5</f>
        <v>0</v>
      </c>
      <c r="AH49" s="57">
        <f>[17]January_2019!R5</f>
        <v>0</v>
      </c>
      <c r="AI49" s="57">
        <f>[17]January_2019!S5</f>
        <v>0</v>
      </c>
      <c r="AJ49" s="57">
        <f>[17]January_2019!T5</f>
        <v>0</v>
      </c>
      <c r="AK49" s="57">
        <f>[17]January_2019!U5</f>
        <v>0</v>
      </c>
      <c r="AL49" s="57">
        <f>[17]January_2019!V5</f>
        <v>0</v>
      </c>
      <c r="AM49" s="57">
        <f>[17]January_2019!W5</f>
        <v>0</v>
      </c>
      <c r="AN49" s="57">
        <f>[17]January_2019!X5</f>
        <v>0</v>
      </c>
      <c r="AO49" s="57">
        <f>[17]January_2019!Y5</f>
        <v>0</v>
      </c>
      <c r="AP49" s="57">
        <f>[17]January_2019!Z5</f>
        <v>0</v>
      </c>
      <c r="AQ49" s="57">
        <f>[17]January_2019!AA5</f>
        <v>0</v>
      </c>
      <c r="AR49" s="57">
        <f>[17]January_2019!AB5</f>
        <v>0</v>
      </c>
      <c r="AS49" s="57">
        <f>[17]January_2019!AC5</f>
        <v>0</v>
      </c>
      <c r="AT49" s="57">
        <f>[17]January_2019!AD5</f>
        <v>0</v>
      </c>
      <c r="AU49" s="57">
        <f>[17]January_2019!AE5</f>
        <v>0</v>
      </c>
      <c r="AV49" s="57">
        <f>[17]January_2019!AF5</f>
        <v>0</v>
      </c>
      <c r="AW49" s="57">
        <f>[17]January_2019!AG5</f>
        <v>0</v>
      </c>
      <c r="AX49" s="277">
        <f>[17]January_2019!AH5</f>
        <v>0</v>
      </c>
      <c r="AY49" s="277"/>
      <c r="AZ49" s="277"/>
      <c r="BA49" s="277"/>
      <c r="BB49" s="277"/>
      <c r="BC49" s="277"/>
      <c r="BD49" s="277"/>
      <c r="BE49" s="277"/>
    </row>
    <row r="50" spans="2:57" s="54" customFormat="1" ht="14.25" customHeight="1" thickBot="1">
      <c r="B50" s="480"/>
      <c r="C50" s="479"/>
      <c r="D50" s="442"/>
      <c r="E50" s="443"/>
      <c r="F50" s="444"/>
      <c r="G50" s="445"/>
      <c r="H50" s="458"/>
      <c r="I50" s="458"/>
      <c r="J50" s="476"/>
      <c r="K50" s="449"/>
      <c r="L50" s="457"/>
      <c r="M50" s="455"/>
      <c r="N50" s="13"/>
      <c r="O50" s="13"/>
      <c r="P50" s="50"/>
      <c r="R50" s="275"/>
      <c r="S50" s="275"/>
      <c r="T50" s="275"/>
      <c r="U50" s="275"/>
      <c r="V50" s="275"/>
      <c r="W50" s="275"/>
      <c r="X50" s="275"/>
      <c r="Y50" s="275"/>
      <c r="Z50" s="275"/>
      <c r="AA50" s="275"/>
      <c r="AB50" s="57">
        <f>[17]January_2019!L6</f>
        <v>0</v>
      </c>
      <c r="AC50" s="57">
        <f>[17]January_2019!M6</f>
        <v>0</v>
      </c>
      <c r="AD50" s="57">
        <f>[17]January_2019!N6</f>
        <v>0</v>
      </c>
      <c r="AE50" s="57">
        <f>[17]January_2019!O6</f>
        <v>0</v>
      </c>
      <c r="AF50" s="57">
        <f>[17]January_2019!P6</f>
        <v>0</v>
      </c>
      <c r="AG50" s="57">
        <f>[17]January_2019!Q6</f>
        <v>0</v>
      </c>
      <c r="AH50" s="57">
        <f>[17]January_2019!R6</f>
        <v>0</v>
      </c>
      <c r="AI50" s="57">
        <f>[17]January_2019!S6</f>
        <v>0</v>
      </c>
      <c r="AJ50" s="57">
        <f>[17]January_2019!T6</f>
        <v>0</v>
      </c>
      <c r="AK50" s="57">
        <f>[17]January_2019!U6</f>
        <v>0</v>
      </c>
      <c r="AL50" s="57">
        <f>[17]January_2019!V6</f>
        <v>0</v>
      </c>
      <c r="AM50" s="57">
        <f>[17]January_2019!W6</f>
        <v>0</v>
      </c>
      <c r="AN50" s="57">
        <f>[17]January_2019!X6</f>
        <v>0</v>
      </c>
      <c r="AO50" s="57">
        <f>[17]January_2019!Y6</f>
        <v>0</v>
      </c>
      <c r="AP50" s="57">
        <f>[17]January_2019!Z6</f>
        <v>0</v>
      </c>
      <c r="AQ50" s="57">
        <f>[17]January_2019!AA6</f>
        <v>0</v>
      </c>
      <c r="AR50" s="57">
        <f>[17]January_2019!AB6</f>
        <v>0</v>
      </c>
      <c r="AS50" s="57">
        <f>[17]January_2019!AC6</f>
        <v>0</v>
      </c>
      <c r="AT50" s="57">
        <f>[17]January_2019!AD6</f>
        <v>0</v>
      </c>
      <c r="AU50" s="57">
        <f>[17]January_2019!AE6</f>
        <v>0</v>
      </c>
      <c r="AV50" s="57">
        <f>[17]January_2019!AF6</f>
        <v>0</v>
      </c>
      <c r="AW50" s="57">
        <f>[17]January_2019!AG6</f>
        <v>0</v>
      </c>
      <c r="AX50" s="277">
        <f>[17]January_2019!AH6</f>
        <v>0</v>
      </c>
      <c r="AY50" s="277"/>
      <c r="AZ50" s="277"/>
      <c r="BA50" s="277"/>
      <c r="BB50" s="277"/>
      <c r="BC50" s="277"/>
      <c r="BD50" s="277"/>
      <c r="BE50" s="277"/>
    </row>
    <row r="51" spans="2:57" s="54" customFormat="1" ht="37.15" customHeight="1" thickBot="1">
      <c r="B51" s="456"/>
      <c r="C51" s="479"/>
      <c r="D51" s="442"/>
      <c r="E51" s="443"/>
      <c r="F51" s="444"/>
      <c r="G51" s="444"/>
      <c r="H51" s="446"/>
      <c r="I51" s="446"/>
      <c r="J51" s="476"/>
      <c r="K51" s="449"/>
      <c r="L51" s="457"/>
      <c r="M51" s="455"/>
      <c r="N51" s="13"/>
      <c r="O51" s="13"/>
      <c r="P51" s="50"/>
      <c r="R51" s="275"/>
      <c r="S51" s="275"/>
      <c r="T51" s="275"/>
      <c r="U51" s="275"/>
      <c r="V51" s="275"/>
      <c r="W51" s="275"/>
      <c r="X51" s="275"/>
      <c r="Y51" s="275"/>
      <c r="Z51" s="275"/>
      <c r="AA51" s="275"/>
      <c r="AB51" s="57">
        <f>[17]January_2019!L7</f>
        <v>285.8</v>
      </c>
      <c r="AC51" s="57">
        <f>[17]January_2019!M7</f>
        <v>508.1</v>
      </c>
      <c r="AD51" s="57">
        <f>[17]January_2019!N7</f>
        <v>0</v>
      </c>
      <c r="AE51" s="57">
        <f>[17]January_2019!O7</f>
        <v>0</v>
      </c>
      <c r="AF51" s="57">
        <f>[17]January_2019!P7</f>
        <v>109.56666666666666</v>
      </c>
      <c r="AG51" s="57">
        <f>[17]January_2019!Q7</f>
        <v>297.64999999999998</v>
      </c>
      <c r="AH51" s="57">
        <f>[17]January_2019!R7</f>
        <v>122.3</v>
      </c>
      <c r="AI51" s="57">
        <f>[17]January_2019!S7</f>
        <v>0</v>
      </c>
      <c r="AJ51" s="57">
        <f>[17]January_2019!T7</f>
        <v>294.7</v>
      </c>
      <c r="AK51" s="57">
        <f>[17]January_2019!U7</f>
        <v>280.5</v>
      </c>
      <c r="AL51" s="57">
        <f>[17]January_2019!V7</f>
        <v>0</v>
      </c>
      <c r="AM51" s="57">
        <f>[17]January_2019!W7</f>
        <v>0</v>
      </c>
      <c r="AN51" s="57">
        <f>[17]January_2019!X7</f>
        <v>188.25</v>
      </c>
      <c r="AO51" s="57">
        <f>[17]January_2019!Y7</f>
        <v>295.7</v>
      </c>
      <c r="AP51" s="57">
        <f>[17]January_2019!Z7</f>
        <v>257.8</v>
      </c>
      <c r="AQ51" s="57">
        <f>[17]January_2019!AA7</f>
        <v>291.2</v>
      </c>
      <c r="AR51" s="57">
        <f>[17]January_2019!AB7</f>
        <v>187</v>
      </c>
      <c r="AS51" s="57">
        <f>[17]January_2019!AC7</f>
        <v>0</v>
      </c>
      <c r="AT51" s="57">
        <f>[17]January_2019!AD7</f>
        <v>0</v>
      </c>
      <c r="AU51" s="57">
        <f>[17]January_2019!AE7</f>
        <v>485.1</v>
      </c>
      <c r="AV51" s="57">
        <f>[17]January_2019!AF7</f>
        <v>171.55</v>
      </c>
      <c r="AW51" s="57">
        <f>[17]January_2019!AG7</f>
        <v>423.8</v>
      </c>
      <c r="AX51" s="277">
        <f>[17]January_2019!AH7</f>
        <v>0</v>
      </c>
      <c r="AY51" s="277"/>
      <c r="AZ51" s="277"/>
      <c r="BA51" s="277"/>
      <c r="BB51" s="277"/>
      <c r="BC51" s="277"/>
      <c r="BD51" s="277"/>
      <c r="BE51" s="277"/>
    </row>
    <row r="52" spans="2:57" s="54" customFormat="1" ht="18.600000000000001" hidden="1" customHeight="1" thickBot="1">
      <c r="B52" s="478"/>
      <c r="C52" s="430"/>
      <c r="D52" s="431"/>
      <c r="E52" s="432"/>
      <c r="F52" s="433"/>
      <c r="G52" s="434"/>
      <c r="H52" s="458"/>
      <c r="I52" s="458"/>
      <c r="J52" s="451"/>
      <c r="K52" s="436"/>
      <c r="L52" s="452"/>
      <c r="M52" s="421"/>
      <c r="N52" s="13"/>
      <c r="O52" s="13"/>
      <c r="P52" s="50"/>
      <c r="R52" s="275"/>
      <c r="S52" s="275"/>
      <c r="T52" s="275"/>
      <c r="U52" s="275"/>
      <c r="V52" s="275"/>
      <c r="W52" s="275"/>
      <c r="X52" s="275"/>
      <c r="Y52" s="275"/>
      <c r="Z52" s="275"/>
      <c r="AA52" s="275"/>
      <c r="AB52" s="57"/>
      <c r="AC52" s="57"/>
      <c r="AD52" s="57"/>
      <c r="AE52" s="57"/>
      <c r="AF52" s="57"/>
      <c r="AG52" s="57"/>
      <c r="AH52" s="57"/>
      <c r="AI52" s="57"/>
      <c r="AJ52" s="57"/>
      <c r="AK52" s="57"/>
      <c r="AL52" s="57"/>
      <c r="AM52" s="57"/>
      <c r="AN52" s="57"/>
      <c r="AO52" s="57"/>
      <c r="AP52" s="57"/>
      <c r="AQ52" s="57"/>
      <c r="AR52" s="57"/>
      <c r="AS52" s="57"/>
      <c r="AT52" s="57"/>
      <c r="AU52" s="57"/>
      <c r="AV52" s="57"/>
      <c r="AW52" s="57"/>
      <c r="AX52" s="277"/>
      <c r="AY52" s="277"/>
      <c r="AZ52" s="277"/>
      <c r="BA52" s="277"/>
      <c r="BB52" s="277"/>
      <c r="BC52" s="277"/>
      <c r="BD52" s="277"/>
      <c r="BE52" s="277"/>
    </row>
    <row r="53" spans="2:57" s="54" customFormat="1" ht="38.65" hidden="1" customHeight="1" thickBot="1">
      <c r="B53" s="487"/>
      <c r="C53" s="479"/>
      <c r="D53" s="442"/>
      <c r="E53" s="443"/>
      <c r="F53" s="444"/>
      <c r="G53" s="445"/>
      <c r="H53" s="458"/>
      <c r="I53" s="458"/>
      <c r="J53" s="448"/>
      <c r="K53" s="459"/>
      <c r="L53" s="457"/>
      <c r="M53" s="455"/>
      <c r="N53" s="13"/>
      <c r="O53" s="13"/>
      <c r="P53" s="50"/>
      <c r="R53" s="275"/>
      <c r="S53" s="275"/>
      <c r="T53" s="275"/>
      <c r="U53" s="275"/>
      <c r="V53" s="275"/>
      <c r="W53" s="275"/>
      <c r="X53" s="275"/>
      <c r="Y53" s="275"/>
      <c r="Z53" s="275"/>
      <c r="AA53" s="275"/>
      <c r="AB53" s="57"/>
      <c r="AC53" s="57"/>
      <c r="AD53" s="57"/>
      <c r="AE53" s="57"/>
      <c r="AF53" s="57"/>
      <c r="AG53" s="57"/>
      <c r="AH53" s="57"/>
      <c r="AI53" s="57"/>
      <c r="AJ53" s="57"/>
      <c r="AK53" s="57"/>
      <c r="AL53" s="57"/>
      <c r="AM53" s="57"/>
      <c r="AN53" s="57"/>
      <c r="AO53" s="57"/>
      <c r="AP53" s="57"/>
      <c r="AQ53" s="57"/>
      <c r="AR53" s="57"/>
      <c r="AS53" s="57"/>
      <c r="AT53" s="57"/>
      <c r="AU53" s="57"/>
      <c r="AV53" s="57"/>
      <c r="AW53" s="57"/>
      <c r="AX53" s="277"/>
      <c r="AY53" s="277"/>
      <c r="AZ53" s="277"/>
      <c r="BA53" s="277"/>
      <c r="BB53" s="277"/>
      <c r="BC53" s="277"/>
      <c r="BD53" s="277"/>
      <c r="BE53" s="277"/>
    </row>
    <row r="54" spans="2:57" s="54" customFormat="1" ht="15" hidden="1">
      <c r="B54" s="453"/>
      <c r="C54" s="430"/>
      <c r="D54" s="431"/>
      <c r="E54" s="432"/>
      <c r="F54" s="433"/>
      <c r="G54" s="434"/>
      <c r="H54" s="435"/>
      <c r="I54" s="450"/>
      <c r="J54" s="451"/>
      <c r="K54" s="436"/>
      <c r="L54" s="452"/>
      <c r="M54" s="421"/>
      <c r="N54" s="13"/>
      <c r="O54" s="13"/>
      <c r="P54" s="50"/>
      <c r="R54" s="275"/>
      <c r="S54" s="275"/>
      <c r="T54" s="275"/>
      <c r="U54" s="275"/>
      <c r="V54" s="275"/>
      <c r="W54" s="275"/>
      <c r="X54" s="275"/>
      <c r="Y54" s="275"/>
      <c r="Z54" s="275"/>
      <c r="AA54" s="275"/>
      <c r="AB54" s="57"/>
      <c r="AC54" s="57"/>
      <c r="AD54" s="57"/>
      <c r="AE54" s="57"/>
      <c r="AF54" s="57"/>
      <c r="AG54" s="57"/>
      <c r="AH54" s="57"/>
      <c r="AI54" s="57"/>
      <c r="AJ54" s="57"/>
      <c r="AK54" s="57"/>
      <c r="AL54" s="57"/>
      <c r="AM54" s="57"/>
      <c r="AN54" s="57"/>
      <c r="AO54" s="57"/>
      <c r="AP54" s="57"/>
      <c r="AQ54" s="57"/>
      <c r="AR54" s="57"/>
      <c r="AS54" s="57"/>
      <c r="AT54" s="57"/>
      <c r="AU54" s="57"/>
      <c r="AV54" s="57"/>
      <c r="AW54" s="57"/>
      <c r="AX54" s="277"/>
      <c r="AY54" s="277"/>
      <c r="AZ54" s="277"/>
      <c r="BA54" s="277"/>
      <c r="BB54" s="277"/>
      <c r="BC54" s="277"/>
      <c r="BD54" s="277"/>
      <c r="BE54" s="277"/>
    </row>
    <row r="55" spans="2:57" s="54" customFormat="1" ht="37.15" hidden="1" customHeight="1" thickBot="1">
      <c r="B55" s="481"/>
      <c r="C55" s="479"/>
      <c r="D55" s="442"/>
      <c r="E55" s="443"/>
      <c r="F55" s="444"/>
      <c r="G55" s="445"/>
      <c r="H55" s="446"/>
      <c r="I55" s="447"/>
      <c r="J55" s="448"/>
      <c r="K55" s="449"/>
      <c r="L55" s="457"/>
      <c r="M55" s="455"/>
      <c r="N55" s="13"/>
      <c r="O55" s="13"/>
      <c r="P55" s="50"/>
      <c r="R55" s="275"/>
      <c r="S55" s="275"/>
      <c r="T55" s="275"/>
      <c r="U55" s="275"/>
      <c r="V55" s="275"/>
      <c r="W55" s="275"/>
      <c r="X55" s="275"/>
      <c r="Y55" s="275"/>
      <c r="Z55" s="275"/>
      <c r="AA55" s="275"/>
      <c r="AB55" s="57"/>
      <c r="AC55" s="57"/>
      <c r="AD55" s="57"/>
      <c r="AE55" s="57"/>
      <c r="AF55" s="57"/>
      <c r="AG55" s="57"/>
      <c r="AH55" s="57"/>
      <c r="AI55" s="57"/>
      <c r="AJ55" s="57"/>
      <c r="AK55" s="57"/>
      <c r="AL55" s="57"/>
      <c r="AM55" s="57"/>
      <c r="AN55" s="57"/>
      <c r="AO55" s="57"/>
      <c r="AP55" s="57"/>
      <c r="AQ55" s="57"/>
      <c r="AR55" s="57"/>
      <c r="AS55" s="57"/>
      <c r="AT55" s="57"/>
      <c r="AU55" s="57"/>
      <c r="AV55" s="57"/>
      <c r="AW55" s="57"/>
      <c r="AX55" s="277"/>
      <c r="AY55" s="277"/>
      <c r="AZ55" s="277"/>
      <c r="BA55" s="277"/>
      <c r="BB55" s="277"/>
      <c r="BC55" s="277"/>
      <c r="BD55" s="277"/>
      <c r="BE55" s="277"/>
    </row>
    <row r="56" spans="2:57" s="54" customFormat="1" ht="16.5" hidden="1" customHeight="1" thickBot="1">
      <c r="B56" s="437"/>
      <c r="C56" s="423"/>
      <c r="D56" s="424"/>
      <c r="E56" s="425"/>
      <c r="F56" s="426"/>
      <c r="G56" s="427"/>
      <c r="H56" s="428"/>
      <c r="I56" s="438"/>
      <c r="J56" s="439"/>
      <c r="K56" s="429"/>
      <c r="L56" s="440"/>
      <c r="M56" s="422"/>
      <c r="N56" s="13"/>
      <c r="O56" s="13"/>
      <c r="P56" s="50"/>
      <c r="R56" s="275"/>
      <c r="S56" s="275"/>
      <c r="T56" s="275"/>
      <c r="U56" s="275"/>
      <c r="V56" s="275"/>
      <c r="W56" s="275"/>
      <c r="X56" s="275"/>
      <c r="Y56" s="275"/>
      <c r="Z56" s="275"/>
      <c r="AA56" s="275"/>
      <c r="AB56" s="415"/>
      <c r="AC56" s="415"/>
      <c r="AD56" s="415"/>
      <c r="AE56" s="415"/>
      <c r="AF56" s="415"/>
      <c r="AG56" s="415"/>
      <c r="AH56" s="415"/>
      <c r="AI56" s="415"/>
      <c r="AJ56" s="415"/>
      <c r="AK56" s="415"/>
      <c r="AL56" s="415"/>
      <c r="AM56" s="415"/>
      <c r="AN56" s="415"/>
      <c r="AO56" s="415"/>
      <c r="AP56" s="415"/>
      <c r="AQ56" s="415"/>
      <c r="AR56" s="415"/>
      <c r="AS56" s="415"/>
      <c r="AT56" s="415"/>
      <c r="AU56" s="415"/>
      <c r="AV56" s="415"/>
      <c r="AW56" s="415"/>
    </row>
    <row r="57" spans="2:57" s="54" customFormat="1" ht="37.15" hidden="1" customHeight="1" thickBot="1">
      <c r="B57" s="456"/>
      <c r="C57" s="441"/>
      <c r="D57" s="442"/>
      <c r="E57" s="443"/>
      <c r="F57" s="444"/>
      <c r="G57" s="445"/>
      <c r="H57" s="446"/>
      <c r="I57" s="447"/>
      <c r="J57" s="448"/>
      <c r="K57" s="449"/>
      <c r="L57" s="457"/>
      <c r="M57" s="454"/>
      <c r="N57" s="13"/>
      <c r="O57" s="13"/>
      <c r="P57" s="50"/>
      <c r="R57" s="275"/>
      <c r="S57" s="275"/>
      <c r="T57" s="275"/>
      <c r="U57" s="275"/>
      <c r="V57" s="275"/>
      <c r="W57" s="275"/>
      <c r="X57" s="275"/>
      <c r="Y57" s="275"/>
      <c r="Z57" s="275"/>
      <c r="AA57" s="275"/>
      <c r="AB57" s="57"/>
      <c r="AC57" s="57"/>
      <c r="AD57" s="57"/>
      <c r="AE57" s="57"/>
      <c r="AF57" s="57"/>
      <c r="AG57" s="57"/>
      <c r="AH57" s="57"/>
      <c r="AI57" s="57"/>
      <c r="AJ57" s="57"/>
      <c r="AK57" s="57"/>
      <c r="AL57" s="57"/>
      <c r="AM57" s="57"/>
      <c r="AN57" s="57"/>
      <c r="AO57" s="57"/>
      <c r="AP57" s="57"/>
      <c r="AQ57" s="57"/>
      <c r="AR57" s="57"/>
      <c r="AS57" s="57"/>
      <c r="AT57" s="57"/>
      <c r="AU57" s="57"/>
      <c r="AV57" s="57"/>
      <c r="AW57" s="57"/>
      <c r="AX57" s="277"/>
      <c r="AY57" s="277"/>
      <c r="AZ57" s="277"/>
      <c r="BA57" s="277"/>
      <c r="BB57" s="277"/>
      <c r="BC57" s="277"/>
      <c r="BD57" s="277"/>
      <c r="BE57" s="277"/>
    </row>
    <row r="58" spans="2:57" s="54" customFormat="1" ht="37.15" customHeight="1">
      <c r="B58" s="466"/>
      <c r="C58" s="430"/>
      <c r="D58" s="460"/>
      <c r="E58" s="461"/>
      <c r="F58" s="462"/>
      <c r="G58" s="460"/>
      <c r="H58" s="463"/>
      <c r="I58" s="463"/>
      <c r="J58" s="463"/>
      <c r="K58" s="464"/>
      <c r="L58" s="465"/>
      <c r="M58" s="50"/>
      <c r="N58" s="13"/>
      <c r="O58" s="13"/>
      <c r="P58" s="50"/>
      <c r="R58" s="275"/>
      <c r="S58" s="275"/>
      <c r="T58" s="275"/>
      <c r="U58" s="275"/>
      <c r="V58" s="275"/>
      <c r="W58" s="275"/>
      <c r="X58" s="275"/>
      <c r="Y58" s="275"/>
      <c r="Z58" s="275"/>
      <c r="AA58" s="275"/>
      <c r="AB58" s="57"/>
      <c r="AC58" s="57"/>
      <c r="AD58" s="57"/>
      <c r="AE58" s="57"/>
      <c r="AF58" s="57"/>
      <c r="AG58" s="57"/>
      <c r="AH58" s="57"/>
      <c r="AI58" s="57"/>
      <c r="AJ58" s="57"/>
      <c r="AK58" s="57"/>
      <c r="AL58" s="57"/>
      <c r="AM58" s="57"/>
      <c r="AN58" s="57"/>
      <c r="AO58" s="57"/>
      <c r="AP58" s="57"/>
      <c r="AQ58" s="57"/>
      <c r="AR58" s="57"/>
      <c r="AS58" s="57"/>
      <c r="AT58" s="57"/>
      <c r="AU58" s="57"/>
      <c r="AV58" s="57"/>
      <c r="AW58" s="57"/>
      <c r="AX58" s="277"/>
      <c r="AY58" s="277"/>
      <c r="AZ58" s="277"/>
      <c r="BA58" s="277"/>
      <c r="BB58" s="277"/>
      <c r="BC58" s="277"/>
      <c r="BD58" s="277"/>
      <c r="BE58" s="277"/>
    </row>
    <row r="59" spans="2:57" ht="18" customHeight="1" thickBot="1">
      <c r="B59" s="59"/>
      <c r="C59" s="309"/>
      <c r="D59" s="59"/>
      <c r="E59" s="59"/>
      <c r="F59" s="59"/>
      <c r="G59" s="59"/>
      <c r="H59" s="59"/>
      <c r="I59" s="59"/>
      <c r="J59" s="59"/>
      <c r="K59" s="59"/>
      <c r="L59" s="59"/>
      <c r="M59" s="59"/>
      <c r="N59" s="59" t="s">
        <v>41</v>
      </c>
      <c r="O59" s="56"/>
      <c r="P59" s="60"/>
    </row>
    <row r="60" spans="2:57" ht="15.75" thickBot="1">
      <c r="B60" s="499" t="s">
        <v>55</v>
      </c>
      <c r="C60" s="500"/>
      <c r="D60" s="500"/>
      <c r="E60" s="500"/>
      <c r="F60" s="501"/>
      <c r="G60" s="499" t="s">
        <v>56</v>
      </c>
      <c r="H60" s="500"/>
      <c r="I60" s="500"/>
      <c r="J60" s="501"/>
      <c r="K60" s="499" t="s">
        <v>51</v>
      </c>
      <c r="L60" s="500"/>
      <c r="M60" s="500"/>
      <c r="N60" s="502"/>
      <c r="O60" s="56"/>
      <c r="P60" s="50"/>
    </row>
    <row r="61" spans="2:57" ht="15">
      <c r="B61" s="61" t="s">
        <v>17</v>
      </c>
      <c r="C61" s="62" t="s">
        <v>36</v>
      </c>
      <c r="D61" s="62" t="s">
        <v>37</v>
      </c>
      <c r="E61" s="62" t="s">
        <v>38</v>
      </c>
      <c r="F61" s="63" t="s">
        <v>39</v>
      </c>
      <c r="G61" s="62" t="s">
        <v>36</v>
      </c>
      <c r="H61" s="62" t="s">
        <v>37</v>
      </c>
      <c r="I61" s="62" t="s">
        <v>38</v>
      </c>
      <c r="J61" s="63" t="s">
        <v>39</v>
      </c>
      <c r="K61" s="62"/>
      <c r="L61" s="62" t="s">
        <v>37</v>
      </c>
      <c r="M61" s="62" t="s">
        <v>38</v>
      </c>
      <c r="N61" s="63" t="s">
        <v>39</v>
      </c>
      <c r="O61" s="56"/>
      <c r="P61" s="64"/>
    </row>
    <row r="62" spans="2:57" ht="15">
      <c r="B62" s="29" t="s">
        <v>6</v>
      </c>
      <c r="C62" s="65"/>
      <c r="D62" s="76">
        <v>7.4556506636893838</v>
      </c>
      <c r="E62" s="76">
        <v>6.5474778039534414</v>
      </c>
      <c r="F62" s="66">
        <v>4.8</v>
      </c>
      <c r="G62" s="65"/>
      <c r="H62" s="477">
        <v>7.1556036556036569</v>
      </c>
      <c r="I62" s="477">
        <v>6.6650165071201641</v>
      </c>
      <c r="J62" s="66">
        <v>4.8</v>
      </c>
      <c r="K62" s="67"/>
      <c r="L62" s="194">
        <v>0.29475438596491227</v>
      </c>
      <c r="M62" s="194">
        <v>0.5207964922592172</v>
      </c>
      <c r="N62" s="68">
        <v>1</v>
      </c>
      <c r="O62" s="56"/>
      <c r="P62" s="69"/>
    </row>
    <row r="63" spans="2:57" ht="15">
      <c r="B63" s="33" t="s">
        <v>9</v>
      </c>
      <c r="C63" s="65">
        <f>L49</f>
        <v>8.6363636363636189</v>
      </c>
      <c r="D63" s="76">
        <v>8.6363636363636189</v>
      </c>
      <c r="E63" s="76">
        <v>5.8721053130307412</v>
      </c>
      <c r="F63" s="66">
        <v>4.8</v>
      </c>
      <c r="G63" s="65">
        <f>[18]September_2026!$F$21</f>
        <v>7.5248838752488254</v>
      </c>
      <c r="H63" s="76">
        <v>7.5248838752488254</v>
      </c>
      <c r="I63" s="76">
        <v>5.9880521869393624</v>
      </c>
      <c r="J63" s="66">
        <v>4.8</v>
      </c>
      <c r="K63" s="67">
        <f>K49</f>
        <v>0.31736842105263158</v>
      </c>
      <c r="L63" s="194">
        <v>0.31736842105263158</v>
      </c>
      <c r="M63" s="194">
        <v>0.68971317640877172</v>
      </c>
      <c r="N63" s="68">
        <v>1</v>
      </c>
      <c r="P63" s="69"/>
    </row>
    <row r="64" spans="2:57" ht="15">
      <c r="B64" s="34" t="s">
        <v>40</v>
      </c>
      <c r="C64" s="65"/>
      <c r="D64" s="76"/>
      <c r="E64" s="76">
        <v>11.277593164016125</v>
      </c>
      <c r="F64" s="66">
        <v>5.5</v>
      </c>
      <c r="G64" s="65"/>
      <c r="H64" s="76"/>
      <c r="I64" s="76">
        <v>11.857907912244482</v>
      </c>
      <c r="J64" s="66">
        <v>5.5</v>
      </c>
      <c r="K64" s="67"/>
      <c r="L64" s="194"/>
      <c r="M64" s="194">
        <v>0.35370190356844494</v>
      </c>
      <c r="N64" s="68">
        <v>1</v>
      </c>
      <c r="P64" s="69"/>
    </row>
    <row r="65" spans="2:16" ht="15">
      <c r="B65" s="22" t="s">
        <v>33</v>
      </c>
      <c r="C65" s="65"/>
      <c r="D65" s="76"/>
      <c r="E65" s="76">
        <v>4.8685538193023836</v>
      </c>
      <c r="F65" s="66">
        <v>3.3</v>
      </c>
      <c r="G65" s="65"/>
      <c r="H65" s="76"/>
      <c r="I65" s="76">
        <v>4.8702525342252114</v>
      </c>
      <c r="J65" s="66">
        <v>3.3</v>
      </c>
      <c r="K65" s="67"/>
      <c r="L65" s="194"/>
      <c r="M65" s="194">
        <v>0.77919298245614044</v>
      </c>
      <c r="N65" s="68">
        <v>1</v>
      </c>
      <c r="P65" s="69"/>
    </row>
    <row r="66" spans="2:16" ht="15">
      <c r="B66" s="35" t="s">
        <v>164</v>
      </c>
      <c r="C66" s="65"/>
      <c r="D66" s="76"/>
      <c r="E66" s="76"/>
      <c r="F66" s="66">
        <v>3.3</v>
      </c>
      <c r="G66" s="282"/>
      <c r="H66" s="76"/>
      <c r="I66" s="76"/>
      <c r="J66" s="66">
        <v>3</v>
      </c>
      <c r="K66" s="67"/>
      <c r="L66" s="194"/>
      <c r="M66" s="194"/>
      <c r="N66" s="68">
        <v>1</v>
      </c>
      <c r="P66" s="69"/>
    </row>
    <row r="67" spans="2:16" ht="15">
      <c r="B67" s="36" t="s">
        <v>15</v>
      </c>
      <c r="C67" s="65"/>
      <c r="D67" s="76"/>
      <c r="E67" s="76">
        <v>6.0400197628458603</v>
      </c>
      <c r="F67" s="70">
        <v>5.5</v>
      </c>
      <c r="G67" s="65"/>
      <c r="H67" s="76"/>
      <c r="I67" s="76">
        <v>8.2405787675951316</v>
      </c>
      <c r="J67" s="66">
        <v>5.5</v>
      </c>
      <c r="K67" s="67"/>
      <c r="L67" s="194"/>
      <c r="M67" s="194">
        <v>0.78491228070175445</v>
      </c>
      <c r="N67" s="68">
        <v>1</v>
      </c>
      <c r="P67" s="69"/>
    </row>
    <row r="68" spans="2:16" ht="15">
      <c r="B68" s="37" t="s">
        <v>16</v>
      </c>
      <c r="C68" s="482"/>
      <c r="D68" s="76"/>
      <c r="E68" s="76">
        <v>3.6168923014750334</v>
      </c>
      <c r="F68" s="66">
        <v>3.3</v>
      </c>
      <c r="G68" s="282"/>
      <c r="H68" s="76"/>
      <c r="I68" s="76">
        <v>5.0091179718082053</v>
      </c>
      <c r="J68" s="66">
        <v>3.3</v>
      </c>
      <c r="K68" s="67"/>
      <c r="L68" s="194"/>
      <c r="M68" s="194">
        <v>0.92642300194931759</v>
      </c>
      <c r="N68" s="71">
        <v>1</v>
      </c>
      <c r="P68" s="69"/>
    </row>
    <row r="69" spans="2:16" ht="15.75" thickBot="1">
      <c r="B69" s="38" t="s">
        <v>163</v>
      </c>
      <c r="C69" s="65"/>
      <c r="D69" s="76"/>
      <c r="E69" s="76"/>
      <c r="F69" s="66">
        <v>7.5</v>
      </c>
      <c r="G69" s="282"/>
      <c r="H69" s="76"/>
      <c r="I69" s="76"/>
      <c r="J69" s="66">
        <v>7.5</v>
      </c>
      <c r="K69" s="67"/>
      <c r="L69" s="194"/>
      <c r="M69" s="194"/>
      <c r="N69" s="71">
        <v>1</v>
      </c>
      <c r="P69" s="69"/>
    </row>
    <row r="70" spans="2:16" ht="15.75" thickBot="1">
      <c r="B70" s="414" t="s">
        <v>161</v>
      </c>
      <c r="C70" s="65"/>
      <c r="D70" s="76"/>
      <c r="E70" s="76"/>
      <c r="F70" s="66">
        <v>4.8</v>
      </c>
      <c r="G70" s="282"/>
      <c r="H70" s="76"/>
      <c r="I70" s="76"/>
      <c r="J70" s="66">
        <v>4.8</v>
      </c>
      <c r="K70" s="67"/>
      <c r="L70" s="194"/>
      <c r="M70" s="194"/>
      <c r="N70" s="71">
        <v>1</v>
      </c>
      <c r="O70" s="74"/>
      <c r="P70" s="75"/>
    </row>
    <row r="71" spans="2:16" ht="15">
      <c r="D71" s="76">
        <v>7.8446052741036665</v>
      </c>
      <c r="E71" s="76">
        <v>6.3600552791945226</v>
      </c>
      <c r="F71" s="341">
        <v>5.5</v>
      </c>
      <c r="H71" s="76">
        <v>7.2769259340002819</v>
      </c>
      <c r="I71" s="76">
        <v>6.7041928627942324</v>
      </c>
      <c r="J71" s="341">
        <v>5.5</v>
      </c>
      <c r="L71" s="194">
        <v>0.30229239766081867</v>
      </c>
      <c r="M71" s="194">
        <v>0.59317096676560477</v>
      </c>
      <c r="N71" s="386">
        <v>1</v>
      </c>
    </row>
  </sheetData>
  <mergeCells count="51">
    <mergeCell ref="M47:M48"/>
    <mergeCell ref="B60:F60"/>
    <mergeCell ref="G60:J60"/>
    <mergeCell ref="K60:N60"/>
    <mergeCell ref="G47:G48"/>
    <mergeCell ref="H47:H48"/>
    <mergeCell ref="I47:I48"/>
    <mergeCell ref="J47:J48"/>
    <mergeCell ref="K47:K48"/>
    <mergeCell ref="L47:L48"/>
    <mergeCell ref="F47:F48"/>
    <mergeCell ref="D42:E42"/>
    <mergeCell ref="B47:B48"/>
    <mergeCell ref="C47:C48"/>
    <mergeCell ref="D47:D48"/>
    <mergeCell ref="E47:E48"/>
    <mergeCell ref="B32:B41"/>
    <mergeCell ref="D32:E33"/>
    <mergeCell ref="J32:K32"/>
    <mergeCell ref="L33:N33"/>
    <mergeCell ref="D34:E35"/>
    <mergeCell ref="D36:E37"/>
    <mergeCell ref="D38:E39"/>
    <mergeCell ref="D40:E41"/>
    <mergeCell ref="I18:N18"/>
    <mergeCell ref="D19:E19"/>
    <mergeCell ref="B20:B31"/>
    <mergeCell ref="D20:E21"/>
    <mergeCell ref="D22:E23"/>
    <mergeCell ref="D24:E25"/>
    <mergeCell ref="D26:E27"/>
    <mergeCell ref="D28:E29"/>
    <mergeCell ref="D30:E31"/>
    <mergeCell ref="P8:P9"/>
    <mergeCell ref="C5:D5"/>
    <mergeCell ref="B8:B9"/>
    <mergeCell ref="C8:C9"/>
    <mergeCell ref="D8:D9"/>
    <mergeCell ref="G8:G9"/>
    <mergeCell ref="H8:H9"/>
    <mergeCell ref="I8:I9"/>
    <mergeCell ref="J8:J9"/>
    <mergeCell ref="K8:K9"/>
    <mergeCell ref="L8:L9"/>
    <mergeCell ref="O8:O9"/>
    <mergeCell ref="M4:N4"/>
    <mergeCell ref="S1:T1"/>
    <mergeCell ref="U1:V1"/>
    <mergeCell ref="W1:X1"/>
    <mergeCell ref="Y1:Z1"/>
    <mergeCell ref="B2:O2"/>
  </mergeCells>
  <conditionalFormatting sqref="B42:B43">
    <cfRule type="cellIs" dxfId="3644" priority="115" operator="notBetween">
      <formula>#REF!</formula>
      <formula>#REF!</formula>
    </cfRule>
  </conditionalFormatting>
  <conditionalFormatting sqref="C46">
    <cfRule type="cellIs" dxfId="3643" priority="197" stopIfTrue="1" operator="lessThan">
      <formula>96</formula>
    </cfRule>
    <cfRule type="cellIs" dxfId="3642" priority="198" stopIfTrue="1" operator="greaterThan">
      <formula>100</formula>
    </cfRule>
  </conditionalFormatting>
  <conditionalFormatting sqref="C62:C63">
    <cfRule type="cellIs" dxfId="3641" priority="79" stopIfTrue="1" operator="lessThanOrEqual">
      <formula>0</formula>
    </cfRule>
    <cfRule type="cellIs" dxfId="3640" priority="78" stopIfTrue="1" operator="greaterThan">
      <formula>$F62</formula>
    </cfRule>
    <cfRule type="cellIs" dxfId="3639" priority="81" stopIfTrue="1" operator="lessThanOrEqual">
      <formula>0</formula>
    </cfRule>
    <cfRule type="cellIs" dxfId="3638" priority="80" stopIfTrue="1" operator="greaterThan">
      <formula>$F62</formula>
    </cfRule>
  </conditionalFormatting>
  <conditionalFormatting sqref="C64:C66 C68:C70">
    <cfRule type="cellIs" dxfId="3637" priority="87" stopIfTrue="1" operator="greaterThan">
      <formula>$F67</formula>
    </cfRule>
  </conditionalFormatting>
  <conditionalFormatting sqref="C64:C66">
    <cfRule type="cellIs" dxfId="3636" priority="88" stopIfTrue="1" operator="lessThanOrEqual">
      <formula>0</formula>
    </cfRule>
  </conditionalFormatting>
  <conditionalFormatting sqref="C67">
    <cfRule type="cellIs" dxfId="3635" priority="202" stopIfTrue="1" operator="lessThanOrEqual">
      <formula>0</formula>
    </cfRule>
    <cfRule type="cellIs" dxfId="3634" priority="201" stopIfTrue="1" operator="greaterThan">
      <formula>$F62</formula>
    </cfRule>
    <cfRule type="cellIs" dxfId="3633" priority="199" stopIfTrue="1" operator="greaterThan">
      <formula>$F62</formula>
    </cfRule>
    <cfRule type="cellIs" dxfId="3632" priority="200" stopIfTrue="1" operator="lessThanOrEqual">
      <formula>0</formula>
    </cfRule>
  </conditionalFormatting>
  <conditionalFormatting sqref="C68:C70">
    <cfRule type="cellIs" dxfId="3631" priority="89" stopIfTrue="1" operator="lessThanOrEqual">
      <formula>0</formula>
    </cfRule>
  </conditionalFormatting>
  <conditionalFormatting sqref="C73:C77">
    <cfRule type="cellIs" dxfId="3630" priority="189" stopIfTrue="1" operator="lessThanOrEqual">
      <formula>0</formula>
    </cfRule>
  </conditionalFormatting>
  <conditionalFormatting sqref="C74:C77">
    <cfRule type="cellIs" dxfId="3629" priority="188" stopIfTrue="1" operator="greaterThan">
      <formula>$F$73</formula>
    </cfRule>
  </conditionalFormatting>
  <conditionalFormatting sqref="C79">
    <cfRule type="cellIs" dxfId="3628" priority="190" stopIfTrue="1" operator="greaterThan">
      <formula>$F$73</formula>
    </cfRule>
    <cfRule type="cellIs" dxfId="3627" priority="191" stopIfTrue="1" operator="lessThanOrEqual">
      <formula>0</formula>
    </cfRule>
  </conditionalFormatting>
  <conditionalFormatting sqref="C67:D67">
    <cfRule type="cellIs" dxfId="3626" priority="76" stopIfTrue="1" operator="greaterThan">
      <formula>$J67</formula>
    </cfRule>
    <cfRule type="cellIs" dxfId="3625" priority="77" stopIfTrue="1" operator="lessThanOrEqual">
      <formula>0</formula>
    </cfRule>
  </conditionalFormatting>
  <conditionalFormatting sqref="C73:D73 D75:D81">
    <cfRule type="cellIs" dxfId="3624" priority="183" stopIfTrue="1" operator="greaterThan">
      <formula>4.5</formula>
    </cfRule>
  </conditionalFormatting>
  <conditionalFormatting sqref="D42:D43">
    <cfRule type="cellIs" dxfId="3623" priority="116" operator="notBetween">
      <formula>#REF!</formula>
      <formula>#REF!</formula>
    </cfRule>
  </conditionalFormatting>
  <conditionalFormatting sqref="D62:D66 D68:D69">
    <cfRule type="cellIs" dxfId="3622" priority="86" stopIfTrue="1" operator="lessThanOrEqual">
      <formula>0</formula>
    </cfRule>
  </conditionalFormatting>
  <conditionalFormatting sqref="D62:D66 D68:D71">
    <cfRule type="cellIs" dxfId="3621" priority="82" stopIfTrue="1" operator="lessThanOrEqual">
      <formula>0</formula>
    </cfRule>
    <cfRule type="cellIs" dxfId="3620" priority="83" stopIfTrue="1" operator="greaterThan">
      <formula>$F62</formula>
    </cfRule>
  </conditionalFormatting>
  <conditionalFormatting sqref="D70:D71">
    <cfRule type="cellIs" dxfId="3619" priority="84" stopIfTrue="1" operator="lessThanOrEqual">
      <formula>0</formula>
    </cfRule>
  </conditionalFormatting>
  <conditionalFormatting sqref="D71">
    <cfRule type="cellIs" dxfId="3618" priority="85" stopIfTrue="1" operator="lessThanOrEqual">
      <formula>0</formula>
    </cfRule>
  </conditionalFormatting>
  <conditionalFormatting sqref="D73 D75:D81">
    <cfRule type="cellIs" dxfId="3617" priority="184" stopIfTrue="1" operator="lessThanOrEqual">
      <formula>0</formula>
    </cfRule>
  </conditionalFormatting>
  <conditionalFormatting sqref="D74">
    <cfRule type="cellIs" dxfId="3616" priority="176" stopIfTrue="1" operator="lessThanOrEqual">
      <formula>0</formula>
    </cfRule>
    <cfRule type="cellIs" dxfId="3615" priority="175" stopIfTrue="1" operator="greaterThan">
      <formula>$F$73</formula>
    </cfRule>
  </conditionalFormatting>
  <conditionalFormatting sqref="E10:E17">
    <cfRule type="cellIs" dxfId="3614" priority="23" operator="lessThan">
      <formula>48</formula>
    </cfRule>
  </conditionalFormatting>
  <conditionalFormatting sqref="E45 E46:F46">
    <cfRule type="cellIs" dxfId="3613" priority="180" stopIfTrue="1" operator="greaterThan">
      <formula>100</formula>
    </cfRule>
  </conditionalFormatting>
  <conditionalFormatting sqref="E46">
    <cfRule type="cellIs" dxfId="3612" priority="178" stopIfTrue="1" operator="greaterThan">
      <formula>100</formula>
    </cfRule>
    <cfRule type="cellIs" dxfId="3611" priority="177" stopIfTrue="1" operator="lessThan">
      <formula>96.8</formula>
    </cfRule>
  </conditionalFormatting>
  <conditionalFormatting sqref="E62:E70">
    <cfRule type="cellIs" dxfId="3610" priority="49" stopIfTrue="1" operator="lessThanOrEqual">
      <formula>0</formula>
    </cfRule>
  </conditionalFormatting>
  <conditionalFormatting sqref="E62:E71">
    <cfRule type="cellIs" dxfId="3609" priority="51" stopIfTrue="1" operator="lessThanOrEqual">
      <formula>0</formula>
    </cfRule>
    <cfRule type="cellIs" dxfId="3608" priority="50" stopIfTrue="1" operator="greaterThan">
      <formula>$F62</formula>
    </cfRule>
  </conditionalFormatting>
  <conditionalFormatting sqref="E71">
    <cfRule type="cellIs" dxfId="3607" priority="52" stopIfTrue="1" operator="lessThanOrEqual">
      <formula>0</formula>
    </cfRule>
  </conditionalFormatting>
  <conditionalFormatting sqref="E73:E81">
    <cfRule type="cellIs" dxfId="3606" priority="170" stopIfTrue="1" operator="lessThanOrEqual">
      <formula>0</formula>
    </cfRule>
    <cfRule type="cellIs" dxfId="3605" priority="169" stopIfTrue="1" operator="greaterThan">
      <formula>4.5</formula>
    </cfRule>
  </conditionalFormatting>
  <conditionalFormatting sqref="E46:F46 E45">
    <cfRule type="cellIs" dxfId="3604" priority="179" stopIfTrue="1" operator="lessThan">
      <formula>96.5</formula>
    </cfRule>
  </conditionalFormatting>
  <conditionalFormatting sqref="F10:F17">
    <cfRule type="cellIs" dxfId="3603" priority="26" operator="greaterThan">
      <formula>60</formula>
    </cfRule>
  </conditionalFormatting>
  <conditionalFormatting sqref="F46">
    <cfRule type="cellIs" dxfId="3602" priority="196" stopIfTrue="1" operator="greaterThan">
      <formula>100</formula>
    </cfRule>
    <cfRule type="cellIs" dxfId="3601" priority="195" stopIfTrue="1" operator="lessThan">
      <formula>96.8</formula>
    </cfRule>
  </conditionalFormatting>
  <conditionalFormatting sqref="G10:G14">
    <cfRule type="expression" dxfId="3600" priority="14">
      <formula>IF(+(IF(G10&lt;#REF!,0,IF(G10&gt;#REF!,0,1)))=0,1)</formula>
    </cfRule>
  </conditionalFormatting>
  <conditionalFormatting sqref="G15:G17">
    <cfRule type="expression" dxfId="3599" priority="12">
      <formula>IF(+(IF(G15&lt;S15,0,IF(G15&gt;T15,0,1)))=0,1)</formula>
    </cfRule>
  </conditionalFormatting>
  <conditionalFormatting sqref="G62:G65 F71">
    <cfRule type="cellIs" dxfId="3598" priority="58" stopIfTrue="1" operator="greaterThan">
      <formula>$F62</formula>
    </cfRule>
    <cfRule type="cellIs" dxfId="3597" priority="59" stopIfTrue="1" operator="lessThanOrEqual">
      <formula>0</formula>
    </cfRule>
  </conditionalFormatting>
  <conditionalFormatting sqref="G64:G65">
    <cfRule type="cellIs" dxfId="3596" priority="44" stopIfTrue="1" operator="greaterThan">
      <formula>$F64</formula>
    </cfRule>
    <cfRule type="cellIs" dxfId="3595" priority="45" stopIfTrue="1" operator="lessThanOrEqual">
      <formula>0</formula>
    </cfRule>
  </conditionalFormatting>
  <conditionalFormatting sqref="G66:G70">
    <cfRule type="cellIs" dxfId="3594" priority="60" stopIfTrue="1" operator="greaterThan">
      <formula>$J66</formula>
    </cfRule>
    <cfRule type="cellIs" dxfId="3593" priority="61" stopIfTrue="1" operator="lessThanOrEqual">
      <formula>0</formula>
    </cfRule>
  </conditionalFormatting>
  <conditionalFormatting sqref="G67">
    <cfRule type="cellIs" dxfId="3592" priority="204" stopIfTrue="1" operator="lessThanOrEqual">
      <formula>0</formula>
    </cfRule>
    <cfRule type="cellIs" dxfId="3591" priority="203" stopIfTrue="1" operator="greaterThan">
      <formula>$F62</formula>
    </cfRule>
  </conditionalFormatting>
  <conditionalFormatting sqref="G75:G80 C78 C80">
    <cfRule type="cellIs" dxfId="3590" priority="193" stopIfTrue="1" operator="lessThanOrEqual">
      <formula>0</formula>
    </cfRule>
    <cfRule type="cellIs" dxfId="3589" priority="192" stopIfTrue="1" operator="greaterThan">
      <formula>4.5</formula>
    </cfRule>
  </conditionalFormatting>
  <conditionalFormatting sqref="G74:H74">
    <cfRule type="cellIs" dxfId="3588" priority="173" stopIfTrue="1" operator="greaterThan">
      <formula>$F$73</formula>
    </cfRule>
    <cfRule type="cellIs" dxfId="3587" priority="174" stopIfTrue="1" operator="lessThanOrEqual">
      <formula>0</formula>
    </cfRule>
  </conditionalFormatting>
  <conditionalFormatting sqref="H31:H32 H45">
    <cfRule type="cellIs" dxfId="3586" priority="171" stopIfTrue="1" operator="greaterThan">
      <formula>0</formula>
    </cfRule>
  </conditionalFormatting>
  <conditionalFormatting sqref="H49">
    <cfRule type="cellIs" dxfId="3585" priority="73" stopIfTrue="1" operator="lessThanOrEqual">
      <formula>0</formula>
    </cfRule>
    <cfRule type="cellIs" dxfId="3584" priority="72" stopIfTrue="1" operator="greaterThan">
      <formula>$F$65</formula>
    </cfRule>
    <cfRule type="cellIs" dxfId="3583" priority="74" stopIfTrue="1" operator="greaterThan">
      <formula>$F$63</formula>
    </cfRule>
    <cfRule type="cellIs" dxfId="3582" priority="63" stopIfTrue="1" operator="lessThanOrEqual">
      <formula>0</formula>
    </cfRule>
    <cfRule type="cellIs" dxfId="3581" priority="64" stopIfTrue="1" operator="greaterThan">
      <formula>$F$62</formula>
    </cfRule>
  </conditionalFormatting>
  <conditionalFormatting sqref="H49:H50">
    <cfRule type="cellIs" dxfId="3580" priority="75" stopIfTrue="1" operator="lessThanOrEqual">
      <formula>0</formula>
    </cfRule>
  </conditionalFormatting>
  <conditionalFormatting sqref="H50 H52:H53">
    <cfRule type="cellIs" dxfId="3579" priority="101" stopIfTrue="1" operator="lessThanOrEqual">
      <formula>0</formula>
    </cfRule>
  </conditionalFormatting>
  <conditionalFormatting sqref="H50">
    <cfRule type="cellIs" dxfId="3578" priority="90" stopIfTrue="1" operator="greaterThan">
      <formula>$F$62</formula>
    </cfRule>
    <cfRule type="cellIs" dxfId="3577" priority="98" stopIfTrue="1" operator="greaterThan">
      <formula>$F$65</formula>
    </cfRule>
    <cfRule type="cellIs" dxfId="3576" priority="99" stopIfTrue="1" operator="lessThanOrEqual">
      <formula>0</formula>
    </cfRule>
    <cfRule type="cellIs" dxfId="3575" priority="100" stopIfTrue="1" operator="greaterThan">
      <formula>$F$63</formula>
    </cfRule>
  </conditionalFormatting>
  <conditionalFormatting sqref="H51">
    <cfRule type="cellIs" dxfId="3574" priority="30" stopIfTrue="1" operator="lessThanOrEqual">
      <formula>0</formula>
    </cfRule>
    <cfRule type="cellIs" dxfId="3573" priority="41" stopIfTrue="1" operator="greaterThan">
      <formula>$F$65</formula>
    </cfRule>
    <cfRule type="cellIs" dxfId="3572" priority="40" stopIfTrue="1" operator="lessThanOrEqual">
      <formula>0</formula>
    </cfRule>
    <cfRule type="cellIs" dxfId="3571" priority="39" stopIfTrue="1" operator="greaterThan">
      <formula>$F$67</formula>
    </cfRule>
    <cfRule type="cellIs" dxfId="3570" priority="31" stopIfTrue="1" operator="greaterThan">
      <formula>$F$64</formula>
    </cfRule>
    <cfRule type="cellIs" dxfId="3569" priority="42" stopIfTrue="1" operator="lessThanOrEqual">
      <formula>0</formula>
    </cfRule>
  </conditionalFormatting>
  <conditionalFormatting sqref="H52:H53">
    <cfRule type="cellIs" dxfId="3568" priority="114" stopIfTrue="1" operator="lessThanOrEqual">
      <formula>0</formula>
    </cfRule>
    <cfRule type="cellIs" dxfId="3567" priority="113" stopIfTrue="1" operator="greaterThan">
      <formula>$F$63</formula>
    </cfRule>
    <cfRule type="cellIs" dxfId="3566" priority="112" stopIfTrue="1" operator="lessThanOrEqual">
      <formula>0</formula>
    </cfRule>
    <cfRule type="cellIs" dxfId="3565" priority="111" stopIfTrue="1" operator="greaterThan">
      <formula>$F$65</formula>
    </cfRule>
    <cfRule type="cellIs" dxfId="3564" priority="103" stopIfTrue="1" operator="greaterThan">
      <formula>$F$62</formula>
    </cfRule>
  </conditionalFormatting>
  <conditionalFormatting sqref="H54:H55">
    <cfRule type="cellIs" dxfId="3563" priority="138" stopIfTrue="1" operator="lessThanOrEqual">
      <formula>0</formula>
    </cfRule>
    <cfRule type="cellIs" dxfId="3562" priority="147" stopIfTrue="1" operator="greaterThan">
      <formula>#REF!</formula>
    </cfRule>
    <cfRule type="cellIs" dxfId="3561" priority="148" stopIfTrue="1" operator="lessThanOrEqual">
      <formula>0</formula>
    </cfRule>
    <cfRule type="cellIs" dxfId="3560" priority="139" stopIfTrue="1" operator="greaterThan">
      <formula>#REF!</formula>
    </cfRule>
  </conditionalFormatting>
  <conditionalFormatting sqref="H56">
    <cfRule type="cellIs" dxfId="3559" priority="150" stopIfTrue="1" operator="lessThanOrEqual">
      <formula>0</formula>
    </cfRule>
    <cfRule type="cellIs" dxfId="3558" priority="151" stopIfTrue="1" operator="greaterThan">
      <formula>$F$30</formula>
    </cfRule>
    <cfRule type="cellIs" dxfId="3557" priority="159" stopIfTrue="1" operator="greaterThan">
      <formula>$F$33</formula>
    </cfRule>
    <cfRule type="cellIs" dxfId="3556" priority="160" stopIfTrue="1" operator="lessThanOrEqual">
      <formula>0</formula>
    </cfRule>
    <cfRule type="cellIs" dxfId="3555" priority="161" stopIfTrue="1" operator="greaterThan">
      <formula>$F$31</formula>
    </cfRule>
    <cfRule type="cellIs" dxfId="3554" priority="162" stopIfTrue="1" operator="lessThanOrEqual">
      <formula>0</formula>
    </cfRule>
  </conditionalFormatting>
  <conditionalFormatting sqref="H57:H58">
    <cfRule type="cellIs" dxfId="3553" priority="135" stopIfTrue="1" operator="greaterThan">
      <formula>#REF!</formula>
    </cfRule>
    <cfRule type="cellIs" dxfId="3552" priority="126" stopIfTrue="1" operator="lessThanOrEqual">
      <formula>0</formula>
    </cfRule>
    <cfRule type="cellIs" dxfId="3551" priority="136" stopIfTrue="1" operator="lessThanOrEqual">
      <formula>0</formula>
    </cfRule>
    <cfRule type="cellIs" dxfId="3550" priority="127" stopIfTrue="1" operator="greaterThan">
      <formula>#REF!</formula>
    </cfRule>
  </conditionalFormatting>
  <conditionalFormatting sqref="H73 H75:H81">
    <cfRule type="cellIs" dxfId="3549" priority="185" stopIfTrue="1" operator="greaterThan">
      <formula>4.5</formula>
    </cfRule>
    <cfRule type="cellIs" dxfId="3548" priority="186" stopIfTrue="1" operator="lessThanOrEqual">
      <formula>0</formula>
    </cfRule>
  </conditionalFormatting>
  <conditionalFormatting sqref="H49:I49">
    <cfRule type="cellIs" dxfId="3547" priority="65" stopIfTrue="1" operator="lessThanOrEqual">
      <formula>0</formula>
    </cfRule>
  </conditionalFormatting>
  <conditionalFormatting sqref="H49:I50 H52:I53">
    <cfRule type="cellIs" dxfId="3546" priority="62" stopIfTrue="1" operator="greaterThan">
      <formula>$F$64</formula>
    </cfRule>
  </conditionalFormatting>
  <conditionalFormatting sqref="H50:I50">
    <cfRule type="cellIs" dxfId="3545" priority="91" stopIfTrue="1" operator="lessThanOrEqual">
      <formula>0</formula>
    </cfRule>
  </conditionalFormatting>
  <conditionalFormatting sqref="H51:I51">
    <cfRule type="cellIs" dxfId="3544" priority="32" stopIfTrue="1" operator="lessThanOrEqual">
      <formula>0</formula>
    </cfRule>
    <cfRule type="cellIs" dxfId="3543" priority="29" stopIfTrue="1" operator="greaterThan">
      <formula>$F$66</formula>
    </cfRule>
  </conditionalFormatting>
  <conditionalFormatting sqref="H52:I53">
    <cfRule type="cellIs" dxfId="3542" priority="104" stopIfTrue="1" operator="lessThanOrEqual">
      <formula>0</formula>
    </cfRule>
  </conditionalFormatting>
  <conditionalFormatting sqref="H54:I55">
    <cfRule type="cellIs" dxfId="3541" priority="146" stopIfTrue="1" operator="lessThanOrEqual">
      <formula>0</formula>
    </cfRule>
    <cfRule type="cellIs" dxfId="3540" priority="145" stopIfTrue="1" operator="greaterThan">
      <formula>#REF!</formula>
    </cfRule>
    <cfRule type="cellIs" dxfId="3539" priority="140" stopIfTrue="1" operator="lessThanOrEqual">
      <formula>0</formula>
    </cfRule>
    <cfRule type="cellIs" dxfId="3538" priority="137" stopIfTrue="1" operator="greaterThan">
      <formula>#REF!</formula>
    </cfRule>
  </conditionalFormatting>
  <conditionalFormatting sqref="H56:I56">
    <cfRule type="cellIs" dxfId="3537" priority="149" stopIfTrue="1" operator="greaterThan">
      <formula>$F$32</formula>
    </cfRule>
    <cfRule type="cellIs" dxfId="3536" priority="152" stopIfTrue="1" operator="lessThanOrEqual">
      <formula>0</formula>
    </cfRule>
  </conditionalFormatting>
  <conditionalFormatting sqref="H57:I58">
    <cfRule type="cellIs" dxfId="3535" priority="125" stopIfTrue="1" operator="greaterThan">
      <formula>#REF!</formula>
    </cfRule>
    <cfRule type="cellIs" dxfId="3534" priority="128" stopIfTrue="1" operator="lessThanOrEqual">
      <formula>0</formula>
    </cfRule>
    <cfRule type="cellIs" dxfId="3533" priority="134" stopIfTrue="1" operator="lessThanOrEqual">
      <formula>0</formula>
    </cfRule>
    <cfRule type="cellIs" dxfId="3532" priority="133" stopIfTrue="1" operator="greaterThan">
      <formula>#REF!</formula>
    </cfRule>
  </conditionalFormatting>
  <conditionalFormatting sqref="H62:I69">
    <cfRule type="cellIs" dxfId="3531" priority="47" stopIfTrue="1" operator="greaterThan">
      <formula>$J62</formula>
    </cfRule>
    <cfRule type="cellIs" dxfId="3530" priority="48" stopIfTrue="1" operator="lessThanOrEqual">
      <formula>0</formula>
    </cfRule>
  </conditionalFormatting>
  <conditionalFormatting sqref="H70:I70">
    <cfRule type="cellIs" dxfId="3529" priority="55" operator="greaterThan">
      <formula>5.3</formula>
    </cfRule>
  </conditionalFormatting>
  <conditionalFormatting sqref="H71:I71">
    <cfRule type="cellIs" dxfId="3528" priority="54" stopIfTrue="1" operator="lessThanOrEqual">
      <formula>0</formula>
    </cfRule>
    <cfRule type="cellIs" dxfId="3527" priority="53" stopIfTrue="1" operator="greaterThan">
      <formula>$J71</formula>
    </cfRule>
  </conditionalFormatting>
  <conditionalFormatting sqref="I49">
    <cfRule type="cellIs" dxfId="3526" priority="68" stopIfTrue="1" operator="greaterThan">
      <formula>$F$64</formula>
    </cfRule>
    <cfRule type="cellIs" dxfId="3525" priority="67" stopIfTrue="1" operator="lessThanOrEqual">
      <formula>0</formula>
    </cfRule>
    <cfRule type="cellIs" dxfId="3524" priority="66" stopIfTrue="1" operator="greaterThan">
      <formula>$F$62</formula>
    </cfRule>
    <cfRule type="cellIs" dxfId="3523" priority="71" stopIfTrue="1" operator="lessThanOrEqual">
      <formula>0</formula>
    </cfRule>
    <cfRule type="cellIs" dxfId="3522" priority="70" stopIfTrue="1" operator="greaterThan">
      <formula>$F$62</formula>
    </cfRule>
    <cfRule type="cellIs" dxfId="3521" priority="69" stopIfTrue="1" operator="lessThanOrEqual">
      <formula>0</formula>
    </cfRule>
  </conditionalFormatting>
  <conditionalFormatting sqref="I50">
    <cfRule type="cellIs" dxfId="3520" priority="96" stopIfTrue="1" operator="greaterThan">
      <formula>$F$62</formula>
    </cfRule>
    <cfRule type="cellIs" dxfId="3519" priority="95" stopIfTrue="1" operator="lessThanOrEqual">
      <formula>0</formula>
    </cfRule>
    <cfRule type="cellIs" dxfId="3518" priority="97" stopIfTrue="1" operator="lessThanOrEqual">
      <formula>0</formula>
    </cfRule>
    <cfRule type="cellIs" dxfId="3517" priority="94" stopIfTrue="1" operator="greaterThan">
      <formula>$F$64</formula>
    </cfRule>
    <cfRule type="cellIs" dxfId="3516" priority="93" stopIfTrue="1" operator="lessThanOrEqual">
      <formula>0</formula>
    </cfRule>
    <cfRule type="cellIs" dxfId="3515" priority="92" stopIfTrue="1" operator="greaterThan">
      <formula>$F$62</formula>
    </cfRule>
  </conditionalFormatting>
  <conditionalFormatting sqref="I51">
    <cfRule type="cellIs" dxfId="3514" priority="36" stopIfTrue="1" operator="lessThanOrEqual">
      <formula>0</formula>
    </cfRule>
    <cfRule type="cellIs" dxfId="3513" priority="35" stopIfTrue="1" operator="greaterThan">
      <formula>$F$66</formula>
    </cfRule>
    <cfRule type="cellIs" dxfId="3512" priority="34" stopIfTrue="1" operator="lessThanOrEqual">
      <formula>0</formula>
    </cfRule>
    <cfRule type="cellIs" dxfId="3511" priority="37" stopIfTrue="1" operator="greaterThan">
      <formula>$F$64</formula>
    </cfRule>
    <cfRule type="cellIs" dxfId="3510" priority="33" stopIfTrue="1" operator="greaterThan">
      <formula>$F$64</formula>
    </cfRule>
    <cfRule type="cellIs" dxfId="3509" priority="38" stopIfTrue="1" operator="lessThanOrEqual">
      <formula>0</formula>
    </cfRule>
  </conditionalFormatting>
  <conditionalFormatting sqref="I52:I53">
    <cfRule type="cellIs" dxfId="3508" priority="108" stopIfTrue="1" operator="lessThanOrEqual">
      <formula>0</formula>
    </cfRule>
    <cfRule type="cellIs" dxfId="3507" priority="109" stopIfTrue="1" operator="greaterThan">
      <formula>$F$62</formula>
    </cfRule>
    <cfRule type="cellIs" dxfId="3506" priority="107" stopIfTrue="1" operator="greaterThan">
      <formula>$F$64</formula>
    </cfRule>
    <cfRule type="cellIs" dxfId="3505" priority="110" stopIfTrue="1" operator="lessThanOrEqual">
      <formula>0</formula>
    </cfRule>
    <cfRule type="cellIs" dxfId="3504" priority="105" stopIfTrue="1" operator="greaterThan">
      <formula>$F$62</formula>
    </cfRule>
    <cfRule type="cellIs" dxfId="3503" priority="106" stopIfTrue="1" operator="lessThanOrEqual">
      <formula>0</formula>
    </cfRule>
  </conditionalFormatting>
  <conditionalFormatting sqref="I54:I55">
    <cfRule type="cellIs" dxfId="3502" priority="141" stopIfTrue="1" operator="greaterThan">
      <formula>#REF!</formula>
    </cfRule>
    <cfRule type="cellIs" dxfId="3501" priority="142" stopIfTrue="1" operator="lessThanOrEqual">
      <formula>0</formula>
    </cfRule>
    <cfRule type="cellIs" dxfId="3500" priority="143" stopIfTrue="1" operator="greaterThan">
      <formula>#REF!</formula>
    </cfRule>
    <cfRule type="cellIs" dxfId="3499" priority="144" stopIfTrue="1" operator="lessThanOrEqual">
      <formula>0</formula>
    </cfRule>
  </conditionalFormatting>
  <conditionalFormatting sqref="I56">
    <cfRule type="cellIs" dxfId="3498" priority="156" stopIfTrue="1" operator="lessThanOrEqual">
      <formula>0</formula>
    </cfRule>
    <cfRule type="cellIs" dxfId="3497" priority="153" stopIfTrue="1" operator="greaterThan">
      <formula>$F$30</formula>
    </cfRule>
    <cfRule type="cellIs" dxfId="3496" priority="154" stopIfTrue="1" operator="lessThanOrEqual">
      <formula>0</formula>
    </cfRule>
    <cfRule type="cellIs" dxfId="3495" priority="155" stopIfTrue="1" operator="greaterThan">
      <formula>$F$32</formula>
    </cfRule>
    <cfRule type="cellIs" dxfId="3494" priority="157" stopIfTrue="1" operator="greaterThan">
      <formula>$F$30</formula>
    </cfRule>
    <cfRule type="cellIs" dxfId="3493" priority="158" stopIfTrue="1" operator="lessThanOrEqual">
      <formula>0</formula>
    </cfRule>
  </conditionalFormatting>
  <conditionalFormatting sqref="I57:I58">
    <cfRule type="cellIs" dxfId="3492" priority="129" stopIfTrue="1" operator="greaterThan">
      <formula>#REF!</formula>
    </cfRule>
    <cfRule type="cellIs" dxfId="3491" priority="130" stopIfTrue="1" operator="lessThanOrEqual">
      <formula>0</formula>
    </cfRule>
    <cfRule type="cellIs" dxfId="3490" priority="131" stopIfTrue="1" operator="greaterThan">
      <formula>#REF!</formula>
    </cfRule>
    <cfRule type="cellIs" dxfId="3489" priority="132" stopIfTrue="1" operator="lessThanOrEqual">
      <formula>0</formula>
    </cfRule>
  </conditionalFormatting>
  <conditionalFormatting sqref="I73:I81">
    <cfRule type="cellIs" dxfId="3488" priority="182" stopIfTrue="1" operator="lessThanOrEqual">
      <formula>0</formula>
    </cfRule>
    <cfRule type="cellIs" dxfId="3487" priority="181" stopIfTrue="1" operator="greaterThan">
      <formula>4.5</formula>
    </cfRule>
  </conditionalFormatting>
  <conditionalFormatting sqref="I10:J17">
    <cfRule type="cellIs" dxfId="3486" priority="19" operator="lessThan">
      <formula>97.9</formula>
    </cfRule>
  </conditionalFormatting>
  <conditionalFormatting sqref="J20:J22">
    <cfRule type="cellIs" dxfId="3485" priority="28" operator="lessThan">
      <formula>97.95</formula>
    </cfRule>
  </conditionalFormatting>
  <conditionalFormatting sqref="J22:J24">
    <cfRule type="cellIs" dxfId="3484" priority="163" operator="lessThan">
      <formula>97.4</formula>
    </cfRule>
  </conditionalFormatting>
  <conditionalFormatting sqref="J25:J26">
    <cfRule type="cellIs" dxfId="3483" priority="164" operator="lessThan">
      <formula>98</formula>
    </cfRule>
  </conditionalFormatting>
  <conditionalFormatting sqref="J27:J28">
    <cfRule type="cellIs" dxfId="3482" priority="165" stopIfTrue="1" operator="lessThan">
      <formula>96.8</formula>
    </cfRule>
    <cfRule type="cellIs" dxfId="3481" priority="166" stopIfTrue="1" operator="greaterThan">
      <formula>100</formula>
    </cfRule>
  </conditionalFormatting>
  <conditionalFormatting sqref="J27:J29">
    <cfRule type="cellIs" dxfId="3480" priority="167" operator="lessThan">
      <formula>98</formula>
    </cfRule>
  </conditionalFormatting>
  <conditionalFormatting sqref="J58">
    <cfRule type="cellIs" dxfId="3479" priority="117" stopIfTrue="1" operator="greaterThan">
      <formula>#REF!</formula>
    </cfRule>
    <cfRule type="cellIs" dxfId="3478" priority="118" stopIfTrue="1" operator="lessThanOrEqual">
      <formula>0</formula>
    </cfRule>
    <cfRule type="cellIs" dxfId="3477" priority="119" stopIfTrue="1" operator="greaterThan">
      <formula>#REF!</formula>
    </cfRule>
    <cfRule type="cellIs" dxfId="3476" priority="120" stopIfTrue="1" operator="lessThanOrEqual">
      <formula>0</formula>
    </cfRule>
    <cfRule type="cellIs" dxfId="3475" priority="121" stopIfTrue="1" operator="greaterThan">
      <formula>#REF!</formula>
    </cfRule>
    <cfRule type="cellIs" dxfId="3474" priority="122" stopIfTrue="1" operator="lessThanOrEqual">
      <formula>0</formula>
    </cfRule>
    <cfRule type="cellIs" dxfId="3473" priority="123" stopIfTrue="1" operator="greaterThan">
      <formula>#REF!</formula>
    </cfRule>
    <cfRule type="cellIs" dxfId="3472" priority="124" stopIfTrue="1" operator="lessThanOrEqual">
      <formula>0</formula>
    </cfRule>
  </conditionalFormatting>
  <conditionalFormatting sqref="J71">
    <cfRule type="cellIs" dxfId="3471" priority="57" stopIfTrue="1" operator="lessThanOrEqual">
      <formula>0</formula>
    </cfRule>
    <cfRule type="cellIs" dxfId="3470" priority="56" stopIfTrue="1" operator="greaterThan">
      <formula>$F71</formula>
    </cfRule>
  </conditionalFormatting>
  <conditionalFormatting sqref="K10:K17">
    <cfRule type="cellIs" dxfId="3469" priority="22" operator="greaterThan">
      <formula>6.4</formula>
    </cfRule>
    <cfRule type="cellIs" dxfId="3468" priority="21" operator="lessThan">
      <formula>4</formula>
    </cfRule>
    <cfRule type="cellIs" dxfId="3467" priority="20" operator="greaterThan">
      <formula>6</formula>
    </cfRule>
  </conditionalFormatting>
  <conditionalFormatting sqref="K49:K58">
    <cfRule type="cellIs" dxfId="3466" priority="102" stopIfTrue="1" operator="lessThan">
      <formula>100%</formula>
    </cfRule>
  </conditionalFormatting>
  <conditionalFormatting sqref="K62:K70">
    <cfRule type="cellIs" dxfId="3465" priority="46" stopIfTrue="1" operator="lessThan">
      <formula>100%</formula>
    </cfRule>
  </conditionalFormatting>
  <conditionalFormatting sqref="K73:K78">
    <cfRule type="cellIs" dxfId="3464" priority="187" stopIfTrue="1" operator="lessThan">
      <formula>100%</formula>
    </cfRule>
  </conditionalFormatting>
  <conditionalFormatting sqref="K80:K81">
    <cfRule type="cellIs" dxfId="3463" priority="194" stopIfTrue="1" operator="lessThan">
      <formula>100%</formula>
    </cfRule>
  </conditionalFormatting>
  <conditionalFormatting sqref="L10:L17">
    <cfRule type="cellIs" dxfId="3462" priority="16" operator="between">
      <formula>61</formula>
      <formula>65</formula>
    </cfRule>
    <cfRule type="cellIs" dxfId="3461" priority="17" operator="greaterThan">
      <formula>65</formula>
    </cfRule>
  </conditionalFormatting>
  <conditionalFormatting sqref="L20:M31">
    <cfRule type="cellIs" dxfId="3460" priority="27" operator="lessThan">
      <formula>97.95</formula>
    </cfRule>
  </conditionalFormatting>
  <conditionalFormatting sqref="L35:N35">
    <cfRule type="cellIs" dxfId="3459" priority="15" operator="notEqual">
      <formula>#REF!</formula>
    </cfRule>
  </conditionalFormatting>
  <conditionalFormatting sqref="L62:N71">
    <cfRule type="cellIs" dxfId="3458" priority="43" stopIfTrue="1" operator="lessThan">
      <formula>100%</formula>
    </cfRule>
  </conditionalFormatting>
  <conditionalFormatting sqref="L73:N81">
    <cfRule type="cellIs" dxfId="3457" priority="172" stopIfTrue="1" operator="lessThan">
      <formula>100%</formula>
    </cfRule>
  </conditionalFormatting>
  <conditionalFormatting sqref="M15:M17">
    <cfRule type="expression" dxfId="3456" priority="2">
      <formula>IF(+(IF(M15&lt;U15,0,IF(M15&gt;V15,0,1)))=0,1)</formula>
    </cfRule>
  </conditionalFormatting>
  <conditionalFormatting sqref="M10:N14 H10:H17">
    <cfRule type="expression" dxfId="3455" priority="25">
      <formula>IF(+(IF(H10&lt;#REF!,0,IF(H10&gt;#REF!,0,1)))=0,1)</formula>
    </cfRule>
  </conditionalFormatting>
  <conditionalFormatting sqref="N10:N17">
    <cfRule type="expression" dxfId="3454" priority="18">
      <formula>IF(+(IF(N10&lt;W10,0,IF(N10&gt;X10,0,1)))=0,1)</formula>
    </cfRule>
  </conditionalFormatting>
  <conditionalFormatting sqref="P6">
    <cfRule type="cellIs" dxfId="3453" priority="168" operator="greaterThanOrEqual">
      <formula>19</formula>
    </cfRule>
  </conditionalFormatting>
  <dataValidations count="1">
    <dataValidation type="list" allowBlank="1" showInputMessage="1" showErrorMessage="1" sqref="R8" xr:uid="{75D0D761-9343-4A0A-8138-C66EB69E041F}">
      <formula1>ProductList</formula1>
    </dataValidation>
  </dataValidations>
  <pageMargins left="0.7" right="0.7" top="0.75" bottom="0.75" header="0.3" footer="0.3"/>
  <pageSetup scale="40" fitToWidth="0" orientation="landscape" r:id="rId1"/>
  <rowBreaks count="1" manualBreakCount="1">
    <brk id="75" max="16383" man="1"/>
  </rowBreaks>
  <colBreaks count="1" manualBreakCount="1">
    <brk id="15" max="89" man="1"/>
  </colBreaks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187963-6B33-4514-A225-7951FEA7E0E5}">
  <sheetPr>
    <pageSetUpPr fitToPage="1"/>
  </sheetPr>
  <dimension ref="A1:BE73"/>
  <sheetViews>
    <sheetView topLeftCell="A5" zoomScale="85" zoomScaleNormal="85" workbookViewId="0">
      <selection activeCell="E10" sqref="E10:E14"/>
    </sheetView>
  </sheetViews>
  <sheetFormatPr defaultColWidth="9.42578125" defaultRowHeight="14.25"/>
  <cols>
    <col min="1" max="1" width="7.28515625" style="275" customWidth="1"/>
    <col min="2" max="2" width="31.28515625" style="275" customWidth="1"/>
    <col min="3" max="3" width="22.28515625" style="275" customWidth="1"/>
    <col min="4" max="7" width="16.5703125" style="275" customWidth="1"/>
    <col min="8" max="8" width="20.7109375" style="275" customWidth="1"/>
    <col min="9" max="9" width="31.42578125" style="275" customWidth="1"/>
    <col min="10" max="10" width="35.28515625" style="275" customWidth="1"/>
    <col min="11" max="11" width="29" style="275" customWidth="1"/>
    <col min="12" max="12" width="17.28515625" style="275" bestFit="1" customWidth="1"/>
    <col min="13" max="13" width="23.28515625" style="275" customWidth="1"/>
    <col min="14" max="14" width="13.7109375" style="275" bestFit="1" customWidth="1"/>
    <col min="15" max="15" width="17.5703125" style="275" customWidth="1"/>
    <col min="16" max="16" width="109.28515625" style="6" customWidth="1"/>
    <col min="17" max="17" width="16.5703125" style="275" customWidth="1"/>
    <col min="18" max="18" width="15.7109375" style="275" bestFit="1" customWidth="1"/>
    <col min="19" max="19" width="12.42578125" style="275" customWidth="1"/>
    <col min="20" max="20" width="15" style="275" customWidth="1"/>
    <col min="21" max="21" width="12" style="275" customWidth="1"/>
    <col min="22" max="22" width="10.42578125" style="275" customWidth="1"/>
    <col min="23" max="23" width="11.42578125" style="275" customWidth="1"/>
    <col min="24" max="24" width="10.42578125" style="275" customWidth="1"/>
    <col min="25" max="25" width="8.42578125" style="275" customWidth="1"/>
    <col min="26" max="26" width="9.5703125" style="275" customWidth="1"/>
    <col min="27" max="27" width="8.42578125" style="275" customWidth="1"/>
    <col min="28" max="29" width="7.5703125" style="275" customWidth="1"/>
    <col min="30" max="51" width="9.42578125" style="275"/>
    <col min="52" max="52" width="1.5703125" style="275" customWidth="1"/>
    <col min="53" max="54" width="9.42578125" style="275"/>
    <col min="55" max="56" width="15.42578125" style="275" customWidth="1"/>
    <col min="57" max="16384" width="9.42578125" style="275"/>
  </cols>
  <sheetData>
    <row r="1" spans="2:29" ht="1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R1" s="467"/>
      <c r="S1" s="553" t="s">
        <v>0</v>
      </c>
      <c r="T1" s="553"/>
      <c r="U1" s="553" t="s">
        <v>1</v>
      </c>
      <c r="V1" s="553"/>
      <c r="W1" s="553" t="s">
        <v>2</v>
      </c>
      <c r="X1" s="553"/>
      <c r="Y1" s="553" t="s">
        <v>124</v>
      </c>
      <c r="Z1" s="553"/>
    </row>
    <row r="2" spans="2:29" ht="15">
      <c r="B2" s="554" t="s">
        <v>3</v>
      </c>
      <c r="C2" s="554"/>
      <c r="D2" s="554"/>
      <c r="E2" s="554"/>
      <c r="F2" s="554"/>
      <c r="G2" s="554"/>
      <c r="H2" s="554"/>
      <c r="I2" s="554"/>
      <c r="J2" s="554"/>
      <c r="K2" s="554"/>
      <c r="L2" s="554"/>
      <c r="M2" s="554"/>
      <c r="N2" s="554"/>
      <c r="O2" s="554"/>
      <c r="P2" s="4"/>
      <c r="R2" s="467"/>
      <c r="S2" s="467" t="s">
        <v>4</v>
      </c>
      <c r="T2" s="467" t="s">
        <v>5</v>
      </c>
      <c r="U2" s="467" t="s">
        <v>4</v>
      </c>
      <c r="V2" s="467" t="s">
        <v>5</v>
      </c>
      <c r="W2" s="467" t="s">
        <v>4</v>
      </c>
      <c r="X2" s="467" t="s">
        <v>5</v>
      </c>
      <c r="Y2" s="467" t="s">
        <v>4</v>
      </c>
      <c r="Z2" s="467" t="s">
        <v>5</v>
      </c>
    </row>
    <row r="3" spans="2:29" ht="14.25" customHeight="1">
      <c r="B3" s="5"/>
      <c r="R3" s="467" t="s">
        <v>6</v>
      </c>
      <c r="S3" s="468">
        <v>11.6</v>
      </c>
      <c r="T3" s="469">
        <v>12</v>
      </c>
      <c r="U3" s="9">
        <v>0</v>
      </c>
      <c r="V3" s="10">
        <v>0.118055555555556</v>
      </c>
      <c r="W3" s="10">
        <v>0.22569444444444445</v>
      </c>
      <c r="X3" s="10">
        <v>0.2638888888888889</v>
      </c>
      <c r="Y3" s="470">
        <v>0</v>
      </c>
      <c r="Z3" s="468">
        <v>60</v>
      </c>
      <c r="AB3" s="275" t="s">
        <v>135</v>
      </c>
    </row>
    <row r="4" spans="2:29" ht="30.75" customHeight="1">
      <c r="B4" s="301" t="s">
        <v>133</v>
      </c>
      <c r="C4" s="419">
        <v>46272</v>
      </c>
      <c r="J4" s="398" t="s">
        <v>153</v>
      </c>
      <c r="K4" s="398"/>
      <c r="L4" s="11"/>
      <c r="M4" s="555" t="s">
        <v>8</v>
      </c>
      <c r="N4" s="556"/>
      <c r="P4" s="12"/>
      <c r="R4" s="467" t="s">
        <v>9</v>
      </c>
      <c r="S4" s="468">
        <v>11.6</v>
      </c>
      <c r="T4" s="469">
        <v>12</v>
      </c>
      <c r="U4" s="9">
        <v>0</v>
      </c>
      <c r="V4" s="10">
        <v>0.118055555555556</v>
      </c>
      <c r="W4" s="10">
        <v>0.22569444444444445</v>
      </c>
      <c r="X4" s="10">
        <v>0.2638888888888889</v>
      </c>
      <c r="Y4" s="470">
        <v>0</v>
      </c>
      <c r="Z4" s="468">
        <v>60</v>
      </c>
      <c r="AA4" s="13"/>
      <c r="AB4" s="13"/>
      <c r="AC4" s="13"/>
    </row>
    <row r="5" spans="2:29" ht="12.75" customHeight="1" thickBot="1">
      <c r="B5" s="1"/>
      <c r="C5" s="549"/>
      <c r="D5" s="549"/>
      <c r="J5" s="403"/>
      <c r="K5" s="403"/>
      <c r="L5" s="11"/>
      <c r="M5" s="14" t="s">
        <v>10</v>
      </c>
      <c r="N5" s="14" t="s">
        <v>11</v>
      </c>
      <c r="P5" s="12"/>
      <c r="R5" s="467" t="s">
        <v>12</v>
      </c>
      <c r="S5" s="468">
        <v>17</v>
      </c>
      <c r="T5" s="469">
        <v>17.5</v>
      </c>
      <c r="U5" s="9">
        <v>0</v>
      </c>
      <c r="V5" s="10">
        <v>0.1076388888888889</v>
      </c>
      <c r="W5" s="10">
        <v>0.24652777777777779</v>
      </c>
      <c r="X5" s="10">
        <v>0.28472222222222221</v>
      </c>
      <c r="Y5" s="470">
        <v>0</v>
      </c>
      <c r="Z5" s="471">
        <v>60</v>
      </c>
      <c r="AA5" s="13"/>
      <c r="AB5" s="13"/>
      <c r="AC5" s="13"/>
    </row>
    <row r="6" spans="2:29" ht="14.25" customHeight="1">
      <c r="B6" s="15"/>
      <c r="C6" s="1"/>
      <c r="D6" s="1"/>
      <c r="J6" s="399" t="s">
        <v>168</v>
      </c>
      <c r="K6" s="400"/>
      <c r="L6" s="311" t="s">
        <v>14</v>
      </c>
      <c r="M6" s="340"/>
      <c r="N6" s="340"/>
      <c r="P6" s="16"/>
      <c r="R6" s="467" t="s">
        <v>15</v>
      </c>
      <c r="S6" s="468">
        <v>13.3</v>
      </c>
      <c r="T6" s="469">
        <v>13.5</v>
      </c>
      <c r="U6" s="9">
        <v>0</v>
      </c>
      <c r="V6" s="9">
        <v>0.12905092592592593</v>
      </c>
      <c r="W6" s="10">
        <v>0.27430555555555552</v>
      </c>
      <c r="X6" s="10">
        <v>0.30208333333333331</v>
      </c>
      <c r="Y6" s="470">
        <v>0</v>
      </c>
      <c r="Z6" s="471"/>
      <c r="AA6" s="13"/>
      <c r="AB6" s="13"/>
      <c r="AC6" s="13"/>
    </row>
    <row r="7" spans="2:29" ht="13.35" customHeight="1" thickBot="1">
      <c r="J7" s="401"/>
      <c r="K7" s="402"/>
      <c r="R7" s="467" t="s">
        <v>16</v>
      </c>
      <c r="S7" s="468">
        <v>17</v>
      </c>
      <c r="T7" s="469">
        <v>17.399999999999999</v>
      </c>
      <c r="U7" s="9">
        <v>0</v>
      </c>
      <c r="V7" s="9">
        <v>0.13605324074074074</v>
      </c>
      <c r="W7" s="10">
        <v>0.27430555555555552</v>
      </c>
      <c r="X7" s="10">
        <v>0.30902777777777779</v>
      </c>
      <c r="Y7" s="470">
        <v>0</v>
      </c>
      <c r="Z7" s="471">
        <v>85</v>
      </c>
      <c r="AA7" s="13"/>
      <c r="AB7" s="13"/>
      <c r="AC7" s="13"/>
    </row>
    <row r="8" spans="2:29" ht="25.5" customHeight="1">
      <c r="B8" s="507" t="s">
        <v>17</v>
      </c>
      <c r="C8" s="516" t="s">
        <v>18</v>
      </c>
      <c r="D8" s="516" t="s">
        <v>19</v>
      </c>
      <c r="E8" s="356" t="s">
        <v>20</v>
      </c>
      <c r="F8" s="356" t="s">
        <v>21</v>
      </c>
      <c r="G8" s="516" t="s">
        <v>22</v>
      </c>
      <c r="H8" s="551" t="s">
        <v>144</v>
      </c>
      <c r="I8" s="516" t="s">
        <v>167</v>
      </c>
      <c r="J8" s="542" t="s">
        <v>23</v>
      </c>
      <c r="K8" s="544" t="s">
        <v>142</v>
      </c>
      <c r="L8" s="546" t="s">
        <v>24</v>
      </c>
      <c r="M8" s="359" t="s">
        <v>25</v>
      </c>
      <c r="N8" s="17" t="s">
        <v>166</v>
      </c>
      <c r="O8" s="516" t="s">
        <v>155</v>
      </c>
      <c r="P8" s="548"/>
      <c r="R8" s="467" t="s">
        <v>125</v>
      </c>
      <c r="S8" s="468">
        <v>16.600000000000001</v>
      </c>
      <c r="T8" s="469">
        <v>17</v>
      </c>
      <c r="U8" s="9">
        <v>0</v>
      </c>
      <c r="V8" s="9">
        <v>0.12905092592592593</v>
      </c>
      <c r="W8" s="10">
        <v>0.27430555555555552</v>
      </c>
      <c r="X8" s="10">
        <v>0.30208333333333331</v>
      </c>
      <c r="Y8" s="470">
        <v>0</v>
      </c>
      <c r="Z8" s="471"/>
    </row>
    <row r="9" spans="2:29" ht="36" customHeight="1">
      <c r="B9" s="550"/>
      <c r="C9" s="541"/>
      <c r="D9" s="541"/>
      <c r="E9" s="357" t="s">
        <v>30</v>
      </c>
      <c r="F9" s="357" t="s">
        <v>31</v>
      </c>
      <c r="G9" s="541"/>
      <c r="H9" s="552"/>
      <c r="I9" s="541"/>
      <c r="J9" s="543"/>
      <c r="K9" s="545"/>
      <c r="L9" s="547"/>
      <c r="M9" s="20" t="s">
        <v>32</v>
      </c>
      <c r="N9" s="21" t="s">
        <v>41</v>
      </c>
      <c r="O9" s="541"/>
      <c r="P9" s="541"/>
      <c r="R9" s="467" t="s">
        <v>33</v>
      </c>
      <c r="S9" s="468">
        <v>14.2</v>
      </c>
      <c r="T9" s="469">
        <v>14.6</v>
      </c>
      <c r="U9" s="9">
        <v>0</v>
      </c>
      <c r="V9" s="9">
        <v>0.13905092592592591</v>
      </c>
      <c r="W9" s="10">
        <v>0.26041666666666669</v>
      </c>
      <c r="X9" s="10">
        <v>0.2951388888888889</v>
      </c>
      <c r="Y9" s="470">
        <v>0</v>
      </c>
      <c r="Z9" s="471">
        <v>75</v>
      </c>
    </row>
    <row r="10" spans="2:29" ht="15" customHeight="1">
      <c r="B10" s="36" t="s">
        <v>15</v>
      </c>
      <c r="C10" s="366" t="str">
        <f>[8]Brewhouse!$A26</f>
        <v>MK020</v>
      </c>
      <c r="D10" s="279">
        <f>[8]Brewhouse!$AF26</f>
        <v>51.7</v>
      </c>
      <c r="E10" s="279">
        <f>[8]Brewhouse!$AI26</f>
        <v>51.1</v>
      </c>
      <c r="F10" s="278">
        <f>[8]Brewhouse!$X26</f>
        <v>49</v>
      </c>
      <c r="G10" s="279">
        <f>[8]Brewhouse!$AG26</f>
        <v>13.3</v>
      </c>
      <c r="H10" s="396">
        <v>13.5</v>
      </c>
      <c r="I10" s="489">
        <f>[8]Brewhouse!$AT26</f>
        <v>97.686758632829481</v>
      </c>
      <c r="J10" s="489">
        <f>[8]Brewhouse!$AU26</f>
        <v>98.354162430360631</v>
      </c>
      <c r="K10" s="490">
        <f>[8]Brewhouse!$S26</f>
        <v>8.4078431372549005</v>
      </c>
      <c r="L10" s="276">
        <f>[8]Brewhouse!$R26</f>
        <v>75</v>
      </c>
      <c r="M10" s="374">
        <f>[8]Brewhouse!$W26-[8]Brewhouse!$V26</f>
        <v>0.12638888888888888</v>
      </c>
      <c r="N10" s="370">
        <f>[8]Brewhouse!$AA26</f>
        <v>0.32361111111111113</v>
      </c>
      <c r="O10" s="420" t="str">
        <f>[8]Brewhouse!$AX26</f>
        <v>R. Sookram</v>
      </c>
      <c r="P10" s="418"/>
      <c r="R10" s="277" t="str">
        <f t="shared" ref="R10:R20" si="0">B10</f>
        <v>MACKESON</v>
      </c>
      <c r="S10" s="472">
        <f t="shared" ref="S10:S33" si="1">VLOOKUP($B10,$R$3:$X$9,2,FALSE)</f>
        <v>13.3</v>
      </c>
      <c r="T10" s="472">
        <f t="shared" ref="T10:T33" si="2">VLOOKUP($B10,$R$3:$X$9,3,FALSE)</f>
        <v>13.5</v>
      </c>
      <c r="U10" s="297">
        <f t="shared" ref="U10:U33" si="3">VLOOKUP($B10,$R$3:$X$9,4,FALSE)</f>
        <v>0</v>
      </c>
      <c r="V10" s="297">
        <f t="shared" ref="V10:V33" si="4">VLOOKUP($B10,$R$3:$X$9,5,FALSE)</f>
        <v>0.12905092592592593</v>
      </c>
      <c r="W10" s="297">
        <f t="shared" ref="W10:W33" si="5">VLOOKUP($B10,$R$3:$X$9,6,FALSE)</f>
        <v>0.27430555555555552</v>
      </c>
      <c r="X10" s="297">
        <f t="shared" ref="X10:X33" si="6">VLOOKUP($B10,$R$3:$X$9,7,FALSE)</f>
        <v>0.30208333333333331</v>
      </c>
      <c r="Y10" s="297">
        <f t="shared" ref="Y10:Y33" si="7">VLOOKUP($B10,$R$3:$Z$9,8,FALSE)</f>
        <v>0</v>
      </c>
      <c r="Z10" s="472">
        <f t="shared" ref="Z10:Z33" si="8">VLOOKUP($B10,$R$3:$Z$9,9,FALSE)</f>
        <v>0</v>
      </c>
    </row>
    <row r="11" spans="2:29" ht="15" customHeight="1">
      <c r="B11" s="36" t="s">
        <v>15</v>
      </c>
      <c r="C11" s="366" t="str">
        <f>[8]Brewhouse!$A27</f>
        <v>MK021</v>
      </c>
      <c r="D11" s="279">
        <f>[8]Brewhouse!$AF27</f>
        <v>50.6</v>
      </c>
      <c r="E11" s="279">
        <f>[8]Brewhouse!$AI27</f>
        <v>50.8</v>
      </c>
      <c r="F11" s="278">
        <f>[8]Brewhouse!$X27</f>
        <v>53</v>
      </c>
      <c r="G11" s="279">
        <f>[8]Brewhouse!$AG27</f>
        <v>13.3</v>
      </c>
      <c r="H11" s="396">
        <v>13.1</v>
      </c>
      <c r="I11" s="489">
        <f>[8]Brewhouse!$AT27</f>
        <v>97.217049049093575</v>
      </c>
      <c r="J11" s="489">
        <f>[8]Brewhouse!$AU27</f>
        <v>97.881105690196961</v>
      </c>
      <c r="K11" s="490">
        <f>[8]Brewhouse!$S27</f>
        <v>10.208571428571426</v>
      </c>
      <c r="L11" s="276">
        <f>[8]Brewhouse!$R27</f>
        <v>75</v>
      </c>
      <c r="M11" s="374">
        <f>[8]Brewhouse!$W27-[8]Brewhouse!$V27</f>
        <v>0.14722222222222225</v>
      </c>
      <c r="N11" s="370">
        <f>[8]Brewhouse!$AA27</f>
        <v>0.31388888888888888</v>
      </c>
      <c r="O11" s="420" t="str">
        <f>[8]Brewhouse!$AX27</f>
        <v>R. Sookram</v>
      </c>
      <c r="P11" s="418"/>
      <c r="R11" s="277" t="str">
        <f t="shared" si="0"/>
        <v>MACKESON</v>
      </c>
      <c r="S11" s="472">
        <f t="shared" si="1"/>
        <v>13.3</v>
      </c>
      <c r="T11" s="472">
        <f t="shared" si="2"/>
        <v>13.5</v>
      </c>
      <c r="U11" s="297">
        <f t="shared" si="3"/>
        <v>0</v>
      </c>
      <c r="V11" s="297">
        <f t="shared" si="4"/>
        <v>0.12905092592592593</v>
      </c>
      <c r="W11" s="297">
        <f t="shared" si="5"/>
        <v>0.27430555555555552</v>
      </c>
      <c r="X11" s="297">
        <f t="shared" si="6"/>
        <v>0.30208333333333331</v>
      </c>
      <c r="Y11" s="297">
        <f t="shared" si="7"/>
        <v>0</v>
      </c>
      <c r="Z11" s="472">
        <f t="shared" si="8"/>
        <v>0</v>
      </c>
    </row>
    <row r="12" spans="2:29" ht="15" customHeight="1">
      <c r="B12" s="36" t="s">
        <v>15</v>
      </c>
      <c r="C12" s="366" t="str">
        <f>[8]Brewhouse!$A28</f>
        <v>MK022</v>
      </c>
      <c r="D12" s="279">
        <f>[8]Brewhouse!$AF28</f>
        <v>50.4</v>
      </c>
      <c r="E12" s="279">
        <f>[8]Brewhouse!$AI28</f>
        <v>49.8</v>
      </c>
      <c r="F12" s="278">
        <f>[8]Brewhouse!$X28</f>
        <v>53</v>
      </c>
      <c r="G12" s="279">
        <f>[8]Brewhouse!$AG28</f>
        <v>13.3</v>
      </c>
      <c r="H12" s="396">
        <v>13.5</v>
      </c>
      <c r="I12" s="489">
        <f>[8]Brewhouse!$AT28</f>
        <v>95.303327611119286</v>
      </c>
      <c r="J12" s="489">
        <f>[8]Brewhouse!$AU28</f>
        <v>95.954312271098587</v>
      </c>
      <c r="K12" s="490">
        <f>[8]Brewhouse!$S28</f>
        <v>10.565714285714289</v>
      </c>
      <c r="L12" s="276">
        <f>[8]Brewhouse!$R28</f>
        <v>79</v>
      </c>
      <c r="M12" s="374">
        <f>[8]Brewhouse!$W28-[8]Brewhouse!$V28</f>
        <v>0.15138888888888891</v>
      </c>
      <c r="N12" s="370">
        <f>[8]Brewhouse!$AA28</f>
        <v>0.30972222222222218</v>
      </c>
      <c r="O12" s="420" t="str">
        <f>[8]Brewhouse!$AX28</f>
        <v>K.Benjamin</v>
      </c>
      <c r="P12" s="418"/>
      <c r="R12" s="277" t="str">
        <f t="shared" si="0"/>
        <v>MACKESON</v>
      </c>
      <c r="S12" s="472">
        <f t="shared" si="1"/>
        <v>13.3</v>
      </c>
      <c r="T12" s="472">
        <f t="shared" si="2"/>
        <v>13.5</v>
      </c>
      <c r="U12" s="297">
        <f t="shared" si="3"/>
        <v>0</v>
      </c>
      <c r="V12" s="297">
        <f t="shared" si="4"/>
        <v>0.12905092592592593</v>
      </c>
      <c r="W12" s="297">
        <f t="shared" si="5"/>
        <v>0.27430555555555552</v>
      </c>
      <c r="X12" s="297">
        <f t="shared" si="6"/>
        <v>0.30208333333333331</v>
      </c>
      <c r="Y12" s="297">
        <f t="shared" si="7"/>
        <v>0</v>
      </c>
      <c r="Z12" s="472">
        <f t="shared" si="8"/>
        <v>0</v>
      </c>
    </row>
    <row r="13" spans="2:29" ht="15" customHeight="1">
      <c r="B13" s="36" t="s">
        <v>15</v>
      </c>
      <c r="C13" s="366" t="str">
        <f>[8]Brewhouse!$A29</f>
        <v>MK023</v>
      </c>
      <c r="D13" s="279">
        <f>[8]Brewhouse!$AF29</f>
        <v>49.8</v>
      </c>
      <c r="E13" s="279">
        <f>[8]Brewhouse!$AI29</f>
        <v>49.3</v>
      </c>
      <c r="F13" s="278">
        <f>[8]Brewhouse!$X29</f>
        <v>47</v>
      </c>
      <c r="G13" s="279">
        <f>[8]Brewhouse!$AG29</f>
        <v>13.8</v>
      </c>
      <c r="H13" s="396">
        <v>13.7</v>
      </c>
      <c r="I13" s="489">
        <f>[8]Brewhouse!$AT29</f>
        <v>97.085382097037311</v>
      </c>
      <c r="J13" s="489">
        <f>[8]Brewhouse!$AU29</f>
        <v>97.749905018459387</v>
      </c>
      <c r="K13" s="490">
        <f>[8]Brewhouse!$S29</f>
        <v>8.7025830258302701</v>
      </c>
      <c r="L13" s="276">
        <f>[8]Brewhouse!$R29</f>
        <v>76</v>
      </c>
      <c r="M13" s="374">
        <f>[8]Brewhouse!$W29-[8]Brewhouse!$V29</f>
        <v>0.12361111111111112</v>
      </c>
      <c r="N13" s="370">
        <f>[8]Brewhouse!$AA29</f>
        <v>0.30555555555555558</v>
      </c>
      <c r="O13" s="420" t="str">
        <f>[8]Brewhouse!$AX29</f>
        <v>K.Benjamin</v>
      </c>
      <c r="P13" s="418"/>
      <c r="R13" s="277" t="str">
        <f t="shared" si="0"/>
        <v>MACKESON</v>
      </c>
      <c r="S13" s="472">
        <f t="shared" si="1"/>
        <v>13.3</v>
      </c>
      <c r="T13" s="472">
        <f t="shared" si="2"/>
        <v>13.5</v>
      </c>
      <c r="U13" s="297">
        <f t="shared" si="3"/>
        <v>0</v>
      </c>
      <c r="V13" s="297">
        <f t="shared" si="4"/>
        <v>0.12905092592592593</v>
      </c>
      <c r="W13" s="297">
        <f t="shared" si="5"/>
        <v>0.27430555555555552</v>
      </c>
      <c r="X13" s="297">
        <f t="shared" si="6"/>
        <v>0.30208333333333331</v>
      </c>
      <c r="Y13" s="297">
        <f t="shared" si="7"/>
        <v>0</v>
      </c>
      <c r="Z13" s="472">
        <f t="shared" si="8"/>
        <v>0</v>
      </c>
    </row>
    <row r="14" spans="2:29" ht="15" customHeight="1">
      <c r="B14" s="36" t="s">
        <v>15</v>
      </c>
      <c r="C14" s="366" t="str">
        <f>[8]Brewhouse!$A30</f>
        <v>MK024</v>
      </c>
      <c r="D14" s="279">
        <f>[8]Brewhouse!$AF30</f>
        <v>50.2</v>
      </c>
      <c r="E14" s="279">
        <f>[8]Brewhouse!$AI30</f>
        <v>49.7</v>
      </c>
      <c r="F14" s="278">
        <f>[8]Brewhouse!$X30</f>
        <v>53</v>
      </c>
      <c r="G14" s="279">
        <f>[8]Brewhouse!$AG30</f>
        <v>13.5</v>
      </c>
      <c r="H14" s="396">
        <v>13.5</v>
      </c>
      <c r="I14" s="489">
        <f>[8]Brewhouse!$AT30</f>
        <v>96.401573752548614</v>
      </c>
      <c r="J14" s="489">
        <f>[8]Brewhouse!$AU30</f>
        <v>97.060333676549575</v>
      </c>
      <c r="K14" s="490">
        <f>[8]Brewhouse!$S30</f>
        <v>7.964575645756458</v>
      </c>
      <c r="L14" s="276">
        <f>[8]Brewhouse!$R30</f>
        <v>76</v>
      </c>
      <c r="M14" s="374">
        <f>[8]Brewhouse!$W30-[8]Brewhouse!$V30</f>
        <v>0.12152777777777779</v>
      </c>
      <c r="N14" s="370">
        <f>[8]Brewhouse!$AA30</f>
        <v>0.27916666666666667</v>
      </c>
      <c r="O14" s="420" t="str">
        <f>[8]Brewhouse!$AX30</f>
        <v>R.Regis</v>
      </c>
      <c r="P14" s="418"/>
      <c r="R14" s="277" t="str">
        <f t="shared" si="0"/>
        <v>MACKESON</v>
      </c>
      <c r="S14" s="472">
        <f t="shared" si="1"/>
        <v>13.3</v>
      </c>
      <c r="T14" s="472">
        <f t="shared" si="2"/>
        <v>13.5</v>
      </c>
      <c r="U14" s="297">
        <f t="shared" si="3"/>
        <v>0</v>
      </c>
      <c r="V14" s="297">
        <f t="shared" si="4"/>
        <v>0.12905092592592593</v>
      </c>
      <c r="W14" s="297">
        <f t="shared" si="5"/>
        <v>0.27430555555555552</v>
      </c>
      <c r="X14" s="297">
        <f t="shared" si="6"/>
        <v>0.30208333333333331</v>
      </c>
      <c r="Y14" s="297">
        <f t="shared" si="7"/>
        <v>0</v>
      </c>
      <c r="Z14" s="472">
        <f t="shared" si="8"/>
        <v>0</v>
      </c>
    </row>
    <row r="15" spans="2:29" ht="15" customHeight="1">
      <c r="B15" s="36"/>
      <c r="C15" s="366"/>
      <c r="D15" s="279"/>
      <c r="E15" s="279"/>
      <c r="F15" s="278"/>
      <c r="G15" s="279"/>
      <c r="H15" s="396"/>
      <c r="I15" s="489"/>
      <c r="J15" s="489"/>
      <c r="K15" s="490"/>
      <c r="L15" s="276"/>
      <c r="M15" s="374"/>
      <c r="N15" s="370"/>
      <c r="O15" s="420"/>
      <c r="P15" s="418"/>
      <c r="R15" s="277">
        <f t="shared" si="0"/>
        <v>0</v>
      </c>
      <c r="S15" s="472" t="e">
        <f t="shared" si="1"/>
        <v>#N/A</v>
      </c>
      <c r="T15" s="472" t="e">
        <f t="shared" si="2"/>
        <v>#N/A</v>
      </c>
      <c r="U15" s="297" t="e">
        <f t="shared" si="3"/>
        <v>#N/A</v>
      </c>
      <c r="V15" s="297" t="e">
        <f t="shared" si="4"/>
        <v>#N/A</v>
      </c>
      <c r="W15" s="297" t="e">
        <f t="shared" si="5"/>
        <v>#N/A</v>
      </c>
      <c r="X15" s="297" t="e">
        <f t="shared" si="6"/>
        <v>#N/A</v>
      </c>
      <c r="Y15" s="297" t="e">
        <f t="shared" si="7"/>
        <v>#N/A</v>
      </c>
      <c r="Z15" s="472" t="e">
        <f t="shared" si="8"/>
        <v>#N/A</v>
      </c>
    </row>
    <row r="16" spans="2:29" ht="15" customHeight="1">
      <c r="B16" s="36"/>
      <c r="C16" s="366"/>
      <c r="D16" s="279"/>
      <c r="E16" s="279"/>
      <c r="F16" s="278"/>
      <c r="G16" s="279"/>
      <c r="H16" s="396"/>
      <c r="I16" s="489"/>
      <c r="J16" s="489"/>
      <c r="K16" s="490"/>
      <c r="L16" s="276"/>
      <c r="M16" s="374"/>
      <c r="N16" s="370"/>
      <c r="O16" s="420"/>
      <c r="P16" s="418"/>
      <c r="R16" s="277">
        <f t="shared" si="0"/>
        <v>0</v>
      </c>
      <c r="S16" s="472" t="e">
        <f t="shared" si="1"/>
        <v>#N/A</v>
      </c>
      <c r="T16" s="472" t="e">
        <f t="shared" si="2"/>
        <v>#N/A</v>
      </c>
      <c r="U16" s="297" t="e">
        <f t="shared" si="3"/>
        <v>#N/A</v>
      </c>
      <c r="V16" s="297" t="e">
        <f t="shared" si="4"/>
        <v>#N/A</v>
      </c>
      <c r="W16" s="297" t="e">
        <f t="shared" si="5"/>
        <v>#N/A</v>
      </c>
      <c r="X16" s="297" t="e">
        <f t="shared" si="6"/>
        <v>#N/A</v>
      </c>
      <c r="Y16" s="297" t="e">
        <f t="shared" si="7"/>
        <v>#N/A</v>
      </c>
      <c r="Z16" s="472" t="e">
        <f t="shared" si="8"/>
        <v>#N/A</v>
      </c>
    </row>
    <row r="17" spans="1:27" ht="15" customHeight="1">
      <c r="B17" s="36"/>
      <c r="C17" s="366"/>
      <c r="D17" s="279"/>
      <c r="E17" s="279"/>
      <c r="F17" s="278"/>
      <c r="G17" s="279"/>
      <c r="H17" s="396"/>
      <c r="I17" s="489"/>
      <c r="J17" s="489"/>
      <c r="K17" s="490"/>
      <c r="L17" s="276"/>
      <c r="M17" s="374"/>
      <c r="N17" s="370"/>
      <c r="O17" s="420"/>
      <c r="P17" s="418"/>
      <c r="R17" s="277">
        <f t="shared" si="0"/>
        <v>0</v>
      </c>
      <c r="S17" s="472" t="e">
        <f t="shared" si="1"/>
        <v>#N/A</v>
      </c>
      <c r="T17" s="472" t="e">
        <f t="shared" si="2"/>
        <v>#N/A</v>
      </c>
      <c r="U17" s="297" t="e">
        <f t="shared" si="3"/>
        <v>#N/A</v>
      </c>
      <c r="V17" s="297" t="e">
        <f t="shared" si="4"/>
        <v>#N/A</v>
      </c>
      <c r="W17" s="297" t="e">
        <f t="shared" si="5"/>
        <v>#N/A</v>
      </c>
      <c r="X17" s="297" t="e">
        <f t="shared" si="6"/>
        <v>#N/A</v>
      </c>
      <c r="Y17" s="297" t="e">
        <f t="shared" si="7"/>
        <v>#N/A</v>
      </c>
      <c r="Z17" s="472" t="e">
        <f t="shared" si="8"/>
        <v>#N/A</v>
      </c>
    </row>
    <row r="18" spans="1:27" ht="15" customHeight="1">
      <c r="B18" s="36"/>
      <c r="C18" s="366"/>
      <c r="D18" s="279"/>
      <c r="E18" s="279"/>
      <c r="F18" s="278"/>
      <c r="G18" s="279"/>
      <c r="H18" s="396"/>
      <c r="I18" s="489"/>
      <c r="J18" s="489"/>
      <c r="K18" s="490"/>
      <c r="L18" s="276"/>
      <c r="M18" s="374"/>
      <c r="N18" s="370"/>
      <c r="O18" s="420"/>
      <c r="P18" s="418"/>
      <c r="R18" s="277">
        <f t="shared" si="0"/>
        <v>0</v>
      </c>
      <c r="S18" s="472" t="e">
        <f t="shared" si="1"/>
        <v>#N/A</v>
      </c>
      <c r="T18" s="472" t="e">
        <f t="shared" si="2"/>
        <v>#N/A</v>
      </c>
      <c r="U18" s="297" t="e">
        <f t="shared" si="3"/>
        <v>#N/A</v>
      </c>
      <c r="V18" s="297" t="e">
        <f t="shared" si="4"/>
        <v>#N/A</v>
      </c>
      <c r="W18" s="297" t="e">
        <f t="shared" si="5"/>
        <v>#N/A</v>
      </c>
      <c r="X18" s="297" t="e">
        <f t="shared" si="6"/>
        <v>#N/A</v>
      </c>
      <c r="Y18" s="297" t="e">
        <f t="shared" si="7"/>
        <v>#N/A</v>
      </c>
      <c r="Z18" s="472" t="e">
        <f t="shared" si="8"/>
        <v>#N/A</v>
      </c>
    </row>
    <row r="19" spans="1:27" ht="15" customHeight="1">
      <c r="B19" s="36"/>
      <c r="C19" s="366"/>
      <c r="D19" s="279"/>
      <c r="E19" s="279"/>
      <c r="F19" s="278"/>
      <c r="G19" s="279"/>
      <c r="H19" s="396"/>
      <c r="I19" s="489"/>
      <c r="J19" s="489"/>
      <c r="K19" s="490"/>
      <c r="L19" s="276"/>
      <c r="M19" s="374"/>
      <c r="N19" s="370"/>
      <c r="O19" s="420"/>
      <c r="P19" s="418"/>
      <c r="R19" s="277">
        <f t="shared" si="0"/>
        <v>0</v>
      </c>
      <c r="S19" s="472" t="e">
        <f t="shared" si="1"/>
        <v>#N/A</v>
      </c>
      <c r="T19" s="472" t="e">
        <f t="shared" si="2"/>
        <v>#N/A</v>
      </c>
      <c r="U19" s="297" t="e">
        <f t="shared" si="3"/>
        <v>#N/A</v>
      </c>
      <c r="V19" s="297" t="e">
        <f t="shared" si="4"/>
        <v>#N/A</v>
      </c>
      <c r="W19" s="297" t="e">
        <f t="shared" si="5"/>
        <v>#N/A</v>
      </c>
      <c r="X19" s="297" t="e">
        <f t="shared" si="6"/>
        <v>#N/A</v>
      </c>
      <c r="Y19" s="297" t="e">
        <f t="shared" si="7"/>
        <v>#N/A</v>
      </c>
      <c r="Z19" s="472" t="e">
        <f t="shared" si="8"/>
        <v>#N/A</v>
      </c>
    </row>
    <row r="20" spans="1:27" ht="17.25" customHeight="1" thickBot="1">
      <c r="B20" s="358"/>
      <c r="C20" s="358"/>
      <c r="D20" s="358"/>
      <c r="E20" s="358"/>
      <c r="F20" s="294"/>
      <c r="G20" s="294"/>
      <c r="H20" s="348"/>
      <c r="I20" s="535"/>
      <c r="J20" s="535"/>
      <c r="K20" s="535"/>
      <c r="L20" s="535"/>
      <c r="M20" s="535"/>
      <c r="N20" s="535"/>
      <c r="O20" s="1"/>
      <c r="P20" s="12"/>
      <c r="R20" s="277">
        <f t="shared" si="0"/>
        <v>0</v>
      </c>
      <c r="S20" s="472" t="e">
        <f t="shared" si="1"/>
        <v>#N/A</v>
      </c>
      <c r="T20" s="472" t="e">
        <f t="shared" si="2"/>
        <v>#N/A</v>
      </c>
      <c r="U20" s="297" t="e">
        <f t="shared" si="3"/>
        <v>#N/A</v>
      </c>
      <c r="V20" s="297" t="e">
        <f t="shared" si="4"/>
        <v>#N/A</v>
      </c>
      <c r="W20" s="297" t="e">
        <f t="shared" si="5"/>
        <v>#N/A</v>
      </c>
      <c r="X20" s="297" t="e">
        <f t="shared" si="6"/>
        <v>#N/A</v>
      </c>
      <c r="Y20" s="297" t="e">
        <f t="shared" si="7"/>
        <v>#N/A</v>
      </c>
      <c r="Z20" s="472" t="e">
        <f t="shared" si="8"/>
        <v>#N/A</v>
      </c>
    </row>
    <row r="21" spans="1:27" ht="17.25" customHeight="1" thickBot="1">
      <c r="B21" s="483" t="s">
        <v>162</v>
      </c>
      <c r="C21" s="388"/>
      <c r="D21" s="536" t="s">
        <v>35</v>
      </c>
      <c r="E21" s="537"/>
      <c r="F21" s="294"/>
      <c r="G21" s="294"/>
      <c r="H21" s="348"/>
      <c r="I21" s="24" t="s">
        <v>17</v>
      </c>
      <c r="J21" s="25"/>
      <c r="K21" s="26" t="s">
        <v>138</v>
      </c>
      <c r="L21" s="25" t="s">
        <v>37</v>
      </c>
      <c r="M21" s="25" t="s">
        <v>38</v>
      </c>
      <c r="N21" s="27" t="s">
        <v>39</v>
      </c>
      <c r="O21" s="294"/>
      <c r="P21" s="12"/>
      <c r="R21" s="277" t="str">
        <f t="shared" ref="R21:R33" si="9">B21</f>
        <v xml:space="preserve">BRAND </v>
      </c>
      <c r="S21" s="472" t="e">
        <f t="shared" si="1"/>
        <v>#N/A</v>
      </c>
      <c r="T21" s="472" t="e">
        <f t="shared" si="2"/>
        <v>#N/A</v>
      </c>
      <c r="U21" s="297" t="e">
        <f t="shared" si="3"/>
        <v>#N/A</v>
      </c>
      <c r="V21" s="297" t="e">
        <f t="shared" si="4"/>
        <v>#N/A</v>
      </c>
      <c r="W21" s="297" t="e">
        <f t="shared" si="5"/>
        <v>#N/A</v>
      </c>
      <c r="X21" s="297" t="e">
        <f t="shared" si="6"/>
        <v>#N/A</v>
      </c>
      <c r="Y21" s="297" t="e">
        <f t="shared" si="7"/>
        <v>#N/A</v>
      </c>
      <c r="Z21" s="472" t="e">
        <f t="shared" si="8"/>
        <v>#N/A</v>
      </c>
    </row>
    <row r="22" spans="1:27" ht="17.25" customHeight="1">
      <c r="A22" s="28"/>
      <c r="B22" s="538"/>
      <c r="C22" s="484"/>
      <c r="D22" s="523"/>
      <c r="E22" s="524"/>
      <c r="F22" s="294"/>
      <c r="G22" s="294"/>
      <c r="H22" s="348"/>
      <c r="I22" s="29" t="s">
        <v>6</v>
      </c>
      <c r="J22" s="323"/>
      <c r="K22" s="284">
        <f>COUNTA([4]Brewhouse!$A$696:$A$715)</f>
        <v>20</v>
      </c>
      <c r="L22" s="305">
        <f>AVERAGE([4]Brewhouse!$AU$696:$AU$715)</f>
        <v>98.440340070586117</v>
      </c>
      <c r="M22" s="305">
        <f>AVERAGE([4]Brewhouse!$AU$42:$AU$123,[4]Brewhouse!$AU$125:$AU$188,[4]Brewhouse!$AU$198:$AU$290,[4]Brewhouse!$AU$292:$AU$370,[4]Brewhouse!$AU$372:$AU$439,[4]Brewhouse!$AU$441:$AU$497,[4]Brewhouse!$AU$499:$AU$519,[4]Brewhouse!$AU$521:$AU$593,[4]Brewhouse!$AU$595:$AU$715)</f>
        <v>98.290599313483128</v>
      </c>
      <c r="N22" s="30">
        <v>98</v>
      </c>
      <c r="O22" s="11"/>
      <c r="P22" s="31"/>
      <c r="R22" s="277">
        <f t="shared" si="9"/>
        <v>0</v>
      </c>
      <c r="S22" s="472" t="e">
        <f t="shared" si="1"/>
        <v>#N/A</v>
      </c>
      <c r="T22" s="472" t="e">
        <f t="shared" si="2"/>
        <v>#N/A</v>
      </c>
      <c r="U22" s="297" t="e">
        <f t="shared" si="3"/>
        <v>#N/A</v>
      </c>
      <c r="V22" s="297" t="e">
        <f t="shared" si="4"/>
        <v>#N/A</v>
      </c>
      <c r="W22" s="297" t="e">
        <f t="shared" si="5"/>
        <v>#N/A</v>
      </c>
      <c r="X22" s="297" t="e">
        <f t="shared" si="6"/>
        <v>#N/A</v>
      </c>
      <c r="Y22" s="297" t="e">
        <f t="shared" si="7"/>
        <v>#N/A</v>
      </c>
      <c r="Z22" s="472" t="e">
        <f t="shared" si="8"/>
        <v>#N/A</v>
      </c>
    </row>
    <row r="23" spans="1:27" ht="15" customHeight="1">
      <c r="A23" s="28"/>
      <c r="B23" s="539"/>
      <c r="C23" s="362"/>
      <c r="D23" s="525"/>
      <c r="E23" s="526"/>
      <c r="F23" s="294"/>
      <c r="G23" s="294"/>
      <c r="H23" s="348"/>
      <c r="I23" s="33" t="s">
        <v>9</v>
      </c>
      <c r="J23" s="323"/>
      <c r="K23" s="284"/>
      <c r="L23" s="302"/>
      <c r="M23" s="302">
        <f>AVERAGE([5]Brewhouse!$AS$52:$AS$81,[5]Brewhouse!$AS$83:$AS$124,[5]Brewhouse!$AS$134:$AS$177,[5]Brewhouse!$AS$22:$AS$179,[5]Brewhouse!$AS$214:$AS$249,[5]Brewhouse!$AS$252:$AS$293,[5]Brewhouse!$AS$295:$AS$325,[5]Brewhouse!$AS$327:$AS$361)</f>
        <v>98.239656393693409</v>
      </c>
      <c r="N23" s="30">
        <v>98</v>
      </c>
      <c r="O23" s="11"/>
      <c r="P23" s="31"/>
      <c r="R23" s="277">
        <f t="shared" si="9"/>
        <v>0</v>
      </c>
      <c r="S23" s="472" t="e">
        <f t="shared" si="1"/>
        <v>#N/A</v>
      </c>
      <c r="T23" s="472" t="e">
        <f t="shared" si="2"/>
        <v>#N/A</v>
      </c>
      <c r="U23" s="297" t="e">
        <f t="shared" si="3"/>
        <v>#N/A</v>
      </c>
      <c r="V23" s="297" t="e">
        <f t="shared" si="4"/>
        <v>#N/A</v>
      </c>
      <c r="W23" s="297" t="e">
        <f t="shared" si="5"/>
        <v>#N/A</v>
      </c>
      <c r="X23" s="297" t="e">
        <f t="shared" si="6"/>
        <v>#N/A</v>
      </c>
      <c r="Y23" s="297" t="e">
        <f t="shared" si="7"/>
        <v>#N/A</v>
      </c>
      <c r="Z23" s="472" t="e">
        <f t="shared" si="8"/>
        <v>#N/A</v>
      </c>
    </row>
    <row r="24" spans="1:27" ht="14.65" customHeight="1">
      <c r="A24" s="28"/>
      <c r="B24" s="539"/>
      <c r="C24" s="362"/>
      <c r="D24" s="530"/>
      <c r="E24" s="531"/>
      <c r="F24" s="294"/>
      <c r="G24" s="294"/>
      <c r="H24" s="348"/>
      <c r="I24" s="34" t="s">
        <v>12</v>
      </c>
      <c r="J24" s="323"/>
      <c r="K24" s="284"/>
      <c r="L24" s="302"/>
      <c r="M24" s="302">
        <f>AVERAGE([6]Brewhouse!$AU$16:$AU$23,[6]Brewhouse!$AU$25:$AU$32,[6]Brewhouse!$AU$34:$AU$41,[6]Brewhouse!$AU$43:$AU$60,[6]Brewhouse!$AU$62:$AU$69,[6]Brewhouse!$AU$71:$AU$88,[6]Brewhouse!$AU$90:$AU$97)</f>
        <v>96.502171439390338</v>
      </c>
      <c r="N24" s="30">
        <v>98</v>
      </c>
      <c r="O24" s="11"/>
      <c r="P24" s="31"/>
      <c r="R24" s="277">
        <f t="shared" si="9"/>
        <v>0</v>
      </c>
      <c r="S24" s="472" t="e">
        <f t="shared" si="1"/>
        <v>#N/A</v>
      </c>
      <c r="T24" s="472" t="e">
        <f t="shared" si="2"/>
        <v>#N/A</v>
      </c>
      <c r="U24" s="297" t="e">
        <f t="shared" si="3"/>
        <v>#N/A</v>
      </c>
      <c r="V24" s="297" t="e">
        <f t="shared" si="4"/>
        <v>#N/A</v>
      </c>
      <c r="W24" s="297" t="e">
        <f t="shared" si="5"/>
        <v>#N/A</v>
      </c>
      <c r="X24" s="297" t="e">
        <f t="shared" si="6"/>
        <v>#N/A</v>
      </c>
      <c r="Y24" s="297" t="e">
        <f t="shared" si="7"/>
        <v>#N/A</v>
      </c>
      <c r="Z24" s="472" t="e">
        <f t="shared" si="8"/>
        <v>#N/A</v>
      </c>
    </row>
    <row r="25" spans="1:27" ht="14.65" customHeight="1">
      <c r="A25" s="28"/>
      <c r="B25" s="539"/>
      <c r="C25" s="362"/>
      <c r="D25" s="532"/>
      <c r="E25" s="526"/>
      <c r="F25" s="294"/>
      <c r="G25" s="294"/>
      <c r="H25" s="348"/>
      <c r="I25" s="22" t="s">
        <v>33</v>
      </c>
      <c r="J25" s="280"/>
      <c r="K25" s="284"/>
      <c r="L25" s="302"/>
      <c r="M25" s="302">
        <f>AVERAGE([7]Brewhouse!$AV$23:$AV$34,[7]Brewhouse!$AV$36,[7]Brewhouse!$AV$38:$AV$52,[7]Brewhouse!$AV$54:$AV$60,[7]Brewhouse!$AV$62:$AV$69,[7]Brewhouse!$AV$71:$AV$78,[7]Brewhouse!$AV$80:$AV$87,[7]Brewhouse!$AV$89:$AV$96)</f>
        <v>97.559547139003357</v>
      </c>
      <c r="N25" s="30">
        <v>98</v>
      </c>
      <c r="O25" s="11"/>
      <c r="P25" s="31"/>
      <c r="R25" s="277">
        <f t="shared" si="9"/>
        <v>0</v>
      </c>
      <c r="S25" s="472" t="e">
        <f t="shared" si="1"/>
        <v>#N/A</v>
      </c>
      <c r="T25" s="472" t="e">
        <f t="shared" si="2"/>
        <v>#N/A</v>
      </c>
      <c r="U25" s="297" t="e">
        <f t="shared" si="3"/>
        <v>#N/A</v>
      </c>
      <c r="V25" s="297" t="e">
        <f t="shared" si="4"/>
        <v>#N/A</v>
      </c>
      <c r="W25" s="297" t="e">
        <f t="shared" si="5"/>
        <v>#N/A</v>
      </c>
      <c r="X25" s="297" t="e">
        <f t="shared" si="6"/>
        <v>#N/A</v>
      </c>
      <c r="Y25" s="297" t="e">
        <f t="shared" si="7"/>
        <v>#N/A</v>
      </c>
      <c r="Z25" s="472" t="e">
        <f t="shared" si="8"/>
        <v>#N/A</v>
      </c>
    </row>
    <row r="26" spans="1:27" ht="14.65" customHeight="1">
      <c r="A26" s="28"/>
      <c r="B26" s="539"/>
      <c r="C26" s="362"/>
      <c r="D26" s="530"/>
      <c r="E26" s="531"/>
      <c r="F26" s="294"/>
      <c r="G26" s="294"/>
      <c r="H26" s="348"/>
      <c r="I26" s="35" t="s">
        <v>29</v>
      </c>
      <c r="J26" s="280"/>
      <c r="K26" s="284"/>
      <c r="L26" s="302"/>
      <c r="M26" s="302"/>
      <c r="N26" s="30">
        <v>98</v>
      </c>
      <c r="O26" s="11"/>
      <c r="P26" s="31"/>
      <c r="R26" s="277">
        <f t="shared" si="9"/>
        <v>0</v>
      </c>
      <c r="S26" s="472" t="e">
        <f t="shared" si="1"/>
        <v>#N/A</v>
      </c>
      <c r="T26" s="472" t="e">
        <f t="shared" si="2"/>
        <v>#N/A</v>
      </c>
      <c r="U26" s="297" t="e">
        <f t="shared" si="3"/>
        <v>#N/A</v>
      </c>
      <c r="V26" s="297" t="e">
        <f t="shared" si="4"/>
        <v>#N/A</v>
      </c>
      <c r="W26" s="297" t="e">
        <f t="shared" si="5"/>
        <v>#N/A</v>
      </c>
      <c r="X26" s="297" t="e">
        <f t="shared" si="6"/>
        <v>#N/A</v>
      </c>
      <c r="Y26" s="297" t="e">
        <f t="shared" si="7"/>
        <v>#N/A</v>
      </c>
      <c r="Z26" s="472" t="e">
        <f t="shared" si="8"/>
        <v>#N/A</v>
      </c>
    </row>
    <row r="27" spans="1:27" ht="14.65" customHeight="1">
      <c r="A27" s="28"/>
      <c r="B27" s="539"/>
      <c r="C27" s="362"/>
      <c r="D27" s="532"/>
      <c r="E27" s="526"/>
      <c r="F27" s="417"/>
      <c r="G27" s="294"/>
      <c r="H27" s="348"/>
      <c r="I27" s="36" t="s">
        <v>15</v>
      </c>
      <c r="J27" s="323">
        <f>AVERAGE(I10:I14)</f>
        <v>96.738818228525659</v>
      </c>
      <c r="K27" s="284">
        <f>COUNTA([8]Brewhouse!$A$23:$A$30)</f>
        <v>8</v>
      </c>
      <c r="L27" s="302">
        <f>AVERAGE([8]Brewhouse!$AT$23:$AT$30)</f>
        <v>96.065914782338609</v>
      </c>
      <c r="M27" s="302">
        <f>AVERAGE([8]Brewhouse!$AT$4:$AT$11,[8]Brewhouse!$AT$13:$AT$16,[8]Brewhouse!$AT$18:$AT$30)</f>
        <v>93.22262799886262</v>
      </c>
      <c r="N27" s="30">
        <v>98</v>
      </c>
      <c r="O27" s="11"/>
      <c r="P27" s="31"/>
      <c r="R27" s="277">
        <f t="shared" si="9"/>
        <v>0</v>
      </c>
      <c r="S27" s="472" t="e">
        <f t="shared" si="1"/>
        <v>#N/A</v>
      </c>
      <c r="T27" s="472" t="e">
        <f t="shared" si="2"/>
        <v>#N/A</v>
      </c>
      <c r="U27" s="297" t="e">
        <f t="shared" si="3"/>
        <v>#N/A</v>
      </c>
      <c r="V27" s="297" t="e">
        <f t="shared" si="4"/>
        <v>#N/A</v>
      </c>
      <c r="W27" s="297" t="e">
        <f t="shared" si="5"/>
        <v>#N/A</v>
      </c>
      <c r="X27" s="297" t="e">
        <f t="shared" si="6"/>
        <v>#N/A</v>
      </c>
      <c r="Y27" s="297" t="e">
        <f t="shared" si="7"/>
        <v>#N/A</v>
      </c>
      <c r="Z27" s="472" t="e">
        <f t="shared" si="8"/>
        <v>#N/A</v>
      </c>
    </row>
    <row r="28" spans="1:27" ht="14.65" customHeight="1">
      <c r="A28" s="28"/>
      <c r="B28" s="539"/>
      <c r="C28" s="362"/>
      <c r="D28" s="530"/>
      <c r="E28" s="531"/>
      <c r="F28" s="417"/>
      <c r="G28" s="294"/>
      <c r="H28" s="348"/>
      <c r="I28" s="37" t="s">
        <v>16</v>
      </c>
      <c r="J28" s="323"/>
      <c r="K28" s="284"/>
      <c r="L28" s="302"/>
      <c r="M28" s="302">
        <f>AVERAGE([3]Brewhouse!$AY$5:$AY$14,[3]Brewhouse!$AY$16:$AY$23,[3]Brewhouse!$AY$42,[3]Brewhouse!$AY$44:$AY$51,[3]Brewhouse!$AY$53:$AY$64,[3]Brewhouse!$AY$66:$AY$73,[3]Brewhouse!$AY$75:$AY$82,[3]Brewhouse!$AY$84:$AY$101)</f>
        <v>97.784660430003186</v>
      </c>
      <c r="N28" s="30">
        <v>98</v>
      </c>
      <c r="O28" s="11"/>
      <c r="P28" s="31" t="s">
        <v>41</v>
      </c>
      <c r="R28" s="277">
        <f t="shared" si="9"/>
        <v>0</v>
      </c>
      <c r="S28" s="472" t="e">
        <f t="shared" si="1"/>
        <v>#N/A</v>
      </c>
      <c r="T28" s="472" t="e">
        <f t="shared" si="2"/>
        <v>#N/A</v>
      </c>
      <c r="U28" s="297" t="e">
        <f t="shared" si="3"/>
        <v>#N/A</v>
      </c>
      <c r="V28" s="297" t="e">
        <f t="shared" si="4"/>
        <v>#N/A</v>
      </c>
      <c r="W28" s="297" t="e">
        <f t="shared" si="5"/>
        <v>#N/A</v>
      </c>
      <c r="X28" s="297" t="e">
        <f t="shared" si="6"/>
        <v>#N/A</v>
      </c>
      <c r="Y28" s="297" t="e">
        <f t="shared" si="7"/>
        <v>#N/A</v>
      </c>
      <c r="Z28" s="472" t="e">
        <f t="shared" si="8"/>
        <v>#N/A</v>
      </c>
    </row>
    <row r="29" spans="1:27" ht="14.65" customHeight="1">
      <c r="A29" s="28"/>
      <c r="B29" s="539"/>
      <c r="C29" s="362"/>
      <c r="D29" s="532"/>
      <c r="E29" s="526"/>
      <c r="F29" s="294"/>
      <c r="G29" s="294"/>
      <c r="H29" s="348"/>
      <c r="I29" s="411" t="s">
        <v>158</v>
      </c>
      <c r="J29" s="326"/>
      <c r="K29" s="284"/>
      <c r="L29" s="305"/>
      <c r="M29" s="305"/>
      <c r="N29" s="30">
        <v>98</v>
      </c>
      <c r="O29" s="11"/>
      <c r="P29" s="31"/>
      <c r="R29" s="277">
        <f t="shared" si="9"/>
        <v>0</v>
      </c>
      <c r="S29" s="472" t="e">
        <f t="shared" si="1"/>
        <v>#N/A</v>
      </c>
      <c r="T29" s="472" t="e">
        <f t="shared" si="2"/>
        <v>#N/A</v>
      </c>
      <c r="U29" s="297" t="e">
        <f t="shared" si="3"/>
        <v>#N/A</v>
      </c>
      <c r="V29" s="297" t="e">
        <f t="shared" si="4"/>
        <v>#N/A</v>
      </c>
      <c r="W29" s="297" t="e">
        <f t="shared" si="5"/>
        <v>#N/A</v>
      </c>
      <c r="X29" s="297" t="e">
        <f t="shared" si="6"/>
        <v>#N/A</v>
      </c>
      <c r="Y29" s="297" t="e">
        <f t="shared" si="7"/>
        <v>#N/A</v>
      </c>
      <c r="Z29" s="472" t="e">
        <f t="shared" si="8"/>
        <v>#N/A</v>
      </c>
    </row>
    <row r="30" spans="1:27" ht="14.65" customHeight="1">
      <c r="A30" s="28"/>
      <c r="B30" s="539"/>
      <c r="C30" s="362"/>
      <c r="D30" s="530"/>
      <c r="E30" s="531"/>
      <c r="F30" s="294"/>
      <c r="G30" s="294"/>
      <c r="H30" s="348"/>
      <c r="I30" s="410" t="s">
        <v>157</v>
      </c>
      <c r="J30" s="326"/>
      <c r="K30" s="284"/>
      <c r="L30" s="305"/>
      <c r="M30" s="305"/>
      <c r="N30" s="30">
        <v>98</v>
      </c>
      <c r="O30" s="11"/>
      <c r="P30" s="31"/>
      <c r="R30" s="277">
        <f t="shared" si="9"/>
        <v>0</v>
      </c>
      <c r="S30" s="472" t="e">
        <f t="shared" si="1"/>
        <v>#N/A</v>
      </c>
      <c r="T30" s="472" t="e">
        <f t="shared" si="2"/>
        <v>#N/A</v>
      </c>
      <c r="U30" s="297" t="e">
        <f t="shared" si="3"/>
        <v>#N/A</v>
      </c>
      <c r="V30" s="297" t="e">
        <f t="shared" si="4"/>
        <v>#N/A</v>
      </c>
      <c r="W30" s="297" t="e">
        <f t="shared" si="5"/>
        <v>#N/A</v>
      </c>
      <c r="X30" s="297" t="e">
        <f t="shared" si="6"/>
        <v>#N/A</v>
      </c>
      <c r="Y30" s="297" t="e">
        <f t="shared" si="7"/>
        <v>#N/A</v>
      </c>
      <c r="Z30" s="472" t="e">
        <f t="shared" si="8"/>
        <v>#N/A</v>
      </c>
      <c r="AA30" s="472"/>
    </row>
    <row r="31" spans="1:27" ht="15" customHeight="1" thickBot="1">
      <c r="A31" s="28"/>
      <c r="B31" s="539"/>
      <c r="C31" s="362"/>
      <c r="D31" s="532"/>
      <c r="E31" s="526"/>
      <c r="F31" s="294"/>
      <c r="G31" s="294"/>
      <c r="H31" s="348"/>
      <c r="I31" s="406" t="s">
        <v>156</v>
      </c>
      <c r="J31" s="327"/>
      <c r="K31" s="407"/>
      <c r="L31" s="408"/>
      <c r="M31" s="408"/>
      <c r="N31" s="409">
        <v>98</v>
      </c>
      <c r="O31" s="11"/>
      <c r="P31" s="31"/>
      <c r="R31" s="277">
        <f t="shared" si="9"/>
        <v>0</v>
      </c>
      <c r="S31" s="472" t="e">
        <f t="shared" si="1"/>
        <v>#N/A</v>
      </c>
      <c r="T31" s="472" t="e">
        <f t="shared" si="2"/>
        <v>#N/A</v>
      </c>
      <c r="U31" s="297" t="e">
        <f t="shared" si="3"/>
        <v>#N/A</v>
      </c>
      <c r="V31" s="297" t="e">
        <f t="shared" si="4"/>
        <v>#N/A</v>
      </c>
      <c r="W31" s="297" t="e">
        <f t="shared" si="5"/>
        <v>#N/A</v>
      </c>
      <c r="X31" s="297" t="e">
        <f t="shared" si="6"/>
        <v>#N/A</v>
      </c>
      <c r="Y31" s="297" t="e">
        <f t="shared" si="7"/>
        <v>#N/A</v>
      </c>
      <c r="Z31" s="472" t="e">
        <f t="shared" si="8"/>
        <v>#N/A</v>
      </c>
      <c r="AA31" s="472"/>
    </row>
    <row r="32" spans="1:27" ht="15" customHeight="1" thickBot="1">
      <c r="A32" s="28"/>
      <c r="B32" s="539"/>
      <c r="C32" s="349"/>
      <c r="D32" s="523"/>
      <c r="E32" s="524"/>
      <c r="F32" s="294"/>
      <c r="G32" s="294"/>
      <c r="H32" s="348"/>
      <c r="I32" s="1"/>
      <c r="J32" s="39"/>
      <c r="K32" s="404">
        <f>SUM(K22:K31)</f>
        <v>28</v>
      </c>
      <c r="L32" s="405">
        <f>((L22*K22)+(L23*K23)+(L24*K24)+(L25*K25)+(L26*K26)+(K29*L29)+(L27*K27)+(L28*K28)+(L31*K31))/(K32)</f>
        <v>97.761932845372556</v>
      </c>
      <c r="M32" s="405">
        <f>AVERAGE('[9]Jan30th-31st'!$L$42,'[10]Feb 27th-28th'!$L$45,'[11]Mar 31st'!$L$42,'[12]Apr 30th'!$L$41,'[13]May 29th '!$L$35,'[14]June 30th'!$L$32,[15]July31st!$L$36,'[16]Aug 31st'!$L$32,L32)</f>
        <v>97.955718849564022</v>
      </c>
      <c r="N32" s="40">
        <v>98</v>
      </c>
      <c r="O32" s="11"/>
      <c r="P32" s="31"/>
      <c r="R32" s="277">
        <f t="shared" si="9"/>
        <v>0</v>
      </c>
      <c r="S32" s="472" t="e">
        <f t="shared" si="1"/>
        <v>#N/A</v>
      </c>
      <c r="T32" s="472" t="e">
        <f t="shared" si="2"/>
        <v>#N/A</v>
      </c>
      <c r="U32" s="297" t="e">
        <f t="shared" si="3"/>
        <v>#N/A</v>
      </c>
      <c r="V32" s="297" t="e">
        <f t="shared" si="4"/>
        <v>#N/A</v>
      </c>
      <c r="W32" s="297" t="e">
        <f t="shared" si="5"/>
        <v>#N/A</v>
      </c>
      <c r="X32" s="297" t="e">
        <f t="shared" si="6"/>
        <v>#N/A</v>
      </c>
      <c r="Y32" s="297" t="e">
        <f t="shared" si="7"/>
        <v>#N/A</v>
      </c>
      <c r="Z32" s="472" t="e">
        <f t="shared" si="8"/>
        <v>#N/A</v>
      </c>
      <c r="AA32" s="472"/>
    </row>
    <row r="33" spans="2:56" ht="15.75" thickBot="1">
      <c r="B33" s="540"/>
      <c r="C33" s="350"/>
      <c r="D33" s="525"/>
      <c r="E33" s="526"/>
      <c r="F33" s="294"/>
      <c r="G33" s="42"/>
      <c r="H33" s="41"/>
      <c r="I33" s="42"/>
      <c r="J33" s="42"/>
      <c r="K33" s="351"/>
      <c r="L33" s="348"/>
      <c r="M33" s="348"/>
      <c r="N33" s="11"/>
      <c r="O33" s="294"/>
      <c r="P33" s="12"/>
      <c r="R33" s="277">
        <f t="shared" si="9"/>
        <v>0</v>
      </c>
      <c r="S33" s="472" t="e">
        <f t="shared" si="1"/>
        <v>#N/A</v>
      </c>
      <c r="T33" s="472" t="e">
        <f t="shared" si="2"/>
        <v>#N/A</v>
      </c>
      <c r="U33" s="297" t="e">
        <f t="shared" si="3"/>
        <v>#N/A</v>
      </c>
      <c r="V33" s="297" t="e">
        <f t="shared" si="4"/>
        <v>#N/A</v>
      </c>
      <c r="W33" s="297" t="e">
        <f t="shared" si="5"/>
        <v>#N/A</v>
      </c>
      <c r="X33" s="297" t="e">
        <f t="shared" si="6"/>
        <v>#N/A</v>
      </c>
      <c r="Y33" s="297" t="e">
        <f t="shared" si="7"/>
        <v>#N/A</v>
      </c>
      <c r="Z33" s="472" t="e">
        <f t="shared" si="8"/>
        <v>#N/A</v>
      </c>
      <c r="AA33" s="472"/>
    </row>
    <row r="34" spans="2:56" ht="15.75" thickBot="1">
      <c r="B34" s="520"/>
      <c r="C34" s="362"/>
      <c r="D34" s="523"/>
      <c r="E34" s="524"/>
      <c r="F34" s="294"/>
      <c r="G34" s="42"/>
      <c r="H34" s="41"/>
      <c r="I34" s="42"/>
      <c r="J34" s="527" t="s">
        <v>129</v>
      </c>
      <c r="K34" s="527"/>
      <c r="L34" s="294"/>
      <c r="M34" s="294"/>
      <c r="N34" s="294"/>
      <c r="O34" s="294"/>
      <c r="P34" s="12"/>
    </row>
    <row r="35" spans="2:56" ht="15.75" thickBot="1">
      <c r="B35" s="521"/>
      <c r="C35" s="362"/>
      <c r="D35" s="525"/>
      <c r="E35" s="526"/>
      <c r="F35" s="294"/>
      <c r="G35" s="42"/>
      <c r="H35" s="42"/>
      <c r="I35" s="42"/>
      <c r="J35" s="292" t="s">
        <v>17</v>
      </c>
      <c r="K35" s="293"/>
      <c r="L35" s="528" t="s">
        <v>136</v>
      </c>
      <c r="M35" s="528"/>
      <c r="N35" s="529"/>
      <c r="O35" s="294"/>
      <c r="P35" s="12"/>
    </row>
    <row r="36" spans="2:56" ht="15" customHeight="1" thickBot="1">
      <c r="B36" s="521"/>
      <c r="C36" s="349"/>
      <c r="D36" s="530"/>
      <c r="E36" s="531"/>
      <c r="F36" s="294"/>
      <c r="G36" s="42"/>
      <c r="H36" s="42"/>
      <c r="I36" s="42"/>
      <c r="J36" s="287" t="s">
        <v>6</v>
      </c>
      <c r="K36" s="324"/>
      <c r="L36" s="473" t="s">
        <v>37</v>
      </c>
      <c r="M36" s="474" t="s">
        <v>38</v>
      </c>
      <c r="N36" s="474" t="s">
        <v>84</v>
      </c>
      <c r="O36" s="294"/>
      <c r="P36" s="12"/>
    </row>
    <row r="37" spans="2:56" ht="15.75" customHeight="1" thickBot="1">
      <c r="B37" s="521"/>
      <c r="C37" s="349"/>
      <c r="D37" s="532"/>
      <c r="E37" s="526"/>
      <c r="F37" s="294"/>
      <c r="G37" s="42"/>
      <c r="H37" s="42"/>
      <c r="I37" s="42"/>
      <c r="J37" s="345" t="s">
        <v>9</v>
      </c>
      <c r="K37" s="324"/>
      <c r="L37" s="485">
        <f>AVERAGE('Sept 1st'!K45,'Sept 2nd'!K47,'Sept 3rd'!K44,K46)</f>
        <v>7</v>
      </c>
      <c r="M37" s="486">
        <f>AVERAGE('[9]Jan30th-31st'!$L$47,L37,'[10]Feb 26th '!$L$39,'[11]Mar 31st'!$L$47,'[12]Apr 30th'!$L$46,'[13]May 29th '!$L$40,'[14]June 30th'!$L$39,[15]July31st!$L$41,'[16]Aug 31st'!$L$37)</f>
        <v>6.5155670416539984</v>
      </c>
      <c r="N37" s="416">
        <v>9.1999999999999993</v>
      </c>
      <c r="O37" s="294"/>
      <c r="P37" s="12"/>
    </row>
    <row r="38" spans="2:56" ht="15" customHeight="1">
      <c r="B38" s="521"/>
      <c r="C38" s="349"/>
      <c r="D38" s="530"/>
      <c r="E38" s="531"/>
      <c r="F38" s="294"/>
      <c r="G38" s="42"/>
      <c r="H38" s="42"/>
      <c r="I38" s="42"/>
      <c r="J38" s="288" t="s">
        <v>40</v>
      </c>
      <c r="K38" s="324"/>
      <c r="L38" s="294"/>
      <c r="M38" s="294"/>
      <c r="N38" s="294"/>
      <c r="O38" s="294"/>
      <c r="P38" s="12"/>
    </row>
    <row r="39" spans="2:56" ht="15" customHeight="1">
      <c r="B39" s="521"/>
      <c r="C39" s="349"/>
      <c r="D39" s="532"/>
      <c r="E39" s="526"/>
      <c r="F39" s="294"/>
      <c r="G39" s="42"/>
      <c r="H39" s="42"/>
      <c r="I39" s="42"/>
      <c r="J39" s="289" t="s">
        <v>33</v>
      </c>
      <c r="K39" s="324"/>
      <c r="L39" s="294"/>
      <c r="M39" s="294"/>
      <c r="N39" s="294"/>
      <c r="O39" s="294"/>
      <c r="P39" s="12"/>
    </row>
    <row r="40" spans="2:56" ht="15">
      <c r="B40" s="521"/>
      <c r="C40" s="349"/>
      <c r="D40" s="530"/>
      <c r="E40" s="531"/>
      <c r="F40" s="294"/>
      <c r="G40" s="42"/>
      <c r="H40" s="42"/>
      <c r="I40" s="42"/>
      <c r="J40" s="290" t="s">
        <v>16</v>
      </c>
      <c r="K40" s="324">
        <v>5</v>
      </c>
      <c r="L40" s="294"/>
      <c r="M40" s="294"/>
      <c r="N40" s="294"/>
      <c r="O40" s="294"/>
      <c r="P40" s="12"/>
      <c r="BC40" s="44"/>
      <c r="BD40" s="44"/>
    </row>
    <row r="41" spans="2:56" ht="15">
      <c r="B41" s="521"/>
      <c r="C41" s="349"/>
      <c r="D41" s="532"/>
      <c r="E41" s="526"/>
      <c r="F41" s="294"/>
      <c r="G41" s="42"/>
      <c r="H41" s="42"/>
      <c r="I41" s="42"/>
      <c r="J41" s="291" t="s">
        <v>15</v>
      </c>
      <c r="K41" s="324"/>
      <c r="L41" s="294"/>
      <c r="M41" s="294"/>
      <c r="N41" s="294"/>
      <c r="O41" s="294"/>
      <c r="P41" s="12"/>
      <c r="BC41" s="44"/>
      <c r="BD41" s="44"/>
    </row>
    <row r="42" spans="2:56" ht="15">
      <c r="B42" s="521"/>
      <c r="C42" s="349"/>
      <c r="D42" s="530"/>
      <c r="E42" s="531"/>
      <c r="F42" s="294"/>
      <c r="G42" s="42"/>
      <c r="H42" s="42"/>
      <c r="I42" s="42"/>
      <c r="J42" s="291" t="s">
        <v>149</v>
      </c>
      <c r="K42" s="324"/>
      <c r="L42" s="294"/>
      <c r="M42" s="294"/>
      <c r="N42" s="294"/>
      <c r="O42" s="294"/>
      <c r="P42" s="12"/>
      <c r="BC42" s="44"/>
      <c r="BD42" s="44"/>
    </row>
    <row r="43" spans="2:56" ht="15.75" thickBot="1">
      <c r="B43" s="522"/>
      <c r="C43" s="350"/>
      <c r="D43" s="533"/>
      <c r="E43" s="534"/>
      <c r="F43" s="294" t="s">
        <v>165</v>
      </c>
      <c r="G43" s="42"/>
      <c r="H43" s="42"/>
      <c r="I43" s="42"/>
      <c r="J43" s="291" t="s">
        <v>148</v>
      </c>
      <c r="K43" s="324"/>
      <c r="L43" s="294"/>
      <c r="M43" s="294"/>
      <c r="N43" s="294" t="s">
        <v>41</v>
      </c>
      <c r="O43" s="294"/>
      <c r="P43" s="12"/>
      <c r="BC43" s="44"/>
      <c r="BD43" s="44"/>
    </row>
    <row r="44" spans="2:56" ht="17.649999999999999" customHeight="1" thickBot="1">
      <c r="B44" s="312" t="s">
        <v>139</v>
      </c>
      <c r="C44" s="313"/>
      <c r="D44" s="511"/>
      <c r="E44" s="512"/>
      <c r="F44" s="294"/>
      <c r="J44" s="295" t="s">
        <v>134</v>
      </c>
      <c r="K44" s="324"/>
      <c r="L44" s="294"/>
      <c r="M44" s="294"/>
      <c r="N44" s="294"/>
      <c r="O44" s="294"/>
      <c r="P44" s="12"/>
      <c r="BC44" s="44"/>
      <c r="BD44" s="44"/>
    </row>
    <row r="45" spans="2:56" ht="17.649999999999999" customHeight="1">
      <c r="B45" s="363"/>
      <c r="C45" s="364"/>
      <c r="D45" s="365"/>
      <c r="E45" s="365"/>
      <c r="F45" s="294"/>
      <c r="G45" s="42"/>
      <c r="H45" s="42"/>
      <c r="I45" s="42"/>
      <c r="J45" s="295" t="s">
        <v>131</v>
      </c>
      <c r="K45" s="324"/>
      <c r="L45" s="294"/>
      <c r="M45" s="294"/>
      <c r="N45" s="294"/>
      <c r="O45" s="294"/>
      <c r="P45" s="12"/>
      <c r="BC45" s="44"/>
      <c r="BD45" s="44"/>
    </row>
    <row r="46" spans="2:56" ht="15.6" customHeight="1">
      <c r="B46" s="45"/>
      <c r="C46" s="11"/>
      <c r="D46" s="11"/>
      <c r="E46" s="46"/>
      <c r="F46" s="294"/>
      <c r="G46" s="42"/>
      <c r="H46" s="42"/>
      <c r="I46" s="42"/>
      <c r="J46" s="346" t="s">
        <v>130</v>
      </c>
      <c r="K46" s="324">
        <f>SUM(K36:K45)</f>
        <v>5</v>
      </c>
      <c r="L46" s="294"/>
      <c r="M46" s="294"/>
      <c r="N46" s="294"/>
      <c r="O46" s="294"/>
      <c r="P46" s="12"/>
    </row>
    <row r="47" spans="2:56" ht="20.25" customHeight="1">
      <c r="B47" s="15" t="s">
        <v>42</v>
      </c>
      <c r="C47" s="1" t="s">
        <v>43</v>
      </c>
      <c r="D47" s="1"/>
      <c r="E47" s="1"/>
      <c r="F47" s="294"/>
      <c r="G47" s="42"/>
      <c r="H47" s="41"/>
      <c r="I47" s="42"/>
      <c r="L47" s="42"/>
      <c r="N47" s="315"/>
      <c r="P47" s="334"/>
    </row>
    <row r="48" spans="2:56" ht="15" customHeight="1" thickBot="1">
      <c r="B48" s="48"/>
      <c r="C48" s="48"/>
      <c r="D48" s="48"/>
      <c r="E48" s="48"/>
      <c r="F48" s="48"/>
      <c r="G48" s="48"/>
      <c r="H48" s="48"/>
      <c r="I48" s="48"/>
      <c r="J48" s="48"/>
      <c r="K48" s="48"/>
      <c r="L48" s="48"/>
      <c r="M48" s="48"/>
      <c r="N48" s="41"/>
      <c r="O48" s="48"/>
      <c r="P48" s="49"/>
    </row>
    <row r="49" spans="2:57" ht="15" customHeight="1" thickBot="1">
      <c r="B49" s="505" t="s">
        <v>17</v>
      </c>
      <c r="C49" s="505" t="s">
        <v>44</v>
      </c>
      <c r="D49" s="514" t="s">
        <v>45</v>
      </c>
      <c r="E49" s="516" t="s">
        <v>46</v>
      </c>
      <c r="F49" s="518" t="s">
        <v>47</v>
      </c>
      <c r="G49" s="503" t="s">
        <v>48</v>
      </c>
      <c r="H49" s="505" t="s">
        <v>49</v>
      </c>
      <c r="I49" s="505" t="s">
        <v>50</v>
      </c>
      <c r="J49" s="497" t="s">
        <v>28</v>
      </c>
      <c r="K49" s="507" t="s">
        <v>51</v>
      </c>
      <c r="L49" s="509" t="s">
        <v>52</v>
      </c>
      <c r="M49" s="497" t="s">
        <v>53</v>
      </c>
      <c r="N49" s="13"/>
      <c r="O49" s="13"/>
      <c r="P49" s="50"/>
    </row>
    <row r="50" spans="2:57" ht="28.5" customHeight="1" thickTop="1" thickBot="1">
      <c r="B50" s="506"/>
      <c r="C50" s="513"/>
      <c r="D50" s="515"/>
      <c r="E50" s="517"/>
      <c r="F50" s="519"/>
      <c r="G50" s="504"/>
      <c r="H50" s="506"/>
      <c r="I50" s="506"/>
      <c r="J50" s="498"/>
      <c r="K50" s="508"/>
      <c r="L50" s="510"/>
      <c r="M50" s="498"/>
      <c r="N50" s="13"/>
      <c r="O50" s="13"/>
      <c r="P50" s="50"/>
      <c r="Q50" s="355"/>
      <c r="AB50" s="475">
        <v>43474</v>
      </c>
      <c r="AC50" s="475">
        <v>43475</v>
      </c>
      <c r="AD50" s="475">
        <v>43476</v>
      </c>
      <c r="AE50" s="475">
        <v>43477</v>
      </c>
      <c r="AF50" s="475">
        <v>43478</v>
      </c>
      <c r="AG50" s="475">
        <v>43479</v>
      </c>
      <c r="AH50" s="475">
        <v>43480</v>
      </c>
      <c r="AI50" s="475">
        <v>43481</v>
      </c>
      <c r="AJ50" s="475">
        <v>43482</v>
      </c>
      <c r="AK50" s="475">
        <v>43483</v>
      </c>
      <c r="AL50" s="475">
        <v>43484</v>
      </c>
      <c r="AM50" s="475">
        <v>43485</v>
      </c>
      <c r="AN50" s="475">
        <v>43486</v>
      </c>
      <c r="AO50" s="475">
        <v>43487</v>
      </c>
      <c r="AP50" s="475">
        <v>43488</v>
      </c>
      <c r="AQ50" s="475">
        <v>43489</v>
      </c>
      <c r="AR50" s="475">
        <v>43490</v>
      </c>
      <c r="AS50" s="475">
        <v>43491</v>
      </c>
      <c r="AT50" s="475">
        <v>43492</v>
      </c>
      <c r="AU50" s="475">
        <v>43493</v>
      </c>
      <c r="AV50" s="475">
        <v>43494</v>
      </c>
      <c r="AW50" s="475">
        <v>43495</v>
      </c>
      <c r="AX50" s="475">
        <v>43496</v>
      </c>
    </row>
    <row r="51" spans="2:57" s="54" customFormat="1" ht="36.75" customHeight="1" thickBot="1">
      <c r="B51" s="491"/>
      <c r="C51" s="479"/>
      <c r="D51" s="445"/>
      <c r="E51" s="443"/>
      <c r="F51" s="444"/>
      <c r="G51" s="444"/>
      <c r="H51" s="458"/>
      <c r="I51" s="458"/>
      <c r="J51" s="448"/>
      <c r="K51" s="449"/>
      <c r="L51" s="457" t="e">
        <f>(((D51+E51)-G51)/(D51+E51))*100</f>
        <v>#DIV/0!</v>
      </c>
      <c r="M51" s="455"/>
      <c r="N51" s="13"/>
      <c r="O51" s="13"/>
      <c r="P51" s="50"/>
      <c r="R51" s="275"/>
      <c r="S51" s="275"/>
      <c r="T51" s="275"/>
      <c r="U51" s="275"/>
      <c r="V51" s="275"/>
      <c r="W51" s="275"/>
      <c r="X51" s="275"/>
      <c r="Y51" s="275"/>
      <c r="Z51" s="275"/>
      <c r="AA51" s="275"/>
      <c r="AB51" s="57">
        <f>[17]January_2019!L5</f>
        <v>0</v>
      </c>
      <c r="AC51" s="57">
        <f>[17]January_2019!M5</f>
        <v>0</v>
      </c>
      <c r="AD51" s="57">
        <f>[17]January_2019!N5</f>
        <v>0</v>
      </c>
      <c r="AE51" s="57">
        <f>[17]January_2019!O5</f>
        <v>0</v>
      </c>
      <c r="AF51" s="57">
        <f>[17]January_2019!P5</f>
        <v>0</v>
      </c>
      <c r="AG51" s="57">
        <f>[17]January_2019!Q5</f>
        <v>0</v>
      </c>
      <c r="AH51" s="57">
        <f>[17]January_2019!R5</f>
        <v>0</v>
      </c>
      <c r="AI51" s="57">
        <f>[17]January_2019!S5</f>
        <v>0</v>
      </c>
      <c r="AJ51" s="57">
        <f>[17]January_2019!T5</f>
        <v>0</v>
      </c>
      <c r="AK51" s="57">
        <f>[17]January_2019!U5</f>
        <v>0</v>
      </c>
      <c r="AL51" s="57">
        <f>[17]January_2019!V5</f>
        <v>0</v>
      </c>
      <c r="AM51" s="57">
        <f>[17]January_2019!W5</f>
        <v>0</v>
      </c>
      <c r="AN51" s="57">
        <f>[17]January_2019!X5</f>
        <v>0</v>
      </c>
      <c r="AO51" s="57">
        <f>[17]January_2019!Y5</f>
        <v>0</v>
      </c>
      <c r="AP51" s="57">
        <f>[17]January_2019!Z5</f>
        <v>0</v>
      </c>
      <c r="AQ51" s="57">
        <f>[17]January_2019!AA5</f>
        <v>0</v>
      </c>
      <c r="AR51" s="57">
        <f>[17]January_2019!AB5</f>
        <v>0</v>
      </c>
      <c r="AS51" s="57">
        <f>[17]January_2019!AC5</f>
        <v>0</v>
      </c>
      <c r="AT51" s="57">
        <f>[17]January_2019!AD5</f>
        <v>0</v>
      </c>
      <c r="AU51" s="57">
        <f>[17]January_2019!AE5</f>
        <v>0</v>
      </c>
      <c r="AV51" s="57">
        <f>[17]January_2019!AF5</f>
        <v>0</v>
      </c>
      <c r="AW51" s="57">
        <f>[17]January_2019!AG5</f>
        <v>0</v>
      </c>
      <c r="AX51" s="277">
        <f>[17]January_2019!AH5</f>
        <v>0</v>
      </c>
      <c r="AY51" s="277"/>
      <c r="AZ51" s="277"/>
      <c r="BA51" s="277"/>
      <c r="BB51" s="277"/>
      <c r="BC51" s="277"/>
      <c r="BD51" s="277"/>
      <c r="BE51" s="277"/>
    </row>
    <row r="52" spans="2:57" s="54" customFormat="1" ht="14.25" customHeight="1" thickBot="1">
      <c r="B52" s="480"/>
      <c r="C52" s="479"/>
      <c r="D52" s="442"/>
      <c r="E52" s="443"/>
      <c r="F52" s="444"/>
      <c r="G52" s="445"/>
      <c r="H52" s="458"/>
      <c r="I52" s="458"/>
      <c r="J52" s="476"/>
      <c r="K52" s="449"/>
      <c r="L52" s="457"/>
      <c r="M52" s="455"/>
      <c r="N52" s="13"/>
      <c r="O52" s="13"/>
      <c r="P52" s="50"/>
      <c r="R52" s="275"/>
      <c r="S52" s="275"/>
      <c r="T52" s="275"/>
      <c r="U52" s="275"/>
      <c r="V52" s="275"/>
      <c r="W52" s="275"/>
      <c r="X52" s="275"/>
      <c r="Y52" s="275"/>
      <c r="Z52" s="275"/>
      <c r="AA52" s="275"/>
      <c r="AB52" s="57">
        <f>[17]January_2019!L6</f>
        <v>0</v>
      </c>
      <c r="AC52" s="57">
        <f>[17]January_2019!M6</f>
        <v>0</v>
      </c>
      <c r="AD52" s="57">
        <f>[17]January_2019!N6</f>
        <v>0</v>
      </c>
      <c r="AE52" s="57">
        <f>[17]January_2019!O6</f>
        <v>0</v>
      </c>
      <c r="AF52" s="57">
        <f>[17]January_2019!P6</f>
        <v>0</v>
      </c>
      <c r="AG52" s="57">
        <f>[17]January_2019!Q6</f>
        <v>0</v>
      </c>
      <c r="AH52" s="57">
        <f>[17]January_2019!R6</f>
        <v>0</v>
      </c>
      <c r="AI52" s="57">
        <f>[17]January_2019!S6</f>
        <v>0</v>
      </c>
      <c r="AJ52" s="57">
        <f>[17]January_2019!T6</f>
        <v>0</v>
      </c>
      <c r="AK52" s="57">
        <f>[17]January_2019!U6</f>
        <v>0</v>
      </c>
      <c r="AL52" s="57">
        <f>[17]January_2019!V6</f>
        <v>0</v>
      </c>
      <c r="AM52" s="57">
        <f>[17]January_2019!W6</f>
        <v>0</v>
      </c>
      <c r="AN52" s="57">
        <f>[17]January_2019!X6</f>
        <v>0</v>
      </c>
      <c r="AO52" s="57">
        <f>[17]January_2019!Y6</f>
        <v>0</v>
      </c>
      <c r="AP52" s="57">
        <f>[17]January_2019!Z6</f>
        <v>0</v>
      </c>
      <c r="AQ52" s="57">
        <f>[17]January_2019!AA6</f>
        <v>0</v>
      </c>
      <c r="AR52" s="57">
        <f>[17]January_2019!AB6</f>
        <v>0</v>
      </c>
      <c r="AS52" s="57">
        <f>[17]January_2019!AC6</f>
        <v>0</v>
      </c>
      <c r="AT52" s="57">
        <f>[17]January_2019!AD6</f>
        <v>0</v>
      </c>
      <c r="AU52" s="57">
        <f>[17]January_2019!AE6</f>
        <v>0</v>
      </c>
      <c r="AV52" s="57">
        <f>[17]January_2019!AF6</f>
        <v>0</v>
      </c>
      <c r="AW52" s="57">
        <f>[17]January_2019!AG6</f>
        <v>0</v>
      </c>
      <c r="AX52" s="277">
        <f>[17]January_2019!AH6</f>
        <v>0</v>
      </c>
      <c r="AY52" s="277"/>
      <c r="AZ52" s="277"/>
      <c r="BA52" s="277"/>
      <c r="BB52" s="277"/>
      <c r="BC52" s="277"/>
      <c r="BD52" s="277"/>
      <c r="BE52" s="277"/>
    </row>
    <row r="53" spans="2:57" s="54" customFormat="1" ht="37.15" customHeight="1" thickBot="1">
      <c r="B53" s="456"/>
      <c r="C53" s="479"/>
      <c r="D53" s="442"/>
      <c r="E53" s="443"/>
      <c r="F53" s="444"/>
      <c r="G53" s="444"/>
      <c r="H53" s="446"/>
      <c r="I53" s="446"/>
      <c r="J53" s="476"/>
      <c r="K53" s="449"/>
      <c r="L53" s="457"/>
      <c r="M53" s="455"/>
      <c r="N53" s="13"/>
      <c r="O53" s="13"/>
      <c r="P53" s="50"/>
      <c r="R53" s="275"/>
      <c r="S53" s="275"/>
      <c r="T53" s="275"/>
      <c r="U53" s="275"/>
      <c r="V53" s="275"/>
      <c r="W53" s="275"/>
      <c r="X53" s="275"/>
      <c r="Y53" s="275"/>
      <c r="Z53" s="275"/>
      <c r="AA53" s="275"/>
      <c r="AB53" s="57">
        <f>[17]January_2019!L7</f>
        <v>285.8</v>
      </c>
      <c r="AC53" s="57">
        <f>[17]January_2019!M7</f>
        <v>508.1</v>
      </c>
      <c r="AD53" s="57">
        <f>[17]January_2019!N7</f>
        <v>0</v>
      </c>
      <c r="AE53" s="57">
        <f>[17]January_2019!O7</f>
        <v>0</v>
      </c>
      <c r="AF53" s="57">
        <f>[17]January_2019!P7</f>
        <v>109.56666666666666</v>
      </c>
      <c r="AG53" s="57">
        <f>[17]January_2019!Q7</f>
        <v>297.64999999999998</v>
      </c>
      <c r="AH53" s="57">
        <f>[17]January_2019!R7</f>
        <v>122.3</v>
      </c>
      <c r="AI53" s="57">
        <f>[17]January_2019!S7</f>
        <v>0</v>
      </c>
      <c r="AJ53" s="57">
        <f>[17]January_2019!T7</f>
        <v>294.7</v>
      </c>
      <c r="AK53" s="57">
        <f>[17]January_2019!U7</f>
        <v>280.5</v>
      </c>
      <c r="AL53" s="57">
        <f>[17]January_2019!V7</f>
        <v>0</v>
      </c>
      <c r="AM53" s="57">
        <f>[17]January_2019!W7</f>
        <v>0</v>
      </c>
      <c r="AN53" s="57">
        <f>[17]January_2019!X7</f>
        <v>188.25</v>
      </c>
      <c r="AO53" s="57">
        <f>[17]January_2019!Y7</f>
        <v>295.7</v>
      </c>
      <c r="AP53" s="57">
        <f>[17]January_2019!Z7</f>
        <v>257.8</v>
      </c>
      <c r="AQ53" s="57">
        <f>[17]January_2019!AA7</f>
        <v>291.2</v>
      </c>
      <c r="AR53" s="57">
        <f>[17]January_2019!AB7</f>
        <v>187</v>
      </c>
      <c r="AS53" s="57">
        <f>[17]January_2019!AC7</f>
        <v>0</v>
      </c>
      <c r="AT53" s="57">
        <f>[17]January_2019!AD7</f>
        <v>0</v>
      </c>
      <c r="AU53" s="57">
        <f>[17]January_2019!AE7</f>
        <v>485.1</v>
      </c>
      <c r="AV53" s="57">
        <f>[17]January_2019!AF7</f>
        <v>171.55</v>
      </c>
      <c r="AW53" s="57">
        <f>[17]January_2019!AG7</f>
        <v>423.8</v>
      </c>
      <c r="AX53" s="277">
        <f>[17]January_2019!AH7</f>
        <v>0</v>
      </c>
      <c r="AY53" s="277"/>
      <c r="AZ53" s="277"/>
      <c r="BA53" s="277"/>
      <c r="BB53" s="277"/>
      <c r="BC53" s="277"/>
      <c r="BD53" s="277"/>
      <c r="BE53" s="277"/>
    </row>
    <row r="54" spans="2:57" s="54" customFormat="1" ht="18.600000000000001" hidden="1" customHeight="1" thickBot="1">
      <c r="B54" s="478"/>
      <c r="C54" s="430"/>
      <c r="D54" s="431"/>
      <c r="E54" s="432"/>
      <c r="F54" s="433"/>
      <c r="G54" s="434"/>
      <c r="H54" s="458"/>
      <c r="I54" s="458"/>
      <c r="J54" s="451"/>
      <c r="K54" s="436"/>
      <c r="L54" s="452"/>
      <c r="M54" s="421"/>
      <c r="N54" s="13"/>
      <c r="O54" s="13"/>
      <c r="P54" s="50"/>
      <c r="R54" s="275"/>
      <c r="S54" s="275"/>
      <c r="T54" s="275"/>
      <c r="U54" s="275"/>
      <c r="V54" s="275"/>
      <c r="W54" s="275"/>
      <c r="X54" s="275"/>
      <c r="Y54" s="275"/>
      <c r="Z54" s="275"/>
      <c r="AA54" s="275"/>
      <c r="AB54" s="57"/>
      <c r="AC54" s="57"/>
      <c r="AD54" s="57"/>
      <c r="AE54" s="57"/>
      <c r="AF54" s="57"/>
      <c r="AG54" s="57"/>
      <c r="AH54" s="57"/>
      <c r="AI54" s="57"/>
      <c r="AJ54" s="57"/>
      <c r="AK54" s="57"/>
      <c r="AL54" s="57"/>
      <c r="AM54" s="57"/>
      <c r="AN54" s="57"/>
      <c r="AO54" s="57"/>
      <c r="AP54" s="57"/>
      <c r="AQ54" s="57"/>
      <c r="AR54" s="57"/>
      <c r="AS54" s="57"/>
      <c r="AT54" s="57"/>
      <c r="AU54" s="57"/>
      <c r="AV54" s="57"/>
      <c r="AW54" s="57"/>
      <c r="AX54" s="277"/>
      <c r="AY54" s="277"/>
      <c r="AZ54" s="277"/>
      <c r="BA54" s="277"/>
      <c r="BB54" s="277"/>
      <c r="BC54" s="277"/>
      <c r="BD54" s="277"/>
      <c r="BE54" s="277"/>
    </row>
    <row r="55" spans="2:57" s="54" customFormat="1" ht="38.65" hidden="1" customHeight="1" thickBot="1">
      <c r="B55" s="487"/>
      <c r="C55" s="479"/>
      <c r="D55" s="442"/>
      <c r="E55" s="443"/>
      <c r="F55" s="444"/>
      <c r="G55" s="445"/>
      <c r="H55" s="458"/>
      <c r="I55" s="458"/>
      <c r="J55" s="448"/>
      <c r="K55" s="459"/>
      <c r="L55" s="457"/>
      <c r="M55" s="455"/>
      <c r="N55" s="13"/>
      <c r="O55" s="13"/>
      <c r="P55" s="50"/>
      <c r="R55" s="275"/>
      <c r="S55" s="275"/>
      <c r="T55" s="275"/>
      <c r="U55" s="275"/>
      <c r="V55" s="275"/>
      <c r="W55" s="275"/>
      <c r="X55" s="275"/>
      <c r="Y55" s="275"/>
      <c r="Z55" s="275"/>
      <c r="AA55" s="275"/>
      <c r="AB55" s="57"/>
      <c r="AC55" s="57"/>
      <c r="AD55" s="57"/>
      <c r="AE55" s="57"/>
      <c r="AF55" s="57"/>
      <c r="AG55" s="57"/>
      <c r="AH55" s="57"/>
      <c r="AI55" s="57"/>
      <c r="AJ55" s="57"/>
      <c r="AK55" s="57"/>
      <c r="AL55" s="57"/>
      <c r="AM55" s="57"/>
      <c r="AN55" s="57"/>
      <c r="AO55" s="57"/>
      <c r="AP55" s="57"/>
      <c r="AQ55" s="57"/>
      <c r="AR55" s="57"/>
      <c r="AS55" s="57"/>
      <c r="AT55" s="57"/>
      <c r="AU55" s="57"/>
      <c r="AV55" s="57"/>
      <c r="AW55" s="57"/>
      <c r="AX55" s="277"/>
      <c r="AY55" s="277"/>
      <c r="AZ55" s="277"/>
      <c r="BA55" s="277"/>
      <c r="BB55" s="277"/>
      <c r="BC55" s="277"/>
      <c r="BD55" s="277"/>
      <c r="BE55" s="277"/>
    </row>
    <row r="56" spans="2:57" s="54" customFormat="1" ht="15" hidden="1">
      <c r="B56" s="453"/>
      <c r="C56" s="430"/>
      <c r="D56" s="431"/>
      <c r="E56" s="432"/>
      <c r="F56" s="433"/>
      <c r="G56" s="434"/>
      <c r="H56" s="435"/>
      <c r="I56" s="450"/>
      <c r="J56" s="451"/>
      <c r="K56" s="436"/>
      <c r="L56" s="452"/>
      <c r="M56" s="421"/>
      <c r="N56" s="13"/>
      <c r="O56" s="13"/>
      <c r="P56" s="50"/>
      <c r="R56" s="275"/>
      <c r="S56" s="275"/>
      <c r="T56" s="275"/>
      <c r="U56" s="275"/>
      <c r="V56" s="275"/>
      <c r="W56" s="275"/>
      <c r="X56" s="275"/>
      <c r="Y56" s="275"/>
      <c r="Z56" s="275"/>
      <c r="AA56" s="275"/>
      <c r="AB56" s="57"/>
      <c r="AC56" s="57"/>
      <c r="AD56" s="57"/>
      <c r="AE56" s="57"/>
      <c r="AF56" s="57"/>
      <c r="AG56" s="57"/>
      <c r="AH56" s="57"/>
      <c r="AI56" s="57"/>
      <c r="AJ56" s="57"/>
      <c r="AK56" s="57"/>
      <c r="AL56" s="57"/>
      <c r="AM56" s="57"/>
      <c r="AN56" s="57"/>
      <c r="AO56" s="57"/>
      <c r="AP56" s="57"/>
      <c r="AQ56" s="57"/>
      <c r="AR56" s="57"/>
      <c r="AS56" s="57"/>
      <c r="AT56" s="57"/>
      <c r="AU56" s="57"/>
      <c r="AV56" s="57"/>
      <c r="AW56" s="57"/>
      <c r="AX56" s="277"/>
      <c r="AY56" s="277"/>
      <c r="AZ56" s="277"/>
      <c r="BA56" s="277"/>
      <c r="BB56" s="277"/>
      <c r="BC56" s="277"/>
      <c r="BD56" s="277"/>
      <c r="BE56" s="277"/>
    </row>
    <row r="57" spans="2:57" s="54" customFormat="1" ht="37.15" hidden="1" customHeight="1" thickBot="1">
      <c r="B57" s="481"/>
      <c r="C57" s="479"/>
      <c r="D57" s="442"/>
      <c r="E57" s="443"/>
      <c r="F57" s="444"/>
      <c r="G57" s="445"/>
      <c r="H57" s="446"/>
      <c r="I57" s="447"/>
      <c r="J57" s="448"/>
      <c r="K57" s="449"/>
      <c r="L57" s="457"/>
      <c r="M57" s="455"/>
      <c r="N57" s="13"/>
      <c r="O57" s="13"/>
      <c r="P57" s="50"/>
      <c r="R57" s="275"/>
      <c r="S57" s="275"/>
      <c r="T57" s="275"/>
      <c r="U57" s="275"/>
      <c r="V57" s="275"/>
      <c r="W57" s="275"/>
      <c r="X57" s="275"/>
      <c r="Y57" s="275"/>
      <c r="Z57" s="275"/>
      <c r="AA57" s="275"/>
      <c r="AB57" s="57"/>
      <c r="AC57" s="57"/>
      <c r="AD57" s="57"/>
      <c r="AE57" s="57"/>
      <c r="AF57" s="57"/>
      <c r="AG57" s="57"/>
      <c r="AH57" s="57"/>
      <c r="AI57" s="57"/>
      <c r="AJ57" s="57"/>
      <c r="AK57" s="57"/>
      <c r="AL57" s="57"/>
      <c r="AM57" s="57"/>
      <c r="AN57" s="57"/>
      <c r="AO57" s="57"/>
      <c r="AP57" s="57"/>
      <c r="AQ57" s="57"/>
      <c r="AR57" s="57"/>
      <c r="AS57" s="57"/>
      <c r="AT57" s="57"/>
      <c r="AU57" s="57"/>
      <c r="AV57" s="57"/>
      <c r="AW57" s="57"/>
      <c r="AX57" s="277"/>
      <c r="AY57" s="277"/>
      <c r="AZ57" s="277"/>
      <c r="BA57" s="277"/>
      <c r="BB57" s="277"/>
      <c r="BC57" s="277"/>
      <c r="BD57" s="277"/>
      <c r="BE57" s="277"/>
    </row>
    <row r="58" spans="2:57" s="54" customFormat="1" ht="16.5" hidden="1" customHeight="1" thickBot="1">
      <c r="B58" s="437"/>
      <c r="C58" s="423"/>
      <c r="D58" s="424"/>
      <c r="E58" s="425"/>
      <c r="F58" s="426"/>
      <c r="G58" s="427"/>
      <c r="H58" s="428"/>
      <c r="I58" s="438"/>
      <c r="J58" s="439"/>
      <c r="K58" s="429"/>
      <c r="L58" s="440"/>
      <c r="M58" s="422"/>
      <c r="N58" s="13"/>
      <c r="O58" s="13"/>
      <c r="P58" s="50"/>
      <c r="R58" s="275"/>
      <c r="S58" s="275"/>
      <c r="T58" s="275"/>
      <c r="U58" s="275"/>
      <c r="V58" s="275"/>
      <c r="W58" s="275"/>
      <c r="X58" s="275"/>
      <c r="Y58" s="275"/>
      <c r="Z58" s="275"/>
      <c r="AA58" s="275"/>
      <c r="AB58" s="415"/>
      <c r="AC58" s="415"/>
      <c r="AD58" s="415"/>
      <c r="AE58" s="415"/>
      <c r="AF58" s="415"/>
      <c r="AG58" s="415"/>
      <c r="AH58" s="415"/>
      <c r="AI58" s="415"/>
      <c r="AJ58" s="415"/>
      <c r="AK58" s="415"/>
      <c r="AL58" s="415"/>
      <c r="AM58" s="415"/>
      <c r="AN58" s="415"/>
      <c r="AO58" s="415"/>
      <c r="AP58" s="415"/>
      <c r="AQ58" s="415"/>
      <c r="AR58" s="415"/>
      <c r="AS58" s="415"/>
      <c r="AT58" s="415"/>
      <c r="AU58" s="415"/>
      <c r="AV58" s="415"/>
      <c r="AW58" s="415"/>
    </row>
    <row r="59" spans="2:57" s="54" customFormat="1" ht="37.15" hidden="1" customHeight="1" thickBot="1">
      <c r="B59" s="456"/>
      <c r="C59" s="441"/>
      <c r="D59" s="442"/>
      <c r="E59" s="443"/>
      <c r="F59" s="444"/>
      <c r="G59" s="445"/>
      <c r="H59" s="446"/>
      <c r="I59" s="447"/>
      <c r="J59" s="448"/>
      <c r="K59" s="449"/>
      <c r="L59" s="457"/>
      <c r="M59" s="454"/>
      <c r="N59" s="13"/>
      <c r="O59" s="13"/>
      <c r="P59" s="50"/>
      <c r="R59" s="275"/>
      <c r="S59" s="275"/>
      <c r="T59" s="275"/>
      <c r="U59" s="275"/>
      <c r="V59" s="275"/>
      <c r="W59" s="275"/>
      <c r="X59" s="275"/>
      <c r="Y59" s="275"/>
      <c r="Z59" s="275"/>
      <c r="AA59" s="275"/>
      <c r="AB59" s="57"/>
      <c r="AC59" s="57"/>
      <c r="AD59" s="57"/>
      <c r="AE59" s="57"/>
      <c r="AF59" s="57"/>
      <c r="AG59" s="57"/>
      <c r="AH59" s="57"/>
      <c r="AI59" s="57"/>
      <c r="AJ59" s="57"/>
      <c r="AK59" s="57"/>
      <c r="AL59" s="57"/>
      <c r="AM59" s="57"/>
      <c r="AN59" s="57"/>
      <c r="AO59" s="57"/>
      <c r="AP59" s="57"/>
      <c r="AQ59" s="57"/>
      <c r="AR59" s="57"/>
      <c r="AS59" s="57"/>
      <c r="AT59" s="57"/>
      <c r="AU59" s="57"/>
      <c r="AV59" s="57"/>
      <c r="AW59" s="57"/>
      <c r="AX59" s="277"/>
      <c r="AY59" s="277"/>
      <c r="AZ59" s="277"/>
      <c r="BA59" s="277"/>
      <c r="BB59" s="277"/>
      <c r="BC59" s="277"/>
      <c r="BD59" s="277"/>
      <c r="BE59" s="277"/>
    </row>
    <row r="60" spans="2:57" s="54" customFormat="1" ht="37.15" customHeight="1">
      <c r="B60" s="466"/>
      <c r="C60" s="430"/>
      <c r="D60" s="460"/>
      <c r="E60" s="461"/>
      <c r="F60" s="462"/>
      <c r="G60" s="460"/>
      <c r="H60" s="463"/>
      <c r="I60" s="463"/>
      <c r="J60" s="463"/>
      <c r="K60" s="464"/>
      <c r="L60" s="465"/>
      <c r="M60" s="50"/>
      <c r="N60" s="13"/>
      <c r="O60" s="13"/>
      <c r="P60" s="50"/>
      <c r="R60" s="275"/>
      <c r="S60" s="275"/>
      <c r="T60" s="275"/>
      <c r="U60" s="275"/>
      <c r="V60" s="275"/>
      <c r="W60" s="275"/>
      <c r="X60" s="275"/>
      <c r="Y60" s="275"/>
      <c r="Z60" s="275"/>
      <c r="AA60" s="275"/>
      <c r="AB60" s="57"/>
      <c r="AC60" s="57"/>
      <c r="AD60" s="57"/>
      <c r="AE60" s="57"/>
      <c r="AF60" s="57"/>
      <c r="AG60" s="57"/>
      <c r="AH60" s="57"/>
      <c r="AI60" s="57"/>
      <c r="AJ60" s="57"/>
      <c r="AK60" s="57"/>
      <c r="AL60" s="57"/>
      <c r="AM60" s="57"/>
      <c r="AN60" s="57"/>
      <c r="AO60" s="57"/>
      <c r="AP60" s="57"/>
      <c r="AQ60" s="57"/>
      <c r="AR60" s="57"/>
      <c r="AS60" s="57"/>
      <c r="AT60" s="57"/>
      <c r="AU60" s="57"/>
      <c r="AV60" s="57"/>
      <c r="AW60" s="57"/>
      <c r="AX60" s="277"/>
      <c r="AY60" s="277"/>
      <c r="AZ60" s="277"/>
      <c r="BA60" s="277"/>
      <c r="BB60" s="277"/>
      <c r="BC60" s="277"/>
      <c r="BD60" s="277"/>
      <c r="BE60" s="277"/>
    </row>
    <row r="61" spans="2:57" ht="18" customHeight="1" thickBot="1">
      <c r="B61" s="59"/>
      <c r="C61" s="309"/>
      <c r="D61" s="59"/>
      <c r="E61" s="59"/>
      <c r="F61" s="59"/>
      <c r="G61" s="59"/>
      <c r="H61" s="59"/>
      <c r="I61" s="59"/>
      <c r="J61" s="59"/>
      <c r="K61" s="59"/>
      <c r="L61" s="59"/>
      <c r="M61" s="59"/>
      <c r="N61" s="59" t="s">
        <v>41</v>
      </c>
      <c r="O61" s="56"/>
      <c r="P61" s="60"/>
    </row>
    <row r="62" spans="2:57" ht="15.75" thickBot="1">
      <c r="B62" s="499" t="s">
        <v>55</v>
      </c>
      <c r="C62" s="500"/>
      <c r="D62" s="500"/>
      <c r="E62" s="500"/>
      <c r="F62" s="501"/>
      <c r="G62" s="499" t="s">
        <v>56</v>
      </c>
      <c r="H62" s="500"/>
      <c r="I62" s="500"/>
      <c r="J62" s="501"/>
      <c r="K62" s="499" t="s">
        <v>51</v>
      </c>
      <c r="L62" s="500"/>
      <c r="M62" s="500"/>
      <c r="N62" s="502"/>
      <c r="O62" s="56"/>
      <c r="P62" s="50"/>
    </row>
    <row r="63" spans="2:57" ht="15">
      <c r="B63" s="61" t="s">
        <v>17</v>
      </c>
      <c r="C63" s="62" t="s">
        <v>36</v>
      </c>
      <c r="D63" s="62" t="s">
        <v>37</v>
      </c>
      <c r="E63" s="62" t="s">
        <v>38</v>
      </c>
      <c r="F63" s="63" t="s">
        <v>39</v>
      </c>
      <c r="G63" s="62" t="s">
        <v>36</v>
      </c>
      <c r="H63" s="62" t="s">
        <v>37</v>
      </c>
      <c r="I63" s="62" t="s">
        <v>38</v>
      </c>
      <c r="J63" s="63" t="s">
        <v>39</v>
      </c>
      <c r="K63" s="62"/>
      <c r="L63" s="62" t="s">
        <v>37</v>
      </c>
      <c r="M63" s="62" t="s">
        <v>38</v>
      </c>
      <c r="N63" s="63" t="s">
        <v>39</v>
      </c>
      <c r="O63" s="56"/>
      <c r="P63" s="64"/>
    </row>
    <row r="64" spans="2:57" ht="15">
      <c r="B64" s="29" t="s">
        <v>6</v>
      </c>
      <c r="C64" s="65"/>
      <c r="D64" s="76">
        <v>7.4556506636893838</v>
      </c>
      <c r="E64" s="76">
        <v>6.5474778039534414</v>
      </c>
      <c r="F64" s="66">
        <v>4.8</v>
      </c>
      <c r="G64" s="65"/>
      <c r="H64" s="477">
        <v>7.1556036556036569</v>
      </c>
      <c r="I64" s="477">
        <v>6.6650165071201641</v>
      </c>
      <c r="J64" s="66">
        <v>4.8</v>
      </c>
      <c r="K64" s="67"/>
      <c r="L64" s="194">
        <v>0.29475438596491227</v>
      </c>
      <c r="M64" s="194">
        <v>0.5207964922592172</v>
      </c>
      <c r="N64" s="68">
        <v>1</v>
      </c>
      <c r="O64" s="56"/>
      <c r="P64" s="69"/>
    </row>
    <row r="65" spans="2:16" ht="15">
      <c r="B65" s="33" t="s">
        <v>9</v>
      </c>
      <c r="C65" s="65"/>
      <c r="D65" s="76">
        <v>8.6363636363636189</v>
      </c>
      <c r="E65" s="76">
        <v>5.8721053130307412</v>
      </c>
      <c r="F65" s="66">
        <v>4.8</v>
      </c>
      <c r="G65" s="65"/>
      <c r="H65" s="76">
        <v>7.5248838752488254</v>
      </c>
      <c r="I65" s="76">
        <v>5.9880521869393624</v>
      </c>
      <c r="J65" s="66">
        <v>4.8</v>
      </c>
      <c r="K65" s="67"/>
      <c r="L65" s="194">
        <v>0.31736842105263158</v>
      </c>
      <c r="M65" s="194">
        <v>0.68971317640877172</v>
      </c>
      <c r="N65" s="68">
        <v>1</v>
      </c>
      <c r="P65" s="69"/>
    </row>
    <row r="66" spans="2:16" ht="15">
      <c r="B66" s="34" t="s">
        <v>40</v>
      </c>
      <c r="C66" s="65"/>
      <c r="D66" s="76"/>
      <c r="E66" s="76">
        <v>11.277593164016125</v>
      </c>
      <c r="F66" s="66">
        <v>5.5</v>
      </c>
      <c r="G66" s="65"/>
      <c r="H66" s="76"/>
      <c r="I66" s="76">
        <v>11.857907912244482</v>
      </c>
      <c r="J66" s="66">
        <v>5.5</v>
      </c>
      <c r="K66" s="67"/>
      <c r="L66" s="194"/>
      <c r="M66" s="194">
        <v>0.35370190356844494</v>
      </c>
      <c r="N66" s="68">
        <v>1</v>
      </c>
      <c r="P66" s="69"/>
    </row>
    <row r="67" spans="2:16" ht="15">
      <c r="B67" s="22" t="s">
        <v>33</v>
      </c>
      <c r="C67" s="65"/>
      <c r="D67" s="76"/>
      <c r="E67" s="76">
        <v>4.8685538193023836</v>
      </c>
      <c r="F67" s="66">
        <v>3.3</v>
      </c>
      <c r="G67" s="65"/>
      <c r="H67" s="76"/>
      <c r="I67" s="76">
        <v>4.8702525342252114</v>
      </c>
      <c r="J67" s="66">
        <v>3.3</v>
      </c>
      <c r="K67" s="67"/>
      <c r="L67" s="194"/>
      <c r="M67" s="194">
        <v>0.77919298245614044</v>
      </c>
      <c r="N67" s="68">
        <v>1</v>
      </c>
      <c r="P67" s="69"/>
    </row>
    <row r="68" spans="2:16" ht="15">
      <c r="B68" s="35" t="s">
        <v>164</v>
      </c>
      <c r="C68" s="65"/>
      <c r="D68" s="76"/>
      <c r="E68" s="76"/>
      <c r="F68" s="66">
        <v>3.3</v>
      </c>
      <c r="G68" s="282"/>
      <c r="H68" s="76"/>
      <c r="I68" s="76"/>
      <c r="J68" s="66">
        <v>3</v>
      </c>
      <c r="K68" s="67"/>
      <c r="L68" s="194"/>
      <c r="M68" s="194"/>
      <c r="N68" s="68">
        <v>1</v>
      </c>
      <c r="P68" s="69"/>
    </row>
    <row r="69" spans="2:16" ht="15">
      <c r="B69" s="36" t="s">
        <v>15</v>
      </c>
      <c r="C69" s="65"/>
      <c r="D69" s="76"/>
      <c r="E69" s="76">
        <v>6.0400197628458603</v>
      </c>
      <c r="F69" s="70">
        <v>5.5</v>
      </c>
      <c r="G69" s="65"/>
      <c r="H69" s="76"/>
      <c r="I69" s="76">
        <v>8.2405787675951316</v>
      </c>
      <c r="J69" s="66">
        <v>5.5</v>
      </c>
      <c r="K69" s="67"/>
      <c r="L69" s="194"/>
      <c r="M69" s="194">
        <v>0.78491228070175445</v>
      </c>
      <c r="N69" s="68">
        <v>1</v>
      </c>
      <c r="P69" s="69"/>
    </row>
    <row r="70" spans="2:16" ht="15">
      <c r="B70" s="37" t="s">
        <v>16</v>
      </c>
      <c r="C70" s="482"/>
      <c r="D70" s="76"/>
      <c r="E70" s="76">
        <v>3.6168923014750334</v>
      </c>
      <c r="F70" s="66">
        <v>3.3</v>
      </c>
      <c r="G70" s="282"/>
      <c r="H70" s="76"/>
      <c r="I70" s="76">
        <v>5.0091179718082053</v>
      </c>
      <c r="J70" s="66">
        <v>3.3</v>
      </c>
      <c r="K70" s="67"/>
      <c r="L70" s="194"/>
      <c r="M70" s="194">
        <v>0.92642300194931759</v>
      </c>
      <c r="N70" s="71">
        <v>1</v>
      </c>
      <c r="P70" s="69"/>
    </row>
    <row r="71" spans="2:16" ht="15.75" thickBot="1">
      <c r="B71" s="38" t="s">
        <v>163</v>
      </c>
      <c r="C71" s="65"/>
      <c r="D71" s="76"/>
      <c r="E71" s="76"/>
      <c r="F71" s="66">
        <v>7.5</v>
      </c>
      <c r="G71" s="282"/>
      <c r="H71" s="76"/>
      <c r="I71" s="76"/>
      <c r="J71" s="66">
        <v>7.5</v>
      </c>
      <c r="K71" s="67"/>
      <c r="L71" s="194"/>
      <c r="M71" s="194"/>
      <c r="N71" s="71">
        <v>1</v>
      </c>
      <c r="P71" s="69"/>
    </row>
    <row r="72" spans="2:16" ht="15.75" thickBot="1">
      <c r="B72" s="414" t="s">
        <v>161</v>
      </c>
      <c r="C72" s="65"/>
      <c r="D72" s="76"/>
      <c r="E72" s="76"/>
      <c r="F72" s="66">
        <v>4.8</v>
      </c>
      <c r="G72" s="282"/>
      <c r="H72" s="76"/>
      <c r="I72" s="76"/>
      <c r="J72" s="66">
        <v>4.8</v>
      </c>
      <c r="K72" s="67"/>
      <c r="L72" s="194"/>
      <c r="M72" s="194"/>
      <c r="N72" s="71">
        <v>1</v>
      </c>
      <c r="O72" s="74"/>
      <c r="P72" s="75"/>
    </row>
    <row r="73" spans="2:16" ht="15">
      <c r="D73" s="76">
        <v>7.8446052741036665</v>
      </c>
      <c r="E73" s="76">
        <v>6.3600552791945226</v>
      </c>
      <c r="F73" s="341">
        <v>5.5</v>
      </c>
      <c r="H73" s="76">
        <v>7.2769259340002819</v>
      </c>
      <c r="I73" s="76">
        <v>6.7041928627942324</v>
      </c>
      <c r="J73" s="341">
        <v>5.5</v>
      </c>
      <c r="L73" s="194">
        <v>0.30229239766081867</v>
      </c>
      <c r="M73" s="194">
        <v>0.59317096676560477</v>
      </c>
      <c r="N73" s="386">
        <v>1</v>
      </c>
    </row>
  </sheetData>
  <mergeCells count="51">
    <mergeCell ref="M4:N4"/>
    <mergeCell ref="S1:T1"/>
    <mergeCell ref="U1:V1"/>
    <mergeCell ref="W1:X1"/>
    <mergeCell ref="Y1:Z1"/>
    <mergeCell ref="B2:O2"/>
    <mergeCell ref="P8:P9"/>
    <mergeCell ref="C5:D5"/>
    <mergeCell ref="B8:B9"/>
    <mergeCell ref="C8:C9"/>
    <mergeCell ref="D8:D9"/>
    <mergeCell ref="G8:G9"/>
    <mergeCell ref="H8:H9"/>
    <mergeCell ref="I8:I9"/>
    <mergeCell ref="J8:J9"/>
    <mergeCell ref="K8:K9"/>
    <mergeCell ref="L8:L9"/>
    <mergeCell ref="O8:O9"/>
    <mergeCell ref="I20:N20"/>
    <mergeCell ref="D21:E21"/>
    <mergeCell ref="B22:B33"/>
    <mergeCell ref="D22:E23"/>
    <mergeCell ref="D24:E25"/>
    <mergeCell ref="D26:E27"/>
    <mergeCell ref="D28:E29"/>
    <mergeCell ref="D30:E31"/>
    <mergeCell ref="D32:E33"/>
    <mergeCell ref="B34:B43"/>
    <mergeCell ref="D34:E35"/>
    <mergeCell ref="J34:K34"/>
    <mergeCell ref="L35:N35"/>
    <mergeCell ref="D36:E37"/>
    <mergeCell ref="D38:E39"/>
    <mergeCell ref="D40:E41"/>
    <mergeCell ref="D42:E43"/>
    <mergeCell ref="D44:E44"/>
    <mergeCell ref="B49:B50"/>
    <mergeCell ref="C49:C50"/>
    <mergeCell ref="D49:D50"/>
    <mergeCell ref="E49:E50"/>
    <mergeCell ref="M49:M50"/>
    <mergeCell ref="B62:F62"/>
    <mergeCell ref="G62:J62"/>
    <mergeCell ref="K62:N62"/>
    <mergeCell ref="G49:G50"/>
    <mergeCell ref="H49:H50"/>
    <mergeCell ref="I49:I50"/>
    <mergeCell ref="J49:J50"/>
    <mergeCell ref="K49:K50"/>
    <mergeCell ref="L49:L50"/>
    <mergeCell ref="F49:F50"/>
  </mergeCells>
  <conditionalFormatting sqref="B44:B45">
    <cfRule type="cellIs" dxfId="3452" priority="103" operator="notBetween">
      <formula>#REF!</formula>
      <formula>#REF!</formula>
    </cfRule>
  </conditionalFormatting>
  <conditionalFormatting sqref="C48">
    <cfRule type="cellIs" dxfId="3451" priority="185" stopIfTrue="1" operator="lessThan">
      <formula>96</formula>
    </cfRule>
    <cfRule type="cellIs" dxfId="3450" priority="186" stopIfTrue="1" operator="greaterThan">
      <formula>100</formula>
    </cfRule>
  </conditionalFormatting>
  <conditionalFormatting sqref="C64:C65">
    <cfRule type="cellIs" dxfId="3449" priority="66" stopIfTrue="1" operator="greaterThan">
      <formula>$F64</formula>
    </cfRule>
    <cfRule type="cellIs" dxfId="3448" priority="68" stopIfTrue="1" operator="greaterThan">
      <formula>$F64</formula>
    </cfRule>
    <cfRule type="cellIs" dxfId="3447" priority="69" stopIfTrue="1" operator="lessThanOrEqual">
      <formula>0</formula>
    </cfRule>
    <cfRule type="cellIs" dxfId="3446" priority="67" stopIfTrue="1" operator="lessThanOrEqual">
      <formula>0</formula>
    </cfRule>
  </conditionalFormatting>
  <conditionalFormatting sqref="C66:C68 C70:C72">
    <cfRule type="cellIs" dxfId="3445" priority="75" stopIfTrue="1" operator="greaterThan">
      <formula>$F69</formula>
    </cfRule>
  </conditionalFormatting>
  <conditionalFormatting sqref="C66:C68">
    <cfRule type="cellIs" dxfId="3444" priority="76" stopIfTrue="1" operator="lessThanOrEqual">
      <formula>0</formula>
    </cfRule>
  </conditionalFormatting>
  <conditionalFormatting sqref="C69">
    <cfRule type="cellIs" dxfId="3443" priority="187" stopIfTrue="1" operator="greaterThan">
      <formula>$F64</formula>
    </cfRule>
    <cfRule type="cellIs" dxfId="3442" priority="190" stopIfTrue="1" operator="lessThanOrEqual">
      <formula>0</formula>
    </cfRule>
    <cfRule type="cellIs" dxfId="3441" priority="189" stopIfTrue="1" operator="greaterThan">
      <formula>$F64</formula>
    </cfRule>
    <cfRule type="cellIs" dxfId="3440" priority="188" stopIfTrue="1" operator="lessThanOrEqual">
      <formula>0</formula>
    </cfRule>
  </conditionalFormatting>
  <conditionalFormatting sqref="C70:C72">
    <cfRule type="cellIs" dxfId="3439" priority="77" stopIfTrue="1" operator="lessThanOrEqual">
      <formula>0</formula>
    </cfRule>
  </conditionalFormatting>
  <conditionalFormatting sqref="C75:C79">
    <cfRule type="cellIs" dxfId="3438" priority="177" stopIfTrue="1" operator="lessThanOrEqual">
      <formula>0</formula>
    </cfRule>
  </conditionalFormatting>
  <conditionalFormatting sqref="C76:C79">
    <cfRule type="cellIs" dxfId="3437" priority="176" stopIfTrue="1" operator="greaterThan">
      <formula>$F$75</formula>
    </cfRule>
  </conditionalFormatting>
  <conditionalFormatting sqref="C81">
    <cfRule type="cellIs" dxfId="3436" priority="178" stopIfTrue="1" operator="greaterThan">
      <formula>$F$75</formula>
    </cfRule>
    <cfRule type="cellIs" dxfId="3435" priority="179" stopIfTrue="1" operator="lessThanOrEqual">
      <formula>0</formula>
    </cfRule>
  </conditionalFormatting>
  <conditionalFormatting sqref="C69:D69">
    <cfRule type="cellIs" dxfId="3434" priority="64" stopIfTrue="1" operator="greaterThan">
      <formula>$J69</formula>
    </cfRule>
    <cfRule type="cellIs" dxfId="3433" priority="65" stopIfTrue="1" operator="lessThanOrEqual">
      <formula>0</formula>
    </cfRule>
  </conditionalFormatting>
  <conditionalFormatting sqref="C75:D75 D77:D83">
    <cfRule type="cellIs" dxfId="3432" priority="171" stopIfTrue="1" operator="greaterThan">
      <formula>4.5</formula>
    </cfRule>
  </conditionalFormatting>
  <conditionalFormatting sqref="D44:D45">
    <cfRule type="cellIs" dxfId="3431" priority="104" operator="notBetween">
      <formula>#REF!</formula>
      <formula>#REF!</formula>
    </cfRule>
  </conditionalFormatting>
  <conditionalFormatting sqref="D64:D68 D70:D71">
    <cfRule type="cellIs" dxfId="3430" priority="74" stopIfTrue="1" operator="lessThanOrEqual">
      <formula>0</formula>
    </cfRule>
  </conditionalFormatting>
  <conditionalFormatting sqref="D64:D68 D70:D73">
    <cfRule type="cellIs" dxfId="3429" priority="71" stopIfTrue="1" operator="greaterThan">
      <formula>$F64</formula>
    </cfRule>
    <cfRule type="cellIs" dxfId="3428" priority="70" stopIfTrue="1" operator="lessThanOrEqual">
      <formula>0</formula>
    </cfRule>
  </conditionalFormatting>
  <conditionalFormatting sqref="D72:D73">
    <cfRule type="cellIs" dxfId="3427" priority="72" stopIfTrue="1" operator="lessThanOrEqual">
      <formula>0</formula>
    </cfRule>
  </conditionalFormatting>
  <conditionalFormatting sqref="D73">
    <cfRule type="cellIs" dxfId="3426" priority="73" stopIfTrue="1" operator="lessThanOrEqual">
      <formula>0</formula>
    </cfRule>
  </conditionalFormatting>
  <conditionalFormatting sqref="D75 D77:D83">
    <cfRule type="cellIs" dxfId="3425" priority="172" stopIfTrue="1" operator="lessThanOrEqual">
      <formula>0</formula>
    </cfRule>
  </conditionalFormatting>
  <conditionalFormatting sqref="D76">
    <cfRule type="cellIs" dxfId="3424" priority="163" stopIfTrue="1" operator="greaterThan">
      <formula>$F$75</formula>
    </cfRule>
    <cfRule type="cellIs" dxfId="3423" priority="164" stopIfTrue="1" operator="lessThanOrEqual">
      <formula>0</formula>
    </cfRule>
  </conditionalFormatting>
  <conditionalFormatting sqref="E10:E19">
    <cfRule type="cellIs" dxfId="3422" priority="12" operator="lessThan">
      <formula>48</formula>
    </cfRule>
  </conditionalFormatting>
  <conditionalFormatting sqref="E47 E48:F48">
    <cfRule type="cellIs" dxfId="3421" priority="168" stopIfTrue="1" operator="greaterThan">
      <formula>100</formula>
    </cfRule>
  </conditionalFormatting>
  <conditionalFormatting sqref="E48">
    <cfRule type="cellIs" dxfId="3420" priority="166" stopIfTrue="1" operator="greaterThan">
      <formula>100</formula>
    </cfRule>
    <cfRule type="cellIs" dxfId="3419" priority="165" stopIfTrue="1" operator="lessThan">
      <formula>96.8</formula>
    </cfRule>
  </conditionalFormatting>
  <conditionalFormatting sqref="E64:E72">
    <cfRule type="cellIs" dxfId="3418" priority="37" stopIfTrue="1" operator="lessThanOrEqual">
      <formula>0</formula>
    </cfRule>
  </conditionalFormatting>
  <conditionalFormatting sqref="E64:E73">
    <cfRule type="cellIs" dxfId="3417" priority="38" stopIfTrue="1" operator="greaterThan">
      <formula>$F64</formula>
    </cfRule>
    <cfRule type="cellIs" dxfId="3416" priority="39" stopIfTrue="1" operator="lessThanOrEqual">
      <formula>0</formula>
    </cfRule>
  </conditionalFormatting>
  <conditionalFormatting sqref="E73">
    <cfRule type="cellIs" dxfId="3415" priority="40" stopIfTrue="1" operator="lessThanOrEqual">
      <formula>0</formula>
    </cfRule>
  </conditionalFormatting>
  <conditionalFormatting sqref="E75:E83">
    <cfRule type="cellIs" dxfId="3414" priority="157" stopIfTrue="1" operator="greaterThan">
      <formula>4.5</formula>
    </cfRule>
    <cfRule type="cellIs" dxfId="3413" priority="158" stopIfTrue="1" operator="lessThanOrEqual">
      <formula>0</formula>
    </cfRule>
  </conditionalFormatting>
  <conditionalFormatting sqref="E48:F48 E47">
    <cfRule type="cellIs" dxfId="3412" priority="167" stopIfTrue="1" operator="lessThan">
      <formula>96.5</formula>
    </cfRule>
  </conditionalFormatting>
  <conditionalFormatting sqref="F10:F19">
    <cfRule type="cellIs" dxfId="3411" priority="14" operator="greaterThan">
      <formula>60</formula>
    </cfRule>
  </conditionalFormatting>
  <conditionalFormatting sqref="F48">
    <cfRule type="cellIs" dxfId="3410" priority="183" stopIfTrue="1" operator="lessThan">
      <formula>96.8</formula>
    </cfRule>
    <cfRule type="cellIs" dxfId="3409" priority="184" stopIfTrue="1" operator="greaterThan">
      <formula>100</formula>
    </cfRule>
  </conditionalFormatting>
  <conditionalFormatting sqref="G10:G19">
    <cfRule type="expression" dxfId="3408" priority="2">
      <formula>IF(+(IF(G10&lt;S10,0,IF(G10&gt;T10,0,1)))=0,1)</formula>
    </cfRule>
  </conditionalFormatting>
  <conditionalFormatting sqref="G64:G67 F73">
    <cfRule type="cellIs" dxfId="3407" priority="46" stopIfTrue="1" operator="greaterThan">
      <formula>$F64</formula>
    </cfRule>
    <cfRule type="cellIs" dxfId="3406" priority="47" stopIfTrue="1" operator="lessThanOrEqual">
      <formula>0</formula>
    </cfRule>
  </conditionalFormatting>
  <conditionalFormatting sqref="G66:G67">
    <cfRule type="cellIs" dxfId="3405" priority="33" stopIfTrue="1" operator="lessThanOrEqual">
      <formula>0</formula>
    </cfRule>
    <cfRule type="cellIs" dxfId="3404" priority="32" stopIfTrue="1" operator="greaterThan">
      <formula>$F66</formula>
    </cfRule>
  </conditionalFormatting>
  <conditionalFormatting sqref="G68:G72">
    <cfRule type="cellIs" dxfId="3403" priority="49" stopIfTrue="1" operator="lessThanOrEqual">
      <formula>0</formula>
    </cfRule>
    <cfRule type="cellIs" dxfId="3402" priority="48" stopIfTrue="1" operator="greaterThan">
      <formula>$J68</formula>
    </cfRule>
  </conditionalFormatting>
  <conditionalFormatting sqref="G69">
    <cfRule type="cellIs" dxfId="3401" priority="191" stopIfTrue="1" operator="greaterThan">
      <formula>$F64</formula>
    </cfRule>
    <cfRule type="cellIs" dxfId="3400" priority="192" stopIfTrue="1" operator="lessThanOrEqual">
      <formula>0</formula>
    </cfRule>
  </conditionalFormatting>
  <conditionalFormatting sqref="G77:G82 C80 C82">
    <cfRule type="cellIs" dxfId="3399" priority="181" stopIfTrue="1" operator="lessThanOrEqual">
      <formula>0</formula>
    </cfRule>
    <cfRule type="cellIs" dxfId="3398" priority="180" stopIfTrue="1" operator="greaterThan">
      <formula>4.5</formula>
    </cfRule>
  </conditionalFormatting>
  <conditionalFormatting sqref="G76:H76">
    <cfRule type="cellIs" dxfId="3397" priority="162" stopIfTrue="1" operator="lessThanOrEqual">
      <formula>0</formula>
    </cfRule>
    <cfRule type="cellIs" dxfId="3396" priority="161" stopIfTrue="1" operator="greaterThan">
      <formula>$F$75</formula>
    </cfRule>
  </conditionalFormatting>
  <conditionalFormatting sqref="H10:H19">
    <cfRule type="expression" dxfId="3395" priority="3">
      <formula>IF(+(IF(H10&lt;#REF!,0,IF(H10&gt;#REF!,0,1)))=0,1)</formula>
    </cfRule>
  </conditionalFormatting>
  <conditionalFormatting sqref="H33:H34 H47">
    <cfRule type="cellIs" dxfId="3394" priority="159" stopIfTrue="1" operator="greaterThan">
      <formula>0</formula>
    </cfRule>
  </conditionalFormatting>
  <conditionalFormatting sqref="H51">
    <cfRule type="cellIs" dxfId="3393" priority="52" stopIfTrue="1" operator="greaterThan">
      <formula>$F$64</formula>
    </cfRule>
    <cfRule type="cellIs" dxfId="3392" priority="60" stopIfTrue="1" operator="greaterThan">
      <formula>$F$67</formula>
    </cfRule>
    <cfRule type="cellIs" dxfId="3391" priority="61" stopIfTrue="1" operator="lessThanOrEqual">
      <formula>0</formula>
    </cfRule>
    <cfRule type="cellIs" dxfId="3390" priority="62" stopIfTrue="1" operator="greaterThan">
      <formula>$F$65</formula>
    </cfRule>
    <cfRule type="cellIs" dxfId="3389" priority="51" stopIfTrue="1" operator="lessThanOrEqual">
      <formula>0</formula>
    </cfRule>
  </conditionalFormatting>
  <conditionalFormatting sqref="H51:H52">
    <cfRule type="cellIs" dxfId="3388" priority="63" stopIfTrue="1" operator="lessThanOrEqual">
      <formula>0</formula>
    </cfRule>
  </conditionalFormatting>
  <conditionalFormatting sqref="H52 H54:H55">
    <cfRule type="cellIs" dxfId="3387" priority="89" stopIfTrue="1" operator="lessThanOrEqual">
      <formula>0</formula>
    </cfRule>
  </conditionalFormatting>
  <conditionalFormatting sqref="H52">
    <cfRule type="cellIs" dxfId="3386" priority="86" stopIfTrue="1" operator="greaterThan">
      <formula>$F$67</formula>
    </cfRule>
    <cfRule type="cellIs" dxfId="3385" priority="88" stopIfTrue="1" operator="greaterThan">
      <formula>$F$65</formula>
    </cfRule>
    <cfRule type="cellIs" dxfId="3384" priority="87" stopIfTrue="1" operator="lessThanOrEqual">
      <formula>0</formula>
    </cfRule>
    <cfRule type="cellIs" dxfId="3383" priority="78" stopIfTrue="1" operator="greaterThan">
      <formula>$F$64</formula>
    </cfRule>
  </conditionalFormatting>
  <conditionalFormatting sqref="H53">
    <cfRule type="cellIs" dxfId="3382" priority="18" stopIfTrue="1" operator="lessThanOrEqual">
      <formula>0</formula>
    </cfRule>
    <cfRule type="cellIs" dxfId="3381" priority="19" stopIfTrue="1" operator="greaterThan">
      <formula>$F$66</formula>
    </cfRule>
    <cfRule type="cellIs" dxfId="3380" priority="27" stopIfTrue="1" operator="greaterThan">
      <formula>$F$69</formula>
    </cfRule>
    <cfRule type="cellIs" dxfId="3379" priority="28" stopIfTrue="1" operator="lessThanOrEqual">
      <formula>0</formula>
    </cfRule>
    <cfRule type="cellIs" dxfId="3378" priority="29" stopIfTrue="1" operator="greaterThan">
      <formula>$F$67</formula>
    </cfRule>
    <cfRule type="cellIs" dxfId="3377" priority="30" stopIfTrue="1" operator="lessThanOrEqual">
      <formula>0</formula>
    </cfRule>
  </conditionalFormatting>
  <conditionalFormatting sqref="H54:H55">
    <cfRule type="cellIs" dxfId="3376" priority="101" stopIfTrue="1" operator="greaterThan">
      <formula>$F$65</formula>
    </cfRule>
    <cfRule type="cellIs" dxfId="3375" priority="100" stopIfTrue="1" operator="lessThanOrEqual">
      <formula>0</formula>
    </cfRule>
    <cfRule type="cellIs" dxfId="3374" priority="99" stopIfTrue="1" operator="greaterThan">
      <formula>$F$67</formula>
    </cfRule>
    <cfRule type="cellIs" dxfId="3373" priority="91" stopIfTrue="1" operator="greaterThan">
      <formula>$F$64</formula>
    </cfRule>
    <cfRule type="cellIs" dxfId="3372" priority="102" stopIfTrue="1" operator="lessThanOrEqual">
      <formula>0</formula>
    </cfRule>
  </conditionalFormatting>
  <conditionalFormatting sqref="H56:H57">
    <cfRule type="cellIs" dxfId="3371" priority="126" stopIfTrue="1" operator="lessThanOrEqual">
      <formula>0</formula>
    </cfRule>
    <cfRule type="cellIs" dxfId="3370" priority="135" stopIfTrue="1" operator="greaterThan">
      <formula>#REF!</formula>
    </cfRule>
    <cfRule type="cellIs" dxfId="3369" priority="136" stopIfTrue="1" operator="lessThanOrEqual">
      <formula>0</formula>
    </cfRule>
    <cfRule type="cellIs" dxfId="3368" priority="127" stopIfTrue="1" operator="greaterThan">
      <formula>#REF!</formula>
    </cfRule>
  </conditionalFormatting>
  <conditionalFormatting sqref="H58">
    <cfRule type="cellIs" dxfId="3367" priority="150" stopIfTrue="1" operator="lessThanOrEqual">
      <formula>0</formula>
    </cfRule>
    <cfRule type="cellIs" dxfId="3366" priority="138" stopIfTrue="1" operator="lessThanOrEqual">
      <formula>0</formula>
    </cfRule>
    <cfRule type="cellIs" dxfId="3365" priority="139" stopIfTrue="1" operator="greaterThan">
      <formula>$F$32</formula>
    </cfRule>
    <cfRule type="cellIs" dxfId="3364" priority="149" stopIfTrue="1" operator="greaterThan">
      <formula>$F$33</formula>
    </cfRule>
    <cfRule type="cellIs" dxfId="3363" priority="148" stopIfTrue="1" operator="lessThanOrEqual">
      <formula>0</formula>
    </cfRule>
    <cfRule type="cellIs" dxfId="3362" priority="147" stopIfTrue="1" operator="greaterThan">
      <formula>$F$35</formula>
    </cfRule>
  </conditionalFormatting>
  <conditionalFormatting sqref="H59:H60">
    <cfRule type="cellIs" dxfId="3361" priority="123" stopIfTrue="1" operator="greaterThan">
      <formula>#REF!</formula>
    </cfRule>
    <cfRule type="cellIs" dxfId="3360" priority="115" stopIfTrue="1" operator="greaterThan">
      <formula>#REF!</formula>
    </cfRule>
    <cfRule type="cellIs" dxfId="3359" priority="114" stopIfTrue="1" operator="lessThanOrEqual">
      <formula>0</formula>
    </cfRule>
    <cfRule type="cellIs" dxfId="3358" priority="124" stopIfTrue="1" operator="lessThanOrEqual">
      <formula>0</formula>
    </cfRule>
  </conditionalFormatting>
  <conditionalFormatting sqref="H75 H77:H83">
    <cfRule type="cellIs" dxfId="3357" priority="173" stopIfTrue="1" operator="greaterThan">
      <formula>4.5</formula>
    </cfRule>
    <cfRule type="cellIs" dxfId="3356" priority="174" stopIfTrue="1" operator="lessThanOrEqual">
      <formula>0</formula>
    </cfRule>
  </conditionalFormatting>
  <conditionalFormatting sqref="H51:I51">
    <cfRule type="cellIs" dxfId="3355" priority="53" stopIfTrue="1" operator="lessThanOrEqual">
      <formula>0</formula>
    </cfRule>
  </conditionalFormatting>
  <conditionalFormatting sqref="H51:I52 H54:I55">
    <cfRule type="cellIs" dxfId="3354" priority="50" stopIfTrue="1" operator="greaterThan">
      <formula>$F$66</formula>
    </cfRule>
  </conditionalFormatting>
  <conditionalFormatting sqref="H52:I52">
    <cfRule type="cellIs" dxfId="3353" priority="79" stopIfTrue="1" operator="lessThanOrEqual">
      <formula>0</formula>
    </cfRule>
  </conditionalFormatting>
  <conditionalFormatting sqref="H53:I53">
    <cfRule type="cellIs" dxfId="3352" priority="17" stopIfTrue="1" operator="greaterThan">
      <formula>$F$68</formula>
    </cfRule>
    <cfRule type="cellIs" dxfId="3351" priority="20" stopIfTrue="1" operator="lessThanOrEqual">
      <formula>0</formula>
    </cfRule>
  </conditionalFormatting>
  <conditionalFormatting sqref="H54:I55">
    <cfRule type="cellIs" dxfId="3350" priority="92" stopIfTrue="1" operator="lessThanOrEqual">
      <formula>0</formula>
    </cfRule>
  </conditionalFormatting>
  <conditionalFormatting sqref="H56:I57">
    <cfRule type="cellIs" dxfId="3349" priority="133" stopIfTrue="1" operator="greaterThan">
      <formula>#REF!</formula>
    </cfRule>
    <cfRule type="cellIs" dxfId="3348" priority="128" stopIfTrue="1" operator="lessThanOrEqual">
      <formula>0</formula>
    </cfRule>
    <cfRule type="cellIs" dxfId="3347" priority="134" stopIfTrue="1" operator="lessThanOrEqual">
      <formula>0</formula>
    </cfRule>
    <cfRule type="cellIs" dxfId="3346" priority="125" stopIfTrue="1" operator="greaterThan">
      <formula>#REF!</formula>
    </cfRule>
  </conditionalFormatting>
  <conditionalFormatting sqref="H58:I58">
    <cfRule type="cellIs" dxfId="3345" priority="137" stopIfTrue="1" operator="greaterThan">
      <formula>$F$34</formula>
    </cfRule>
    <cfRule type="cellIs" dxfId="3344" priority="140" stopIfTrue="1" operator="lessThanOrEqual">
      <formula>0</formula>
    </cfRule>
  </conditionalFormatting>
  <conditionalFormatting sqref="H59:I60">
    <cfRule type="cellIs" dxfId="3343" priority="113" stopIfTrue="1" operator="greaterThan">
      <formula>#REF!</formula>
    </cfRule>
    <cfRule type="cellIs" dxfId="3342" priority="116" stopIfTrue="1" operator="lessThanOrEqual">
      <formula>0</formula>
    </cfRule>
    <cfRule type="cellIs" dxfId="3341" priority="121" stopIfTrue="1" operator="greaterThan">
      <formula>#REF!</formula>
    </cfRule>
    <cfRule type="cellIs" dxfId="3340" priority="122" stopIfTrue="1" operator="lessThanOrEqual">
      <formula>0</formula>
    </cfRule>
  </conditionalFormatting>
  <conditionalFormatting sqref="H64:I71">
    <cfRule type="cellIs" dxfId="3339" priority="36" stopIfTrue="1" operator="lessThanOrEqual">
      <formula>0</formula>
    </cfRule>
    <cfRule type="cellIs" dxfId="3338" priority="35" stopIfTrue="1" operator="greaterThan">
      <formula>$J64</formula>
    </cfRule>
  </conditionalFormatting>
  <conditionalFormatting sqref="H72:I72">
    <cfRule type="cellIs" dxfId="3337" priority="43" operator="greaterThan">
      <formula>5.3</formula>
    </cfRule>
  </conditionalFormatting>
  <conditionalFormatting sqref="H73:I73">
    <cfRule type="cellIs" dxfId="3336" priority="42" stopIfTrue="1" operator="lessThanOrEqual">
      <formula>0</formula>
    </cfRule>
    <cfRule type="cellIs" dxfId="3335" priority="41" stopIfTrue="1" operator="greaterThan">
      <formula>$J73</formula>
    </cfRule>
  </conditionalFormatting>
  <conditionalFormatting sqref="I51">
    <cfRule type="cellIs" dxfId="3334" priority="56" stopIfTrue="1" operator="greaterThan">
      <formula>$F$66</formula>
    </cfRule>
    <cfRule type="cellIs" dxfId="3333" priority="55" stopIfTrue="1" operator="lessThanOrEqual">
      <formula>0</formula>
    </cfRule>
    <cfRule type="cellIs" dxfId="3332" priority="54" stopIfTrue="1" operator="greaterThan">
      <formula>$F$64</formula>
    </cfRule>
    <cfRule type="cellIs" dxfId="3331" priority="59" stopIfTrue="1" operator="lessThanOrEqual">
      <formula>0</formula>
    </cfRule>
    <cfRule type="cellIs" dxfId="3330" priority="58" stopIfTrue="1" operator="greaterThan">
      <formula>$F$64</formula>
    </cfRule>
    <cfRule type="cellIs" dxfId="3329" priority="57" stopIfTrue="1" operator="lessThanOrEqual">
      <formula>0</formula>
    </cfRule>
  </conditionalFormatting>
  <conditionalFormatting sqref="I52">
    <cfRule type="cellIs" dxfId="3328" priority="81" stopIfTrue="1" operator="lessThanOrEqual">
      <formula>0</formula>
    </cfRule>
    <cfRule type="cellIs" dxfId="3327" priority="80" stopIfTrue="1" operator="greaterThan">
      <formula>$F$64</formula>
    </cfRule>
    <cfRule type="cellIs" dxfId="3326" priority="85" stopIfTrue="1" operator="lessThanOrEqual">
      <formula>0</formula>
    </cfRule>
    <cfRule type="cellIs" dxfId="3325" priority="84" stopIfTrue="1" operator="greaterThan">
      <formula>$F$64</formula>
    </cfRule>
    <cfRule type="cellIs" dxfId="3324" priority="83" stopIfTrue="1" operator="lessThanOrEqual">
      <formula>0</formula>
    </cfRule>
    <cfRule type="cellIs" dxfId="3323" priority="82" stopIfTrue="1" operator="greaterThan">
      <formula>$F$66</formula>
    </cfRule>
  </conditionalFormatting>
  <conditionalFormatting sqref="I53">
    <cfRule type="cellIs" dxfId="3322" priority="25" stopIfTrue="1" operator="greaterThan">
      <formula>$F$66</formula>
    </cfRule>
    <cfRule type="cellIs" dxfId="3321" priority="24" stopIfTrue="1" operator="lessThanOrEqual">
      <formula>0</formula>
    </cfRule>
    <cfRule type="cellIs" dxfId="3320" priority="23" stopIfTrue="1" operator="greaterThan">
      <formula>$F$68</formula>
    </cfRule>
    <cfRule type="cellIs" dxfId="3319" priority="22" stopIfTrue="1" operator="lessThanOrEqual">
      <formula>0</formula>
    </cfRule>
    <cfRule type="cellIs" dxfId="3318" priority="21" stopIfTrue="1" operator="greaterThan">
      <formula>$F$66</formula>
    </cfRule>
    <cfRule type="cellIs" dxfId="3317" priority="26" stopIfTrue="1" operator="lessThanOrEqual">
      <formula>0</formula>
    </cfRule>
  </conditionalFormatting>
  <conditionalFormatting sqref="I54:I55">
    <cfRule type="cellIs" dxfId="3316" priority="96" stopIfTrue="1" operator="lessThanOrEqual">
      <formula>0</formula>
    </cfRule>
    <cfRule type="cellIs" dxfId="3315" priority="97" stopIfTrue="1" operator="greaterThan">
      <formula>$F$64</formula>
    </cfRule>
    <cfRule type="cellIs" dxfId="3314" priority="98" stopIfTrue="1" operator="lessThanOrEqual">
      <formula>0</formula>
    </cfRule>
    <cfRule type="cellIs" dxfId="3313" priority="93" stopIfTrue="1" operator="greaterThan">
      <formula>$F$64</formula>
    </cfRule>
    <cfRule type="cellIs" dxfId="3312" priority="94" stopIfTrue="1" operator="lessThanOrEqual">
      <formula>0</formula>
    </cfRule>
    <cfRule type="cellIs" dxfId="3311" priority="95" stopIfTrue="1" operator="greaterThan">
      <formula>$F$66</formula>
    </cfRule>
  </conditionalFormatting>
  <conditionalFormatting sqref="I56:I57">
    <cfRule type="cellIs" dxfId="3310" priority="132" stopIfTrue="1" operator="lessThanOrEqual">
      <formula>0</formula>
    </cfRule>
    <cfRule type="cellIs" dxfId="3309" priority="131" stopIfTrue="1" operator="greaterThan">
      <formula>#REF!</formula>
    </cfRule>
    <cfRule type="cellIs" dxfId="3308" priority="130" stopIfTrue="1" operator="lessThanOrEqual">
      <formula>0</formula>
    </cfRule>
    <cfRule type="cellIs" dxfId="3307" priority="129" stopIfTrue="1" operator="greaterThan">
      <formula>#REF!</formula>
    </cfRule>
  </conditionalFormatting>
  <conditionalFormatting sqref="I58">
    <cfRule type="cellIs" dxfId="3306" priority="144" stopIfTrue="1" operator="lessThanOrEqual">
      <formula>0</formula>
    </cfRule>
    <cfRule type="cellIs" dxfId="3305" priority="145" stopIfTrue="1" operator="greaterThan">
      <formula>$F$32</formula>
    </cfRule>
    <cfRule type="cellIs" dxfId="3304" priority="146" stopIfTrue="1" operator="lessThanOrEqual">
      <formula>0</formula>
    </cfRule>
    <cfRule type="cellIs" dxfId="3303" priority="141" stopIfTrue="1" operator="greaterThan">
      <formula>$F$32</formula>
    </cfRule>
    <cfRule type="cellIs" dxfId="3302" priority="142" stopIfTrue="1" operator="lessThanOrEqual">
      <formula>0</formula>
    </cfRule>
    <cfRule type="cellIs" dxfId="3301" priority="143" stopIfTrue="1" operator="greaterThan">
      <formula>$F$34</formula>
    </cfRule>
  </conditionalFormatting>
  <conditionalFormatting sqref="I59:I60">
    <cfRule type="cellIs" dxfId="3300" priority="120" stopIfTrue="1" operator="lessThanOrEqual">
      <formula>0</formula>
    </cfRule>
    <cfRule type="cellIs" dxfId="3299" priority="117" stopIfTrue="1" operator="greaterThan">
      <formula>#REF!</formula>
    </cfRule>
    <cfRule type="cellIs" dxfId="3298" priority="118" stopIfTrue="1" operator="lessThanOrEqual">
      <formula>0</formula>
    </cfRule>
    <cfRule type="cellIs" dxfId="3297" priority="119" stopIfTrue="1" operator="greaterThan">
      <formula>#REF!</formula>
    </cfRule>
  </conditionalFormatting>
  <conditionalFormatting sqref="I75:I83">
    <cfRule type="cellIs" dxfId="3296" priority="170" stopIfTrue="1" operator="lessThanOrEqual">
      <formula>0</formula>
    </cfRule>
    <cfRule type="cellIs" dxfId="3295" priority="169" stopIfTrue="1" operator="greaterThan">
      <formula>4.5</formula>
    </cfRule>
  </conditionalFormatting>
  <conditionalFormatting sqref="I10:J19">
    <cfRule type="cellIs" dxfId="3294" priority="8" operator="lessThan">
      <formula>97.9</formula>
    </cfRule>
  </conditionalFormatting>
  <conditionalFormatting sqref="J22:J24">
    <cfRule type="cellIs" dxfId="3293" priority="16" operator="lessThan">
      <formula>97.95</formula>
    </cfRule>
  </conditionalFormatting>
  <conditionalFormatting sqref="J24:J26">
    <cfRule type="cellIs" dxfId="3292" priority="151" operator="lessThan">
      <formula>97.4</formula>
    </cfRule>
  </conditionalFormatting>
  <conditionalFormatting sqref="J27:J28">
    <cfRule type="cellIs" dxfId="3291" priority="152" operator="lessThan">
      <formula>98</formula>
    </cfRule>
  </conditionalFormatting>
  <conditionalFormatting sqref="J29:J30">
    <cfRule type="cellIs" dxfId="3290" priority="153" stopIfTrue="1" operator="lessThan">
      <formula>96.8</formula>
    </cfRule>
    <cfRule type="cellIs" dxfId="3289" priority="154" stopIfTrue="1" operator="greaterThan">
      <formula>100</formula>
    </cfRule>
  </conditionalFormatting>
  <conditionalFormatting sqref="J29:J31">
    <cfRule type="cellIs" dxfId="3288" priority="155" operator="lessThan">
      <formula>98</formula>
    </cfRule>
  </conditionalFormatting>
  <conditionalFormatting sqref="J60">
    <cfRule type="cellIs" dxfId="3287" priority="112" stopIfTrue="1" operator="lessThanOrEqual">
      <formula>0</formula>
    </cfRule>
    <cfRule type="cellIs" dxfId="3286" priority="106" stopIfTrue="1" operator="lessThanOrEqual">
      <formula>0</formula>
    </cfRule>
    <cfRule type="cellIs" dxfId="3285" priority="105" stopIfTrue="1" operator="greaterThan">
      <formula>#REF!</formula>
    </cfRule>
    <cfRule type="cellIs" dxfId="3284" priority="107" stopIfTrue="1" operator="greaterThan">
      <formula>#REF!</formula>
    </cfRule>
    <cfRule type="cellIs" dxfId="3283" priority="108" stopIfTrue="1" operator="lessThanOrEqual">
      <formula>0</formula>
    </cfRule>
    <cfRule type="cellIs" dxfId="3282" priority="109" stopIfTrue="1" operator="greaterThan">
      <formula>#REF!</formula>
    </cfRule>
    <cfRule type="cellIs" dxfId="3281" priority="110" stopIfTrue="1" operator="lessThanOrEqual">
      <formula>0</formula>
    </cfRule>
    <cfRule type="cellIs" dxfId="3280" priority="111" stopIfTrue="1" operator="greaterThan">
      <formula>#REF!</formula>
    </cfRule>
  </conditionalFormatting>
  <conditionalFormatting sqref="J73">
    <cfRule type="cellIs" dxfId="3279" priority="44" stopIfTrue="1" operator="greaterThan">
      <formula>$F73</formula>
    </cfRule>
    <cfRule type="cellIs" dxfId="3278" priority="45" stopIfTrue="1" operator="lessThanOrEqual">
      <formula>0</formula>
    </cfRule>
  </conditionalFormatting>
  <conditionalFormatting sqref="K10:K19">
    <cfRule type="cellIs" dxfId="3277" priority="10" operator="lessThan">
      <formula>4</formula>
    </cfRule>
    <cfRule type="cellIs" dxfId="3276" priority="11" operator="greaterThan">
      <formula>6.4</formula>
    </cfRule>
    <cfRule type="cellIs" dxfId="3275" priority="9" operator="greaterThan">
      <formula>6</formula>
    </cfRule>
  </conditionalFormatting>
  <conditionalFormatting sqref="K51:K60">
    <cfRule type="cellIs" dxfId="3274" priority="90" stopIfTrue="1" operator="lessThan">
      <formula>100%</formula>
    </cfRule>
  </conditionalFormatting>
  <conditionalFormatting sqref="K64:K72">
    <cfRule type="cellIs" dxfId="3273" priority="34" stopIfTrue="1" operator="lessThan">
      <formula>100%</formula>
    </cfRule>
  </conditionalFormatting>
  <conditionalFormatting sqref="K75:K80">
    <cfRule type="cellIs" dxfId="3272" priority="175" stopIfTrue="1" operator="lessThan">
      <formula>100%</formula>
    </cfRule>
  </conditionalFormatting>
  <conditionalFormatting sqref="K82:K83">
    <cfRule type="cellIs" dxfId="3271" priority="182" stopIfTrue="1" operator="lessThan">
      <formula>100%</formula>
    </cfRule>
  </conditionalFormatting>
  <conditionalFormatting sqref="L10:L19">
    <cfRule type="cellIs" dxfId="3270" priority="6" operator="greaterThan">
      <formula>65</formula>
    </cfRule>
    <cfRule type="cellIs" dxfId="3269" priority="5" operator="between">
      <formula>61</formula>
      <formula>65</formula>
    </cfRule>
  </conditionalFormatting>
  <conditionalFormatting sqref="L22:M33">
    <cfRule type="cellIs" dxfId="3268" priority="15" operator="lessThan">
      <formula>97.95</formula>
    </cfRule>
  </conditionalFormatting>
  <conditionalFormatting sqref="L37:N37">
    <cfRule type="cellIs" dxfId="3267" priority="4" operator="notEqual">
      <formula>#REF!</formula>
    </cfRule>
  </conditionalFormatting>
  <conditionalFormatting sqref="L64:N73">
    <cfRule type="cellIs" dxfId="3266" priority="31" stopIfTrue="1" operator="lessThan">
      <formula>100%</formula>
    </cfRule>
  </conditionalFormatting>
  <conditionalFormatting sqref="L75:N83">
    <cfRule type="cellIs" dxfId="3265" priority="160" stopIfTrue="1" operator="lessThan">
      <formula>100%</formula>
    </cfRule>
  </conditionalFormatting>
  <conditionalFormatting sqref="M10:M19">
    <cfRule type="expression" dxfId="3264" priority="1">
      <formula>IF(+(IF(M10&lt;U10,0,IF(M10&gt;V10,0,1)))=0,1)</formula>
    </cfRule>
  </conditionalFormatting>
  <conditionalFormatting sqref="N10:N19">
    <cfRule type="expression" dxfId="3263" priority="7">
      <formula>IF(+(IF(N10&lt;W10,0,IF(N10&gt;X10,0,1)))=0,1)</formula>
    </cfRule>
  </conditionalFormatting>
  <conditionalFormatting sqref="P6">
    <cfRule type="cellIs" dxfId="3262" priority="156" operator="greaterThanOrEqual">
      <formula>19</formula>
    </cfRule>
  </conditionalFormatting>
  <dataValidations count="1">
    <dataValidation type="list" allowBlank="1" showInputMessage="1" showErrorMessage="1" sqref="R8" xr:uid="{5F1A0443-6659-4B7C-8E09-9ECD89CDE5FD}">
      <formula1>ProductList</formula1>
    </dataValidation>
  </dataValidations>
  <pageMargins left="0.7" right="0.7" top="0.75" bottom="0.75" header="0.3" footer="0.3"/>
  <pageSetup scale="40" fitToWidth="0" orientation="landscape" r:id="rId1"/>
  <rowBreaks count="1" manualBreakCount="1">
    <brk id="77" max="16383" man="1"/>
  </rowBreaks>
  <colBreaks count="1" manualBreakCount="1">
    <brk id="15" max="89" man="1"/>
  </colBreaks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50D340-B67E-422D-B427-7AF2F3D7ECB7}">
  <sheetPr>
    <pageSetUpPr fitToPage="1"/>
  </sheetPr>
  <dimension ref="A1:BE75"/>
  <sheetViews>
    <sheetView topLeftCell="A9" zoomScale="85" zoomScaleNormal="85" workbookViewId="0">
      <selection activeCell="B18" sqref="B18:O18"/>
    </sheetView>
  </sheetViews>
  <sheetFormatPr defaultColWidth="9.42578125" defaultRowHeight="14.25"/>
  <cols>
    <col min="1" max="1" width="7.28515625" style="275" customWidth="1"/>
    <col min="2" max="2" width="31.28515625" style="275" customWidth="1"/>
    <col min="3" max="3" width="22.28515625" style="275" customWidth="1"/>
    <col min="4" max="7" width="16.5703125" style="275" customWidth="1"/>
    <col min="8" max="8" width="20.7109375" style="275" customWidth="1"/>
    <col min="9" max="9" width="31.42578125" style="275" customWidth="1"/>
    <col min="10" max="10" width="35.28515625" style="275" customWidth="1"/>
    <col min="11" max="11" width="29" style="275" customWidth="1"/>
    <col min="12" max="12" width="17.28515625" style="275" bestFit="1" customWidth="1"/>
    <col min="13" max="13" width="23.28515625" style="275" customWidth="1"/>
    <col min="14" max="14" width="13.7109375" style="275" bestFit="1" customWidth="1"/>
    <col min="15" max="15" width="17.5703125" style="275" customWidth="1"/>
    <col min="16" max="16" width="109.28515625" style="6" customWidth="1"/>
    <col min="17" max="17" width="16.5703125" style="275" customWidth="1"/>
    <col min="18" max="18" width="15.7109375" style="275" bestFit="1" customWidth="1"/>
    <col min="19" max="19" width="12.42578125" style="275" customWidth="1"/>
    <col min="20" max="20" width="15" style="275" customWidth="1"/>
    <col min="21" max="21" width="12" style="275" customWidth="1"/>
    <col min="22" max="22" width="10.42578125" style="275" customWidth="1"/>
    <col min="23" max="23" width="11.42578125" style="275" customWidth="1"/>
    <col min="24" max="24" width="10.42578125" style="275" customWidth="1"/>
    <col min="25" max="25" width="8.42578125" style="275" customWidth="1"/>
    <col min="26" max="26" width="9.5703125" style="275" customWidth="1"/>
    <col min="27" max="27" width="8.42578125" style="275" customWidth="1"/>
    <col min="28" max="29" width="7.5703125" style="275" customWidth="1"/>
    <col min="30" max="51" width="9.42578125" style="275"/>
    <col min="52" max="52" width="1.5703125" style="275" customWidth="1"/>
    <col min="53" max="54" width="9.42578125" style="275"/>
    <col min="55" max="56" width="15.42578125" style="275" customWidth="1"/>
    <col min="57" max="16384" width="9.42578125" style="275"/>
  </cols>
  <sheetData>
    <row r="1" spans="2:29" ht="1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R1" s="467"/>
      <c r="S1" s="553" t="s">
        <v>0</v>
      </c>
      <c r="T1" s="553"/>
      <c r="U1" s="553" t="s">
        <v>1</v>
      </c>
      <c r="V1" s="553"/>
      <c r="W1" s="553" t="s">
        <v>2</v>
      </c>
      <c r="X1" s="553"/>
      <c r="Y1" s="553" t="s">
        <v>124</v>
      </c>
      <c r="Z1" s="553"/>
    </row>
    <row r="2" spans="2:29" ht="15">
      <c r="B2" s="554" t="s">
        <v>3</v>
      </c>
      <c r="C2" s="554"/>
      <c r="D2" s="554"/>
      <c r="E2" s="554"/>
      <c r="F2" s="554"/>
      <c r="G2" s="554"/>
      <c r="H2" s="554"/>
      <c r="I2" s="554"/>
      <c r="J2" s="554"/>
      <c r="K2" s="554"/>
      <c r="L2" s="554"/>
      <c r="M2" s="554"/>
      <c r="N2" s="554"/>
      <c r="O2" s="554"/>
      <c r="P2" s="4"/>
      <c r="R2" s="467"/>
      <c r="S2" s="467" t="s">
        <v>4</v>
      </c>
      <c r="T2" s="467" t="s">
        <v>5</v>
      </c>
      <c r="U2" s="467" t="s">
        <v>4</v>
      </c>
      <c r="V2" s="467" t="s">
        <v>5</v>
      </c>
      <c r="W2" s="467" t="s">
        <v>4</v>
      </c>
      <c r="X2" s="467" t="s">
        <v>5</v>
      </c>
      <c r="Y2" s="467" t="s">
        <v>4</v>
      </c>
      <c r="Z2" s="467" t="s">
        <v>5</v>
      </c>
    </row>
    <row r="3" spans="2:29" ht="14.25" customHeight="1">
      <c r="B3" s="5"/>
      <c r="R3" s="467" t="s">
        <v>6</v>
      </c>
      <c r="S3" s="468">
        <v>11.6</v>
      </c>
      <c r="T3" s="469">
        <v>12</v>
      </c>
      <c r="U3" s="9">
        <v>0</v>
      </c>
      <c r="V3" s="10">
        <v>0.118055555555556</v>
      </c>
      <c r="W3" s="10">
        <v>0.22569444444444445</v>
      </c>
      <c r="X3" s="10">
        <v>0.2638888888888889</v>
      </c>
      <c r="Y3" s="470">
        <v>0</v>
      </c>
      <c r="Z3" s="468">
        <v>60</v>
      </c>
      <c r="AB3" s="275" t="s">
        <v>135</v>
      </c>
    </row>
    <row r="4" spans="2:29" ht="30.75" customHeight="1">
      <c r="B4" s="301" t="s">
        <v>133</v>
      </c>
      <c r="C4" s="419">
        <v>46273</v>
      </c>
      <c r="J4" s="398" t="s">
        <v>153</v>
      </c>
      <c r="K4" s="398"/>
      <c r="L4" s="11"/>
      <c r="M4" s="555" t="s">
        <v>8</v>
      </c>
      <c r="N4" s="556"/>
      <c r="P4" s="12"/>
      <c r="R4" s="467" t="s">
        <v>9</v>
      </c>
      <c r="S4" s="468">
        <v>11.6</v>
      </c>
      <c r="T4" s="469">
        <v>12</v>
      </c>
      <c r="U4" s="9">
        <v>0</v>
      </c>
      <c r="V4" s="10">
        <v>0.118055555555556</v>
      </c>
      <c r="W4" s="10">
        <v>0.22569444444444445</v>
      </c>
      <c r="X4" s="10">
        <v>0.2638888888888889</v>
      </c>
      <c r="Y4" s="470">
        <v>0</v>
      </c>
      <c r="Z4" s="468">
        <v>60</v>
      </c>
      <c r="AA4" s="13"/>
      <c r="AB4" s="13"/>
      <c r="AC4" s="13"/>
    </row>
    <row r="5" spans="2:29" ht="12.75" customHeight="1" thickBot="1">
      <c r="B5" s="1"/>
      <c r="C5" s="549"/>
      <c r="D5" s="549"/>
      <c r="J5" s="403"/>
      <c r="K5" s="403"/>
      <c r="L5" s="11"/>
      <c r="M5" s="14" t="s">
        <v>10</v>
      </c>
      <c r="N5" s="14" t="s">
        <v>11</v>
      </c>
      <c r="P5" s="12"/>
      <c r="R5" s="467" t="s">
        <v>12</v>
      </c>
      <c r="S5" s="468">
        <v>17</v>
      </c>
      <c r="T5" s="469">
        <v>17.5</v>
      </c>
      <c r="U5" s="9">
        <v>0</v>
      </c>
      <c r="V5" s="10">
        <v>0.1076388888888889</v>
      </c>
      <c r="W5" s="10">
        <v>0.24652777777777779</v>
      </c>
      <c r="X5" s="10">
        <v>0.28472222222222221</v>
      </c>
      <c r="Y5" s="470">
        <v>0</v>
      </c>
      <c r="Z5" s="471">
        <v>60</v>
      </c>
      <c r="AA5" s="13"/>
      <c r="AB5" s="13"/>
      <c r="AC5" s="13"/>
    </row>
    <row r="6" spans="2:29" ht="14.25" customHeight="1">
      <c r="B6" s="15"/>
      <c r="C6" s="1"/>
      <c r="D6" s="1"/>
      <c r="J6" s="399" t="s">
        <v>168</v>
      </c>
      <c r="K6" s="400"/>
      <c r="L6" s="311" t="s">
        <v>14</v>
      </c>
      <c r="M6" s="340"/>
      <c r="N6" s="340"/>
      <c r="P6" s="16"/>
      <c r="R6" s="467" t="s">
        <v>15</v>
      </c>
      <c r="S6" s="468">
        <v>13.3</v>
      </c>
      <c r="T6" s="469">
        <v>13.5</v>
      </c>
      <c r="U6" s="9">
        <v>0</v>
      </c>
      <c r="V6" s="9">
        <v>0.12905092592592593</v>
      </c>
      <c r="W6" s="10">
        <v>0.27430555555555552</v>
      </c>
      <c r="X6" s="10">
        <v>0.30208333333333331</v>
      </c>
      <c r="Y6" s="470">
        <v>0</v>
      </c>
      <c r="Z6" s="471"/>
      <c r="AA6" s="13"/>
      <c r="AB6" s="13"/>
      <c r="AC6" s="13"/>
    </row>
    <row r="7" spans="2:29" ht="13.35" customHeight="1" thickBot="1">
      <c r="J7" s="401"/>
      <c r="K7" s="402"/>
      <c r="R7" s="467" t="s">
        <v>16</v>
      </c>
      <c r="S7" s="468">
        <v>17</v>
      </c>
      <c r="T7" s="469">
        <v>17.399999999999999</v>
      </c>
      <c r="U7" s="9">
        <v>0</v>
      </c>
      <c r="V7" s="9">
        <v>0.13605324074074074</v>
      </c>
      <c r="W7" s="10">
        <v>0.27430555555555552</v>
      </c>
      <c r="X7" s="10">
        <v>0.30902777777777779</v>
      </c>
      <c r="Y7" s="470">
        <v>0</v>
      </c>
      <c r="Z7" s="471">
        <v>85</v>
      </c>
      <c r="AA7" s="13"/>
      <c r="AB7" s="13"/>
      <c r="AC7" s="13"/>
    </row>
    <row r="8" spans="2:29" ht="25.5" customHeight="1">
      <c r="B8" s="507" t="s">
        <v>17</v>
      </c>
      <c r="C8" s="516" t="s">
        <v>18</v>
      </c>
      <c r="D8" s="516" t="s">
        <v>19</v>
      </c>
      <c r="E8" s="356" t="s">
        <v>20</v>
      </c>
      <c r="F8" s="356" t="s">
        <v>21</v>
      </c>
      <c r="G8" s="516" t="s">
        <v>22</v>
      </c>
      <c r="H8" s="551" t="s">
        <v>144</v>
      </c>
      <c r="I8" s="516" t="s">
        <v>167</v>
      </c>
      <c r="J8" s="542" t="s">
        <v>23</v>
      </c>
      <c r="K8" s="544" t="s">
        <v>142</v>
      </c>
      <c r="L8" s="546" t="s">
        <v>24</v>
      </c>
      <c r="M8" s="359" t="s">
        <v>25</v>
      </c>
      <c r="N8" s="17" t="s">
        <v>166</v>
      </c>
      <c r="O8" s="516" t="s">
        <v>155</v>
      </c>
      <c r="P8" s="548"/>
      <c r="R8" s="467" t="s">
        <v>125</v>
      </c>
      <c r="S8" s="468">
        <v>16.600000000000001</v>
      </c>
      <c r="T8" s="469">
        <v>17</v>
      </c>
      <c r="U8" s="9">
        <v>0</v>
      </c>
      <c r="V8" s="9">
        <v>0.12905092592592593</v>
      </c>
      <c r="W8" s="10">
        <v>0.27430555555555552</v>
      </c>
      <c r="X8" s="10">
        <v>0.30208333333333331</v>
      </c>
      <c r="Y8" s="470">
        <v>0</v>
      </c>
      <c r="Z8" s="471"/>
    </row>
    <row r="9" spans="2:29" ht="36" customHeight="1">
      <c r="B9" s="550"/>
      <c r="C9" s="541"/>
      <c r="D9" s="541"/>
      <c r="E9" s="357" t="s">
        <v>30</v>
      </c>
      <c r="F9" s="357" t="s">
        <v>31</v>
      </c>
      <c r="G9" s="541"/>
      <c r="H9" s="552"/>
      <c r="I9" s="541"/>
      <c r="J9" s="543"/>
      <c r="K9" s="545"/>
      <c r="L9" s="547"/>
      <c r="M9" s="20" t="s">
        <v>32</v>
      </c>
      <c r="N9" s="21" t="s">
        <v>41</v>
      </c>
      <c r="O9" s="541"/>
      <c r="P9" s="541"/>
      <c r="R9" s="467" t="s">
        <v>33</v>
      </c>
      <c r="S9" s="468">
        <v>14.2</v>
      </c>
      <c r="T9" s="469">
        <v>14.6</v>
      </c>
      <c r="U9" s="9">
        <v>0</v>
      </c>
      <c r="V9" s="9">
        <v>0.13905092592592591</v>
      </c>
      <c r="W9" s="10">
        <v>0.26041666666666669</v>
      </c>
      <c r="X9" s="10">
        <v>0.2951388888888889</v>
      </c>
      <c r="Y9" s="470">
        <v>0</v>
      </c>
      <c r="Z9" s="471">
        <v>75</v>
      </c>
    </row>
    <row r="10" spans="2:29" ht="15" customHeight="1">
      <c r="B10" s="33" t="s">
        <v>9</v>
      </c>
      <c r="C10" s="366" t="str">
        <f>[5]Brewhouse!$A363</f>
        <v>ST305</v>
      </c>
      <c r="D10" s="279">
        <f>[5]Brewhouse!$AB363</f>
        <v>53.1</v>
      </c>
      <c r="E10" s="279">
        <f>[5]Brewhouse!$AG363</f>
        <v>48.1</v>
      </c>
      <c r="F10" s="278">
        <f>[5]Brewhouse!$V363</f>
        <v>60</v>
      </c>
      <c r="G10" s="279">
        <f>[5]Brewhouse!$AE363</f>
        <v>11.8</v>
      </c>
      <c r="H10" s="396">
        <v>11.9</v>
      </c>
      <c r="I10" s="368">
        <f>[5]Brewhouse!$AS363</f>
        <v>96.072468702631554</v>
      </c>
      <c r="J10" s="368">
        <f>[5]Brewhouse!$AT363</f>
        <v>96.692243443021482</v>
      </c>
      <c r="K10" s="281">
        <f>[5]Brewhouse!$Q363</f>
        <v>10.12241054613936</v>
      </c>
      <c r="L10" s="276">
        <f>[5]Brewhouse!$P363</f>
        <v>61</v>
      </c>
      <c r="M10" s="374">
        <f>[5]Brewhouse!$U363-[5]Brewhouse!$T363</f>
        <v>0.13541666666666669</v>
      </c>
      <c r="N10" s="370">
        <f>[5]Brewhouse!$AW363</f>
        <v>0.27500000000000002</v>
      </c>
      <c r="O10" s="420" t="str">
        <f>[5]Brewhouse!$AV363</f>
        <v>R. Regis</v>
      </c>
      <c r="P10" s="418"/>
      <c r="R10" s="277" t="str">
        <f t="shared" ref="R10:R16" si="0">B10</f>
        <v>STAG</v>
      </c>
      <c r="S10" s="472">
        <f t="shared" ref="S10:S16" si="1">VLOOKUP($B10,$R$3:$X$9,2,FALSE)</f>
        <v>11.6</v>
      </c>
      <c r="T10" s="472">
        <f t="shared" ref="T10:T16" si="2">VLOOKUP($B10,$R$3:$X$9,3,FALSE)</f>
        <v>12</v>
      </c>
      <c r="U10" s="297">
        <f t="shared" ref="U10:U16" si="3">VLOOKUP($B10,$R$3:$X$9,4,FALSE)</f>
        <v>0</v>
      </c>
      <c r="V10" s="297">
        <f t="shared" ref="V10:V16" si="4">VLOOKUP($B10,$R$3:$X$9,5,FALSE)</f>
        <v>0.118055555555556</v>
      </c>
      <c r="W10" s="297">
        <f t="shared" ref="W10:W16" si="5">VLOOKUP($B10,$R$3:$X$9,6,FALSE)</f>
        <v>0.22569444444444445</v>
      </c>
      <c r="X10" s="297">
        <f t="shared" ref="X10:X16" si="6">VLOOKUP($B10,$R$3:$X$9,7,FALSE)</f>
        <v>0.2638888888888889</v>
      </c>
      <c r="Y10" s="297">
        <f t="shared" ref="Y10:Y16" si="7">VLOOKUP($B10,$R$3:$Z$9,8,FALSE)</f>
        <v>0</v>
      </c>
      <c r="Z10" s="472">
        <f t="shared" ref="Z10:Z16" si="8">VLOOKUP($B10,$R$3:$Z$9,9,FALSE)</f>
        <v>60</v>
      </c>
    </row>
    <row r="11" spans="2:29" ht="15" customHeight="1">
      <c r="B11" s="33" t="s">
        <v>9</v>
      </c>
      <c r="C11" s="366" t="str">
        <f>[5]Brewhouse!$A364</f>
        <v>ST306</v>
      </c>
      <c r="D11" s="279">
        <f>[5]Brewhouse!$AB364</f>
        <v>53</v>
      </c>
      <c r="E11" s="279">
        <f>[5]Brewhouse!$AG364</f>
        <v>49.2</v>
      </c>
      <c r="F11" s="278">
        <f>[5]Brewhouse!$V364</f>
        <v>61</v>
      </c>
      <c r="G11" s="279">
        <f>[5]Brewhouse!$AE364</f>
        <v>11.8</v>
      </c>
      <c r="H11" s="396">
        <v>11.8</v>
      </c>
      <c r="I11" s="368">
        <f>[5]Brewhouse!$AS364</f>
        <v>98.269552186475522</v>
      </c>
      <c r="J11" s="368">
        <f>[5]Brewhouse!$AT364</f>
        <v>98.903500569577076</v>
      </c>
      <c r="K11" s="281">
        <f>[5]Brewhouse!$Q364</f>
        <v>9.3867924528301909</v>
      </c>
      <c r="L11" s="276">
        <f>[5]Brewhouse!$P364</f>
        <v>60</v>
      </c>
      <c r="M11" s="374">
        <f>[5]Brewhouse!$U364-[5]Brewhouse!$T364</f>
        <v>0.11736111111111108</v>
      </c>
      <c r="N11" s="370">
        <f>[5]Brewhouse!$AW364</f>
        <v>0.28680555555555554</v>
      </c>
      <c r="O11" s="420" t="str">
        <f>[5]Brewhouse!$AV364</f>
        <v>R. Regis</v>
      </c>
      <c r="P11" s="418"/>
      <c r="R11" s="277" t="str">
        <f t="shared" si="0"/>
        <v>STAG</v>
      </c>
      <c r="S11" s="472">
        <f t="shared" si="1"/>
        <v>11.6</v>
      </c>
      <c r="T11" s="472">
        <f t="shared" si="2"/>
        <v>12</v>
      </c>
      <c r="U11" s="297">
        <f t="shared" si="3"/>
        <v>0</v>
      </c>
      <c r="V11" s="297">
        <f t="shared" si="4"/>
        <v>0.118055555555556</v>
      </c>
      <c r="W11" s="297">
        <f t="shared" si="5"/>
        <v>0.22569444444444445</v>
      </c>
      <c r="X11" s="297">
        <f t="shared" si="6"/>
        <v>0.2638888888888889</v>
      </c>
      <c r="Y11" s="297">
        <f t="shared" si="7"/>
        <v>0</v>
      </c>
      <c r="Z11" s="472">
        <f t="shared" si="8"/>
        <v>60</v>
      </c>
    </row>
    <row r="12" spans="2:29" ht="15" customHeight="1">
      <c r="B12" s="33" t="s">
        <v>9</v>
      </c>
      <c r="C12" s="366" t="str">
        <f>[5]Brewhouse!$A365</f>
        <v>ST307</v>
      </c>
      <c r="D12" s="279">
        <f>[5]Brewhouse!$AB365</f>
        <v>53</v>
      </c>
      <c r="E12" s="279">
        <f>[5]Brewhouse!$AG365</f>
        <v>50.4</v>
      </c>
      <c r="F12" s="278">
        <f>[5]Brewhouse!$V365</f>
        <v>62</v>
      </c>
      <c r="G12" s="279">
        <f>[5]Brewhouse!$AE365</f>
        <v>11.8</v>
      </c>
      <c r="H12" s="396">
        <v>11.8</v>
      </c>
      <c r="I12" s="368">
        <f>[5]Brewhouse!$AS365</f>
        <v>99.989796775773399</v>
      </c>
      <c r="J12" s="368">
        <f>[5]Brewhouse!$AT365</f>
        <v>101.31578107127406</v>
      </c>
      <c r="K12" s="281">
        <f>[5]Brewhouse!$Q365</f>
        <v>8.632075471698105</v>
      </c>
      <c r="L12" s="276">
        <f>[5]Brewhouse!$P365</f>
        <v>59</v>
      </c>
      <c r="M12" s="374">
        <f>[5]Brewhouse!$U365-[5]Brewhouse!$T365</f>
        <v>0.12013888888888896</v>
      </c>
      <c r="N12" s="370">
        <f>[5]Brewhouse!$AW365</f>
        <v>0.30625000000000002</v>
      </c>
      <c r="O12" s="420" t="str">
        <f>[5]Brewhouse!$AV365</f>
        <v>R.Sookram</v>
      </c>
      <c r="P12" s="418"/>
      <c r="R12" s="277" t="str">
        <f t="shared" si="0"/>
        <v>STAG</v>
      </c>
      <c r="S12" s="472">
        <f t="shared" si="1"/>
        <v>11.6</v>
      </c>
      <c r="T12" s="472">
        <f t="shared" si="2"/>
        <v>12</v>
      </c>
      <c r="U12" s="297">
        <f t="shared" si="3"/>
        <v>0</v>
      </c>
      <c r="V12" s="297">
        <f t="shared" si="4"/>
        <v>0.118055555555556</v>
      </c>
      <c r="W12" s="297">
        <f t="shared" si="5"/>
        <v>0.22569444444444445</v>
      </c>
      <c r="X12" s="297">
        <f t="shared" si="6"/>
        <v>0.2638888888888889</v>
      </c>
      <c r="Y12" s="297">
        <f t="shared" si="7"/>
        <v>0</v>
      </c>
      <c r="Z12" s="472">
        <f t="shared" si="8"/>
        <v>60</v>
      </c>
    </row>
    <row r="13" spans="2:29" ht="15" customHeight="1">
      <c r="B13" s="33" t="s">
        <v>9</v>
      </c>
      <c r="C13" s="366" t="str">
        <f>[5]Brewhouse!$A366</f>
        <v>ST308</v>
      </c>
      <c r="D13" s="279">
        <f>[5]Brewhouse!$AB366</f>
        <v>53</v>
      </c>
      <c r="E13" s="279">
        <f>[5]Brewhouse!$AG366</f>
        <v>49.7</v>
      </c>
      <c r="F13" s="278">
        <f>[5]Brewhouse!$V366</f>
        <v>54</v>
      </c>
      <c r="G13" s="279">
        <f>[5]Brewhouse!$AE366</f>
        <v>11.8</v>
      </c>
      <c r="H13" s="396">
        <v>11.8</v>
      </c>
      <c r="I13" s="368">
        <f>[5]Brewhouse!$AS366</f>
        <v>99.103260744156756</v>
      </c>
      <c r="J13" s="368">
        <f>[5]Brewhouse!$AT366</f>
        <v>100.41571882956903</v>
      </c>
      <c r="K13" s="281">
        <f>[5]Brewhouse!$Q366</f>
        <v>8.4433962264150964</v>
      </c>
      <c r="L13" s="276">
        <f>[5]Brewhouse!$P366</f>
        <v>59</v>
      </c>
      <c r="M13" s="374">
        <f>[5]Brewhouse!$U366-[5]Brewhouse!$T366</f>
        <v>0.10833333333333328</v>
      </c>
      <c r="N13" s="370">
        <f>[5]Brewhouse!$AW366</f>
        <v>0.29791666666666661</v>
      </c>
      <c r="O13" s="420" t="str">
        <f>[5]Brewhouse!$AV366</f>
        <v>R.Sookram</v>
      </c>
      <c r="P13" s="418"/>
      <c r="R13" s="277" t="str">
        <f t="shared" si="0"/>
        <v>STAG</v>
      </c>
      <c r="S13" s="472">
        <f t="shared" si="1"/>
        <v>11.6</v>
      </c>
      <c r="T13" s="472">
        <f t="shared" si="2"/>
        <v>12</v>
      </c>
      <c r="U13" s="297">
        <f t="shared" si="3"/>
        <v>0</v>
      </c>
      <c r="V13" s="297">
        <f t="shared" si="4"/>
        <v>0.118055555555556</v>
      </c>
      <c r="W13" s="297">
        <f t="shared" si="5"/>
        <v>0.22569444444444445</v>
      </c>
      <c r="X13" s="297">
        <f t="shared" si="6"/>
        <v>0.2638888888888889</v>
      </c>
      <c r="Y13" s="297">
        <f t="shared" si="7"/>
        <v>0</v>
      </c>
      <c r="Z13" s="472">
        <f t="shared" si="8"/>
        <v>60</v>
      </c>
    </row>
    <row r="14" spans="2:29" ht="15" customHeight="1">
      <c r="B14" s="33" t="s">
        <v>9</v>
      </c>
      <c r="C14" s="366" t="str">
        <f>[5]Brewhouse!$A367</f>
        <v>ST309</v>
      </c>
      <c r="D14" s="279">
        <f>[5]Brewhouse!$AB367</f>
        <v>53</v>
      </c>
      <c r="E14" s="279">
        <f>[5]Brewhouse!$AG367</f>
        <v>49.8</v>
      </c>
      <c r="F14" s="278">
        <f>[5]Brewhouse!$V367</f>
        <v>56</v>
      </c>
      <c r="G14" s="279">
        <f>[5]Brewhouse!$AE367</f>
        <v>11.9</v>
      </c>
      <c r="H14" s="396">
        <v>11.9</v>
      </c>
      <c r="I14" s="368">
        <f>[5]Brewhouse!$AS367</f>
        <v>99.933359063716594</v>
      </c>
      <c r="J14" s="368">
        <f>[5]Brewhouse!$AT367</f>
        <v>101.2577049337968</v>
      </c>
      <c r="K14" s="281">
        <f>[5]Brewhouse!$Q367</f>
        <v>8.4433962264150964</v>
      </c>
      <c r="L14" s="276">
        <f>[5]Brewhouse!$P367</f>
        <v>61</v>
      </c>
      <c r="M14" s="374">
        <f>[5]Brewhouse!$U367-[5]Brewhouse!$T367</f>
        <v>0.10902777777777783</v>
      </c>
      <c r="N14" s="370">
        <f>[5]Brewhouse!$AW367</f>
        <v>0.24930555555555556</v>
      </c>
      <c r="O14" s="420" t="str">
        <f>[5]Brewhouse!$AV367</f>
        <v>R.Sookram</v>
      </c>
      <c r="P14" s="418"/>
      <c r="R14" s="277" t="str">
        <f t="shared" si="0"/>
        <v>STAG</v>
      </c>
      <c r="S14" s="472">
        <f t="shared" si="1"/>
        <v>11.6</v>
      </c>
      <c r="T14" s="472">
        <f t="shared" si="2"/>
        <v>12</v>
      </c>
      <c r="U14" s="297">
        <f t="shared" si="3"/>
        <v>0</v>
      </c>
      <c r="V14" s="297">
        <f t="shared" si="4"/>
        <v>0.118055555555556</v>
      </c>
      <c r="W14" s="297">
        <f t="shared" si="5"/>
        <v>0.22569444444444445</v>
      </c>
      <c r="X14" s="297">
        <f t="shared" si="6"/>
        <v>0.2638888888888889</v>
      </c>
      <c r="Y14" s="297">
        <f t="shared" si="7"/>
        <v>0</v>
      </c>
      <c r="Z14" s="472">
        <f t="shared" si="8"/>
        <v>60</v>
      </c>
    </row>
    <row r="15" spans="2:29" ht="15" customHeight="1">
      <c r="B15" s="33" t="s">
        <v>9</v>
      </c>
      <c r="C15" s="366" t="str">
        <f>[5]Brewhouse!$A368</f>
        <v>ST310</v>
      </c>
      <c r="D15" s="279">
        <f>[5]Brewhouse!$AB368</f>
        <v>53</v>
      </c>
      <c r="E15" s="279">
        <f>[5]Brewhouse!$AG368</f>
        <v>51.3</v>
      </c>
      <c r="F15" s="278">
        <f>[5]Brewhouse!$V368</f>
        <v>59</v>
      </c>
      <c r="G15" s="279">
        <f>[5]Brewhouse!$AE368</f>
        <v>11.9</v>
      </c>
      <c r="H15" s="396">
        <v>11.9</v>
      </c>
      <c r="I15" s="368">
        <f>[5]Brewhouse!$AS368</f>
        <v>103.33714761585293</v>
      </c>
      <c r="J15" s="368">
        <f>[5]Brewhouse!$AT368</f>
        <v>104.70521224853189</v>
      </c>
      <c r="K15" s="281">
        <f>[5]Brewhouse!$Q368</f>
        <v>5.2358490566037714</v>
      </c>
      <c r="L15" s="276">
        <f>[5]Brewhouse!$P368</f>
        <v>61</v>
      </c>
      <c r="M15" s="374">
        <f>[5]Brewhouse!$U368-[5]Brewhouse!$T368</f>
        <v>0.12291666666666667</v>
      </c>
      <c r="N15" s="370">
        <f>[5]Brewhouse!$AW368</f>
        <v>0.27083333333333337</v>
      </c>
      <c r="O15" s="420" t="str">
        <f>[5]Brewhouse!$AV368</f>
        <v>K. Benjamin</v>
      </c>
      <c r="P15" s="418"/>
      <c r="R15" s="277" t="str">
        <f t="shared" si="0"/>
        <v>STAG</v>
      </c>
      <c r="S15" s="472">
        <f t="shared" si="1"/>
        <v>11.6</v>
      </c>
      <c r="T15" s="472">
        <f t="shared" si="2"/>
        <v>12</v>
      </c>
      <c r="U15" s="297">
        <f t="shared" si="3"/>
        <v>0</v>
      </c>
      <c r="V15" s="297">
        <f t="shared" si="4"/>
        <v>0.118055555555556</v>
      </c>
      <c r="W15" s="297">
        <f t="shared" si="5"/>
        <v>0.22569444444444445</v>
      </c>
      <c r="X15" s="297">
        <f t="shared" si="6"/>
        <v>0.2638888888888889</v>
      </c>
      <c r="Y15" s="297">
        <f t="shared" si="7"/>
        <v>0</v>
      </c>
      <c r="Z15" s="472">
        <f t="shared" si="8"/>
        <v>60</v>
      </c>
    </row>
    <row r="16" spans="2:29" ht="15" customHeight="1">
      <c r="B16" s="33" t="s">
        <v>9</v>
      </c>
      <c r="C16" s="366" t="str">
        <f>[5]Brewhouse!$A369</f>
        <v>ST311</v>
      </c>
      <c r="D16" s="279">
        <f>[5]Brewhouse!$AB369</f>
        <v>53</v>
      </c>
      <c r="E16" s="279">
        <f>[5]Brewhouse!$AG369</f>
        <v>52.6</v>
      </c>
      <c r="F16" s="278">
        <f>[5]Brewhouse!$V369</f>
        <v>56</v>
      </c>
      <c r="G16" s="279">
        <f>[5]Brewhouse!$AE369</f>
        <v>11.7</v>
      </c>
      <c r="H16" s="396">
        <v>11.8</v>
      </c>
      <c r="I16" s="368">
        <f>[5]Brewhouse!$AS369</f>
        <v>103.81878537188666</v>
      </c>
      <c r="J16" s="368">
        <f>[5]Brewhouse!$AT369</f>
        <v>105.19415798265723</v>
      </c>
      <c r="K16" s="281">
        <f>[5]Brewhouse!$Q369</f>
        <v>5.2358490566037714</v>
      </c>
      <c r="L16" s="276">
        <f>[5]Brewhouse!$P369</f>
        <v>60</v>
      </c>
      <c r="M16" s="374">
        <f>[5]Brewhouse!$U369-[5]Brewhouse!$T369</f>
        <v>0.13611111111111096</v>
      </c>
      <c r="N16" s="370">
        <f>[5]Brewhouse!$AW369</f>
        <v>0.27916666666666656</v>
      </c>
      <c r="O16" s="420" t="str">
        <f>[5]Brewhouse!$AV369</f>
        <v>K. Benjamin</v>
      </c>
      <c r="P16" s="418"/>
      <c r="R16" s="277" t="str">
        <f t="shared" si="0"/>
        <v>STAG</v>
      </c>
      <c r="S16" s="472">
        <f t="shared" si="1"/>
        <v>11.6</v>
      </c>
      <c r="T16" s="472">
        <f t="shared" si="2"/>
        <v>12</v>
      </c>
      <c r="U16" s="297">
        <f t="shared" si="3"/>
        <v>0</v>
      </c>
      <c r="V16" s="297">
        <f t="shared" si="4"/>
        <v>0.118055555555556</v>
      </c>
      <c r="W16" s="297">
        <f t="shared" si="5"/>
        <v>0.22569444444444445</v>
      </c>
      <c r="X16" s="297">
        <f t="shared" si="6"/>
        <v>0.2638888888888889</v>
      </c>
      <c r="Y16" s="297">
        <f t="shared" si="7"/>
        <v>0</v>
      </c>
      <c r="Z16" s="472">
        <f t="shared" si="8"/>
        <v>60</v>
      </c>
    </row>
    <row r="17" spans="1:27" ht="15" customHeight="1">
      <c r="B17" s="33" t="s">
        <v>9</v>
      </c>
      <c r="C17" s="366" t="str">
        <f>[5]Brewhouse!$A370</f>
        <v>ST312</v>
      </c>
      <c r="D17" s="279">
        <f>[5]Brewhouse!$AB370</f>
        <v>53</v>
      </c>
      <c r="E17" s="279">
        <f>[5]Brewhouse!$AG370</f>
        <v>50.2</v>
      </c>
      <c r="F17" s="278">
        <f>[5]Brewhouse!$V370</f>
        <v>60</v>
      </c>
      <c r="G17" s="279">
        <f>[5]Brewhouse!$AE370</f>
        <v>12</v>
      </c>
      <c r="H17" s="396">
        <v>12</v>
      </c>
      <c r="I17" s="368">
        <f>[5]Brewhouse!$AS370</f>
        <v>101.75531402615744</v>
      </c>
      <c r="J17" s="368">
        <f>[5]Brewhouse!$AT370</f>
        <v>103.10335013937737</v>
      </c>
      <c r="K17" s="281">
        <f>[5]Brewhouse!$Q370</f>
        <v>7.3113207547169807</v>
      </c>
      <c r="L17" s="276">
        <f>[5]Brewhouse!$P370</f>
        <v>61</v>
      </c>
      <c r="M17" s="374">
        <f>[5]Brewhouse!$U370-[5]Brewhouse!$T370</f>
        <v>0.11875000000000013</v>
      </c>
      <c r="N17" s="370">
        <f>[5]Brewhouse!$AW370</f>
        <v>0.30625000000000002</v>
      </c>
      <c r="O17" s="420" t="str">
        <f>[5]Brewhouse!$AV370</f>
        <v>K. Benjamin</v>
      </c>
      <c r="P17" s="418"/>
      <c r="R17" s="277" t="str">
        <f t="shared" ref="R17:R35" si="9">B17</f>
        <v>STAG</v>
      </c>
      <c r="S17" s="472">
        <f t="shared" ref="S17:S35" si="10">VLOOKUP($B17,$R$3:$X$9,2,FALSE)</f>
        <v>11.6</v>
      </c>
      <c r="T17" s="472">
        <f t="shared" ref="T17:T35" si="11">VLOOKUP($B17,$R$3:$X$9,3,FALSE)</f>
        <v>12</v>
      </c>
      <c r="U17" s="297">
        <f t="shared" ref="U17:U35" si="12">VLOOKUP($B17,$R$3:$X$9,4,FALSE)</f>
        <v>0</v>
      </c>
      <c r="V17" s="297">
        <f t="shared" ref="V17:V35" si="13">VLOOKUP($B17,$R$3:$X$9,5,FALSE)</f>
        <v>0.118055555555556</v>
      </c>
      <c r="W17" s="297">
        <f t="shared" ref="W17:W35" si="14">VLOOKUP($B17,$R$3:$X$9,6,FALSE)</f>
        <v>0.22569444444444445</v>
      </c>
      <c r="X17" s="297">
        <f t="shared" ref="X17:X35" si="15">VLOOKUP($B17,$R$3:$X$9,7,FALSE)</f>
        <v>0.2638888888888889</v>
      </c>
      <c r="Y17" s="297">
        <f t="shared" ref="Y17:Y35" si="16">VLOOKUP($B17,$R$3:$Z$9,8,FALSE)</f>
        <v>0</v>
      </c>
      <c r="Z17" s="472">
        <f t="shared" ref="Z17:Z35" si="17">VLOOKUP($B17,$R$3:$Z$9,9,FALSE)</f>
        <v>60</v>
      </c>
    </row>
    <row r="18" spans="1:27" ht="15" customHeight="1">
      <c r="B18" s="33" t="s">
        <v>9</v>
      </c>
      <c r="C18" s="366" t="str">
        <f>[5]Brewhouse!$A371</f>
        <v>ST313</v>
      </c>
      <c r="D18" s="279">
        <f>[5]Brewhouse!$AB371</f>
        <v>53</v>
      </c>
      <c r="E18" s="279">
        <f>[5]Brewhouse!$AG371</f>
        <v>49.8</v>
      </c>
      <c r="F18" s="278">
        <f>[5]Brewhouse!$V371</f>
        <v>60</v>
      </c>
      <c r="G18" s="279">
        <f>[5]Brewhouse!$AE371</f>
        <v>11.8</v>
      </c>
      <c r="H18" s="396">
        <v>11.9</v>
      </c>
      <c r="I18" s="368">
        <f>[5]Brewhouse!$AS371</f>
        <v>99.050413722591401</v>
      </c>
      <c r="J18" s="368">
        <f>[5]Brewhouse!$AT371</f>
        <v>100.3630585448235</v>
      </c>
      <c r="K18" s="281">
        <f>[5]Brewhouse!$Q371</f>
        <v>8.2547169811320753</v>
      </c>
      <c r="L18" s="276">
        <f>[5]Brewhouse!$P371</f>
        <v>61</v>
      </c>
      <c r="M18" s="374">
        <f>[5]Brewhouse!$U371-[5]Brewhouse!$T371</f>
        <v>0.1479166666666667</v>
      </c>
      <c r="N18" s="370">
        <f>[5]Brewhouse!$AW371</f>
        <v>0.36041666666666672</v>
      </c>
      <c r="O18" s="420" t="str">
        <f>[5]Brewhouse!$AV371</f>
        <v>K. Benjamin</v>
      </c>
      <c r="P18" s="418"/>
      <c r="R18" s="277" t="str">
        <f t="shared" si="9"/>
        <v>STAG</v>
      </c>
      <c r="S18" s="472">
        <f t="shared" si="10"/>
        <v>11.6</v>
      </c>
      <c r="T18" s="472">
        <f t="shared" si="11"/>
        <v>12</v>
      </c>
      <c r="U18" s="297">
        <f t="shared" si="12"/>
        <v>0</v>
      </c>
      <c r="V18" s="297">
        <f t="shared" si="13"/>
        <v>0.118055555555556</v>
      </c>
      <c r="W18" s="297">
        <f t="shared" si="14"/>
        <v>0.22569444444444445</v>
      </c>
      <c r="X18" s="297">
        <f t="shared" si="15"/>
        <v>0.2638888888888889</v>
      </c>
      <c r="Y18" s="297">
        <f t="shared" si="16"/>
        <v>0</v>
      </c>
      <c r="Z18" s="472">
        <f t="shared" si="17"/>
        <v>60</v>
      </c>
    </row>
    <row r="19" spans="1:27" ht="15" customHeight="1">
      <c r="B19" s="33"/>
      <c r="C19" s="366"/>
      <c r="D19" s="279"/>
      <c r="E19" s="279"/>
      <c r="F19" s="278"/>
      <c r="G19" s="279"/>
      <c r="H19" s="396"/>
      <c r="I19" s="368"/>
      <c r="J19" s="368"/>
      <c r="K19" s="281"/>
      <c r="L19" s="276"/>
      <c r="M19" s="374"/>
      <c r="N19" s="370"/>
      <c r="O19" s="420"/>
      <c r="P19" s="418"/>
      <c r="R19" s="277">
        <f t="shared" si="9"/>
        <v>0</v>
      </c>
      <c r="S19" s="472" t="e">
        <f t="shared" si="10"/>
        <v>#N/A</v>
      </c>
      <c r="T19" s="472" t="e">
        <f t="shared" si="11"/>
        <v>#N/A</v>
      </c>
      <c r="U19" s="297" t="e">
        <f t="shared" si="12"/>
        <v>#N/A</v>
      </c>
      <c r="V19" s="297" t="e">
        <f t="shared" si="13"/>
        <v>#N/A</v>
      </c>
      <c r="W19" s="297" t="e">
        <f t="shared" si="14"/>
        <v>#N/A</v>
      </c>
      <c r="X19" s="297" t="e">
        <f t="shared" si="15"/>
        <v>#N/A</v>
      </c>
      <c r="Y19" s="297" t="e">
        <f t="shared" si="16"/>
        <v>#N/A</v>
      </c>
      <c r="Z19" s="472" t="e">
        <f t="shared" si="17"/>
        <v>#N/A</v>
      </c>
    </row>
    <row r="20" spans="1:27" ht="15" customHeight="1">
      <c r="B20" s="36"/>
      <c r="C20" s="366"/>
      <c r="D20" s="279"/>
      <c r="E20" s="279"/>
      <c r="F20" s="278"/>
      <c r="G20" s="279"/>
      <c r="H20" s="396"/>
      <c r="I20" s="489"/>
      <c r="J20" s="489"/>
      <c r="K20" s="490"/>
      <c r="L20" s="276"/>
      <c r="M20" s="374"/>
      <c r="N20" s="370"/>
      <c r="O20" s="420"/>
      <c r="P20" s="418"/>
      <c r="R20" s="277">
        <f t="shared" si="9"/>
        <v>0</v>
      </c>
      <c r="S20" s="472" t="e">
        <f t="shared" si="10"/>
        <v>#N/A</v>
      </c>
      <c r="T20" s="472" t="e">
        <f t="shared" si="11"/>
        <v>#N/A</v>
      </c>
      <c r="U20" s="297" t="e">
        <f t="shared" si="12"/>
        <v>#N/A</v>
      </c>
      <c r="V20" s="297" t="e">
        <f t="shared" si="13"/>
        <v>#N/A</v>
      </c>
      <c r="W20" s="297" t="e">
        <f t="shared" si="14"/>
        <v>#N/A</v>
      </c>
      <c r="X20" s="297" t="e">
        <f t="shared" si="15"/>
        <v>#N/A</v>
      </c>
      <c r="Y20" s="297" t="e">
        <f t="shared" si="16"/>
        <v>#N/A</v>
      </c>
      <c r="Z20" s="472" t="e">
        <f t="shared" si="17"/>
        <v>#N/A</v>
      </c>
    </row>
    <row r="21" spans="1:27" ht="15" customHeight="1">
      <c r="B21" s="36"/>
      <c r="C21" s="366"/>
      <c r="D21" s="279"/>
      <c r="E21" s="279"/>
      <c r="F21" s="278"/>
      <c r="G21" s="279"/>
      <c r="H21" s="396"/>
      <c r="I21" s="489"/>
      <c r="J21" s="489"/>
      <c r="K21" s="490"/>
      <c r="L21" s="276"/>
      <c r="M21" s="374"/>
      <c r="N21" s="370"/>
      <c r="O21" s="420"/>
      <c r="P21" s="418"/>
      <c r="R21" s="277">
        <f t="shared" si="9"/>
        <v>0</v>
      </c>
      <c r="S21" s="472" t="e">
        <f t="shared" si="10"/>
        <v>#N/A</v>
      </c>
      <c r="T21" s="472" t="e">
        <f t="shared" si="11"/>
        <v>#N/A</v>
      </c>
      <c r="U21" s="297" t="e">
        <f t="shared" si="12"/>
        <v>#N/A</v>
      </c>
      <c r="V21" s="297" t="e">
        <f t="shared" si="13"/>
        <v>#N/A</v>
      </c>
      <c r="W21" s="297" t="e">
        <f t="shared" si="14"/>
        <v>#N/A</v>
      </c>
      <c r="X21" s="297" t="e">
        <f t="shared" si="15"/>
        <v>#N/A</v>
      </c>
      <c r="Y21" s="297" t="e">
        <f t="shared" si="16"/>
        <v>#N/A</v>
      </c>
      <c r="Z21" s="472" t="e">
        <f t="shared" si="17"/>
        <v>#N/A</v>
      </c>
    </row>
    <row r="22" spans="1:27" ht="17.25" customHeight="1" thickBot="1">
      <c r="B22" s="358"/>
      <c r="C22" s="358"/>
      <c r="D22" s="358"/>
      <c r="E22" s="358"/>
      <c r="F22" s="294"/>
      <c r="G22" s="294"/>
      <c r="H22" s="348"/>
      <c r="I22" s="535"/>
      <c r="J22" s="535"/>
      <c r="K22" s="535"/>
      <c r="L22" s="535"/>
      <c r="M22" s="535"/>
      <c r="N22" s="535"/>
      <c r="O22" s="1"/>
      <c r="P22" s="12"/>
      <c r="R22" s="277">
        <f t="shared" si="9"/>
        <v>0</v>
      </c>
      <c r="S22" s="472" t="e">
        <f t="shared" si="10"/>
        <v>#N/A</v>
      </c>
      <c r="T22" s="472" t="e">
        <f t="shared" si="11"/>
        <v>#N/A</v>
      </c>
      <c r="U22" s="297" t="e">
        <f t="shared" si="12"/>
        <v>#N/A</v>
      </c>
      <c r="V22" s="297" t="e">
        <f t="shared" si="13"/>
        <v>#N/A</v>
      </c>
      <c r="W22" s="297" t="e">
        <f t="shared" si="14"/>
        <v>#N/A</v>
      </c>
      <c r="X22" s="297" t="e">
        <f t="shared" si="15"/>
        <v>#N/A</v>
      </c>
      <c r="Y22" s="297" t="e">
        <f t="shared" si="16"/>
        <v>#N/A</v>
      </c>
      <c r="Z22" s="472" t="e">
        <f t="shared" si="17"/>
        <v>#N/A</v>
      </c>
    </row>
    <row r="23" spans="1:27" ht="17.25" customHeight="1" thickBot="1">
      <c r="B23" s="483" t="s">
        <v>162</v>
      </c>
      <c r="C23" s="388"/>
      <c r="D23" s="536" t="s">
        <v>35</v>
      </c>
      <c r="E23" s="537"/>
      <c r="F23" s="294"/>
      <c r="G23" s="294"/>
      <c r="H23" s="348"/>
      <c r="I23" s="24" t="s">
        <v>17</v>
      </c>
      <c r="J23" s="25"/>
      <c r="K23" s="26" t="s">
        <v>138</v>
      </c>
      <c r="L23" s="25" t="s">
        <v>37</v>
      </c>
      <c r="M23" s="25" t="s">
        <v>38</v>
      </c>
      <c r="N23" s="27" t="s">
        <v>39</v>
      </c>
      <c r="O23" s="294"/>
      <c r="P23" s="12"/>
      <c r="R23" s="277" t="str">
        <f t="shared" si="9"/>
        <v xml:space="preserve">BRAND </v>
      </c>
      <c r="S23" s="472" t="e">
        <f t="shared" si="10"/>
        <v>#N/A</v>
      </c>
      <c r="T23" s="472" t="e">
        <f t="shared" si="11"/>
        <v>#N/A</v>
      </c>
      <c r="U23" s="297" t="e">
        <f t="shared" si="12"/>
        <v>#N/A</v>
      </c>
      <c r="V23" s="297" t="e">
        <f t="shared" si="13"/>
        <v>#N/A</v>
      </c>
      <c r="W23" s="297" t="e">
        <f t="shared" si="14"/>
        <v>#N/A</v>
      </c>
      <c r="X23" s="297" t="e">
        <f t="shared" si="15"/>
        <v>#N/A</v>
      </c>
      <c r="Y23" s="297" t="e">
        <f t="shared" si="16"/>
        <v>#N/A</v>
      </c>
      <c r="Z23" s="472" t="e">
        <f t="shared" si="17"/>
        <v>#N/A</v>
      </c>
    </row>
    <row r="24" spans="1:27" ht="17.25" customHeight="1">
      <c r="A24" s="28"/>
      <c r="B24" s="538"/>
      <c r="C24" s="484"/>
      <c r="D24" s="523"/>
      <c r="E24" s="524"/>
      <c r="F24" s="294"/>
      <c r="G24" s="294"/>
      <c r="H24" s="348"/>
      <c r="I24" s="29" t="s">
        <v>6</v>
      </c>
      <c r="J24" s="323"/>
      <c r="K24" s="284">
        <f>COUNTA([4]Brewhouse!$A$696:$A$715)</f>
        <v>20</v>
      </c>
      <c r="L24" s="305">
        <f>AVERAGE([4]Brewhouse!$AU$696:$AU$715)</f>
        <v>98.440340070586117</v>
      </c>
      <c r="M24" s="305">
        <f>AVERAGE([4]Brewhouse!$AU$42:$AU$123,[4]Brewhouse!$AU$125:$AU$188,[4]Brewhouse!$AU$198:$AU$290,[4]Brewhouse!$AU$292:$AU$370,[4]Brewhouse!$AU$372:$AU$439,[4]Brewhouse!$AU$441:$AU$497,[4]Brewhouse!$AU$499:$AU$519,[4]Brewhouse!$AU$521:$AU$593,[4]Brewhouse!$AU$595:$AU$715)</f>
        <v>98.290599313483128</v>
      </c>
      <c r="N24" s="30">
        <v>98</v>
      </c>
      <c r="O24" s="11"/>
      <c r="P24" s="31"/>
      <c r="R24" s="277">
        <f t="shared" si="9"/>
        <v>0</v>
      </c>
      <c r="S24" s="472" t="e">
        <f t="shared" si="10"/>
        <v>#N/A</v>
      </c>
      <c r="T24" s="472" t="e">
        <f t="shared" si="11"/>
        <v>#N/A</v>
      </c>
      <c r="U24" s="297" t="e">
        <f t="shared" si="12"/>
        <v>#N/A</v>
      </c>
      <c r="V24" s="297" t="e">
        <f t="shared" si="13"/>
        <v>#N/A</v>
      </c>
      <c r="W24" s="297" t="e">
        <f t="shared" si="14"/>
        <v>#N/A</v>
      </c>
      <c r="X24" s="297" t="e">
        <f t="shared" si="15"/>
        <v>#N/A</v>
      </c>
      <c r="Y24" s="297" t="e">
        <f t="shared" si="16"/>
        <v>#N/A</v>
      </c>
      <c r="Z24" s="472" t="e">
        <f t="shared" si="17"/>
        <v>#N/A</v>
      </c>
    </row>
    <row r="25" spans="1:27" ht="15" customHeight="1">
      <c r="A25" s="28"/>
      <c r="B25" s="539"/>
      <c r="C25" s="362"/>
      <c r="D25" s="525"/>
      <c r="E25" s="526"/>
      <c r="F25" s="294"/>
      <c r="G25" s="294"/>
      <c r="H25" s="348"/>
      <c r="I25" s="33" t="s">
        <v>9</v>
      </c>
      <c r="J25" s="323">
        <f>AVERAGE(I10:I18)</f>
        <v>100.1477886899158</v>
      </c>
      <c r="K25" s="284">
        <f>COUNTA([5]Brewhouse!$A$363:$A$371)</f>
        <v>9</v>
      </c>
      <c r="L25" s="302">
        <f>AVERAGE([5]Brewhouse!$AS$363:$AS$371)</f>
        <v>100.1477886899158</v>
      </c>
      <c r="M25" s="302">
        <f>AVERAGE([5]Brewhouse!$AS$52:$AS$81,[5]Brewhouse!$AS$83:$AS$124,[5]Brewhouse!$AS$134:$AS$177,[5]Brewhouse!$AS$22:$AS$179,[5]Brewhouse!$AS$214:$AS$249,[5]Brewhouse!$AS$252:$AS$293,[5]Brewhouse!$AS$295:$AS$325,[5]Brewhouse!$AS$327:$AS$361,[5]Brewhouse!$AS$363:$AS$371)</f>
        <v>98.279874638812842</v>
      </c>
      <c r="N25" s="30">
        <v>98</v>
      </c>
      <c r="O25" s="11"/>
      <c r="P25" s="31"/>
      <c r="R25" s="277">
        <f t="shared" si="9"/>
        <v>0</v>
      </c>
      <c r="S25" s="472" t="e">
        <f t="shared" si="10"/>
        <v>#N/A</v>
      </c>
      <c r="T25" s="472" t="e">
        <f t="shared" si="11"/>
        <v>#N/A</v>
      </c>
      <c r="U25" s="297" t="e">
        <f t="shared" si="12"/>
        <v>#N/A</v>
      </c>
      <c r="V25" s="297" t="e">
        <f t="shared" si="13"/>
        <v>#N/A</v>
      </c>
      <c r="W25" s="297" t="e">
        <f t="shared" si="14"/>
        <v>#N/A</v>
      </c>
      <c r="X25" s="297" t="e">
        <f t="shared" si="15"/>
        <v>#N/A</v>
      </c>
      <c r="Y25" s="297" t="e">
        <f t="shared" si="16"/>
        <v>#N/A</v>
      </c>
      <c r="Z25" s="472" t="e">
        <f t="shared" si="17"/>
        <v>#N/A</v>
      </c>
    </row>
    <row r="26" spans="1:27" ht="14.65" customHeight="1">
      <c r="A26" s="28"/>
      <c r="B26" s="539"/>
      <c r="C26" s="362"/>
      <c r="D26" s="530"/>
      <c r="E26" s="531"/>
      <c r="F26" s="294"/>
      <c r="G26" s="294"/>
      <c r="H26" s="348"/>
      <c r="I26" s="34" t="s">
        <v>12</v>
      </c>
      <c r="J26" s="323"/>
      <c r="K26" s="284"/>
      <c r="L26" s="302"/>
      <c r="M26" s="302">
        <f>AVERAGE([6]Brewhouse!$AU$16:$AU$23,[6]Brewhouse!$AU$25:$AU$32,[6]Brewhouse!$AU$34:$AU$41,[6]Brewhouse!$AU$43:$AU$60,[6]Brewhouse!$AU$62:$AU$69,[6]Brewhouse!$AU$71:$AU$88,[6]Brewhouse!$AU$90:$AU$97)</f>
        <v>96.502171439390338</v>
      </c>
      <c r="N26" s="30">
        <v>98</v>
      </c>
      <c r="O26" s="11"/>
      <c r="P26" s="31"/>
      <c r="R26" s="277">
        <f t="shared" si="9"/>
        <v>0</v>
      </c>
      <c r="S26" s="472" t="e">
        <f t="shared" si="10"/>
        <v>#N/A</v>
      </c>
      <c r="T26" s="472" t="e">
        <f t="shared" si="11"/>
        <v>#N/A</v>
      </c>
      <c r="U26" s="297" t="e">
        <f t="shared" si="12"/>
        <v>#N/A</v>
      </c>
      <c r="V26" s="297" t="e">
        <f t="shared" si="13"/>
        <v>#N/A</v>
      </c>
      <c r="W26" s="297" t="e">
        <f t="shared" si="14"/>
        <v>#N/A</v>
      </c>
      <c r="X26" s="297" t="e">
        <f t="shared" si="15"/>
        <v>#N/A</v>
      </c>
      <c r="Y26" s="297" t="e">
        <f t="shared" si="16"/>
        <v>#N/A</v>
      </c>
      <c r="Z26" s="472" t="e">
        <f t="shared" si="17"/>
        <v>#N/A</v>
      </c>
    </row>
    <row r="27" spans="1:27" ht="14.65" customHeight="1">
      <c r="A27" s="28"/>
      <c r="B27" s="539"/>
      <c r="C27" s="362"/>
      <c r="D27" s="532"/>
      <c r="E27" s="526"/>
      <c r="F27" s="294"/>
      <c r="G27" s="294"/>
      <c r="H27" s="348"/>
      <c r="I27" s="22" t="s">
        <v>33</v>
      </c>
      <c r="J27" s="280"/>
      <c r="K27" s="284"/>
      <c r="L27" s="302"/>
      <c r="M27" s="302">
        <f>AVERAGE([7]Brewhouse!$AV$23:$AV$34,[7]Brewhouse!$AV$36,[7]Brewhouse!$AV$38:$AV$52,[7]Brewhouse!$AV$54:$AV$60,[7]Brewhouse!$AV$62:$AV$69,[7]Brewhouse!$AV$71:$AV$78,[7]Brewhouse!$AV$80:$AV$87,[7]Brewhouse!$AV$89:$AV$96)</f>
        <v>97.559547139003357</v>
      </c>
      <c r="N27" s="30">
        <v>98</v>
      </c>
      <c r="O27" s="11"/>
      <c r="P27" s="31"/>
      <c r="R27" s="277">
        <f t="shared" si="9"/>
        <v>0</v>
      </c>
      <c r="S27" s="472" t="e">
        <f t="shared" si="10"/>
        <v>#N/A</v>
      </c>
      <c r="T27" s="472" t="e">
        <f t="shared" si="11"/>
        <v>#N/A</v>
      </c>
      <c r="U27" s="297" t="e">
        <f t="shared" si="12"/>
        <v>#N/A</v>
      </c>
      <c r="V27" s="297" t="e">
        <f t="shared" si="13"/>
        <v>#N/A</v>
      </c>
      <c r="W27" s="297" t="e">
        <f t="shared" si="14"/>
        <v>#N/A</v>
      </c>
      <c r="X27" s="297" t="e">
        <f t="shared" si="15"/>
        <v>#N/A</v>
      </c>
      <c r="Y27" s="297" t="e">
        <f t="shared" si="16"/>
        <v>#N/A</v>
      </c>
      <c r="Z27" s="472" t="e">
        <f t="shared" si="17"/>
        <v>#N/A</v>
      </c>
    </row>
    <row r="28" spans="1:27" ht="14.65" customHeight="1">
      <c r="A28" s="28"/>
      <c r="B28" s="539"/>
      <c r="C28" s="362"/>
      <c r="D28" s="530"/>
      <c r="E28" s="531"/>
      <c r="F28" s="294"/>
      <c r="G28" s="294"/>
      <c r="H28" s="348"/>
      <c r="I28" s="35" t="s">
        <v>29</v>
      </c>
      <c r="J28" s="280"/>
      <c r="K28" s="284"/>
      <c r="L28" s="302"/>
      <c r="M28" s="302"/>
      <c r="N28" s="30">
        <v>98</v>
      </c>
      <c r="O28" s="11"/>
      <c r="P28" s="31"/>
      <c r="R28" s="277">
        <f t="shared" si="9"/>
        <v>0</v>
      </c>
      <c r="S28" s="472" t="e">
        <f t="shared" si="10"/>
        <v>#N/A</v>
      </c>
      <c r="T28" s="472" t="e">
        <f t="shared" si="11"/>
        <v>#N/A</v>
      </c>
      <c r="U28" s="297" t="e">
        <f t="shared" si="12"/>
        <v>#N/A</v>
      </c>
      <c r="V28" s="297" t="e">
        <f t="shared" si="13"/>
        <v>#N/A</v>
      </c>
      <c r="W28" s="297" t="e">
        <f t="shared" si="14"/>
        <v>#N/A</v>
      </c>
      <c r="X28" s="297" t="e">
        <f t="shared" si="15"/>
        <v>#N/A</v>
      </c>
      <c r="Y28" s="297" t="e">
        <f t="shared" si="16"/>
        <v>#N/A</v>
      </c>
      <c r="Z28" s="472" t="e">
        <f t="shared" si="17"/>
        <v>#N/A</v>
      </c>
    </row>
    <row r="29" spans="1:27" ht="14.65" customHeight="1">
      <c r="A29" s="28"/>
      <c r="B29" s="539"/>
      <c r="C29" s="362"/>
      <c r="D29" s="532"/>
      <c r="E29" s="526"/>
      <c r="F29" s="417"/>
      <c r="G29" s="294"/>
      <c r="H29" s="348"/>
      <c r="I29" s="36" t="s">
        <v>15</v>
      </c>
      <c r="J29" s="323"/>
      <c r="K29" s="284">
        <f>COUNTA([8]Brewhouse!$A$23:$A$30)</f>
        <v>8</v>
      </c>
      <c r="L29" s="302">
        <f>AVERAGE([8]Brewhouse!$AT$23:$AT$30)</f>
        <v>96.065914782338609</v>
      </c>
      <c r="M29" s="302">
        <f>AVERAGE([8]Brewhouse!$AT$4:$AT$11,[8]Brewhouse!$AT$13:$AT$16,[8]Brewhouse!$AT$18:$AT$30)</f>
        <v>93.22262799886262</v>
      </c>
      <c r="N29" s="30">
        <v>98</v>
      </c>
      <c r="O29" s="11"/>
      <c r="P29" s="31"/>
      <c r="R29" s="277">
        <f t="shared" si="9"/>
        <v>0</v>
      </c>
      <c r="S29" s="472" t="e">
        <f t="shared" si="10"/>
        <v>#N/A</v>
      </c>
      <c r="T29" s="472" t="e">
        <f t="shared" si="11"/>
        <v>#N/A</v>
      </c>
      <c r="U29" s="297" t="e">
        <f t="shared" si="12"/>
        <v>#N/A</v>
      </c>
      <c r="V29" s="297" t="e">
        <f t="shared" si="13"/>
        <v>#N/A</v>
      </c>
      <c r="W29" s="297" t="e">
        <f t="shared" si="14"/>
        <v>#N/A</v>
      </c>
      <c r="X29" s="297" t="e">
        <f t="shared" si="15"/>
        <v>#N/A</v>
      </c>
      <c r="Y29" s="297" t="e">
        <f t="shared" si="16"/>
        <v>#N/A</v>
      </c>
      <c r="Z29" s="472" t="e">
        <f t="shared" si="17"/>
        <v>#N/A</v>
      </c>
    </row>
    <row r="30" spans="1:27" ht="14.65" customHeight="1">
      <c r="A30" s="28"/>
      <c r="B30" s="539"/>
      <c r="C30" s="362"/>
      <c r="D30" s="530"/>
      <c r="E30" s="531"/>
      <c r="F30" s="417"/>
      <c r="G30" s="294"/>
      <c r="H30" s="348"/>
      <c r="I30" s="37" t="s">
        <v>16</v>
      </c>
      <c r="J30" s="323"/>
      <c r="K30" s="284"/>
      <c r="L30" s="302"/>
      <c r="M30" s="302">
        <f>AVERAGE([3]Brewhouse!$AY$5:$AY$14,[3]Brewhouse!$AY$16:$AY$23,[3]Brewhouse!$AY$42,[3]Brewhouse!$AY$44:$AY$51,[3]Brewhouse!$AY$53:$AY$64,[3]Brewhouse!$AY$66:$AY$73,[3]Brewhouse!$AY$75:$AY$82,[3]Brewhouse!$AY$84:$AY$101)</f>
        <v>97.784660430003186</v>
      </c>
      <c r="N30" s="30">
        <v>98</v>
      </c>
      <c r="O30" s="11"/>
      <c r="P30" s="31" t="s">
        <v>41</v>
      </c>
      <c r="R30" s="277">
        <f t="shared" si="9"/>
        <v>0</v>
      </c>
      <c r="S30" s="472" t="e">
        <f t="shared" si="10"/>
        <v>#N/A</v>
      </c>
      <c r="T30" s="472" t="e">
        <f t="shared" si="11"/>
        <v>#N/A</v>
      </c>
      <c r="U30" s="297" t="e">
        <f t="shared" si="12"/>
        <v>#N/A</v>
      </c>
      <c r="V30" s="297" t="e">
        <f t="shared" si="13"/>
        <v>#N/A</v>
      </c>
      <c r="W30" s="297" t="e">
        <f t="shared" si="14"/>
        <v>#N/A</v>
      </c>
      <c r="X30" s="297" t="e">
        <f t="shared" si="15"/>
        <v>#N/A</v>
      </c>
      <c r="Y30" s="297" t="e">
        <f t="shared" si="16"/>
        <v>#N/A</v>
      </c>
      <c r="Z30" s="472" t="e">
        <f t="shared" si="17"/>
        <v>#N/A</v>
      </c>
    </row>
    <row r="31" spans="1:27" ht="14.65" customHeight="1">
      <c r="A31" s="28"/>
      <c r="B31" s="539"/>
      <c r="C31" s="362"/>
      <c r="D31" s="532"/>
      <c r="E31" s="526"/>
      <c r="F31" s="294"/>
      <c r="G31" s="294"/>
      <c r="H31" s="348"/>
      <c r="I31" s="411" t="s">
        <v>158</v>
      </c>
      <c r="J31" s="326"/>
      <c r="K31" s="284"/>
      <c r="L31" s="305"/>
      <c r="M31" s="305"/>
      <c r="N31" s="30">
        <v>98</v>
      </c>
      <c r="O31" s="11"/>
      <c r="P31" s="31"/>
      <c r="R31" s="277">
        <f t="shared" si="9"/>
        <v>0</v>
      </c>
      <c r="S31" s="472" t="e">
        <f t="shared" si="10"/>
        <v>#N/A</v>
      </c>
      <c r="T31" s="472" t="e">
        <f t="shared" si="11"/>
        <v>#N/A</v>
      </c>
      <c r="U31" s="297" t="e">
        <f t="shared" si="12"/>
        <v>#N/A</v>
      </c>
      <c r="V31" s="297" t="e">
        <f t="shared" si="13"/>
        <v>#N/A</v>
      </c>
      <c r="W31" s="297" t="e">
        <f t="shared" si="14"/>
        <v>#N/A</v>
      </c>
      <c r="X31" s="297" t="e">
        <f t="shared" si="15"/>
        <v>#N/A</v>
      </c>
      <c r="Y31" s="297" t="e">
        <f t="shared" si="16"/>
        <v>#N/A</v>
      </c>
      <c r="Z31" s="472" t="e">
        <f t="shared" si="17"/>
        <v>#N/A</v>
      </c>
    </row>
    <row r="32" spans="1:27" ht="14.65" customHeight="1">
      <c r="A32" s="28"/>
      <c r="B32" s="539"/>
      <c r="C32" s="362"/>
      <c r="D32" s="530"/>
      <c r="E32" s="531"/>
      <c r="F32" s="294"/>
      <c r="G32" s="294"/>
      <c r="H32" s="348"/>
      <c r="I32" s="410" t="s">
        <v>157</v>
      </c>
      <c r="J32" s="326"/>
      <c r="K32" s="284"/>
      <c r="L32" s="305"/>
      <c r="M32" s="305"/>
      <c r="N32" s="30">
        <v>98</v>
      </c>
      <c r="O32" s="11"/>
      <c r="P32" s="31"/>
      <c r="R32" s="277">
        <f t="shared" si="9"/>
        <v>0</v>
      </c>
      <c r="S32" s="472" t="e">
        <f t="shared" si="10"/>
        <v>#N/A</v>
      </c>
      <c r="T32" s="472" t="e">
        <f t="shared" si="11"/>
        <v>#N/A</v>
      </c>
      <c r="U32" s="297" t="e">
        <f t="shared" si="12"/>
        <v>#N/A</v>
      </c>
      <c r="V32" s="297" t="e">
        <f t="shared" si="13"/>
        <v>#N/A</v>
      </c>
      <c r="W32" s="297" t="e">
        <f t="shared" si="14"/>
        <v>#N/A</v>
      </c>
      <c r="X32" s="297" t="e">
        <f t="shared" si="15"/>
        <v>#N/A</v>
      </c>
      <c r="Y32" s="297" t="e">
        <f t="shared" si="16"/>
        <v>#N/A</v>
      </c>
      <c r="Z32" s="472" t="e">
        <f t="shared" si="17"/>
        <v>#N/A</v>
      </c>
      <c r="AA32" s="472"/>
    </row>
    <row r="33" spans="1:56" ht="15" customHeight="1" thickBot="1">
      <c r="A33" s="28"/>
      <c r="B33" s="539"/>
      <c r="C33" s="362"/>
      <c r="D33" s="532"/>
      <c r="E33" s="526"/>
      <c r="F33" s="294"/>
      <c r="G33" s="294"/>
      <c r="H33" s="348"/>
      <c r="I33" s="406" t="s">
        <v>156</v>
      </c>
      <c r="J33" s="327"/>
      <c r="K33" s="407"/>
      <c r="L33" s="408"/>
      <c r="M33" s="408"/>
      <c r="N33" s="409">
        <v>98</v>
      </c>
      <c r="O33" s="11"/>
      <c r="P33" s="31"/>
      <c r="R33" s="277">
        <f t="shared" si="9"/>
        <v>0</v>
      </c>
      <c r="S33" s="472" t="e">
        <f t="shared" si="10"/>
        <v>#N/A</v>
      </c>
      <c r="T33" s="472" t="e">
        <f t="shared" si="11"/>
        <v>#N/A</v>
      </c>
      <c r="U33" s="297" t="e">
        <f t="shared" si="12"/>
        <v>#N/A</v>
      </c>
      <c r="V33" s="297" t="e">
        <f t="shared" si="13"/>
        <v>#N/A</v>
      </c>
      <c r="W33" s="297" t="e">
        <f t="shared" si="14"/>
        <v>#N/A</v>
      </c>
      <c r="X33" s="297" t="e">
        <f t="shared" si="15"/>
        <v>#N/A</v>
      </c>
      <c r="Y33" s="297" t="e">
        <f t="shared" si="16"/>
        <v>#N/A</v>
      </c>
      <c r="Z33" s="472" t="e">
        <f t="shared" si="17"/>
        <v>#N/A</v>
      </c>
      <c r="AA33" s="472"/>
    </row>
    <row r="34" spans="1:56" ht="15" customHeight="1" thickBot="1">
      <c r="A34" s="28"/>
      <c r="B34" s="539"/>
      <c r="C34" s="349"/>
      <c r="D34" s="523"/>
      <c r="E34" s="524"/>
      <c r="F34" s="294"/>
      <c r="G34" s="294"/>
      <c r="H34" s="348"/>
      <c r="I34" s="1"/>
      <c r="J34" s="39"/>
      <c r="K34" s="404">
        <f>SUM(K24:K33)</f>
        <v>37</v>
      </c>
      <c r="L34" s="405">
        <f>((L24*K24)+(L25*K25)+(L26*K26)+(L27*K27)+(L28*K28)+(K31*L31)+(L29*K29)+(L30*K30)+(L33*K33))/(K34)</f>
        <v>98.342276158910096</v>
      </c>
      <c r="M34" s="405">
        <f>AVERAGE('[9]Jan30th-31st'!$L$42,'[10]Feb 27th-28th'!$L$45,'[11]Mar 31st'!$L$42,'[12]Apr 30th'!$L$41,'[13]May 29th '!$L$35,'[14]June 30th'!$L$32,[15]July31st!$L$36,'[16]Aug 31st'!$L$32,L34)</f>
        <v>98.028261763756205</v>
      </c>
      <c r="N34" s="40">
        <v>98</v>
      </c>
      <c r="O34" s="11"/>
      <c r="P34" s="31"/>
      <c r="R34" s="277">
        <f t="shared" si="9"/>
        <v>0</v>
      </c>
      <c r="S34" s="472" t="e">
        <f t="shared" si="10"/>
        <v>#N/A</v>
      </c>
      <c r="T34" s="472" t="e">
        <f t="shared" si="11"/>
        <v>#N/A</v>
      </c>
      <c r="U34" s="297" t="e">
        <f t="shared" si="12"/>
        <v>#N/A</v>
      </c>
      <c r="V34" s="297" t="e">
        <f t="shared" si="13"/>
        <v>#N/A</v>
      </c>
      <c r="W34" s="297" t="e">
        <f t="shared" si="14"/>
        <v>#N/A</v>
      </c>
      <c r="X34" s="297" t="e">
        <f t="shared" si="15"/>
        <v>#N/A</v>
      </c>
      <c r="Y34" s="297" t="e">
        <f t="shared" si="16"/>
        <v>#N/A</v>
      </c>
      <c r="Z34" s="472" t="e">
        <f t="shared" si="17"/>
        <v>#N/A</v>
      </c>
      <c r="AA34" s="472"/>
    </row>
    <row r="35" spans="1:56" ht="15.75" thickBot="1">
      <c r="B35" s="540"/>
      <c r="C35" s="350"/>
      <c r="D35" s="525"/>
      <c r="E35" s="526"/>
      <c r="F35" s="294"/>
      <c r="G35" s="42"/>
      <c r="H35" s="41"/>
      <c r="I35" s="42"/>
      <c r="J35" s="42"/>
      <c r="K35" s="351"/>
      <c r="L35" s="348"/>
      <c r="M35" s="348"/>
      <c r="N35" s="11"/>
      <c r="O35" s="294"/>
      <c r="P35" s="12"/>
      <c r="R35" s="277">
        <f t="shared" si="9"/>
        <v>0</v>
      </c>
      <c r="S35" s="472" t="e">
        <f t="shared" si="10"/>
        <v>#N/A</v>
      </c>
      <c r="T35" s="472" t="e">
        <f t="shared" si="11"/>
        <v>#N/A</v>
      </c>
      <c r="U35" s="297" t="e">
        <f t="shared" si="12"/>
        <v>#N/A</v>
      </c>
      <c r="V35" s="297" t="e">
        <f t="shared" si="13"/>
        <v>#N/A</v>
      </c>
      <c r="W35" s="297" t="e">
        <f t="shared" si="14"/>
        <v>#N/A</v>
      </c>
      <c r="X35" s="297" t="e">
        <f t="shared" si="15"/>
        <v>#N/A</v>
      </c>
      <c r="Y35" s="297" t="e">
        <f t="shared" si="16"/>
        <v>#N/A</v>
      </c>
      <c r="Z35" s="472" t="e">
        <f t="shared" si="17"/>
        <v>#N/A</v>
      </c>
      <c r="AA35" s="472"/>
    </row>
    <row r="36" spans="1:56" ht="15.75" thickBot="1">
      <c r="B36" s="520"/>
      <c r="C36" s="362"/>
      <c r="D36" s="523"/>
      <c r="E36" s="524"/>
      <c r="F36" s="294"/>
      <c r="G36" s="42"/>
      <c r="H36" s="41"/>
      <c r="I36" s="42"/>
      <c r="J36" s="527" t="s">
        <v>129</v>
      </c>
      <c r="K36" s="527"/>
      <c r="L36" s="294"/>
      <c r="M36" s="294"/>
      <c r="N36" s="294"/>
      <c r="O36" s="294"/>
      <c r="P36" s="12"/>
    </row>
    <row r="37" spans="1:56" ht="15.75" thickBot="1">
      <c r="B37" s="521"/>
      <c r="C37" s="362"/>
      <c r="D37" s="525"/>
      <c r="E37" s="526"/>
      <c r="F37" s="294"/>
      <c r="G37" s="42"/>
      <c r="H37" s="42"/>
      <c r="I37" s="42"/>
      <c r="J37" s="292" t="s">
        <v>17</v>
      </c>
      <c r="K37" s="293"/>
      <c r="L37" s="528" t="s">
        <v>136</v>
      </c>
      <c r="M37" s="528"/>
      <c r="N37" s="529"/>
      <c r="O37" s="294"/>
      <c r="P37" s="12"/>
    </row>
    <row r="38" spans="1:56" ht="15" customHeight="1" thickBot="1">
      <c r="B38" s="521"/>
      <c r="C38" s="349"/>
      <c r="D38" s="530"/>
      <c r="E38" s="531"/>
      <c r="F38" s="294"/>
      <c r="G38" s="42"/>
      <c r="H38" s="42"/>
      <c r="I38" s="42"/>
      <c r="J38" s="287" t="s">
        <v>6</v>
      </c>
      <c r="K38" s="324"/>
      <c r="L38" s="473" t="s">
        <v>37</v>
      </c>
      <c r="M38" s="474" t="s">
        <v>38</v>
      </c>
      <c r="N38" s="474" t="s">
        <v>84</v>
      </c>
      <c r="O38" s="294"/>
      <c r="P38" s="12"/>
    </row>
    <row r="39" spans="1:56" ht="15.75" customHeight="1" thickBot="1">
      <c r="B39" s="521"/>
      <c r="C39" s="349"/>
      <c r="D39" s="532"/>
      <c r="E39" s="526"/>
      <c r="F39" s="294"/>
      <c r="G39" s="42"/>
      <c r="H39" s="42"/>
      <c r="I39" s="42"/>
      <c r="J39" s="345" t="s">
        <v>9</v>
      </c>
      <c r="K39" s="324">
        <v>9</v>
      </c>
      <c r="L39" s="485">
        <f>AVERAGE('Sept 1st'!K45,'Sept 2nd'!K47,'Sept 3rd'!K44,K48)</f>
        <v>8</v>
      </c>
      <c r="M39" s="486">
        <f>AVERAGE('[9]Jan30th-31st'!$L$47,L39,'[10]Feb 26th '!$L$39,'[11]Mar 31st'!$L$47,'[12]Apr 30th'!$L$46,'[13]May 29th '!$L$40,'[14]June 30th'!$L$39,[15]July31st!$L$41,'[16]Aug 31st'!$L$37)</f>
        <v>6.6266781527651091</v>
      </c>
      <c r="N39" s="416">
        <v>9.1999999999999993</v>
      </c>
      <c r="O39" s="294"/>
      <c r="P39" s="12"/>
    </row>
    <row r="40" spans="1:56" ht="15" customHeight="1">
      <c r="B40" s="521"/>
      <c r="C40" s="349"/>
      <c r="D40" s="530"/>
      <c r="E40" s="531"/>
      <c r="F40" s="294"/>
      <c r="G40" s="42"/>
      <c r="H40" s="42"/>
      <c r="I40" s="42"/>
      <c r="J40" s="288" t="s">
        <v>40</v>
      </c>
      <c r="K40" s="324"/>
      <c r="L40" s="294"/>
      <c r="M40" s="294"/>
      <c r="N40" s="294"/>
      <c r="O40" s="294"/>
      <c r="P40" s="12"/>
    </row>
    <row r="41" spans="1:56" ht="15" customHeight="1">
      <c r="B41" s="521"/>
      <c r="C41" s="349"/>
      <c r="D41" s="532"/>
      <c r="E41" s="526"/>
      <c r="F41" s="294"/>
      <c r="G41" s="42"/>
      <c r="H41" s="42"/>
      <c r="I41" s="42"/>
      <c r="J41" s="289" t="s">
        <v>33</v>
      </c>
      <c r="K41" s="324"/>
      <c r="L41" s="294"/>
      <c r="M41" s="294"/>
      <c r="N41" s="294"/>
      <c r="O41" s="294"/>
      <c r="P41" s="12"/>
    </row>
    <row r="42" spans="1:56" ht="15">
      <c r="B42" s="521"/>
      <c r="C42" s="349"/>
      <c r="D42" s="530"/>
      <c r="E42" s="531"/>
      <c r="F42" s="294"/>
      <c r="G42" s="42"/>
      <c r="H42" s="42"/>
      <c r="I42" s="42"/>
      <c r="J42" s="290" t="s">
        <v>16</v>
      </c>
      <c r="K42" s="324"/>
      <c r="L42" s="294"/>
      <c r="M42" s="294"/>
      <c r="N42" s="294"/>
      <c r="O42" s="294"/>
      <c r="P42" s="12"/>
      <c r="BC42" s="44"/>
      <c r="BD42" s="44"/>
    </row>
    <row r="43" spans="1:56" ht="15">
      <c r="B43" s="521"/>
      <c r="C43" s="349"/>
      <c r="D43" s="532"/>
      <c r="E43" s="526"/>
      <c r="F43" s="294"/>
      <c r="G43" s="42"/>
      <c r="H43" s="42"/>
      <c r="I43" s="42"/>
      <c r="J43" s="291" t="s">
        <v>15</v>
      </c>
      <c r="K43" s="324"/>
      <c r="L43" s="294"/>
      <c r="M43" s="294"/>
      <c r="N43" s="294"/>
      <c r="O43" s="294"/>
      <c r="P43" s="12"/>
      <c r="BC43" s="44"/>
      <c r="BD43" s="44"/>
    </row>
    <row r="44" spans="1:56" ht="15">
      <c r="B44" s="521"/>
      <c r="C44" s="349"/>
      <c r="D44" s="530"/>
      <c r="E44" s="531"/>
      <c r="F44" s="294"/>
      <c r="G44" s="42"/>
      <c r="H44" s="42"/>
      <c r="I44" s="42"/>
      <c r="J44" s="291" t="s">
        <v>149</v>
      </c>
      <c r="K44" s="324"/>
      <c r="L44" s="294"/>
      <c r="M44" s="294"/>
      <c r="N44" s="294"/>
      <c r="O44" s="294"/>
      <c r="P44" s="12"/>
      <c r="BC44" s="44"/>
      <c r="BD44" s="44"/>
    </row>
    <row r="45" spans="1:56" ht="15.75" thickBot="1">
      <c r="B45" s="522"/>
      <c r="C45" s="350"/>
      <c r="D45" s="533"/>
      <c r="E45" s="534"/>
      <c r="F45" s="294" t="s">
        <v>165</v>
      </c>
      <c r="G45" s="42"/>
      <c r="H45" s="42"/>
      <c r="I45" s="42"/>
      <c r="J45" s="291" t="s">
        <v>148</v>
      </c>
      <c r="K45" s="324"/>
      <c r="L45" s="294"/>
      <c r="M45" s="294"/>
      <c r="N45" s="294" t="s">
        <v>41</v>
      </c>
      <c r="O45" s="294"/>
      <c r="P45" s="12"/>
      <c r="BC45" s="44"/>
      <c r="BD45" s="44"/>
    </row>
    <row r="46" spans="1:56" ht="17.649999999999999" customHeight="1" thickBot="1">
      <c r="B46" s="312" t="s">
        <v>139</v>
      </c>
      <c r="C46" s="313"/>
      <c r="D46" s="511"/>
      <c r="E46" s="512"/>
      <c r="F46" s="294"/>
      <c r="J46" s="295" t="s">
        <v>134</v>
      </c>
      <c r="K46" s="324"/>
      <c r="L46" s="294"/>
      <c r="M46" s="294"/>
      <c r="N46" s="294"/>
      <c r="O46" s="294"/>
      <c r="P46" s="12"/>
      <c r="BC46" s="44"/>
      <c r="BD46" s="44"/>
    </row>
    <row r="47" spans="1:56" ht="17.649999999999999" customHeight="1">
      <c r="B47" s="363"/>
      <c r="C47" s="364"/>
      <c r="D47" s="365"/>
      <c r="E47" s="365"/>
      <c r="F47" s="294"/>
      <c r="G47" s="42"/>
      <c r="H47" s="42"/>
      <c r="I47" s="42"/>
      <c r="J47" s="295" t="s">
        <v>131</v>
      </c>
      <c r="K47" s="324"/>
      <c r="L47" s="294"/>
      <c r="M47" s="294"/>
      <c r="N47" s="294"/>
      <c r="O47" s="294"/>
      <c r="P47" s="12"/>
      <c r="BC47" s="44"/>
      <c r="BD47" s="44"/>
    </row>
    <row r="48" spans="1:56" ht="15.6" customHeight="1">
      <c r="B48" s="45"/>
      <c r="C48" s="11"/>
      <c r="D48" s="11"/>
      <c r="E48" s="46"/>
      <c r="F48" s="294"/>
      <c r="G48" s="42"/>
      <c r="H48" s="42"/>
      <c r="I48" s="42"/>
      <c r="J48" s="346" t="s">
        <v>130</v>
      </c>
      <c r="K48" s="324">
        <f>SUM(K38:K47)</f>
        <v>9</v>
      </c>
      <c r="L48" s="294"/>
      <c r="M48" s="294"/>
      <c r="N48" s="294"/>
      <c r="O48" s="294"/>
      <c r="P48" s="12"/>
    </row>
    <row r="49" spans="2:57" ht="20.25" customHeight="1">
      <c r="B49" s="15" t="s">
        <v>42</v>
      </c>
      <c r="C49" s="1" t="s">
        <v>43</v>
      </c>
      <c r="D49" s="1"/>
      <c r="E49" s="1"/>
      <c r="F49" s="294"/>
      <c r="G49" s="42"/>
      <c r="H49" s="41"/>
      <c r="I49" s="42"/>
      <c r="L49" s="42"/>
      <c r="N49" s="315"/>
      <c r="P49" s="334"/>
    </row>
    <row r="50" spans="2:57" ht="15" customHeight="1" thickBot="1">
      <c r="B50" s="48"/>
      <c r="C50" s="48"/>
      <c r="D50" s="48"/>
      <c r="E50" s="48"/>
      <c r="F50" s="48"/>
      <c r="G50" s="48"/>
      <c r="H50" s="48"/>
      <c r="I50" s="48"/>
      <c r="J50" s="48"/>
      <c r="K50" s="48"/>
      <c r="L50" s="48"/>
      <c r="M50" s="48"/>
      <c r="N50" s="41"/>
      <c r="O50" s="48"/>
      <c r="P50" s="49"/>
    </row>
    <row r="51" spans="2:57" ht="15" customHeight="1" thickBot="1">
      <c r="B51" s="505" t="s">
        <v>17</v>
      </c>
      <c r="C51" s="505" t="s">
        <v>44</v>
      </c>
      <c r="D51" s="514" t="s">
        <v>45</v>
      </c>
      <c r="E51" s="516" t="s">
        <v>46</v>
      </c>
      <c r="F51" s="518" t="s">
        <v>47</v>
      </c>
      <c r="G51" s="503" t="s">
        <v>48</v>
      </c>
      <c r="H51" s="505" t="s">
        <v>49</v>
      </c>
      <c r="I51" s="505" t="s">
        <v>50</v>
      </c>
      <c r="J51" s="497" t="s">
        <v>28</v>
      </c>
      <c r="K51" s="507" t="s">
        <v>51</v>
      </c>
      <c r="L51" s="509" t="s">
        <v>52</v>
      </c>
      <c r="M51" s="497" t="s">
        <v>53</v>
      </c>
      <c r="N51" s="13"/>
      <c r="O51" s="13"/>
      <c r="P51" s="50"/>
    </row>
    <row r="52" spans="2:57" ht="28.5" customHeight="1" thickTop="1" thickBot="1">
      <c r="B52" s="506"/>
      <c r="C52" s="513"/>
      <c r="D52" s="515"/>
      <c r="E52" s="517"/>
      <c r="F52" s="519"/>
      <c r="G52" s="504"/>
      <c r="H52" s="506"/>
      <c r="I52" s="506"/>
      <c r="J52" s="498"/>
      <c r="K52" s="508"/>
      <c r="L52" s="510"/>
      <c r="M52" s="498"/>
      <c r="N52" s="13"/>
      <c r="O52" s="13"/>
      <c r="P52" s="50"/>
      <c r="Q52" s="355"/>
      <c r="AB52" s="475">
        <v>43474</v>
      </c>
      <c r="AC52" s="475">
        <v>43475</v>
      </c>
      <c r="AD52" s="475">
        <v>43476</v>
      </c>
      <c r="AE52" s="475">
        <v>43477</v>
      </c>
      <c r="AF52" s="475">
        <v>43478</v>
      </c>
      <c r="AG52" s="475">
        <v>43479</v>
      </c>
      <c r="AH52" s="475">
        <v>43480</v>
      </c>
      <c r="AI52" s="475">
        <v>43481</v>
      </c>
      <c r="AJ52" s="475">
        <v>43482</v>
      </c>
      <c r="AK52" s="475">
        <v>43483</v>
      </c>
      <c r="AL52" s="475">
        <v>43484</v>
      </c>
      <c r="AM52" s="475">
        <v>43485</v>
      </c>
      <c r="AN52" s="475">
        <v>43486</v>
      </c>
      <c r="AO52" s="475">
        <v>43487</v>
      </c>
      <c r="AP52" s="475">
        <v>43488</v>
      </c>
      <c r="AQ52" s="475">
        <v>43489</v>
      </c>
      <c r="AR52" s="475">
        <v>43490</v>
      </c>
      <c r="AS52" s="475">
        <v>43491</v>
      </c>
      <c r="AT52" s="475">
        <v>43492</v>
      </c>
      <c r="AU52" s="475">
        <v>43493</v>
      </c>
      <c r="AV52" s="475">
        <v>43494</v>
      </c>
      <c r="AW52" s="475">
        <v>43495</v>
      </c>
      <c r="AX52" s="475">
        <v>43496</v>
      </c>
    </row>
    <row r="53" spans="2:57" s="54" customFormat="1" ht="36.75" customHeight="1" thickBot="1">
      <c r="B53" s="456" t="str">
        <f>J38</f>
        <v>CARIB</v>
      </c>
      <c r="C53" s="479">
        <v>46272</v>
      </c>
      <c r="D53" s="445">
        <f>[18]September_2026!$J$3</f>
        <v>405.6</v>
      </c>
      <c r="E53" s="443"/>
      <c r="F53" s="444"/>
      <c r="G53" s="444">
        <f>[18]September_2026!$J$7</f>
        <v>380.09999999999997</v>
      </c>
      <c r="H53" s="458"/>
      <c r="I53" s="458"/>
      <c r="J53" s="448" t="s">
        <v>174</v>
      </c>
      <c r="K53" s="449">
        <f>[19]September_2026!$J$18</f>
        <v>1.3336842105263156</v>
      </c>
      <c r="L53" s="457">
        <f>(((D53+E53)-G53)/(D53+E53))*100</f>
        <v>6.2869822485207241</v>
      </c>
      <c r="M53" s="455" t="s">
        <v>175</v>
      </c>
      <c r="N53" s="13"/>
      <c r="O53" s="13"/>
      <c r="P53" s="50"/>
      <c r="R53" s="275"/>
      <c r="S53" s="275"/>
      <c r="T53" s="275"/>
      <c r="U53" s="275"/>
      <c r="V53" s="275"/>
      <c r="W53" s="275"/>
      <c r="X53" s="275"/>
      <c r="Y53" s="275"/>
      <c r="Z53" s="275"/>
      <c r="AA53" s="275"/>
      <c r="AB53" s="57">
        <f>[17]January_2019!L5</f>
        <v>0</v>
      </c>
      <c r="AC53" s="57">
        <f>[17]January_2019!M5</f>
        <v>0</v>
      </c>
      <c r="AD53" s="57">
        <f>[17]January_2019!N5</f>
        <v>0</v>
      </c>
      <c r="AE53" s="57">
        <f>[17]January_2019!O5</f>
        <v>0</v>
      </c>
      <c r="AF53" s="57">
        <f>[17]January_2019!P5</f>
        <v>0</v>
      </c>
      <c r="AG53" s="57">
        <f>[17]January_2019!Q5</f>
        <v>0</v>
      </c>
      <c r="AH53" s="57">
        <f>[17]January_2019!R5</f>
        <v>0</v>
      </c>
      <c r="AI53" s="57">
        <f>[17]January_2019!S5</f>
        <v>0</v>
      </c>
      <c r="AJ53" s="57">
        <f>[17]January_2019!T5</f>
        <v>0</v>
      </c>
      <c r="AK53" s="57">
        <f>[17]January_2019!U5</f>
        <v>0</v>
      </c>
      <c r="AL53" s="57">
        <f>[17]January_2019!V5</f>
        <v>0</v>
      </c>
      <c r="AM53" s="57">
        <f>[17]January_2019!W5</f>
        <v>0</v>
      </c>
      <c r="AN53" s="57">
        <f>[17]January_2019!X5</f>
        <v>0</v>
      </c>
      <c r="AO53" s="57">
        <f>[17]January_2019!Y5</f>
        <v>0</v>
      </c>
      <c r="AP53" s="57">
        <f>[17]January_2019!Z5</f>
        <v>0</v>
      </c>
      <c r="AQ53" s="57">
        <f>[17]January_2019!AA5</f>
        <v>0</v>
      </c>
      <c r="AR53" s="57">
        <f>[17]January_2019!AB5</f>
        <v>0</v>
      </c>
      <c r="AS53" s="57">
        <f>[17]January_2019!AC5</f>
        <v>0</v>
      </c>
      <c r="AT53" s="57">
        <f>[17]January_2019!AD5</f>
        <v>0</v>
      </c>
      <c r="AU53" s="57">
        <f>[17]January_2019!AE5</f>
        <v>0</v>
      </c>
      <c r="AV53" s="57">
        <f>[17]January_2019!AF5</f>
        <v>0</v>
      </c>
      <c r="AW53" s="57">
        <f>[17]January_2019!AG5</f>
        <v>0</v>
      </c>
      <c r="AX53" s="277">
        <f>[17]January_2019!AH5</f>
        <v>0</v>
      </c>
      <c r="AY53" s="277"/>
      <c r="AZ53" s="277"/>
      <c r="BA53" s="277"/>
      <c r="BB53" s="277"/>
      <c r="BC53" s="277"/>
      <c r="BD53" s="277"/>
      <c r="BE53" s="277"/>
    </row>
    <row r="54" spans="2:57" s="54" customFormat="1" ht="14.25" customHeight="1" thickBot="1">
      <c r="B54" s="480"/>
      <c r="C54" s="479"/>
      <c r="D54" s="442"/>
      <c r="E54" s="443"/>
      <c r="F54" s="444"/>
      <c r="G54" s="445"/>
      <c r="H54" s="458"/>
      <c r="I54" s="458"/>
      <c r="J54" s="476"/>
      <c r="K54" s="449"/>
      <c r="L54" s="457"/>
      <c r="M54" s="455"/>
      <c r="N54" s="13"/>
      <c r="O54" s="13"/>
      <c r="P54" s="50"/>
      <c r="R54" s="275"/>
      <c r="S54" s="275"/>
      <c r="T54" s="275"/>
      <c r="U54" s="275"/>
      <c r="V54" s="275"/>
      <c r="W54" s="275"/>
      <c r="X54" s="275"/>
      <c r="Y54" s="275"/>
      <c r="Z54" s="275"/>
      <c r="AA54" s="275"/>
      <c r="AB54" s="57">
        <f>[17]January_2019!L6</f>
        <v>0</v>
      </c>
      <c r="AC54" s="57">
        <f>[17]January_2019!M6</f>
        <v>0</v>
      </c>
      <c r="AD54" s="57">
        <f>[17]January_2019!N6</f>
        <v>0</v>
      </c>
      <c r="AE54" s="57">
        <f>[17]January_2019!O6</f>
        <v>0</v>
      </c>
      <c r="AF54" s="57">
        <f>[17]January_2019!P6</f>
        <v>0</v>
      </c>
      <c r="AG54" s="57">
        <f>[17]January_2019!Q6</f>
        <v>0</v>
      </c>
      <c r="AH54" s="57">
        <f>[17]January_2019!R6</f>
        <v>0</v>
      </c>
      <c r="AI54" s="57">
        <f>[17]January_2019!S6</f>
        <v>0</v>
      </c>
      <c r="AJ54" s="57">
        <f>[17]January_2019!T6</f>
        <v>0</v>
      </c>
      <c r="AK54" s="57">
        <f>[17]January_2019!U6</f>
        <v>0</v>
      </c>
      <c r="AL54" s="57">
        <f>[17]January_2019!V6</f>
        <v>0</v>
      </c>
      <c r="AM54" s="57">
        <f>[17]January_2019!W6</f>
        <v>0</v>
      </c>
      <c r="AN54" s="57">
        <f>[17]January_2019!X6</f>
        <v>0</v>
      </c>
      <c r="AO54" s="57">
        <f>[17]January_2019!Y6</f>
        <v>0</v>
      </c>
      <c r="AP54" s="57">
        <f>[17]January_2019!Z6</f>
        <v>0</v>
      </c>
      <c r="AQ54" s="57">
        <f>[17]January_2019!AA6</f>
        <v>0</v>
      </c>
      <c r="AR54" s="57">
        <f>[17]January_2019!AB6</f>
        <v>0</v>
      </c>
      <c r="AS54" s="57">
        <f>[17]January_2019!AC6</f>
        <v>0</v>
      </c>
      <c r="AT54" s="57">
        <f>[17]January_2019!AD6</f>
        <v>0</v>
      </c>
      <c r="AU54" s="57">
        <f>[17]January_2019!AE6</f>
        <v>0</v>
      </c>
      <c r="AV54" s="57">
        <f>[17]January_2019!AF6</f>
        <v>0</v>
      </c>
      <c r="AW54" s="57">
        <f>[17]January_2019!AG6</f>
        <v>0</v>
      </c>
      <c r="AX54" s="277">
        <f>[17]January_2019!AH6</f>
        <v>0</v>
      </c>
      <c r="AY54" s="277"/>
      <c r="AZ54" s="277"/>
      <c r="BA54" s="277"/>
      <c r="BB54" s="277"/>
      <c r="BC54" s="277"/>
      <c r="BD54" s="277"/>
      <c r="BE54" s="277"/>
    </row>
    <row r="55" spans="2:57" s="54" customFormat="1" ht="37.15" customHeight="1" thickBot="1">
      <c r="B55" s="456"/>
      <c r="C55" s="479"/>
      <c r="D55" s="442"/>
      <c r="E55" s="443"/>
      <c r="F55" s="444"/>
      <c r="G55" s="444"/>
      <c r="H55" s="446"/>
      <c r="I55" s="446"/>
      <c r="J55" s="476"/>
      <c r="K55" s="449"/>
      <c r="L55" s="457"/>
      <c r="M55" s="455"/>
      <c r="N55" s="13"/>
      <c r="O55" s="13"/>
      <c r="P55" s="50"/>
      <c r="R55" s="275"/>
      <c r="S55" s="275"/>
      <c r="T55" s="275"/>
      <c r="U55" s="275"/>
      <c r="V55" s="275"/>
      <c r="W55" s="275"/>
      <c r="X55" s="275"/>
      <c r="Y55" s="275"/>
      <c r="Z55" s="275"/>
      <c r="AA55" s="275"/>
      <c r="AB55" s="57">
        <f>[17]January_2019!L7</f>
        <v>285.8</v>
      </c>
      <c r="AC55" s="57">
        <f>[17]January_2019!M7</f>
        <v>508.1</v>
      </c>
      <c r="AD55" s="57">
        <f>[17]January_2019!N7</f>
        <v>0</v>
      </c>
      <c r="AE55" s="57">
        <f>[17]January_2019!O7</f>
        <v>0</v>
      </c>
      <c r="AF55" s="57">
        <f>[17]January_2019!P7</f>
        <v>109.56666666666666</v>
      </c>
      <c r="AG55" s="57">
        <f>[17]January_2019!Q7</f>
        <v>297.64999999999998</v>
      </c>
      <c r="AH55" s="57">
        <f>[17]January_2019!R7</f>
        <v>122.3</v>
      </c>
      <c r="AI55" s="57">
        <f>[17]January_2019!S7</f>
        <v>0</v>
      </c>
      <c r="AJ55" s="57">
        <f>[17]January_2019!T7</f>
        <v>294.7</v>
      </c>
      <c r="AK55" s="57">
        <f>[17]January_2019!U7</f>
        <v>280.5</v>
      </c>
      <c r="AL55" s="57">
        <f>[17]January_2019!V7</f>
        <v>0</v>
      </c>
      <c r="AM55" s="57">
        <f>[17]January_2019!W7</f>
        <v>0</v>
      </c>
      <c r="AN55" s="57">
        <f>[17]January_2019!X7</f>
        <v>188.25</v>
      </c>
      <c r="AO55" s="57">
        <f>[17]January_2019!Y7</f>
        <v>295.7</v>
      </c>
      <c r="AP55" s="57">
        <f>[17]January_2019!Z7</f>
        <v>257.8</v>
      </c>
      <c r="AQ55" s="57">
        <f>[17]January_2019!AA7</f>
        <v>291.2</v>
      </c>
      <c r="AR55" s="57">
        <f>[17]January_2019!AB7</f>
        <v>187</v>
      </c>
      <c r="AS55" s="57">
        <f>[17]January_2019!AC7</f>
        <v>0</v>
      </c>
      <c r="AT55" s="57">
        <f>[17]January_2019!AD7</f>
        <v>0</v>
      </c>
      <c r="AU55" s="57">
        <f>[17]January_2019!AE7</f>
        <v>485.1</v>
      </c>
      <c r="AV55" s="57">
        <f>[17]January_2019!AF7</f>
        <v>171.55</v>
      </c>
      <c r="AW55" s="57">
        <f>[17]January_2019!AG7</f>
        <v>423.8</v>
      </c>
      <c r="AX55" s="277">
        <f>[17]January_2019!AH7</f>
        <v>0</v>
      </c>
      <c r="AY55" s="277"/>
      <c r="AZ55" s="277"/>
      <c r="BA55" s="277"/>
      <c r="BB55" s="277"/>
      <c r="BC55" s="277"/>
      <c r="BD55" s="277"/>
      <c r="BE55" s="277"/>
    </row>
    <row r="56" spans="2:57" s="54" customFormat="1" ht="18.600000000000001" hidden="1" customHeight="1" thickBot="1">
      <c r="B56" s="478"/>
      <c r="C56" s="430"/>
      <c r="D56" s="431"/>
      <c r="E56" s="432"/>
      <c r="F56" s="433"/>
      <c r="G56" s="434"/>
      <c r="H56" s="458"/>
      <c r="I56" s="458"/>
      <c r="J56" s="451"/>
      <c r="K56" s="436"/>
      <c r="L56" s="452"/>
      <c r="M56" s="421"/>
      <c r="N56" s="13"/>
      <c r="O56" s="13"/>
      <c r="P56" s="50"/>
      <c r="R56" s="275"/>
      <c r="S56" s="275"/>
      <c r="T56" s="275"/>
      <c r="U56" s="275"/>
      <c r="V56" s="275"/>
      <c r="W56" s="275"/>
      <c r="X56" s="275"/>
      <c r="Y56" s="275"/>
      <c r="Z56" s="275"/>
      <c r="AA56" s="275"/>
      <c r="AB56" s="57"/>
      <c r="AC56" s="57"/>
      <c r="AD56" s="57"/>
      <c r="AE56" s="57"/>
      <c r="AF56" s="57"/>
      <c r="AG56" s="57"/>
      <c r="AH56" s="57"/>
      <c r="AI56" s="57"/>
      <c r="AJ56" s="57"/>
      <c r="AK56" s="57"/>
      <c r="AL56" s="57"/>
      <c r="AM56" s="57"/>
      <c r="AN56" s="57"/>
      <c r="AO56" s="57"/>
      <c r="AP56" s="57"/>
      <c r="AQ56" s="57"/>
      <c r="AR56" s="57"/>
      <c r="AS56" s="57"/>
      <c r="AT56" s="57"/>
      <c r="AU56" s="57"/>
      <c r="AV56" s="57"/>
      <c r="AW56" s="57"/>
      <c r="AX56" s="277"/>
      <c r="AY56" s="277"/>
      <c r="AZ56" s="277"/>
      <c r="BA56" s="277"/>
      <c r="BB56" s="277"/>
      <c r="BC56" s="277"/>
      <c r="BD56" s="277"/>
      <c r="BE56" s="277"/>
    </row>
    <row r="57" spans="2:57" s="54" customFormat="1" ht="38.65" hidden="1" customHeight="1" thickBot="1">
      <c r="B57" s="487"/>
      <c r="C57" s="479"/>
      <c r="D57" s="442"/>
      <c r="E57" s="443"/>
      <c r="F57" s="444"/>
      <c r="G57" s="445"/>
      <c r="H57" s="458"/>
      <c r="I57" s="458"/>
      <c r="J57" s="448"/>
      <c r="K57" s="459"/>
      <c r="L57" s="457"/>
      <c r="M57" s="455"/>
      <c r="N57" s="13"/>
      <c r="O57" s="13"/>
      <c r="P57" s="50"/>
      <c r="R57" s="275"/>
      <c r="S57" s="275"/>
      <c r="T57" s="275"/>
      <c r="U57" s="275"/>
      <c r="V57" s="275"/>
      <c r="W57" s="275"/>
      <c r="X57" s="275"/>
      <c r="Y57" s="275"/>
      <c r="Z57" s="275"/>
      <c r="AA57" s="275"/>
      <c r="AB57" s="57"/>
      <c r="AC57" s="57"/>
      <c r="AD57" s="57"/>
      <c r="AE57" s="57"/>
      <c r="AF57" s="57"/>
      <c r="AG57" s="57"/>
      <c r="AH57" s="57"/>
      <c r="AI57" s="57"/>
      <c r="AJ57" s="57"/>
      <c r="AK57" s="57"/>
      <c r="AL57" s="57"/>
      <c r="AM57" s="57"/>
      <c r="AN57" s="57"/>
      <c r="AO57" s="57"/>
      <c r="AP57" s="57"/>
      <c r="AQ57" s="57"/>
      <c r="AR57" s="57"/>
      <c r="AS57" s="57"/>
      <c r="AT57" s="57"/>
      <c r="AU57" s="57"/>
      <c r="AV57" s="57"/>
      <c r="AW57" s="57"/>
      <c r="AX57" s="277"/>
      <c r="AY57" s="277"/>
      <c r="AZ57" s="277"/>
      <c r="BA57" s="277"/>
      <c r="BB57" s="277"/>
      <c r="BC57" s="277"/>
      <c r="BD57" s="277"/>
      <c r="BE57" s="277"/>
    </row>
    <row r="58" spans="2:57" s="54" customFormat="1" ht="15" hidden="1">
      <c r="B58" s="453"/>
      <c r="C58" s="430"/>
      <c r="D58" s="431"/>
      <c r="E58" s="432"/>
      <c r="F58" s="433"/>
      <c r="G58" s="434"/>
      <c r="H58" s="435"/>
      <c r="I58" s="450"/>
      <c r="J58" s="451"/>
      <c r="K58" s="436"/>
      <c r="L58" s="452"/>
      <c r="M58" s="421"/>
      <c r="N58" s="13"/>
      <c r="O58" s="13"/>
      <c r="P58" s="50"/>
      <c r="R58" s="275"/>
      <c r="S58" s="275"/>
      <c r="T58" s="275"/>
      <c r="U58" s="275"/>
      <c r="V58" s="275"/>
      <c r="W58" s="275"/>
      <c r="X58" s="275"/>
      <c r="Y58" s="275"/>
      <c r="Z58" s="275"/>
      <c r="AA58" s="275"/>
      <c r="AB58" s="57"/>
      <c r="AC58" s="57"/>
      <c r="AD58" s="57"/>
      <c r="AE58" s="57"/>
      <c r="AF58" s="57"/>
      <c r="AG58" s="57"/>
      <c r="AH58" s="57"/>
      <c r="AI58" s="57"/>
      <c r="AJ58" s="57"/>
      <c r="AK58" s="57"/>
      <c r="AL58" s="57"/>
      <c r="AM58" s="57"/>
      <c r="AN58" s="57"/>
      <c r="AO58" s="57"/>
      <c r="AP58" s="57"/>
      <c r="AQ58" s="57"/>
      <c r="AR58" s="57"/>
      <c r="AS58" s="57"/>
      <c r="AT58" s="57"/>
      <c r="AU58" s="57"/>
      <c r="AV58" s="57"/>
      <c r="AW58" s="57"/>
      <c r="AX58" s="277"/>
      <c r="AY58" s="277"/>
      <c r="AZ58" s="277"/>
      <c r="BA58" s="277"/>
      <c r="BB58" s="277"/>
      <c r="BC58" s="277"/>
      <c r="BD58" s="277"/>
      <c r="BE58" s="277"/>
    </row>
    <row r="59" spans="2:57" s="54" customFormat="1" ht="37.15" hidden="1" customHeight="1" thickBot="1">
      <c r="B59" s="481"/>
      <c r="C59" s="479"/>
      <c r="D59" s="442"/>
      <c r="E59" s="443"/>
      <c r="F59" s="444"/>
      <c r="G59" s="445"/>
      <c r="H59" s="446"/>
      <c r="I59" s="447"/>
      <c r="J59" s="448"/>
      <c r="K59" s="449"/>
      <c r="L59" s="457"/>
      <c r="M59" s="455"/>
      <c r="N59" s="13"/>
      <c r="O59" s="13"/>
      <c r="P59" s="50"/>
      <c r="R59" s="275"/>
      <c r="S59" s="275"/>
      <c r="T59" s="275"/>
      <c r="U59" s="275"/>
      <c r="V59" s="275"/>
      <c r="W59" s="275"/>
      <c r="X59" s="275"/>
      <c r="Y59" s="275"/>
      <c r="Z59" s="275"/>
      <c r="AA59" s="275"/>
      <c r="AB59" s="57"/>
      <c r="AC59" s="57"/>
      <c r="AD59" s="57"/>
      <c r="AE59" s="57"/>
      <c r="AF59" s="57"/>
      <c r="AG59" s="57"/>
      <c r="AH59" s="57"/>
      <c r="AI59" s="57"/>
      <c r="AJ59" s="57"/>
      <c r="AK59" s="57"/>
      <c r="AL59" s="57"/>
      <c r="AM59" s="57"/>
      <c r="AN59" s="57"/>
      <c r="AO59" s="57"/>
      <c r="AP59" s="57"/>
      <c r="AQ59" s="57"/>
      <c r="AR59" s="57"/>
      <c r="AS59" s="57"/>
      <c r="AT59" s="57"/>
      <c r="AU59" s="57"/>
      <c r="AV59" s="57"/>
      <c r="AW59" s="57"/>
      <c r="AX59" s="277"/>
      <c r="AY59" s="277"/>
      <c r="AZ59" s="277"/>
      <c r="BA59" s="277"/>
      <c r="BB59" s="277"/>
      <c r="BC59" s="277"/>
      <c r="BD59" s="277"/>
      <c r="BE59" s="277"/>
    </row>
    <row r="60" spans="2:57" s="54" customFormat="1" ht="16.5" hidden="1" customHeight="1" thickBot="1">
      <c r="B60" s="437"/>
      <c r="C60" s="423"/>
      <c r="D60" s="424"/>
      <c r="E60" s="425"/>
      <c r="F60" s="426"/>
      <c r="G60" s="427"/>
      <c r="H60" s="428"/>
      <c r="I60" s="438"/>
      <c r="J60" s="439"/>
      <c r="K60" s="429"/>
      <c r="L60" s="440"/>
      <c r="M60" s="422"/>
      <c r="N60" s="13"/>
      <c r="O60" s="13"/>
      <c r="P60" s="50"/>
      <c r="R60" s="275"/>
      <c r="S60" s="275"/>
      <c r="T60" s="275"/>
      <c r="U60" s="275"/>
      <c r="V60" s="275"/>
      <c r="W60" s="275"/>
      <c r="X60" s="275"/>
      <c r="Y60" s="275"/>
      <c r="Z60" s="275"/>
      <c r="AA60" s="275"/>
      <c r="AB60" s="415"/>
      <c r="AC60" s="415"/>
      <c r="AD60" s="415"/>
      <c r="AE60" s="415"/>
      <c r="AF60" s="415"/>
      <c r="AG60" s="415"/>
      <c r="AH60" s="415"/>
      <c r="AI60" s="415"/>
      <c r="AJ60" s="415"/>
      <c r="AK60" s="415"/>
      <c r="AL60" s="415"/>
      <c r="AM60" s="415"/>
      <c r="AN60" s="415"/>
      <c r="AO60" s="415"/>
      <c r="AP60" s="415"/>
      <c r="AQ60" s="415"/>
      <c r="AR60" s="415"/>
      <c r="AS60" s="415"/>
      <c r="AT60" s="415"/>
      <c r="AU60" s="415"/>
      <c r="AV60" s="415"/>
      <c r="AW60" s="415"/>
    </row>
    <row r="61" spans="2:57" s="54" customFormat="1" ht="37.15" hidden="1" customHeight="1" thickBot="1">
      <c r="B61" s="456"/>
      <c r="C61" s="441"/>
      <c r="D61" s="442"/>
      <c r="E61" s="443"/>
      <c r="F61" s="444"/>
      <c r="G61" s="445"/>
      <c r="H61" s="446"/>
      <c r="I61" s="447"/>
      <c r="J61" s="448"/>
      <c r="K61" s="449"/>
      <c r="L61" s="457"/>
      <c r="M61" s="454"/>
      <c r="N61" s="13"/>
      <c r="O61" s="13"/>
      <c r="P61" s="50"/>
      <c r="R61" s="275"/>
      <c r="S61" s="275"/>
      <c r="T61" s="275"/>
      <c r="U61" s="275"/>
      <c r="V61" s="275"/>
      <c r="W61" s="275"/>
      <c r="X61" s="275"/>
      <c r="Y61" s="275"/>
      <c r="Z61" s="275"/>
      <c r="AA61" s="275"/>
      <c r="AB61" s="57"/>
      <c r="AC61" s="57"/>
      <c r="AD61" s="57"/>
      <c r="AE61" s="57"/>
      <c r="AF61" s="57"/>
      <c r="AG61" s="57"/>
      <c r="AH61" s="57"/>
      <c r="AI61" s="57"/>
      <c r="AJ61" s="57"/>
      <c r="AK61" s="57"/>
      <c r="AL61" s="57"/>
      <c r="AM61" s="57"/>
      <c r="AN61" s="57"/>
      <c r="AO61" s="57"/>
      <c r="AP61" s="57"/>
      <c r="AQ61" s="57"/>
      <c r="AR61" s="57"/>
      <c r="AS61" s="57"/>
      <c r="AT61" s="57"/>
      <c r="AU61" s="57"/>
      <c r="AV61" s="57"/>
      <c r="AW61" s="57"/>
      <c r="AX61" s="277"/>
      <c r="AY61" s="277"/>
      <c r="AZ61" s="277"/>
      <c r="BA61" s="277"/>
      <c r="BB61" s="277"/>
      <c r="BC61" s="277"/>
      <c r="BD61" s="277"/>
      <c r="BE61" s="277"/>
    </row>
    <row r="62" spans="2:57" s="54" customFormat="1" ht="37.15" customHeight="1">
      <c r="B62" s="466"/>
      <c r="C62" s="430"/>
      <c r="D62" s="460"/>
      <c r="E62" s="461"/>
      <c r="F62" s="462"/>
      <c r="G62" s="460"/>
      <c r="H62" s="463"/>
      <c r="I62" s="463"/>
      <c r="J62" s="463"/>
      <c r="K62" s="464"/>
      <c r="L62" s="465"/>
      <c r="M62" s="50"/>
      <c r="N62" s="13"/>
      <c r="O62" s="13"/>
      <c r="P62" s="50"/>
      <c r="R62" s="275"/>
      <c r="S62" s="275"/>
      <c r="T62" s="275"/>
      <c r="U62" s="275"/>
      <c r="V62" s="275"/>
      <c r="W62" s="275"/>
      <c r="X62" s="275"/>
      <c r="Y62" s="275"/>
      <c r="Z62" s="275"/>
      <c r="AA62" s="275"/>
      <c r="AB62" s="57"/>
      <c r="AC62" s="57"/>
      <c r="AD62" s="57"/>
      <c r="AE62" s="57"/>
      <c r="AF62" s="57"/>
      <c r="AG62" s="57"/>
      <c r="AH62" s="57"/>
      <c r="AI62" s="57"/>
      <c r="AJ62" s="57"/>
      <c r="AK62" s="57"/>
      <c r="AL62" s="57"/>
      <c r="AM62" s="57"/>
      <c r="AN62" s="57"/>
      <c r="AO62" s="57"/>
      <c r="AP62" s="57"/>
      <c r="AQ62" s="57"/>
      <c r="AR62" s="57"/>
      <c r="AS62" s="57"/>
      <c r="AT62" s="57"/>
      <c r="AU62" s="57"/>
      <c r="AV62" s="57"/>
      <c r="AW62" s="57"/>
      <c r="AX62" s="277"/>
      <c r="AY62" s="277"/>
      <c r="AZ62" s="277"/>
      <c r="BA62" s="277"/>
      <c r="BB62" s="277"/>
      <c r="BC62" s="277"/>
      <c r="BD62" s="277"/>
      <c r="BE62" s="277"/>
    </row>
    <row r="63" spans="2:57" ht="18" customHeight="1" thickBot="1">
      <c r="B63" s="59"/>
      <c r="C63" s="309"/>
      <c r="D63" s="59"/>
      <c r="E63" s="59"/>
      <c r="F63" s="59"/>
      <c r="G63" s="59"/>
      <c r="H63" s="59"/>
      <c r="I63" s="59"/>
      <c r="J63" s="59"/>
      <c r="K63" s="59"/>
      <c r="L63" s="59"/>
      <c r="M63" s="59"/>
      <c r="N63" s="59" t="s">
        <v>41</v>
      </c>
      <c r="O63" s="56"/>
      <c r="P63" s="60"/>
    </row>
    <row r="64" spans="2:57" ht="15.75" thickBot="1">
      <c r="B64" s="499" t="s">
        <v>55</v>
      </c>
      <c r="C64" s="500"/>
      <c r="D64" s="500"/>
      <c r="E64" s="500"/>
      <c r="F64" s="501"/>
      <c r="G64" s="499" t="s">
        <v>56</v>
      </c>
      <c r="H64" s="500"/>
      <c r="I64" s="500"/>
      <c r="J64" s="501"/>
      <c r="K64" s="499" t="s">
        <v>51</v>
      </c>
      <c r="L64" s="500"/>
      <c r="M64" s="500"/>
      <c r="N64" s="502"/>
      <c r="O64" s="56"/>
      <c r="P64" s="50"/>
    </row>
    <row r="65" spans="2:16" ht="15">
      <c r="B65" s="61" t="s">
        <v>17</v>
      </c>
      <c r="C65" s="62" t="s">
        <v>36</v>
      </c>
      <c r="D65" s="62" t="s">
        <v>37</v>
      </c>
      <c r="E65" s="62" t="s">
        <v>38</v>
      </c>
      <c r="F65" s="63" t="s">
        <v>39</v>
      </c>
      <c r="G65" s="62" t="s">
        <v>36</v>
      </c>
      <c r="H65" s="62" t="s">
        <v>37</v>
      </c>
      <c r="I65" s="62" t="s">
        <v>38</v>
      </c>
      <c r="J65" s="63" t="s">
        <v>39</v>
      </c>
      <c r="K65" s="62"/>
      <c r="L65" s="62" t="s">
        <v>37</v>
      </c>
      <c r="M65" s="62" t="s">
        <v>38</v>
      </c>
      <c r="N65" s="63" t="s">
        <v>39</v>
      </c>
      <c r="O65" s="56"/>
      <c r="P65" s="64"/>
    </row>
    <row r="66" spans="2:16" ht="15">
      <c r="B66" s="29" t="s">
        <v>6</v>
      </c>
      <c r="C66" s="65">
        <f>L53</f>
        <v>6.2869822485207241</v>
      </c>
      <c r="D66" s="76">
        <v>7.0644548980770567</v>
      </c>
      <c r="E66" s="76">
        <v>6.5435272343170396</v>
      </c>
      <c r="F66" s="66">
        <v>4.8</v>
      </c>
      <c r="G66" s="65">
        <f>[18]September_2026!$J$11</f>
        <v>5.4475333924406968</v>
      </c>
      <c r="H66" s="477">
        <v>6.5869191698805878</v>
      </c>
      <c r="I66" s="477">
        <v>6.6493737245686244</v>
      </c>
      <c r="J66" s="66">
        <v>4.8</v>
      </c>
      <c r="K66" s="67">
        <f>K53</f>
        <v>1.3336842105263156</v>
      </c>
      <c r="L66" s="194">
        <v>0.64106432748538</v>
      </c>
      <c r="M66" s="194">
        <v>0.52938387608595039</v>
      </c>
      <c r="N66" s="68">
        <v>1</v>
      </c>
      <c r="O66" s="56"/>
      <c r="P66" s="69"/>
    </row>
    <row r="67" spans="2:16" ht="15">
      <c r="B67" s="33" t="s">
        <v>9</v>
      </c>
      <c r="C67" s="65"/>
      <c r="D67" s="76">
        <v>8.6363636363636189</v>
      </c>
      <c r="E67" s="76">
        <v>5.8721053130307412</v>
      </c>
      <c r="F67" s="66">
        <v>4.8</v>
      </c>
      <c r="G67" s="65"/>
      <c r="H67" s="76">
        <v>7.5248838752488254</v>
      </c>
      <c r="I67" s="76">
        <v>5.9880521869393624</v>
      </c>
      <c r="J67" s="66">
        <v>4.8</v>
      </c>
      <c r="K67" s="67"/>
      <c r="L67" s="194">
        <v>0.31736842105263158</v>
      </c>
      <c r="M67" s="194">
        <v>0.68971317640877172</v>
      </c>
      <c r="N67" s="68">
        <v>1</v>
      </c>
      <c r="P67" s="69"/>
    </row>
    <row r="68" spans="2:16" ht="15">
      <c r="B68" s="34" t="s">
        <v>40</v>
      </c>
      <c r="C68" s="65"/>
      <c r="D68" s="76"/>
      <c r="E68" s="76">
        <v>11.277593164016125</v>
      </c>
      <c r="F68" s="66">
        <v>5.5</v>
      </c>
      <c r="G68" s="65"/>
      <c r="H68" s="76"/>
      <c r="I68" s="76">
        <v>11.857907912244482</v>
      </c>
      <c r="J68" s="66">
        <v>5.5</v>
      </c>
      <c r="K68" s="67"/>
      <c r="L68" s="194"/>
      <c r="M68" s="194">
        <v>0.35370190356844494</v>
      </c>
      <c r="N68" s="68">
        <v>1</v>
      </c>
      <c r="P68" s="69"/>
    </row>
    <row r="69" spans="2:16" ht="15">
      <c r="B69" s="22" t="s">
        <v>33</v>
      </c>
      <c r="C69" s="65"/>
      <c r="D69" s="76"/>
      <c r="E69" s="76">
        <v>4.8685538193023836</v>
      </c>
      <c r="F69" s="66">
        <v>3.3</v>
      </c>
      <c r="G69" s="65"/>
      <c r="H69" s="76"/>
      <c r="I69" s="76">
        <v>4.8702525342252114</v>
      </c>
      <c r="J69" s="66">
        <v>3.3</v>
      </c>
      <c r="K69" s="67"/>
      <c r="L69" s="194"/>
      <c r="M69" s="194">
        <v>0.77919298245614044</v>
      </c>
      <c r="N69" s="68">
        <v>1</v>
      </c>
      <c r="P69" s="69"/>
    </row>
    <row r="70" spans="2:16" ht="15">
      <c r="B70" s="35" t="s">
        <v>164</v>
      </c>
      <c r="C70" s="65"/>
      <c r="D70" s="76"/>
      <c r="E70" s="76"/>
      <c r="F70" s="66">
        <v>3.3</v>
      </c>
      <c r="G70" s="282"/>
      <c r="H70" s="76"/>
      <c r="I70" s="76"/>
      <c r="J70" s="66">
        <v>3</v>
      </c>
      <c r="K70" s="67"/>
      <c r="L70" s="194"/>
      <c r="M70" s="194"/>
      <c r="N70" s="68">
        <v>1</v>
      </c>
      <c r="P70" s="69"/>
    </row>
    <row r="71" spans="2:16" ht="15">
      <c r="B71" s="36" t="s">
        <v>15</v>
      </c>
      <c r="C71" s="65"/>
      <c r="D71" s="76"/>
      <c r="E71" s="76">
        <v>6.0400197628458603</v>
      </c>
      <c r="F71" s="70">
        <v>5.5</v>
      </c>
      <c r="G71" s="65"/>
      <c r="H71" s="76"/>
      <c r="I71" s="76">
        <v>8.2405787675951316</v>
      </c>
      <c r="J71" s="66">
        <v>5.5</v>
      </c>
      <c r="K71" s="67"/>
      <c r="L71" s="194"/>
      <c r="M71" s="194">
        <v>0.78491228070175445</v>
      </c>
      <c r="N71" s="68">
        <v>1</v>
      </c>
      <c r="P71" s="69"/>
    </row>
    <row r="72" spans="2:16" ht="15">
      <c r="B72" s="37" t="s">
        <v>16</v>
      </c>
      <c r="C72" s="482"/>
      <c r="D72" s="76"/>
      <c r="E72" s="76">
        <v>3.6168923014750334</v>
      </c>
      <c r="F72" s="66">
        <v>3.3</v>
      </c>
      <c r="G72" s="282"/>
      <c r="H72" s="76"/>
      <c r="I72" s="76">
        <v>5.0091179718082053</v>
      </c>
      <c r="J72" s="66">
        <v>3.3</v>
      </c>
      <c r="K72" s="67"/>
      <c r="L72" s="194"/>
      <c r="M72" s="194">
        <v>0.92642300194931759</v>
      </c>
      <c r="N72" s="71">
        <v>1</v>
      </c>
      <c r="P72" s="69"/>
    </row>
    <row r="73" spans="2:16" ht="15.75" thickBot="1">
      <c r="B73" s="38" t="s">
        <v>163</v>
      </c>
      <c r="C73" s="65"/>
      <c r="D73" s="76"/>
      <c r="E73" s="76"/>
      <c r="F73" s="66">
        <v>7.5</v>
      </c>
      <c r="G73" s="282"/>
      <c r="H73" s="76"/>
      <c r="I73" s="76"/>
      <c r="J73" s="66">
        <v>7.5</v>
      </c>
      <c r="K73" s="67"/>
      <c r="L73" s="194"/>
      <c r="M73" s="194"/>
      <c r="N73" s="71">
        <v>1</v>
      </c>
      <c r="P73" s="69"/>
    </row>
    <row r="74" spans="2:16" ht="15.75" thickBot="1">
      <c r="B74" s="414" t="s">
        <v>161</v>
      </c>
      <c r="C74" s="65"/>
      <c r="D74" s="76"/>
      <c r="E74" s="76"/>
      <c r="F74" s="66">
        <v>4.8</v>
      </c>
      <c r="G74" s="282"/>
      <c r="H74" s="76"/>
      <c r="I74" s="76"/>
      <c r="J74" s="66">
        <v>4.8</v>
      </c>
      <c r="K74" s="67"/>
      <c r="L74" s="194"/>
      <c r="M74" s="194"/>
      <c r="N74" s="71">
        <v>1</v>
      </c>
      <c r="O74" s="74"/>
      <c r="P74" s="75"/>
    </row>
    <row r="75" spans="2:16" ht="15">
      <c r="D75" s="76">
        <v>7.4516389873732507</v>
      </c>
      <c r="E75" s="76">
        <v>6.3594774096338567</v>
      </c>
      <c r="F75" s="341">
        <v>5.5</v>
      </c>
      <c r="H75" s="76">
        <v>6.8177241263363779</v>
      </c>
      <c r="I75" s="76">
        <v>6.6964944460192761</v>
      </c>
      <c r="J75" s="341">
        <v>5.5</v>
      </c>
      <c r="L75" s="194">
        <v>0.56014035087719294</v>
      </c>
      <c r="M75" s="194">
        <v>0.5974774743279827</v>
      </c>
      <c r="N75" s="386">
        <v>1</v>
      </c>
    </row>
  </sheetData>
  <mergeCells count="51">
    <mergeCell ref="M51:M52"/>
    <mergeCell ref="B64:F64"/>
    <mergeCell ref="G64:J64"/>
    <mergeCell ref="K64:N64"/>
    <mergeCell ref="G51:G52"/>
    <mergeCell ref="H51:H52"/>
    <mergeCell ref="I51:I52"/>
    <mergeCell ref="J51:J52"/>
    <mergeCell ref="K51:K52"/>
    <mergeCell ref="L51:L52"/>
    <mergeCell ref="F51:F52"/>
    <mergeCell ref="D46:E46"/>
    <mergeCell ref="B51:B52"/>
    <mergeCell ref="C51:C52"/>
    <mergeCell ref="D51:D52"/>
    <mergeCell ref="E51:E52"/>
    <mergeCell ref="B36:B45"/>
    <mergeCell ref="D36:E37"/>
    <mergeCell ref="J36:K36"/>
    <mergeCell ref="L37:N37"/>
    <mergeCell ref="D38:E39"/>
    <mergeCell ref="D40:E41"/>
    <mergeCell ref="D42:E43"/>
    <mergeCell ref="D44:E45"/>
    <mergeCell ref="I22:N22"/>
    <mergeCell ref="D23:E23"/>
    <mergeCell ref="B24:B35"/>
    <mergeCell ref="D24:E25"/>
    <mergeCell ref="D26:E27"/>
    <mergeCell ref="D28:E29"/>
    <mergeCell ref="D30:E31"/>
    <mergeCell ref="D32:E33"/>
    <mergeCell ref="D34:E35"/>
    <mergeCell ref="P8:P9"/>
    <mergeCell ref="C5:D5"/>
    <mergeCell ref="B8:B9"/>
    <mergeCell ref="C8:C9"/>
    <mergeCell ref="D8:D9"/>
    <mergeCell ref="G8:G9"/>
    <mergeCell ref="H8:H9"/>
    <mergeCell ref="I8:I9"/>
    <mergeCell ref="J8:J9"/>
    <mergeCell ref="K8:K9"/>
    <mergeCell ref="L8:L9"/>
    <mergeCell ref="O8:O9"/>
    <mergeCell ref="M4:N4"/>
    <mergeCell ref="S1:T1"/>
    <mergeCell ref="U1:V1"/>
    <mergeCell ref="W1:X1"/>
    <mergeCell ref="Y1:Z1"/>
    <mergeCell ref="B2:O2"/>
  </mergeCells>
  <conditionalFormatting sqref="B46:B47">
    <cfRule type="cellIs" dxfId="3261" priority="114" operator="notBetween">
      <formula>#REF!</formula>
      <formula>#REF!</formula>
    </cfRule>
  </conditionalFormatting>
  <conditionalFormatting sqref="C50">
    <cfRule type="cellIs" dxfId="3260" priority="196" stopIfTrue="1" operator="lessThan">
      <formula>96</formula>
    </cfRule>
    <cfRule type="cellIs" dxfId="3259" priority="197" stopIfTrue="1" operator="greaterThan">
      <formula>100</formula>
    </cfRule>
  </conditionalFormatting>
  <conditionalFormatting sqref="C66:C67">
    <cfRule type="cellIs" dxfId="3258" priority="77" stopIfTrue="1" operator="greaterThan">
      <formula>$F66</formula>
    </cfRule>
    <cfRule type="cellIs" dxfId="3257" priority="79" stopIfTrue="1" operator="greaterThan">
      <formula>$F66</formula>
    </cfRule>
    <cfRule type="cellIs" dxfId="3256" priority="80" stopIfTrue="1" operator="lessThanOrEqual">
      <formula>0</formula>
    </cfRule>
    <cfRule type="cellIs" dxfId="3255" priority="78" stopIfTrue="1" operator="lessThanOrEqual">
      <formula>0</formula>
    </cfRule>
  </conditionalFormatting>
  <conditionalFormatting sqref="C68:C70 C72:C74">
    <cfRule type="cellIs" dxfId="3254" priority="86" stopIfTrue="1" operator="greaterThan">
      <formula>$F71</formula>
    </cfRule>
  </conditionalFormatting>
  <conditionalFormatting sqref="C68:C70">
    <cfRule type="cellIs" dxfId="3253" priority="87" stopIfTrue="1" operator="lessThanOrEqual">
      <formula>0</formula>
    </cfRule>
  </conditionalFormatting>
  <conditionalFormatting sqref="C71">
    <cfRule type="cellIs" dxfId="3252" priority="198" stopIfTrue="1" operator="greaterThan">
      <formula>$F66</formula>
    </cfRule>
    <cfRule type="cellIs" dxfId="3251" priority="201" stopIfTrue="1" operator="lessThanOrEqual">
      <formula>0</formula>
    </cfRule>
    <cfRule type="cellIs" dxfId="3250" priority="200" stopIfTrue="1" operator="greaterThan">
      <formula>$F66</formula>
    </cfRule>
    <cfRule type="cellIs" dxfId="3249" priority="199" stopIfTrue="1" operator="lessThanOrEqual">
      <formula>0</formula>
    </cfRule>
  </conditionalFormatting>
  <conditionalFormatting sqref="C72:C74">
    <cfRule type="cellIs" dxfId="3248" priority="88" stopIfTrue="1" operator="lessThanOrEqual">
      <formula>0</formula>
    </cfRule>
  </conditionalFormatting>
  <conditionalFormatting sqref="C77:C81">
    <cfRule type="cellIs" dxfId="3247" priority="188" stopIfTrue="1" operator="lessThanOrEqual">
      <formula>0</formula>
    </cfRule>
  </conditionalFormatting>
  <conditionalFormatting sqref="C78:C81">
    <cfRule type="cellIs" dxfId="3246" priority="187" stopIfTrue="1" operator="greaterThan">
      <formula>$F$77</formula>
    </cfRule>
  </conditionalFormatting>
  <conditionalFormatting sqref="C83">
    <cfRule type="cellIs" dxfId="3245" priority="189" stopIfTrue="1" operator="greaterThan">
      <formula>$F$77</formula>
    </cfRule>
    <cfRule type="cellIs" dxfId="3244" priority="190" stopIfTrue="1" operator="lessThanOrEqual">
      <formula>0</formula>
    </cfRule>
  </conditionalFormatting>
  <conditionalFormatting sqref="C71:D71">
    <cfRule type="cellIs" dxfId="3243" priority="75" stopIfTrue="1" operator="greaterThan">
      <formula>$J71</formula>
    </cfRule>
    <cfRule type="cellIs" dxfId="3242" priority="76" stopIfTrue="1" operator="lessThanOrEqual">
      <formula>0</formula>
    </cfRule>
  </conditionalFormatting>
  <conditionalFormatting sqref="C77:D77 D79:D85">
    <cfRule type="cellIs" dxfId="3241" priority="182" stopIfTrue="1" operator="greaterThan">
      <formula>4.5</formula>
    </cfRule>
  </conditionalFormatting>
  <conditionalFormatting sqref="D46:D47">
    <cfRule type="cellIs" dxfId="3240" priority="115" operator="notBetween">
      <formula>#REF!</formula>
      <formula>#REF!</formula>
    </cfRule>
  </conditionalFormatting>
  <conditionalFormatting sqref="D66:D70 D72:D73">
    <cfRule type="cellIs" dxfId="3239" priority="85" stopIfTrue="1" operator="lessThanOrEqual">
      <formula>0</formula>
    </cfRule>
  </conditionalFormatting>
  <conditionalFormatting sqref="D66:D70 D72:D75">
    <cfRule type="cellIs" dxfId="3238" priority="82" stopIfTrue="1" operator="greaterThan">
      <formula>$F66</formula>
    </cfRule>
    <cfRule type="cellIs" dxfId="3237" priority="81" stopIfTrue="1" operator="lessThanOrEqual">
      <formula>0</formula>
    </cfRule>
  </conditionalFormatting>
  <conditionalFormatting sqref="D74:D75">
    <cfRule type="cellIs" dxfId="3236" priority="83" stopIfTrue="1" operator="lessThanOrEqual">
      <formula>0</formula>
    </cfRule>
  </conditionalFormatting>
  <conditionalFormatting sqref="D75">
    <cfRule type="cellIs" dxfId="3235" priority="84" stopIfTrue="1" operator="lessThanOrEqual">
      <formula>0</formula>
    </cfRule>
  </conditionalFormatting>
  <conditionalFormatting sqref="D77 D79:D85">
    <cfRule type="cellIs" dxfId="3234" priority="183" stopIfTrue="1" operator="lessThanOrEqual">
      <formula>0</formula>
    </cfRule>
  </conditionalFormatting>
  <conditionalFormatting sqref="D78">
    <cfRule type="cellIs" dxfId="3233" priority="174" stopIfTrue="1" operator="greaterThan">
      <formula>$F$77</formula>
    </cfRule>
    <cfRule type="cellIs" dxfId="3232" priority="175" stopIfTrue="1" operator="lessThanOrEqual">
      <formula>0</formula>
    </cfRule>
  </conditionalFormatting>
  <conditionalFormatting sqref="E10:E21">
    <cfRule type="cellIs" dxfId="3231" priority="24" operator="lessThan">
      <formula>48</formula>
    </cfRule>
  </conditionalFormatting>
  <conditionalFormatting sqref="E49 E50:F50">
    <cfRule type="cellIs" dxfId="3230" priority="179" stopIfTrue="1" operator="greaterThan">
      <formula>100</formula>
    </cfRule>
  </conditionalFormatting>
  <conditionalFormatting sqref="E50">
    <cfRule type="cellIs" dxfId="3229" priority="177" stopIfTrue="1" operator="greaterThan">
      <formula>100</formula>
    </cfRule>
    <cfRule type="cellIs" dxfId="3228" priority="176" stopIfTrue="1" operator="lessThan">
      <formula>96.8</formula>
    </cfRule>
  </conditionalFormatting>
  <conditionalFormatting sqref="E66:E74">
    <cfRule type="cellIs" dxfId="3227" priority="48" stopIfTrue="1" operator="lessThanOrEqual">
      <formula>0</formula>
    </cfRule>
  </conditionalFormatting>
  <conditionalFormatting sqref="E66:E75">
    <cfRule type="cellIs" dxfId="3226" priority="49" stopIfTrue="1" operator="greaterThan">
      <formula>$F66</formula>
    </cfRule>
    <cfRule type="cellIs" dxfId="3225" priority="50" stopIfTrue="1" operator="lessThanOrEqual">
      <formula>0</formula>
    </cfRule>
  </conditionalFormatting>
  <conditionalFormatting sqref="E75">
    <cfRule type="cellIs" dxfId="3224" priority="51" stopIfTrue="1" operator="lessThanOrEqual">
      <formula>0</formula>
    </cfRule>
  </conditionalFormatting>
  <conditionalFormatting sqref="E77:E85">
    <cfRule type="cellIs" dxfId="3223" priority="168" stopIfTrue="1" operator="greaterThan">
      <formula>4.5</formula>
    </cfRule>
    <cfRule type="cellIs" dxfId="3222" priority="169" stopIfTrue="1" operator="lessThanOrEqual">
      <formula>0</formula>
    </cfRule>
  </conditionalFormatting>
  <conditionalFormatting sqref="E50:F50 E49">
    <cfRule type="cellIs" dxfId="3221" priority="178" stopIfTrue="1" operator="lessThan">
      <formula>96.5</formula>
    </cfRule>
  </conditionalFormatting>
  <conditionalFormatting sqref="F10:F21">
    <cfRule type="cellIs" dxfId="3220" priority="25" operator="greaterThan">
      <formula>60</formula>
    </cfRule>
  </conditionalFormatting>
  <conditionalFormatting sqref="F50">
    <cfRule type="cellIs" dxfId="3219" priority="194" stopIfTrue="1" operator="lessThan">
      <formula>96.8</formula>
    </cfRule>
    <cfRule type="cellIs" dxfId="3218" priority="195" stopIfTrue="1" operator="greaterThan">
      <formula>100</formula>
    </cfRule>
  </conditionalFormatting>
  <conditionalFormatting sqref="G10:G19 M10:N19 H10:H21">
    <cfRule type="expression" dxfId="3217" priority="15">
      <formula>IF(+(IF(G10&lt;#REF!,0,IF(G10&gt;#REF!,0,1)))=0,1)</formula>
    </cfRule>
  </conditionalFormatting>
  <conditionalFormatting sqref="G10:G21">
    <cfRule type="expression" dxfId="3216" priority="14">
      <formula>IF(+(IF(G10&lt;S10,0,IF(G10&gt;T10,0,1)))=0,1)</formula>
    </cfRule>
  </conditionalFormatting>
  <conditionalFormatting sqref="G66:G69 F75">
    <cfRule type="cellIs" dxfId="3215" priority="57" stopIfTrue="1" operator="greaterThan">
      <formula>$F66</formula>
    </cfRule>
    <cfRule type="cellIs" dxfId="3214" priority="58" stopIfTrue="1" operator="lessThanOrEqual">
      <formula>0</formula>
    </cfRule>
  </conditionalFormatting>
  <conditionalFormatting sqref="G68:G69">
    <cfRule type="cellIs" dxfId="3213" priority="44" stopIfTrue="1" operator="lessThanOrEqual">
      <formula>0</formula>
    </cfRule>
    <cfRule type="cellIs" dxfId="3212" priority="43" stopIfTrue="1" operator="greaterThan">
      <formula>$F68</formula>
    </cfRule>
  </conditionalFormatting>
  <conditionalFormatting sqref="G70:G74">
    <cfRule type="cellIs" dxfId="3211" priority="60" stopIfTrue="1" operator="lessThanOrEqual">
      <formula>0</formula>
    </cfRule>
    <cfRule type="cellIs" dxfId="3210" priority="59" stopIfTrue="1" operator="greaterThan">
      <formula>$J70</formula>
    </cfRule>
  </conditionalFormatting>
  <conditionalFormatting sqref="G71">
    <cfRule type="cellIs" dxfId="3209" priority="202" stopIfTrue="1" operator="greaterThan">
      <formula>$F66</formula>
    </cfRule>
    <cfRule type="cellIs" dxfId="3208" priority="203" stopIfTrue="1" operator="lessThanOrEqual">
      <formula>0</formula>
    </cfRule>
  </conditionalFormatting>
  <conditionalFormatting sqref="G79:G84 C82 C84">
    <cfRule type="cellIs" dxfId="3207" priority="192" stopIfTrue="1" operator="lessThanOrEqual">
      <formula>0</formula>
    </cfRule>
    <cfRule type="cellIs" dxfId="3206" priority="191" stopIfTrue="1" operator="greaterThan">
      <formula>4.5</formula>
    </cfRule>
  </conditionalFormatting>
  <conditionalFormatting sqref="G78:H78">
    <cfRule type="cellIs" dxfId="3205" priority="173" stopIfTrue="1" operator="lessThanOrEqual">
      <formula>0</formula>
    </cfRule>
    <cfRule type="cellIs" dxfId="3204" priority="172" stopIfTrue="1" operator="greaterThan">
      <formula>$F$77</formula>
    </cfRule>
  </conditionalFormatting>
  <conditionalFormatting sqref="H35:H36 H49">
    <cfRule type="cellIs" dxfId="3203" priority="170" stopIfTrue="1" operator="greaterThan">
      <formula>0</formula>
    </cfRule>
  </conditionalFormatting>
  <conditionalFormatting sqref="H53">
    <cfRule type="cellIs" dxfId="3202" priority="63" stopIfTrue="1" operator="greaterThan">
      <formula>$F$66</formula>
    </cfRule>
    <cfRule type="cellIs" dxfId="3201" priority="71" stopIfTrue="1" operator="greaterThan">
      <formula>$F$69</formula>
    </cfRule>
    <cfRule type="cellIs" dxfId="3200" priority="72" stopIfTrue="1" operator="lessThanOrEqual">
      <formula>0</formula>
    </cfRule>
    <cfRule type="cellIs" dxfId="3199" priority="73" stopIfTrue="1" operator="greaterThan">
      <formula>$F$67</formula>
    </cfRule>
    <cfRule type="cellIs" dxfId="3198" priority="62" stopIfTrue="1" operator="lessThanOrEqual">
      <formula>0</formula>
    </cfRule>
  </conditionalFormatting>
  <conditionalFormatting sqref="H53:H54">
    <cfRule type="cellIs" dxfId="3197" priority="74" stopIfTrue="1" operator="lessThanOrEqual">
      <formula>0</formula>
    </cfRule>
  </conditionalFormatting>
  <conditionalFormatting sqref="H54 H56:H57">
    <cfRule type="cellIs" dxfId="3196" priority="100" stopIfTrue="1" operator="lessThanOrEqual">
      <formula>0</formula>
    </cfRule>
  </conditionalFormatting>
  <conditionalFormatting sqref="H54">
    <cfRule type="cellIs" dxfId="3195" priority="97" stopIfTrue="1" operator="greaterThan">
      <formula>$F$69</formula>
    </cfRule>
    <cfRule type="cellIs" dxfId="3194" priority="99" stopIfTrue="1" operator="greaterThan">
      <formula>$F$67</formula>
    </cfRule>
    <cfRule type="cellIs" dxfId="3193" priority="98" stopIfTrue="1" operator="lessThanOrEqual">
      <formula>0</formula>
    </cfRule>
    <cfRule type="cellIs" dxfId="3192" priority="89" stopIfTrue="1" operator="greaterThan">
      <formula>$F$66</formula>
    </cfRule>
  </conditionalFormatting>
  <conditionalFormatting sqref="H55">
    <cfRule type="cellIs" dxfId="3191" priority="29" stopIfTrue="1" operator="lessThanOrEqual">
      <formula>0</formula>
    </cfRule>
    <cfRule type="cellIs" dxfId="3190" priority="30" stopIfTrue="1" operator="greaterThan">
      <formula>$F$68</formula>
    </cfRule>
    <cfRule type="cellIs" dxfId="3189" priority="38" stopIfTrue="1" operator="greaterThan">
      <formula>$F$71</formula>
    </cfRule>
    <cfRule type="cellIs" dxfId="3188" priority="39" stopIfTrue="1" operator="lessThanOrEqual">
      <formula>0</formula>
    </cfRule>
    <cfRule type="cellIs" dxfId="3187" priority="40" stopIfTrue="1" operator="greaterThan">
      <formula>$F$69</formula>
    </cfRule>
    <cfRule type="cellIs" dxfId="3186" priority="41" stopIfTrue="1" operator="lessThanOrEqual">
      <formula>0</formula>
    </cfRule>
  </conditionalFormatting>
  <conditionalFormatting sqref="H56:H57">
    <cfRule type="cellIs" dxfId="3185" priority="112" stopIfTrue="1" operator="greaterThan">
      <formula>$F$67</formula>
    </cfRule>
    <cfRule type="cellIs" dxfId="3184" priority="111" stopIfTrue="1" operator="lessThanOrEqual">
      <formula>0</formula>
    </cfRule>
    <cfRule type="cellIs" dxfId="3183" priority="110" stopIfTrue="1" operator="greaterThan">
      <formula>$F$69</formula>
    </cfRule>
    <cfRule type="cellIs" dxfId="3182" priority="102" stopIfTrue="1" operator="greaterThan">
      <formula>$F$66</formula>
    </cfRule>
    <cfRule type="cellIs" dxfId="3181" priority="113" stopIfTrue="1" operator="lessThanOrEqual">
      <formula>0</formula>
    </cfRule>
  </conditionalFormatting>
  <conditionalFormatting sqref="H58:H59">
    <cfRule type="cellIs" dxfId="3180" priority="137" stopIfTrue="1" operator="lessThanOrEqual">
      <formula>0</formula>
    </cfRule>
    <cfRule type="cellIs" dxfId="3179" priority="146" stopIfTrue="1" operator="greaterThan">
      <formula>#REF!</formula>
    </cfRule>
    <cfRule type="cellIs" dxfId="3178" priority="147" stopIfTrue="1" operator="lessThanOrEqual">
      <formula>0</formula>
    </cfRule>
    <cfRule type="cellIs" dxfId="3177" priority="138" stopIfTrue="1" operator="greaterThan">
      <formula>#REF!</formula>
    </cfRule>
  </conditionalFormatting>
  <conditionalFormatting sqref="H60">
    <cfRule type="cellIs" dxfId="3176" priority="161" stopIfTrue="1" operator="lessThanOrEqual">
      <formula>0</formula>
    </cfRule>
    <cfRule type="cellIs" dxfId="3175" priority="149" stopIfTrue="1" operator="lessThanOrEqual">
      <formula>0</formula>
    </cfRule>
    <cfRule type="cellIs" dxfId="3174" priority="150" stopIfTrue="1" operator="greaterThan">
      <formula>$F$34</formula>
    </cfRule>
    <cfRule type="cellIs" dxfId="3173" priority="160" stopIfTrue="1" operator="greaterThan">
      <formula>$F$35</formula>
    </cfRule>
    <cfRule type="cellIs" dxfId="3172" priority="159" stopIfTrue="1" operator="lessThanOrEqual">
      <formula>0</formula>
    </cfRule>
    <cfRule type="cellIs" dxfId="3171" priority="158" stopIfTrue="1" operator="greaterThan">
      <formula>$F$37</formula>
    </cfRule>
  </conditionalFormatting>
  <conditionalFormatting sqref="H61:H62">
    <cfRule type="cellIs" dxfId="3170" priority="134" stopIfTrue="1" operator="greaterThan">
      <formula>#REF!</formula>
    </cfRule>
    <cfRule type="cellIs" dxfId="3169" priority="126" stopIfTrue="1" operator="greaterThan">
      <formula>#REF!</formula>
    </cfRule>
    <cfRule type="cellIs" dxfId="3168" priority="125" stopIfTrue="1" operator="lessThanOrEqual">
      <formula>0</formula>
    </cfRule>
    <cfRule type="cellIs" dxfId="3167" priority="135" stopIfTrue="1" operator="lessThanOrEqual">
      <formula>0</formula>
    </cfRule>
  </conditionalFormatting>
  <conditionalFormatting sqref="H77 H79:H85">
    <cfRule type="cellIs" dxfId="3166" priority="184" stopIfTrue="1" operator="greaterThan">
      <formula>4.5</formula>
    </cfRule>
    <cfRule type="cellIs" dxfId="3165" priority="185" stopIfTrue="1" operator="lessThanOrEqual">
      <formula>0</formula>
    </cfRule>
  </conditionalFormatting>
  <conditionalFormatting sqref="H53:I53">
    <cfRule type="cellIs" dxfId="3164" priority="64" stopIfTrue="1" operator="lessThanOrEqual">
      <formula>0</formula>
    </cfRule>
  </conditionalFormatting>
  <conditionalFormatting sqref="H53:I54 H56:I57">
    <cfRule type="cellIs" dxfId="3163" priority="61" stopIfTrue="1" operator="greaterThan">
      <formula>$F$68</formula>
    </cfRule>
  </conditionalFormatting>
  <conditionalFormatting sqref="H54:I54">
    <cfRule type="cellIs" dxfId="3162" priority="90" stopIfTrue="1" operator="lessThanOrEqual">
      <formula>0</formula>
    </cfRule>
  </conditionalFormatting>
  <conditionalFormatting sqref="H55:I55">
    <cfRule type="cellIs" dxfId="3161" priority="28" stopIfTrue="1" operator="greaterThan">
      <formula>$F$70</formula>
    </cfRule>
    <cfRule type="cellIs" dxfId="3160" priority="31" stopIfTrue="1" operator="lessThanOrEqual">
      <formula>0</formula>
    </cfRule>
  </conditionalFormatting>
  <conditionalFormatting sqref="H56:I57">
    <cfRule type="cellIs" dxfId="3159" priority="103" stopIfTrue="1" operator="lessThanOrEqual">
      <formula>0</formula>
    </cfRule>
  </conditionalFormatting>
  <conditionalFormatting sqref="H58:I59">
    <cfRule type="cellIs" dxfId="3158" priority="144" stopIfTrue="1" operator="greaterThan">
      <formula>#REF!</formula>
    </cfRule>
    <cfRule type="cellIs" dxfId="3157" priority="139" stopIfTrue="1" operator="lessThanOrEqual">
      <formula>0</formula>
    </cfRule>
    <cfRule type="cellIs" dxfId="3156" priority="145" stopIfTrue="1" operator="lessThanOrEqual">
      <formula>0</formula>
    </cfRule>
    <cfRule type="cellIs" dxfId="3155" priority="136" stopIfTrue="1" operator="greaterThan">
      <formula>#REF!</formula>
    </cfRule>
  </conditionalFormatting>
  <conditionalFormatting sqref="H60:I60">
    <cfRule type="cellIs" dxfId="3154" priority="148" stopIfTrue="1" operator="greaterThan">
      <formula>$F$36</formula>
    </cfRule>
    <cfRule type="cellIs" dxfId="3153" priority="151" stopIfTrue="1" operator="lessThanOrEqual">
      <formula>0</formula>
    </cfRule>
  </conditionalFormatting>
  <conditionalFormatting sqref="H61:I62">
    <cfRule type="cellIs" dxfId="3152" priority="124" stopIfTrue="1" operator="greaterThan">
      <formula>#REF!</formula>
    </cfRule>
    <cfRule type="cellIs" dxfId="3151" priority="127" stopIfTrue="1" operator="lessThanOrEqual">
      <formula>0</formula>
    </cfRule>
    <cfRule type="cellIs" dxfId="3150" priority="132" stopIfTrue="1" operator="greaterThan">
      <formula>#REF!</formula>
    </cfRule>
    <cfRule type="cellIs" dxfId="3149" priority="133" stopIfTrue="1" operator="lessThanOrEqual">
      <formula>0</formula>
    </cfRule>
  </conditionalFormatting>
  <conditionalFormatting sqref="H66:I73">
    <cfRule type="cellIs" dxfId="3148" priority="47" stopIfTrue="1" operator="lessThanOrEqual">
      <formula>0</formula>
    </cfRule>
    <cfRule type="cellIs" dxfId="3147" priority="46" stopIfTrue="1" operator="greaterThan">
      <formula>$J66</formula>
    </cfRule>
  </conditionalFormatting>
  <conditionalFormatting sqref="H74:I74">
    <cfRule type="cellIs" dxfId="3146" priority="54" operator="greaterThan">
      <formula>5.3</formula>
    </cfRule>
  </conditionalFormatting>
  <conditionalFormatting sqref="H75:I75">
    <cfRule type="cellIs" dxfId="3145" priority="53" stopIfTrue="1" operator="lessThanOrEqual">
      <formula>0</formula>
    </cfRule>
    <cfRule type="cellIs" dxfId="3144" priority="52" stopIfTrue="1" operator="greaterThan">
      <formula>$J75</formula>
    </cfRule>
  </conditionalFormatting>
  <conditionalFormatting sqref="I53">
    <cfRule type="cellIs" dxfId="3143" priority="67" stopIfTrue="1" operator="greaterThan">
      <formula>$F$68</formula>
    </cfRule>
    <cfRule type="cellIs" dxfId="3142" priority="66" stopIfTrue="1" operator="lessThanOrEqual">
      <formula>0</formula>
    </cfRule>
    <cfRule type="cellIs" dxfId="3141" priority="65" stopIfTrue="1" operator="greaterThan">
      <formula>$F$66</formula>
    </cfRule>
    <cfRule type="cellIs" dxfId="3140" priority="70" stopIfTrue="1" operator="lessThanOrEqual">
      <formula>0</formula>
    </cfRule>
    <cfRule type="cellIs" dxfId="3139" priority="69" stopIfTrue="1" operator="greaterThan">
      <formula>$F$66</formula>
    </cfRule>
    <cfRule type="cellIs" dxfId="3138" priority="68" stopIfTrue="1" operator="lessThanOrEqual">
      <formula>0</formula>
    </cfRule>
  </conditionalFormatting>
  <conditionalFormatting sqref="I54">
    <cfRule type="cellIs" dxfId="3137" priority="92" stopIfTrue="1" operator="lessThanOrEqual">
      <formula>0</formula>
    </cfRule>
    <cfRule type="cellIs" dxfId="3136" priority="91" stopIfTrue="1" operator="greaterThan">
      <formula>$F$66</formula>
    </cfRule>
    <cfRule type="cellIs" dxfId="3135" priority="96" stopIfTrue="1" operator="lessThanOrEqual">
      <formula>0</formula>
    </cfRule>
    <cfRule type="cellIs" dxfId="3134" priority="95" stopIfTrue="1" operator="greaterThan">
      <formula>$F$66</formula>
    </cfRule>
    <cfRule type="cellIs" dxfId="3133" priority="94" stopIfTrue="1" operator="lessThanOrEqual">
      <formula>0</formula>
    </cfRule>
    <cfRule type="cellIs" dxfId="3132" priority="93" stopIfTrue="1" operator="greaterThan">
      <formula>$F$68</formula>
    </cfRule>
  </conditionalFormatting>
  <conditionalFormatting sqref="I55">
    <cfRule type="cellIs" dxfId="3131" priority="36" stopIfTrue="1" operator="greaterThan">
      <formula>$F$68</formula>
    </cfRule>
    <cfRule type="cellIs" dxfId="3130" priority="35" stopIfTrue="1" operator="lessThanOrEqual">
      <formula>0</formula>
    </cfRule>
    <cfRule type="cellIs" dxfId="3129" priority="34" stopIfTrue="1" operator="greaterThan">
      <formula>$F$70</formula>
    </cfRule>
    <cfRule type="cellIs" dxfId="3128" priority="33" stopIfTrue="1" operator="lessThanOrEqual">
      <formula>0</formula>
    </cfRule>
    <cfRule type="cellIs" dxfId="3127" priority="32" stopIfTrue="1" operator="greaterThan">
      <formula>$F$68</formula>
    </cfRule>
    <cfRule type="cellIs" dxfId="3126" priority="37" stopIfTrue="1" operator="lessThanOrEqual">
      <formula>0</formula>
    </cfRule>
  </conditionalFormatting>
  <conditionalFormatting sqref="I56:I57">
    <cfRule type="cellIs" dxfId="3125" priority="107" stopIfTrue="1" operator="lessThanOrEqual">
      <formula>0</formula>
    </cfRule>
    <cfRule type="cellIs" dxfId="3124" priority="108" stopIfTrue="1" operator="greaterThan">
      <formula>$F$66</formula>
    </cfRule>
    <cfRule type="cellIs" dxfId="3123" priority="109" stopIfTrue="1" operator="lessThanOrEqual">
      <formula>0</formula>
    </cfRule>
    <cfRule type="cellIs" dxfId="3122" priority="104" stopIfTrue="1" operator="greaterThan">
      <formula>$F$66</formula>
    </cfRule>
    <cfRule type="cellIs" dxfId="3121" priority="105" stopIfTrue="1" operator="lessThanOrEqual">
      <formula>0</formula>
    </cfRule>
    <cfRule type="cellIs" dxfId="3120" priority="106" stopIfTrue="1" operator="greaterThan">
      <formula>$F$68</formula>
    </cfRule>
  </conditionalFormatting>
  <conditionalFormatting sqref="I58:I59">
    <cfRule type="cellIs" dxfId="3119" priority="143" stopIfTrue="1" operator="lessThanOrEqual">
      <formula>0</formula>
    </cfRule>
    <cfRule type="cellIs" dxfId="3118" priority="142" stopIfTrue="1" operator="greaterThan">
      <formula>#REF!</formula>
    </cfRule>
    <cfRule type="cellIs" dxfId="3117" priority="141" stopIfTrue="1" operator="lessThanOrEqual">
      <formula>0</formula>
    </cfRule>
    <cfRule type="cellIs" dxfId="3116" priority="140" stopIfTrue="1" operator="greaterThan">
      <formula>#REF!</formula>
    </cfRule>
  </conditionalFormatting>
  <conditionalFormatting sqref="I60">
    <cfRule type="cellIs" dxfId="3115" priority="155" stopIfTrue="1" operator="lessThanOrEqual">
      <formula>0</formula>
    </cfRule>
    <cfRule type="cellIs" dxfId="3114" priority="156" stopIfTrue="1" operator="greaterThan">
      <formula>$F$34</formula>
    </cfRule>
    <cfRule type="cellIs" dxfId="3113" priority="157" stopIfTrue="1" operator="lessThanOrEqual">
      <formula>0</formula>
    </cfRule>
    <cfRule type="cellIs" dxfId="3112" priority="152" stopIfTrue="1" operator="greaterThan">
      <formula>$F$34</formula>
    </cfRule>
    <cfRule type="cellIs" dxfId="3111" priority="153" stopIfTrue="1" operator="lessThanOrEqual">
      <formula>0</formula>
    </cfRule>
    <cfRule type="cellIs" dxfId="3110" priority="154" stopIfTrue="1" operator="greaterThan">
      <formula>$F$36</formula>
    </cfRule>
  </conditionalFormatting>
  <conditionalFormatting sqref="I61:I62">
    <cfRule type="cellIs" dxfId="3109" priority="131" stopIfTrue="1" operator="lessThanOrEqual">
      <formula>0</formula>
    </cfRule>
    <cfRule type="cellIs" dxfId="3108" priority="128" stopIfTrue="1" operator="greaterThan">
      <formula>#REF!</formula>
    </cfRule>
    <cfRule type="cellIs" dxfId="3107" priority="129" stopIfTrue="1" operator="lessThanOrEqual">
      <formula>0</formula>
    </cfRule>
    <cfRule type="cellIs" dxfId="3106" priority="130" stopIfTrue="1" operator="greaterThan">
      <formula>#REF!</formula>
    </cfRule>
  </conditionalFormatting>
  <conditionalFormatting sqref="I77:I85">
    <cfRule type="cellIs" dxfId="3105" priority="181" stopIfTrue="1" operator="lessThanOrEqual">
      <formula>0</formula>
    </cfRule>
    <cfRule type="cellIs" dxfId="3104" priority="180" stopIfTrue="1" operator="greaterThan">
      <formula>4.5</formula>
    </cfRule>
  </conditionalFormatting>
  <conditionalFormatting sqref="I10:J21">
    <cfRule type="cellIs" dxfId="3103" priority="20" operator="lessThan">
      <formula>97.9</formula>
    </cfRule>
  </conditionalFormatting>
  <conditionalFormatting sqref="J24:J26">
    <cfRule type="cellIs" dxfId="3102" priority="27" operator="lessThan">
      <formula>97.95</formula>
    </cfRule>
  </conditionalFormatting>
  <conditionalFormatting sqref="J26:J28">
    <cfRule type="cellIs" dxfId="3101" priority="162" operator="lessThan">
      <formula>97.4</formula>
    </cfRule>
  </conditionalFormatting>
  <conditionalFormatting sqref="J29:J30">
    <cfRule type="cellIs" dxfId="3100" priority="163" operator="lessThan">
      <formula>98</formula>
    </cfRule>
  </conditionalFormatting>
  <conditionalFormatting sqref="J31:J32">
    <cfRule type="cellIs" dxfId="3099" priority="164" stopIfTrue="1" operator="lessThan">
      <formula>96.8</formula>
    </cfRule>
    <cfRule type="cellIs" dxfId="3098" priority="165" stopIfTrue="1" operator="greaterThan">
      <formula>100</formula>
    </cfRule>
  </conditionalFormatting>
  <conditionalFormatting sqref="J31:J33">
    <cfRule type="cellIs" dxfId="3097" priority="166" operator="lessThan">
      <formula>98</formula>
    </cfRule>
  </conditionalFormatting>
  <conditionalFormatting sqref="J62">
    <cfRule type="cellIs" dxfId="3096" priority="123" stopIfTrue="1" operator="lessThanOrEqual">
      <formula>0</formula>
    </cfRule>
    <cfRule type="cellIs" dxfId="3095" priority="117" stopIfTrue="1" operator="lessThanOrEqual">
      <formula>0</formula>
    </cfRule>
    <cfRule type="cellIs" dxfId="3094" priority="116" stopIfTrue="1" operator="greaterThan">
      <formula>#REF!</formula>
    </cfRule>
    <cfRule type="cellIs" dxfId="3093" priority="118" stopIfTrue="1" operator="greaterThan">
      <formula>#REF!</formula>
    </cfRule>
    <cfRule type="cellIs" dxfId="3092" priority="119" stopIfTrue="1" operator="lessThanOrEqual">
      <formula>0</formula>
    </cfRule>
    <cfRule type="cellIs" dxfId="3091" priority="120" stopIfTrue="1" operator="greaterThan">
      <formula>#REF!</formula>
    </cfRule>
    <cfRule type="cellIs" dxfId="3090" priority="121" stopIfTrue="1" operator="lessThanOrEqual">
      <formula>0</formula>
    </cfRule>
    <cfRule type="cellIs" dxfId="3089" priority="122" stopIfTrue="1" operator="greaterThan">
      <formula>#REF!</formula>
    </cfRule>
  </conditionalFormatting>
  <conditionalFormatting sqref="J75">
    <cfRule type="cellIs" dxfId="3088" priority="55" stopIfTrue="1" operator="greaterThan">
      <formula>$F75</formula>
    </cfRule>
    <cfRule type="cellIs" dxfId="3087" priority="56" stopIfTrue="1" operator="lessThanOrEqual">
      <formula>0</formula>
    </cfRule>
  </conditionalFormatting>
  <conditionalFormatting sqref="K10:K21">
    <cfRule type="cellIs" dxfId="3086" priority="22" operator="lessThan">
      <formula>4</formula>
    </cfRule>
    <cfRule type="cellIs" dxfId="3085" priority="23" operator="greaterThan">
      <formula>6.4</formula>
    </cfRule>
    <cfRule type="cellIs" dxfId="3084" priority="21" operator="greaterThan">
      <formula>6</formula>
    </cfRule>
  </conditionalFormatting>
  <conditionalFormatting sqref="K53:K62">
    <cfRule type="cellIs" dxfId="3083" priority="101" stopIfTrue="1" operator="lessThan">
      <formula>100%</formula>
    </cfRule>
  </conditionalFormatting>
  <conditionalFormatting sqref="K66:K74">
    <cfRule type="cellIs" dxfId="3082" priority="45" stopIfTrue="1" operator="lessThan">
      <formula>100%</formula>
    </cfRule>
  </conditionalFormatting>
  <conditionalFormatting sqref="K77:K82">
    <cfRule type="cellIs" dxfId="3081" priority="186" stopIfTrue="1" operator="lessThan">
      <formula>100%</formula>
    </cfRule>
  </conditionalFormatting>
  <conditionalFormatting sqref="K84:K85">
    <cfRule type="cellIs" dxfId="3080" priority="193" stopIfTrue="1" operator="lessThan">
      <formula>100%</formula>
    </cfRule>
  </conditionalFormatting>
  <conditionalFormatting sqref="L10:L21">
    <cfRule type="cellIs" dxfId="3079" priority="18" operator="greaterThan">
      <formula>65</formula>
    </cfRule>
    <cfRule type="cellIs" dxfId="3078" priority="17" operator="between">
      <formula>61</formula>
      <formula>65</formula>
    </cfRule>
  </conditionalFormatting>
  <conditionalFormatting sqref="L24:M35">
    <cfRule type="cellIs" dxfId="3077" priority="26" operator="lessThan">
      <formula>97.95</formula>
    </cfRule>
  </conditionalFormatting>
  <conditionalFormatting sqref="L39:N39">
    <cfRule type="cellIs" dxfId="3076" priority="16" operator="notEqual">
      <formula>#REF!</formula>
    </cfRule>
  </conditionalFormatting>
  <conditionalFormatting sqref="L66:N75">
    <cfRule type="cellIs" dxfId="3075" priority="42" stopIfTrue="1" operator="lessThan">
      <formula>100%</formula>
    </cfRule>
  </conditionalFormatting>
  <conditionalFormatting sqref="L77:N85">
    <cfRule type="cellIs" dxfId="3074" priority="171" stopIfTrue="1" operator="lessThan">
      <formula>100%</formula>
    </cfRule>
  </conditionalFormatting>
  <conditionalFormatting sqref="M20:M21">
    <cfRule type="expression" dxfId="3073" priority="13">
      <formula>IF(+(IF(M20&lt;U20,0,IF(M20&gt;V20,0,1)))=0,1)</formula>
    </cfRule>
  </conditionalFormatting>
  <conditionalFormatting sqref="N10:N21">
    <cfRule type="expression" dxfId="3072" priority="19">
      <formula>IF(+(IF(N10&lt;W10,0,IF(N10&gt;X10,0,1)))=0,1)</formula>
    </cfRule>
  </conditionalFormatting>
  <conditionalFormatting sqref="P6">
    <cfRule type="cellIs" dxfId="3071" priority="167" operator="greaterThanOrEqual">
      <formula>19</formula>
    </cfRule>
  </conditionalFormatting>
  <dataValidations count="1">
    <dataValidation type="list" allowBlank="1" showInputMessage="1" showErrorMessage="1" sqref="R8" xr:uid="{57A4812C-8E84-437F-BA51-57C82A57D67A}">
      <formula1>ProductList</formula1>
    </dataValidation>
  </dataValidations>
  <pageMargins left="0.7" right="0.7" top="0.75" bottom="0.75" header="0.3" footer="0.3"/>
  <pageSetup scale="40" fitToWidth="0" orientation="landscape" r:id="rId1"/>
  <rowBreaks count="1" manualBreakCount="1">
    <brk id="79" max="16383" man="1"/>
  </rowBreaks>
  <colBreaks count="1" manualBreakCount="1">
    <brk id="15" max="89" man="1"/>
  </colBreaks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187B4C-81BF-42D7-AD79-4710631B8C22}">
  <sheetPr>
    <pageSetUpPr fitToPage="1"/>
  </sheetPr>
  <dimension ref="A1:BE75"/>
  <sheetViews>
    <sheetView topLeftCell="A5" zoomScale="85" zoomScaleNormal="85" workbookViewId="0">
      <selection activeCell="E10" sqref="E10:E16"/>
    </sheetView>
  </sheetViews>
  <sheetFormatPr defaultColWidth="9.42578125" defaultRowHeight="14.25"/>
  <cols>
    <col min="1" max="1" width="7.28515625" style="275" customWidth="1"/>
    <col min="2" max="2" width="31.28515625" style="275" customWidth="1"/>
    <col min="3" max="3" width="22.28515625" style="275" customWidth="1"/>
    <col min="4" max="7" width="16.5703125" style="275" customWidth="1"/>
    <col min="8" max="8" width="20.7109375" style="275" customWidth="1"/>
    <col min="9" max="9" width="31.42578125" style="275" customWidth="1"/>
    <col min="10" max="10" width="35.28515625" style="275" customWidth="1"/>
    <col min="11" max="11" width="29" style="275" customWidth="1"/>
    <col min="12" max="12" width="17.28515625" style="275" bestFit="1" customWidth="1"/>
    <col min="13" max="13" width="23.28515625" style="275" customWidth="1"/>
    <col min="14" max="14" width="13.7109375" style="275" bestFit="1" customWidth="1"/>
    <col min="15" max="15" width="17.5703125" style="275" customWidth="1"/>
    <col min="16" max="16" width="109.28515625" style="6" customWidth="1"/>
    <col min="17" max="17" width="16.5703125" style="275" customWidth="1"/>
    <col min="18" max="18" width="15.7109375" style="275" bestFit="1" customWidth="1"/>
    <col min="19" max="19" width="12.42578125" style="275" customWidth="1"/>
    <col min="20" max="20" width="15" style="275" customWidth="1"/>
    <col min="21" max="21" width="12" style="275" customWidth="1"/>
    <col min="22" max="22" width="10.42578125" style="275" customWidth="1"/>
    <col min="23" max="23" width="11.42578125" style="275" customWidth="1"/>
    <col min="24" max="24" width="10.42578125" style="275" customWidth="1"/>
    <col min="25" max="25" width="8.42578125" style="275" customWidth="1"/>
    <col min="26" max="26" width="9.5703125" style="275" customWidth="1"/>
    <col min="27" max="27" width="8.42578125" style="275" customWidth="1"/>
    <col min="28" max="29" width="7.5703125" style="275" customWidth="1"/>
    <col min="30" max="51" width="9.42578125" style="275"/>
    <col min="52" max="52" width="1.5703125" style="275" customWidth="1"/>
    <col min="53" max="54" width="9.42578125" style="275"/>
    <col min="55" max="56" width="15.42578125" style="275" customWidth="1"/>
    <col min="57" max="16384" width="9.42578125" style="275"/>
  </cols>
  <sheetData>
    <row r="1" spans="2:29" ht="1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R1" s="467"/>
      <c r="S1" s="553" t="s">
        <v>0</v>
      </c>
      <c r="T1" s="553"/>
      <c r="U1" s="553" t="s">
        <v>1</v>
      </c>
      <c r="V1" s="553"/>
      <c r="W1" s="553" t="s">
        <v>2</v>
      </c>
      <c r="X1" s="553"/>
      <c r="Y1" s="553" t="s">
        <v>124</v>
      </c>
      <c r="Z1" s="553"/>
    </row>
    <row r="2" spans="2:29" ht="15">
      <c r="B2" s="554" t="s">
        <v>3</v>
      </c>
      <c r="C2" s="554"/>
      <c r="D2" s="554"/>
      <c r="E2" s="554"/>
      <c r="F2" s="554"/>
      <c r="G2" s="554"/>
      <c r="H2" s="554"/>
      <c r="I2" s="554"/>
      <c r="J2" s="554"/>
      <c r="K2" s="554"/>
      <c r="L2" s="554"/>
      <c r="M2" s="554"/>
      <c r="N2" s="554"/>
      <c r="O2" s="554"/>
      <c r="P2" s="4"/>
      <c r="R2" s="467"/>
      <c r="S2" s="467" t="s">
        <v>4</v>
      </c>
      <c r="T2" s="467" t="s">
        <v>5</v>
      </c>
      <c r="U2" s="467" t="s">
        <v>4</v>
      </c>
      <c r="V2" s="467" t="s">
        <v>5</v>
      </c>
      <c r="W2" s="467" t="s">
        <v>4</v>
      </c>
      <c r="X2" s="467" t="s">
        <v>5</v>
      </c>
      <c r="Y2" s="467" t="s">
        <v>4</v>
      </c>
      <c r="Z2" s="467" t="s">
        <v>5</v>
      </c>
    </row>
    <row r="3" spans="2:29" ht="14.25" customHeight="1">
      <c r="B3" s="5"/>
      <c r="R3" s="467" t="s">
        <v>6</v>
      </c>
      <c r="S3" s="468">
        <v>11.6</v>
      </c>
      <c r="T3" s="469">
        <v>12</v>
      </c>
      <c r="U3" s="9">
        <v>0</v>
      </c>
      <c r="V3" s="10">
        <v>0.118055555555556</v>
      </c>
      <c r="W3" s="10">
        <v>0.22569444444444445</v>
      </c>
      <c r="X3" s="10">
        <v>0.2638888888888889</v>
      </c>
      <c r="Y3" s="470">
        <v>0</v>
      </c>
      <c r="Z3" s="468">
        <v>60</v>
      </c>
      <c r="AB3" s="275" t="s">
        <v>135</v>
      </c>
    </row>
    <row r="4" spans="2:29" ht="30.75" customHeight="1">
      <c r="B4" s="301" t="s">
        <v>133</v>
      </c>
      <c r="C4" s="419">
        <v>46274</v>
      </c>
      <c r="J4" s="398" t="s">
        <v>153</v>
      </c>
      <c r="K4" s="398"/>
      <c r="L4" s="11"/>
      <c r="M4" s="555" t="s">
        <v>8</v>
      </c>
      <c r="N4" s="556"/>
      <c r="P4" s="12"/>
      <c r="R4" s="467" t="s">
        <v>9</v>
      </c>
      <c r="S4" s="468">
        <v>11.6</v>
      </c>
      <c r="T4" s="469">
        <v>12</v>
      </c>
      <c r="U4" s="9">
        <v>0</v>
      </c>
      <c r="V4" s="10">
        <v>0.118055555555556</v>
      </c>
      <c r="W4" s="10">
        <v>0.22569444444444445</v>
      </c>
      <c r="X4" s="10">
        <v>0.2638888888888889</v>
      </c>
      <c r="Y4" s="470">
        <v>0</v>
      </c>
      <c r="Z4" s="468">
        <v>60</v>
      </c>
      <c r="AA4" s="13"/>
      <c r="AB4" s="13"/>
      <c r="AC4" s="13"/>
    </row>
    <row r="5" spans="2:29" ht="12.75" customHeight="1" thickBot="1">
      <c r="B5" s="1"/>
      <c r="C5" s="549"/>
      <c r="D5" s="549"/>
      <c r="J5" s="403"/>
      <c r="K5" s="403"/>
      <c r="L5" s="11"/>
      <c r="M5" s="14" t="s">
        <v>10</v>
      </c>
      <c r="N5" s="14" t="s">
        <v>11</v>
      </c>
      <c r="P5" s="12"/>
      <c r="R5" s="467" t="s">
        <v>12</v>
      </c>
      <c r="S5" s="468">
        <v>17</v>
      </c>
      <c r="T5" s="469">
        <v>17.5</v>
      </c>
      <c r="U5" s="9">
        <v>0</v>
      </c>
      <c r="V5" s="10">
        <v>0.1076388888888889</v>
      </c>
      <c r="W5" s="10">
        <v>0.24652777777777779</v>
      </c>
      <c r="X5" s="10">
        <v>0.28472222222222221</v>
      </c>
      <c r="Y5" s="470">
        <v>0</v>
      </c>
      <c r="Z5" s="471">
        <v>60</v>
      </c>
      <c r="AA5" s="13"/>
      <c r="AB5" s="13"/>
      <c r="AC5" s="13"/>
    </row>
    <row r="6" spans="2:29" ht="14.25" customHeight="1">
      <c r="B6" s="15"/>
      <c r="C6" s="1"/>
      <c r="D6" s="1"/>
      <c r="J6" s="399" t="s">
        <v>168</v>
      </c>
      <c r="K6" s="400"/>
      <c r="L6" s="311" t="s">
        <v>14</v>
      </c>
      <c r="M6" s="340"/>
      <c r="N6" s="340"/>
      <c r="P6" s="16"/>
      <c r="R6" s="467" t="s">
        <v>15</v>
      </c>
      <c r="S6" s="468">
        <v>13.3</v>
      </c>
      <c r="T6" s="469">
        <v>13.5</v>
      </c>
      <c r="U6" s="9">
        <v>0</v>
      </c>
      <c r="V6" s="9">
        <v>0.12905092592592593</v>
      </c>
      <c r="W6" s="10">
        <v>0.27430555555555552</v>
      </c>
      <c r="X6" s="10">
        <v>0.30208333333333331</v>
      </c>
      <c r="Y6" s="470">
        <v>0</v>
      </c>
      <c r="Z6" s="471"/>
      <c r="AA6" s="13"/>
      <c r="AB6" s="13"/>
      <c r="AC6" s="13"/>
    </row>
    <row r="7" spans="2:29" ht="13.35" customHeight="1" thickBot="1">
      <c r="J7" s="401"/>
      <c r="K7" s="402"/>
      <c r="R7" s="467" t="s">
        <v>16</v>
      </c>
      <c r="S7" s="468">
        <v>17</v>
      </c>
      <c r="T7" s="469">
        <v>17.399999999999999</v>
      </c>
      <c r="U7" s="9">
        <v>0</v>
      </c>
      <c r="V7" s="9">
        <v>0.13605324074074074</v>
      </c>
      <c r="W7" s="10">
        <v>0.27430555555555552</v>
      </c>
      <c r="X7" s="10">
        <v>0.30902777777777779</v>
      </c>
      <c r="Y7" s="470">
        <v>0</v>
      </c>
      <c r="Z7" s="471">
        <v>85</v>
      </c>
      <c r="AA7" s="13"/>
      <c r="AB7" s="13"/>
      <c r="AC7" s="13"/>
    </row>
    <row r="8" spans="2:29" ht="25.5" customHeight="1">
      <c r="B8" s="507" t="s">
        <v>17</v>
      </c>
      <c r="C8" s="516" t="s">
        <v>18</v>
      </c>
      <c r="D8" s="516" t="s">
        <v>19</v>
      </c>
      <c r="E8" s="356" t="s">
        <v>20</v>
      </c>
      <c r="F8" s="356" t="s">
        <v>21</v>
      </c>
      <c r="G8" s="516" t="s">
        <v>22</v>
      </c>
      <c r="H8" s="551" t="s">
        <v>144</v>
      </c>
      <c r="I8" s="516" t="s">
        <v>167</v>
      </c>
      <c r="J8" s="542" t="s">
        <v>23</v>
      </c>
      <c r="K8" s="544" t="s">
        <v>142</v>
      </c>
      <c r="L8" s="546" t="s">
        <v>24</v>
      </c>
      <c r="M8" s="359" t="s">
        <v>25</v>
      </c>
      <c r="N8" s="17" t="s">
        <v>166</v>
      </c>
      <c r="O8" s="516" t="s">
        <v>155</v>
      </c>
      <c r="P8" s="548"/>
      <c r="R8" s="467" t="s">
        <v>125</v>
      </c>
      <c r="S8" s="468">
        <v>16.600000000000001</v>
      </c>
      <c r="T8" s="469">
        <v>17</v>
      </c>
      <c r="U8" s="9">
        <v>0</v>
      </c>
      <c r="V8" s="9">
        <v>0.12905092592592593</v>
      </c>
      <c r="W8" s="10">
        <v>0.27430555555555552</v>
      </c>
      <c r="X8" s="10">
        <v>0.30208333333333331</v>
      </c>
      <c r="Y8" s="470">
        <v>0</v>
      </c>
      <c r="Z8" s="471"/>
    </row>
    <row r="9" spans="2:29" ht="36" customHeight="1">
      <c r="B9" s="550"/>
      <c r="C9" s="541"/>
      <c r="D9" s="541"/>
      <c r="E9" s="357" t="s">
        <v>30</v>
      </c>
      <c r="F9" s="357" t="s">
        <v>31</v>
      </c>
      <c r="G9" s="541"/>
      <c r="H9" s="552"/>
      <c r="I9" s="541"/>
      <c r="J9" s="543"/>
      <c r="K9" s="545"/>
      <c r="L9" s="547"/>
      <c r="M9" s="20" t="s">
        <v>32</v>
      </c>
      <c r="N9" s="21" t="s">
        <v>41</v>
      </c>
      <c r="O9" s="541"/>
      <c r="P9" s="541"/>
      <c r="R9" s="467" t="s">
        <v>33</v>
      </c>
      <c r="S9" s="468">
        <v>14.2</v>
      </c>
      <c r="T9" s="469">
        <v>14.6</v>
      </c>
      <c r="U9" s="9">
        <v>0</v>
      </c>
      <c r="V9" s="9">
        <v>0.13905092592592591</v>
      </c>
      <c r="W9" s="10">
        <v>0.26041666666666669</v>
      </c>
      <c r="X9" s="10">
        <v>0.2951388888888889</v>
      </c>
      <c r="Y9" s="470">
        <v>0</v>
      </c>
      <c r="Z9" s="471">
        <v>75</v>
      </c>
    </row>
    <row r="10" spans="2:29" ht="15" customHeight="1">
      <c r="B10" s="33" t="s">
        <v>9</v>
      </c>
      <c r="C10" s="366" t="str">
        <f>[5]Brewhouse!$A372</f>
        <v>ST314</v>
      </c>
      <c r="D10" s="279">
        <f>[5]Brewhouse!$AB372</f>
        <v>53</v>
      </c>
      <c r="E10" s="279">
        <f>[5]Brewhouse!$AG372</f>
        <v>51.6</v>
      </c>
      <c r="F10" s="278">
        <f>[5]Brewhouse!$V372</f>
        <v>54</v>
      </c>
      <c r="G10" s="279">
        <f>[5]Brewhouse!$AE372</f>
        <v>11.9</v>
      </c>
      <c r="H10" s="396">
        <v>11.9</v>
      </c>
      <c r="I10" s="368">
        <f>[5]Brewhouse!$AS372</f>
        <v>103.67708915402727</v>
      </c>
      <c r="J10" s="368">
        <f>[5]Brewhouse!$AT372</f>
        <v>105.05058459876861</v>
      </c>
      <c r="K10" s="281">
        <f>[5]Brewhouse!$Q372</f>
        <v>6.7452830188679158</v>
      </c>
      <c r="L10" s="276">
        <f>[5]Brewhouse!$P372</f>
        <v>61</v>
      </c>
      <c r="M10" s="374">
        <f>[5]Brewhouse!$U372-[5]Brewhouse!$T372</f>
        <v>0.12083333333333335</v>
      </c>
      <c r="N10" s="370">
        <f>[5]Brewhouse!$AW372</f>
        <v>0.34652777777777777</v>
      </c>
      <c r="O10" s="420" t="str">
        <f>[5]Brewhouse!$AV372</f>
        <v>R. Regis</v>
      </c>
      <c r="P10" s="418"/>
      <c r="R10" s="277" t="str">
        <f t="shared" ref="R10:R16" si="0">B10</f>
        <v>STAG</v>
      </c>
      <c r="S10" s="472">
        <f t="shared" ref="S10:S16" si="1">VLOOKUP($B10,$R$3:$X$9,2,FALSE)</f>
        <v>11.6</v>
      </c>
      <c r="T10" s="472">
        <f t="shared" ref="T10:T16" si="2">VLOOKUP($B10,$R$3:$X$9,3,FALSE)</f>
        <v>12</v>
      </c>
      <c r="U10" s="297">
        <f t="shared" ref="U10:U16" si="3">VLOOKUP($B10,$R$3:$X$9,4,FALSE)</f>
        <v>0</v>
      </c>
      <c r="V10" s="297">
        <f t="shared" ref="V10:V16" si="4">VLOOKUP($B10,$R$3:$X$9,5,FALSE)</f>
        <v>0.118055555555556</v>
      </c>
      <c r="W10" s="297">
        <f t="shared" ref="W10:W16" si="5">VLOOKUP($B10,$R$3:$X$9,6,FALSE)</f>
        <v>0.22569444444444445</v>
      </c>
      <c r="X10" s="297">
        <f t="shared" ref="X10:X16" si="6">VLOOKUP($B10,$R$3:$X$9,7,FALSE)</f>
        <v>0.2638888888888889</v>
      </c>
      <c r="Y10" s="297">
        <f t="shared" ref="Y10:Y16" si="7">VLOOKUP($B10,$R$3:$Z$9,8,FALSE)</f>
        <v>0</v>
      </c>
      <c r="Z10" s="472">
        <f t="shared" ref="Z10:Z16" si="8">VLOOKUP($B10,$R$3:$Z$9,9,FALSE)</f>
        <v>60</v>
      </c>
    </row>
    <row r="11" spans="2:29" ht="15" customHeight="1">
      <c r="B11" s="33"/>
      <c r="C11" s="366"/>
      <c r="D11" s="279"/>
      <c r="E11" s="279"/>
      <c r="F11" s="278"/>
      <c r="G11" s="279"/>
      <c r="H11" s="396"/>
      <c r="I11" s="368"/>
      <c r="J11" s="368"/>
      <c r="K11" s="281"/>
      <c r="L11" s="276"/>
      <c r="M11" s="374"/>
      <c r="N11" s="370"/>
      <c r="O11" s="420"/>
      <c r="P11" s="418"/>
      <c r="R11" s="277">
        <f t="shared" si="0"/>
        <v>0</v>
      </c>
      <c r="S11" s="472" t="e">
        <f t="shared" si="1"/>
        <v>#N/A</v>
      </c>
      <c r="T11" s="472" t="e">
        <f t="shared" si="2"/>
        <v>#N/A</v>
      </c>
      <c r="U11" s="297" t="e">
        <f t="shared" si="3"/>
        <v>#N/A</v>
      </c>
      <c r="V11" s="297" t="e">
        <f t="shared" si="4"/>
        <v>#N/A</v>
      </c>
      <c r="W11" s="297" t="e">
        <f t="shared" si="5"/>
        <v>#N/A</v>
      </c>
      <c r="X11" s="297" t="e">
        <f t="shared" si="6"/>
        <v>#N/A</v>
      </c>
      <c r="Y11" s="297" t="e">
        <f t="shared" si="7"/>
        <v>#N/A</v>
      </c>
      <c r="Z11" s="472" t="e">
        <f t="shared" si="8"/>
        <v>#N/A</v>
      </c>
    </row>
    <row r="12" spans="2:29" ht="15" customHeight="1">
      <c r="B12" s="29" t="s">
        <v>6</v>
      </c>
      <c r="C12" s="366" t="str">
        <f>[4]Brewhouse!$A716</f>
        <v>CA667</v>
      </c>
      <c r="D12" s="279">
        <f>[4]Brewhouse!$AF716</f>
        <v>49.4</v>
      </c>
      <c r="E12" s="279">
        <f>[4]Brewhouse!$AI716</f>
        <v>51.6</v>
      </c>
      <c r="F12" s="278">
        <f>[4]Brewhouse!$V716</f>
        <v>60</v>
      </c>
      <c r="G12" s="279">
        <f>[4]Brewhouse!AG716</f>
        <v>11.4</v>
      </c>
      <c r="H12" s="493">
        <v>11.5</v>
      </c>
      <c r="I12" s="368">
        <f>[4]Brewhouse!$AU716</f>
        <v>97.406889141099541</v>
      </c>
      <c r="J12" s="368">
        <f>[4]Brewhouse!$AV716</f>
        <v>98.958332527536214</v>
      </c>
      <c r="K12" s="281">
        <f>[4]Brewhouse!$Q716</f>
        <v>10.018484288354902</v>
      </c>
      <c r="L12" s="276">
        <f>[4]Brewhouse!$P716</f>
        <v>61</v>
      </c>
      <c r="M12" s="374">
        <f>[4]Brewhouse!$U716-[4]Brewhouse!$T716</f>
        <v>0.12222222222222223</v>
      </c>
      <c r="N12" s="370">
        <f>[4]Brewhouse!$Z716</f>
        <v>0.27986111111111106</v>
      </c>
      <c r="O12" s="420" t="str">
        <f>[4]Brewhouse!$AX716</f>
        <v>R. Sookram</v>
      </c>
      <c r="P12" s="418"/>
      <c r="R12" s="277" t="str">
        <f t="shared" si="0"/>
        <v>CARIB</v>
      </c>
      <c r="S12" s="472">
        <f t="shared" si="1"/>
        <v>11.6</v>
      </c>
      <c r="T12" s="472">
        <f t="shared" si="2"/>
        <v>12</v>
      </c>
      <c r="U12" s="297">
        <f t="shared" si="3"/>
        <v>0</v>
      </c>
      <c r="V12" s="297">
        <f t="shared" si="4"/>
        <v>0.118055555555556</v>
      </c>
      <c r="W12" s="297">
        <f t="shared" si="5"/>
        <v>0.22569444444444445</v>
      </c>
      <c r="X12" s="297">
        <f t="shared" si="6"/>
        <v>0.2638888888888889</v>
      </c>
      <c r="Y12" s="297">
        <f t="shared" si="7"/>
        <v>0</v>
      </c>
      <c r="Z12" s="472">
        <f t="shared" si="8"/>
        <v>60</v>
      </c>
    </row>
    <row r="13" spans="2:29" ht="15" customHeight="1">
      <c r="B13" s="29" t="s">
        <v>6</v>
      </c>
      <c r="C13" s="366" t="str">
        <f>[4]Brewhouse!$A717</f>
        <v>CA668</v>
      </c>
      <c r="D13" s="279">
        <f>[4]Brewhouse!$AF717</f>
        <v>49.1</v>
      </c>
      <c r="E13" s="279">
        <f>[4]Brewhouse!$AI717</f>
        <v>49.5</v>
      </c>
      <c r="F13" s="278">
        <f>[4]Brewhouse!$V717</f>
        <v>54</v>
      </c>
      <c r="G13" s="279">
        <f>[4]Brewhouse!AG717</f>
        <v>12</v>
      </c>
      <c r="H13" s="493">
        <v>12.2</v>
      </c>
      <c r="I13" s="368">
        <f>[4]Brewhouse!$AU717</f>
        <v>98.502058292495235</v>
      </c>
      <c r="J13" s="368">
        <f>[4]Brewhouse!$AV717</f>
        <v>100.07104960823823</v>
      </c>
      <c r="K13" s="281">
        <f>[4]Brewhouse!$Q717</f>
        <v>10.407407407407403</v>
      </c>
      <c r="L13" s="276">
        <f>[4]Brewhouse!$P717</f>
        <v>60</v>
      </c>
      <c r="M13" s="374">
        <f>[4]Brewhouse!$U717-[4]Brewhouse!$T717</f>
        <v>0.1118055555555556</v>
      </c>
      <c r="N13" s="370">
        <f>[4]Brewhouse!$Z717</f>
        <v>0.30000000000000004</v>
      </c>
      <c r="O13" s="420" t="str">
        <f>[4]Brewhouse!$AX717</f>
        <v>R. Sookram</v>
      </c>
      <c r="P13" s="418"/>
      <c r="R13" s="277" t="str">
        <f t="shared" si="0"/>
        <v>CARIB</v>
      </c>
      <c r="S13" s="472">
        <f t="shared" si="1"/>
        <v>11.6</v>
      </c>
      <c r="T13" s="472">
        <f t="shared" si="2"/>
        <v>12</v>
      </c>
      <c r="U13" s="297">
        <f t="shared" si="3"/>
        <v>0</v>
      </c>
      <c r="V13" s="297">
        <f t="shared" si="4"/>
        <v>0.118055555555556</v>
      </c>
      <c r="W13" s="297">
        <f t="shared" si="5"/>
        <v>0.22569444444444445</v>
      </c>
      <c r="X13" s="297">
        <f t="shared" si="6"/>
        <v>0.2638888888888889</v>
      </c>
      <c r="Y13" s="297">
        <f t="shared" si="7"/>
        <v>0</v>
      </c>
      <c r="Z13" s="472">
        <f t="shared" si="8"/>
        <v>60</v>
      </c>
    </row>
    <row r="14" spans="2:29" ht="15" customHeight="1">
      <c r="B14" s="29" t="s">
        <v>6</v>
      </c>
      <c r="C14" s="366" t="str">
        <f>[4]Brewhouse!$A718</f>
        <v>CA669</v>
      </c>
      <c r="D14" s="279">
        <f>[4]Brewhouse!$AF718</f>
        <v>49</v>
      </c>
      <c r="E14" s="279">
        <f>[4]Brewhouse!$AI718</f>
        <v>49.6</v>
      </c>
      <c r="F14" s="278">
        <f>[4]Brewhouse!$V718</f>
        <v>57</v>
      </c>
      <c r="G14" s="279">
        <f>[4]Brewhouse!AG718</f>
        <v>11.7</v>
      </c>
      <c r="H14" s="396">
        <v>11.8</v>
      </c>
      <c r="I14" s="368">
        <f>[4]Brewhouse!$AU718</f>
        <v>98.31722610678014</v>
      </c>
      <c r="J14" s="368">
        <f>[4]Brewhouse!$AV718</f>
        <v>99.881351871296076</v>
      </c>
      <c r="K14" s="281">
        <f>[4]Brewhouse!$Q718</f>
        <v>12.074074074074066</v>
      </c>
      <c r="L14" s="276">
        <f>[4]Brewhouse!$P718</f>
        <v>60</v>
      </c>
      <c r="M14" s="374">
        <f>[4]Brewhouse!$U718-[4]Brewhouse!$T718</f>
        <v>0.11458333333333337</v>
      </c>
      <c r="N14" s="370">
        <f>[4]Brewhouse!$Z718</f>
        <v>0.25138888888888888</v>
      </c>
      <c r="O14" s="420" t="str">
        <f>[4]Brewhouse!$AX718</f>
        <v>K. Benjamin</v>
      </c>
      <c r="P14" s="418"/>
      <c r="R14" s="277" t="str">
        <f t="shared" si="0"/>
        <v>CARIB</v>
      </c>
      <c r="S14" s="472">
        <f t="shared" si="1"/>
        <v>11.6</v>
      </c>
      <c r="T14" s="472">
        <f t="shared" si="2"/>
        <v>12</v>
      </c>
      <c r="U14" s="297">
        <f t="shared" si="3"/>
        <v>0</v>
      </c>
      <c r="V14" s="297">
        <f t="shared" si="4"/>
        <v>0.118055555555556</v>
      </c>
      <c r="W14" s="297">
        <f t="shared" si="5"/>
        <v>0.22569444444444445</v>
      </c>
      <c r="X14" s="297">
        <f t="shared" si="6"/>
        <v>0.2638888888888889</v>
      </c>
      <c r="Y14" s="297">
        <f t="shared" si="7"/>
        <v>0</v>
      </c>
      <c r="Z14" s="472">
        <f t="shared" si="8"/>
        <v>60</v>
      </c>
    </row>
    <row r="15" spans="2:29" ht="15" customHeight="1">
      <c r="B15" s="29" t="s">
        <v>6</v>
      </c>
      <c r="C15" s="366" t="str">
        <f>[4]Brewhouse!$A719</f>
        <v>CA670</v>
      </c>
      <c r="D15" s="279">
        <f>[4]Brewhouse!$AF719</f>
        <v>50.7</v>
      </c>
      <c r="E15" s="279">
        <f>[4]Brewhouse!$AI719</f>
        <v>51.3</v>
      </c>
      <c r="F15" s="278">
        <f>[4]Brewhouse!$V719</f>
        <v>58</v>
      </c>
      <c r="G15" s="279">
        <f>[4]Brewhouse!AG719</f>
        <v>11.7</v>
      </c>
      <c r="H15" s="396">
        <v>11.9</v>
      </c>
      <c r="I15" s="368">
        <f>[4]Brewhouse!$AU719</f>
        <v>101.29884115103513</v>
      </c>
      <c r="J15" s="368">
        <f>[4]Brewhouse!$AV719</f>
        <v>102.91073758372262</v>
      </c>
      <c r="K15" s="281">
        <f>[4]Brewhouse!$Q719</f>
        <v>8.9259259259259256</v>
      </c>
      <c r="L15" s="276">
        <f>[4]Brewhouse!$P719</f>
        <v>60</v>
      </c>
      <c r="M15" s="374">
        <f>[4]Brewhouse!$U719-[4]Brewhouse!$T719</f>
        <v>0.11249999999999993</v>
      </c>
      <c r="N15" s="370">
        <f>[4]Brewhouse!$Z719</f>
        <v>0.26111111111111107</v>
      </c>
      <c r="O15" s="420" t="str">
        <f>[4]Brewhouse!$AX719</f>
        <v>K. Benjamin</v>
      </c>
      <c r="P15" s="418"/>
      <c r="R15" s="277" t="str">
        <f t="shared" si="0"/>
        <v>CARIB</v>
      </c>
      <c r="S15" s="472">
        <f t="shared" si="1"/>
        <v>11.6</v>
      </c>
      <c r="T15" s="472">
        <f t="shared" si="2"/>
        <v>12</v>
      </c>
      <c r="U15" s="297">
        <f t="shared" si="3"/>
        <v>0</v>
      </c>
      <c r="V15" s="297">
        <f t="shared" si="4"/>
        <v>0.118055555555556</v>
      </c>
      <c r="W15" s="297">
        <f t="shared" si="5"/>
        <v>0.22569444444444445</v>
      </c>
      <c r="X15" s="297">
        <f t="shared" si="6"/>
        <v>0.2638888888888889</v>
      </c>
      <c r="Y15" s="297">
        <f t="shared" si="7"/>
        <v>0</v>
      </c>
      <c r="Z15" s="472">
        <f t="shared" si="8"/>
        <v>60</v>
      </c>
    </row>
    <row r="16" spans="2:29" ht="15" customHeight="1">
      <c r="B16" s="29" t="s">
        <v>6</v>
      </c>
      <c r="C16" s="366" t="str">
        <f>[4]Brewhouse!$A720</f>
        <v>CA671</v>
      </c>
      <c r="D16" s="279">
        <f>[4]Brewhouse!$AF720</f>
        <v>49.7</v>
      </c>
      <c r="E16" s="279">
        <f>[4]Brewhouse!$AI720</f>
        <v>50.3</v>
      </c>
      <c r="F16" s="278">
        <f>[4]Brewhouse!$V720</f>
        <v>58</v>
      </c>
      <c r="G16" s="279">
        <f>[4]Brewhouse!AG720</f>
        <v>11.8</v>
      </c>
      <c r="H16" s="396">
        <v>11.8</v>
      </c>
      <c r="I16" s="368">
        <f>[4]Brewhouse!$AU720</f>
        <v>100.09020957845156</v>
      </c>
      <c r="J16" s="368">
        <f>[4]Brewhouse!$AV720</f>
        <v>101.68298409826757</v>
      </c>
      <c r="K16" s="281">
        <f>[4]Brewhouse!$Q720</f>
        <v>10.757855822550832</v>
      </c>
      <c r="L16" s="276">
        <f>[4]Brewhouse!$P720</f>
        <v>60</v>
      </c>
      <c r="M16" s="374">
        <f>[4]Brewhouse!$U720-[4]Brewhouse!$T720</f>
        <v>0.1166666666666667</v>
      </c>
      <c r="N16" s="370">
        <f>[4]Brewhouse!$Z720</f>
        <v>0.27847222222222223</v>
      </c>
      <c r="O16" s="420" t="str">
        <f>[4]Brewhouse!$AX720</f>
        <v>K. Benjamin</v>
      </c>
      <c r="P16" s="418"/>
      <c r="R16" s="277" t="str">
        <f t="shared" si="0"/>
        <v>CARIB</v>
      </c>
      <c r="S16" s="472">
        <f t="shared" si="1"/>
        <v>11.6</v>
      </c>
      <c r="T16" s="472">
        <f t="shared" si="2"/>
        <v>12</v>
      </c>
      <c r="U16" s="297">
        <f t="shared" si="3"/>
        <v>0</v>
      </c>
      <c r="V16" s="297">
        <f t="shared" si="4"/>
        <v>0.118055555555556</v>
      </c>
      <c r="W16" s="297">
        <f t="shared" si="5"/>
        <v>0.22569444444444445</v>
      </c>
      <c r="X16" s="297">
        <f t="shared" si="6"/>
        <v>0.2638888888888889</v>
      </c>
      <c r="Y16" s="297">
        <f t="shared" si="7"/>
        <v>0</v>
      </c>
      <c r="Z16" s="472">
        <f t="shared" si="8"/>
        <v>60</v>
      </c>
    </row>
    <row r="17" spans="1:27" ht="15" customHeight="1">
      <c r="B17" s="29"/>
      <c r="C17" s="366"/>
      <c r="D17" s="279"/>
      <c r="E17" s="279"/>
      <c r="F17" s="278"/>
      <c r="G17" s="279"/>
      <c r="H17" s="396"/>
      <c r="I17" s="368"/>
      <c r="J17" s="368"/>
      <c r="K17" s="281"/>
      <c r="L17" s="276"/>
      <c r="M17" s="374"/>
      <c r="N17" s="370"/>
      <c r="O17" s="420"/>
      <c r="P17" s="418"/>
      <c r="R17" s="277"/>
      <c r="S17" s="472"/>
      <c r="T17" s="472"/>
      <c r="U17" s="297"/>
      <c r="V17" s="297"/>
      <c r="W17" s="297"/>
      <c r="X17" s="297"/>
      <c r="Y17" s="297"/>
      <c r="Z17" s="472"/>
    </row>
    <row r="18" spans="1:27" ht="15" customHeight="1">
      <c r="B18" s="492">
        <v>46274</v>
      </c>
      <c r="C18" s="366"/>
      <c r="D18" s="279"/>
      <c r="E18" s="279"/>
      <c r="F18" s="278"/>
      <c r="G18" s="279"/>
      <c r="H18" s="396"/>
      <c r="I18" s="368"/>
      <c r="J18" s="368"/>
      <c r="K18" s="281"/>
      <c r="L18" s="276"/>
      <c r="M18" s="374"/>
      <c r="N18" s="370"/>
      <c r="O18" s="420"/>
      <c r="P18" s="418"/>
      <c r="R18" s="277"/>
      <c r="S18" s="472"/>
      <c r="T18" s="472"/>
      <c r="U18" s="297"/>
      <c r="V18" s="297"/>
      <c r="W18" s="297"/>
      <c r="X18" s="297"/>
      <c r="Y18" s="297"/>
      <c r="Z18" s="472"/>
    </row>
    <row r="19" spans="1:27" ht="15" customHeight="1">
      <c r="B19" s="29" t="s">
        <v>6</v>
      </c>
      <c r="C19" s="366" t="str">
        <f>[4]Brewhouse!$A721</f>
        <v>CA672</v>
      </c>
      <c r="D19" s="279">
        <f>[4]Brewhouse!$AF721</f>
        <v>50.2</v>
      </c>
      <c r="E19" s="279">
        <f>[4]Brewhouse!$AI721</f>
        <v>50.7</v>
      </c>
      <c r="F19" s="278">
        <f>[4]Brewhouse!$V721</f>
        <v>60</v>
      </c>
      <c r="G19" s="279">
        <f>[4]Brewhouse!AG721</f>
        <v>11.7</v>
      </c>
      <c r="H19" s="396">
        <v>11.9</v>
      </c>
      <c r="I19" s="368">
        <f>[4]Brewhouse!$AU721</f>
        <v>99.733387411391178</v>
      </c>
      <c r="J19" s="368">
        <f>[4]Brewhouse!$AV721</f>
        <v>101.32070242510316</v>
      </c>
      <c r="K19" s="281">
        <f>[4]Brewhouse!$Q721</f>
        <v>8.7245841035120115</v>
      </c>
      <c r="L19" s="276">
        <f>[4]Brewhouse!$P721</f>
        <v>60</v>
      </c>
      <c r="M19" s="374">
        <f>[4]Brewhouse!$U721-[4]Brewhouse!$T721</f>
        <v>7.986111111111116E-2</v>
      </c>
      <c r="N19" s="370">
        <f>[4]Brewhouse!$Z721</f>
        <v>0.23055555555555562</v>
      </c>
      <c r="O19" s="420" t="str">
        <f>[4]Brewhouse!$AX721</f>
        <v>R. Regis</v>
      </c>
      <c r="P19" s="418"/>
      <c r="R19" s="277" t="str">
        <f t="shared" ref="R19:R35" si="9">B19</f>
        <v>CARIB</v>
      </c>
      <c r="S19" s="472">
        <f t="shared" ref="S19:S35" si="10">VLOOKUP($B19,$R$3:$X$9,2,FALSE)</f>
        <v>11.6</v>
      </c>
      <c r="T19" s="472">
        <f t="shared" ref="T19:T35" si="11">VLOOKUP($B19,$R$3:$X$9,3,FALSE)</f>
        <v>12</v>
      </c>
      <c r="U19" s="297">
        <f t="shared" ref="U19:U35" si="12">VLOOKUP($B19,$R$3:$X$9,4,FALSE)</f>
        <v>0</v>
      </c>
      <c r="V19" s="297">
        <f t="shared" ref="V19:V35" si="13">VLOOKUP($B19,$R$3:$X$9,5,FALSE)</f>
        <v>0.118055555555556</v>
      </c>
      <c r="W19" s="297">
        <f t="shared" ref="W19:W35" si="14">VLOOKUP($B19,$R$3:$X$9,6,FALSE)</f>
        <v>0.22569444444444445</v>
      </c>
      <c r="X19" s="297">
        <f t="shared" ref="X19:X35" si="15">VLOOKUP($B19,$R$3:$X$9,7,FALSE)</f>
        <v>0.2638888888888889</v>
      </c>
      <c r="Y19" s="297">
        <f t="shared" ref="Y19:Y35" si="16">VLOOKUP($B19,$R$3:$Z$9,8,FALSE)</f>
        <v>0</v>
      </c>
      <c r="Z19" s="472">
        <f t="shared" ref="Z19:Z35" si="17">VLOOKUP($B19,$R$3:$Z$9,9,FALSE)</f>
        <v>60</v>
      </c>
    </row>
    <row r="20" spans="1:27" ht="15" customHeight="1">
      <c r="B20" s="29"/>
      <c r="C20" s="366"/>
      <c r="D20" s="279"/>
      <c r="E20" s="279"/>
      <c r="F20" s="278"/>
      <c r="G20" s="279"/>
      <c r="H20" s="396"/>
      <c r="I20" s="368"/>
      <c r="J20" s="368"/>
      <c r="K20" s="281"/>
      <c r="L20" s="276"/>
      <c r="M20" s="374"/>
      <c r="N20" s="370"/>
      <c r="O20" s="420"/>
      <c r="P20" s="418"/>
      <c r="R20" s="277">
        <f t="shared" si="9"/>
        <v>0</v>
      </c>
      <c r="S20" s="472" t="e">
        <f t="shared" si="10"/>
        <v>#N/A</v>
      </c>
      <c r="T20" s="472" t="e">
        <f t="shared" si="11"/>
        <v>#N/A</v>
      </c>
      <c r="U20" s="297" t="e">
        <f t="shared" si="12"/>
        <v>#N/A</v>
      </c>
      <c r="V20" s="297" t="e">
        <f t="shared" si="13"/>
        <v>#N/A</v>
      </c>
      <c r="W20" s="297" t="e">
        <f t="shared" si="14"/>
        <v>#N/A</v>
      </c>
      <c r="X20" s="297" t="e">
        <f t="shared" si="15"/>
        <v>#N/A</v>
      </c>
      <c r="Y20" s="297" t="e">
        <f t="shared" si="16"/>
        <v>#N/A</v>
      </c>
      <c r="Z20" s="472" t="e">
        <f t="shared" si="17"/>
        <v>#N/A</v>
      </c>
    </row>
    <row r="21" spans="1:27" ht="15" customHeight="1">
      <c r="B21" s="36"/>
      <c r="C21" s="366"/>
      <c r="D21" s="279"/>
      <c r="E21" s="279"/>
      <c r="F21" s="278"/>
      <c r="G21" s="279"/>
      <c r="H21" s="396"/>
      <c r="I21" s="489"/>
      <c r="J21" s="489"/>
      <c r="K21" s="490"/>
      <c r="L21" s="276"/>
      <c r="M21" s="374"/>
      <c r="N21" s="370"/>
      <c r="O21" s="420"/>
      <c r="P21" s="418"/>
      <c r="R21" s="277">
        <f t="shared" si="9"/>
        <v>0</v>
      </c>
      <c r="S21" s="472" t="e">
        <f t="shared" si="10"/>
        <v>#N/A</v>
      </c>
      <c r="T21" s="472" t="e">
        <f t="shared" si="11"/>
        <v>#N/A</v>
      </c>
      <c r="U21" s="297" t="e">
        <f t="shared" si="12"/>
        <v>#N/A</v>
      </c>
      <c r="V21" s="297" t="e">
        <f t="shared" si="13"/>
        <v>#N/A</v>
      </c>
      <c r="W21" s="297" t="e">
        <f t="shared" si="14"/>
        <v>#N/A</v>
      </c>
      <c r="X21" s="297" t="e">
        <f t="shared" si="15"/>
        <v>#N/A</v>
      </c>
      <c r="Y21" s="297" t="e">
        <f t="shared" si="16"/>
        <v>#N/A</v>
      </c>
      <c r="Z21" s="472" t="e">
        <f t="shared" si="17"/>
        <v>#N/A</v>
      </c>
    </row>
    <row r="22" spans="1:27" ht="17.25" customHeight="1" thickBot="1">
      <c r="B22" s="358"/>
      <c r="C22" s="358"/>
      <c r="D22" s="358"/>
      <c r="E22" s="358"/>
      <c r="F22" s="294"/>
      <c r="G22" s="294"/>
      <c r="H22" s="348"/>
      <c r="I22" s="535"/>
      <c r="J22" s="535"/>
      <c r="K22" s="535"/>
      <c r="L22" s="535"/>
      <c r="M22" s="535"/>
      <c r="N22" s="535"/>
      <c r="O22" s="1"/>
      <c r="P22" s="12"/>
      <c r="R22" s="277">
        <f t="shared" si="9"/>
        <v>0</v>
      </c>
      <c r="S22" s="472" t="e">
        <f t="shared" si="10"/>
        <v>#N/A</v>
      </c>
      <c r="T22" s="472" t="e">
        <f t="shared" si="11"/>
        <v>#N/A</v>
      </c>
      <c r="U22" s="297" t="e">
        <f t="shared" si="12"/>
        <v>#N/A</v>
      </c>
      <c r="V22" s="297" t="e">
        <f t="shared" si="13"/>
        <v>#N/A</v>
      </c>
      <c r="W22" s="297" t="e">
        <f t="shared" si="14"/>
        <v>#N/A</v>
      </c>
      <c r="X22" s="297" t="e">
        <f t="shared" si="15"/>
        <v>#N/A</v>
      </c>
      <c r="Y22" s="297" t="e">
        <f t="shared" si="16"/>
        <v>#N/A</v>
      </c>
      <c r="Z22" s="472" t="e">
        <f t="shared" si="17"/>
        <v>#N/A</v>
      </c>
    </row>
    <row r="23" spans="1:27" ht="17.25" customHeight="1" thickBot="1">
      <c r="B23" s="483" t="s">
        <v>162</v>
      </c>
      <c r="C23" s="388"/>
      <c r="D23" s="536" t="s">
        <v>35</v>
      </c>
      <c r="E23" s="537"/>
      <c r="F23" s="294"/>
      <c r="G23" s="294"/>
      <c r="H23" s="348"/>
      <c r="I23" s="24" t="s">
        <v>17</v>
      </c>
      <c r="J23" s="25"/>
      <c r="K23" s="26" t="s">
        <v>138</v>
      </c>
      <c r="L23" s="25" t="s">
        <v>37</v>
      </c>
      <c r="M23" s="25" t="s">
        <v>38</v>
      </c>
      <c r="N23" s="27" t="s">
        <v>39</v>
      </c>
      <c r="O23" s="294"/>
      <c r="P23" s="12"/>
      <c r="R23" s="277" t="str">
        <f t="shared" si="9"/>
        <v xml:space="preserve">BRAND </v>
      </c>
      <c r="S23" s="472" t="e">
        <f t="shared" si="10"/>
        <v>#N/A</v>
      </c>
      <c r="T23" s="472" t="e">
        <f t="shared" si="11"/>
        <v>#N/A</v>
      </c>
      <c r="U23" s="297" t="e">
        <f t="shared" si="12"/>
        <v>#N/A</v>
      </c>
      <c r="V23" s="297" t="e">
        <f t="shared" si="13"/>
        <v>#N/A</v>
      </c>
      <c r="W23" s="297" t="e">
        <f t="shared" si="14"/>
        <v>#N/A</v>
      </c>
      <c r="X23" s="297" t="e">
        <f t="shared" si="15"/>
        <v>#N/A</v>
      </c>
      <c r="Y23" s="297" t="e">
        <f t="shared" si="16"/>
        <v>#N/A</v>
      </c>
      <c r="Z23" s="472" t="e">
        <f t="shared" si="17"/>
        <v>#N/A</v>
      </c>
    </row>
    <row r="24" spans="1:27" ht="17.25" customHeight="1">
      <c r="A24" s="28"/>
      <c r="B24" s="538"/>
      <c r="C24" s="484"/>
      <c r="D24" s="523"/>
      <c r="E24" s="524"/>
      <c r="F24" s="294"/>
      <c r="G24" s="294"/>
      <c r="H24" s="348"/>
      <c r="I24" s="29" t="s">
        <v>6</v>
      </c>
      <c r="J24" s="323">
        <f>AVERAGE(I12:I16)</f>
        <v>99.123044853972331</v>
      </c>
      <c r="K24" s="284">
        <f>COUNTA([4]Brewhouse!$A$696:$A$721)</f>
        <v>26</v>
      </c>
      <c r="L24" s="305">
        <f>AVERAGE([4]Brewhouse!$AU$696:$AU$721)</f>
        <v>98.621362042037518</v>
      </c>
      <c r="M24" s="305">
        <f>AVERAGE([4]Brewhouse!$AU$42:$AU$123,[4]Brewhouse!$AU$125:$AU$188,[4]Brewhouse!$AU$198:$AU$290,[4]Brewhouse!$AU$292:$AU$370,[4]Brewhouse!$AU$372:$AU$439,[4]Brewhouse!$AU$441:$AU$497,[4]Brewhouse!$AU$499:$AU$519,[4]Brewhouse!$AU$521:$AU$593,[4]Brewhouse!$AU$595:$AU$721)</f>
        <v>98.299053334298137</v>
      </c>
      <c r="N24" s="30">
        <v>98</v>
      </c>
      <c r="O24" s="11"/>
      <c r="P24" s="31"/>
      <c r="R24" s="277">
        <f t="shared" si="9"/>
        <v>0</v>
      </c>
      <c r="S24" s="472" t="e">
        <f t="shared" si="10"/>
        <v>#N/A</v>
      </c>
      <c r="T24" s="472" t="e">
        <f t="shared" si="11"/>
        <v>#N/A</v>
      </c>
      <c r="U24" s="297" t="e">
        <f t="shared" si="12"/>
        <v>#N/A</v>
      </c>
      <c r="V24" s="297" t="e">
        <f t="shared" si="13"/>
        <v>#N/A</v>
      </c>
      <c r="W24" s="297" t="e">
        <f t="shared" si="14"/>
        <v>#N/A</v>
      </c>
      <c r="X24" s="297" t="e">
        <f t="shared" si="15"/>
        <v>#N/A</v>
      </c>
      <c r="Y24" s="297" t="e">
        <f t="shared" si="16"/>
        <v>#N/A</v>
      </c>
      <c r="Z24" s="472" t="e">
        <f t="shared" si="17"/>
        <v>#N/A</v>
      </c>
    </row>
    <row r="25" spans="1:27" ht="15" customHeight="1">
      <c r="A25" s="28"/>
      <c r="B25" s="539"/>
      <c r="C25" s="362"/>
      <c r="D25" s="525"/>
      <c r="E25" s="526"/>
      <c r="F25" s="294"/>
      <c r="G25" s="294"/>
      <c r="H25" s="348"/>
      <c r="I25" s="33" t="s">
        <v>9</v>
      </c>
      <c r="J25" s="323">
        <f>I10</f>
        <v>103.67708915402727</v>
      </c>
      <c r="K25" s="284">
        <f>COUNTA([5]Brewhouse!$A$363:$A$372)</f>
        <v>10</v>
      </c>
      <c r="L25" s="302">
        <f>AVERAGE([5]Brewhouse!$AS$363:$AS$372)</f>
        <v>100.50071873632695</v>
      </c>
      <c r="M25" s="302">
        <f>AVERAGE([5]Brewhouse!$AS$52:$AS$81,[5]Brewhouse!$AS$83:$AS$124,[5]Brewhouse!$AS$134:$AS$177,[5]Brewhouse!$AS$22:$AS$179,[5]Brewhouse!$AS$214:$AS$249,[5]Brewhouse!$AS$252:$AS$293,[5]Brewhouse!$AS$295:$AS$325,[5]Brewhouse!$AS$327:$AS$361,[5]Brewhouse!$AS$363:$AS$372)</f>
        <v>98.29248495310074</v>
      </c>
      <c r="N25" s="30">
        <v>98</v>
      </c>
      <c r="O25" s="11"/>
      <c r="P25" s="31"/>
      <c r="R25" s="277">
        <f t="shared" si="9"/>
        <v>0</v>
      </c>
      <c r="S25" s="472" t="e">
        <f t="shared" si="10"/>
        <v>#N/A</v>
      </c>
      <c r="T25" s="472" t="e">
        <f t="shared" si="11"/>
        <v>#N/A</v>
      </c>
      <c r="U25" s="297" t="e">
        <f t="shared" si="12"/>
        <v>#N/A</v>
      </c>
      <c r="V25" s="297" t="e">
        <f t="shared" si="13"/>
        <v>#N/A</v>
      </c>
      <c r="W25" s="297" t="e">
        <f t="shared" si="14"/>
        <v>#N/A</v>
      </c>
      <c r="X25" s="297" t="e">
        <f t="shared" si="15"/>
        <v>#N/A</v>
      </c>
      <c r="Y25" s="297" t="e">
        <f t="shared" si="16"/>
        <v>#N/A</v>
      </c>
      <c r="Z25" s="472" t="e">
        <f t="shared" si="17"/>
        <v>#N/A</v>
      </c>
    </row>
    <row r="26" spans="1:27" ht="14.65" customHeight="1">
      <c r="A26" s="28"/>
      <c r="B26" s="539"/>
      <c r="C26" s="362"/>
      <c r="D26" s="530"/>
      <c r="E26" s="531"/>
      <c r="F26" s="294"/>
      <c r="G26" s="294"/>
      <c r="H26" s="348"/>
      <c r="I26" s="34" t="s">
        <v>12</v>
      </c>
      <c r="J26" s="323"/>
      <c r="K26" s="284"/>
      <c r="L26" s="302"/>
      <c r="M26" s="302">
        <f>AVERAGE([6]Brewhouse!$AU$16:$AU$23,[6]Brewhouse!$AU$25:$AU$32,[6]Brewhouse!$AU$34:$AU$41,[6]Brewhouse!$AU$43:$AU$60,[6]Brewhouse!$AU$62:$AU$69,[6]Brewhouse!$AU$71:$AU$88,[6]Brewhouse!$AU$90:$AU$97)</f>
        <v>96.502171439390338</v>
      </c>
      <c r="N26" s="30">
        <v>98</v>
      </c>
      <c r="O26" s="11"/>
      <c r="P26" s="31"/>
      <c r="R26" s="277">
        <f t="shared" si="9"/>
        <v>0</v>
      </c>
      <c r="S26" s="472" t="e">
        <f t="shared" si="10"/>
        <v>#N/A</v>
      </c>
      <c r="T26" s="472" t="e">
        <f t="shared" si="11"/>
        <v>#N/A</v>
      </c>
      <c r="U26" s="297" t="e">
        <f t="shared" si="12"/>
        <v>#N/A</v>
      </c>
      <c r="V26" s="297" t="e">
        <f t="shared" si="13"/>
        <v>#N/A</v>
      </c>
      <c r="W26" s="297" t="e">
        <f t="shared" si="14"/>
        <v>#N/A</v>
      </c>
      <c r="X26" s="297" t="e">
        <f t="shared" si="15"/>
        <v>#N/A</v>
      </c>
      <c r="Y26" s="297" t="e">
        <f t="shared" si="16"/>
        <v>#N/A</v>
      </c>
      <c r="Z26" s="472" t="e">
        <f t="shared" si="17"/>
        <v>#N/A</v>
      </c>
    </row>
    <row r="27" spans="1:27" ht="14.65" customHeight="1">
      <c r="A27" s="28"/>
      <c r="B27" s="539"/>
      <c r="C27" s="362"/>
      <c r="D27" s="532"/>
      <c r="E27" s="526"/>
      <c r="F27" s="294"/>
      <c r="G27" s="294"/>
      <c r="H27" s="348"/>
      <c r="I27" s="22" t="s">
        <v>33</v>
      </c>
      <c r="J27" s="280"/>
      <c r="K27" s="284"/>
      <c r="L27" s="302"/>
      <c r="M27" s="302">
        <f>AVERAGE([7]Brewhouse!$AV$23:$AV$34,[7]Brewhouse!$AV$36,[7]Brewhouse!$AV$38:$AV$52,[7]Brewhouse!$AV$54:$AV$60,[7]Brewhouse!$AV$62:$AV$69,[7]Brewhouse!$AV$71:$AV$78,[7]Brewhouse!$AV$80:$AV$87,[7]Brewhouse!$AV$89:$AV$96)</f>
        <v>97.559547139003357</v>
      </c>
      <c r="N27" s="30">
        <v>98</v>
      </c>
      <c r="O27" s="11"/>
      <c r="P27" s="31"/>
      <c r="R27" s="277">
        <f t="shared" si="9"/>
        <v>0</v>
      </c>
      <c r="S27" s="472" t="e">
        <f t="shared" si="10"/>
        <v>#N/A</v>
      </c>
      <c r="T27" s="472" t="e">
        <f t="shared" si="11"/>
        <v>#N/A</v>
      </c>
      <c r="U27" s="297" t="e">
        <f t="shared" si="12"/>
        <v>#N/A</v>
      </c>
      <c r="V27" s="297" t="e">
        <f t="shared" si="13"/>
        <v>#N/A</v>
      </c>
      <c r="W27" s="297" t="e">
        <f t="shared" si="14"/>
        <v>#N/A</v>
      </c>
      <c r="X27" s="297" t="e">
        <f t="shared" si="15"/>
        <v>#N/A</v>
      </c>
      <c r="Y27" s="297" t="e">
        <f t="shared" si="16"/>
        <v>#N/A</v>
      </c>
      <c r="Z27" s="472" t="e">
        <f t="shared" si="17"/>
        <v>#N/A</v>
      </c>
    </row>
    <row r="28" spans="1:27" ht="14.65" customHeight="1">
      <c r="A28" s="28"/>
      <c r="B28" s="539"/>
      <c r="C28" s="362"/>
      <c r="D28" s="530"/>
      <c r="E28" s="531"/>
      <c r="F28" s="294"/>
      <c r="G28" s="294"/>
      <c r="H28" s="348"/>
      <c r="I28" s="35" t="s">
        <v>29</v>
      </c>
      <c r="J28" s="280"/>
      <c r="K28" s="284"/>
      <c r="L28" s="302"/>
      <c r="M28" s="302"/>
      <c r="N28" s="30">
        <v>98</v>
      </c>
      <c r="O28" s="11"/>
      <c r="P28" s="31"/>
      <c r="R28" s="277">
        <f t="shared" si="9"/>
        <v>0</v>
      </c>
      <c r="S28" s="472" t="e">
        <f t="shared" si="10"/>
        <v>#N/A</v>
      </c>
      <c r="T28" s="472" t="e">
        <f t="shared" si="11"/>
        <v>#N/A</v>
      </c>
      <c r="U28" s="297" t="e">
        <f t="shared" si="12"/>
        <v>#N/A</v>
      </c>
      <c r="V28" s="297" t="e">
        <f t="shared" si="13"/>
        <v>#N/A</v>
      </c>
      <c r="W28" s="297" t="e">
        <f t="shared" si="14"/>
        <v>#N/A</v>
      </c>
      <c r="X28" s="297" t="e">
        <f t="shared" si="15"/>
        <v>#N/A</v>
      </c>
      <c r="Y28" s="297" t="e">
        <f t="shared" si="16"/>
        <v>#N/A</v>
      </c>
      <c r="Z28" s="472" t="e">
        <f t="shared" si="17"/>
        <v>#N/A</v>
      </c>
    </row>
    <row r="29" spans="1:27" ht="14.65" customHeight="1">
      <c r="A29" s="28"/>
      <c r="B29" s="539"/>
      <c r="C29" s="362"/>
      <c r="D29" s="532"/>
      <c r="E29" s="526"/>
      <c r="F29" s="417"/>
      <c r="G29" s="294"/>
      <c r="H29" s="348"/>
      <c r="I29" s="36" t="s">
        <v>15</v>
      </c>
      <c r="J29" s="323"/>
      <c r="K29" s="284">
        <f>COUNTA([8]Brewhouse!$A$23:$A$30)</f>
        <v>8</v>
      </c>
      <c r="L29" s="302">
        <f>AVERAGE([8]Brewhouse!$AT$23:$AT$30)</f>
        <v>96.065914782338609</v>
      </c>
      <c r="M29" s="302">
        <f>AVERAGE([8]Brewhouse!$AT$4:$AT$11,[8]Brewhouse!$AT$13:$AT$16,[8]Brewhouse!$AT$18:$AT$30)</f>
        <v>93.22262799886262</v>
      </c>
      <c r="N29" s="30">
        <v>98</v>
      </c>
      <c r="O29" s="11"/>
      <c r="P29" s="31"/>
      <c r="R29" s="277">
        <f t="shared" si="9"/>
        <v>0</v>
      </c>
      <c r="S29" s="472" t="e">
        <f t="shared" si="10"/>
        <v>#N/A</v>
      </c>
      <c r="T29" s="472" t="e">
        <f t="shared" si="11"/>
        <v>#N/A</v>
      </c>
      <c r="U29" s="297" t="e">
        <f t="shared" si="12"/>
        <v>#N/A</v>
      </c>
      <c r="V29" s="297" t="e">
        <f t="shared" si="13"/>
        <v>#N/A</v>
      </c>
      <c r="W29" s="297" t="e">
        <f t="shared" si="14"/>
        <v>#N/A</v>
      </c>
      <c r="X29" s="297" t="e">
        <f t="shared" si="15"/>
        <v>#N/A</v>
      </c>
      <c r="Y29" s="297" t="e">
        <f t="shared" si="16"/>
        <v>#N/A</v>
      </c>
      <c r="Z29" s="472" t="e">
        <f t="shared" si="17"/>
        <v>#N/A</v>
      </c>
    </row>
    <row r="30" spans="1:27" ht="14.65" customHeight="1">
      <c r="A30" s="28"/>
      <c r="B30" s="539"/>
      <c r="C30" s="362"/>
      <c r="D30" s="530"/>
      <c r="E30" s="531"/>
      <c r="F30" s="417"/>
      <c r="G30" s="294"/>
      <c r="H30" s="348"/>
      <c r="I30" s="37" t="s">
        <v>16</v>
      </c>
      <c r="J30" s="323"/>
      <c r="K30" s="284"/>
      <c r="L30" s="302"/>
      <c r="M30" s="302">
        <f>AVERAGE([3]Brewhouse!$AY$5:$AY$14,[3]Brewhouse!$AY$16:$AY$23,[3]Brewhouse!$AY$42,[3]Brewhouse!$AY$44:$AY$51,[3]Brewhouse!$AY$53:$AY$64,[3]Brewhouse!$AY$66:$AY$73,[3]Brewhouse!$AY$75:$AY$82,[3]Brewhouse!$AY$84:$AY$101)</f>
        <v>97.784660430003186</v>
      </c>
      <c r="N30" s="30">
        <v>98</v>
      </c>
      <c r="O30" s="11"/>
      <c r="P30" s="31" t="s">
        <v>41</v>
      </c>
      <c r="R30" s="277">
        <f t="shared" si="9"/>
        <v>0</v>
      </c>
      <c r="S30" s="472" t="e">
        <f t="shared" si="10"/>
        <v>#N/A</v>
      </c>
      <c r="T30" s="472" t="e">
        <f t="shared" si="11"/>
        <v>#N/A</v>
      </c>
      <c r="U30" s="297" t="e">
        <f t="shared" si="12"/>
        <v>#N/A</v>
      </c>
      <c r="V30" s="297" t="e">
        <f t="shared" si="13"/>
        <v>#N/A</v>
      </c>
      <c r="W30" s="297" t="e">
        <f t="shared" si="14"/>
        <v>#N/A</v>
      </c>
      <c r="X30" s="297" t="e">
        <f t="shared" si="15"/>
        <v>#N/A</v>
      </c>
      <c r="Y30" s="297" t="e">
        <f t="shared" si="16"/>
        <v>#N/A</v>
      </c>
      <c r="Z30" s="472" t="e">
        <f t="shared" si="17"/>
        <v>#N/A</v>
      </c>
    </row>
    <row r="31" spans="1:27" ht="14.65" customHeight="1">
      <c r="A31" s="28"/>
      <c r="B31" s="539"/>
      <c r="C31" s="362"/>
      <c r="D31" s="532"/>
      <c r="E31" s="526"/>
      <c r="F31" s="294"/>
      <c r="G31" s="294"/>
      <c r="H31" s="348"/>
      <c r="I31" s="411" t="s">
        <v>158</v>
      </c>
      <c r="J31" s="326"/>
      <c r="K31" s="284"/>
      <c r="L31" s="305"/>
      <c r="M31" s="305"/>
      <c r="N31" s="30">
        <v>98</v>
      </c>
      <c r="O31" s="11"/>
      <c r="P31" s="31"/>
      <c r="R31" s="277">
        <f t="shared" si="9"/>
        <v>0</v>
      </c>
      <c r="S31" s="472" t="e">
        <f t="shared" si="10"/>
        <v>#N/A</v>
      </c>
      <c r="T31" s="472" t="e">
        <f t="shared" si="11"/>
        <v>#N/A</v>
      </c>
      <c r="U31" s="297" t="e">
        <f t="shared" si="12"/>
        <v>#N/A</v>
      </c>
      <c r="V31" s="297" t="e">
        <f t="shared" si="13"/>
        <v>#N/A</v>
      </c>
      <c r="W31" s="297" t="e">
        <f t="shared" si="14"/>
        <v>#N/A</v>
      </c>
      <c r="X31" s="297" t="e">
        <f t="shared" si="15"/>
        <v>#N/A</v>
      </c>
      <c r="Y31" s="297" t="e">
        <f t="shared" si="16"/>
        <v>#N/A</v>
      </c>
      <c r="Z31" s="472" t="e">
        <f t="shared" si="17"/>
        <v>#N/A</v>
      </c>
    </row>
    <row r="32" spans="1:27" ht="14.65" customHeight="1">
      <c r="A32" s="28"/>
      <c r="B32" s="539"/>
      <c r="C32" s="362"/>
      <c r="D32" s="530"/>
      <c r="E32" s="531"/>
      <c r="F32" s="294"/>
      <c r="G32" s="294"/>
      <c r="H32" s="348"/>
      <c r="I32" s="410" t="s">
        <v>157</v>
      </c>
      <c r="J32" s="326"/>
      <c r="K32" s="284"/>
      <c r="L32" s="305"/>
      <c r="M32" s="305"/>
      <c r="N32" s="30">
        <v>98</v>
      </c>
      <c r="O32" s="11"/>
      <c r="P32" s="31"/>
      <c r="R32" s="277">
        <f t="shared" si="9"/>
        <v>0</v>
      </c>
      <c r="S32" s="472" t="e">
        <f t="shared" si="10"/>
        <v>#N/A</v>
      </c>
      <c r="T32" s="472" t="e">
        <f t="shared" si="11"/>
        <v>#N/A</v>
      </c>
      <c r="U32" s="297" t="e">
        <f t="shared" si="12"/>
        <v>#N/A</v>
      </c>
      <c r="V32" s="297" t="e">
        <f t="shared" si="13"/>
        <v>#N/A</v>
      </c>
      <c r="W32" s="297" t="e">
        <f t="shared" si="14"/>
        <v>#N/A</v>
      </c>
      <c r="X32" s="297" t="e">
        <f t="shared" si="15"/>
        <v>#N/A</v>
      </c>
      <c r="Y32" s="297" t="e">
        <f t="shared" si="16"/>
        <v>#N/A</v>
      </c>
      <c r="Z32" s="472" t="e">
        <f t="shared" si="17"/>
        <v>#N/A</v>
      </c>
      <c r="AA32" s="472"/>
    </row>
    <row r="33" spans="1:56" ht="15" customHeight="1" thickBot="1">
      <c r="A33" s="28"/>
      <c r="B33" s="539"/>
      <c r="C33" s="362"/>
      <c r="D33" s="532"/>
      <c r="E33" s="526"/>
      <c r="F33" s="294"/>
      <c r="G33" s="294"/>
      <c r="H33" s="348"/>
      <c r="I33" s="406" t="s">
        <v>156</v>
      </c>
      <c r="J33" s="327"/>
      <c r="K33" s="407"/>
      <c r="L33" s="408"/>
      <c r="M33" s="408"/>
      <c r="N33" s="409">
        <v>98</v>
      </c>
      <c r="O33" s="11"/>
      <c r="P33" s="31"/>
      <c r="R33" s="277">
        <f t="shared" si="9"/>
        <v>0</v>
      </c>
      <c r="S33" s="472" t="e">
        <f t="shared" si="10"/>
        <v>#N/A</v>
      </c>
      <c r="T33" s="472" t="e">
        <f t="shared" si="11"/>
        <v>#N/A</v>
      </c>
      <c r="U33" s="297" t="e">
        <f t="shared" si="12"/>
        <v>#N/A</v>
      </c>
      <c r="V33" s="297" t="e">
        <f t="shared" si="13"/>
        <v>#N/A</v>
      </c>
      <c r="W33" s="297" t="e">
        <f t="shared" si="14"/>
        <v>#N/A</v>
      </c>
      <c r="X33" s="297" t="e">
        <f t="shared" si="15"/>
        <v>#N/A</v>
      </c>
      <c r="Y33" s="297" t="e">
        <f t="shared" si="16"/>
        <v>#N/A</v>
      </c>
      <c r="Z33" s="472" t="e">
        <f t="shared" si="17"/>
        <v>#N/A</v>
      </c>
      <c r="AA33" s="472"/>
    </row>
    <row r="34" spans="1:56" ht="15" customHeight="1" thickBot="1">
      <c r="A34" s="28"/>
      <c r="B34" s="539"/>
      <c r="C34" s="349"/>
      <c r="D34" s="523"/>
      <c r="E34" s="524"/>
      <c r="F34" s="294"/>
      <c r="G34" s="294"/>
      <c r="H34" s="348"/>
      <c r="I34" s="1"/>
      <c r="J34" s="39"/>
      <c r="K34" s="404">
        <f>SUM(K24:K33)</f>
        <v>44</v>
      </c>
      <c r="L34" s="405">
        <f>((L24*K24)+(L25*K25)+(L26*K26)+(L27*K27)+(L28*K28)+(K31*L31)+(L29*K29)+(L30*K30)+(L33*K33))/(K34)</f>
        <v>98.583861788976222</v>
      </c>
      <c r="M34" s="405">
        <f>AVERAGE('[9]Jan30th-31st'!$L$42,'[10]Feb 27th-28th'!$L$45,'[11]Mar 31st'!$L$42,'[12]Apr 30th'!$L$41,'[13]May 29th '!$L$35,'[14]June 30th'!$L$32,[15]July31st!$L$36,'[16]Aug 31st'!$L$32,L34)</f>
        <v>98.05845996751448</v>
      </c>
      <c r="N34" s="40">
        <v>98</v>
      </c>
      <c r="O34" s="11"/>
      <c r="P34" s="31"/>
      <c r="R34" s="277">
        <f t="shared" si="9"/>
        <v>0</v>
      </c>
      <c r="S34" s="472" t="e">
        <f t="shared" si="10"/>
        <v>#N/A</v>
      </c>
      <c r="T34" s="472" t="e">
        <f t="shared" si="11"/>
        <v>#N/A</v>
      </c>
      <c r="U34" s="297" t="e">
        <f t="shared" si="12"/>
        <v>#N/A</v>
      </c>
      <c r="V34" s="297" t="e">
        <f t="shared" si="13"/>
        <v>#N/A</v>
      </c>
      <c r="W34" s="297" t="e">
        <f t="shared" si="14"/>
        <v>#N/A</v>
      </c>
      <c r="X34" s="297" t="e">
        <f t="shared" si="15"/>
        <v>#N/A</v>
      </c>
      <c r="Y34" s="297" t="e">
        <f t="shared" si="16"/>
        <v>#N/A</v>
      </c>
      <c r="Z34" s="472" t="e">
        <f t="shared" si="17"/>
        <v>#N/A</v>
      </c>
      <c r="AA34" s="472"/>
    </row>
    <row r="35" spans="1:56" ht="15.75" thickBot="1">
      <c r="B35" s="540"/>
      <c r="C35" s="350"/>
      <c r="D35" s="525"/>
      <c r="E35" s="526"/>
      <c r="F35" s="294"/>
      <c r="G35" s="42"/>
      <c r="H35" s="41"/>
      <c r="I35" s="42"/>
      <c r="J35" s="42"/>
      <c r="K35" s="351"/>
      <c r="L35" s="348"/>
      <c r="M35" s="348"/>
      <c r="N35" s="11"/>
      <c r="O35" s="294"/>
      <c r="P35" s="12"/>
      <c r="R35" s="277">
        <f t="shared" si="9"/>
        <v>0</v>
      </c>
      <c r="S35" s="472" t="e">
        <f t="shared" si="10"/>
        <v>#N/A</v>
      </c>
      <c r="T35" s="472" t="e">
        <f t="shared" si="11"/>
        <v>#N/A</v>
      </c>
      <c r="U35" s="297" t="e">
        <f t="shared" si="12"/>
        <v>#N/A</v>
      </c>
      <c r="V35" s="297" t="e">
        <f t="shared" si="13"/>
        <v>#N/A</v>
      </c>
      <c r="W35" s="297" t="e">
        <f t="shared" si="14"/>
        <v>#N/A</v>
      </c>
      <c r="X35" s="297" t="e">
        <f t="shared" si="15"/>
        <v>#N/A</v>
      </c>
      <c r="Y35" s="297" t="e">
        <f t="shared" si="16"/>
        <v>#N/A</v>
      </c>
      <c r="Z35" s="472" t="e">
        <f t="shared" si="17"/>
        <v>#N/A</v>
      </c>
      <c r="AA35" s="472"/>
    </row>
    <row r="36" spans="1:56" ht="15.75" thickBot="1">
      <c r="B36" s="520"/>
      <c r="C36" s="362"/>
      <c r="D36" s="523"/>
      <c r="E36" s="524"/>
      <c r="F36" s="294"/>
      <c r="G36" s="42"/>
      <c r="H36" s="41"/>
      <c r="I36" s="42"/>
      <c r="J36" s="527" t="s">
        <v>129</v>
      </c>
      <c r="K36" s="527"/>
      <c r="L36" s="294"/>
      <c r="M36" s="294"/>
      <c r="N36" s="294"/>
      <c r="O36" s="294"/>
      <c r="P36" s="12"/>
    </row>
    <row r="37" spans="1:56" ht="15.75" thickBot="1">
      <c r="B37" s="521"/>
      <c r="C37" s="362"/>
      <c r="D37" s="525"/>
      <c r="E37" s="526"/>
      <c r="F37" s="294"/>
      <c r="G37" s="42"/>
      <c r="H37" s="42"/>
      <c r="I37" s="42"/>
      <c r="J37" s="292" t="s">
        <v>17</v>
      </c>
      <c r="K37" s="293"/>
      <c r="L37" s="528" t="s">
        <v>136</v>
      </c>
      <c r="M37" s="528"/>
      <c r="N37" s="529"/>
      <c r="O37" s="294"/>
      <c r="P37" s="12"/>
    </row>
    <row r="38" spans="1:56" ht="15" customHeight="1" thickBot="1">
      <c r="B38" s="521"/>
      <c r="C38" s="349"/>
      <c r="D38" s="530"/>
      <c r="E38" s="531"/>
      <c r="F38" s="294"/>
      <c r="G38" s="42"/>
      <c r="H38" s="42"/>
      <c r="I38" s="42"/>
      <c r="J38" s="287" t="s">
        <v>6</v>
      </c>
      <c r="K38" s="324">
        <v>5</v>
      </c>
      <c r="L38" s="473" t="s">
        <v>37</v>
      </c>
      <c r="M38" s="474" t="s">
        <v>38</v>
      </c>
      <c r="N38" s="474" t="s">
        <v>84</v>
      </c>
      <c r="O38" s="294"/>
      <c r="P38" s="12"/>
    </row>
    <row r="39" spans="1:56" ht="15.75" customHeight="1" thickBot="1">
      <c r="B39" s="521"/>
      <c r="C39" s="349"/>
      <c r="D39" s="532"/>
      <c r="E39" s="526"/>
      <c r="F39" s="294"/>
      <c r="G39" s="42"/>
      <c r="H39" s="42"/>
      <c r="I39" s="42"/>
      <c r="J39" s="345" t="s">
        <v>9</v>
      </c>
      <c r="K39" s="324">
        <v>1</v>
      </c>
      <c r="L39" s="485">
        <f>AVERAGE('Sept 1st'!K45,'Sept 2nd'!K47,'Sept 3rd'!K44,'Sept 4th'!K46,'Sept 7th'!K48,K48)</f>
        <v>7.166666666666667</v>
      </c>
      <c r="M39" s="486">
        <f>AVERAGE('[9]Jan30th-31st'!$L$47,L39,'[10]Feb 26th '!$L$39,'[11]Mar 31st'!$L$47,'[12]Apr 30th'!$L$46,'[13]May 29th '!$L$40,'[14]June 30th'!$L$39,[15]July31st!$L$41,'[16]Aug 31st'!$L$37)</f>
        <v>6.5340855601725174</v>
      </c>
      <c r="N39" s="416">
        <v>9.1999999999999993</v>
      </c>
      <c r="O39" s="294"/>
      <c r="P39" s="12"/>
    </row>
    <row r="40" spans="1:56" ht="15" customHeight="1">
      <c r="B40" s="521"/>
      <c r="C40" s="349"/>
      <c r="D40" s="530"/>
      <c r="E40" s="531"/>
      <c r="F40" s="294"/>
      <c r="G40" s="42"/>
      <c r="H40" s="42"/>
      <c r="I40" s="42"/>
      <c r="J40" s="288" t="s">
        <v>40</v>
      </c>
      <c r="K40" s="324"/>
      <c r="L40" s="294"/>
      <c r="M40" s="294"/>
      <c r="N40" s="294"/>
      <c r="O40" s="294"/>
      <c r="P40" s="12"/>
    </row>
    <row r="41" spans="1:56" ht="15" customHeight="1">
      <c r="B41" s="521"/>
      <c r="C41" s="349"/>
      <c r="D41" s="532"/>
      <c r="E41" s="526"/>
      <c r="F41" s="294"/>
      <c r="G41" s="42"/>
      <c r="H41" s="42"/>
      <c r="I41" s="42"/>
      <c r="J41" s="289" t="s">
        <v>33</v>
      </c>
      <c r="K41" s="324"/>
      <c r="L41" s="294"/>
      <c r="M41" s="294"/>
      <c r="N41" s="294"/>
      <c r="O41" s="294"/>
      <c r="P41" s="12"/>
    </row>
    <row r="42" spans="1:56" ht="15">
      <c r="B42" s="521"/>
      <c r="C42" s="349"/>
      <c r="D42" s="530"/>
      <c r="E42" s="531"/>
      <c r="F42" s="294"/>
      <c r="G42" s="42"/>
      <c r="H42" s="42"/>
      <c r="I42" s="42"/>
      <c r="J42" s="290" t="s">
        <v>16</v>
      </c>
      <c r="K42" s="324"/>
      <c r="L42" s="294"/>
      <c r="M42" s="294"/>
      <c r="N42" s="294"/>
      <c r="O42" s="294"/>
      <c r="P42" s="12"/>
      <c r="BC42" s="44"/>
      <c r="BD42" s="44"/>
    </row>
    <row r="43" spans="1:56" ht="15">
      <c r="B43" s="521"/>
      <c r="C43" s="349"/>
      <c r="D43" s="532"/>
      <c r="E43" s="526"/>
      <c r="F43" s="294"/>
      <c r="G43" s="42"/>
      <c r="H43" s="42"/>
      <c r="I43" s="42"/>
      <c r="J43" s="291" t="s">
        <v>15</v>
      </c>
      <c r="K43" s="324"/>
      <c r="L43" s="294"/>
      <c r="M43" s="294"/>
      <c r="N43" s="294"/>
      <c r="O43" s="294"/>
      <c r="P43" s="12"/>
      <c r="BC43" s="44"/>
      <c r="BD43" s="44"/>
    </row>
    <row r="44" spans="1:56" ht="15">
      <c r="B44" s="521"/>
      <c r="C44" s="349"/>
      <c r="D44" s="530"/>
      <c r="E44" s="531"/>
      <c r="F44" s="294"/>
      <c r="G44" s="42"/>
      <c r="H44" s="42"/>
      <c r="I44" s="42"/>
      <c r="J44" s="291" t="s">
        <v>149</v>
      </c>
      <c r="K44" s="324"/>
      <c r="L44" s="294"/>
      <c r="M44" s="294"/>
      <c r="N44" s="294"/>
      <c r="O44" s="294"/>
      <c r="P44" s="12"/>
      <c r="BC44" s="44"/>
      <c r="BD44" s="44"/>
    </row>
    <row r="45" spans="1:56" ht="15.75" thickBot="1">
      <c r="B45" s="522"/>
      <c r="C45" s="350"/>
      <c r="D45" s="533"/>
      <c r="E45" s="534"/>
      <c r="F45" s="294" t="s">
        <v>165</v>
      </c>
      <c r="G45" s="42"/>
      <c r="H45" s="42"/>
      <c r="I45" s="42"/>
      <c r="J45" s="291" t="s">
        <v>148</v>
      </c>
      <c r="K45" s="324"/>
      <c r="L45" s="294"/>
      <c r="M45" s="294"/>
      <c r="N45" s="294" t="s">
        <v>41</v>
      </c>
      <c r="O45" s="294"/>
      <c r="P45" s="12"/>
      <c r="BC45" s="44"/>
      <c r="BD45" s="44"/>
    </row>
    <row r="46" spans="1:56" ht="17.649999999999999" customHeight="1" thickBot="1">
      <c r="B46" s="312" t="s">
        <v>139</v>
      </c>
      <c r="C46" s="313"/>
      <c r="D46" s="511"/>
      <c r="E46" s="512"/>
      <c r="F46" s="294"/>
      <c r="J46" s="295" t="s">
        <v>134</v>
      </c>
      <c r="K46" s="324"/>
      <c r="L46" s="294"/>
      <c r="M46" s="294"/>
      <c r="N46" s="294"/>
      <c r="O46" s="294"/>
      <c r="P46" s="12"/>
      <c r="BC46" s="44"/>
      <c r="BD46" s="44"/>
    </row>
    <row r="47" spans="1:56" ht="17.649999999999999" customHeight="1">
      <c r="B47" s="363"/>
      <c r="C47" s="364"/>
      <c r="D47" s="365"/>
      <c r="E47" s="365"/>
      <c r="F47" s="294"/>
      <c r="G47" s="42"/>
      <c r="H47" s="42"/>
      <c r="I47" s="42"/>
      <c r="J47" s="295" t="s">
        <v>131</v>
      </c>
      <c r="K47" s="324"/>
      <c r="L47" s="294"/>
      <c r="M47" s="294"/>
      <c r="N47" s="294"/>
      <c r="O47" s="294"/>
      <c r="P47" s="12"/>
      <c r="BC47" s="44"/>
      <c r="BD47" s="44"/>
    </row>
    <row r="48" spans="1:56" ht="15.6" customHeight="1">
      <c r="B48" s="45"/>
      <c r="C48" s="11"/>
      <c r="D48" s="11"/>
      <c r="E48" s="46"/>
      <c r="F48" s="294"/>
      <c r="G48" s="42"/>
      <c r="H48" s="42"/>
      <c r="I48" s="42"/>
      <c r="J48" s="346" t="s">
        <v>130</v>
      </c>
      <c r="K48" s="324">
        <f>SUM(K38:K47)</f>
        <v>6</v>
      </c>
      <c r="L48" s="294"/>
      <c r="M48" s="294"/>
      <c r="N48" s="294"/>
      <c r="O48" s="294"/>
      <c r="P48" s="12"/>
    </row>
    <row r="49" spans="2:57" ht="20.25" customHeight="1">
      <c r="B49" s="15" t="s">
        <v>42</v>
      </c>
      <c r="C49" s="1" t="s">
        <v>43</v>
      </c>
      <c r="D49" s="1"/>
      <c r="E49" s="1"/>
      <c r="F49" s="294"/>
      <c r="G49" s="42"/>
      <c r="H49" s="41"/>
      <c r="I49" s="42"/>
      <c r="L49" s="42"/>
      <c r="N49" s="315"/>
      <c r="P49" s="334"/>
    </row>
    <row r="50" spans="2:57" ht="15" customHeight="1" thickBot="1">
      <c r="B50" s="48"/>
      <c r="C50" s="48"/>
      <c r="D50" s="48"/>
      <c r="E50" s="48"/>
      <c r="F50" s="48"/>
      <c r="G50" s="48"/>
      <c r="H50" s="48"/>
      <c r="I50" s="48"/>
      <c r="J50" s="48"/>
      <c r="K50" s="48"/>
      <c r="L50" s="48"/>
      <c r="M50" s="48"/>
      <c r="N50" s="41"/>
      <c r="O50" s="48"/>
      <c r="P50" s="49"/>
    </row>
    <row r="51" spans="2:57" ht="15" customHeight="1" thickBot="1">
      <c r="B51" s="505" t="s">
        <v>17</v>
      </c>
      <c r="C51" s="505" t="s">
        <v>44</v>
      </c>
      <c r="D51" s="514" t="s">
        <v>45</v>
      </c>
      <c r="E51" s="516" t="s">
        <v>46</v>
      </c>
      <c r="F51" s="518" t="s">
        <v>47</v>
      </c>
      <c r="G51" s="503" t="s">
        <v>48</v>
      </c>
      <c r="H51" s="505" t="s">
        <v>49</v>
      </c>
      <c r="I51" s="505" t="s">
        <v>50</v>
      </c>
      <c r="J51" s="497" t="s">
        <v>28</v>
      </c>
      <c r="K51" s="507" t="s">
        <v>51</v>
      </c>
      <c r="L51" s="509" t="s">
        <v>52</v>
      </c>
      <c r="M51" s="497" t="s">
        <v>53</v>
      </c>
      <c r="N51" s="13"/>
      <c r="O51" s="13"/>
      <c r="P51" s="50"/>
    </row>
    <row r="52" spans="2:57" ht="28.5" customHeight="1" thickTop="1" thickBot="1">
      <c r="B52" s="506"/>
      <c r="C52" s="513"/>
      <c r="D52" s="515"/>
      <c r="E52" s="517"/>
      <c r="F52" s="519"/>
      <c r="G52" s="504"/>
      <c r="H52" s="506"/>
      <c r="I52" s="506"/>
      <c r="J52" s="498"/>
      <c r="K52" s="508"/>
      <c r="L52" s="510"/>
      <c r="M52" s="498"/>
      <c r="N52" s="13"/>
      <c r="O52" s="13"/>
      <c r="P52" s="50"/>
      <c r="Q52" s="355"/>
      <c r="AB52" s="475">
        <v>43474</v>
      </c>
      <c r="AC52" s="475">
        <v>43475</v>
      </c>
      <c r="AD52" s="475">
        <v>43476</v>
      </c>
      <c r="AE52" s="475">
        <v>43477</v>
      </c>
      <c r="AF52" s="475">
        <v>43478</v>
      </c>
      <c r="AG52" s="475">
        <v>43479</v>
      </c>
      <c r="AH52" s="475">
        <v>43480</v>
      </c>
      <c r="AI52" s="475">
        <v>43481</v>
      </c>
      <c r="AJ52" s="475">
        <v>43482</v>
      </c>
      <c r="AK52" s="475">
        <v>43483</v>
      </c>
      <c r="AL52" s="475">
        <v>43484</v>
      </c>
      <c r="AM52" s="475">
        <v>43485</v>
      </c>
      <c r="AN52" s="475">
        <v>43486</v>
      </c>
      <c r="AO52" s="475">
        <v>43487</v>
      </c>
      <c r="AP52" s="475">
        <v>43488</v>
      </c>
      <c r="AQ52" s="475">
        <v>43489</v>
      </c>
      <c r="AR52" s="475">
        <v>43490</v>
      </c>
      <c r="AS52" s="475">
        <v>43491</v>
      </c>
      <c r="AT52" s="475">
        <v>43492</v>
      </c>
      <c r="AU52" s="475">
        <v>43493</v>
      </c>
      <c r="AV52" s="475">
        <v>43494</v>
      </c>
      <c r="AW52" s="475">
        <v>43495</v>
      </c>
      <c r="AX52" s="475">
        <v>43496</v>
      </c>
    </row>
    <row r="53" spans="2:57" s="54" customFormat="1" ht="36.75" customHeight="1" thickBot="1">
      <c r="B53" s="456" t="str">
        <f>J38</f>
        <v>CARIB</v>
      </c>
      <c r="C53" s="479">
        <v>46273</v>
      </c>
      <c r="D53" s="445">
        <f>[18]September_2026!$K$3</f>
        <v>202.60000000000002</v>
      </c>
      <c r="E53" s="443"/>
      <c r="F53" s="444"/>
      <c r="G53" s="444">
        <f>[18]September_2026!$K$7</f>
        <v>188</v>
      </c>
      <c r="H53" s="458"/>
      <c r="I53" s="458"/>
      <c r="J53" s="448" t="s">
        <v>174</v>
      </c>
      <c r="K53" s="449">
        <f>[19]September_2026!$K$18</f>
        <v>0.6596491228070176</v>
      </c>
      <c r="L53" s="457">
        <f>(((D53+E53)-G53)/(D53+E53))*100</f>
        <v>7.2063178677196555</v>
      </c>
      <c r="M53" s="455" t="s">
        <v>175</v>
      </c>
      <c r="N53" s="13"/>
      <c r="O53" s="13"/>
      <c r="P53" s="50"/>
      <c r="R53" s="275"/>
      <c r="S53" s="275"/>
      <c r="T53" s="275"/>
      <c r="U53" s="275"/>
      <c r="V53" s="275"/>
      <c r="W53" s="275"/>
      <c r="X53" s="275"/>
      <c r="Y53" s="275"/>
      <c r="Z53" s="275"/>
      <c r="AA53" s="275"/>
      <c r="AB53" s="57">
        <f>[17]January_2019!L5</f>
        <v>0</v>
      </c>
      <c r="AC53" s="57">
        <f>[17]January_2019!M5</f>
        <v>0</v>
      </c>
      <c r="AD53" s="57">
        <f>[17]January_2019!N5</f>
        <v>0</v>
      </c>
      <c r="AE53" s="57">
        <f>[17]January_2019!O5</f>
        <v>0</v>
      </c>
      <c r="AF53" s="57">
        <f>[17]January_2019!P5</f>
        <v>0</v>
      </c>
      <c r="AG53" s="57">
        <f>[17]January_2019!Q5</f>
        <v>0</v>
      </c>
      <c r="AH53" s="57">
        <f>[17]January_2019!R5</f>
        <v>0</v>
      </c>
      <c r="AI53" s="57">
        <f>[17]January_2019!S5</f>
        <v>0</v>
      </c>
      <c r="AJ53" s="57">
        <f>[17]January_2019!T5</f>
        <v>0</v>
      </c>
      <c r="AK53" s="57">
        <f>[17]January_2019!U5</f>
        <v>0</v>
      </c>
      <c r="AL53" s="57">
        <f>[17]January_2019!V5</f>
        <v>0</v>
      </c>
      <c r="AM53" s="57">
        <f>[17]January_2019!W5</f>
        <v>0</v>
      </c>
      <c r="AN53" s="57">
        <f>[17]January_2019!X5</f>
        <v>0</v>
      </c>
      <c r="AO53" s="57">
        <f>[17]January_2019!Y5</f>
        <v>0</v>
      </c>
      <c r="AP53" s="57">
        <f>[17]January_2019!Z5</f>
        <v>0</v>
      </c>
      <c r="AQ53" s="57">
        <f>[17]January_2019!AA5</f>
        <v>0</v>
      </c>
      <c r="AR53" s="57">
        <f>[17]January_2019!AB5</f>
        <v>0</v>
      </c>
      <c r="AS53" s="57">
        <f>[17]January_2019!AC5</f>
        <v>0</v>
      </c>
      <c r="AT53" s="57">
        <f>[17]January_2019!AD5</f>
        <v>0</v>
      </c>
      <c r="AU53" s="57">
        <f>[17]January_2019!AE5</f>
        <v>0</v>
      </c>
      <c r="AV53" s="57">
        <f>[17]January_2019!AF5</f>
        <v>0</v>
      </c>
      <c r="AW53" s="57">
        <f>[17]January_2019!AG5</f>
        <v>0</v>
      </c>
      <c r="AX53" s="277">
        <f>[17]January_2019!AH5</f>
        <v>0</v>
      </c>
      <c r="AY53" s="277"/>
      <c r="AZ53" s="277"/>
      <c r="BA53" s="277"/>
      <c r="BB53" s="277"/>
      <c r="BC53" s="277"/>
      <c r="BD53" s="277"/>
      <c r="BE53" s="277"/>
    </row>
    <row r="54" spans="2:57" s="54" customFormat="1" ht="14.25" customHeight="1" thickBot="1">
      <c r="B54" s="480"/>
      <c r="C54" s="479"/>
      <c r="D54" s="442"/>
      <c r="E54" s="443"/>
      <c r="F54" s="444"/>
      <c r="G54" s="445"/>
      <c r="H54" s="458"/>
      <c r="I54" s="458"/>
      <c r="J54" s="476"/>
      <c r="K54" s="449"/>
      <c r="L54" s="457"/>
      <c r="M54" s="455"/>
      <c r="N54" s="13"/>
      <c r="O54" s="13"/>
      <c r="P54" s="50"/>
      <c r="R54" s="275"/>
      <c r="S54" s="275"/>
      <c r="T54" s="275"/>
      <c r="U54" s="275"/>
      <c r="V54" s="275"/>
      <c r="W54" s="275"/>
      <c r="X54" s="275"/>
      <c r="Y54" s="275"/>
      <c r="Z54" s="275"/>
      <c r="AA54" s="275"/>
      <c r="AB54" s="57">
        <f>[17]January_2019!L6</f>
        <v>0</v>
      </c>
      <c r="AC54" s="57">
        <f>[17]January_2019!M6</f>
        <v>0</v>
      </c>
      <c r="AD54" s="57">
        <f>[17]January_2019!N6</f>
        <v>0</v>
      </c>
      <c r="AE54" s="57">
        <f>[17]January_2019!O6</f>
        <v>0</v>
      </c>
      <c r="AF54" s="57">
        <f>[17]January_2019!P6</f>
        <v>0</v>
      </c>
      <c r="AG54" s="57">
        <f>[17]January_2019!Q6</f>
        <v>0</v>
      </c>
      <c r="AH54" s="57">
        <f>[17]January_2019!R6</f>
        <v>0</v>
      </c>
      <c r="AI54" s="57">
        <f>[17]January_2019!S6</f>
        <v>0</v>
      </c>
      <c r="AJ54" s="57">
        <f>[17]January_2019!T6</f>
        <v>0</v>
      </c>
      <c r="AK54" s="57">
        <f>[17]January_2019!U6</f>
        <v>0</v>
      </c>
      <c r="AL54" s="57">
        <f>[17]January_2019!V6</f>
        <v>0</v>
      </c>
      <c r="AM54" s="57">
        <f>[17]January_2019!W6</f>
        <v>0</v>
      </c>
      <c r="AN54" s="57">
        <f>[17]January_2019!X6</f>
        <v>0</v>
      </c>
      <c r="AO54" s="57">
        <f>[17]January_2019!Y6</f>
        <v>0</v>
      </c>
      <c r="AP54" s="57">
        <f>[17]January_2019!Z6</f>
        <v>0</v>
      </c>
      <c r="AQ54" s="57">
        <f>[17]January_2019!AA6</f>
        <v>0</v>
      </c>
      <c r="AR54" s="57">
        <f>[17]January_2019!AB6</f>
        <v>0</v>
      </c>
      <c r="AS54" s="57">
        <f>[17]January_2019!AC6</f>
        <v>0</v>
      </c>
      <c r="AT54" s="57">
        <f>[17]January_2019!AD6</f>
        <v>0</v>
      </c>
      <c r="AU54" s="57">
        <f>[17]January_2019!AE6</f>
        <v>0</v>
      </c>
      <c r="AV54" s="57">
        <f>[17]January_2019!AF6</f>
        <v>0</v>
      </c>
      <c r="AW54" s="57">
        <f>[17]January_2019!AG6</f>
        <v>0</v>
      </c>
      <c r="AX54" s="277">
        <f>[17]January_2019!AH6</f>
        <v>0</v>
      </c>
      <c r="AY54" s="277"/>
      <c r="AZ54" s="277"/>
      <c r="BA54" s="277"/>
      <c r="BB54" s="277"/>
      <c r="BC54" s="277"/>
      <c r="BD54" s="277"/>
      <c r="BE54" s="277"/>
    </row>
    <row r="55" spans="2:57" s="54" customFormat="1" ht="37.15" customHeight="1" thickBot="1">
      <c r="B55" s="456"/>
      <c r="C55" s="479"/>
      <c r="D55" s="442"/>
      <c r="E55" s="443"/>
      <c r="F55" s="444"/>
      <c r="G55" s="444"/>
      <c r="H55" s="446"/>
      <c r="I55" s="446"/>
      <c r="J55" s="476"/>
      <c r="K55" s="449"/>
      <c r="L55" s="457"/>
      <c r="M55" s="455"/>
      <c r="N55" s="13"/>
      <c r="O55" s="13"/>
      <c r="P55" s="50"/>
      <c r="R55" s="275"/>
      <c r="S55" s="275"/>
      <c r="T55" s="275"/>
      <c r="U55" s="275"/>
      <c r="V55" s="275"/>
      <c r="W55" s="275"/>
      <c r="X55" s="275"/>
      <c r="Y55" s="275"/>
      <c r="Z55" s="275"/>
      <c r="AA55" s="275"/>
      <c r="AB55" s="57">
        <f>[17]January_2019!L7</f>
        <v>285.8</v>
      </c>
      <c r="AC55" s="57">
        <f>[17]January_2019!M7</f>
        <v>508.1</v>
      </c>
      <c r="AD55" s="57">
        <f>[17]January_2019!N7</f>
        <v>0</v>
      </c>
      <c r="AE55" s="57">
        <f>[17]January_2019!O7</f>
        <v>0</v>
      </c>
      <c r="AF55" s="57">
        <f>[17]January_2019!P7</f>
        <v>109.56666666666666</v>
      </c>
      <c r="AG55" s="57">
        <f>[17]January_2019!Q7</f>
        <v>297.64999999999998</v>
      </c>
      <c r="AH55" s="57">
        <f>[17]January_2019!R7</f>
        <v>122.3</v>
      </c>
      <c r="AI55" s="57">
        <f>[17]January_2019!S7</f>
        <v>0</v>
      </c>
      <c r="AJ55" s="57">
        <f>[17]January_2019!T7</f>
        <v>294.7</v>
      </c>
      <c r="AK55" s="57">
        <f>[17]January_2019!U7</f>
        <v>280.5</v>
      </c>
      <c r="AL55" s="57">
        <f>[17]January_2019!V7</f>
        <v>0</v>
      </c>
      <c r="AM55" s="57">
        <f>[17]January_2019!W7</f>
        <v>0</v>
      </c>
      <c r="AN55" s="57">
        <f>[17]January_2019!X7</f>
        <v>188.25</v>
      </c>
      <c r="AO55" s="57">
        <f>[17]January_2019!Y7</f>
        <v>295.7</v>
      </c>
      <c r="AP55" s="57">
        <f>[17]January_2019!Z7</f>
        <v>257.8</v>
      </c>
      <c r="AQ55" s="57">
        <f>[17]January_2019!AA7</f>
        <v>291.2</v>
      </c>
      <c r="AR55" s="57">
        <f>[17]January_2019!AB7</f>
        <v>187</v>
      </c>
      <c r="AS55" s="57">
        <f>[17]January_2019!AC7</f>
        <v>0</v>
      </c>
      <c r="AT55" s="57">
        <f>[17]January_2019!AD7</f>
        <v>0</v>
      </c>
      <c r="AU55" s="57">
        <f>[17]January_2019!AE7</f>
        <v>485.1</v>
      </c>
      <c r="AV55" s="57">
        <f>[17]January_2019!AF7</f>
        <v>171.55</v>
      </c>
      <c r="AW55" s="57">
        <f>[17]January_2019!AG7</f>
        <v>423.8</v>
      </c>
      <c r="AX55" s="277">
        <f>[17]January_2019!AH7</f>
        <v>0</v>
      </c>
      <c r="AY55" s="277"/>
      <c r="AZ55" s="277"/>
      <c r="BA55" s="277"/>
      <c r="BB55" s="277"/>
      <c r="BC55" s="277"/>
      <c r="BD55" s="277"/>
      <c r="BE55" s="277"/>
    </row>
    <row r="56" spans="2:57" s="54" customFormat="1" ht="18.600000000000001" hidden="1" customHeight="1" thickBot="1">
      <c r="B56" s="478"/>
      <c r="C56" s="430"/>
      <c r="D56" s="431"/>
      <c r="E56" s="432"/>
      <c r="F56" s="433"/>
      <c r="G56" s="434"/>
      <c r="H56" s="458"/>
      <c r="I56" s="458"/>
      <c r="J56" s="451"/>
      <c r="K56" s="436"/>
      <c r="L56" s="452"/>
      <c r="M56" s="421"/>
      <c r="N56" s="13"/>
      <c r="O56" s="13"/>
      <c r="P56" s="50"/>
      <c r="R56" s="275"/>
      <c r="S56" s="275"/>
      <c r="T56" s="275"/>
      <c r="U56" s="275"/>
      <c r="V56" s="275"/>
      <c r="W56" s="275"/>
      <c r="X56" s="275"/>
      <c r="Y56" s="275"/>
      <c r="Z56" s="275"/>
      <c r="AA56" s="275"/>
      <c r="AB56" s="57"/>
      <c r="AC56" s="57"/>
      <c r="AD56" s="57"/>
      <c r="AE56" s="57"/>
      <c r="AF56" s="57"/>
      <c r="AG56" s="57"/>
      <c r="AH56" s="57"/>
      <c r="AI56" s="57"/>
      <c r="AJ56" s="57"/>
      <c r="AK56" s="57"/>
      <c r="AL56" s="57"/>
      <c r="AM56" s="57"/>
      <c r="AN56" s="57"/>
      <c r="AO56" s="57"/>
      <c r="AP56" s="57"/>
      <c r="AQ56" s="57"/>
      <c r="AR56" s="57"/>
      <c r="AS56" s="57"/>
      <c r="AT56" s="57"/>
      <c r="AU56" s="57"/>
      <c r="AV56" s="57"/>
      <c r="AW56" s="57"/>
      <c r="AX56" s="277"/>
      <c r="AY56" s="277"/>
      <c r="AZ56" s="277"/>
      <c r="BA56" s="277"/>
      <c r="BB56" s="277"/>
      <c r="BC56" s="277"/>
      <c r="BD56" s="277"/>
      <c r="BE56" s="277"/>
    </row>
    <row r="57" spans="2:57" s="54" customFormat="1" ht="38.65" hidden="1" customHeight="1" thickBot="1">
      <c r="B57" s="487"/>
      <c r="C57" s="479"/>
      <c r="D57" s="442"/>
      <c r="E57" s="443"/>
      <c r="F57" s="444"/>
      <c r="G57" s="445"/>
      <c r="H57" s="458"/>
      <c r="I57" s="458"/>
      <c r="J57" s="448"/>
      <c r="K57" s="459"/>
      <c r="L57" s="457"/>
      <c r="M57" s="455"/>
      <c r="N57" s="13"/>
      <c r="O57" s="13"/>
      <c r="P57" s="50"/>
      <c r="R57" s="275"/>
      <c r="S57" s="275"/>
      <c r="T57" s="275"/>
      <c r="U57" s="275"/>
      <c r="V57" s="275"/>
      <c r="W57" s="275"/>
      <c r="X57" s="275"/>
      <c r="Y57" s="275"/>
      <c r="Z57" s="275"/>
      <c r="AA57" s="275"/>
      <c r="AB57" s="57"/>
      <c r="AC57" s="57"/>
      <c r="AD57" s="57"/>
      <c r="AE57" s="57"/>
      <c r="AF57" s="57"/>
      <c r="AG57" s="57"/>
      <c r="AH57" s="57"/>
      <c r="AI57" s="57"/>
      <c r="AJ57" s="57"/>
      <c r="AK57" s="57"/>
      <c r="AL57" s="57"/>
      <c r="AM57" s="57"/>
      <c r="AN57" s="57"/>
      <c r="AO57" s="57"/>
      <c r="AP57" s="57"/>
      <c r="AQ57" s="57"/>
      <c r="AR57" s="57"/>
      <c r="AS57" s="57"/>
      <c r="AT57" s="57"/>
      <c r="AU57" s="57"/>
      <c r="AV57" s="57"/>
      <c r="AW57" s="57"/>
      <c r="AX57" s="277"/>
      <c r="AY57" s="277"/>
      <c r="AZ57" s="277"/>
      <c r="BA57" s="277"/>
      <c r="BB57" s="277"/>
      <c r="BC57" s="277"/>
      <c r="BD57" s="277"/>
      <c r="BE57" s="277"/>
    </row>
    <row r="58" spans="2:57" s="54" customFormat="1" ht="15" hidden="1">
      <c r="B58" s="453"/>
      <c r="C58" s="430"/>
      <c r="D58" s="431"/>
      <c r="E58" s="432"/>
      <c r="F58" s="433"/>
      <c r="G58" s="434"/>
      <c r="H58" s="435"/>
      <c r="I58" s="450"/>
      <c r="J58" s="451"/>
      <c r="K58" s="436"/>
      <c r="L58" s="452"/>
      <c r="M58" s="421"/>
      <c r="N58" s="13"/>
      <c r="O58" s="13"/>
      <c r="P58" s="50"/>
      <c r="R58" s="275"/>
      <c r="S58" s="275"/>
      <c r="T58" s="275"/>
      <c r="U58" s="275"/>
      <c r="V58" s="275"/>
      <c r="W58" s="275"/>
      <c r="X58" s="275"/>
      <c r="Y58" s="275"/>
      <c r="Z58" s="275"/>
      <c r="AA58" s="275"/>
      <c r="AB58" s="57"/>
      <c r="AC58" s="57"/>
      <c r="AD58" s="57"/>
      <c r="AE58" s="57"/>
      <c r="AF58" s="57"/>
      <c r="AG58" s="57"/>
      <c r="AH58" s="57"/>
      <c r="AI58" s="57"/>
      <c r="AJ58" s="57"/>
      <c r="AK58" s="57"/>
      <c r="AL58" s="57"/>
      <c r="AM58" s="57"/>
      <c r="AN58" s="57"/>
      <c r="AO58" s="57"/>
      <c r="AP58" s="57"/>
      <c r="AQ58" s="57"/>
      <c r="AR58" s="57"/>
      <c r="AS58" s="57"/>
      <c r="AT58" s="57"/>
      <c r="AU58" s="57"/>
      <c r="AV58" s="57"/>
      <c r="AW58" s="57"/>
      <c r="AX58" s="277"/>
      <c r="AY58" s="277"/>
      <c r="AZ58" s="277"/>
      <c r="BA58" s="277"/>
      <c r="BB58" s="277"/>
      <c r="BC58" s="277"/>
      <c r="BD58" s="277"/>
      <c r="BE58" s="277"/>
    </row>
    <row r="59" spans="2:57" s="54" customFormat="1" ht="37.15" hidden="1" customHeight="1" thickBot="1">
      <c r="B59" s="481"/>
      <c r="C59" s="479"/>
      <c r="D59" s="442"/>
      <c r="E59" s="443"/>
      <c r="F59" s="444"/>
      <c r="G59" s="445"/>
      <c r="H59" s="446"/>
      <c r="I59" s="447"/>
      <c r="J59" s="448"/>
      <c r="K59" s="449"/>
      <c r="L59" s="457"/>
      <c r="M59" s="455"/>
      <c r="N59" s="13"/>
      <c r="O59" s="13"/>
      <c r="P59" s="50"/>
      <c r="R59" s="275"/>
      <c r="S59" s="275"/>
      <c r="T59" s="275"/>
      <c r="U59" s="275"/>
      <c r="V59" s="275"/>
      <c r="W59" s="275"/>
      <c r="X59" s="275"/>
      <c r="Y59" s="275"/>
      <c r="Z59" s="275"/>
      <c r="AA59" s="275"/>
      <c r="AB59" s="57"/>
      <c r="AC59" s="57"/>
      <c r="AD59" s="57"/>
      <c r="AE59" s="57"/>
      <c r="AF59" s="57"/>
      <c r="AG59" s="57"/>
      <c r="AH59" s="57"/>
      <c r="AI59" s="57"/>
      <c r="AJ59" s="57"/>
      <c r="AK59" s="57"/>
      <c r="AL59" s="57"/>
      <c r="AM59" s="57"/>
      <c r="AN59" s="57"/>
      <c r="AO59" s="57"/>
      <c r="AP59" s="57"/>
      <c r="AQ59" s="57"/>
      <c r="AR59" s="57"/>
      <c r="AS59" s="57"/>
      <c r="AT59" s="57"/>
      <c r="AU59" s="57"/>
      <c r="AV59" s="57"/>
      <c r="AW59" s="57"/>
      <c r="AX59" s="277"/>
      <c r="AY59" s="277"/>
      <c r="AZ59" s="277"/>
      <c r="BA59" s="277"/>
      <c r="BB59" s="277"/>
      <c r="BC59" s="277"/>
      <c r="BD59" s="277"/>
      <c r="BE59" s="277"/>
    </row>
    <row r="60" spans="2:57" s="54" customFormat="1" ht="16.5" hidden="1" customHeight="1" thickBot="1">
      <c r="B60" s="437"/>
      <c r="C60" s="423"/>
      <c r="D60" s="424"/>
      <c r="E60" s="425"/>
      <c r="F60" s="426"/>
      <c r="G60" s="427"/>
      <c r="H60" s="428"/>
      <c r="I60" s="438"/>
      <c r="J60" s="439"/>
      <c r="K60" s="429"/>
      <c r="L60" s="440"/>
      <c r="M60" s="422"/>
      <c r="N60" s="13"/>
      <c r="O60" s="13"/>
      <c r="P60" s="50"/>
      <c r="R60" s="275"/>
      <c r="S60" s="275"/>
      <c r="T60" s="275"/>
      <c r="U60" s="275"/>
      <c r="V60" s="275"/>
      <c r="W60" s="275"/>
      <c r="X60" s="275"/>
      <c r="Y60" s="275"/>
      <c r="Z60" s="275"/>
      <c r="AA60" s="275"/>
      <c r="AB60" s="415"/>
      <c r="AC60" s="415"/>
      <c r="AD60" s="415"/>
      <c r="AE60" s="415"/>
      <c r="AF60" s="415"/>
      <c r="AG60" s="415"/>
      <c r="AH60" s="415"/>
      <c r="AI60" s="415"/>
      <c r="AJ60" s="415"/>
      <c r="AK60" s="415"/>
      <c r="AL60" s="415"/>
      <c r="AM60" s="415"/>
      <c r="AN60" s="415"/>
      <c r="AO60" s="415"/>
      <c r="AP60" s="415"/>
      <c r="AQ60" s="415"/>
      <c r="AR60" s="415"/>
      <c r="AS60" s="415"/>
      <c r="AT60" s="415"/>
      <c r="AU60" s="415"/>
      <c r="AV60" s="415"/>
      <c r="AW60" s="415"/>
    </row>
    <row r="61" spans="2:57" s="54" customFormat="1" ht="37.15" hidden="1" customHeight="1" thickBot="1">
      <c r="B61" s="456"/>
      <c r="C61" s="441"/>
      <c r="D61" s="442"/>
      <c r="E61" s="443"/>
      <c r="F61" s="444"/>
      <c r="G61" s="445"/>
      <c r="H61" s="446"/>
      <c r="I61" s="447"/>
      <c r="J61" s="448"/>
      <c r="K61" s="449"/>
      <c r="L61" s="457"/>
      <c r="M61" s="454"/>
      <c r="N61" s="13"/>
      <c r="O61" s="13"/>
      <c r="P61" s="50"/>
      <c r="R61" s="275"/>
      <c r="S61" s="275"/>
      <c r="T61" s="275"/>
      <c r="U61" s="275"/>
      <c r="V61" s="275"/>
      <c r="W61" s="275"/>
      <c r="X61" s="275"/>
      <c r="Y61" s="275"/>
      <c r="Z61" s="275"/>
      <c r="AA61" s="275"/>
      <c r="AB61" s="57"/>
      <c r="AC61" s="57"/>
      <c r="AD61" s="57"/>
      <c r="AE61" s="57"/>
      <c r="AF61" s="57"/>
      <c r="AG61" s="57"/>
      <c r="AH61" s="57"/>
      <c r="AI61" s="57"/>
      <c r="AJ61" s="57"/>
      <c r="AK61" s="57"/>
      <c r="AL61" s="57"/>
      <c r="AM61" s="57"/>
      <c r="AN61" s="57"/>
      <c r="AO61" s="57"/>
      <c r="AP61" s="57"/>
      <c r="AQ61" s="57"/>
      <c r="AR61" s="57"/>
      <c r="AS61" s="57"/>
      <c r="AT61" s="57"/>
      <c r="AU61" s="57"/>
      <c r="AV61" s="57"/>
      <c r="AW61" s="57"/>
      <c r="AX61" s="277"/>
      <c r="AY61" s="277"/>
      <c r="AZ61" s="277"/>
      <c r="BA61" s="277"/>
      <c r="BB61" s="277"/>
      <c r="BC61" s="277"/>
      <c r="BD61" s="277"/>
      <c r="BE61" s="277"/>
    </row>
    <row r="62" spans="2:57" s="54" customFormat="1" ht="37.15" customHeight="1">
      <c r="B62" s="466"/>
      <c r="C62" s="430"/>
      <c r="D62" s="460"/>
      <c r="E62" s="461"/>
      <c r="F62" s="462"/>
      <c r="G62" s="460"/>
      <c r="H62" s="463"/>
      <c r="I62" s="463"/>
      <c r="J62" s="463"/>
      <c r="K62" s="464"/>
      <c r="L62" s="465"/>
      <c r="M62" s="50"/>
      <c r="N62" s="13"/>
      <c r="O62" s="13"/>
      <c r="P62" s="50"/>
      <c r="R62" s="275"/>
      <c r="S62" s="275"/>
      <c r="T62" s="275"/>
      <c r="U62" s="275"/>
      <c r="V62" s="275"/>
      <c r="W62" s="275"/>
      <c r="X62" s="275"/>
      <c r="Y62" s="275"/>
      <c r="Z62" s="275"/>
      <c r="AA62" s="275"/>
      <c r="AB62" s="57"/>
      <c r="AC62" s="57"/>
      <c r="AD62" s="57"/>
      <c r="AE62" s="57"/>
      <c r="AF62" s="57"/>
      <c r="AG62" s="57"/>
      <c r="AH62" s="57"/>
      <c r="AI62" s="57"/>
      <c r="AJ62" s="57"/>
      <c r="AK62" s="57"/>
      <c r="AL62" s="57"/>
      <c r="AM62" s="57"/>
      <c r="AN62" s="57"/>
      <c r="AO62" s="57"/>
      <c r="AP62" s="57"/>
      <c r="AQ62" s="57"/>
      <c r="AR62" s="57"/>
      <c r="AS62" s="57"/>
      <c r="AT62" s="57"/>
      <c r="AU62" s="57"/>
      <c r="AV62" s="57"/>
      <c r="AW62" s="57"/>
      <c r="AX62" s="277"/>
      <c r="AY62" s="277"/>
      <c r="AZ62" s="277"/>
      <c r="BA62" s="277"/>
      <c r="BB62" s="277"/>
      <c r="BC62" s="277"/>
      <c r="BD62" s="277"/>
      <c r="BE62" s="277"/>
    </row>
    <row r="63" spans="2:57" ht="18" customHeight="1" thickBot="1">
      <c r="B63" s="59"/>
      <c r="C63" s="309"/>
      <c r="D63" s="59"/>
      <c r="E63" s="59"/>
      <c r="F63" s="59"/>
      <c r="G63" s="59"/>
      <c r="H63" s="59"/>
      <c r="I63" s="59"/>
      <c r="J63" s="59"/>
      <c r="K63" s="59"/>
      <c r="L63" s="59"/>
      <c r="M63" s="59"/>
      <c r="N63" s="59" t="s">
        <v>41</v>
      </c>
      <c r="O63" s="56"/>
      <c r="P63" s="60"/>
    </row>
    <row r="64" spans="2:57" ht="15.75" thickBot="1">
      <c r="B64" s="499" t="s">
        <v>55</v>
      </c>
      <c r="C64" s="500"/>
      <c r="D64" s="500"/>
      <c r="E64" s="500"/>
      <c r="F64" s="501"/>
      <c r="G64" s="499" t="s">
        <v>56</v>
      </c>
      <c r="H64" s="500"/>
      <c r="I64" s="500"/>
      <c r="J64" s="501"/>
      <c r="K64" s="499" t="s">
        <v>51</v>
      </c>
      <c r="L64" s="500"/>
      <c r="M64" s="500"/>
      <c r="N64" s="502"/>
      <c r="O64" s="56"/>
      <c r="P64" s="50"/>
    </row>
    <row r="65" spans="2:16" ht="15">
      <c r="B65" s="61" t="s">
        <v>17</v>
      </c>
      <c r="C65" s="62" t="s">
        <v>36</v>
      </c>
      <c r="D65" s="62" t="s">
        <v>37</v>
      </c>
      <c r="E65" s="62" t="s">
        <v>38</v>
      </c>
      <c r="F65" s="63" t="s">
        <v>39</v>
      </c>
      <c r="G65" s="62" t="s">
        <v>36</v>
      </c>
      <c r="H65" s="62" t="s">
        <v>37</v>
      </c>
      <c r="I65" s="62" t="s">
        <v>38</v>
      </c>
      <c r="J65" s="63" t="s">
        <v>39</v>
      </c>
      <c r="K65" s="62"/>
      <c r="L65" s="62" t="s">
        <v>37</v>
      </c>
      <c r="M65" s="62" t="s">
        <v>38</v>
      </c>
      <c r="N65" s="63" t="s">
        <v>39</v>
      </c>
      <c r="O65" s="56"/>
      <c r="P65" s="64"/>
    </row>
    <row r="66" spans="2:16" ht="15">
      <c r="B66" s="29" t="s">
        <v>6</v>
      </c>
      <c r="C66" s="65">
        <f>L53</f>
        <v>7.2063178677196555</v>
      </c>
      <c r="D66" s="76">
        <v>7.0847769214452256</v>
      </c>
      <c r="E66" s="76">
        <v>6.5485103358957559</v>
      </c>
      <c r="F66" s="66">
        <v>4.8</v>
      </c>
      <c r="G66" s="65">
        <f>[18]September_2026!$K$11</f>
        <v>6.3824837244952164</v>
      </c>
      <c r="H66" s="477">
        <v>6.557544735366819</v>
      </c>
      <c r="I66" s="477">
        <v>6.6476566283164011</v>
      </c>
      <c r="J66" s="66">
        <v>4.8</v>
      </c>
      <c r="K66" s="67">
        <f>K53</f>
        <v>0.6596491228070176</v>
      </c>
      <c r="L66" s="194">
        <v>0.6457105263157894</v>
      </c>
      <c r="M66" s="194">
        <v>0.53074561872431725</v>
      </c>
      <c r="N66" s="68">
        <v>1</v>
      </c>
      <c r="O66" s="56"/>
      <c r="P66" s="69"/>
    </row>
    <row r="67" spans="2:16" ht="15">
      <c r="B67" s="33" t="s">
        <v>9</v>
      </c>
      <c r="C67" s="65"/>
      <c r="D67" s="76">
        <v>8.6363636363636189</v>
      </c>
      <c r="E67" s="76">
        <v>5.8721053130307412</v>
      </c>
      <c r="F67" s="66">
        <v>4.8</v>
      </c>
      <c r="G67" s="65"/>
      <c r="H67" s="76">
        <v>7.5248838752488254</v>
      </c>
      <c r="I67" s="76">
        <v>5.9880521869393624</v>
      </c>
      <c r="J67" s="66">
        <v>4.8</v>
      </c>
      <c r="K67" s="67"/>
      <c r="L67" s="194">
        <v>0.31736842105263158</v>
      </c>
      <c r="M67" s="194">
        <v>0.68971317640877172</v>
      </c>
      <c r="N67" s="68">
        <v>1</v>
      </c>
      <c r="P67" s="69"/>
    </row>
    <row r="68" spans="2:16" ht="15">
      <c r="B68" s="34" t="s">
        <v>40</v>
      </c>
      <c r="C68" s="65"/>
      <c r="D68" s="76"/>
      <c r="E68" s="76">
        <v>11.277593164016125</v>
      </c>
      <c r="F68" s="66">
        <v>5.5</v>
      </c>
      <c r="G68" s="65"/>
      <c r="H68" s="76"/>
      <c r="I68" s="76">
        <v>11.857907912244482</v>
      </c>
      <c r="J68" s="66">
        <v>5.5</v>
      </c>
      <c r="K68" s="67"/>
      <c r="L68" s="194"/>
      <c r="M68" s="194">
        <v>0.35370190356844494</v>
      </c>
      <c r="N68" s="68">
        <v>1</v>
      </c>
      <c r="P68" s="69"/>
    </row>
    <row r="69" spans="2:16" ht="15">
      <c r="B69" s="22" t="s">
        <v>33</v>
      </c>
      <c r="C69" s="65"/>
      <c r="D69" s="76"/>
      <c r="E69" s="76">
        <v>4.8685538193023836</v>
      </c>
      <c r="F69" s="66">
        <v>3.3</v>
      </c>
      <c r="G69" s="65"/>
      <c r="H69" s="76"/>
      <c r="I69" s="76">
        <v>4.8702525342252114</v>
      </c>
      <c r="J69" s="66">
        <v>3.3</v>
      </c>
      <c r="K69" s="67"/>
      <c r="L69" s="194"/>
      <c r="M69" s="194">
        <v>0.77919298245614044</v>
      </c>
      <c r="N69" s="68">
        <v>1</v>
      </c>
      <c r="P69" s="69"/>
    </row>
    <row r="70" spans="2:16" ht="15">
      <c r="B70" s="35" t="s">
        <v>164</v>
      </c>
      <c r="C70" s="65"/>
      <c r="D70" s="76"/>
      <c r="E70" s="76"/>
      <c r="F70" s="66">
        <v>3.3</v>
      </c>
      <c r="G70" s="282"/>
      <c r="H70" s="76"/>
      <c r="I70" s="76"/>
      <c r="J70" s="66">
        <v>3</v>
      </c>
      <c r="K70" s="67"/>
      <c r="L70" s="194"/>
      <c r="M70" s="194"/>
      <c r="N70" s="68">
        <v>1</v>
      </c>
      <c r="P70" s="69"/>
    </row>
    <row r="71" spans="2:16" ht="15">
      <c r="B71" s="36" t="s">
        <v>15</v>
      </c>
      <c r="C71" s="65"/>
      <c r="D71" s="76"/>
      <c r="E71" s="76">
        <v>6.0400197628458603</v>
      </c>
      <c r="F71" s="70">
        <v>5.5</v>
      </c>
      <c r="G71" s="65"/>
      <c r="H71" s="76"/>
      <c r="I71" s="76">
        <v>8.2405787675951316</v>
      </c>
      <c r="J71" s="66">
        <v>5.5</v>
      </c>
      <c r="K71" s="67"/>
      <c r="L71" s="194"/>
      <c r="M71" s="194">
        <v>0.78491228070175445</v>
      </c>
      <c r="N71" s="68">
        <v>1</v>
      </c>
      <c r="P71" s="69"/>
    </row>
    <row r="72" spans="2:16" ht="15">
      <c r="B72" s="37" t="s">
        <v>16</v>
      </c>
      <c r="C72" s="482"/>
      <c r="D72" s="76"/>
      <c r="E72" s="76">
        <v>3.6168923014750334</v>
      </c>
      <c r="F72" s="66">
        <v>3.3</v>
      </c>
      <c r="G72" s="282"/>
      <c r="H72" s="76"/>
      <c r="I72" s="76">
        <v>5.0091179718082053</v>
      </c>
      <c r="J72" s="66">
        <v>3.3</v>
      </c>
      <c r="K72" s="67"/>
      <c r="L72" s="194"/>
      <c r="M72" s="194">
        <v>0.92642300194931759</v>
      </c>
      <c r="N72" s="71">
        <v>1</v>
      </c>
      <c r="P72" s="69"/>
    </row>
    <row r="73" spans="2:16" ht="15.75" thickBot="1">
      <c r="B73" s="38" t="s">
        <v>163</v>
      </c>
      <c r="C73" s="65"/>
      <c r="D73" s="76"/>
      <c r="E73" s="76"/>
      <c r="F73" s="66">
        <v>7.5</v>
      </c>
      <c r="G73" s="282"/>
      <c r="H73" s="76"/>
      <c r="I73" s="76"/>
      <c r="J73" s="66">
        <v>7.5</v>
      </c>
      <c r="K73" s="67"/>
      <c r="L73" s="194"/>
      <c r="M73" s="194"/>
      <c r="N73" s="71">
        <v>1</v>
      </c>
      <c r="P73" s="69"/>
    </row>
    <row r="74" spans="2:16" ht="15.75" thickBot="1">
      <c r="B74" s="414" t="s">
        <v>161</v>
      </c>
      <c r="C74" s="65"/>
      <c r="D74" s="76"/>
      <c r="E74" s="76"/>
      <c r="F74" s="66">
        <v>4.8</v>
      </c>
      <c r="G74" s="282"/>
      <c r="H74" s="76"/>
      <c r="I74" s="76"/>
      <c r="J74" s="66">
        <v>4.8</v>
      </c>
      <c r="K74" s="67"/>
      <c r="L74" s="194"/>
      <c r="M74" s="194"/>
      <c r="N74" s="71">
        <v>1</v>
      </c>
      <c r="O74" s="74"/>
      <c r="P74" s="75"/>
    </row>
    <row r="75" spans="2:16" ht="15">
      <c r="D75" s="76">
        <v>7.4241838369330972</v>
      </c>
      <c r="E75" s="76">
        <v>6.3628093992587402</v>
      </c>
      <c r="F75" s="341">
        <v>5.5</v>
      </c>
      <c r="H75" s="76">
        <v>6.7688468707049791</v>
      </c>
      <c r="I75" s="76">
        <v>6.6955279414088089</v>
      </c>
      <c r="J75" s="341">
        <v>5.5</v>
      </c>
      <c r="L75" s="194">
        <v>0.5800421052631578</v>
      </c>
      <c r="M75" s="194">
        <v>0.59783694744059124</v>
      </c>
      <c r="N75" s="386">
        <v>1</v>
      </c>
    </row>
  </sheetData>
  <mergeCells count="51">
    <mergeCell ref="M51:M52"/>
    <mergeCell ref="B64:F64"/>
    <mergeCell ref="G64:J64"/>
    <mergeCell ref="K64:N64"/>
    <mergeCell ref="G51:G52"/>
    <mergeCell ref="H51:H52"/>
    <mergeCell ref="I51:I52"/>
    <mergeCell ref="J51:J52"/>
    <mergeCell ref="K51:K52"/>
    <mergeCell ref="L51:L52"/>
    <mergeCell ref="F51:F52"/>
    <mergeCell ref="D46:E46"/>
    <mergeCell ref="B51:B52"/>
    <mergeCell ref="C51:C52"/>
    <mergeCell ref="D51:D52"/>
    <mergeCell ref="E51:E52"/>
    <mergeCell ref="B36:B45"/>
    <mergeCell ref="D36:E37"/>
    <mergeCell ref="J36:K36"/>
    <mergeCell ref="L37:N37"/>
    <mergeCell ref="D38:E39"/>
    <mergeCell ref="D40:E41"/>
    <mergeCell ref="D42:E43"/>
    <mergeCell ref="D44:E45"/>
    <mergeCell ref="I22:N22"/>
    <mergeCell ref="D23:E23"/>
    <mergeCell ref="B24:B35"/>
    <mergeCell ref="D24:E25"/>
    <mergeCell ref="D26:E27"/>
    <mergeCell ref="D28:E29"/>
    <mergeCell ref="D30:E31"/>
    <mergeCell ref="D32:E33"/>
    <mergeCell ref="D34:E35"/>
    <mergeCell ref="P8:P9"/>
    <mergeCell ref="C5:D5"/>
    <mergeCell ref="B8:B9"/>
    <mergeCell ref="C8:C9"/>
    <mergeCell ref="D8:D9"/>
    <mergeCell ref="G8:G9"/>
    <mergeCell ref="H8:H9"/>
    <mergeCell ref="I8:I9"/>
    <mergeCell ref="J8:J9"/>
    <mergeCell ref="K8:K9"/>
    <mergeCell ref="L8:L9"/>
    <mergeCell ref="O8:O9"/>
    <mergeCell ref="M4:N4"/>
    <mergeCell ref="S1:T1"/>
    <mergeCell ref="U1:V1"/>
    <mergeCell ref="W1:X1"/>
    <mergeCell ref="Y1:Z1"/>
    <mergeCell ref="B2:O2"/>
  </mergeCells>
  <conditionalFormatting sqref="B46:B47">
    <cfRule type="cellIs" dxfId="3070" priority="113" operator="notBetween">
      <formula>#REF!</formula>
      <formula>#REF!</formula>
    </cfRule>
  </conditionalFormatting>
  <conditionalFormatting sqref="C50">
    <cfRule type="cellIs" dxfId="3069" priority="195" stopIfTrue="1" operator="lessThan">
      <formula>96</formula>
    </cfRule>
    <cfRule type="cellIs" dxfId="3068" priority="196" stopIfTrue="1" operator="greaterThan">
      <formula>100</formula>
    </cfRule>
  </conditionalFormatting>
  <conditionalFormatting sqref="C66:C67">
    <cfRule type="cellIs" dxfId="3067" priority="76" stopIfTrue="1" operator="greaterThan">
      <formula>$F66</formula>
    </cfRule>
    <cfRule type="cellIs" dxfId="3066" priority="78" stopIfTrue="1" operator="greaterThan">
      <formula>$F66</formula>
    </cfRule>
    <cfRule type="cellIs" dxfId="3065" priority="79" stopIfTrue="1" operator="lessThanOrEqual">
      <formula>0</formula>
    </cfRule>
    <cfRule type="cellIs" dxfId="3064" priority="77" stopIfTrue="1" operator="lessThanOrEqual">
      <formula>0</formula>
    </cfRule>
  </conditionalFormatting>
  <conditionalFormatting sqref="C68:C70 C72:C74">
    <cfRule type="cellIs" dxfId="3063" priority="85" stopIfTrue="1" operator="greaterThan">
      <formula>$F71</formula>
    </cfRule>
  </conditionalFormatting>
  <conditionalFormatting sqref="C68:C70">
    <cfRule type="cellIs" dxfId="3062" priority="86" stopIfTrue="1" operator="lessThanOrEqual">
      <formula>0</formula>
    </cfRule>
  </conditionalFormatting>
  <conditionalFormatting sqref="C71">
    <cfRule type="cellIs" dxfId="3061" priority="197" stopIfTrue="1" operator="greaterThan">
      <formula>$F66</formula>
    </cfRule>
    <cfRule type="cellIs" dxfId="3060" priority="200" stopIfTrue="1" operator="lessThanOrEqual">
      <formula>0</formula>
    </cfRule>
    <cfRule type="cellIs" dxfId="3059" priority="199" stopIfTrue="1" operator="greaterThan">
      <formula>$F66</formula>
    </cfRule>
    <cfRule type="cellIs" dxfId="3058" priority="198" stopIfTrue="1" operator="lessThanOrEqual">
      <formula>0</formula>
    </cfRule>
  </conditionalFormatting>
  <conditionalFormatting sqref="C72:C74">
    <cfRule type="cellIs" dxfId="3057" priority="87" stopIfTrue="1" operator="lessThanOrEqual">
      <formula>0</formula>
    </cfRule>
  </conditionalFormatting>
  <conditionalFormatting sqref="C77:C81">
    <cfRule type="cellIs" dxfId="3056" priority="187" stopIfTrue="1" operator="lessThanOrEqual">
      <formula>0</formula>
    </cfRule>
  </conditionalFormatting>
  <conditionalFormatting sqref="C78:C81">
    <cfRule type="cellIs" dxfId="3055" priority="186" stopIfTrue="1" operator="greaterThan">
      <formula>$F$77</formula>
    </cfRule>
  </conditionalFormatting>
  <conditionalFormatting sqref="C83">
    <cfRule type="cellIs" dxfId="3054" priority="188" stopIfTrue="1" operator="greaterThan">
      <formula>$F$77</formula>
    </cfRule>
    <cfRule type="cellIs" dxfId="3053" priority="189" stopIfTrue="1" operator="lessThanOrEqual">
      <formula>0</formula>
    </cfRule>
  </conditionalFormatting>
  <conditionalFormatting sqref="C71:D71">
    <cfRule type="cellIs" dxfId="3052" priority="74" stopIfTrue="1" operator="greaterThan">
      <formula>$J71</formula>
    </cfRule>
    <cfRule type="cellIs" dxfId="3051" priority="75" stopIfTrue="1" operator="lessThanOrEqual">
      <formula>0</formula>
    </cfRule>
  </conditionalFormatting>
  <conditionalFormatting sqref="C77:D77 D79:D85">
    <cfRule type="cellIs" dxfId="3050" priority="181" stopIfTrue="1" operator="greaterThan">
      <formula>4.5</formula>
    </cfRule>
  </conditionalFormatting>
  <conditionalFormatting sqref="D46:D47">
    <cfRule type="cellIs" dxfId="3049" priority="114" operator="notBetween">
      <formula>#REF!</formula>
      <formula>#REF!</formula>
    </cfRule>
  </conditionalFormatting>
  <conditionalFormatting sqref="D66:D70 D72:D73">
    <cfRule type="cellIs" dxfId="3048" priority="84" stopIfTrue="1" operator="lessThanOrEqual">
      <formula>0</formula>
    </cfRule>
  </conditionalFormatting>
  <conditionalFormatting sqref="D66:D70 D72:D75">
    <cfRule type="cellIs" dxfId="3047" priority="81" stopIfTrue="1" operator="greaterThan">
      <formula>$F66</formula>
    </cfRule>
    <cfRule type="cellIs" dxfId="3046" priority="80" stopIfTrue="1" operator="lessThanOrEqual">
      <formula>0</formula>
    </cfRule>
  </conditionalFormatting>
  <conditionalFormatting sqref="D74:D75">
    <cfRule type="cellIs" dxfId="3045" priority="82" stopIfTrue="1" operator="lessThanOrEqual">
      <formula>0</formula>
    </cfRule>
  </conditionalFormatting>
  <conditionalFormatting sqref="D75">
    <cfRule type="cellIs" dxfId="3044" priority="83" stopIfTrue="1" operator="lessThanOrEqual">
      <formula>0</formula>
    </cfRule>
  </conditionalFormatting>
  <conditionalFormatting sqref="D77 D79:D85">
    <cfRule type="cellIs" dxfId="3043" priority="182" stopIfTrue="1" operator="lessThanOrEqual">
      <formula>0</formula>
    </cfRule>
  </conditionalFormatting>
  <conditionalFormatting sqref="D78">
    <cfRule type="cellIs" dxfId="3042" priority="173" stopIfTrue="1" operator="greaterThan">
      <formula>$F$77</formula>
    </cfRule>
    <cfRule type="cellIs" dxfId="3041" priority="174" stopIfTrue="1" operator="lessThanOrEqual">
      <formula>0</formula>
    </cfRule>
  </conditionalFormatting>
  <conditionalFormatting sqref="E10:E21">
    <cfRule type="cellIs" dxfId="3040" priority="23" operator="lessThan">
      <formula>48</formula>
    </cfRule>
  </conditionalFormatting>
  <conditionalFormatting sqref="E49 E50:F50">
    <cfRule type="cellIs" dxfId="3039" priority="178" stopIfTrue="1" operator="greaterThan">
      <formula>100</formula>
    </cfRule>
  </conditionalFormatting>
  <conditionalFormatting sqref="E50">
    <cfRule type="cellIs" dxfId="3038" priority="176" stopIfTrue="1" operator="greaterThan">
      <formula>100</formula>
    </cfRule>
    <cfRule type="cellIs" dxfId="3037" priority="175" stopIfTrue="1" operator="lessThan">
      <formula>96.8</formula>
    </cfRule>
  </conditionalFormatting>
  <conditionalFormatting sqref="E66:E74">
    <cfRule type="cellIs" dxfId="3036" priority="47" stopIfTrue="1" operator="lessThanOrEqual">
      <formula>0</formula>
    </cfRule>
  </conditionalFormatting>
  <conditionalFormatting sqref="E66:E75">
    <cfRule type="cellIs" dxfId="3035" priority="48" stopIfTrue="1" operator="greaterThan">
      <formula>$F66</formula>
    </cfRule>
    <cfRule type="cellIs" dxfId="3034" priority="49" stopIfTrue="1" operator="lessThanOrEqual">
      <formula>0</formula>
    </cfRule>
  </conditionalFormatting>
  <conditionalFormatting sqref="E75">
    <cfRule type="cellIs" dxfId="3033" priority="50" stopIfTrue="1" operator="lessThanOrEqual">
      <formula>0</formula>
    </cfRule>
  </conditionalFormatting>
  <conditionalFormatting sqref="E77:E85">
    <cfRule type="cellIs" dxfId="3032" priority="167" stopIfTrue="1" operator="greaterThan">
      <formula>4.5</formula>
    </cfRule>
    <cfRule type="cellIs" dxfId="3031" priority="168" stopIfTrue="1" operator="lessThanOrEqual">
      <formula>0</formula>
    </cfRule>
  </conditionalFormatting>
  <conditionalFormatting sqref="E50:F50 E49">
    <cfRule type="cellIs" dxfId="3030" priority="177" stopIfTrue="1" operator="lessThan">
      <formula>96.5</formula>
    </cfRule>
  </conditionalFormatting>
  <conditionalFormatting sqref="F10:F21">
    <cfRule type="cellIs" dxfId="3029" priority="24" operator="greaterThan">
      <formula>60</formula>
    </cfRule>
  </conditionalFormatting>
  <conditionalFormatting sqref="F50">
    <cfRule type="cellIs" dxfId="3028" priority="193" stopIfTrue="1" operator="lessThan">
      <formula>96.8</formula>
    </cfRule>
    <cfRule type="cellIs" dxfId="3027" priority="194" stopIfTrue="1" operator="greaterThan">
      <formula>100</formula>
    </cfRule>
  </conditionalFormatting>
  <conditionalFormatting sqref="G10:G11 G21">
    <cfRule type="expression" dxfId="3026" priority="13">
      <formula>IF(+(IF(G10&lt;S10,0,IF(G10&gt;T10,0,1)))=0,1)</formula>
    </cfRule>
  </conditionalFormatting>
  <conditionalFormatting sqref="G66:G69 F75">
    <cfRule type="cellIs" dxfId="3025" priority="56" stopIfTrue="1" operator="greaterThan">
      <formula>$F66</formula>
    </cfRule>
    <cfRule type="cellIs" dxfId="3024" priority="57" stopIfTrue="1" operator="lessThanOrEqual">
      <formula>0</formula>
    </cfRule>
  </conditionalFormatting>
  <conditionalFormatting sqref="G68:G69">
    <cfRule type="cellIs" dxfId="3023" priority="43" stopIfTrue="1" operator="lessThanOrEqual">
      <formula>0</formula>
    </cfRule>
    <cfRule type="cellIs" dxfId="3022" priority="42" stopIfTrue="1" operator="greaterThan">
      <formula>$F68</formula>
    </cfRule>
  </conditionalFormatting>
  <conditionalFormatting sqref="G70:G74">
    <cfRule type="cellIs" dxfId="3021" priority="59" stopIfTrue="1" operator="lessThanOrEqual">
      <formula>0</formula>
    </cfRule>
    <cfRule type="cellIs" dxfId="3020" priority="58" stopIfTrue="1" operator="greaterThan">
      <formula>$J70</formula>
    </cfRule>
  </conditionalFormatting>
  <conditionalFormatting sqref="G71">
    <cfRule type="cellIs" dxfId="3019" priority="201" stopIfTrue="1" operator="greaterThan">
      <formula>$F66</formula>
    </cfRule>
    <cfRule type="cellIs" dxfId="3018" priority="202" stopIfTrue="1" operator="lessThanOrEqual">
      <formula>0</formula>
    </cfRule>
  </conditionalFormatting>
  <conditionalFormatting sqref="G79:G84 C82 C84">
    <cfRule type="cellIs" dxfId="3017" priority="191" stopIfTrue="1" operator="lessThanOrEqual">
      <formula>0</formula>
    </cfRule>
    <cfRule type="cellIs" dxfId="3016" priority="190" stopIfTrue="1" operator="greaterThan">
      <formula>4.5</formula>
    </cfRule>
  </conditionalFormatting>
  <conditionalFormatting sqref="G10:H20 M10:N20 H21">
    <cfRule type="expression" dxfId="3015" priority="14">
      <formula>IF(+(IF(G10&lt;#REF!,0,IF(G10&gt;#REF!,0,1)))=0,1)</formula>
    </cfRule>
  </conditionalFormatting>
  <conditionalFormatting sqref="G78:H78">
    <cfRule type="cellIs" dxfId="3014" priority="172" stopIfTrue="1" operator="lessThanOrEqual">
      <formula>0</formula>
    </cfRule>
    <cfRule type="cellIs" dxfId="3013" priority="171" stopIfTrue="1" operator="greaterThan">
      <formula>$F$77</formula>
    </cfRule>
  </conditionalFormatting>
  <conditionalFormatting sqref="H35:H36 H49">
    <cfRule type="cellIs" dxfId="3012" priority="169" stopIfTrue="1" operator="greaterThan">
      <formula>0</formula>
    </cfRule>
  </conditionalFormatting>
  <conditionalFormatting sqref="H53">
    <cfRule type="cellIs" dxfId="3011" priority="62" stopIfTrue="1" operator="greaterThan">
      <formula>$F$66</formula>
    </cfRule>
    <cfRule type="cellIs" dxfId="3010" priority="70" stopIfTrue="1" operator="greaterThan">
      <formula>$F$69</formula>
    </cfRule>
    <cfRule type="cellIs" dxfId="3009" priority="71" stopIfTrue="1" operator="lessThanOrEqual">
      <formula>0</formula>
    </cfRule>
    <cfRule type="cellIs" dxfId="3008" priority="72" stopIfTrue="1" operator="greaterThan">
      <formula>$F$67</formula>
    </cfRule>
    <cfRule type="cellIs" dxfId="3007" priority="61" stopIfTrue="1" operator="lessThanOrEqual">
      <formula>0</formula>
    </cfRule>
  </conditionalFormatting>
  <conditionalFormatting sqref="H53:H54">
    <cfRule type="cellIs" dxfId="3006" priority="73" stopIfTrue="1" operator="lessThanOrEqual">
      <formula>0</formula>
    </cfRule>
  </conditionalFormatting>
  <conditionalFormatting sqref="H54 H56:H57">
    <cfRule type="cellIs" dxfId="3005" priority="99" stopIfTrue="1" operator="lessThanOrEqual">
      <formula>0</formula>
    </cfRule>
  </conditionalFormatting>
  <conditionalFormatting sqref="H54">
    <cfRule type="cellIs" dxfId="3004" priority="96" stopIfTrue="1" operator="greaterThan">
      <formula>$F$69</formula>
    </cfRule>
    <cfRule type="cellIs" dxfId="3003" priority="98" stopIfTrue="1" operator="greaterThan">
      <formula>$F$67</formula>
    </cfRule>
    <cfRule type="cellIs" dxfId="3002" priority="97" stopIfTrue="1" operator="lessThanOrEqual">
      <formula>0</formula>
    </cfRule>
    <cfRule type="cellIs" dxfId="3001" priority="88" stopIfTrue="1" operator="greaterThan">
      <formula>$F$66</formula>
    </cfRule>
  </conditionalFormatting>
  <conditionalFormatting sqref="H55">
    <cfRule type="cellIs" dxfId="3000" priority="28" stopIfTrue="1" operator="lessThanOrEqual">
      <formula>0</formula>
    </cfRule>
    <cfRule type="cellIs" dxfId="2999" priority="29" stopIfTrue="1" operator="greaterThan">
      <formula>$F$68</formula>
    </cfRule>
    <cfRule type="cellIs" dxfId="2998" priority="37" stopIfTrue="1" operator="greaterThan">
      <formula>$F$71</formula>
    </cfRule>
    <cfRule type="cellIs" dxfId="2997" priority="38" stopIfTrue="1" operator="lessThanOrEqual">
      <formula>0</formula>
    </cfRule>
    <cfRule type="cellIs" dxfId="2996" priority="39" stopIfTrue="1" operator="greaterThan">
      <formula>$F$69</formula>
    </cfRule>
    <cfRule type="cellIs" dxfId="2995" priority="40" stopIfTrue="1" operator="lessThanOrEqual">
      <formula>0</formula>
    </cfRule>
  </conditionalFormatting>
  <conditionalFormatting sqref="H56:H57">
    <cfRule type="cellIs" dxfId="2994" priority="111" stopIfTrue="1" operator="greaterThan">
      <formula>$F$67</formula>
    </cfRule>
    <cfRule type="cellIs" dxfId="2993" priority="110" stopIfTrue="1" operator="lessThanOrEqual">
      <formula>0</formula>
    </cfRule>
    <cfRule type="cellIs" dxfId="2992" priority="109" stopIfTrue="1" operator="greaterThan">
      <formula>$F$69</formula>
    </cfRule>
    <cfRule type="cellIs" dxfId="2991" priority="101" stopIfTrue="1" operator="greaterThan">
      <formula>$F$66</formula>
    </cfRule>
    <cfRule type="cellIs" dxfId="2990" priority="112" stopIfTrue="1" operator="lessThanOrEqual">
      <formula>0</formula>
    </cfRule>
  </conditionalFormatting>
  <conditionalFormatting sqref="H58:H59">
    <cfRule type="cellIs" dxfId="2989" priority="136" stopIfTrue="1" operator="lessThanOrEqual">
      <formula>0</formula>
    </cfRule>
    <cfRule type="cellIs" dxfId="2988" priority="145" stopIfTrue="1" operator="greaterThan">
      <formula>#REF!</formula>
    </cfRule>
    <cfRule type="cellIs" dxfId="2987" priority="146" stopIfTrue="1" operator="lessThanOrEqual">
      <formula>0</formula>
    </cfRule>
    <cfRule type="cellIs" dxfId="2986" priority="137" stopIfTrue="1" operator="greaterThan">
      <formula>#REF!</formula>
    </cfRule>
  </conditionalFormatting>
  <conditionalFormatting sqref="H60">
    <cfRule type="cellIs" dxfId="2985" priority="160" stopIfTrue="1" operator="lessThanOrEqual">
      <formula>0</formula>
    </cfRule>
    <cfRule type="cellIs" dxfId="2984" priority="148" stopIfTrue="1" operator="lessThanOrEqual">
      <formula>0</formula>
    </cfRule>
    <cfRule type="cellIs" dxfId="2983" priority="149" stopIfTrue="1" operator="greaterThan">
      <formula>$F$34</formula>
    </cfRule>
    <cfRule type="cellIs" dxfId="2982" priority="159" stopIfTrue="1" operator="greaterThan">
      <formula>$F$35</formula>
    </cfRule>
    <cfRule type="cellIs" dxfId="2981" priority="158" stopIfTrue="1" operator="lessThanOrEqual">
      <formula>0</formula>
    </cfRule>
    <cfRule type="cellIs" dxfId="2980" priority="157" stopIfTrue="1" operator="greaterThan">
      <formula>$F$37</formula>
    </cfRule>
  </conditionalFormatting>
  <conditionalFormatting sqref="H61:H62">
    <cfRule type="cellIs" dxfId="2979" priority="133" stopIfTrue="1" operator="greaterThan">
      <formula>#REF!</formula>
    </cfRule>
    <cfRule type="cellIs" dxfId="2978" priority="125" stopIfTrue="1" operator="greaterThan">
      <formula>#REF!</formula>
    </cfRule>
    <cfRule type="cellIs" dxfId="2977" priority="124" stopIfTrue="1" operator="lessThanOrEqual">
      <formula>0</formula>
    </cfRule>
    <cfRule type="cellIs" dxfId="2976" priority="134" stopIfTrue="1" operator="lessThanOrEqual">
      <formula>0</formula>
    </cfRule>
  </conditionalFormatting>
  <conditionalFormatting sqref="H77 H79:H85">
    <cfRule type="cellIs" dxfId="2975" priority="183" stopIfTrue="1" operator="greaterThan">
      <formula>4.5</formula>
    </cfRule>
    <cfRule type="cellIs" dxfId="2974" priority="184" stopIfTrue="1" operator="lessThanOrEqual">
      <formula>0</formula>
    </cfRule>
  </conditionalFormatting>
  <conditionalFormatting sqref="H53:I53">
    <cfRule type="cellIs" dxfId="2973" priority="63" stopIfTrue="1" operator="lessThanOrEqual">
      <formula>0</formula>
    </cfRule>
  </conditionalFormatting>
  <conditionalFormatting sqref="H53:I54 H56:I57">
    <cfRule type="cellIs" dxfId="2972" priority="60" stopIfTrue="1" operator="greaterThan">
      <formula>$F$68</formula>
    </cfRule>
  </conditionalFormatting>
  <conditionalFormatting sqref="H54:I54">
    <cfRule type="cellIs" dxfId="2971" priority="89" stopIfTrue="1" operator="lessThanOrEqual">
      <formula>0</formula>
    </cfRule>
  </conditionalFormatting>
  <conditionalFormatting sqref="H55:I55">
    <cfRule type="cellIs" dxfId="2970" priority="27" stopIfTrue="1" operator="greaterThan">
      <formula>$F$70</formula>
    </cfRule>
    <cfRule type="cellIs" dxfId="2969" priority="30" stopIfTrue="1" operator="lessThanOrEqual">
      <formula>0</formula>
    </cfRule>
  </conditionalFormatting>
  <conditionalFormatting sqref="H56:I57">
    <cfRule type="cellIs" dxfId="2968" priority="102" stopIfTrue="1" operator="lessThanOrEqual">
      <formula>0</formula>
    </cfRule>
  </conditionalFormatting>
  <conditionalFormatting sqref="H58:I59">
    <cfRule type="cellIs" dxfId="2967" priority="143" stopIfTrue="1" operator="greaterThan">
      <formula>#REF!</formula>
    </cfRule>
    <cfRule type="cellIs" dxfId="2966" priority="138" stopIfTrue="1" operator="lessThanOrEqual">
      <formula>0</formula>
    </cfRule>
    <cfRule type="cellIs" dxfId="2965" priority="144" stopIfTrue="1" operator="lessThanOrEqual">
      <formula>0</formula>
    </cfRule>
    <cfRule type="cellIs" dxfId="2964" priority="135" stopIfTrue="1" operator="greaterThan">
      <formula>#REF!</formula>
    </cfRule>
  </conditionalFormatting>
  <conditionalFormatting sqref="H60:I60">
    <cfRule type="cellIs" dxfId="2963" priority="147" stopIfTrue="1" operator="greaterThan">
      <formula>$F$36</formula>
    </cfRule>
    <cfRule type="cellIs" dxfId="2962" priority="150" stopIfTrue="1" operator="lessThanOrEqual">
      <formula>0</formula>
    </cfRule>
  </conditionalFormatting>
  <conditionalFormatting sqref="H61:I62">
    <cfRule type="cellIs" dxfId="2961" priority="123" stopIfTrue="1" operator="greaterThan">
      <formula>#REF!</formula>
    </cfRule>
    <cfRule type="cellIs" dxfId="2960" priority="126" stopIfTrue="1" operator="lessThanOrEqual">
      <formula>0</formula>
    </cfRule>
    <cfRule type="cellIs" dxfId="2959" priority="131" stopIfTrue="1" operator="greaterThan">
      <formula>#REF!</formula>
    </cfRule>
    <cfRule type="cellIs" dxfId="2958" priority="132" stopIfTrue="1" operator="lessThanOrEqual">
      <formula>0</formula>
    </cfRule>
  </conditionalFormatting>
  <conditionalFormatting sqref="H66:I73">
    <cfRule type="cellIs" dxfId="2957" priority="46" stopIfTrue="1" operator="lessThanOrEqual">
      <formula>0</formula>
    </cfRule>
    <cfRule type="cellIs" dxfId="2956" priority="45" stopIfTrue="1" operator="greaterThan">
      <formula>$J66</formula>
    </cfRule>
  </conditionalFormatting>
  <conditionalFormatting sqref="H74:I74">
    <cfRule type="cellIs" dxfId="2955" priority="53" operator="greaterThan">
      <formula>5.3</formula>
    </cfRule>
  </conditionalFormatting>
  <conditionalFormatting sqref="H75:I75">
    <cfRule type="cellIs" dxfId="2954" priority="52" stopIfTrue="1" operator="lessThanOrEqual">
      <formula>0</formula>
    </cfRule>
    <cfRule type="cellIs" dxfId="2953" priority="51" stopIfTrue="1" operator="greaterThan">
      <formula>$J75</formula>
    </cfRule>
  </conditionalFormatting>
  <conditionalFormatting sqref="I53">
    <cfRule type="cellIs" dxfId="2952" priority="66" stopIfTrue="1" operator="greaterThan">
      <formula>$F$68</formula>
    </cfRule>
    <cfRule type="cellIs" dxfId="2951" priority="65" stopIfTrue="1" operator="lessThanOrEqual">
      <formula>0</formula>
    </cfRule>
    <cfRule type="cellIs" dxfId="2950" priority="64" stopIfTrue="1" operator="greaterThan">
      <formula>$F$66</formula>
    </cfRule>
    <cfRule type="cellIs" dxfId="2949" priority="69" stopIfTrue="1" operator="lessThanOrEqual">
      <formula>0</formula>
    </cfRule>
    <cfRule type="cellIs" dxfId="2948" priority="68" stopIfTrue="1" operator="greaterThan">
      <formula>$F$66</formula>
    </cfRule>
    <cfRule type="cellIs" dxfId="2947" priority="67" stopIfTrue="1" operator="lessThanOrEqual">
      <formula>0</formula>
    </cfRule>
  </conditionalFormatting>
  <conditionalFormatting sqref="I54">
    <cfRule type="cellIs" dxfId="2946" priority="91" stopIfTrue="1" operator="lessThanOrEqual">
      <formula>0</formula>
    </cfRule>
    <cfRule type="cellIs" dxfId="2945" priority="90" stopIfTrue="1" operator="greaterThan">
      <formula>$F$66</formula>
    </cfRule>
    <cfRule type="cellIs" dxfId="2944" priority="95" stopIfTrue="1" operator="lessThanOrEqual">
      <formula>0</formula>
    </cfRule>
    <cfRule type="cellIs" dxfId="2943" priority="94" stopIfTrue="1" operator="greaterThan">
      <formula>$F$66</formula>
    </cfRule>
    <cfRule type="cellIs" dxfId="2942" priority="93" stopIfTrue="1" operator="lessThanOrEqual">
      <formula>0</formula>
    </cfRule>
    <cfRule type="cellIs" dxfId="2941" priority="92" stopIfTrue="1" operator="greaterThan">
      <formula>$F$68</formula>
    </cfRule>
  </conditionalFormatting>
  <conditionalFormatting sqref="I55">
    <cfRule type="cellIs" dxfId="2940" priority="35" stopIfTrue="1" operator="greaterThan">
      <formula>$F$68</formula>
    </cfRule>
    <cfRule type="cellIs" dxfId="2939" priority="34" stopIfTrue="1" operator="lessThanOrEqual">
      <formula>0</formula>
    </cfRule>
    <cfRule type="cellIs" dxfId="2938" priority="33" stopIfTrue="1" operator="greaterThan">
      <formula>$F$70</formula>
    </cfRule>
    <cfRule type="cellIs" dxfId="2937" priority="32" stopIfTrue="1" operator="lessThanOrEqual">
      <formula>0</formula>
    </cfRule>
    <cfRule type="cellIs" dxfId="2936" priority="31" stopIfTrue="1" operator="greaterThan">
      <formula>$F$68</formula>
    </cfRule>
    <cfRule type="cellIs" dxfId="2935" priority="36" stopIfTrue="1" operator="lessThanOrEqual">
      <formula>0</formula>
    </cfRule>
  </conditionalFormatting>
  <conditionalFormatting sqref="I56:I57">
    <cfRule type="cellIs" dxfId="2934" priority="106" stopIfTrue="1" operator="lessThanOrEqual">
      <formula>0</formula>
    </cfRule>
    <cfRule type="cellIs" dxfId="2933" priority="107" stopIfTrue="1" operator="greaterThan">
      <formula>$F$66</formula>
    </cfRule>
    <cfRule type="cellIs" dxfId="2932" priority="108" stopIfTrue="1" operator="lessThanOrEqual">
      <formula>0</formula>
    </cfRule>
    <cfRule type="cellIs" dxfId="2931" priority="103" stopIfTrue="1" operator="greaterThan">
      <formula>$F$66</formula>
    </cfRule>
    <cfRule type="cellIs" dxfId="2930" priority="104" stopIfTrue="1" operator="lessThanOrEqual">
      <formula>0</formula>
    </cfRule>
    <cfRule type="cellIs" dxfId="2929" priority="105" stopIfTrue="1" operator="greaterThan">
      <formula>$F$68</formula>
    </cfRule>
  </conditionalFormatting>
  <conditionalFormatting sqref="I58:I59">
    <cfRule type="cellIs" dxfId="2928" priority="142" stopIfTrue="1" operator="lessThanOrEqual">
      <formula>0</formula>
    </cfRule>
    <cfRule type="cellIs" dxfId="2927" priority="141" stopIfTrue="1" operator="greaterThan">
      <formula>#REF!</formula>
    </cfRule>
    <cfRule type="cellIs" dxfId="2926" priority="140" stopIfTrue="1" operator="lessThanOrEqual">
      <formula>0</formula>
    </cfRule>
    <cfRule type="cellIs" dxfId="2925" priority="139" stopIfTrue="1" operator="greaterThan">
      <formula>#REF!</formula>
    </cfRule>
  </conditionalFormatting>
  <conditionalFormatting sqref="I60">
    <cfRule type="cellIs" dxfId="2924" priority="154" stopIfTrue="1" operator="lessThanOrEqual">
      <formula>0</formula>
    </cfRule>
    <cfRule type="cellIs" dxfId="2923" priority="155" stopIfTrue="1" operator="greaterThan">
      <formula>$F$34</formula>
    </cfRule>
    <cfRule type="cellIs" dxfId="2922" priority="156" stopIfTrue="1" operator="lessThanOrEqual">
      <formula>0</formula>
    </cfRule>
    <cfRule type="cellIs" dxfId="2921" priority="151" stopIfTrue="1" operator="greaterThan">
      <formula>$F$34</formula>
    </cfRule>
    <cfRule type="cellIs" dxfId="2920" priority="152" stopIfTrue="1" operator="lessThanOrEqual">
      <formula>0</formula>
    </cfRule>
    <cfRule type="cellIs" dxfId="2919" priority="153" stopIfTrue="1" operator="greaterThan">
      <formula>$F$36</formula>
    </cfRule>
  </conditionalFormatting>
  <conditionalFormatting sqref="I61:I62">
    <cfRule type="cellIs" dxfId="2918" priority="130" stopIfTrue="1" operator="lessThanOrEqual">
      <formula>0</formula>
    </cfRule>
    <cfRule type="cellIs" dxfId="2917" priority="127" stopIfTrue="1" operator="greaterThan">
      <formula>#REF!</formula>
    </cfRule>
    <cfRule type="cellIs" dxfId="2916" priority="128" stopIfTrue="1" operator="lessThanOrEqual">
      <formula>0</formula>
    </cfRule>
    <cfRule type="cellIs" dxfId="2915" priority="129" stopIfTrue="1" operator="greaterThan">
      <formula>#REF!</formula>
    </cfRule>
  </conditionalFormatting>
  <conditionalFormatting sqref="I77:I85">
    <cfRule type="cellIs" dxfId="2914" priority="180" stopIfTrue="1" operator="lessThanOrEqual">
      <formula>0</formula>
    </cfRule>
    <cfRule type="cellIs" dxfId="2913" priority="179" stopIfTrue="1" operator="greaterThan">
      <formula>4.5</formula>
    </cfRule>
  </conditionalFormatting>
  <conditionalFormatting sqref="I10:J21">
    <cfRule type="cellIs" dxfId="2912" priority="19" operator="lessThan">
      <formula>97.9</formula>
    </cfRule>
  </conditionalFormatting>
  <conditionalFormatting sqref="J24:J26">
    <cfRule type="cellIs" dxfId="2911" priority="26" operator="lessThan">
      <formula>97.95</formula>
    </cfRule>
  </conditionalFormatting>
  <conditionalFormatting sqref="J25:J28">
    <cfRule type="cellIs" dxfId="2910" priority="161" operator="lessThan">
      <formula>97.4</formula>
    </cfRule>
  </conditionalFormatting>
  <conditionalFormatting sqref="J29:J30">
    <cfRule type="cellIs" dxfId="2909" priority="162" operator="lessThan">
      <formula>98</formula>
    </cfRule>
  </conditionalFormatting>
  <conditionalFormatting sqref="J31:J32">
    <cfRule type="cellIs" dxfId="2908" priority="163" stopIfTrue="1" operator="lessThan">
      <formula>96.8</formula>
    </cfRule>
    <cfRule type="cellIs" dxfId="2907" priority="164" stopIfTrue="1" operator="greaterThan">
      <formula>100</formula>
    </cfRule>
  </conditionalFormatting>
  <conditionalFormatting sqref="J31:J33">
    <cfRule type="cellIs" dxfId="2906" priority="165" operator="lessThan">
      <formula>98</formula>
    </cfRule>
  </conditionalFormatting>
  <conditionalFormatting sqref="J62">
    <cfRule type="cellIs" dxfId="2905" priority="122" stopIfTrue="1" operator="lessThanOrEqual">
      <formula>0</formula>
    </cfRule>
    <cfRule type="cellIs" dxfId="2904" priority="116" stopIfTrue="1" operator="lessThanOrEqual">
      <formula>0</formula>
    </cfRule>
    <cfRule type="cellIs" dxfId="2903" priority="115" stopIfTrue="1" operator="greaterThan">
      <formula>#REF!</formula>
    </cfRule>
    <cfRule type="cellIs" dxfId="2902" priority="117" stopIfTrue="1" operator="greaterThan">
      <formula>#REF!</formula>
    </cfRule>
    <cfRule type="cellIs" dxfId="2901" priority="118" stopIfTrue="1" operator="lessThanOrEqual">
      <formula>0</formula>
    </cfRule>
    <cfRule type="cellIs" dxfId="2900" priority="119" stopIfTrue="1" operator="greaterThan">
      <formula>#REF!</formula>
    </cfRule>
    <cfRule type="cellIs" dxfId="2899" priority="120" stopIfTrue="1" operator="lessThanOrEqual">
      <formula>0</formula>
    </cfRule>
    <cfRule type="cellIs" dxfId="2898" priority="121" stopIfTrue="1" operator="greaterThan">
      <formula>#REF!</formula>
    </cfRule>
  </conditionalFormatting>
  <conditionalFormatting sqref="J75">
    <cfRule type="cellIs" dxfId="2897" priority="54" stopIfTrue="1" operator="greaterThan">
      <formula>$F75</formula>
    </cfRule>
    <cfRule type="cellIs" dxfId="2896" priority="55" stopIfTrue="1" operator="lessThanOrEqual">
      <formula>0</formula>
    </cfRule>
  </conditionalFormatting>
  <conditionalFormatting sqref="K10:K21">
    <cfRule type="cellIs" dxfId="2895" priority="21" operator="lessThan">
      <formula>4</formula>
    </cfRule>
    <cfRule type="cellIs" dxfId="2894" priority="22" operator="greaterThan">
      <formula>6.4</formula>
    </cfRule>
    <cfRule type="cellIs" dxfId="2893" priority="20" operator="greaterThan">
      <formula>6</formula>
    </cfRule>
  </conditionalFormatting>
  <conditionalFormatting sqref="K53:K62">
    <cfRule type="cellIs" dxfId="2892" priority="100" stopIfTrue="1" operator="lessThan">
      <formula>100%</formula>
    </cfRule>
  </conditionalFormatting>
  <conditionalFormatting sqref="K66:K74">
    <cfRule type="cellIs" dxfId="2891" priority="44" stopIfTrue="1" operator="lessThan">
      <formula>100%</formula>
    </cfRule>
  </conditionalFormatting>
  <conditionalFormatting sqref="K77:K82">
    <cfRule type="cellIs" dxfId="2890" priority="185" stopIfTrue="1" operator="lessThan">
      <formula>100%</formula>
    </cfRule>
  </conditionalFormatting>
  <conditionalFormatting sqref="K84:K85">
    <cfRule type="cellIs" dxfId="2889" priority="192" stopIfTrue="1" operator="lessThan">
      <formula>100%</formula>
    </cfRule>
  </conditionalFormatting>
  <conditionalFormatting sqref="L10:L21">
    <cfRule type="cellIs" dxfId="2888" priority="17" operator="greaterThan">
      <formula>65</formula>
    </cfRule>
    <cfRule type="cellIs" dxfId="2887" priority="16" operator="between">
      <formula>61</formula>
      <formula>65</formula>
    </cfRule>
  </conditionalFormatting>
  <conditionalFormatting sqref="L24:M35">
    <cfRule type="cellIs" dxfId="2886" priority="25" operator="lessThan">
      <formula>97.95</formula>
    </cfRule>
  </conditionalFormatting>
  <conditionalFormatting sqref="L39:N39">
    <cfRule type="cellIs" dxfId="2885" priority="15" operator="notEqual">
      <formula>#REF!</formula>
    </cfRule>
  </conditionalFormatting>
  <conditionalFormatting sqref="L66:N75">
    <cfRule type="cellIs" dxfId="2884" priority="41" stopIfTrue="1" operator="lessThan">
      <formula>100%</formula>
    </cfRule>
  </conditionalFormatting>
  <conditionalFormatting sqref="L77:N85">
    <cfRule type="cellIs" dxfId="2883" priority="170" stopIfTrue="1" operator="lessThan">
      <formula>100%</formula>
    </cfRule>
  </conditionalFormatting>
  <conditionalFormatting sqref="M21">
    <cfRule type="expression" dxfId="2882" priority="12">
      <formula>IF(+(IF(M21&lt;U21,0,IF(M21&gt;V21,0,1)))=0,1)</formula>
    </cfRule>
  </conditionalFormatting>
  <conditionalFormatting sqref="N10:N21">
    <cfRule type="expression" dxfId="2881" priority="18">
      <formula>IF(+(IF(N10&lt;W10,0,IF(N10&gt;X10,0,1)))=0,1)</formula>
    </cfRule>
  </conditionalFormatting>
  <conditionalFormatting sqref="P6">
    <cfRule type="cellIs" dxfId="2880" priority="166" operator="greaterThanOrEqual">
      <formula>19</formula>
    </cfRule>
  </conditionalFormatting>
  <dataValidations count="1">
    <dataValidation type="list" allowBlank="1" showInputMessage="1" showErrorMessage="1" sqref="R8" xr:uid="{90F6C5B4-6BB8-4472-93FA-47313BE9EFCA}">
      <formula1>ProductList</formula1>
    </dataValidation>
  </dataValidations>
  <pageMargins left="0.7" right="0.7" top="0.75" bottom="0.75" header="0.3" footer="0.3"/>
  <pageSetup scale="40" fitToWidth="0" orientation="landscape" r:id="rId1"/>
  <rowBreaks count="1" manualBreakCount="1">
    <brk id="79" max="16383" man="1"/>
  </rowBreaks>
  <colBreaks count="1" manualBreakCount="1">
    <brk id="15" max="89" man="1"/>
  </colBreaks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0E565C-580F-423C-BE3B-D328AAE4E23D}">
  <sheetPr>
    <pageSetUpPr fitToPage="1"/>
  </sheetPr>
  <dimension ref="A1:BE77"/>
  <sheetViews>
    <sheetView zoomScale="85" zoomScaleNormal="85" workbookViewId="0">
      <selection activeCell="D77" sqref="D77"/>
    </sheetView>
  </sheetViews>
  <sheetFormatPr defaultColWidth="9.42578125" defaultRowHeight="14.25"/>
  <cols>
    <col min="1" max="1" width="7.28515625" style="275" customWidth="1"/>
    <col min="2" max="2" width="31.28515625" style="275" customWidth="1"/>
    <col min="3" max="3" width="22.28515625" style="275" customWidth="1"/>
    <col min="4" max="7" width="16.5703125" style="275" customWidth="1"/>
    <col min="8" max="8" width="20.7109375" style="275" customWidth="1"/>
    <col min="9" max="9" width="31.42578125" style="275" customWidth="1"/>
    <col min="10" max="10" width="35.28515625" style="275" customWidth="1"/>
    <col min="11" max="11" width="29" style="275" customWidth="1"/>
    <col min="12" max="12" width="17.28515625" style="275" bestFit="1" customWidth="1"/>
    <col min="13" max="13" width="23.28515625" style="275" customWidth="1"/>
    <col min="14" max="14" width="13.7109375" style="275" bestFit="1" customWidth="1"/>
    <col min="15" max="15" width="17.5703125" style="275" customWidth="1"/>
    <col min="16" max="16" width="109.28515625" style="6" customWidth="1"/>
    <col min="17" max="17" width="16.5703125" style="275" customWidth="1"/>
    <col min="18" max="18" width="15.7109375" style="275" bestFit="1" customWidth="1"/>
    <col min="19" max="19" width="12.42578125" style="275" customWidth="1"/>
    <col min="20" max="20" width="15" style="275" customWidth="1"/>
    <col min="21" max="21" width="12" style="275" customWidth="1"/>
    <col min="22" max="22" width="10.42578125" style="275" customWidth="1"/>
    <col min="23" max="23" width="11.42578125" style="275" customWidth="1"/>
    <col min="24" max="24" width="10.42578125" style="275" customWidth="1"/>
    <col min="25" max="25" width="8.42578125" style="275" customWidth="1"/>
    <col min="26" max="26" width="9.5703125" style="275" customWidth="1"/>
    <col min="27" max="27" width="8.42578125" style="275" customWidth="1"/>
    <col min="28" max="29" width="7.5703125" style="275" customWidth="1"/>
    <col min="30" max="51" width="9.42578125" style="275"/>
    <col min="52" max="52" width="1.5703125" style="275" customWidth="1"/>
    <col min="53" max="54" width="9.42578125" style="275"/>
    <col min="55" max="56" width="15.42578125" style="275" customWidth="1"/>
    <col min="57" max="16384" width="9.42578125" style="275"/>
  </cols>
  <sheetData>
    <row r="1" spans="2:29" ht="1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R1" s="467"/>
      <c r="S1" s="553" t="s">
        <v>0</v>
      </c>
      <c r="T1" s="553"/>
      <c r="U1" s="553" t="s">
        <v>1</v>
      </c>
      <c r="V1" s="553"/>
      <c r="W1" s="553" t="s">
        <v>2</v>
      </c>
      <c r="X1" s="553"/>
      <c r="Y1" s="553" t="s">
        <v>124</v>
      </c>
      <c r="Z1" s="553"/>
    </row>
    <row r="2" spans="2:29" ht="15">
      <c r="B2" s="554" t="s">
        <v>3</v>
      </c>
      <c r="C2" s="554"/>
      <c r="D2" s="554"/>
      <c r="E2" s="554"/>
      <c r="F2" s="554"/>
      <c r="G2" s="554"/>
      <c r="H2" s="554"/>
      <c r="I2" s="554"/>
      <c r="J2" s="554"/>
      <c r="K2" s="554"/>
      <c r="L2" s="554"/>
      <c r="M2" s="554"/>
      <c r="N2" s="554"/>
      <c r="O2" s="554"/>
      <c r="P2" s="4"/>
      <c r="R2" s="467"/>
      <c r="S2" s="467" t="s">
        <v>4</v>
      </c>
      <c r="T2" s="467" t="s">
        <v>5</v>
      </c>
      <c r="U2" s="467" t="s">
        <v>4</v>
      </c>
      <c r="V2" s="467" t="s">
        <v>5</v>
      </c>
      <c r="W2" s="467" t="s">
        <v>4</v>
      </c>
      <c r="X2" s="467" t="s">
        <v>5</v>
      </c>
      <c r="Y2" s="467" t="s">
        <v>4</v>
      </c>
      <c r="Z2" s="467" t="s">
        <v>5</v>
      </c>
    </row>
    <row r="3" spans="2:29" ht="14.25" customHeight="1">
      <c r="B3" s="5"/>
      <c r="R3" s="467" t="s">
        <v>6</v>
      </c>
      <c r="S3" s="468">
        <v>11.6</v>
      </c>
      <c r="T3" s="469">
        <v>12</v>
      </c>
      <c r="U3" s="9">
        <v>0</v>
      </c>
      <c r="V3" s="10">
        <v>0.118055555555556</v>
      </c>
      <c r="W3" s="10">
        <v>0.22569444444444445</v>
      </c>
      <c r="X3" s="10">
        <v>0.2638888888888889</v>
      </c>
      <c r="Y3" s="470">
        <v>0</v>
      </c>
      <c r="Z3" s="468">
        <v>60</v>
      </c>
      <c r="AB3" s="275" t="s">
        <v>135</v>
      </c>
    </row>
    <row r="4" spans="2:29" ht="30.75" customHeight="1">
      <c r="B4" s="301" t="s">
        <v>133</v>
      </c>
      <c r="C4" s="419">
        <v>46275</v>
      </c>
      <c r="J4" s="398" t="s">
        <v>153</v>
      </c>
      <c r="K4" s="398"/>
      <c r="L4" s="11"/>
      <c r="M4" s="555" t="s">
        <v>8</v>
      </c>
      <c r="N4" s="556"/>
      <c r="P4" s="12"/>
      <c r="R4" s="467" t="s">
        <v>9</v>
      </c>
      <c r="S4" s="468">
        <v>11.6</v>
      </c>
      <c r="T4" s="469">
        <v>12</v>
      </c>
      <c r="U4" s="9">
        <v>0</v>
      </c>
      <c r="V4" s="10">
        <v>0.118055555555556</v>
      </c>
      <c r="W4" s="10">
        <v>0.22569444444444445</v>
      </c>
      <c r="X4" s="10">
        <v>0.2638888888888889</v>
      </c>
      <c r="Y4" s="470">
        <v>0</v>
      </c>
      <c r="Z4" s="468">
        <v>60</v>
      </c>
      <c r="AA4" s="13"/>
      <c r="AB4" s="13"/>
      <c r="AC4" s="13"/>
    </row>
    <row r="5" spans="2:29" ht="12.75" customHeight="1" thickBot="1">
      <c r="B5" s="1"/>
      <c r="C5" s="549"/>
      <c r="D5" s="549"/>
      <c r="J5" s="403"/>
      <c r="K5" s="403"/>
      <c r="L5" s="11"/>
      <c r="M5" s="14" t="s">
        <v>10</v>
      </c>
      <c r="N5" s="14" t="s">
        <v>11</v>
      </c>
      <c r="P5" s="12"/>
      <c r="R5" s="467" t="s">
        <v>12</v>
      </c>
      <c r="S5" s="468">
        <v>17</v>
      </c>
      <c r="T5" s="469">
        <v>17.5</v>
      </c>
      <c r="U5" s="9">
        <v>0</v>
      </c>
      <c r="V5" s="10">
        <v>0.1076388888888889</v>
      </c>
      <c r="W5" s="10">
        <v>0.24652777777777779</v>
      </c>
      <c r="X5" s="10">
        <v>0.28472222222222221</v>
      </c>
      <c r="Y5" s="470">
        <v>0</v>
      </c>
      <c r="Z5" s="471">
        <v>60</v>
      </c>
      <c r="AA5" s="13"/>
      <c r="AB5" s="13"/>
      <c r="AC5" s="13"/>
    </row>
    <row r="6" spans="2:29" ht="14.25" customHeight="1">
      <c r="B6" s="15"/>
      <c r="C6" s="1"/>
      <c r="D6" s="1"/>
      <c r="J6" s="399" t="s">
        <v>168</v>
      </c>
      <c r="K6" s="400"/>
      <c r="L6" s="311" t="s">
        <v>14</v>
      </c>
      <c r="M6" s="340"/>
      <c r="N6" s="340"/>
      <c r="P6" s="16"/>
      <c r="R6" s="467" t="s">
        <v>15</v>
      </c>
      <c r="S6" s="468">
        <v>13.3</v>
      </c>
      <c r="T6" s="469">
        <v>13.5</v>
      </c>
      <c r="U6" s="9">
        <v>0</v>
      </c>
      <c r="V6" s="9">
        <v>0.12905092592592593</v>
      </c>
      <c r="W6" s="10">
        <v>0.27430555555555552</v>
      </c>
      <c r="X6" s="10">
        <v>0.30208333333333331</v>
      </c>
      <c r="Y6" s="470">
        <v>0</v>
      </c>
      <c r="Z6" s="471"/>
      <c r="AA6" s="13"/>
      <c r="AB6" s="13"/>
      <c r="AC6" s="13"/>
    </row>
    <row r="7" spans="2:29" ht="13.35" customHeight="1" thickBot="1">
      <c r="J7" s="401"/>
      <c r="K7" s="402"/>
      <c r="R7" s="467" t="s">
        <v>16</v>
      </c>
      <c r="S7" s="468">
        <v>17</v>
      </c>
      <c r="T7" s="469">
        <v>17.399999999999999</v>
      </c>
      <c r="U7" s="9">
        <v>0</v>
      </c>
      <c r="V7" s="9">
        <v>0.13605324074074074</v>
      </c>
      <c r="W7" s="10">
        <v>0.27430555555555552</v>
      </c>
      <c r="X7" s="10">
        <v>0.30902777777777779</v>
      </c>
      <c r="Y7" s="470">
        <v>0</v>
      </c>
      <c r="Z7" s="471">
        <v>85</v>
      </c>
      <c r="AA7" s="13"/>
      <c r="AB7" s="13"/>
      <c r="AC7" s="13"/>
    </row>
    <row r="8" spans="2:29" ht="25.5" customHeight="1">
      <c r="B8" s="507" t="s">
        <v>17</v>
      </c>
      <c r="C8" s="516" t="s">
        <v>18</v>
      </c>
      <c r="D8" s="516" t="s">
        <v>19</v>
      </c>
      <c r="E8" s="356" t="s">
        <v>20</v>
      </c>
      <c r="F8" s="356" t="s">
        <v>21</v>
      </c>
      <c r="G8" s="516" t="s">
        <v>22</v>
      </c>
      <c r="H8" s="551" t="s">
        <v>144</v>
      </c>
      <c r="I8" s="516" t="s">
        <v>167</v>
      </c>
      <c r="J8" s="542" t="s">
        <v>23</v>
      </c>
      <c r="K8" s="544" t="s">
        <v>142</v>
      </c>
      <c r="L8" s="546" t="s">
        <v>24</v>
      </c>
      <c r="M8" s="359" t="s">
        <v>25</v>
      </c>
      <c r="N8" s="17" t="s">
        <v>166</v>
      </c>
      <c r="O8" s="516" t="s">
        <v>155</v>
      </c>
      <c r="P8" s="548"/>
      <c r="R8" s="467" t="s">
        <v>125</v>
      </c>
      <c r="S8" s="468">
        <v>16.600000000000001</v>
      </c>
      <c r="T8" s="469">
        <v>17</v>
      </c>
      <c r="U8" s="9">
        <v>0</v>
      </c>
      <c r="V8" s="9">
        <v>0.12905092592592593</v>
      </c>
      <c r="W8" s="10">
        <v>0.27430555555555552</v>
      </c>
      <c r="X8" s="10">
        <v>0.30208333333333331</v>
      </c>
      <c r="Y8" s="470">
        <v>0</v>
      </c>
      <c r="Z8" s="471"/>
    </row>
    <row r="9" spans="2:29" ht="36" customHeight="1">
      <c r="B9" s="550"/>
      <c r="C9" s="541"/>
      <c r="D9" s="541"/>
      <c r="E9" s="357" t="s">
        <v>30</v>
      </c>
      <c r="F9" s="357" t="s">
        <v>31</v>
      </c>
      <c r="G9" s="541"/>
      <c r="H9" s="552"/>
      <c r="I9" s="541"/>
      <c r="J9" s="543"/>
      <c r="K9" s="545"/>
      <c r="L9" s="547"/>
      <c r="M9" s="20" t="s">
        <v>32</v>
      </c>
      <c r="N9" s="21" t="s">
        <v>41</v>
      </c>
      <c r="O9" s="541"/>
      <c r="P9" s="541"/>
      <c r="R9" s="467" t="s">
        <v>33</v>
      </c>
      <c r="S9" s="468">
        <v>14.2</v>
      </c>
      <c r="T9" s="469">
        <v>14.6</v>
      </c>
      <c r="U9" s="9">
        <v>0</v>
      </c>
      <c r="V9" s="9">
        <v>0.13905092592592591</v>
      </c>
      <c r="W9" s="10">
        <v>0.26041666666666669</v>
      </c>
      <c r="X9" s="10">
        <v>0.2951388888888889</v>
      </c>
      <c r="Y9" s="470">
        <v>0</v>
      </c>
      <c r="Z9" s="471">
        <v>75</v>
      </c>
    </row>
    <row r="10" spans="2:29" ht="15" customHeight="1">
      <c r="B10" s="29" t="s">
        <v>6</v>
      </c>
      <c r="C10" s="366" t="str">
        <f>[4]Brewhouse!$A721</f>
        <v>CA672</v>
      </c>
      <c r="D10" s="279">
        <f>[4]Brewhouse!$AF721</f>
        <v>50.2</v>
      </c>
      <c r="E10" s="279">
        <f>[4]Brewhouse!$AI721</f>
        <v>50.7</v>
      </c>
      <c r="F10" s="278">
        <f>[4]Brewhouse!$V721</f>
        <v>60</v>
      </c>
      <c r="G10" s="279">
        <f>[4]Brewhouse!AG721</f>
        <v>11.7</v>
      </c>
      <c r="H10" s="396">
        <v>11.9</v>
      </c>
      <c r="I10" s="368">
        <f>[4]Brewhouse!$AU721</f>
        <v>99.733387411391178</v>
      </c>
      <c r="J10" s="368">
        <f>[4]Brewhouse!$AV721</f>
        <v>101.32070242510316</v>
      </c>
      <c r="K10" s="281">
        <f>[4]Brewhouse!$Q721</f>
        <v>8.7245841035120115</v>
      </c>
      <c r="L10" s="276">
        <f>[4]Brewhouse!$P721</f>
        <v>60</v>
      </c>
      <c r="M10" s="374">
        <f>[4]Brewhouse!$U721-[4]Brewhouse!$T721</f>
        <v>7.986111111111116E-2</v>
      </c>
      <c r="N10" s="370">
        <f>[4]Brewhouse!$Z721</f>
        <v>0.23055555555555562</v>
      </c>
      <c r="O10" s="420" t="str">
        <f>[4]Brewhouse!$AX721</f>
        <v>R. Regis</v>
      </c>
      <c r="P10" s="418"/>
      <c r="R10" s="277" t="str">
        <f t="shared" ref="R10:R37" si="0">B10</f>
        <v>CARIB</v>
      </c>
      <c r="S10" s="472">
        <f t="shared" ref="S10:S37" si="1">VLOOKUP($B10,$R$3:$X$9,2,FALSE)</f>
        <v>11.6</v>
      </c>
      <c r="T10" s="472">
        <f t="shared" ref="T10:T37" si="2">VLOOKUP($B10,$R$3:$X$9,3,FALSE)</f>
        <v>12</v>
      </c>
      <c r="U10" s="297">
        <f t="shared" ref="U10:U37" si="3">VLOOKUP($B10,$R$3:$X$9,4,FALSE)</f>
        <v>0</v>
      </c>
      <c r="V10" s="297">
        <f t="shared" ref="V10:V37" si="4">VLOOKUP($B10,$R$3:$X$9,5,FALSE)</f>
        <v>0.118055555555556</v>
      </c>
      <c r="W10" s="297">
        <f t="shared" ref="W10:W37" si="5">VLOOKUP($B10,$R$3:$X$9,6,FALSE)</f>
        <v>0.22569444444444445</v>
      </c>
      <c r="X10" s="297">
        <f t="shared" ref="X10:X37" si="6">VLOOKUP($B10,$R$3:$X$9,7,FALSE)</f>
        <v>0.2638888888888889</v>
      </c>
      <c r="Y10" s="297">
        <f t="shared" ref="Y10:Y37" si="7">VLOOKUP($B10,$R$3:$Z$9,8,FALSE)</f>
        <v>0</v>
      </c>
      <c r="Z10" s="472">
        <f t="shared" ref="Z10:Z37" si="8">VLOOKUP($B10,$R$3:$Z$9,9,FALSE)</f>
        <v>60</v>
      </c>
    </row>
    <row r="11" spans="2:29" ht="15" customHeight="1">
      <c r="B11" s="29" t="s">
        <v>6</v>
      </c>
      <c r="C11" s="366" t="str">
        <f>[4]Brewhouse!$A722</f>
        <v>CA673</v>
      </c>
      <c r="D11" s="279">
        <f>[4]Brewhouse!$AF722</f>
        <v>49.9</v>
      </c>
      <c r="E11" s="279">
        <f>[4]Brewhouse!$AI722</f>
        <v>50.5</v>
      </c>
      <c r="F11" s="278">
        <f>[4]Brewhouse!$V722</f>
        <v>64</v>
      </c>
      <c r="G11" s="279">
        <f>[4]Brewhouse!AG722</f>
        <v>11.6</v>
      </c>
      <c r="H11" s="396">
        <v>11.9</v>
      </c>
      <c r="I11" s="368">
        <f>[4]Brewhouse!$AU722</f>
        <v>98.19754764179018</v>
      </c>
      <c r="J11" s="368">
        <f>[4]Brewhouse!$AV722</f>
        <v>99.760633157394977</v>
      </c>
      <c r="K11" s="281">
        <f>[4]Brewhouse!$Q722</f>
        <v>9.0942698706099847</v>
      </c>
      <c r="L11" s="276">
        <f>[4]Brewhouse!$P722</f>
        <v>58</v>
      </c>
      <c r="M11" s="374">
        <f>[4]Brewhouse!$U722-[4]Brewhouse!$T722</f>
        <v>0.11388888888888893</v>
      </c>
      <c r="N11" s="370">
        <f>[4]Brewhouse!$Z722</f>
        <v>0.27638888888888896</v>
      </c>
      <c r="O11" s="420" t="str">
        <f>[4]Brewhouse!$AX722</f>
        <v>R. Regis</v>
      </c>
      <c r="P11" s="418"/>
      <c r="R11" s="277" t="str">
        <f t="shared" ref="R11:R28" si="9">B11</f>
        <v>CARIB</v>
      </c>
      <c r="S11" s="472">
        <f t="shared" si="1"/>
        <v>11.6</v>
      </c>
      <c r="T11" s="472">
        <f t="shared" si="2"/>
        <v>12</v>
      </c>
      <c r="U11" s="297">
        <f t="shared" si="3"/>
        <v>0</v>
      </c>
      <c r="V11" s="297">
        <f t="shared" si="4"/>
        <v>0.118055555555556</v>
      </c>
      <c r="W11" s="297">
        <f t="shared" si="5"/>
        <v>0.22569444444444445</v>
      </c>
      <c r="X11" s="297">
        <f t="shared" si="6"/>
        <v>0.2638888888888889</v>
      </c>
      <c r="Y11" s="297">
        <f t="shared" si="7"/>
        <v>0</v>
      </c>
      <c r="Z11" s="472">
        <f t="shared" si="8"/>
        <v>60</v>
      </c>
    </row>
    <row r="12" spans="2:29" ht="15" customHeight="1">
      <c r="B12" s="29" t="s">
        <v>6</v>
      </c>
      <c r="C12" s="366" t="str">
        <f>[4]Brewhouse!$A723</f>
        <v>CA674</v>
      </c>
      <c r="D12" s="279">
        <f>[4]Brewhouse!$AF723</f>
        <v>49.9</v>
      </c>
      <c r="E12" s="279">
        <f>[4]Brewhouse!$AI723</f>
        <v>51</v>
      </c>
      <c r="F12" s="278">
        <f>[4]Brewhouse!$V723</f>
        <v>62</v>
      </c>
      <c r="G12" s="279">
        <f>[4]Brewhouse!AG723</f>
        <v>11.8</v>
      </c>
      <c r="H12" s="396">
        <v>11.8</v>
      </c>
      <c r="I12" s="368">
        <f>[4]Brewhouse!$AU723</f>
        <v>101.48311507954335</v>
      </c>
      <c r="J12" s="368">
        <f>[4]Brewhouse!$AV723</f>
        <v>103.09805544754764</v>
      </c>
      <c r="K12" s="281">
        <f>[4]Brewhouse!$Q723</f>
        <v>9.0942698706099847</v>
      </c>
      <c r="L12" s="276">
        <f>[4]Brewhouse!$P723</f>
        <v>57</v>
      </c>
      <c r="M12" s="374">
        <f>[4]Brewhouse!$U723-[4]Brewhouse!$T723</f>
        <v>0.11250000000000004</v>
      </c>
      <c r="N12" s="370">
        <f>[4]Brewhouse!$Z723</f>
        <v>0.28958333333333336</v>
      </c>
      <c r="O12" s="420" t="str">
        <f>[4]Brewhouse!$AX723</f>
        <v>R. Sookram</v>
      </c>
      <c r="P12" s="418"/>
      <c r="R12" s="277" t="str">
        <f t="shared" si="9"/>
        <v>CARIB</v>
      </c>
      <c r="S12" s="472">
        <f t="shared" si="1"/>
        <v>11.6</v>
      </c>
      <c r="T12" s="472">
        <f t="shared" si="2"/>
        <v>12</v>
      </c>
      <c r="U12" s="297">
        <f t="shared" si="3"/>
        <v>0</v>
      </c>
      <c r="V12" s="297">
        <f t="shared" si="4"/>
        <v>0.118055555555556</v>
      </c>
      <c r="W12" s="297">
        <f t="shared" si="5"/>
        <v>0.22569444444444445</v>
      </c>
      <c r="X12" s="297">
        <f t="shared" si="6"/>
        <v>0.2638888888888889</v>
      </c>
      <c r="Y12" s="297">
        <f t="shared" si="7"/>
        <v>0</v>
      </c>
      <c r="Z12" s="472">
        <f t="shared" si="8"/>
        <v>60</v>
      </c>
    </row>
    <row r="13" spans="2:29" ht="15" customHeight="1">
      <c r="B13" s="29" t="s">
        <v>6</v>
      </c>
      <c r="C13" s="366" t="str">
        <f>[4]Brewhouse!$A724</f>
        <v>CA675</v>
      </c>
      <c r="D13" s="279">
        <f>[4]Brewhouse!$AF724</f>
        <v>48.8</v>
      </c>
      <c r="E13" s="279">
        <f>[4]Brewhouse!$AI724</f>
        <v>50.8</v>
      </c>
      <c r="F13" s="278">
        <f>[4]Brewhouse!$V724</f>
        <v>62</v>
      </c>
      <c r="G13" s="279">
        <f>[4]Brewhouse!AG724</f>
        <v>11.6</v>
      </c>
      <c r="H13" s="396">
        <v>11.8</v>
      </c>
      <c r="I13" s="368">
        <f>[4]Brewhouse!$AU724</f>
        <v>99.282975850914454</v>
      </c>
      <c r="J13" s="368">
        <f>[4]Brewhouse!$AV724</f>
        <v>100.86290454576744</v>
      </c>
      <c r="K13" s="281">
        <f>[4]Brewhouse!$Q724</f>
        <v>9.8518518518518512</v>
      </c>
      <c r="L13" s="276">
        <f>[4]Brewhouse!$P724</f>
        <v>57</v>
      </c>
      <c r="M13" s="374">
        <f>[4]Brewhouse!$U724-[4]Brewhouse!$T724</f>
        <v>0.125</v>
      </c>
      <c r="N13" s="370">
        <f>[4]Brewhouse!$Z724</f>
        <v>0.28333333333333333</v>
      </c>
      <c r="O13" s="420" t="str">
        <f>[4]Brewhouse!$AX724</f>
        <v>R. Sookram</v>
      </c>
      <c r="P13" s="418"/>
      <c r="R13" s="277" t="str">
        <f t="shared" si="9"/>
        <v>CARIB</v>
      </c>
      <c r="S13" s="472">
        <f t="shared" si="1"/>
        <v>11.6</v>
      </c>
      <c r="T13" s="472">
        <f t="shared" si="2"/>
        <v>12</v>
      </c>
      <c r="U13" s="297">
        <f t="shared" si="3"/>
        <v>0</v>
      </c>
      <c r="V13" s="297">
        <f t="shared" si="4"/>
        <v>0.118055555555556</v>
      </c>
      <c r="W13" s="297">
        <f t="shared" si="5"/>
        <v>0.22569444444444445</v>
      </c>
      <c r="X13" s="297">
        <f t="shared" si="6"/>
        <v>0.2638888888888889</v>
      </c>
      <c r="Y13" s="297">
        <f t="shared" si="7"/>
        <v>0</v>
      </c>
      <c r="Z13" s="472">
        <f t="shared" si="8"/>
        <v>60</v>
      </c>
    </row>
    <row r="14" spans="2:29" ht="15" customHeight="1">
      <c r="B14" s="29" t="s">
        <v>6</v>
      </c>
      <c r="C14" s="366" t="str">
        <f>[4]Brewhouse!$A725</f>
        <v>CA676</v>
      </c>
      <c r="D14" s="279">
        <f>[4]Brewhouse!$AF725</f>
        <v>47.6</v>
      </c>
      <c r="E14" s="279">
        <f>[4]Brewhouse!$AI725</f>
        <v>49.8</v>
      </c>
      <c r="F14" s="278">
        <f>[4]Brewhouse!$V725</f>
        <v>60</v>
      </c>
      <c r="G14" s="279">
        <f>[4]Brewhouse!AG725</f>
        <v>11.6</v>
      </c>
      <c r="H14" s="367"/>
      <c r="I14" s="368">
        <f>[4]Brewhouse!$AU725</f>
        <v>97.081866203837734</v>
      </c>
      <c r="J14" s="368">
        <f>[4]Brewhouse!$AV725</f>
        <v>98.626980711468789</v>
      </c>
      <c r="K14" s="281">
        <f>[4]Brewhouse!$Q725</f>
        <v>13.18518518518518</v>
      </c>
      <c r="L14" s="276">
        <f>[4]Brewhouse!$P725</f>
        <v>59</v>
      </c>
      <c r="M14" s="374">
        <f>[4]Brewhouse!$U725-[4]Brewhouse!$T725</f>
        <v>0.11041666666666672</v>
      </c>
      <c r="N14" s="370">
        <f>[4]Brewhouse!$Z725</f>
        <v>0.30069444444444449</v>
      </c>
      <c r="O14" s="420" t="str">
        <f>[4]Brewhouse!$AX725</f>
        <v>R. Sookram</v>
      </c>
      <c r="P14" s="418"/>
      <c r="R14" s="277" t="str">
        <f t="shared" si="9"/>
        <v>CARIB</v>
      </c>
      <c r="S14" s="472">
        <f t="shared" si="1"/>
        <v>11.6</v>
      </c>
      <c r="T14" s="472">
        <f t="shared" si="2"/>
        <v>12</v>
      </c>
      <c r="U14" s="297">
        <f t="shared" si="3"/>
        <v>0</v>
      </c>
      <c r="V14" s="297">
        <f t="shared" si="4"/>
        <v>0.118055555555556</v>
      </c>
      <c r="W14" s="297">
        <f t="shared" si="5"/>
        <v>0.22569444444444445</v>
      </c>
      <c r="X14" s="297">
        <f t="shared" si="6"/>
        <v>0.2638888888888889</v>
      </c>
      <c r="Y14" s="297">
        <f t="shared" si="7"/>
        <v>0</v>
      </c>
      <c r="Z14" s="472">
        <f t="shared" si="8"/>
        <v>60</v>
      </c>
    </row>
    <row r="15" spans="2:29" ht="15" customHeight="1">
      <c r="B15" s="29" t="s">
        <v>6</v>
      </c>
      <c r="C15" s="366" t="str">
        <f>[4]Brewhouse!$A726</f>
        <v>CA677</v>
      </c>
      <c r="D15" s="279">
        <f>[4]Brewhouse!$AF726</f>
        <v>49.4</v>
      </c>
      <c r="E15" s="279">
        <f>[4]Brewhouse!$AI726</f>
        <v>50</v>
      </c>
      <c r="F15" s="278">
        <f>[4]Brewhouse!$V726</f>
        <v>58</v>
      </c>
      <c r="G15" s="279">
        <f>[4]Brewhouse!AG726</f>
        <v>11.8</v>
      </c>
      <c r="H15" s="396">
        <v>11.9</v>
      </c>
      <c r="I15" s="368">
        <f>[4]Brewhouse!$AU726</f>
        <v>98.865119442395837</v>
      </c>
      <c r="J15" s="368">
        <f>[4]Brewhouse!$AV726</f>
        <v>100.43893867303237</v>
      </c>
      <c r="K15" s="281">
        <f>[4]Brewhouse!$Q726</f>
        <v>9.8518518518518512</v>
      </c>
      <c r="L15" s="276">
        <f>[4]Brewhouse!$P726</f>
        <v>59</v>
      </c>
      <c r="M15" s="374">
        <f>[4]Brewhouse!$U726-[4]Brewhouse!$T726</f>
        <v>0.11180555555555549</v>
      </c>
      <c r="N15" s="370">
        <f>[4]Brewhouse!$Z726</f>
        <v>0.29236111111111107</v>
      </c>
      <c r="O15" s="420" t="str">
        <f>[4]Brewhouse!$AX726</f>
        <v>R. Sookram</v>
      </c>
      <c r="P15" s="418"/>
      <c r="R15" s="277" t="str">
        <f t="shared" si="9"/>
        <v>CARIB</v>
      </c>
      <c r="S15" s="472">
        <f t="shared" si="1"/>
        <v>11.6</v>
      </c>
      <c r="T15" s="472">
        <f t="shared" si="2"/>
        <v>12</v>
      </c>
      <c r="U15" s="297">
        <f t="shared" si="3"/>
        <v>0</v>
      </c>
      <c r="V15" s="297">
        <f t="shared" si="4"/>
        <v>0.118055555555556</v>
      </c>
      <c r="W15" s="297">
        <f t="shared" si="5"/>
        <v>0.22569444444444445</v>
      </c>
      <c r="X15" s="297">
        <f t="shared" si="6"/>
        <v>0.2638888888888889</v>
      </c>
      <c r="Y15" s="297">
        <f t="shared" si="7"/>
        <v>0</v>
      </c>
      <c r="Z15" s="472">
        <f t="shared" si="8"/>
        <v>60</v>
      </c>
    </row>
    <row r="16" spans="2:29" ht="15" customHeight="1">
      <c r="B16" s="29" t="s">
        <v>6</v>
      </c>
      <c r="C16" s="366" t="str">
        <f>[4]Brewhouse!$A727</f>
        <v>CA678</v>
      </c>
      <c r="D16" s="279">
        <f>[4]Brewhouse!$AF727</f>
        <v>49.2</v>
      </c>
      <c r="E16" s="279">
        <f>[4]Brewhouse!$AI727</f>
        <v>49.8</v>
      </c>
      <c r="F16" s="278">
        <f>[4]Brewhouse!$V727</f>
        <v>57</v>
      </c>
      <c r="G16" s="279">
        <f>[4]Brewhouse!AG727</f>
        <v>11.6</v>
      </c>
      <c r="H16" s="396">
        <v>11.8</v>
      </c>
      <c r="I16" s="368">
        <f>[4]Brewhouse!$AU727</f>
        <v>96.958974493352486</v>
      </c>
      <c r="J16" s="368">
        <f>[4]Brewhouse!$AV727</f>
        <v>98.5022390338234</v>
      </c>
      <c r="K16" s="281">
        <f>[4]Brewhouse!$Q727</f>
        <v>10.388170055452859</v>
      </c>
      <c r="L16" s="276">
        <f>[4]Brewhouse!$P727</f>
        <v>59</v>
      </c>
      <c r="M16" s="374">
        <f>[4]Brewhouse!$U727-[4]Brewhouse!$T727</f>
        <v>0.11041666666666661</v>
      </c>
      <c r="N16" s="370">
        <f>[4]Brewhouse!$Z727</f>
        <v>0.26666666666666661</v>
      </c>
      <c r="O16" s="420" t="str">
        <f>[4]Brewhouse!$AX727</f>
        <v>R. Sookram</v>
      </c>
      <c r="P16" s="418"/>
      <c r="R16" s="277" t="str">
        <f t="shared" si="9"/>
        <v>CARIB</v>
      </c>
      <c r="S16" s="472">
        <f t="shared" si="1"/>
        <v>11.6</v>
      </c>
      <c r="T16" s="472">
        <f t="shared" si="2"/>
        <v>12</v>
      </c>
      <c r="U16" s="297">
        <f t="shared" si="3"/>
        <v>0</v>
      </c>
      <c r="V16" s="297">
        <f t="shared" si="4"/>
        <v>0.118055555555556</v>
      </c>
      <c r="W16" s="297">
        <f t="shared" si="5"/>
        <v>0.22569444444444445</v>
      </c>
      <c r="X16" s="297">
        <f t="shared" si="6"/>
        <v>0.2638888888888889</v>
      </c>
      <c r="Y16" s="297">
        <f t="shared" si="7"/>
        <v>0</v>
      </c>
      <c r="Z16" s="472">
        <f t="shared" si="8"/>
        <v>60</v>
      </c>
    </row>
    <row r="17" spans="1:26" ht="15" customHeight="1">
      <c r="B17" s="29"/>
      <c r="C17" s="366"/>
      <c r="D17" s="279"/>
      <c r="E17" s="279"/>
      <c r="F17" s="278"/>
      <c r="G17" s="279"/>
      <c r="H17" s="396"/>
      <c r="I17" s="368"/>
      <c r="J17" s="368"/>
      <c r="K17" s="281"/>
      <c r="L17" s="276"/>
      <c r="M17" s="374"/>
      <c r="N17" s="370"/>
      <c r="O17" s="420"/>
      <c r="P17" s="418"/>
      <c r="R17" s="277">
        <f t="shared" si="9"/>
        <v>0</v>
      </c>
      <c r="S17" s="472" t="e">
        <f t="shared" si="1"/>
        <v>#N/A</v>
      </c>
      <c r="T17" s="472" t="e">
        <f t="shared" si="2"/>
        <v>#N/A</v>
      </c>
      <c r="U17" s="297" t="e">
        <f t="shared" si="3"/>
        <v>#N/A</v>
      </c>
      <c r="V17" s="297" t="e">
        <f t="shared" si="4"/>
        <v>#N/A</v>
      </c>
      <c r="W17" s="297" t="e">
        <f t="shared" si="5"/>
        <v>#N/A</v>
      </c>
      <c r="X17" s="297" t="e">
        <f t="shared" si="6"/>
        <v>#N/A</v>
      </c>
      <c r="Y17" s="297" t="e">
        <f t="shared" si="7"/>
        <v>#N/A</v>
      </c>
      <c r="Z17" s="472" t="e">
        <f t="shared" si="8"/>
        <v>#N/A</v>
      </c>
    </row>
    <row r="18" spans="1:26" ht="15" customHeight="1">
      <c r="B18" s="29"/>
      <c r="C18" s="366"/>
      <c r="D18" s="279"/>
      <c r="E18" s="279"/>
      <c r="F18" s="278"/>
      <c r="G18" s="279"/>
      <c r="H18" s="396"/>
      <c r="I18" s="368"/>
      <c r="J18" s="368"/>
      <c r="K18" s="281"/>
      <c r="L18" s="276"/>
      <c r="M18" s="374"/>
      <c r="N18" s="370"/>
      <c r="O18" s="420"/>
      <c r="P18" s="418"/>
      <c r="R18" s="277">
        <f t="shared" si="9"/>
        <v>0</v>
      </c>
      <c r="S18" s="472" t="e">
        <f t="shared" si="1"/>
        <v>#N/A</v>
      </c>
      <c r="T18" s="472" t="e">
        <f t="shared" si="2"/>
        <v>#N/A</v>
      </c>
      <c r="U18" s="297" t="e">
        <f t="shared" si="3"/>
        <v>#N/A</v>
      </c>
      <c r="V18" s="297" t="e">
        <f t="shared" si="4"/>
        <v>#N/A</v>
      </c>
      <c r="W18" s="297" t="e">
        <f t="shared" si="5"/>
        <v>#N/A</v>
      </c>
      <c r="X18" s="297" t="e">
        <f t="shared" si="6"/>
        <v>#N/A</v>
      </c>
      <c r="Y18" s="297" t="e">
        <f t="shared" si="7"/>
        <v>#N/A</v>
      </c>
      <c r="Z18" s="472" t="e">
        <f t="shared" si="8"/>
        <v>#N/A</v>
      </c>
    </row>
    <row r="19" spans="1:26" ht="15" hidden="1" customHeight="1">
      <c r="B19" s="29"/>
      <c r="C19" s="366"/>
      <c r="D19" s="279"/>
      <c r="E19" s="279"/>
      <c r="F19" s="278"/>
      <c r="G19" s="279"/>
      <c r="H19" s="396"/>
      <c r="I19" s="368"/>
      <c r="J19" s="368"/>
      <c r="K19" s="281"/>
      <c r="L19" s="276"/>
      <c r="M19" s="374"/>
      <c r="N19" s="370"/>
      <c r="O19" s="420"/>
      <c r="P19" s="418"/>
      <c r="R19" s="277">
        <f t="shared" si="9"/>
        <v>0</v>
      </c>
      <c r="S19" s="472" t="e">
        <f t="shared" si="1"/>
        <v>#N/A</v>
      </c>
      <c r="T19" s="472" t="e">
        <f t="shared" si="2"/>
        <v>#N/A</v>
      </c>
      <c r="U19" s="297" t="e">
        <f t="shared" si="3"/>
        <v>#N/A</v>
      </c>
      <c r="V19" s="297" t="e">
        <f t="shared" si="4"/>
        <v>#N/A</v>
      </c>
      <c r="W19" s="297" t="e">
        <f t="shared" si="5"/>
        <v>#N/A</v>
      </c>
      <c r="X19" s="297" t="e">
        <f t="shared" si="6"/>
        <v>#N/A</v>
      </c>
      <c r="Y19" s="297" t="e">
        <f t="shared" si="7"/>
        <v>#N/A</v>
      </c>
      <c r="Z19" s="472" t="e">
        <f t="shared" si="8"/>
        <v>#N/A</v>
      </c>
    </row>
    <row r="20" spans="1:26" ht="15" hidden="1" customHeight="1">
      <c r="B20" s="29"/>
      <c r="C20" s="366"/>
      <c r="D20" s="279"/>
      <c r="E20" s="279"/>
      <c r="F20" s="278"/>
      <c r="G20" s="279"/>
      <c r="H20" s="396"/>
      <c r="I20" s="368"/>
      <c r="J20" s="368"/>
      <c r="K20" s="281"/>
      <c r="L20" s="276"/>
      <c r="M20" s="374"/>
      <c r="N20" s="370"/>
      <c r="O20" s="420"/>
      <c r="P20" s="418"/>
      <c r="R20" s="277">
        <f t="shared" si="9"/>
        <v>0</v>
      </c>
      <c r="S20" s="472" t="e">
        <f t="shared" si="1"/>
        <v>#N/A</v>
      </c>
      <c r="T20" s="472" t="e">
        <f t="shared" si="2"/>
        <v>#N/A</v>
      </c>
      <c r="U20" s="297" t="e">
        <f t="shared" si="3"/>
        <v>#N/A</v>
      </c>
      <c r="V20" s="297" t="e">
        <f t="shared" si="4"/>
        <v>#N/A</v>
      </c>
      <c r="W20" s="297" t="e">
        <f t="shared" si="5"/>
        <v>#N/A</v>
      </c>
      <c r="X20" s="297" t="e">
        <f t="shared" si="6"/>
        <v>#N/A</v>
      </c>
      <c r="Y20" s="297" t="e">
        <f t="shared" si="7"/>
        <v>#N/A</v>
      </c>
      <c r="Z20" s="472" t="e">
        <f t="shared" si="8"/>
        <v>#N/A</v>
      </c>
    </row>
    <row r="21" spans="1:26" ht="15" hidden="1" customHeight="1">
      <c r="B21" s="29"/>
      <c r="C21" s="366"/>
      <c r="D21" s="279"/>
      <c r="E21" s="279"/>
      <c r="F21" s="278"/>
      <c r="G21" s="279"/>
      <c r="H21" s="396"/>
      <c r="I21" s="368"/>
      <c r="J21" s="368"/>
      <c r="K21" s="281"/>
      <c r="L21" s="276"/>
      <c r="M21" s="374"/>
      <c r="N21" s="370"/>
      <c r="O21" s="420"/>
      <c r="P21" s="418"/>
      <c r="R21" s="277">
        <f t="shared" si="9"/>
        <v>0</v>
      </c>
      <c r="S21" s="472" t="e">
        <f t="shared" si="1"/>
        <v>#N/A</v>
      </c>
      <c r="T21" s="472" t="e">
        <f t="shared" si="2"/>
        <v>#N/A</v>
      </c>
      <c r="U21" s="297" t="e">
        <f t="shared" si="3"/>
        <v>#N/A</v>
      </c>
      <c r="V21" s="297" t="e">
        <f t="shared" si="4"/>
        <v>#N/A</v>
      </c>
      <c r="W21" s="297" t="e">
        <f t="shared" si="5"/>
        <v>#N/A</v>
      </c>
      <c r="X21" s="297" t="e">
        <f t="shared" si="6"/>
        <v>#N/A</v>
      </c>
      <c r="Y21" s="297" t="e">
        <f t="shared" si="7"/>
        <v>#N/A</v>
      </c>
      <c r="Z21" s="472" t="e">
        <f t="shared" si="8"/>
        <v>#N/A</v>
      </c>
    </row>
    <row r="22" spans="1:26" ht="15" hidden="1" customHeight="1">
      <c r="B22" s="29"/>
      <c r="C22" s="366"/>
      <c r="D22" s="279"/>
      <c r="E22" s="279"/>
      <c r="F22" s="278"/>
      <c r="G22" s="279"/>
      <c r="H22" s="396"/>
      <c r="I22" s="368"/>
      <c r="J22" s="368"/>
      <c r="K22" s="281"/>
      <c r="L22" s="276"/>
      <c r="M22" s="374"/>
      <c r="N22" s="370"/>
      <c r="O22" s="420"/>
      <c r="P22" s="418"/>
      <c r="R22" s="277">
        <f t="shared" si="9"/>
        <v>0</v>
      </c>
      <c r="S22" s="472" t="e">
        <f t="shared" si="1"/>
        <v>#N/A</v>
      </c>
      <c r="T22" s="472" t="e">
        <f t="shared" si="2"/>
        <v>#N/A</v>
      </c>
      <c r="U22" s="297" t="e">
        <f t="shared" si="3"/>
        <v>#N/A</v>
      </c>
      <c r="V22" s="297" t="e">
        <f t="shared" si="4"/>
        <v>#N/A</v>
      </c>
      <c r="W22" s="297" t="e">
        <f t="shared" si="5"/>
        <v>#N/A</v>
      </c>
      <c r="X22" s="297" t="e">
        <f t="shared" si="6"/>
        <v>#N/A</v>
      </c>
      <c r="Y22" s="297" t="e">
        <f t="shared" si="7"/>
        <v>#N/A</v>
      </c>
      <c r="Z22" s="472" t="e">
        <f t="shared" si="8"/>
        <v>#N/A</v>
      </c>
    </row>
    <row r="23" spans="1:26" ht="15" hidden="1" customHeight="1">
      <c r="B23" s="36"/>
      <c r="C23" s="366"/>
      <c r="D23" s="279"/>
      <c r="E23" s="279"/>
      <c r="F23" s="278"/>
      <c r="G23" s="279"/>
      <c r="H23" s="396"/>
      <c r="I23" s="489"/>
      <c r="J23" s="489"/>
      <c r="K23" s="490"/>
      <c r="L23" s="276"/>
      <c r="M23" s="374"/>
      <c r="N23" s="370"/>
      <c r="O23" s="420"/>
      <c r="P23" s="418"/>
      <c r="R23" s="277">
        <f t="shared" si="9"/>
        <v>0</v>
      </c>
      <c r="S23" s="472" t="e">
        <f t="shared" si="1"/>
        <v>#N/A</v>
      </c>
      <c r="T23" s="472" t="e">
        <f t="shared" si="2"/>
        <v>#N/A</v>
      </c>
      <c r="U23" s="297" t="e">
        <f t="shared" si="3"/>
        <v>#N/A</v>
      </c>
      <c r="V23" s="297" t="e">
        <f t="shared" si="4"/>
        <v>#N/A</v>
      </c>
      <c r="W23" s="297" t="e">
        <f t="shared" si="5"/>
        <v>#N/A</v>
      </c>
      <c r="X23" s="297" t="e">
        <f t="shared" si="6"/>
        <v>#N/A</v>
      </c>
      <c r="Y23" s="297" t="e">
        <f t="shared" si="7"/>
        <v>#N/A</v>
      </c>
      <c r="Z23" s="472" t="e">
        <f t="shared" si="8"/>
        <v>#N/A</v>
      </c>
    </row>
    <row r="24" spans="1:26" ht="17.25" customHeight="1" thickBot="1">
      <c r="B24" s="358"/>
      <c r="C24" s="358"/>
      <c r="D24" s="358"/>
      <c r="E24" s="358"/>
      <c r="F24" s="294"/>
      <c r="G24" s="294"/>
      <c r="H24" s="348"/>
      <c r="I24" s="535"/>
      <c r="J24" s="535"/>
      <c r="K24" s="535"/>
      <c r="L24" s="535"/>
      <c r="M24" s="535"/>
      <c r="N24" s="535"/>
      <c r="O24" s="1"/>
      <c r="P24" s="12"/>
      <c r="R24" s="277">
        <f t="shared" si="9"/>
        <v>0</v>
      </c>
      <c r="S24" s="472" t="e">
        <f t="shared" si="1"/>
        <v>#N/A</v>
      </c>
      <c r="T24" s="472" t="e">
        <f t="shared" si="2"/>
        <v>#N/A</v>
      </c>
      <c r="U24" s="297" t="e">
        <f t="shared" si="3"/>
        <v>#N/A</v>
      </c>
      <c r="V24" s="297" t="e">
        <f t="shared" si="4"/>
        <v>#N/A</v>
      </c>
      <c r="W24" s="297" t="e">
        <f t="shared" si="5"/>
        <v>#N/A</v>
      </c>
      <c r="X24" s="297" t="e">
        <f t="shared" si="6"/>
        <v>#N/A</v>
      </c>
      <c r="Y24" s="297" t="e">
        <f t="shared" si="7"/>
        <v>#N/A</v>
      </c>
      <c r="Z24" s="472" t="e">
        <f t="shared" si="8"/>
        <v>#N/A</v>
      </c>
    </row>
    <row r="25" spans="1:26" ht="17.25" customHeight="1" thickBot="1">
      <c r="B25" s="483" t="s">
        <v>162</v>
      </c>
      <c r="C25" s="388"/>
      <c r="D25" s="536" t="s">
        <v>35</v>
      </c>
      <c r="E25" s="537"/>
      <c r="F25" s="294"/>
      <c r="G25" s="294"/>
      <c r="H25" s="348"/>
      <c r="I25" s="24" t="s">
        <v>17</v>
      </c>
      <c r="J25" s="25"/>
      <c r="K25" s="26" t="s">
        <v>138</v>
      </c>
      <c r="L25" s="25" t="s">
        <v>37</v>
      </c>
      <c r="M25" s="25" t="s">
        <v>38</v>
      </c>
      <c r="N25" s="27" t="s">
        <v>39</v>
      </c>
      <c r="O25" s="294"/>
      <c r="P25" s="12"/>
      <c r="R25" s="277" t="str">
        <f t="shared" si="9"/>
        <v xml:space="preserve">BRAND </v>
      </c>
      <c r="S25" s="472" t="e">
        <f t="shared" si="1"/>
        <v>#N/A</v>
      </c>
      <c r="T25" s="472" t="e">
        <f t="shared" si="2"/>
        <v>#N/A</v>
      </c>
      <c r="U25" s="297" t="e">
        <f t="shared" si="3"/>
        <v>#N/A</v>
      </c>
      <c r="V25" s="297" t="e">
        <f t="shared" si="4"/>
        <v>#N/A</v>
      </c>
      <c r="W25" s="297" t="e">
        <f t="shared" si="5"/>
        <v>#N/A</v>
      </c>
      <c r="X25" s="297" t="e">
        <f t="shared" si="6"/>
        <v>#N/A</v>
      </c>
      <c r="Y25" s="297" t="e">
        <f t="shared" si="7"/>
        <v>#N/A</v>
      </c>
      <c r="Z25" s="472" t="e">
        <f t="shared" si="8"/>
        <v>#N/A</v>
      </c>
    </row>
    <row r="26" spans="1:26" ht="17.25" customHeight="1">
      <c r="A26" s="28"/>
      <c r="B26" s="538"/>
      <c r="C26" s="484"/>
      <c r="D26" s="523"/>
      <c r="E26" s="524"/>
      <c r="F26" s="294"/>
      <c r="G26" s="294"/>
      <c r="H26" s="348"/>
      <c r="I26" s="29" t="s">
        <v>6</v>
      </c>
      <c r="J26" s="323">
        <f>AVERAGE(I10:I16)</f>
        <v>98.80042658903217</v>
      </c>
      <c r="K26" s="284">
        <f>COUNTA([4]Brewhouse!$A$696:$A$727)</f>
        <v>32</v>
      </c>
      <c r="L26" s="305">
        <f>AVERAGE([4]Brewhouse!$AU$696:$AU$727)</f>
        <v>98.625781618900291</v>
      </c>
      <c r="M26" s="305">
        <f>AVERAGE([4]Brewhouse!$AU$42:$AU$123,[4]Brewhouse!$AU$125:$AU$188,[4]Brewhouse!$AU$198:$AU$290,[4]Brewhouse!$AU$292:$AU$370,[4]Brewhouse!$AU$372:$AU$439,[4]Brewhouse!$AU$441:$AU$497,[4]Brewhouse!$AU$499:$AU$519,[4]Brewhouse!$AU$521:$AU$593,[4]Brewhouse!$AU$595:$AU$727)</f>
        <v>98.302155395144268</v>
      </c>
      <c r="N26" s="30">
        <v>98</v>
      </c>
      <c r="O26" s="11"/>
      <c r="P26" s="31"/>
      <c r="R26" s="277">
        <f t="shared" si="9"/>
        <v>0</v>
      </c>
      <c r="S26" s="472" t="e">
        <f t="shared" si="1"/>
        <v>#N/A</v>
      </c>
      <c r="T26" s="472" t="e">
        <f t="shared" si="2"/>
        <v>#N/A</v>
      </c>
      <c r="U26" s="297" t="e">
        <f t="shared" si="3"/>
        <v>#N/A</v>
      </c>
      <c r="V26" s="297" t="e">
        <f t="shared" si="4"/>
        <v>#N/A</v>
      </c>
      <c r="W26" s="297" t="e">
        <f t="shared" si="5"/>
        <v>#N/A</v>
      </c>
      <c r="X26" s="297" t="e">
        <f t="shared" si="6"/>
        <v>#N/A</v>
      </c>
      <c r="Y26" s="297" t="e">
        <f t="shared" si="7"/>
        <v>#N/A</v>
      </c>
      <c r="Z26" s="472" t="e">
        <f t="shared" si="8"/>
        <v>#N/A</v>
      </c>
    </row>
    <row r="27" spans="1:26" ht="15" customHeight="1">
      <c r="A27" s="28"/>
      <c r="B27" s="539"/>
      <c r="C27" s="362"/>
      <c r="D27" s="525"/>
      <c r="E27" s="526"/>
      <c r="F27" s="294"/>
      <c r="G27" s="294"/>
      <c r="H27" s="348"/>
      <c r="I27" s="33" t="s">
        <v>9</v>
      </c>
      <c r="J27" s="323"/>
      <c r="K27" s="284">
        <f>COUNTA([5]Brewhouse!$A$363:$A$372)</f>
        <v>10</v>
      </c>
      <c r="L27" s="302">
        <f>AVERAGE([5]Brewhouse!$AS$363:$AS$372)</f>
        <v>100.50071873632695</v>
      </c>
      <c r="M27" s="302">
        <f>AVERAGE([5]Brewhouse!$AS$52:$AS$81,[5]Brewhouse!$AS$83:$AS$124,[5]Brewhouse!$AS$134:$AS$177,[5]Brewhouse!$AS$22:$AS$179,[5]Brewhouse!$AS$214:$AS$249,[5]Brewhouse!$AS$252:$AS$293,[5]Brewhouse!$AS$295:$AS$325,[5]Brewhouse!$AS$327:$AS$361,[5]Brewhouse!$AS$363:$AS$372)</f>
        <v>98.29248495310074</v>
      </c>
      <c r="N27" s="30">
        <v>98</v>
      </c>
      <c r="O27" s="11"/>
      <c r="P27" s="31"/>
      <c r="R27" s="277">
        <f t="shared" si="9"/>
        <v>0</v>
      </c>
      <c r="S27" s="472" t="e">
        <f t="shared" si="1"/>
        <v>#N/A</v>
      </c>
      <c r="T27" s="472" t="e">
        <f t="shared" si="2"/>
        <v>#N/A</v>
      </c>
      <c r="U27" s="297" t="e">
        <f t="shared" si="3"/>
        <v>#N/A</v>
      </c>
      <c r="V27" s="297" t="e">
        <f t="shared" si="4"/>
        <v>#N/A</v>
      </c>
      <c r="W27" s="297" t="e">
        <f t="shared" si="5"/>
        <v>#N/A</v>
      </c>
      <c r="X27" s="297" t="e">
        <f t="shared" si="6"/>
        <v>#N/A</v>
      </c>
      <c r="Y27" s="297" t="e">
        <f t="shared" si="7"/>
        <v>#N/A</v>
      </c>
      <c r="Z27" s="472" t="e">
        <f t="shared" si="8"/>
        <v>#N/A</v>
      </c>
    </row>
    <row r="28" spans="1:26" ht="14.65" customHeight="1">
      <c r="A28" s="28"/>
      <c r="B28" s="539"/>
      <c r="C28" s="362"/>
      <c r="D28" s="530"/>
      <c r="E28" s="531"/>
      <c r="F28" s="294"/>
      <c r="G28" s="294"/>
      <c r="H28" s="348"/>
      <c r="I28" s="34" t="s">
        <v>12</v>
      </c>
      <c r="J28" s="323"/>
      <c r="K28" s="284"/>
      <c r="L28" s="302"/>
      <c r="M28" s="302">
        <f>AVERAGE([6]Brewhouse!$AU$16:$AU$23,[6]Brewhouse!$AU$25:$AU$32,[6]Brewhouse!$AU$34:$AU$41,[6]Brewhouse!$AU$43:$AU$60,[6]Brewhouse!$AU$62:$AU$69,[6]Brewhouse!$AU$71:$AU$88,[6]Brewhouse!$AU$90:$AU$97)</f>
        <v>96.502171439390338</v>
      </c>
      <c r="N28" s="30">
        <v>98</v>
      </c>
      <c r="O28" s="11"/>
      <c r="P28" s="31"/>
      <c r="R28" s="277">
        <f t="shared" si="9"/>
        <v>0</v>
      </c>
      <c r="S28" s="472" t="e">
        <f t="shared" si="1"/>
        <v>#N/A</v>
      </c>
      <c r="T28" s="472" t="e">
        <f t="shared" si="2"/>
        <v>#N/A</v>
      </c>
      <c r="U28" s="297" t="e">
        <f t="shared" si="3"/>
        <v>#N/A</v>
      </c>
      <c r="V28" s="297" t="e">
        <f t="shared" si="4"/>
        <v>#N/A</v>
      </c>
      <c r="W28" s="297" t="e">
        <f t="shared" si="5"/>
        <v>#N/A</v>
      </c>
      <c r="X28" s="297" t="e">
        <f t="shared" si="6"/>
        <v>#N/A</v>
      </c>
      <c r="Y28" s="297" t="e">
        <f t="shared" si="7"/>
        <v>#N/A</v>
      </c>
      <c r="Z28" s="472" t="e">
        <f t="shared" si="8"/>
        <v>#N/A</v>
      </c>
    </row>
    <row r="29" spans="1:26" ht="14.65" customHeight="1">
      <c r="A29" s="28"/>
      <c r="B29" s="539"/>
      <c r="C29" s="362"/>
      <c r="D29" s="532"/>
      <c r="E29" s="526"/>
      <c r="F29" s="294"/>
      <c r="G29" s="294"/>
      <c r="H29" s="348"/>
      <c r="I29" s="22" t="s">
        <v>33</v>
      </c>
      <c r="J29" s="280"/>
      <c r="K29" s="284"/>
      <c r="L29" s="302"/>
      <c r="M29" s="302">
        <f>AVERAGE([7]Brewhouse!$AV$23:$AV$34,[7]Brewhouse!$AV$36,[7]Brewhouse!$AV$38:$AV$52,[7]Brewhouse!$AV$54:$AV$60,[7]Brewhouse!$AV$62:$AV$69,[7]Brewhouse!$AV$71:$AV$78,[7]Brewhouse!$AV$80:$AV$87,[7]Brewhouse!$AV$89:$AV$96)</f>
        <v>97.559547139003357</v>
      </c>
      <c r="N29" s="30">
        <v>98</v>
      </c>
      <c r="O29" s="11"/>
      <c r="P29" s="31"/>
      <c r="R29" s="277">
        <f t="shared" si="0"/>
        <v>0</v>
      </c>
      <c r="S29" s="472" t="e">
        <f t="shared" si="1"/>
        <v>#N/A</v>
      </c>
      <c r="T29" s="472" t="e">
        <f t="shared" si="2"/>
        <v>#N/A</v>
      </c>
      <c r="U29" s="297" t="e">
        <f t="shared" si="3"/>
        <v>#N/A</v>
      </c>
      <c r="V29" s="297" t="e">
        <f t="shared" si="4"/>
        <v>#N/A</v>
      </c>
      <c r="W29" s="297" t="e">
        <f t="shared" si="5"/>
        <v>#N/A</v>
      </c>
      <c r="X29" s="297" t="e">
        <f t="shared" si="6"/>
        <v>#N/A</v>
      </c>
      <c r="Y29" s="297" t="e">
        <f t="shared" si="7"/>
        <v>#N/A</v>
      </c>
      <c r="Z29" s="472" t="e">
        <f t="shared" si="8"/>
        <v>#N/A</v>
      </c>
    </row>
    <row r="30" spans="1:26" ht="14.65" customHeight="1">
      <c r="A30" s="28"/>
      <c r="B30" s="539"/>
      <c r="C30" s="362"/>
      <c r="D30" s="530"/>
      <c r="E30" s="531"/>
      <c r="F30" s="294"/>
      <c r="G30" s="294"/>
      <c r="H30" s="348"/>
      <c r="I30" s="35" t="s">
        <v>29</v>
      </c>
      <c r="J30" s="280"/>
      <c r="K30" s="284"/>
      <c r="L30" s="302"/>
      <c r="M30" s="302"/>
      <c r="N30" s="30">
        <v>98</v>
      </c>
      <c r="O30" s="11"/>
      <c r="P30" s="31"/>
      <c r="R30" s="277">
        <f t="shared" si="0"/>
        <v>0</v>
      </c>
      <c r="S30" s="472" t="e">
        <f t="shared" si="1"/>
        <v>#N/A</v>
      </c>
      <c r="T30" s="472" t="e">
        <f t="shared" si="2"/>
        <v>#N/A</v>
      </c>
      <c r="U30" s="297" t="e">
        <f t="shared" si="3"/>
        <v>#N/A</v>
      </c>
      <c r="V30" s="297" t="e">
        <f t="shared" si="4"/>
        <v>#N/A</v>
      </c>
      <c r="W30" s="297" t="e">
        <f t="shared" si="5"/>
        <v>#N/A</v>
      </c>
      <c r="X30" s="297" t="e">
        <f t="shared" si="6"/>
        <v>#N/A</v>
      </c>
      <c r="Y30" s="297" t="e">
        <f t="shared" si="7"/>
        <v>#N/A</v>
      </c>
      <c r="Z30" s="472" t="e">
        <f t="shared" si="8"/>
        <v>#N/A</v>
      </c>
    </row>
    <row r="31" spans="1:26" ht="14.65" customHeight="1">
      <c r="A31" s="28"/>
      <c r="B31" s="539"/>
      <c r="C31" s="362"/>
      <c r="D31" s="532"/>
      <c r="E31" s="526"/>
      <c r="F31" s="417"/>
      <c r="G31" s="294"/>
      <c r="H31" s="348"/>
      <c r="I31" s="36" t="s">
        <v>15</v>
      </c>
      <c r="J31" s="323"/>
      <c r="K31" s="284">
        <f>COUNTA([8]Brewhouse!$A$23:$A$30)</f>
        <v>8</v>
      </c>
      <c r="L31" s="302">
        <f>AVERAGE([8]Brewhouse!$AT$23:$AT$30)</f>
        <v>96.065914782338609</v>
      </c>
      <c r="M31" s="302">
        <f>AVERAGE([8]Brewhouse!$AT$4:$AT$11,[8]Brewhouse!$AT$13:$AT$16,[8]Brewhouse!$AT$18:$AT$30)</f>
        <v>93.22262799886262</v>
      </c>
      <c r="N31" s="30">
        <v>98</v>
      </c>
      <c r="O31" s="11"/>
      <c r="P31" s="31"/>
      <c r="R31" s="277">
        <f t="shared" si="0"/>
        <v>0</v>
      </c>
      <c r="S31" s="472" t="e">
        <f t="shared" si="1"/>
        <v>#N/A</v>
      </c>
      <c r="T31" s="472" t="e">
        <f t="shared" si="2"/>
        <v>#N/A</v>
      </c>
      <c r="U31" s="297" t="e">
        <f t="shared" si="3"/>
        <v>#N/A</v>
      </c>
      <c r="V31" s="297" t="e">
        <f t="shared" si="4"/>
        <v>#N/A</v>
      </c>
      <c r="W31" s="297" t="e">
        <f t="shared" si="5"/>
        <v>#N/A</v>
      </c>
      <c r="X31" s="297" t="e">
        <f t="shared" si="6"/>
        <v>#N/A</v>
      </c>
      <c r="Y31" s="297" t="e">
        <f t="shared" si="7"/>
        <v>#N/A</v>
      </c>
      <c r="Z31" s="472" t="e">
        <f t="shared" si="8"/>
        <v>#N/A</v>
      </c>
    </row>
    <row r="32" spans="1:26" ht="14.65" customHeight="1">
      <c r="A32" s="28"/>
      <c r="B32" s="539"/>
      <c r="C32" s="362"/>
      <c r="D32" s="530"/>
      <c r="E32" s="531"/>
      <c r="F32" s="417"/>
      <c r="G32" s="294"/>
      <c r="H32" s="348"/>
      <c r="I32" s="37" t="s">
        <v>16</v>
      </c>
      <c r="J32" s="323"/>
      <c r="K32" s="284"/>
      <c r="L32" s="302"/>
      <c r="M32" s="302">
        <f>AVERAGE([3]Brewhouse!$AY$5:$AY$14,[3]Brewhouse!$AY$16:$AY$23,[3]Brewhouse!$AY$42,[3]Brewhouse!$AY$44:$AY$51,[3]Brewhouse!$AY$53:$AY$64,[3]Brewhouse!$AY$66:$AY$73,[3]Brewhouse!$AY$75:$AY$82,[3]Brewhouse!$AY$84:$AY$101)</f>
        <v>97.784660430003186</v>
      </c>
      <c r="N32" s="30">
        <v>98</v>
      </c>
      <c r="O32" s="11"/>
      <c r="P32" s="31" t="s">
        <v>41</v>
      </c>
      <c r="R32" s="277">
        <f t="shared" si="0"/>
        <v>0</v>
      </c>
      <c r="S32" s="472" t="e">
        <f t="shared" si="1"/>
        <v>#N/A</v>
      </c>
      <c r="T32" s="472" t="e">
        <f t="shared" si="2"/>
        <v>#N/A</v>
      </c>
      <c r="U32" s="297" t="e">
        <f t="shared" si="3"/>
        <v>#N/A</v>
      </c>
      <c r="V32" s="297" t="e">
        <f t="shared" si="4"/>
        <v>#N/A</v>
      </c>
      <c r="W32" s="297" t="e">
        <f t="shared" si="5"/>
        <v>#N/A</v>
      </c>
      <c r="X32" s="297" t="e">
        <f t="shared" si="6"/>
        <v>#N/A</v>
      </c>
      <c r="Y32" s="297" t="e">
        <f t="shared" si="7"/>
        <v>#N/A</v>
      </c>
      <c r="Z32" s="472" t="e">
        <f t="shared" si="8"/>
        <v>#N/A</v>
      </c>
    </row>
    <row r="33" spans="1:56" ht="14.65" customHeight="1">
      <c r="A33" s="28"/>
      <c r="B33" s="539"/>
      <c r="C33" s="362"/>
      <c r="D33" s="532"/>
      <c r="E33" s="526"/>
      <c r="F33" s="294"/>
      <c r="G33" s="294"/>
      <c r="H33" s="348"/>
      <c r="I33" s="411" t="s">
        <v>158</v>
      </c>
      <c r="J33" s="326"/>
      <c r="K33" s="284"/>
      <c r="L33" s="305"/>
      <c r="M33" s="305"/>
      <c r="N33" s="30">
        <v>98</v>
      </c>
      <c r="O33" s="11"/>
      <c r="P33" s="31"/>
      <c r="R33" s="277">
        <f t="shared" si="0"/>
        <v>0</v>
      </c>
      <c r="S33" s="472" t="e">
        <f t="shared" si="1"/>
        <v>#N/A</v>
      </c>
      <c r="T33" s="472" t="e">
        <f t="shared" si="2"/>
        <v>#N/A</v>
      </c>
      <c r="U33" s="297" t="e">
        <f t="shared" si="3"/>
        <v>#N/A</v>
      </c>
      <c r="V33" s="297" t="e">
        <f t="shared" si="4"/>
        <v>#N/A</v>
      </c>
      <c r="W33" s="297" t="e">
        <f t="shared" si="5"/>
        <v>#N/A</v>
      </c>
      <c r="X33" s="297" t="e">
        <f t="shared" si="6"/>
        <v>#N/A</v>
      </c>
      <c r="Y33" s="297" t="e">
        <f t="shared" si="7"/>
        <v>#N/A</v>
      </c>
      <c r="Z33" s="472" t="e">
        <f t="shared" si="8"/>
        <v>#N/A</v>
      </c>
    </row>
    <row r="34" spans="1:56" ht="14.65" customHeight="1">
      <c r="A34" s="28"/>
      <c r="B34" s="539"/>
      <c r="C34" s="362"/>
      <c r="D34" s="530"/>
      <c r="E34" s="531"/>
      <c r="F34" s="294"/>
      <c r="G34" s="294"/>
      <c r="H34" s="348"/>
      <c r="I34" s="410" t="s">
        <v>157</v>
      </c>
      <c r="J34" s="326"/>
      <c r="K34" s="284"/>
      <c r="L34" s="305"/>
      <c r="M34" s="305"/>
      <c r="N34" s="30">
        <v>98</v>
      </c>
      <c r="O34" s="11"/>
      <c r="P34" s="31"/>
      <c r="R34" s="277">
        <f t="shared" si="0"/>
        <v>0</v>
      </c>
      <c r="S34" s="472" t="e">
        <f t="shared" si="1"/>
        <v>#N/A</v>
      </c>
      <c r="T34" s="472" t="e">
        <f t="shared" si="2"/>
        <v>#N/A</v>
      </c>
      <c r="U34" s="297" t="e">
        <f t="shared" si="3"/>
        <v>#N/A</v>
      </c>
      <c r="V34" s="297" t="e">
        <f t="shared" si="4"/>
        <v>#N/A</v>
      </c>
      <c r="W34" s="297" t="e">
        <f t="shared" si="5"/>
        <v>#N/A</v>
      </c>
      <c r="X34" s="297" t="e">
        <f t="shared" si="6"/>
        <v>#N/A</v>
      </c>
      <c r="Y34" s="297" t="e">
        <f t="shared" si="7"/>
        <v>#N/A</v>
      </c>
      <c r="Z34" s="472" t="e">
        <f t="shared" si="8"/>
        <v>#N/A</v>
      </c>
      <c r="AA34" s="472"/>
    </row>
    <row r="35" spans="1:56" ht="15" customHeight="1" thickBot="1">
      <c r="A35" s="28"/>
      <c r="B35" s="539"/>
      <c r="C35" s="362"/>
      <c r="D35" s="532"/>
      <c r="E35" s="526"/>
      <c r="F35" s="294"/>
      <c r="G35" s="294"/>
      <c r="H35" s="348"/>
      <c r="I35" s="406" t="s">
        <v>156</v>
      </c>
      <c r="J35" s="327"/>
      <c r="K35" s="407"/>
      <c r="L35" s="408"/>
      <c r="M35" s="408"/>
      <c r="N35" s="409">
        <v>98</v>
      </c>
      <c r="O35" s="11"/>
      <c r="P35" s="31"/>
      <c r="R35" s="277">
        <f t="shared" si="0"/>
        <v>0</v>
      </c>
      <c r="S35" s="472" t="e">
        <f t="shared" si="1"/>
        <v>#N/A</v>
      </c>
      <c r="T35" s="472" t="e">
        <f t="shared" si="2"/>
        <v>#N/A</v>
      </c>
      <c r="U35" s="297" t="e">
        <f t="shared" si="3"/>
        <v>#N/A</v>
      </c>
      <c r="V35" s="297" t="e">
        <f t="shared" si="4"/>
        <v>#N/A</v>
      </c>
      <c r="W35" s="297" t="e">
        <f t="shared" si="5"/>
        <v>#N/A</v>
      </c>
      <c r="X35" s="297" t="e">
        <f t="shared" si="6"/>
        <v>#N/A</v>
      </c>
      <c r="Y35" s="297" t="e">
        <f t="shared" si="7"/>
        <v>#N/A</v>
      </c>
      <c r="Z35" s="472" t="e">
        <f t="shared" si="8"/>
        <v>#N/A</v>
      </c>
      <c r="AA35" s="472"/>
    </row>
    <row r="36" spans="1:56" ht="15" customHeight="1" thickBot="1">
      <c r="A36" s="28"/>
      <c r="B36" s="539"/>
      <c r="C36" s="349"/>
      <c r="D36" s="523"/>
      <c r="E36" s="524"/>
      <c r="F36" s="294"/>
      <c r="G36" s="294"/>
      <c r="H36" s="348"/>
      <c r="I36" s="1"/>
      <c r="J36" s="39"/>
      <c r="K36" s="404">
        <f>SUM(K26:K35)</f>
        <v>50</v>
      </c>
      <c r="L36" s="405">
        <f>((L26*K26)+(L27*K27)+(L28*K28)+(L29*K29)+(L30*K30)+(K33*L33)+(L31*K31)+(L32*K32)+(L35*K35))/(K36)</f>
        <v>98.591190348535747</v>
      </c>
      <c r="M36" s="405">
        <f>AVERAGE('[9]Jan30th-31st'!$L$42,'[10]Feb 27th-28th'!$L$45,'[11]Mar 31st'!$L$42,'[12]Apr 30th'!$L$41,'[13]May 29th '!$L$35,'[14]June 30th'!$L$32,[15]July31st!$L$36,'[16]Aug 31st'!$L$32,L36)</f>
        <v>98.059376037459415</v>
      </c>
      <c r="N36" s="40">
        <v>98</v>
      </c>
      <c r="O36" s="11"/>
      <c r="P36" s="31"/>
      <c r="R36" s="277">
        <f t="shared" si="0"/>
        <v>0</v>
      </c>
      <c r="S36" s="472" t="e">
        <f t="shared" si="1"/>
        <v>#N/A</v>
      </c>
      <c r="T36" s="472" t="e">
        <f t="shared" si="2"/>
        <v>#N/A</v>
      </c>
      <c r="U36" s="297" t="e">
        <f t="shared" si="3"/>
        <v>#N/A</v>
      </c>
      <c r="V36" s="297" t="e">
        <f t="shared" si="4"/>
        <v>#N/A</v>
      </c>
      <c r="W36" s="297" t="e">
        <f t="shared" si="5"/>
        <v>#N/A</v>
      </c>
      <c r="X36" s="297" t="e">
        <f t="shared" si="6"/>
        <v>#N/A</v>
      </c>
      <c r="Y36" s="297" t="e">
        <f t="shared" si="7"/>
        <v>#N/A</v>
      </c>
      <c r="Z36" s="472" t="e">
        <f t="shared" si="8"/>
        <v>#N/A</v>
      </c>
      <c r="AA36" s="472"/>
    </row>
    <row r="37" spans="1:56" ht="15.75" thickBot="1">
      <c r="B37" s="540"/>
      <c r="C37" s="350"/>
      <c r="D37" s="525"/>
      <c r="E37" s="526"/>
      <c r="F37" s="294"/>
      <c r="G37" s="42"/>
      <c r="H37" s="41"/>
      <c r="I37" s="42"/>
      <c r="J37" s="42"/>
      <c r="K37" s="351"/>
      <c r="L37" s="348"/>
      <c r="M37" s="348"/>
      <c r="N37" s="11"/>
      <c r="O37" s="294"/>
      <c r="P37" s="12"/>
      <c r="R37" s="277">
        <f t="shared" si="0"/>
        <v>0</v>
      </c>
      <c r="S37" s="472" t="e">
        <f t="shared" si="1"/>
        <v>#N/A</v>
      </c>
      <c r="T37" s="472" t="e">
        <f t="shared" si="2"/>
        <v>#N/A</v>
      </c>
      <c r="U37" s="297" t="e">
        <f t="shared" si="3"/>
        <v>#N/A</v>
      </c>
      <c r="V37" s="297" t="e">
        <f t="shared" si="4"/>
        <v>#N/A</v>
      </c>
      <c r="W37" s="297" t="e">
        <f t="shared" si="5"/>
        <v>#N/A</v>
      </c>
      <c r="X37" s="297" t="e">
        <f t="shared" si="6"/>
        <v>#N/A</v>
      </c>
      <c r="Y37" s="297" t="e">
        <f t="shared" si="7"/>
        <v>#N/A</v>
      </c>
      <c r="Z37" s="472" t="e">
        <f t="shared" si="8"/>
        <v>#N/A</v>
      </c>
      <c r="AA37" s="472"/>
    </row>
    <row r="38" spans="1:56" ht="15.75" thickBot="1">
      <c r="B38" s="520"/>
      <c r="C38" s="362"/>
      <c r="D38" s="523"/>
      <c r="E38" s="524"/>
      <c r="F38" s="294"/>
      <c r="G38" s="42"/>
      <c r="H38" s="41"/>
      <c r="I38" s="42"/>
      <c r="J38" s="527" t="s">
        <v>129</v>
      </c>
      <c r="K38" s="527"/>
      <c r="L38" s="294"/>
      <c r="M38" s="294"/>
      <c r="N38" s="294"/>
      <c r="O38" s="294"/>
      <c r="P38" s="12"/>
    </row>
    <row r="39" spans="1:56" ht="15.75" thickBot="1">
      <c r="B39" s="521"/>
      <c r="C39" s="362"/>
      <c r="D39" s="525"/>
      <c r="E39" s="526"/>
      <c r="F39" s="294"/>
      <c r="G39" s="42"/>
      <c r="H39" s="42"/>
      <c r="I39" s="42"/>
      <c r="J39" s="292" t="s">
        <v>17</v>
      </c>
      <c r="K39" s="293"/>
      <c r="L39" s="528" t="s">
        <v>136</v>
      </c>
      <c r="M39" s="528"/>
      <c r="N39" s="529"/>
      <c r="O39" s="294"/>
      <c r="P39" s="12"/>
    </row>
    <row r="40" spans="1:56" ht="15" customHeight="1" thickBot="1">
      <c r="B40" s="521"/>
      <c r="C40" s="349"/>
      <c r="D40" s="530"/>
      <c r="E40" s="531"/>
      <c r="F40" s="294"/>
      <c r="G40" s="42"/>
      <c r="H40" s="42"/>
      <c r="I40" s="42"/>
      <c r="J40" s="287" t="s">
        <v>6</v>
      </c>
      <c r="K40" s="324">
        <v>7</v>
      </c>
      <c r="L40" s="473" t="s">
        <v>37</v>
      </c>
      <c r="M40" s="474" t="s">
        <v>38</v>
      </c>
      <c r="N40" s="474" t="s">
        <v>84</v>
      </c>
      <c r="O40" s="294"/>
      <c r="P40" s="12"/>
    </row>
    <row r="41" spans="1:56" ht="15.75" customHeight="1" thickBot="1">
      <c r="B41" s="521"/>
      <c r="C41" s="349"/>
      <c r="D41" s="532"/>
      <c r="E41" s="526"/>
      <c r="F41" s="294"/>
      <c r="G41" s="42"/>
      <c r="H41" s="42"/>
      <c r="I41" s="42"/>
      <c r="J41" s="345" t="s">
        <v>9</v>
      </c>
      <c r="K41" s="324"/>
      <c r="L41" s="485">
        <f>AVERAGE('Sept 1st'!K45,'Sept 2nd'!K47,'Sept 3rd'!K44,'Sept 4th'!K46,'Sept 7th'!K48,'Sept 8th'!K48,K50)</f>
        <v>7.1428571428571432</v>
      </c>
      <c r="M41" s="486">
        <f>AVERAGE('[9]Jan30th-31st'!$L$47,L41,'[10]Feb 26th '!$L$39,'[11]Mar 31st'!$L$47,'[12]Apr 30th'!$L$46,'[13]May 29th '!$L$40,'[14]June 30th'!$L$39,[15]July31st!$L$41,'[16]Aug 31st'!$L$37)</f>
        <v>6.5314400575270142</v>
      </c>
      <c r="N41" s="416">
        <v>9.1999999999999993</v>
      </c>
      <c r="O41" s="294"/>
      <c r="P41" s="12"/>
    </row>
    <row r="42" spans="1:56" ht="15" customHeight="1">
      <c r="B42" s="521"/>
      <c r="C42" s="349"/>
      <c r="D42" s="530"/>
      <c r="E42" s="531"/>
      <c r="F42" s="294"/>
      <c r="G42" s="42"/>
      <c r="H42" s="42"/>
      <c r="I42" s="42"/>
      <c r="J42" s="288" t="s">
        <v>40</v>
      </c>
      <c r="K42" s="324"/>
      <c r="L42" s="294"/>
      <c r="M42" s="294"/>
      <c r="N42" s="294"/>
      <c r="O42" s="294"/>
      <c r="P42" s="12"/>
    </row>
    <row r="43" spans="1:56" ht="15" customHeight="1">
      <c r="B43" s="521"/>
      <c r="C43" s="349"/>
      <c r="D43" s="532"/>
      <c r="E43" s="526"/>
      <c r="F43" s="294"/>
      <c r="G43" s="42"/>
      <c r="H43" s="42"/>
      <c r="I43" s="42"/>
      <c r="J43" s="289" t="s">
        <v>33</v>
      </c>
      <c r="K43" s="324"/>
      <c r="L43" s="294"/>
      <c r="M43" s="294"/>
      <c r="N43" s="294"/>
      <c r="O43" s="294"/>
      <c r="P43" s="12"/>
    </row>
    <row r="44" spans="1:56" ht="15">
      <c r="B44" s="521"/>
      <c r="C44" s="349"/>
      <c r="D44" s="530"/>
      <c r="E44" s="531"/>
      <c r="F44" s="294"/>
      <c r="G44" s="42"/>
      <c r="H44" s="42"/>
      <c r="I44" s="42"/>
      <c r="J44" s="290" t="s">
        <v>16</v>
      </c>
      <c r="K44" s="324"/>
      <c r="L44" s="294"/>
      <c r="M44" s="294"/>
      <c r="N44" s="294"/>
      <c r="O44" s="294"/>
      <c r="P44" s="12"/>
      <c r="BC44" s="44"/>
      <c r="BD44" s="44"/>
    </row>
    <row r="45" spans="1:56" ht="15">
      <c r="B45" s="521"/>
      <c r="C45" s="349"/>
      <c r="D45" s="532"/>
      <c r="E45" s="526"/>
      <c r="F45" s="294"/>
      <c r="G45" s="42"/>
      <c r="H45" s="42"/>
      <c r="I45" s="42"/>
      <c r="J45" s="291" t="s">
        <v>15</v>
      </c>
      <c r="K45" s="324"/>
      <c r="L45" s="294"/>
      <c r="M45" s="294"/>
      <c r="N45" s="294"/>
      <c r="O45" s="294"/>
      <c r="P45" s="12"/>
      <c r="BC45" s="44"/>
      <c r="BD45" s="44"/>
    </row>
    <row r="46" spans="1:56" ht="15">
      <c r="B46" s="521"/>
      <c r="C46" s="349"/>
      <c r="D46" s="530"/>
      <c r="E46" s="531"/>
      <c r="F46" s="294"/>
      <c r="G46" s="42"/>
      <c r="H46" s="42"/>
      <c r="I46" s="42"/>
      <c r="J46" s="291" t="s">
        <v>149</v>
      </c>
      <c r="K46" s="324"/>
      <c r="L46" s="294"/>
      <c r="M46" s="294"/>
      <c r="N46" s="294"/>
      <c r="O46" s="294"/>
      <c r="P46" s="12"/>
      <c r="BC46" s="44"/>
      <c r="BD46" s="44"/>
    </row>
    <row r="47" spans="1:56" ht="15.75" thickBot="1">
      <c r="B47" s="522"/>
      <c r="C47" s="350"/>
      <c r="D47" s="533"/>
      <c r="E47" s="534"/>
      <c r="F47" s="294" t="s">
        <v>165</v>
      </c>
      <c r="G47" s="42"/>
      <c r="H47" s="42"/>
      <c r="I47" s="42"/>
      <c r="J47" s="291" t="s">
        <v>148</v>
      </c>
      <c r="K47" s="324"/>
      <c r="L47" s="294"/>
      <c r="M47" s="294"/>
      <c r="N47" s="294" t="s">
        <v>41</v>
      </c>
      <c r="O47" s="294"/>
      <c r="P47" s="12"/>
      <c r="BC47" s="44"/>
      <c r="BD47" s="44"/>
    </row>
    <row r="48" spans="1:56" ht="17.649999999999999" customHeight="1" thickBot="1">
      <c r="B48" s="312" t="s">
        <v>139</v>
      </c>
      <c r="C48" s="313"/>
      <c r="D48" s="511"/>
      <c r="E48" s="512"/>
      <c r="F48" s="294"/>
      <c r="J48" s="295" t="s">
        <v>134</v>
      </c>
      <c r="K48" s="324"/>
      <c r="L48" s="294"/>
      <c r="M48" s="294"/>
      <c r="N48" s="294"/>
      <c r="O48" s="294"/>
      <c r="P48" s="12"/>
      <c r="BC48" s="44"/>
      <c r="BD48" s="44"/>
    </row>
    <row r="49" spans="2:57" ht="17.649999999999999" customHeight="1">
      <c r="B49" s="363"/>
      <c r="C49" s="364"/>
      <c r="D49" s="365"/>
      <c r="E49" s="365"/>
      <c r="F49" s="294"/>
      <c r="G49" s="42"/>
      <c r="H49" s="42"/>
      <c r="I49" s="42"/>
      <c r="J49" s="295" t="s">
        <v>131</v>
      </c>
      <c r="K49" s="324"/>
      <c r="L49" s="294"/>
      <c r="M49" s="294"/>
      <c r="N49" s="294"/>
      <c r="O49" s="294"/>
      <c r="P49" s="12"/>
      <c r="BC49" s="44"/>
      <c r="BD49" s="44"/>
    </row>
    <row r="50" spans="2:57" ht="15.6" customHeight="1">
      <c r="B50" s="45"/>
      <c r="C50" s="11"/>
      <c r="D50" s="11"/>
      <c r="E50" s="46"/>
      <c r="F50" s="294"/>
      <c r="G50" s="42"/>
      <c r="H50" s="42"/>
      <c r="I50" s="42"/>
      <c r="J50" s="346" t="s">
        <v>130</v>
      </c>
      <c r="K50" s="324">
        <f>SUM(K40:K49)</f>
        <v>7</v>
      </c>
      <c r="L50" s="294"/>
      <c r="M50" s="294"/>
      <c r="N50" s="294"/>
      <c r="O50" s="294"/>
      <c r="P50" s="12"/>
    </row>
    <row r="51" spans="2:57" ht="20.25" customHeight="1">
      <c r="B51" s="15" t="s">
        <v>42</v>
      </c>
      <c r="C51" s="1" t="s">
        <v>43</v>
      </c>
      <c r="D51" s="1"/>
      <c r="E51" s="1"/>
      <c r="F51" s="294"/>
      <c r="G51" s="42"/>
      <c r="H51" s="41"/>
      <c r="I51" s="42"/>
      <c r="L51" s="42"/>
      <c r="N51" s="315"/>
      <c r="P51" s="334"/>
    </row>
    <row r="52" spans="2:57" ht="15" customHeight="1" thickBot="1">
      <c r="B52" s="48"/>
      <c r="C52" s="48"/>
      <c r="D52" s="48"/>
      <c r="E52" s="48"/>
      <c r="F52" s="48"/>
      <c r="G52" s="48"/>
      <c r="H52" s="48"/>
      <c r="I52" s="48"/>
      <c r="J52" s="48"/>
      <c r="K52" s="48"/>
      <c r="L52" s="48"/>
      <c r="M52" s="48"/>
      <c r="N52" s="41"/>
      <c r="O52" s="48"/>
      <c r="P52" s="49"/>
    </row>
    <row r="53" spans="2:57" ht="15" customHeight="1" thickBot="1">
      <c r="B53" s="505" t="s">
        <v>17</v>
      </c>
      <c r="C53" s="505" t="s">
        <v>44</v>
      </c>
      <c r="D53" s="514" t="s">
        <v>45</v>
      </c>
      <c r="E53" s="516" t="s">
        <v>46</v>
      </c>
      <c r="F53" s="518" t="s">
        <v>47</v>
      </c>
      <c r="G53" s="503" t="s">
        <v>48</v>
      </c>
      <c r="H53" s="505" t="s">
        <v>49</v>
      </c>
      <c r="I53" s="505" t="s">
        <v>50</v>
      </c>
      <c r="J53" s="497" t="s">
        <v>28</v>
      </c>
      <c r="K53" s="507" t="s">
        <v>51</v>
      </c>
      <c r="L53" s="509" t="s">
        <v>52</v>
      </c>
      <c r="M53" s="497" t="s">
        <v>53</v>
      </c>
      <c r="N53" s="13"/>
      <c r="O53" s="13"/>
      <c r="P53" s="50"/>
    </row>
    <row r="54" spans="2:57" ht="28.5" customHeight="1" thickTop="1" thickBot="1">
      <c r="B54" s="506"/>
      <c r="C54" s="513"/>
      <c r="D54" s="515"/>
      <c r="E54" s="517"/>
      <c r="F54" s="519"/>
      <c r="G54" s="504"/>
      <c r="H54" s="506"/>
      <c r="I54" s="506"/>
      <c r="J54" s="498"/>
      <c r="K54" s="508"/>
      <c r="L54" s="510"/>
      <c r="M54" s="498"/>
      <c r="N54" s="13"/>
      <c r="O54" s="13"/>
      <c r="P54" s="50"/>
      <c r="Q54" s="355"/>
      <c r="AB54" s="475">
        <v>43474</v>
      </c>
      <c r="AC54" s="475">
        <v>43475</v>
      </c>
      <c r="AD54" s="475">
        <v>43476</v>
      </c>
      <c r="AE54" s="475">
        <v>43477</v>
      </c>
      <c r="AF54" s="475">
        <v>43478</v>
      </c>
      <c r="AG54" s="475">
        <v>43479</v>
      </c>
      <c r="AH54" s="475">
        <v>43480</v>
      </c>
      <c r="AI54" s="475">
        <v>43481</v>
      </c>
      <c r="AJ54" s="475">
        <v>43482</v>
      </c>
      <c r="AK54" s="475">
        <v>43483</v>
      </c>
      <c r="AL54" s="475">
        <v>43484</v>
      </c>
      <c r="AM54" s="475">
        <v>43485</v>
      </c>
      <c r="AN54" s="475">
        <v>43486</v>
      </c>
      <c r="AO54" s="475">
        <v>43487</v>
      </c>
      <c r="AP54" s="475">
        <v>43488</v>
      </c>
      <c r="AQ54" s="475">
        <v>43489</v>
      </c>
      <c r="AR54" s="475">
        <v>43490</v>
      </c>
      <c r="AS54" s="475">
        <v>43491</v>
      </c>
      <c r="AT54" s="475">
        <v>43492</v>
      </c>
      <c r="AU54" s="475">
        <v>43493</v>
      </c>
      <c r="AV54" s="475">
        <v>43494</v>
      </c>
      <c r="AW54" s="475">
        <v>43495</v>
      </c>
      <c r="AX54" s="475">
        <v>43496</v>
      </c>
    </row>
    <row r="55" spans="2:57" s="54" customFormat="1" ht="36.75" customHeight="1" thickBot="1">
      <c r="B55" s="456" t="str">
        <f>J40</f>
        <v>CARIB</v>
      </c>
      <c r="C55" s="479">
        <v>46274</v>
      </c>
      <c r="D55" s="445">
        <f>[18]September_2026!$L$3</f>
        <v>201.20000000000002</v>
      </c>
      <c r="E55" s="443"/>
      <c r="F55" s="444"/>
      <c r="G55" s="444">
        <f>[18]September_2026!$L$7</f>
        <v>193.2</v>
      </c>
      <c r="H55" s="458"/>
      <c r="I55" s="458"/>
      <c r="J55" s="448" t="s">
        <v>174</v>
      </c>
      <c r="K55" s="449">
        <f>[19]September_2026!$L$18</f>
        <v>0.67789473684210522</v>
      </c>
      <c r="L55" s="476">
        <f>(((D55+E55)-G55)/(D55+E55))*100</f>
        <v>3.9761431411530954</v>
      </c>
      <c r="M55" s="455" t="s">
        <v>176</v>
      </c>
      <c r="N55" s="13"/>
      <c r="O55" s="13"/>
      <c r="P55" s="50"/>
      <c r="R55" s="275"/>
      <c r="S55" s="275"/>
      <c r="T55" s="275"/>
      <c r="U55" s="275"/>
      <c r="V55" s="275"/>
      <c r="W55" s="275"/>
      <c r="X55" s="275"/>
      <c r="Y55" s="275"/>
      <c r="Z55" s="275"/>
      <c r="AA55" s="275"/>
      <c r="AB55" s="57">
        <f>[17]January_2019!L5</f>
        <v>0</v>
      </c>
      <c r="AC55" s="57">
        <f>[17]January_2019!M5</f>
        <v>0</v>
      </c>
      <c r="AD55" s="57">
        <f>[17]January_2019!N5</f>
        <v>0</v>
      </c>
      <c r="AE55" s="57">
        <f>[17]January_2019!O5</f>
        <v>0</v>
      </c>
      <c r="AF55" s="57">
        <f>[17]January_2019!P5</f>
        <v>0</v>
      </c>
      <c r="AG55" s="57">
        <f>[17]January_2019!Q5</f>
        <v>0</v>
      </c>
      <c r="AH55" s="57">
        <f>[17]January_2019!R5</f>
        <v>0</v>
      </c>
      <c r="AI55" s="57">
        <f>[17]January_2019!S5</f>
        <v>0</v>
      </c>
      <c r="AJ55" s="57">
        <f>[17]January_2019!T5</f>
        <v>0</v>
      </c>
      <c r="AK55" s="57">
        <f>[17]January_2019!U5</f>
        <v>0</v>
      </c>
      <c r="AL55" s="57">
        <f>[17]January_2019!V5</f>
        <v>0</v>
      </c>
      <c r="AM55" s="57">
        <f>[17]January_2019!W5</f>
        <v>0</v>
      </c>
      <c r="AN55" s="57">
        <f>[17]January_2019!X5</f>
        <v>0</v>
      </c>
      <c r="AO55" s="57">
        <f>[17]January_2019!Y5</f>
        <v>0</v>
      </c>
      <c r="AP55" s="57">
        <f>[17]January_2019!Z5</f>
        <v>0</v>
      </c>
      <c r="AQ55" s="57">
        <f>[17]January_2019!AA5</f>
        <v>0</v>
      </c>
      <c r="AR55" s="57">
        <f>[17]January_2019!AB5</f>
        <v>0</v>
      </c>
      <c r="AS55" s="57">
        <f>[17]January_2019!AC5</f>
        <v>0</v>
      </c>
      <c r="AT55" s="57">
        <f>[17]January_2019!AD5</f>
        <v>0</v>
      </c>
      <c r="AU55" s="57">
        <f>[17]January_2019!AE5</f>
        <v>0</v>
      </c>
      <c r="AV55" s="57">
        <f>[17]January_2019!AF5</f>
        <v>0</v>
      </c>
      <c r="AW55" s="57">
        <f>[17]January_2019!AG5</f>
        <v>0</v>
      </c>
      <c r="AX55" s="277">
        <f>[17]January_2019!AH5</f>
        <v>0</v>
      </c>
      <c r="AY55" s="277"/>
      <c r="AZ55" s="277"/>
      <c r="BA55" s="277"/>
      <c r="BB55" s="277"/>
      <c r="BC55" s="277"/>
      <c r="BD55" s="277"/>
      <c r="BE55" s="277"/>
    </row>
    <row r="56" spans="2:57" s="54" customFormat="1" ht="14.25" customHeight="1" thickBot="1">
      <c r="B56" s="480"/>
      <c r="C56" s="479"/>
      <c r="D56" s="442"/>
      <c r="E56" s="443"/>
      <c r="F56" s="444"/>
      <c r="G56" s="445"/>
      <c r="H56" s="458"/>
      <c r="I56" s="458"/>
      <c r="J56" s="476"/>
      <c r="K56" s="449"/>
      <c r="L56" s="457"/>
      <c r="M56" s="455"/>
      <c r="N56" s="13"/>
      <c r="O56" s="13"/>
      <c r="P56" s="50"/>
      <c r="R56" s="275"/>
      <c r="S56" s="275"/>
      <c r="T56" s="275"/>
      <c r="U56" s="275"/>
      <c r="V56" s="275"/>
      <c r="W56" s="275"/>
      <c r="X56" s="275"/>
      <c r="Y56" s="275"/>
      <c r="Z56" s="275"/>
      <c r="AA56" s="275"/>
      <c r="AB56" s="57">
        <f>[17]January_2019!L6</f>
        <v>0</v>
      </c>
      <c r="AC56" s="57">
        <f>[17]January_2019!M6</f>
        <v>0</v>
      </c>
      <c r="AD56" s="57">
        <f>[17]January_2019!N6</f>
        <v>0</v>
      </c>
      <c r="AE56" s="57">
        <f>[17]January_2019!O6</f>
        <v>0</v>
      </c>
      <c r="AF56" s="57">
        <f>[17]January_2019!P6</f>
        <v>0</v>
      </c>
      <c r="AG56" s="57">
        <f>[17]January_2019!Q6</f>
        <v>0</v>
      </c>
      <c r="AH56" s="57">
        <f>[17]January_2019!R6</f>
        <v>0</v>
      </c>
      <c r="AI56" s="57">
        <f>[17]January_2019!S6</f>
        <v>0</v>
      </c>
      <c r="AJ56" s="57">
        <f>[17]January_2019!T6</f>
        <v>0</v>
      </c>
      <c r="AK56" s="57">
        <f>[17]January_2019!U6</f>
        <v>0</v>
      </c>
      <c r="AL56" s="57">
        <f>[17]January_2019!V6</f>
        <v>0</v>
      </c>
      <c r="AM56" s="57">
        <f>[17]January_2019!W6</f>
        <v>0</v>
      </c>
      <c r="AN56" s="57">
        <f>[17]January_2019!X6</f>
        <v>0</v>
      </c>
      <c r="AO56" s="57">
        <f>[17]January_2019!Y6</f>
        <v>0</v>
      </c>
      <c r="AP56" s="57">
        <f>[17]January_2019!Z6</f>
        <v>0</v>
      </c>
      <c r="AQ56" s="57">
        <f>[17]January_2019!AA6</f>
        <v>0</v>
      </c>
      <c r="AR56" s="57">
        <f>[17]January_2019!AB6</f>
        <v>0</v>
      </c>
      <c r="AS56" s="57">
        <f>[17]January_2019!AC6</f>
        <v>0</v>
      </c>
      <c r="AT56" s="57">
        <f>[17]January_2019!AD6</f>
        <v>0</v>
      </c>
      <c r="AU56" s="57">
        <f>[17]January_2019!AE6</f>
        <v>0</v>
      </c>
      <c r="AV56" s="57">
        <f>[17]January_2019!AF6</f>
        <v>0</v>
      </c>
      <c r="AW56" s="57">
        <f>[17]January_2019!AG6</f>
        <v>0</v>
      </c>
      <c r="AX56" s="277">
        <f>[17]January_2019!AH6</f>
        <v>0</v>
      </c>
      <c r="AY56" s="277"/>
      <c r="AZ56" s="277"/>
      <c r="BA56" s="277"/>
      <c r="BB56" s="277"/>
      <c r="BC56" s="277"/>
      <c r="BD56" s="277"/>
      <c r="BE56" s="277"/>
    </row>
    <row r="57" spans="2:57" s="54" customFormat="1" ht="37.15" customHeight="1" thickBot="1">
      <c r="B57" s="456" t="str">
        <f>B55</f>
        <v>CARIB</v>
      </c>
      <c r="C57" s="479">
        <v>46274</v>
      </c>
      <c r="D57" s="442">
        <f>[18]September_2026!$I$3</f>
        <v>289.77000000000004</v>
      </c>
      <c r="E57" s="443"/>
      <c r="F57" s="444"/>
      <c r="G57" s="444">
        <f>[18]September_2026!$I$7</f>
        <v>261.10000000000002</v>
      </c>
      <c r="H57" s="446"/>
      <c r="I57" s="446"/>
      <c r="J57" s="448" t="s">
        <v>174</v>
      </c>
      <c r="K57" s="449">
        <f>[19]September_2026!$I$18</f>
        <v>0.91614035087719303</v>
      </c>
      <c r="L57" s="457">
        <f>(((D57+E57)-G57)/(D57+E57))*100</f>
        <v>9.8940539048210692</v>
      </c>
      <c r="M57" s="455" t="s">
        <v>173</v>
      </c>
      <c r="N57" s="13"/>
      <c r="O57" s="13"/>
      <c r="P57" s="50"/>
      <c r="R57" s="275"/>
      <c r="S57" s="275"/>
      <c r="T57" s="275"/>
      <c r="U57" s="275"/>
      <c r="V57" s="275"/>
      <c r="W57" s="275"/>
      <c r="X57" s="275"/>
      <c r="Y57" s="275"/>
      <c r="Z57" s="275"/>
      <c r="AA57" s="275"/>
      <c r="AB57" s="57">
        <f>[17]January_2019!L7</f>
        <v>285.8</v>
      </c>
      <c r="AC57" s="57">
        <f>[17]January_2019!M7</f>
        <v>508.1</v>
      </c>
      <c r="AD57" s="57">
        <f>[17]January_2019!N7</f>
        <v>0</v>
      </c>
      <c r="AE57" s="57">
        <f>[17]January_2019!O7</f>
        <v>0</v>
      </c>
      <c r="AF57" s="57">
        <f>[17]January_2019!P7</f>
        <v>109.56666666666666</v>
      </c>
      <c r="AG57" s="57">
        <f>[17]January_2019!Q7</f>
        <v>297.64999999999998</v>
      </c>
      <c r="AH57" s="57">
        <f>[17]January_2019!R7</f>
        <v>122.3</v>
      </c>
      <c r="AI57" s="57">
        <f>[17]January_2019!S7</f>
        <v>0</v>
      </c>
      <c r="AJ57" s="57">
        <f>[17]January_2019!T7</f>
        <v>294.7</v>
      </c>
      <c r="AK57" s="57">
        <f>[17]January_2019!U7</f>
        <v>280.5</v>
      </c>
      <c r="AL57" s="57">
        <f>[17]January_2019!V7</f>
        <v>0</v>
      </c>
      <c r="AM57" s="57">
        <f>[17]January_2019!W7</f>
        <v>0</v>
      </c>
      <c r="AN57" s="57">
        <f>[17]January_2019!X7</f>
        <v>188.25</v>
      </c>
      <c r="AO57" s="57">
        <f>[17]January_2019!Y7</f>
        <v>295.7</v>
      </c>
      <c r="AP57" s="57">
        <f>[17]January_2019!Z7</f>
        <v>257.8</v>
      </c>
      <c r="AQ57" s="57">
        <f>[17]January_2019!AA7</f>
        <v>291.2</v>
      </c>
      <c r="AR57" s="57">
        <f>[17]January_2019!AB7</f>
        <v>187</v>
      </c>
      <c r="AS57" s="57">
        <f>[17]January_2019!AC7</f>
        <v>0</v>
      </c>
      <c r="AT57" s="57">
        <f>[17]January_2019!AD7</f>
        <v>0</v>
      </c>
      <c r="AU57" s="57">
        <f>[17]January_2019!AE7</f>
        <v>485.1</v>
      </c>
      <c r="AV57" s="57">
        <f>[17]January_2019!AF7</f>
        <v>171.55</v>
      </c>
      <c r="AW57" s="57">
        <f>[17]January_2019!AG7</f>
        <v>423.8</v>
      </c>
      <c r="AX57" s="277">
        <f>[17]January_2019!AH7</f>
        <v>0</v>
      </c>
      <c r="AY57" s="277"/>
      <c r="AZ57" s="277"/>
      <c r="BA57" s="277"/>
      <c r="BB57" s="277"/>
      <c r="BC57" s="277"/>
      <c r="BD57" s="277"/>
      <c r="BE57" s="277"/>
    </row>
    <row r="58" spans="2:57" s="54" customFormat="1" ht="18.600000000000001" hidden="1" customHeight="1" thickBot="1">
      <c r="B58" s="478"/>
      <c r="C58" s="430"/>
      <c r="D58" s="431"/>
      <c r="E58" s="432"/>
      <c r="F58" s="433"/>
      <c r="G58" s="434"/>
      <c r="H58" s="458"/>
      <c r="I58" s="458"/>
      <c r="J58" s="451"/>
      <c r="K58" s="436"/>
      <c r="L58" s="452"/>
      <c r="M58" s="421"/>
      <c r="N58" s="13"/>
      <c r="O58" s="13"/>
      <c r="P58" s="50"/>
      <c r="R58" s="275"/>
      <c r="S58" s="275"/>
      <c r="T58" s="275"/>
      <c r="U58" s="275"/>
      <c r="V58" s="275"/>
      <c r="W58" s="275"/>
      <c r="X58" s="275"/>
      <c r="Y58" s="275"/>
      <c r="Z58" s="275"/>
      <c r="AA58" s="275"/>
      <c r="AB58" s="57"/>
      <c r="AC58" s="57"/>
      <c r="AD58" s="57"/>
      <c r="AE58" s="57"/>
      <c r="AF58" s="57"/>
      <c r="AG58" s="57"/>
      <c r="AH58" s="57"/>
      <c r="AI58" s="57"/>
      <c r="AJ58" s="57"/>
      <c r="AK58" s="57"/>
      <c r="AL58" s="57"/>
      <c r="AM58" s="57"/>
      <c r="AN58" s="57"/>
      <c r="AO58" s="57"/>
      <c r="AP58" s="57"/>
      <c r="AQ58" s="57"/>
      <c r="AR58" s="57"/>
      <c r="AS58" s="57"/>
      <c r="AT58" s="57"/>
      <c r="AU58" s="57"/>
      <c r="AV58" s="57"/>
      <c r="AW58" s="57"/>
      <c r="AX58" s="277"/>
      <c r="AY58" s="277"/>
      <c r="AZ58" s="277"/>
      <c r="BA58" s="277"/>
      <c r="BB58" s="277"/>
      <c r="BC58" s="277"/>
      <c r="BD58" s="277"/>
      <c r="BE58" s="277"/>
    </row>
    <row r="59" spans="2:57" s="54" customFormat="1" ht="38.65" hidden="1" customHeight="1" thickBot="1">
      <c r="B59" s="487"/>
      <c r="C59" s="479"/>
      <c r="D59" s="442"/>
      <c r="E59" s="443"/>
      <c r="F59" s="444"/>
      <c r="G59" s="445"/>
      <c r="H59" s="458"/>
      <c r="I59" s="458"/>
      <c r="J59" s="448"/>
      <c r="K59" s="459"/>
      <c r="L59" s="457"/>
      <c r="M59" s="455"/>
      <c r="N59" s="13"/>
      <c r="O59" s="13"/>
      <c r="P59" s="50"/>
      <c r="R59" s="275"/>
      <c r="S59" s="275"/>
      <c r="T59" s="275"/>
      <c r="U59" s="275"/>
      <c r="V59" s="275"/>
      <c r="W59" s="275"/>
      <c r="X59" s="275"/>
      <c r="Y59" s="275"/>
      <c r="Z59" s="275"/>
      <c r="AA59" s="275"/>
      <c r="AB59" s="57"/>
      <c r="AC59" s="57"/>
      <c r="AD59" s="57"/>
      <c r="AE59" s="57"/>
      <c r="AF59" s="57"/>
      <c r="AG59" s="57"/>
      <c r="AH59" s="57"/>
      <c r="AI59" s="57"/>
      <c r="AJ59" s="57"/>
      <c r="AK59" s="57"/>
      <c r="AL59" s="57"/>
      <c r="AM59" s="57"/>
      <c r="AN59" s="57"/>
      <c r="AO59" s="57"/>
      <c r="AP59" s="57"/>
      <c r="AQ59" s="57"/>
      <c r="AR59" s="57"/>
      <c r="AS59" s="57"/>
      <c r="AT59" s="57"/>
      <c r="AU59" s="57"/>
      <c r="AV59" s="57"/>
      <c r="AW59" s="57"/>
      <c r="AX59" s="277"/>
      <c r="AY59" s="277"/>
      <c r="AZ59" s="277"/>
      <c r="BA59" s="277"/>
      <c r="BB59" s="277"/>
      <c r="BC59" s="277"/>
      <c r="BD59" s="277"/>
      <c r="BE59" s="277"/>
    </row>
    <row r="60" spans="2:57" s="54" customFormat="1" ht="15" hidden="1">
      <c r="B60" s="453"/>
      <c r="C60" s="430"/>
      <c r="D60" s="431"/>
      <c r="E60" s="432"/>
      <c r="F60" s="433"/>
      <c r="G60" s="434"/>
      <c r="H60" s="435"/>
      <c r="I60" s="450"/>
      <c r="J60" s="451"/>
      <c r="K60" s="436"/>
      <c r="L60" s="452"/>
      <c r="M60" s="421"/>
      <c r="N60" s="13"/>
      <c r="O60" s="13"/>
      <c r="P60" s="50"/>
      <c r="R60" s="275"/>
      <c r="S60" s="275"/>
      <c r="T60" s="275"/>
      <c r="U60" s="275"/>
      <c r="V60" s="275"/>
      <c r="W60" s="275"/>
      <c r="X60" s="275"/>
      <c r="Y60" s="275"/>
      <c r="Z60" s="275"/>
      <c r="AA60" s="275"/>
      <c r="AB60" s="57"/>
      <c r="AC60" s="57"/>
      <c r="AD60" s="57"/>
      <c r="AE60" s="57"/>
      <c r="AF60" s="57"/>
      <c r="AG60" s="57"/>
      <c r="AH60" s="57"/>
      <c r="AI60" s="57"/>
      <c r="AJ60" s="57"/>
      <c r="AK60" s="57"/>
      <c r="AL60" s="57"/>
      <c r="AM60" s="57"/>
      <c r="AN60" s="57"/>
      <c r="AO60" s="57"/>
      <c r="AP60" s="57"/>
      <c r="AQ60" s="57"/>
      <c r="AR60" s="57"/>
      <c r="AS60" s="57"/>
      <c r="AT60" s="57"/>
      <c r="AU60" s="57"/>
      <c r="AV60" s="57"/>
      <c r="AW60" s="57"/>
      <c r="AX60" s="277"/>
      <c r="AY60" s="277"/>
      <c r="AZ60" s="277"/>
      <c r="BA60" s="277"/>
      <c r="BB60" s="277"/>
      <c r="BC60" s="277"/>
      <c r="BD60" s="277"/>
      <c r="BE60" s="277"/>
    </row>
    <row r="61" spans="2:57" s="54" customFormat="1" ht="37.15" hidden="1" customHeight="1" thickBot="1">
      <c r="B61" s="481"/>
      <c r="C61" s="479"/>
      <c r="D61" s="442"/>
      <c r="E61" s="443"/>
      <c r="F61" s="444"/>
      <c r="G61" s="445"/>
      <c r="H61" s="446"/>
      <c r="I61" s="447"/>
      <c r="J61" s="448"/>
      <c r="K61" s="449"/>
      <c r="L61" s="457"/>
      <c r="M61" s="455"/>
      <c r="N61" s="13"/>
      <c r="O61" s="13"/>
      <c r="P61" s="50"/>
      <c r="R61" s="275"/>
      <c r="S61" s="275"/>
      <c r="T61" s="275"/>
      <c r="U61" s="275"/>
      <c r="V61" s="275"/>
      <c r="W61" s="275"/>
      <c r="X61" s="275"/>
      <c r="Y61" s="275"/>
      <c r="Z61" s="275"/>
      <c r="AA61" s="275"/>
      <c r="AB61" s="57"/>
      <c r="AC61" s="57"/>
      <c r="AD61" s="57"/>
      <c r="AE61" s="57"/>
      <c r="AF61" s="57"/>
      <c r="AG61" s="57"/>
      <c r="AH61" s="57"/>
      <c r="AI61" s="57"/>
      <c r="AJ61" s="57"/>
      <c r="AK61" s="57"/>
      <c r="AL61" s="57"/>
      <c r="AM61" s="57"/>
      <c r="AN61" s="57"/>
      <c r="AO61" s="57"/>
      <c r="AP61" s="57"/>
      <c r="AQ61" s="57"/>
      <c r="AR61" s="57"/>
      <c r="AS61" s="57"/>
      <c r="AT61" s="57"/>
      <c r="AU61" s="57"/>
      <c r="AV61" s="57"/>
      <c r="AW61" s="57"/>
      <c r="AX61" s="277"/>
      <c r="AY61" s="277"/>
      <c r="AZ61" s="277"/>
      <c r="BA61" s="277"/>
      <c r="BB61" s="277"/>
      <c r="BC61" s="277"/>
      <c r="BD61" s="277"/>
      <c r="BE61" s="277"/>
    </row>
    <row r="62" spans="2:57" s="54" customFormat="1" ht="16.5" hidden="1" customHeight="1" thickBot="1">
      <c r="B62" s="437"/>
      <c r="C62" s="423"/>
      <c r="D62" s="424"/>
      <c r="E62" s="425"/>
      <c r="F62" s="426"/>
      <c r="G62" s="427"/>
      <c r="H62" s="428"/>
      <c r="I62" s="438"/>
      <c r="J62" s="439"/>
      <c r="K62" s="429"/>
      <c r="L62" s="440"/>
      <c r="M62" s="422"/>
      <c r="N62" s="13"/>
      <c r="O62" s="13"/>
      <c r="P62" s="50"/>
      <c r="R62" s="275"/>
      <c r="S62" s="275"/>
      <c r="T62" s="275"/>
      <c r="U62" s="275"/>
      <c r="V62" s="275"/>
      <c r="W62" s="275"/>
      <c r="X62" s="275"/>
      <c r="Y62" s="275"/>
      <c r="Z62" s="275"/>
      <c r="AA62" s="275"/>
      <c r="AB62" s="415"/>
      <c r="AC62" s="415"/>
      <c r="AD62" s="415"/>
      <c r="AE62" s="415"/>
      <c r="AF62" s="415"/>
      <c r="AG62" s="415"/>
      <c r="AH62" s="415"/>
      <c r="AI62" s="415"/>
      <c r="AJ62" s="415"/>
      <c r="AK62" s="415"/>
      <c r="AL62" s="415"/>
      <c r="AM62" s="415"/>
      <c r="AN62" s="415"/>
      <c r="AO62" s="415"/>
      <c r="AP62" s="415"/>
      <c r="AQ62" s="415"/>
      <c r="AR62" s="415"/>
      <c r="AS62" s="415"/>
      <c r="AT62" s="415"/>
      <c r="AU62" s="415"/>
      <c r="AV62" s="415"/>
      <c r="AW62" s="415"/>
    </row>
    <row r="63" spans="2:57" s="54" customFormat="1" ht="37.15" hidden="1" customHeight="1" thickBot="1">
      <c r="B63" s="456"/>
      <c r="C63" s="441"/>
      <c r="D63" s="442"/>
      <c r="E63" s="443"/>
      <c r="F63" s="444"/>
      <c r="G63" s="445"/>
      <c r="H63" s="446"/>
      <c r="I63" s="447"/>
      <c r="J63" s="448"/>
      <c r="K63" s="449"/>
      <c r="L63" s="457"/>
      <c r="M63" s="454"/>
      <c r="N63" s="13"/>
      <c r="O63" s="13"/>
      <c r="P63" s="50"/>
      <c r="R63" s="275"/>
      <c r="S63" s="275"/>
      <c r="T63" s="275"/>
      <c r="U63" s="275"/>
      <c r="V63" s="275"/>
      <c r="W63" s="275"/>
      <c r="X63" s="275"/>
      <c r="Y63" s="275"/>
      <c r="Z63" s="275"/>
      <c r="AA63" s="275"/>
      <c r="AB63" s="57"/>
      <c r="AC63" s="57"/>
      <c r="AD63" s="57"/>
      <c r="AE63" s="57"/>
      <c r="AF63" s="57"/>
      <c r="AG63" s="57"/>
      <c r="AH63" s="57"/>
      <c r="AI63" s="57"/>
      <c r="AJ63" s="57"/>
      <c r="AK63" s="57"/>
      <c r="AL63" s="57"/>
      <c r="AM63" s="57"/>
      <c r="AN63" s="57"/>
      <c r="AO63" s="57"/>
      <c r="AP63" s="57"/>
      <c r="AQ63" s="57"/>
      <c r="AR63" s="57"/>
      <c r="AS63" s="57"/>
      <c r="AT63" s="57"/>
      <c r="AU63" s="57"/>
      <c r="AV63" s="57"/>
      <c r="AW63" s="57"/>
      <c r="AX63" s="277"/>
      <c r="AY63" s="277"/>
      <c r="AZ63" s="277"/>
      <c r="BA63" s="277"/>
      <c r="BB63" s="277"/>
      <c r="BC63" s="277"/>
      <c r="BD63" s="277"/>
      <c r="BE63" s="277"/>
    </row>
    <row r="64" spans="2:57" s="54" customFormat="1" ht="37.15" customHeight="1">
      <c r="B64" s="466"/>
      <c r="C64" s="430"/>
      <c r="D64" s="460"/>
      <c r="E64" s="461"/>
      <c r="F64" s="462"/>
      <c r="G64" s="460"/>
      <c r="H64" s="463"/>
      <c r="I64" s="463"/>
      <c r="J64" s="463"/>
      <c r="K64" s="464"/>
      <c r="L64" s="465"/>
      <c r="M64" s="50"/>
      <c r="N64" s="13"/>
      <c r="O64" s="13"/>
      <c r="P64" s="50"/>
      <c r="R64" s="275"/>
      <c r="S64" s="275"/>
      <c r="T64" s="275"/>
      <c r="U64" s="275"/>
      <c r="V64" s="275"/>
      <c r="W64" s="275"/>
      <c r="X64" s="275"/>
      <c r="Y64" s="275"/>
      <c r="Z64" s="275"/>
      <c r="AA64" s="275"/>
      <c r="AB64" s="57"/>
      <c r="AC64" s="57"/>
      <c r="AD64" s="57"/>
      <c r="AE64" s="57"/>
      <c r="AF64" s="57"/>
      <c r="AG64" s="57"/>
      <c r="AH64" s="57"/>
      <c r="AI64" s="57"/>
      <c r="AJ64" s="57"/>
      <c r="AK64" s="57"/>
      <c r="AL64" s="57"/>
      <c r="AM64" s="57"/>
      <c r="AN64" s="57"/>
      <c r="AO64" s="57"/>
      <c r="AP64" s="57"/>
      <c r="AQ64" s="57"/>
      <c r="AR64" s="57"/>
      <c r="AS64" s="57"/>
      <c r="AT64" s="57"/>
      <c r="AU64" s="57"/>
      <c r="AV64" s="57"/>
      <c r="AW64" s="57"/>
      <c r="AX64" s="277"/>
      <c r="AY64" s="277"/>
      <c r="AZ64" s="277"/>
      <c r="BA64" s="277"/>
      <c r="BB64" s="277"/>
      <c r="BC64" s="277"/>
      <c r="BD64" s="277"/>
      <c r="BE64" s="277"/>
    </row>
    <row r="65" spans="2:16" ht="18" customHeight="1" thickBot="1">
      <c r="B65" s="59"/>
      <c r="C65" s="309"/>
      <c r="D65" s="59"/>
      <c r="E65" s="59"/>
      <c r="F65" s="59"/>
      <c r="G65" s="59"/>
      <c r="H65" s="59"/>
      <c r="I65" s="59"/>
      <c r="J65" s="59"/>
      <c r="K65" s="59"/>
      <c r="L65" s="59"/>
      <c r="M65" s="59"/>
      <c r="N65" s="59" t="s">
        <v>41</v>
      </c>
      <c r="O65" s="56"/>
      <c r="P65" s="60"/>
    </row>
    <row r="66" spans="2:16" ht="15.75" thickBot="1">
      <c r="B66" s="499" t="s">
        <v>55</v>
      </c>
      <c r="C66" s="500"/>
      <c r="D66" s="500"/>
      <c r="E66" s="500"/>
      <c r="F66" s="501"/>
      <c r="G66" s="499" t="s">
        <v>56</v>
      </c>
      <c r="H66" s="500"/>
      <c r="I66" s="500"/>
      <c r="J66" s="501"/>
      <c r="K66" s="499" t="s">
        <v>51</v>
      </c>
      <c r="L66" s="500"/>
      <c r="M66" s="500"/>
      <c r="N66" s="502"/>
      <c r="O66" s="56"/>
      <c r="P66" s="50"/>
    </row>
    <row r="67" spans="2:16" ht="15">
      <c r="B67" s="61" t="s">
        <v>17</v>
      </c>
      <c r="C67" s="62" t="s">
        <v>36</v>
      </c>
      <c r="D67" s="62" t="s">
        <v>37</v>
      </c>
      <c r="E67" s="62" t="s">
        <v>38</v>
      </c>
      <c r="F67" s="63" t="s">
        <v>39</v>
      </c>
      <c r="G67" s="62" t="s">
        <v>36</v>
      </c>
      <c r="H67" s="62" t="s">
        <v>37</v>
      </c>
      <c r="I67" s="62" t="s">
        <v>38</v>
      </c>
      <c r="J67" s="63" t="s">
        <v>39</v>
      </c>
      <c r="K67" s="62"/>
      <c r="L67" s="62" t="s">
        <v>37</v>
      </c>
      <c r="M67" s="62" t="s">
        <v>38</v>
      </c>
      <c r="N67" s="63" t="s">
        <v>39</v>
      </c>
      <c r="O67" s="56"/>
      <c r="P67" s="64"/>
    </row>
    <row r="68" spans="2:16" ht="15">
      <c r="B68" s="29" t="s">
        <v>6</v>
      </c>
      <c r="C68" s="65">
        <f>AVERAGE(L55,L57)</f>
        <v>6.9350985229870821</v>
      </c>
      <c r="D68" s="76">
        <v>6.4472271157030416</v>
      </c>
      <c r="E68" s="76">
        <v>6.5138721351025444</v>
      </c>
      <c r="F68" s="66">
        <v>4.8</v>
      </c>
      <c r="G68" s="65">
        <f>AVERAGE([18]September_2026!$I$11,[18]September_2026!$L$11)</f>
        <v>6.148326145664484</v>
      </c>
      <c r="H68" s="477">
        <v>5.8950679057106816</v>
      </c>
      <c r="I68" s="477">
        <v>6.6073232901305987</v>
      </c>
      <c r="J68" s="66">
        <v>4.8</v>
      </c>
      <c r="K68" s="67">
        <f>AVERAGE(K55,K57)</f>
        <v>0.79701754385964918</v>
      </c>
      <c r="L68" s="194">
        <v>0.6961461988304094</v>
      </c>
      <c r="M68" s="194">
        <v>0.53619861956746828</v>
      </c>
      <c r="N68" s="68">
        <v>1</v>
      </c>
      <c r="O68" s="56"/>
      <c r="P68" s="69"/>
    </row>
    <row r="69" spans="2:16" ht="15">
      <c r="B69" s="33" t="s">
        <v>9</v>
      </c>
      <c r="C69" s="65"/>
      <c r="D69" s="76">
        <v>8.6363636363636189</v>
      </c>
      <c r="E69" s="76">
        <v>5.8721053130307412</v>
      </c>
      <c r="F69" s="66">
        <v>4.8</v>
      </c>
      <c r="G69" s="65"/>
      <c r="H69" s="76">
        <v>7.5248838752488254</v>
      </c>
      <c r="I69" s="76">
        <v>5.9880521869393624</v>
      </c>
      <c r="J69" s="66">
        <v>4.8</v>
      </c>
      <c r="K69" s="67"/>
      <c r="L69" s="194">
        <v>0.31736842105263158</v>
      </c>
      <c r="M69" s="194">
        <v>0.68971317640877172</v>
      </c>
      <c r="N69" s="68">
        <v>1</v>
      </c>
      <c r="P69" s="69"/>
    </row>
    <row r="70" spans="2:16" ht="15">
      <c r="B70" s="34" t="s">
        <v>40</v>
      </c>
      <c r="C70" s="65"/>
      <c r="D70" s="76"/>
      <c r="E70" s="76">
        <v>11.277593164016125</v>
      </c>
      <c r="F70" s="66">
        <v>5.5</v>
      </c>
      <c r="G70" s="65"/>
      <c r="H70" s="76"/>
      <c r="I70" s="76">
        <v>11.857907912244482</v>
      </c>
      <c r="J70" s="66">
        <v>5.5</v>
      </c>
      <c r="K70" s="67"/>
      <c r="L70" s="194"/>
      <c r="M70" s="194">
        <v>0.35370190356844494</v>
      </c>
      <c r="N70" s="68">
        <v>1</v>
      </c>
      <c r="P70" s="69"/>
    </row>
    <row r="71" spans="2:16" ht="15">
      <c r="B71" s="22" t="s">
        <v>33</v>
      </c>
      <c r="C71" s="65"/>
      <c r="D71" s="76"/>
      <c r="E71" s="76">
        <v>4.8685538193023836</v>
      </c>
      <c r="F71" s="66">
        <v>3.3</v>
      </c>
      <c r="G71" s="65"/>
      <c r="H71" s="76"/>
      <c r="I71" s="76">
        <v>4.8702525342252114</v>
      </c>
      <c r="J71" s="66">
        <v>3.3</v>
      </c>
      <c r="K71" s="67"/>
      <c r="L71" s="194"/>
      <c r="M71" s="194">
        <v>0.77919298245614044</v>
      </c>
      <c r="N71" s="68">
        <v>1</v>
      </c>
      <c r="P71" s="69"/>
    </row>
    <row r="72" spans="2:16" ht="15">
      <c r="B72" s="35" t="s">
        <v>164</v>
      </c>
      <c r="C72" s="65"/>
      <c r="D72" s="76"/>
      <c r="E72" s="76"/>
      <c r="F72" s="66">
        <v>3.3</v>
      </c>
      <c r="G72" s="282"/>
      <c r="H72" s="76"/>
      <c r="I72" s="76"/>
      <c r="J72" s="66">
        <v>3</v>
      </c>
      <c r="K72" s="67"/>
      <c r="L72" s="194"/>
      <c r="M72" s="194"/>
      <c r="N72" s="68">
        <v>1</v>
      </c>
      <c r="P72" s="69"/>
    </row>
    <row r="73" spans="2:16" ht="15">
      <c r="B73" s="36" t="s">
        <v>15</v>
      </c>
      <c r="C73" s="65"/>
      <c r="D73" s="76"/>
      <c r="E73" s="76">
        <v>6.0400197628458603</v>
      </c>
      <c r="F73" s="70">
        <v>5.5</v>
      </c>
      <c r="G73" s="65"/>
      <c r="H73" s="76"/>
      <c r="I73" s="76">
        <v>8.2405787675951316</v>
      </c>
      <c r="J73" s="66">
        <v>5.5</v>
      </c>
      <c r="K73" s="67"/>
      <c r="L73" s="194"/>
      <c r="M73" s="194">
        <v>0.78491228070175445</v>
      </c>
      <c r="N73" s="68">
        <v>1</v>
      </c>
      <c r="P73" s="69"/>
    </row>
    <row r="74" spans="2:16" ht="15">
      <c r="B74" s="37" t="s">
        <v>16</v>
      </c>
      <c r="C74" s="482"/>
      <c r="D74" s="76"/>
      <c r="E74" s="76">
        <v>3.6168923014750334</v>
      </c>
      <c r="F74" s="66">
        <v>3.3</v>
      </c>
      <c r="G74" s="282"/>
      <c r="H74" s="76"/>
      <c r="I74" s="76">
        <v>5.0091179718082053</v>
      </c>
      <c r="J74" s="66">
        <v>3.3</v>
      </c>
      <c r="K74" s="67"/>
      <c r="L74" s="194"/>
      <c r="M74" s="194">
        <v>0.92642300194931759</v>
      </c>
      <c r="N74" s="71">
        <v>1</v>
      </c>
      <c r="P74" s="69"/>
    </row>
    <row r="75" spans="2:16" ht="15.75" thickBot="1">
      <c r="B75" s="38" t="s">
        <v>163</v>
      </c>
      <c r="C75" s="65"/>
      <c r="D75" s="76"/>
      <c r="E75" s="76"/>
      <c r="F75" s="66">
        <v>7.5</v>
      </c>
      <c r="G75" s="282"/>
      <c r="H75" s="76"/>
      <c r="I75" s="76"/>
      <c r="J75" s="66">
        <v>7.5</v>
      </c>
      <c r="K75" s="67"/>
      <c r="L75" s="194"/>
      <c r="M75" s="194"/>
      <c r="N75" s="71">
        <v>1</v>
      </c>
      <c r="P75" s="69"/>
    </row>
    <row r="76" spans="2:16" ht="15.75" thickBot="1">
      <c r="B76" s="414" t="s">
        <v>161</v>
      </c>
      <c r="C76" s="65"/>
      <c r="D76" s="76"/>
      <c r="E76" s="76"/>
      <c r="F76" s="66">
        <v>4.8</v>
      </c>
      <c r="G76" s="282"/>
      <c r="H76" s="76"/>
      <c r="I76" s="76"/>
      <c r="J76" s="66">
        <v>4.8</v>
      </c>
      <c r="K76" s="67"/>
      <c r="L76" s="194"/>
      <c r="M76" s="194"/>
      <c r="N76" s="71">
        <v>1</v>
      </c>
      <c r="O76" s="74"/>
      <c r="P76" s="75"/>
    </row>
    <row r="77" spans="2:16" ht="15">
      <c r="D77" s="76">
        <v>6.8264028308117464</v>
      </c>
      <c r="E77" s="76">
        <v>6.3462316681768955</v>
      </c>
      <c r="F77" s="341">
        <v>5.5</v>
      </c>
      <c r="H77" s="76">
        <v>6.177284152675111</v>
      </c>
      <c r="I77" s="76">
        <v>6.6757418645566347</v>
      </c>
      <c r="J77" s="341">
        <v>5.5</v>
      </c>
      <c r="L77" s="194">
        <v>0.64203508771929829</v>
      </c>
      <c r="M77" s="194">
        <v>0.60011391967476069</v>
      </c>
      <c r="N77" s="386">
        <v>1</v>
      </c>
    </row>
  </sheetData>
  <mergeCells count="51">
    <mergeCell ref="M53:M54"/>
    <mergeCell ref="B66:F66"/>
    <mergeCell ref="G66:J66"/>
    <mergeCell ref="K66:N66"/>
    <mergeCell ref="G53:G54"/>
    <mergeCell ref="H53:H54"/>
    <mergeCell ref="I53:I54"/>
    <mergeCell ref="J53:J54"/>
    <mergeCell ref="K53:K54"/>
    <mergeCell ref="L53:L54"/>
    <mergeCell ref="F53:F54"/>
    <mergeCell ref="D48:E48"/>
    <mergeCell ref="B53:B54"/>
    <mergeCell ref="C53:C54"/>
    <mergeCell ref="D53:D54"/>
    <mergeCell ref="E53:E54"/>
    <mergeCell ref="B38:B47"/>
    <mergeCell ref="D38:E39"/>
    <mergeCell ref="J38:K38"/>
    <mergeCell ref="L39:N39"/>
    <mergeCell ref="D40:E41"/>
    <mergeCell ref="D42:E43"/>
    <mergeCell ref="D44:E45"/>
    <mergeCell ref="D46:E47"/>
    <mergeCell ref="I24:N24"/>
    <mergeCell ref="D25:E25"/>
    <mergeCell ref="B26:B37"/>
    <mergeCell ref="D26:E27"/>
    <mergeCell ref="D28:E29"/>
    <mergeCell ref="D30:E31"/>
    <mergeCell ref="D32:E33"/>
    <mergeCell ref="D34:E35"/>
    <mergeCell ref="D36:E37"/>
    <mergeCell ref="P8:P9"/>
    <mergeCell ref="C5:D5"/>
    <mergeCell ref="B8:B9"/>
    <mergeCell ref="C8:C9"/>
    <mergeCell ref="D8:D9"/>
    <mergeCell ref="G8:G9"/>
    <mergeCell ref="H8:H9"/>
    <mergeCell ref="I8:I9"/>
    <mergeCell ref="J8:J9"/>
    <mergeCell ref="K8:K9"/>
    <mergeCell ref="L8:L9"/>
    <mergeCell ref="O8:O9"/>
    <mergeCell ref="M4:N4"/>
    <mergeCell ref="S1:T1"/>
    <mergeCell ref="U1:V1"/>
    <mergeCell ref="W1:X1"/>
    <mergeCell ref="Y1:Z1"/>
    <mergeCell ref="B2:O2"/>
  </mergeCells>
  <conditionalFormatting sqref="B48:B49">
    <cfRule type="cellIs" dxfId="2879" priority="102" operator="notBetween">
      <formula>#REF!</formula>
      <formula>#REF!</formula>
    </cfRule>
  </conditionalFormatting>
  <conditionalFormatting sqref="C52">
    <cfRule type="cellIs" dxfId="2878" priority="184" stopIfTrue="1" operator="lessThan">
      <formula>96</formula>
    </cfRule>
    <cfRule type="cellIs" dxfId="2877" priority="185" stopIfTrue="1" operator="greaterThan">
      <formula>100</formula>
    </cfRule>
  </conditionalFormatting>
  <conditionalFormatting sqref="C68:C69">
    <cfRule type="cellIs" dxfId="2876" priority="65" stopIfTrue="1" operator="greaterThan">
      <formula>$F68</formula>
    </cfRule>
    <cfRule type="cellIs" dxfId="2875" priority="67" stopIfTrue="1" operator="greaterThan">
      <formula>$F68</formula>
    </cfRule>
    <cfRule type="cellIs" dxfId="2874" priority="68" stopIfTrue="1" operator="lessThanOrEqual">
      <formula>0</formula>
    </cfRule>
    <cfRule type="cellIs" dxfId="2873" priority="66" stopIfTrue="1" operator="lessThanOrEqual">
      <formula>0</formula>
    </cfRule>
  </conditionalFormatting>
  <conditionalFormatting sqref="C70:C72 C74:C76">
    <cfRule type="cellIs" dxfId="2872" priority="74" stopIfTrue="1" operator="greaterThan">
      <formula>$F73</formula>
    </cfRule>
  </conditionalFormatting>
  <conditionalFormatting sqref="C70:C72">
    <cfRule type="cellIs" dxfId="2871" priority="75" stopIfTrue="1" operator="lessThanOrEqual">
      <formula>0</formula>
    </cfRule>
  </conditionalFormatting>
  <conditionalFormatting sqref="C73">
    <cfRule type="cellIs" dxfId="2870" priority="186" stopIfTrue="1" operator="greaterThan">
      <formula>$F68</formula>
    </cfRule>
    <cfRule type="cellIs" dxfId="2869" priority="189" stopIfTrue="1" operator="lessThanOrEqual">
      <formula>0</formula>
    </cfRule>
    <cfRule type="cellIs" dxfId="2868" priority="188" stopIfTrue="1" operator="greaterThan">
      <formula>$F68</formula>
    </cfRule>
    <cfRule type="cellIs" dxfId="2867" priority="187" stopIfTrue="1" operator="lessThanOrEqual">
      <formula>0</formula>
    </cfRule>
  </conditionalFormatting>
  <conditionalFormatting sqref="C74:C76">
    <cfRule type="cellIs" dxfId="2866" priority="76" stopIfTrue="1" operator="lessThanOrEqual">
      <formula>0</formula>
    </cfRule>
  </conditionalFormatting>
  <conditionalFormatting sqref="C79:C83">
    <cfRule type="cellIs" dxfId="2865" priority="176" stopIfTrue="1" operator="lessThanOrEqual">
      <formula>0</formula>
    </cfRule>
  </conditionalFormatting>
  <conditionalFormatting sqref="C80:C83">
    <cfRule type="cellIs" dxfId="2864" priority="175" stopIfTrue="1" operator="greaterThan">
      <formula>$F$79</formula>
    </cfRule>
  </conditionalFormatting>
  <conditionalFormatting sqref="C85">
    <cfRule type="cellIs" dxfId="2863" priority="177" stopIfTrue="1" operator="greaterThan">
      <formula>$F$79</formula>
    </cfRule>
    <cfRule type="cellIs" dxfId="2862" priority="178" stopIfTrue="1" operator="lessThanOrEqual">
      <formula>0</formula>
    </cfRule>
  </conditionalFormatting>
  <conditionalFormatting sqref="C73:D73">
    <cfRule type="cellIs" dxfId="2861" priority="63" stopIfTrue="1" operator="greaterThan">
      <formula>$J73</formula>
    </cfRule>
    <cfRule type="cellIs" dxfId="2860" priority="64" stopIfTrue="1" operator="lessThanOrEqual">
      <formula>0</formula>
    </cfRule>
  </conditionalFormatting>
  <conditionalFormatting sqref="C79:D79 D81:D87">
    <cfRule type="cellIs" dxfId="2859" priority="170" stopIfTrue="1" operator="greaterThan">
      <formula>4.5</formula>
    </cfRule>
  </conditionalFormatting>
  <conditionalFormatting sqref="D48:D49">
    <cfRule type="cellIs" dxfId="2858" priority="103" operator="notBetween">
      <formula>#REF!</formula>
      <formula>#REF!</formula>
    </cfRule>
  </conditionalFormatting>
  <conditionalFormatting sqref="D68:D72 D74:D75">
    <cfRule type="cellIs" dxfId="2857" priority="73" stopIfTrue="1" operator="lessThanOrEqual">
      <formula>0</formula>
    </cfRule>
  </conditionalFormatting>
  <conditionalFormatting sqref="D68:D72 D74:D77">
    <cfRule type="cellIs" dxfId="2856" priority="70" stopIfTrue="1" operator="greaterThan">
      <formula>$F68</formula>
    </cfRule>
    <cfRule type="cellIs" dxfId="2855" priority="69" stopIfTrue="1" operator="lessThanOrEqual">
      <formula>0</formula>
    </cfRule>
  </conditionalFormatting>
  <conditionalFormatting sqref="D76:D77">
    <cfRule type="cellIs" dxfId="2854" priority="71" stopIfTrue="1" operator="lessThanOrEqual">
      <formula>0</formula>
    </cfRule>
  </conditionalFormatting>
  <conditionalFormatting sqref="D77">
    <cfRule type="cellIs" dxfId="2853" priority="72" stopIfTrue="1" operator="lessThanOrEqual">
      <formula>0</formula>
    </cfRule>
  </conditionalFormatting>
  <conditionalFormatting sqref="D79 D81:D87">
    <cfRule type="cellIs" dxfId="2852" priority="171" stopIfTrue="1" operator="lessThanOrEqual">
      <formula>0</formula>
    </cfRule>
  </conditionalFormatting>
  <conditionalFormatting sqref="D80">
    <cfRule type="cellIs" dxfId="2851" priority="162" stopIfTrue="1" operator="greaterThan">
      <formula>$F$79</formula>
    </cfRule>
    <cfRule type="cellIs" dxfId="2850" priority="163" stopIfTrue="1" operator="lessThanOrEqual">
      <formula>0</formula>
    </cfRule>
  </conditionalFormatting>
  <conditionalFormatting sqref="E10:E23">
    <cfRule type="cellIs" dxfId="2849" priority="12" operator="lessThan">
      <formula>48</formula>
    </cfRule>
  </conditionalFormatting>
  <conditionalFormatting sqref="E51 E52:F52">
    <cfRule type="cellIs" dxfId="2848" priority="167" stopIfTrue="1" operator="greaterThan">
      <formula>100</formula>
    </cfRule>
  </conditionalFormatting>
  <conditionalFormatting sqref="E52">
    <cfRule type="cellIs" dxfId="2847" priority="165" stopIfTrue="1" operator="greaterThan">
      <formula>100</formula>
    </cfRule>
    <cfRule type="cellIs" dxfId="2846" priority="164" stopIfTrue="1" operator="lessThan">
      <formula>96.8</formula>
    </cfRule>
  </conditionalFormatting>
  <conditionalFormatting sqref="E68:E76">
    <cfRule type="cellIs" dxfId="2845" priority="36" stopIfTrue="1" operator="lessThanOrEqual">
      <formula>0</formula>
    </cfRule>
  </conditionalFormatting>
  <conditionalFormatting sqref="E68:E77">
    <cfRule type="cellIs" dxfId="2844" priority="37" stopIfTrue="1" operator="greaterThan">
      <formula>$F68</formula>
    </cfRule>
    <cfRule type="cellIs" dxfId="2843" priority="38" stopIfTrue="1" operator="lessThanOrEqual">
      <formula>0</formula>
    </cfRule>
  </conditionalFormatting>
  <conditionalFormatting sqref="E77">
    <cfRule type="cellIs" dxfId="2842" priority="39" stopIfTrue="1" operator="lessThanOrEqual">
      <formula>0</formula>
    </cfRule>
  </conditionalFormatting>
  <conditionalFormatting sqref="E79:E87">
    <cfRule type="cellIs" dxfId="2841" priority="156" stopIfTrue="1" operator="greaterThan">
      <formula>4.5</formula>
    </cfRule>
    <cfRule type="cellIs" dxfId="2840" priority="157" stopIfTrue="1" operator="lessThanOrEqual">
      <formula>0</formula>
    </cfRule>
  </conditionalFormatting>
  <conditionalFormatting sqref="E52:F52 E51">
    <cfRule type="cellIs" dxfId="2839" priority="166" stopIfTrue="1" operator="lessThan">
      <formula>96.5</formula>
    </cfRule>
  </conditionalFormatting>
  <conditionalFormatting sqref="F10:F23">
    <cfRule type="cellIs" dxfId="2838" priority="13" operator="greaterThan">
      <formula>60</formula>
    </cfRule>
  </conditionalFormatting>
  <conditionalFormatting sqref="F52">
    <cfRule type="cellIs" dxfId="2837" priority="182" stopIfTrue="1" operator="lessThan">
      <formula>96.8</formula>
    </cfRule>
    <cfRule type="cellIs" dxfId="2836" priority="183" stopIfTrue="1" operator="greaterThan">
      <formula>100</formula>
    </cfRule>
  </conditionalFormatting>
  <conditionalFormatting sqref="G23">
    <cfRule type="expression" dxfId="2835" priority="2">
      <formula>IF(+(IF(G23&lt;S23,0,IF(G23&gt;T23,0,1)))=0,1)</formula>
    </cfRule>
  </conditionalFormatting>
  <conditionalFormatting sqref="G68:G71 F77">
    <cfRule type="cellIs" dxfId="2834" priority="45" stopIfTrue="1" operator="greaterThan">
      <formula>$F68</formula>
    </cfRule>
    <cfRule type="cellIs" dxfId="2833" priority="46" stopIfTrue="1" operator="lessThanOrEqual">
      <formula>0</formula>
    </cfRule>
  </conditionalFormatting>
  <conditionalFormatting sqref="G70:G71">
    <cfRule type="cellIs" dxfId="2832" priority="32" stopIfTrue="1" operator="lessThanOrEqual">
      <formula>0</formula>
    </cfRule>
    <cfRule type="cellIs" dxfId="2831" priority="31" stopIfTrue="1" operator="greaterThan">
      <formula>$F70</formula>
    </cfRule>
  </conditionalFormatting>
  <conditionalFormatting sqref="G72:G76">
    <cfRule type="cellIs" dxfId="2830" priority="48" stopIfTrue="1" operator="lessThanOrEqual">
      <formula>0</formula>
    </cfRule>
    <cfRule type="cellIs" dxfId="2829" priority="47" stopIfTrue="1" operator="greaterThan">
      <formula>$J72</formula>
    </cfRule>
  </conditionalFormatting>
  <conditionalFormatting sqref="G73">
    <cfRule type="cellIs" dxfId="2828" priority="190" stopIfTrue="1" operator="greaterThan">
      <formula>$F68</formula>
    </cfRule>
    <cfRule type="cellIs" dxfId="2827" priority="191" stopIfTrue="1" operator="lessThanOrEqual">
      <formula>0</formula>
    </cfRule>
  </conditionalFormatting>
  <conditionalFormatting sqref="G81:G86 C84 C86">
    <cfRule type="cellIs" dxfId="2826" priority="180" stopIfTrue="1" operator="lessThanOrEqual">
      <formula>0</formula>
    </cfRule>
    <cfRule type="cellIs" dxfId="2825" priority="179" stopIfTrue="1" operator="greaterThan">
      <formula>4.5</formula>
    </cfRule>
  </conditionalFormatting>
  <conditionalFormatting sqref="G10:H22 M10:N22 H23">
    <cfRule type="expression" dxfId="2824" priority="3">
      <formula>IF(+(IF(G10&lt;#REF!,0,IF(G10&gt;#REF!,0,1)))=0,1)</formula>
    </cfRule>
  </conditionalFormatting>
  <conditionalFormatting sqref="G80:H80">
    <cfRule type="cellIs" dxfId="2823" priority="161" stopIfTrue="1" operator="lessThanOrEqual">
      <formula>0</formula>
    </cfRule>
    <cfRule type="cellIs" dxfId="2822" priority="160" stopIfTrue="1" operator="greaterThan">
      <formula>$F$79</formula>
    </cfRule>
  </conditionalFormatting>
  <conditionalFormatting sqref="H37:H38 H51">
    <cfRule type="cellIs" dxfId="2821" priority="158" stopIfTrue="1" operator="greaterThan">
      <formula>0</formula>
    </cfRule>
  </conditionalFormatting>
  <conditionalFormatting sqref="H55">
    <cfRule type="cellIs" dxfId="2820" priority="51" stopIfTrue="1" operator="greaterThan">
      <formula>$F$68</formula>
    </cfRule>
    <cfRule type="cellIs" dxfId="2819" priority="59" stopIfTrue="1" operator="greaterThan">
      <formula>$F$71</formula>
    </cfRule>
    <cfRule type="cellIs" dxfId="2818" priority="60" stopIfTrue="1" operator="lessThanOrEqual">
      <formula>0</formula>
    </cfRule>
    <cfRule type="cellIs" dxfId="2817" priority="61" stopIfTrue="1" operator="greaterThan">
      <formula>$F$69</formula>
    </cfRule>
    <cfRule type="cellIs" dxfId="2816" priority="50" stopIfTrue="1" operator="lessThanOrEqual">
      <formula>0</formula>
    </cfRule>
  </conditionalFormatting>
  <conditionalFormatting sqref="H55:H56">
    <cfRule type="cellIs" dxfId="2815" priority="62" stopIfTrue="1" operator="lessThanOrEqual">
      <formula>0</formula>
    </cfRule>
  </conditionalFormatting>
  <conditionalFormatting sqref="H56 H58:H59">
    <cfRule type="cellIs" dxfId="2814" priority="88" stopIfTrue="1" operator="lessThanOrEqual">
      <formula>0</formula>
    </cfRule>
  </conditionalFormatting>
  <conditionalFormatting sqref="H56">
    <cfRule type="cellIs" dxfId="2813" priority="85" stopIfTrue="1" operator="greaterThan">
      <formula>$F$71</formula>
    </cfRule>
    <cfRule type="cellIs" dxfId="2812" priority="87" stopIfTrue="1" operator="greaterThan">
      <formula>$F$69</formula>
    </cfRule>
    <cfRule type="cellIs" dxfId="2811" priority="86" stopIfTrue="1" operator="lessThanOrEqual">
      <formula>0</formula>
    </cfRule>
    <cfRule type="cellIs" dxfId="2810" priority="77" stopIfTrue="1" operator="greaterThan">
      <formula>$F$68</formula>
    </cfRule>
  </conditionalFormatting>
  <conditionalFormatting sqref="H57">
    <cfRule type="cellIs" dxfId="2809" priority="17" stopIfTrue="1" operator="lessThanOrEqual">
      <formula>0</formula>
    </cfRule>
    <cfRule type="cellIs" dxfId="2808" priority="18" stopIfTrue="1" operator="greaterThan">
      <formula>$F$70</formula>
    </cfRule>
    <cfRule type="cellIs" dxfId="2807" priority="26" stopIfTrue="1" operator="greaterThan">
      <formula>$F$73</formula>
    </cfRule>
    <cfRule type="cellIs" dxfId="2806" priority="27" stopIfTrue="1" operator="lessThanOrEqual">
      <formula>0</formula>
    </cfRule>
    <cfRule type="cellIs" dxfId="2805" priority="28" stopIfTrue="1" operator="greaterThan">
      <formula>$F$71</formula>
    </cfRule>
    <cfRule type="cellIs" dxfId="2804" priority="29" stopIfTrue="1" operator="lessThanOrEqual">
      <formula>0</formula>
    </cfRule>
  </conditionalFormatting>
  <conditionalFormatting sqref="H58:H59">
    <cfRule type="cellIs" dxfId="2803" priority="100" stopIfTrue="1" operator="greaterThan">
      <formula>$F$69</formula>
    </cfRule>
    <cfRule type="cellIs" dxfId="2802" priority="99" stopIfTrue="1" operator="lessThanOrEqual">
      <formula>0</formula>
    </cfRule>
    <cfRule type="cellIs" dxfId="2801" priority="98" stopIfTrue="1" operator="greaterThan">
      <formula>$F$71</formula>
    </cfRule>
    <cfRule type="cellIs" dxfId="2800" priority="90" stopIfTrue="1" operator="greaterThan">
      <formula>$F$68</formula>
    </cfRule>
    <cfRule type="cellIs" dxfId="2799" priority="101" stopIfTrue="1" operator="lessThanOrEqual">
      <formula>0</formula>
    </cfRule>
  </conditionalFormatting>
  <conditionalFormatting sqref="H60:H61">
    <cfRule type="cellIs" dxfId="2798" priority="125" stopIfTrue="1" operator="lessThanOrEqual">
      <formula>0</formula>
    </cfRule>
    <cfRule type="cellIs" dxfId="2797" priority="134" stopIfTrue="1" operator="greaterThan">
      <formula>#REF!</formula>
    </cfRule>
    <cfRule type="cellIs" dxfId="2796" priority="135" stopIfTrue="1" operator="lessThanOrEqual">
      <formula>0</formula>
    </cfRule>
    <cfRule type="cellIs" dxfId="2795" priority="126" stopIfTrue="1" operator="greaterThan">
      <formula>#REF!</formula>
    </cfRule>
  </conditionalFormatting>
  <conditionalFormatting sqref="H62">
    <cfRule type="cellIs" dxfId="2794" priority="149" stopIfTrue="1" operator="lessThanOrEqual">
      <formula>0</formula>
    </cfRule>
    <cfRule type="cellIs" dxfId="2793" priority="137" stopIfTrue="1" operator="lessThanOrEqual">
      <formula>0</formula>
    </cfRule>
    <cfRule type="cellIs" dxfId="2792" priority="138" stopIfTrue="1" operator="greaterThan">
      <formula>$F$36</formula>
    </cfRule>
    <cfRule type="cellIs" dxfId="2791" priority="148" stopIfTrue="1" operator="greaterThan">
      <formula>$F$37</formula>
    </cfRule>
    <cfRule type="cellIs" dxfId="2790" priority="147" stopIfTrue="1" operator="lessThanOrEqual">
      <formula>0</formula>
    </cfRule>
    <cfRule type="cellIs" dxfId="2789" priority="146" stopIfTrue="1" operator="greaterThan">
      <formula>$F$39</formula>
    </cfRule>
  </conditionalFormatting>
  <conditionalFormatting sqref="H63:H64">
    <cfRule type="cellIs" dxfId="2788" priority="122" stopIfTrue="1" operator="greaterThan">
      <formula>#REF!</formula>
    </cfRule>
    <cfRule type="cellIs" dxfId="2787" priority="114" stopIfTrue="1" operator="greaterThan">
      <formula>#REF!</formula>
    </cfRule>
    <cfRule type="cellIs" dxfId="2786" priority="113" stopIfTrue="1" operator="lessThanOrEqual">
      <formula>0</formula>
    </cfRule>
    <cfRule type="cellIs" dxfId="2785" priority="123" stopIfTrue="1" operator="lessThanOrEqual">
      <formula>0</formula>
    </cfRule>
  </conditionalFormatting>
  <conditionalFormatting sqref="H79 H81:H87">
    <cfRule type="cellIs" dxfId="2784" priority="172" stopIfTrue="1" operator="greaterThan">
      <formula>4.5</formula>
    </cfRule>
    <cfRule type="cellIs" dxfId="2783" priority="173" stopIfTrue="1" operator="lessThanOrEqual">
      <formula>0</formula>
    </cfRule>
  </conditionalFormatting>
  <conditionalFormatting sqref="H55:I55">
    <cfRule type="cellIs" dxfId="2782" priority="52" stopIfTrue="1" operator="lessThanOrEqual">
      <formula>0</formula>
    </cfRule>
  </conditionalFormatting>
  <conditionalFormatting sqref="H55:I56 H58:I59">
    <cfRule type="cellIs" dxfId="2781" priority="49" stopIfTrue="1" operator="greaterThan">
      <formula>$F$70</formula>
    </cfRule>
  </conditionalFormatting>
  <conditionalFormatting sqref="H56:I56">
    <cfRule type="cellIs" dxfId="2780" priority="78" stopIfTrue="1" operator="lessThanOrEqual">
      <formula>0</formula>
    </cfRule>
  </conditionalFormatting>
  <conditionalFormatting sqref="H57:I57">
    <cfRule type="cellIs" dxfId="2779" priority="16" stopIfTrue="1" operator="greaterThan">
      <formula>$F$72</formula>
    </cfRule>
    <cfRule type="cellIs" dxfId="2778" priority="19" stopIfTrue="1" operator="lessThanOrEqual">
      <formula>0</formula>
    </cfRule>
  </conditionalFormatting>
  <conditionalFormatting sqref="H58:I59">
    <cfRule type="cellIs" dxfId="2777" priority="91" stopIfTrue="1" operator="lessThanOrEqual">
      <formula>0</formula>
    </cfRule>
  </conditionalFormatting>
  <conditionalFormatting sqref="H60:I61">
    <cfRule type="cellIs" dxfId="2776" priority="132" stopIfTrue="1" operator="greaterThan">
      <formula>#REF!</formula>
    </cfRule>
    <cfRule type="cellIs" dxfId="2775" priority="127" stopIfTrue="1" operator="lessThanOrEqual">
      <formula>0</formula>
    </cfRule>
    <cfRule type="cellIs" dxfId="2774" priority="133" stopIfTrue="1" operator="lessThanOrEqual">
      <formula>0</formula>
    </cfRule>
    <cfRule type="cellIs" dxfId="2773" priority="124" stopIfTrue="1" operator="greaterThan">
      <formula>#REF!</formula>
    </cfRule>
  </conditionalFormatting>
  <conditionalFormatting sqref="H62:I62">
    <cfRule type="cellIs" dxfId="2772" priority="136" stopIfTrue="1" operator="greaterThan">
      <formula>$F$38</formula>
    </cfRule>
    <cfRule type="cellIs" dxfId="2771" priority="139" stopIfTrue="1" operator="lessThanOrEqual">
      <formula>0</formula>
    </cfRule>
  </conditionalFormatting>
  <conditionalFormatting sqref="H63:I64">
    <cfRule type="cellIs" dxfId="2770" priority="112" stopIfTrue="1" operator="greaterThan">
      <formula>#REF!</formula>
    </cfRule>
    <cfRule type="cellIs" dxfId="2769" priority="115" stopIfTrue="1" operator="lessThanOrEqual">
      <formula>0</formula>
    </cfRule>
    <cfRule type="cellIs" dxfId="2768" priority="120" stopIfTrue="1" operator="greaterThan">
      <formula>#REF!</formula>
    </cfRule>
    <cfRule type="cellIs" dxfId="2767" priority="121" stopIfTrue="1" operator="lessThanOrEqual">
      <formula>0</formula>
    </cfRule>
  </conditionalFormatting>
  <conditionalFormatting sqref="H68:I75">
    <cfRule type="cellIs" dxfId="2766" priority="35" stopIfTrue="1" operator="lessThanOrEqual">
      <formula>0</formula>
    </cfRule>
    <cfRule type="cellIs" dxfId="2765" priority="34" stopIfTrue="1" operator="greaterThan">
      <formula>$J68</formula>
    </cfRule>
  </conditionalFormatting>
  <conditionalFormatting sqref="H76:I76">
    <cfRule type="cellIs" dxfId="2764" priority="42" operator="greaterThan">
      <formula>5.3</formula>
    </cfRule>
  </conditionalFormatting>
  <conditionalFormatting sqref="H77:I77">
    <cfRule type="cellIs" dxfId="2763" priority="41" stopIfTrue="1" operator="lessThanOrEqual">
      <formula>0</formula>
    </cfRule>
    <cfRule type="cellIs" dxfId="2762" priority="40" stopIfTrue="1" operator="greaterThan">
      <formula>$J77</formula>
    </cfRule>
  </conditionalFormatting>
  <conditionalFormatting sqref="I55">
    <cfRule type="cellIs" dxfId="2761" priority="55" stopIfTrue="1" operator="greaterThan">
      <formula>$F$70</formula>
    </cfRule>
    <cfRule type="cellIs" dxfId="2760" priority="54" stopIfTrue="1" operator="lessThanOrEqual">
      <formula>0</formula>
    </cfRule>
    <cfRule type="cellIs" dxfId="2759" priority="53" stopIfTrue="1" operator="greaterThan">
      <formula>$F$68</formula>
    </cfRule>
    <cfRule type="cellIs" dxfId="2758" priority="58" stopIfTrue="1" operator="lessThanOrEqual">
      <formula>0</formula>
    </cfRule>
    <cfRule type="cellIs" dxfId="2757" priority="57" stopIfTrue="1" operator="greaterThan">
      <formula>$F$68</formula>
    </cfRule>
    <cfRule type="cellIs" dxfId="2756" priority="56" stopIfTrue="1" operator="lessThanOrEqual">
      <formula>0</formula>
    </cfRule>
  </conditionalFormatting>
  <conditionalFormatting sqref="I56">
    <cfRule type="cellIs" dxfId="2755" priority="80" stopIfTrue="1" operator="lessThanOrEqual">
      <formula>0</formula>
    </cfRule>
    <cfRule type="cellIs" dxfId="2754" priority="79" stopIfTrue="1" operator="greaterThan">
      <formula>$F$68</formula>
    </cfRule>
    <cfRule type="cellIs" dxfId="2753" priority="84" stopIfTrue="1" operator="lessThanOrEqual">
      <formula>0</formula>
    </cfRule>
    <cfRule type="cellIs" dxfId="2752" priority="83" stopIfTrue="1" operator="greaterThan">
      <formula>$F$68</formula>
    </cfRule>
    <cfRule type="cellIs" dxfId="2751" priority="82" stopIfTrue="1" operator="lessThanOrEqual">
      <formula>0</formula>
    </cfRule>
    <cfRule type="cellIs" dxfId="2750" priority="81" stopIfTrue="1" operator="greaterThan">
      <formula>$F$70</formula>
    </cfRule>
  </conditionalFormatting>
  <conditionalFormatting sqref="I57">
    <cfRule type="cellIs" dxfId="2749" priority="24" stopIfTrue="1" operator="greaterThan">
      <formula>$F$70</formula>
    </cfRule>
    <cfRule type="cellIs" dxfId="2748" priority="23" stopIfTrue="1" operator="lessThanOrEqual">
      <formula>0</formula>
    </cfRule>
    <cfRule type="cellIs" dxfId="2747" priority="22" stopIfTrue="1" operator="greaterThan">
      <formula>$F$72</formula>
    </cfRule>
    <cfRule type="cellIs" dxfId="2746" priority="21" stopIfTrue="1" operator="lessThanOrEqual">
      <formula>0</formula>
    </cfRule>
    <cfRule type="cellIs" dxfId="2745" priority="20" stopIfTrue="1" operator="greaterThan">
      <formula>$F$70</formula>
    </cfRule>
    <cfRule type="cellIs" dxfId="2744" priority="25" stopIfTrue="1" operator="lessThanOrEqual">
      <formula>0</formula>
    </cfRule>
  </conditionalFormatting>
  <conditionalFormatting sqref="I58:I59">
    <cfRule type="cellIs" dxfId="2743" priority="95" stopIfTrue="1" operator="lessThanOrEqual">
      <formula>0</formula>
    </cfRule>
    <cfRule type="cellIs" dxfId="2742" priority="96" stopIfTrue="1" operator="greaterThan">
      <formula>$F$68</formula>
    </cfRule>
    <cfRule type="cellIs" dxfId="2741" priority="97" stopIfTrue="1" operator="lessThanOrEqual">
      <formula>0</formula>
    </cfRule>
    <cfRule type="cellIs" dxfId="2740" priority="92" stopIfTrue="1" operator="greaterThan">
      <formula>$F$68</formula>
    </cfRule>
    <cfRule type="cellIs" dxfId="2739" priority="93" stopIfTrue="1" operator="lessThanOrEqual">
      <formula>0</formula>
    </cfRule>
    <cfRule type="cellIs" dxfId="2738" priority="94" stopIfTrue="1" operator="greaterThan">
      <formula>$F$70</formula>
    </cfRule>
  </conditionalFormatting>
  <conditionalFormatting sqref="I60:I61">
    <cfRule type="cellIs" dxfId="2737" priority="131" stopIfTrue="1" operator="lessThanOrEqual">
      <formula>0</formula>
    </cfRule>
    <cfRule type="cellIs" dxfId="2736" priority="130" stopIfTrue="1" operator="greaterThan">
      <formula>#REF!</formula>
    </cfRule>
    <cfRule type="cellIs" dxfId="2735" priority="129" stopIfTrue="1" operator="lessThanOrEqual">
      <formula>0</formula>
    </cfRule>
    <cfRule type="cellIs" dxfId="2734" priority="128" stopIfTrue="1" operator="greaterThan">
      <formula>#REF!</formula>
    </cfRule>
  </conditionalFormatting>
  <conditionalFormatting sqref="I62">
    <cfRule type="cellIs" dxfId="2733" priority="143" stopIfTrue="1" operator="lessThanOrEqual">
      <formula>0</formula>
    </cfRule>
    <cfRule type="cellIs" dxfId="2732" priority="144" stopIfTrue="1" operator="greaterThan">
      <formula>$F$36</formula>
    </cfRule>
    <cfRule type="cellIs" dxfId="2731" priority="145" stopIfTrue="1" operator="lessThanOrEqual">
      <formula>0</formula>
    </cfRule>
    <cfRule type="cellIs" dxfId="2730" priority="140" stopIfTrue="1" operator="greaterThan">
      <formula>$F$36</formula>
    </cfRule>
    <cfRule type="cellIs" dxfId="2729" priority="141" stopIfTrue="1" operator="lessThanOrEqual">
      <formula>0</formula>
    </cfRule>
    <cfRule type="cellIs" dxfId="2728" priority="142" stopIfTrue="1" operator="greaterThan">
      <formula>$F$38</formula>
    </cfRule>
  </conditionalFormatting>
  <conditionalFormatting sqref="I63:I64">
    <cfRule type="cellIs" dxfId="2727" priority="119" stopIfTrue="1" operator="lessThanOrEqual">
      <formula>0</formula>
    </cfRule>
    <cfRule type="cellIs" dxfId="2726" priority="116" stopIfTrue="1" operator="greaterThan">
      <formula>#REF!</formula>
    </cfRule>
    <cfRule type="cellIs" dxfId="2725" priority="117" stopIfTrue="1" operator="lessThanOrEqual">
      <formula>0</formula>
    </cfRule>
    <cfRule type="cellIs" dxfId="2724" priority="118" stopIfTrue="1" operator="greaterThan">
      <formula>#REF!</formula>
    </cfRule>
  </conditionalFormatting>
  <conditionalFormatting sqref="I79:I87">
    <cfRule type="cellIs" dxfId="2723" priority="169" stopIfTrue="1" operator="lessThanOrEqual">
      <formula>0</formula>
    </cfRule>
    <cfRule type="cellIs" dxfId="2722" priority="168" stopIfTrue="1" operator="greaterThan">
      <formula>4.5</formula>
    </cfRule>
  </conditionalFormatting>
  <conditionalFormatting sqref="I10:J23">
    <cfRule type="cellIs" dxfId="2721" priority="8" operator="lessThan">
      <formula>97.9</formula>
    </cfRule>
  </conditionalFormatting>
  <conditionalFormatting sqref="J26:J28">
    <cfRule type="cellIs" dxfId="2720" priority="15" operator="lessThan">
      <formula>97.95</formula>
    </cfRule>
  </conditionalFormatting>
  <conditionalFormatting sqref="J27:J30">
    <cfRule type="cellIs" dxfId="2719" priority="150" operator="lessThan">
      <formula>97.4</formula>
    </cfRule>
  </conditionalFormatting>
  <conditionalFormatting sqref="J31:J32">
    <cfRule type="cellIs" dxfId="2718" priority="151" operator="lessThan">
      <formula>98</formula>
    </cfRule>
  </conditionalFormatting>
  <conditionalFormatting sqref="J33:J34">
    <cfRule type="cellIs" dxfId="2717" priority="152" stopIfTrue="1" operator="lessThan">
      <formula>96.8</formula>
    </cfRule>
    <cfRule type="cellIs" dxfId="2716" priority="153" stopIfTrue="1" operator="greaterThan">
      <formula>100</formula>
    </cfRule>
  </conditionalFormatting>
  <conditionalFormatting sqref="J33:J35">
    <cfRule type="cellIs" dxfId="2715" priority="154" operator="lessThan">
      <formula>98</formula>
    </cfRule>
  </conditionalFormatting>
  <conditionalFormatting sqref="J64">
    <cfRule type="cellIs" dxfId="2714" priority="111" stopIfTrue="1" operator="lessThanOrEqual">
      <formula>0</formula>
    </cfRule>
    <cfRule type="cellIs" dxfId="2713" priority="105" stopIfTrue="1" operator="lessThanOrEqual">
      <formula>0</formula>
    </cfRule>
    <cfRule type="cellIs" dxfId="2712" priority="104" stopIfTrue="1" operator="greaterThan">
      <formula>#REF!</formula>
    </cfRule>
    <cfRule type="cellIs" dxfId="2711" priority="106" stopIfTrue="1" operator="greaterThan">
      <formula>#REF!</formula>
    </cfRule>
    <cfRule type="cellIs" dxfId="2710" priority="107" stopIfTrue="1" operator="lessThanOrEqual">
      <formula>0</formula>
    </cfRule>
    <cfRule type="cellIs" dxfId="2709" priority="108" stopIfTrue="1" operator="greaterThan">
      <formula>#REF!</formula>
    </cfRule>
    <cfRule type="cellIs" dxfId="2708" priority="109" stopIfTrue="1" operator="lessThanOrEqual">
      <formula>0</formula>
    </cfRule>
    <cfRule type="cellIs" dxfId="2707" priority="110" stopIfTrue="1" operator="greaterThan">
      <formula>#REF!</formula>
    </cfRule>
  </conditionalFormatting>
  <conditionalFormatting sqref="J77">
    <cfRule type="cellIs" dxfId="2706" priority="43" stopIfTrue="1" operator="greaterThan">
      <formula>$F77</formula>
    </cfRule>
    <cfRule type="cellIs" dxfId="2705" priority="44" stopIfTrue="1" operator="lessThanOrEqual">
      <formula>0</formula>
    </cfRule>
  </conditionalFormatting>
  <conditionalFormatting sqref="K10:K23">
    <cfRule type="cellIs" dxfId="2704" priority="10" operator="lessThan">
      <formula>4</formula>
    </cfRule>
    <cfRule type="cellIs" dxfId="2703" priority="11" operator="greaterThan">
      <formula>6.4</formula>
    </cfRule>
    <cfRule type="cellIs" dxfId="2702" priority="9" operator="greaterThan">
      <formula>6</formula>
    </cfRule>
  </conditionalFormatting>
  <conditionalFormatting sqref="K55:K64">
    <cfRule type="cellIs" dxfId="2701" priority="89" stopIfTrue="1" operator="lessThan">
      <formula>100%</formula>
    </cfRule>
  </conditionalFormatting>
  <conditionalFormatting sqref="K68:K76">
    <cfRule type="cellIs" dxfId="2700" priority="33" stopIfTrue="1" operator="lessThan">
      <formula>100%</formula>
    </cfRule>
  </conditionalFormatting>
  <conditionalFormatting sqref="K79:K84">
    <cfRule type="cellIs" dxfId="2699" priority="174" stopIfTrue="1" operator="lessThan">
      <formula>100%</formula>
    </cfRule>
  </conditionalFormatting>
  <conditionalFormatting sqref="K86:K87">
    <cfRule type="cellIs" dxfId="2698" priority="181" stopIfTrue="1" operator="lessThan">
      <formula>100%</formula>
    </cfRule>
  </conditionalFormatting>
  <conditionalFormatting sqref="L10:L23">
    <cfRule type="cellIs" dxfId="2697" priority="6" operator="greaterThan">
      <formula>65</formula>
    </cfRule>
    <cfRule type="cellIs" dxfId="2696" priority="5" operator="between">
      <formula>61</formula>
      <formula>65</formula>
    </cfRule>
  </conditionalFormatting>
  <conditionalFormatting sqref="L26:M37">
    <cfRule type="cellIs" dxfId="2695" priority="14" operator="lessThan">
      <formula>97.95</formula>
    </cfRule>
  </conditionalFormatting>
  <conditionalFormatting sqref="L41:N41">
    <cfRule type="cellIs" dxfId="2694" priority="4" operator="notEqual">
      <formula>#REF!</formula>
    </cfRule>
  </conditionalFormatting>
  <conditionalFormatting sqref="L68:N77">
    <cfRule type="cellIs" dxfId="2693" priority="30" stopIfTrue="1" operator="lessThan">
      <formula>100%</formula>
    </cfRule>
  </conditionalFormatting>
  <conditionalFormatting sqref="L79:N87">
    <cfRule type="cellIs" dxfId="2692" priority="159" stopIfTrue="1" operator="lessThan">
      <formula>100%</formula>
    </cfRule>
  </conditionalFormatting>
  <conditionalFormatting sqref="M23">
    <cfRule type="expression" dxfId="2691" priority="1">
      <formula>IF(+(IF(M23&lt;U23,0,IF(M23&gt;V23,0,1)))=0,1)</formula>
    </cfRule>
  </conditionalFormatting>
  <conditionalFormatting sqref="N10:N23">
    <cfRule type="expression" dxfId="2690" priority="7">
      <formula>IF(+(IF(N10&lt;W10,0,IF(N10&gt;X10,0,1)))=0,1)</formula>
    </cfRule>
  </conditionalFormatting>
  <conditionalFormatting sqref="P6">
    <cfRule type="cellIs" dxfId="2689" priority="155" operator="greaterThanOrEqual">
      <formula>19</formula>
    </cfRule>
  </conditionalFormatting>
  <dataValidations count="1">
    <dataValidation type="list" allowBlank="1" showInputMessage="1" showErrorMessage="1" sqref="R8" xr:uid="{098D11FB-E50D-4A62-B2C5-C30EE5AB0F32}">
      <formula1>ProductList</formula1>
    </dataValidation>
  </dataValidations>
  <pageMargins left="0.7" right="0.7" top="0.75" bottom="0.75" header="0.3" footer="0.3"/>
  <pageSetup scale="40" fitToWidth="0" orientation="landscape" r:id="rId1"/>
  <rowBreaks count="1" manualBreakCount="1">
    <brk id="81" max="16383" man="1"/>
  </rowBreaks>
  <colBreaks count="1" manualBreakCount="1">
    <brk id="15" max="89" man="1"/>
  </colBreaks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DF0936-1797-48F7-B64A-2A89FA4D30E1}">
  <sheetPr>
    <pageSetUpPr fitToPage="1"/>
  </sheetPr>
  <dimension ref="A1:BE76"/>
  <sheetViews>
    <sheetView topLeftCell="A17" zoomScale="85" zoomScaleNormal="85" workbookViewId="0">
      <selection activeCell="H18" sqref="H18"/>
    </sheetView>
  </sheetViews>
  <sheetFormatPr defaultColWidth="9.42578125" defaultRowHeight="14.25"/>
  <cols>
    <col min="1" max="1" width="7.28515625" style="275" customWidth="1"/>
    <col min="2" max="2" width="31.28515625" style="275" customWidth="1"/>
    <col min="3" max="3" width="22.28515625" style="275" customWidth="1"/>
    <col min="4" max="7" width="16.5703125" style="275" customWidth="1"/>
    <col min="8" max="8" width="20.7109375" style="275" customWidth="1"/>
    <col min="9" max="9" width="31.42578125" style="275" customWidth="1"/>
    <col min="10" max="10" width="35.28515625" style="275" customWidth="1"/>
    <col min="11" max="11" width="29" style="275" customWidth="1"/>
    <col min="12" max="12" width="17.28515625" style="275" bestFit="1" customWidth="1"/>
    <col min="13" max="13" width="23.28515625" style="275" customWidth="1"/>
    <col min="14" max="14" width="13.7109375" style="275" bestFit="1" customWidth="1"/>
    <col min="15" max="15" width="17.5703125" style="275" customWidth="1"/>
    <col min="16" max="16" width="109.28515625" style="6" customWidth="1"/>
    <col min="17" max="17" width="16.5703125" style="275" customWidth="1"/>
    <col min="18" max="18" width="15.7109375" style="275" bestFit="1" customWidth="1"/>
    <col min="19" max="19" width="12.42578125" style="275" customWidth="1"/>
    <col min="20" max="20" width="15" style="275" customWidth="1"/>
    <col min="21" max="21" width="12" style="275" customWidth="1"/>
    <col min="22" max="22" width="10.42578125" style="275" customWidth="1"/>
    <col min="23" max="23" width="11.42578125" style="275" customWidth="1"/>
    <col min="24" max="24" width="10.42578125" style="275" customWidth="1"/>
    <col min="25" max="25" width="8.42578125" style="275" customWidth="1"/>
    <col min="26" max="26" width="9.5703125" style="275" customWidth="1"/>
    <col min="27" max="27" width="8.42578125" style="275" customWidth="1"/>
    <col min="28" max="29" width="7.5703125" style="275" customWidth="1"/>
    <col min="30" max="51" width="9.42578125" style="275"/>
    <col min="52" max="52" width="1.5703125" style="275" customWidth="1"/>
    <col min="53" max="54" width="9.42578125" style="275"/>
    <col min="55" max="56" width="15.42578125" style="275" customWidth="1"/>
    <col min="57" max="16384" width="9.42578125" style="275"/>
  </cols>
  <sheetData>
    <row r="1" spans="2:29" ht="1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R1" s="467"/>
      <c r="S1" s="553" t="s">
        <v>0</v>
      </c>
      <c r="T1" s="553"/>
      <c r="U1" s="553" t="s">
        <v>1</v>
      </c>
      <c r="V1" s="553"/>
      <c r="W1" s="553" t="s">
        <v>2</v>
      </c>
      <c r="X1" s="553"/>
      <c r="Y1" s="553" t="s">
        <v>124</v>
      </c>
      <c r="Z1" s="553"/>
    </row>
    <row r="2" spans="2:29" ht="15">
      <c r="B2" s="554" t="s">
        <v>3</v>
      </c>
      <c r="C2" s="554"/>
      <c r="D2" s="554"/>
      <c r="E2" s="554"/>
      <c r="F2" s="554"/>
      <c r="G2" s="554"/>
      <c r="H2" s="554"/>
      <c r="I2" s="554"/>
      <c r="J2" s="554"/>
      <c r="K2" s="554"/>
      <c r="L2" s="554"/>
      <c r="M2" s="554"/>
      <c r="N2" s="554"/>
      <c r="O2" s="554"/>
      <c r="P2" s="4"/>
      <c r="R2" s="467"/>
      <c r="S2" s="467" t="s">
        <v>4</v>
      </c>
      <c r="T2" s="467" t="s">
        <v>5</v>
      </c>
      <c r="U2" s="467" t="s">
        <v>4</v>
      </c>
      <c r="V2" s="467" t="s">
        <v>5</v>
      </c>
      <c r="W2" s="467" t="s">
        <v>4</v>
      </c>
      <c r="X2" s="467" t="s">
        <v>5</v>
      </c>
      <c r="Y2" s="467" t="s">
        <v>4</v>
      </c>
      <c r="Z2" s="467" t="s">
        <v>5</v>
      </c>
    </row>
    <row r="3" spans="2:29" ht="14.25" customHeight="1">
      <c r="B3" s="5"/>
      <c r="R3" s="467" t="s">
        <v>6</v>
      </c>
      <c r="S3" s="468">
        <v>11.6</v>
      </c>
      <c r="T3" s="469">
        <v>12</v>
      </c>
      <c r="U3" s="9">
        <v>0</v>
      </c>
      <c r="V3" s="10">
        <v>0.118055555555556</v>
      </c>
      <c r="W3" s="10">
        <v>0.22569444444444445</v>
      </c>
      <c r="X3" s="10">
        <v>0.2638888888888889</v>
      </c>
      <c r="Y3" s="470">
        <v>0</v>
      </c>
      <c r="Z3" s="468">
        <v>60</v>
      </c>
      <c r="AB3" s="275" t="s">
        <v>135</v>
      </c>
    </row>
    <row r="4" spans="2:29" ht="30.75" customHeight="1">
      <c r="B4" s="301" t="s">
        <v>133</v>
      </c>
      <c r="C4" s="419">
        <v>46276</v>
      </c>
      <c r="J4" s="398" t="s">
        <v>153</v>
      </c>
      <c r="K4" s="398"/>
      <c r="L4" s="11"/>
      <c r="M4" s="555" t="s">
        <v>8</v>
      </c>
      <c r="N4" s="556"/>
      <c r="P4" s="12"/>
      <c r="R4" s="467" t="s">
        <v>9</v>
      </c>
      <c r="S4" s="468">
        <v>11.6</v>
      </c>
      <c r="T4" s="469">
        <v>12</v>
      </c>
      <c r="U4" s="9">
        <v>0</v>
      </c>
      <c r="V4" s="10">
        <v>0.118055555555556</v>
      </c>
      <c r="W4" s="10">
        <v>0.22569444444444445</v>
      </c>
      <c r="X4" s="10">
        <v>0.2638888888888889</v>
      </c>
      <c r="Y4" s="470">
        <v>0</v>
      </c>
      <c r="Z4" s="468">
        <v>60</v>
      </c>
      <c r="AA4" s="13"/>
      <c r="AB4" s="13"/>
      <c r="AC4" s="13"/>
    </row>
    <row r="5" spans="2:29" ht="12.75" customHeight="1" thickBot="1">
      <c r="B5" s="1"/>
      <c r="C5" s="549"/>
      <c r="D5" s="549"/>
      <c r="J5" s="403"/>
      <c r="K5" s="403"/>
      <c r="L5" s="11"/>
      <c r="M5" s="14" t="s">
        <v>10</v>
      </c>
      <c r="N5" s="14" t="s">
        <v>11</v>
      </c>
      <c r="P5" s="12"/>
      <c r="R5" s="467" t="s">
        <v>12</v>
      </c>
      <c r="S5" s="468">
        <v>17</v>
      </c>
      <c r="T5" s="469">
        <v>17.5</v>
      </c>
      <c r="U5" s="9">
        <v>0</v>
      </c>
      <c r="V5" s="10">
        <v>0.1076388888888889</v>
      </c>
      <c r="W5" s="10">
        <v>0.24652777777777779</v>
      </c>
      <c r="X5" s="10">
        <v>0.28472222222222221</v>
      </c>
      <c r="Y5" s="470">
        <v>0</v>
      </c>
      <c r="Z5" s="471">
        <v>60</v>
      </c>
      <c r="AA5" s="13"/>
      <c r="AB5" s="13"/>
      <c r="AC5" s="13"/>
    </row>
    <row r="6" spans="2:29" ht="14.25" customHeight="1">
      <c r="B6" s="15"/>
      <c r="C6" s="1"/>
      <c r="D6" s="1"/>
      <c r="J6" s="399" t="s">
        <v>168</v>
      </c>
      <c r="K6" s="400"/>
      <c r="L6" s="311" t="s">
        <v>14</v>
      </c>
      <c r="M6" s="340"/>
      <c r="N6" s="340"/>
      <c r="P6" s="16"/>
      <c r="R6" s="467" t="s">
        <v>15</v>
      </c>
      <c r="S6" s="468">
        <v>13.3</v>
      </c>
      <c r="T6" s="469">
        <v>13.5</v>
      </c>
      <c r="U6" s="9">
        <v>0</v>
      </c>
      <c r="V6" s="9">
        <v>0.12905092592592593</v>
      </c>
      <c r="W6" s="10">
        <v>0.27430555555555552</v>
      </c>
      <c r="X6" s="10">
        <v>0.30208333333333331</v>
      </c>
      <c r="Y6" s="470">
        <v>0</v>
      </c>
      <c r="Z6" s="471"/>
      <c r="AA6" s="13"/>
      <c r="AB6" s="13"/>
      <c r="AC6" s="13"/>
    </row>
    <row r="7" spans="2:29" ht="13.35" customHeight="1" thickBot="1">
      <c r="J7" s="401"/>
      <c r="K7" s="402"/>
      <c r="R7" s="467" t="s">
        <v>16</v>
      </c>
      <c r="S7" s="468">
        <v>17</v>
      </c>
      <c r="T7" s="469">
        <v>17.399999999999999</v>
      </c>
      <c r="U7" s="9">
        <v>0</v>
      </c>
      <c r="V7" s="9">
        <v>0.13605324074074074</v>
      </c>
      <c r="W7" s="10">
        <v>0.27430555555555552</v>
      </c>
      <c r="X7" s="10">
        <v>0.30902777777777779</v>
      </c>
      <c r="Y7" s="470">
        <v>0</v>
      </c>
      <c r="Z7" s="471">
        <v>85</v>
      </c>
      <c r="AA7" s="13"/>
      <c r="AB7" s="13"/>
      <c r="AC7" s="13"/>
    </row>
    <row r="8" spans="2:29" ht="25.5" customHeight="1">
      <c r="B8" s="507" t="s">
        <v>17</v>
      </c>
      <c r="C8" s="516" t="s">
        <v>18</v>
      </c>
      <c r="D8" s="516" t="s">
        <v>19</v>
      </c>
      <c r="E8" s="356" t="s">
        <v>20</v>
      </c>
      <c r="F8" s="356" t="s">
        <v>21</v>
      </c>
      <c r="G8" s="516" t="s">
        <v>22</v>
      </c>
      <c r="H8" s="551" t="s">
        <v>144</v>
      </c>
      <c r="I8" s="516" t="s">
        <v>167</v>
      </c>
      <c r="J8" s="542" t="s">
        <v>23</v>
      </c>
      <c r="K8" s="544" t="s">
        <v>142</v>
      </c>
      <c r="L8" s="546" t="s">
        <v>24</v>
      </c>
      <c r="M8" s="359" t="s">
        <v>25</v>
      </c>
      <c r="N8" s="17" t="s">
        <v>166</v>
      </c>
      <c r="O8" s="516" t="s">
        <v>155</v>
      </c>
      <c r="P8" s="548"/>
      <c r="R8" s="467" t="s">
        <v>125</v>
      </c>
      <c r="S8" s="468">
        <v>16.600000000000001</v>
      </c>
      <c r="T8" s="469">
        <v>17</v>
      </c>
      <c r="U8" s="9">
        <v>0</v>
      </c>
      <c r="V8" s="9">
        <v>0.12905092592592593</v>
      </c>
      <c r="W8" s="10">
        <v>0.27430555555555552</v>
      </c>
      <c r="X8" s="10">
        <v>0.30208333333333331</v>
      </c>
      <c r="Y8" s="470">
        <v>0</v>
      </c>
      <c r="Z8" s="471"/>
    </row>
    <row r="9" spans="2:29" ht="36" customHeight="1">
      <c r="B9" s="550"/>
      <c r="C9" s="541"/>
      <c r="D9" s="541"/>
      <c r="E9" s="357" t="s">
        <v>30</v>
      </c>
      <c r="F9" s="357" t="s">
        <v>31</v>
      </c>
      <c r="G9" s="541"/>
      <c r="H9" s="552"/>
      <c r="I9" s="541"/>
      <c r="J9" s="543"/>
      <c r="K9" s="545"/>
      <c r="L9" s="547"/>
      <c r="M9" s="20" t="s">
        <v>32</v>
      </c>
      <c r="N9" s="21" t="s">
        <v>41</v>
      </c>
      <c r="O9" s="541"/>
      <c r="P9" s="541"/>
      <c r="R9" s="467" t="s">
        <v>33</v>
      </c>
      <c r="S9" s="468">
        <v>14.2</v>
      </c>
      <c r="T9" s="469">
        <v>14.6</v>
      </c>
      <c r="U9" s="9">
        <v>0</v>
      </c>
      <c r="V9" s="9">
        <v>0.13905092592592591</v>
      </c>
      <c r="W9" s="10">
        <v>0.26041666666666669</v>
      </c>
      <c r="X9" s="10">
        <v>0.2951388888888889</v>
      </c>
      <c r="Y9" s="470">
        <v>0</v>
      </c>
      <c r="Z9" s="471">
        <v>75</v>
      </c>
    </row>
    <row r="10" spans="2:29" ht="15" customHeight="1">
      <c r="B10" s="29" t="s">
        <v>6</v>
      </c>
      <c r="C10" s="366" t="str">
        <f>[4]Brewhouse!$A728</f>
        <v>CA679</v>
      </c>
      <c r="D10" s="279">
        <f>[4]Brewhouse!$AF728</f>
        <v>49.5</v>
      </c>
      <c r="E10" s="279">
        <f>[4]Brewhouse!$AI728</f>
        <v>50.1</v>
      </c>
      <c r="F10" s="278">
        <f>[4]Brewhouse!$V728</f>
        <v>60</v>
      </c>
      <c r="G10" s="279">
        <f>[4]Brewhouse!AG728</f>
        <v>11.7</v>
      </c>
      <c r="H10" s="396">
        <v>11.7</v>
      </c>
      <c r="I10" s="368">
        <f>[4]Brewhouse!$AU728</f>
        <v>98.55311063729188</v>
      </c>
      <c r="J10" s="368">
        <f>[4]Brewhouse!$AV728</f>
        <v>100.12164085794217</v>
      </c>
      <c r="K10" s="281">
        <f>[4]Brewhouse!$Q728</f>
        <v>10.573012939001845</v>
      </c>
      <c r="L10" s="276">
        <f>[4]Brewhouse!$P728</f>
        <v>60</v>
      </c>
      <c r="M10" s="374">
        <f>[4]Brewhouse!$U728-[4]Brewhouse!$T728</f>
        <v>0.13125000000000009</v>
      </c>
      <c r="N10" s="370">
        <f>[4]Brewhouse!$Z728</f>
        <v>0.2777777777777779</v>
      </c>
      <c r="O10" s="420" t="str">
        <f>[4]Brewhouse!$AX728</f>
        <v>R. Regis</v>
      </c>
      <c r="P10" s="418"/>
      <c r="R10" s="277" t="str">
        <f t="shared" ref="R10:R36" si="0">B10</f>
        <v>CARIB</v>
      </c>
      <c r="S10" s="472">
        <f t="shared" ref="S10:S36" si="1">VLOOKUP($B10,$R$3:$X$9,2,FALSE)</f>
        <v>11.6</v>
      </c>
      <c r="T10" s="472">
        <f t="shared" ref="T10:T36" si="2">VLOOKUP($B10,$R$3:$X$9,3,FALSE)</f>
        <v>12</v>
      </c>
      <c r="U10" s="297">
        <f t="shared" ref="U10:U36" si="3">VLOOKUP($B10,$R$3:$X$9,4,FALSE)</f>
        <v>0</v>
      </c>
      <c r="V10" s="297">
        <f t="shared" ref="V10:V36" si="4">VLOOKUP($B10,$R$3:$X$9,5,FALSE)</f>
        <v>0.118055555555556</v>
      </c>
      <c r="W10" s="297">
        <f t="shared" ref="W10:W36" si="5">VLOOKUP($B10,$R$3:$X$9,6,FALSE)</f>
        <v>0.22569444444444445</v>
      </c>
      <c r="X10" s="297">
        <f t="shared" ref="X10:X36" si="6">VLOOKUP($B10,$R$3:$X$9,7,FALSE)</f>
        <v>0.2638888888888889</v>
      </c>
      <c r="Y10" s="297">
        <f t="shared" ref="Y10:Y36" si="7">VLOOKUP($B10,$R$3:$Z$9,8,FALSE)</f>
        <v>0</v>
      </c>
      <c r="Z10" s="472">
        <f t="shared" ref="Z10:Z36" si="8">VLOOKUP($B10,$R$3:$Z$9,9,FALSE)</f>
        <v>60</v>
      </c>
    </row>
    <row r="11" spans="2:29" ht="15" customHeight="1">
      <c r="B11" s="29" t="s">
        <v>6</v>
      </c>
      <c r="C11" s="366" t="str">
        <f>[4]Brewhouse!$A729</f>
        <v>CA680</v>
      </c>
      <c r="D11" s="279">
        <f>[4]Brewhouse!$AF729</f>
        <v>49.6</v>
      </c>
      <c r="E11" s="279">
        <f>[4]Brewhouse!$AI729</f>
        <v>50.2</v>
      </c>
      <c r="F11" s="278">
        <f>[4]Brewhouse!$V729</f>
        <v>62</v>
      </c>
      <c r="G11" s="279">
        <f>[4]Brewhouse!AG729</f>
        <v>11.7</v>
      </c>
      <c r="H11" s="396">
        <v>11.8</v>
      </c>
      <c r="I11" s="368">
        <f>[4]Brewhouse!$AU729</f>
        <v>99.126741243313148</v>
      </c>
      <c r="J11" s="368">
        <f>[4]Brewhouse!$AV729</f>
        <v>100.70407459459798</v>
      </c>
      <c r="K11" s="281">
        <f>[4]Brewhouse!$Q729</f>
        <v>9.6487985212569285</v>
      </c>
      <c r="L11" s="276">
        <f>[4]Brewhouse!$P729</f>
        <v>61</v>
      </c>
      <c r="M11" s="374">
        <f>[4]Brewhouse!$U729-[4]Brewhouse!$T729</f>
        <v>0.1159722222222222</v>
      </c>
      <c r="N11" s="370">
        <f>[4]Brewhouse!$Z729</f>
        <v>0.2722222222222222</v>
      </c>
      <c r="O11" s="420" t="str">
        <f>[4]Brewhouse!$AX729</f>
        <v>R. Regis</v>
      </c>
      <c r="P11" s="418"/>
      <c r="R11" s="277" t="str">
        <f t="shared" si="0"/>
        <v>CARIB</v>
      </c>
      <c r="S11" s="472">
        <f t="shared" si="1"/>
        <v>11.6</v>
      </c>
      <c r="T11" s="472">
        <f t="shared" si="2"/>
        <v>12</v>
      </c>
      <c r="U11" s="297">
        <f t="shared" si="3"/>
        <v>0</v>
      </c>
      <c r="V11" s="297">
        <f t="shared" si="4"/>
        <v>0.118055555555556</v>
      </c>
      <c r="W11" s="297">
        <f t="shared" si="5"/>
        <v>0.22569444444444445</v>
      </c>
      <c r="X11" s="297">
        <f t="shared" si="6"/>
        <v>0.2638888888888889</v>
      </c>
      <c r="Y11" s="297">
        <f t="shared" si="7"/>
        <v>0</v>
      </c>
      <c r="Z11" s="472">
        <f t="shared" si="8"/>
        <v>60</v>
      </c>
    </row>
    <row r="12" spans="2:29" ht="15" customHeight="1">
      <c r="B12" s="29" t="s">
        <v>6</v>
      </c>
      <c r="C12" s="366" t="str">
        <f>[4]Brewhouse!$A730</f>
        <v>CA681</v>
      </c>
      <c r="D12" s="279">
        <f>[4]Brewhouse!$AF730</f>
        <v>49.1</v>
      </c>
      <c r="E12" s="279">
        <f>[4]Brewhouse!$AI730</f>
        <v>51.2</v>
      </c>
      <c r="F12" s="278">
        <f>[4]Brewhouse!$V730</f>
        <v>64</v>
      </c>
      <c r="G12" s="279">
        <f>[4]Brewhouse!AG730</f>
        <v>11.3</v>
      </c>
      <c r="H12" s="493">
        <v>11.3</v>
      </c>
      <c r="I12" s="368">
        <f>[4]Brewhouse!$AU730</f>
        <v>97.093447006200122</v>
      </c>
      <c r="J12" s="368">
        <f>[4]Brewhouse!$AV730</f>
        <v>98.638745829053391</v>
      </c>
      <c r="K12" s="281">
        <f>[4]Brewhouse!$Q730</f>
        <v>10.407407407407403</v>
      </c>
      <c r="L12" s="276">
        <f>[4]Brewhouse!$P730</f>
        <v>60</v>
      </c>
      <c r="M12" s="374">
        <f>[4]Brewhouse!$U730-[4]Brewhouse!$T730</f>
        <v>0.12291666666666667</v>
      </c>
      <c r="N12" s="370">
        <f>[4]Brewhouse!$Z730</f>
        <v>0.27361111111111108</v>
      </c>
      <c r="O12" s="420" t="str">
        <f>[4]Brewhouse!$AX730</f>
        <v>R. Regis</v>
      </c>
      <c r="P12" s="418"/>
      <c r="R12" s="277" t="str">
        <f t="shared" ref="R12:R26" si="9">B12</f>
        <v>CARIB</v>
      </c>
      <c r="S12" s="472">
        <f t="shared" si="1"/>
        <v>11.6</v>
      </c>
      <c r="T12" s="472">
        <f t="shared" si="2"/>
        <v>12</v>
      </c>
      <c r="U12" s="297">
        <f t="shared" si="3"/>
        <v>0</v>
      </c>
      <c r="V12" s="297">
        <f t="shared" si="4"/>
        <v>0.118055555555556</v>
      </c>
      <c r="W12" s="297">
        <f t="shared" si="5"/>
        <v>0.22569444444444445</v>
      </c>
      <c r="X12" s="297">
        <f t="shared" si="6"/>
        <v>0.2638888888888889</v>
      </c>
      <c r="Y12" s="297">
        <f t="shared" si="7"/>
        <v>0</v>
      </c>
      <c r="Z12" s="472">
        <f t="shared" si="8"/>
        <v>60</v>
      </c>
    </row>
    <row r="13" spans="2:29" ht="15" customHeight="1">
      <c r="B13" s="29" t="s">
        <v>6</v>
      </c>
      <c r="C13" s="366" t="str">
        <f>[4]Brewhouse!$A731</f>
        <v>CA682</v>
      </c>
      <c r="D13" s="279">
        <f>[4]Brewhouse!$AF731</f>
        <v>50.8</v>
      </c>
      <c r="E13" s="279">
        <f>[4]Brewhouse!$AI731</f>
        <v>51.4</v>
      </c>
      <c r="F13" s="278">
        <f>[4]Brewhouse!$V731</f>
        <v>63</v>
      </c>
      <c r="G13" s="279">
        <f>[4]Brewhouse!AG731</f>
        <v>12.5</v>
      </c>
      <c r="H13" s="493">
        <v>12.3</v>
      </c>
      <c r="I13" s="368">
        <f>[4]Brewhouse!$AU731</f>
        <v>108.52324334564575</v>
      </c>
      <c r="J13" s="368">
        <f>[4]Brewhouse!$AV731</f>
        <v>110.25033518128058</v>
      </c>
      <c r="K13" s="281">
        <f>[4]Brewhouse!$Q731</f>
        <v>7.2592592592592622</v>
      </c>
      <c r="L13" s="276">
        <f>[4]Brewhouse!$P731</f>
        <v>60</v>
      </c>
      <c r="M13" s="374">
        <f>[4]Brewhouse!$U731-[4]Brewhouse!$T731</f>
        <v>0.13541666666666669</v>
      </c>
      <c r="N13" s="370">
        <f>[4]Brewhouse!$Z731</f>
        <v>0.29861111111111116</v>
      </c>
      <c r="O13" s="420" t="str">
        <f>[4]Brewhouse!$AX731</f>
        <v>K. Benjamin</v>
      </c>
      <c r="P13" s="418"/>
      <c r="R13" s="277" t="str">
        <f t="shared" si="9"/>
        <v>CARIB</v>
      </c>
      <c r="S13" s="472">
        <f t="shared" si="1"/>
        <v>11.6</v>
      </c>
      <c r="T13" s="472">
        <f t="shared" si="2"/>
        <v>12</v>
      </c>
      <c r="U13" s="297">
        <f t="shared" si="3"/>
        <v>0</v>
      </c>
      <c r="V13" s="297">
        <f t="shared" si="4"/>
        <v>0.118055555555556</v>
      </c>
      <c r="W13" s="297">
        <f t="shared" si="5"/>
        <v>0.22569444444444445</v>
      </c>
      <c r="X13" s="297">
        <f t="shared" si="6"/>
        <v>0.2638888888888889</v>
      </c>
      <c r="Y13" s="297">
        <f t="shared" si="7"/>
        <v>0</v>
      </c>
      <c r="Z13" s="472">
        <f t="shared" si="8"/>
        <v>60</v>
      </c>
    </row>
    <row r="14" spans="2:29" ht="15" customHeight="1">
      <c r="B14" s="29" t="s">
        <v>6</v>
      </c>
      <c r="C14" s="366" t="str">
        <f>[4]Brewhouse!$A732</f>
        <v>CA683</v>
      </c>
      <c r="D14" s="279">
        <f>[4]Brewhouse!$AF732</f>
        <v>48.5</v>
      </c>
      <c r="E14" s="279">
        <f>[4]Brewhouse!$AI732</f>
        <v>49.4</v>
      </c>
      <c r="F14" s="278">
        <f>[4]Brewhouse!$V732</f>
        <v>60</v>
      </c>
      <c r="G14" s="279">
        <f>[4]Brewhouse!AG732</f>
        <v>11.6</v>
      </c>
      <c r="H14" s="396">
        <v>11.7</v>
      </c>
      <c r="I14" s="368">
        <f>[4]Brewhouse!$AU732</f>
        <v>96.180187549630773</v>
      </c>
      <c r="J14" s="368">
        <f>[4]Brewhouse!$AV732</f>
        <v>97.711056390981454</v>
      </c>
      <c r="K14" s="281">
        <f>[4]Brewhouse!$Q732</f>
        <v>11.518518518518517</v>
      </c>
      <c r="L14" s="276">
        <f>[4]Brewhouse!$P732</f>
        <v>61</v>
      </c>
      <c r="M14" s="374">
        <f>[4]Brewhouse!$U732-[4]Brewhouse!$T732</f>
        <v>0.12361111111111101</v>
      </c>
      <c r="N14" s="370">
        <f>[4]Brewhouse!$Z732</f>
        <v>0.26111111111111107</v>
      </c>
      <c r="O14" s="420" t="str">
        <f>[4]Brewhouse!$AX732</f>
        <v>K. Benjamin</v>
      </c>
      <c r="P14" s="418"/>
      <c r="R14" s="277" t="str">
        <f t="shared" si="9"/>
        <v>CARIB</v>
      </c>
      <c r="S14" s="472">
        <f t="shared" si="1"/>
        <v>11.6</v>
      </c>
      <c r="T14" s="472">
        <f t="shared" si="2"/>
        <v>12</v>
      </c>
      <c r="U14" s="297">
        <f t="shared" si="3"/>
        <v>0</v>
      </c>
      <c r="V14" s="297">
        <f t="shared" si="4"/>
        <v>0.118055555555556</v>
      </c>
      <c r="W14" s="297">
        <f t="shared" si="5"/>
        <v>0.22569444444444445</v>
      </c>
      <c r="X14" s="297">
        <f t="shared" si="6"/>
        <v>0.2638888888888889</v>
      </c>
      <c r="Y14" s="297">
        <f t="shared" si="7"/>
        <v>0</v>
      </c>
      <c r="Z14" s="472">
        <f t="shared" si="8"/>
        <v>60</v>
      </c>
    </row>
    <row r="15" spans="2:29" ht="15" customHeight="1">
      <c r="B15" s="29" t="s">
        <v>6</v>
      </c>
      <c r="C15" s="366" t="str">
        <f>[4]Brewhouse!$A733</f>
        <v>CA684</v>
      </c>
      <c r="D15" s="279">
        <f>[4]Brewhouse!$AF733</f>
        <v>48.8</v>
      </c>
      <c r="E15" s="279">
        <f>[4]Brewhouse!$AI733</f>
        <v>49.3</v>
      </c>
      <c r="F15" s="278">
        <f>[4]Brewhouse!$V733</f>
        <v>57</v>
      </c>
      <c r="G15" s="279">
        <f>[4]Brewhouse!AG733</f>
        <v>11.7</v>
      </c>
      <c r="H15" s="396">
        <v>11.7</v>
      </c>
      <c r="I15" s="368">
        <f>[4]Brewhouse!$AU733</f>
        <v>97.102481872305134</v>
      </c>
      <c r="J15" s="368">
        <f>[4]Brewhouse!$AV733</f>
        <v>98.647818138448599</v>
      </c>
      <c r="K15" s="281">
        <f>[4]Brewhouse!$Q733</f>
        <v>11.127541589648803</v>
      </c>
      <c r="L15" s="276">
        <f>[4]Brewhouse!$P733</f>
        <v>61</v>
      </c>
      <c r="M15" s="374">
        <f>[4]Brewhouse!$U733-[4]Brewhouse!$T733</f>
        <v>0.11458333333333326</v>
      </c>
      <c r="N15" s="370">
        <f>[4]Brewhouse!$Z733</f>
        <v>0.27986111111111101</v>
      </c>
      <c r="O15" s="420" t="str">
        <f>[4]Brewhouse!$AX733</f>
        <v>K. Benjamin</v>
      </c>
      <c r="P15" s="418"/>
      <c r="R15" s="277" t="str">
        <f t="shared" si="9"/>
        <v>CARIB</v>
      </c>
      <c r="S15" s="472">
        <f t="shared" si="1"/>
        <v>11.6</v>
      </c>
      <c r="T15" s="472">
        <f t="shared" si="2"/>
        <v>12</v>
      </c>
      <c r="U15" s="297">
        <f t="shared" si="3"/>
        <v>0</v>
      </c>
      <c r="V15" s="297">
        <f t="shared" si="4"/>
        <v>0.118055555555556</v>
      </c>
      <c r="W15" s="297">
        <f t="shared" si="5"/>
        <v>0.22569444444444445</v>
      </c>
      <c r="X15" s="297">
        <f t="shared" si="6"/>
        <v>0.2638888888888889</v>
      </c>
      <c r="Y15" s="297">
        <f t="shared" si="7"/>
        <v>0</v>
      </c>
      <c r="Z15" s="472">
        <f t="shared" si="8"/>
        <v>60</v>
      </c>
    </row>
    <row r="16" spans="2:29" ht="15" customHeight="1">
      <c r="B16" s="494">
        <v>46276</v>
      </c>
      <c r="C16" s="366"/>
      <c r="D16" s="279"/>
      <c r="E16" s="279"/>
      <c r="F16" s="278"/>
      <c r="G16" s="279"/>
      <c r="H16" s="396"/>
      <c r="I16" s="368"/>
      <c r="J16" s="368"/>
      <c r="K16" s="281"/>
      <c r="L16" s="276"/>
      <c r="M16" s="374"/>
      <c r="N16" s="370"/>
      <c r="O16" s="420"/>
      <c r="P16" s="418"/>
      <c r="R16" s="277"/>
      <c r="S16" s="472"/>
      <c r="T16" s="472"/>
      <c r="U16" s="297"/>
      <c r="V16" s="297"/>
      <c r="W16" s="297"/>
      <c r="X16" s="297"/>
      <c r="Y16" s="297"/>
      <c r="Z16" s="472"/>
    </row>
    <row r="17" spans="1:26" ht="15" customHeight="1">
      <c r="B17" s="29" t="s">
        <v>6</v>
      </c>
      <c r="C17" s="366" t="str">
        <f>[4]Brewhouse!$A734</f>
        <v>CA685</v>
      </c>
      <c r="D17" s="279">
        <f>[4]Brewhouse!$AF734</f>
        <v>49.1</v>
      </c>
      <c r="E17" s="279">
        <f>[4]Brewhouse!$AI734</f>
        <v>49.4</v>
      </c>
      <c r="F17" s="278">
        <f>[4]Brewhouse!$V734</f>
        <v>56</v>
      </c>
      <c r="G17" s="279">
        <f>[4]Brewhouse!AG734</f>
        <v>11.8</v>
      </c>
      <c r="H17" s="396">
        <v>11.8</v>
      </c>
      <c r="I17" s="368">
        <f>[4]Brewhouse!$AU734</f>
        <v>98.17458240291262</v>
      </c>
      <c r="J17" s="368">
        <f>[4]Brewhouse!$AV734</f>
        <v>99.736980599904328</v>
      </c>
      <c r="K17" s="281">
        <f>[4]Brewhouse!$Q734</f>
        <v>10.573012939001845</v>
      </c>
      <c r="L17" s="276">
        <f>[4]Brewhouse!$P734</f>
        <v>59</v>
      </c>
      <c r="M17" s="374">
        <f>[4]Brewhouse!$U734-[4]Brewhouse!$T734</f>
        <v>0.11736111111111125</v>
      </c>
      <c r="N17" s="370">
        <f>[4]Brewhouse!$Z734</f>
        <v>0.27708333333333335</v>
      </c>
      <c r="O17" s="420" t="str">
        <f>[4]Brewhouse!$AX734</f>
        <v>R. Regis</v>
      </c>
      <c r="P17" s="418"/>
      <c r="R17" s="277" t="str">
        <f t="shared" si="9"/>
        <v>CARIB</v>
      </c>
      <c r="S17" s="472">
        <f t="shared" si="1"/>
        <v>11.6</v>
      </c>
      <c r="T17" s="472">
        <f t="shared" si="2"/>
        <v>12</v>
      </c>
      <c r="U17" s="297">
        <f t="shared" si="3"/>
        <v>0</v>
      </c>
      <c r="V17" s="297">
        <f t="shared" si="4"/>
        <v>0.118055555555556</v>
      </c>
      <c r="W17" s="297">
        <f t="shared" si="5"/>
        <v>0.22569444444444445</v>
      </c>
      <c r="X17" s="297">
        <f t="shared" si="6"/>
        <v>0.2638888888888889</v>
      </c>
      <c r="Y17" s="297">
        <f t="shared" si="7"/>
        <v>0</v>
      </c>
      <c r="Z17" s="472">
        <f t="shared" si="8"/>
        <v>60</v>
      </c>
    </row>
    <row r="18" spans="1:26" ht="15" customHeight="1">
      <c r="B18" s="29"/>
      <c r="C18" s="366"/>
      <c r="D18" s="279"/>
      <c r="E18" s="279"/>
      <c r="F18" s="278"/>
      <c r="G18" s="279"/>
      <c r="H18" s="396"/>
      <c r="I18" s="368"/>
      <c r="J18" s="368"/>
      <c r="K18" s="281"/>
      <c r="L18" s="276"/>
      <c r="M18" s="374"/>
      <c r="N18" s="370"/>
      <c r="O18" s="420"/>
      <c r="P18" s="418"/>
      <c r="R18" s="277">
        <f t="shared" si="9"/>
        <v>0</v>
      </c>
      <c r="S18" s="472" t="e">
        <f t="shared" si="1"/>
        <v>#N/A</v>
      </c>
      <c r="T18" s="472" t="e">
        <f t="shared" si="2"/>
        <v>#N/A</v>
      </c>
      <c r="U18" s="297" t="e">
        <f t="shared" si="3"/>
        <v>#N/A</v>
      </c>
      <c r="V18" s="297" t="e">
        <f t="shared" si="4"/>
        <v>#N/A</v>
      </c>
      <c r="W18" s="297" t="e">
        <f t="shared" si="5"/>
        <v>#N/A</v>
      </c>
      <c r="X18" s="297" t="e">
        <f t="shared" si="6"/>
        <v>#N/A</v>
      </c>
      <c r="Y18" s="297" t="e">
        <f t="shared" si="7"/>
        <v>#N/A</v>
      </c>
      <c r="Z18" s="472" t="e">
        <f t="shared" si="8"/>
        <v>#N/A</v>
      </c>
    </row>
    <row r="19" spans="1:26" ht="15" customHeight="1">
      <c r="B19" s="29"/>
      <c r="C19" s="366"/>
      <c r="D19" s="279"/>
      <c r="E19" s="279"/>
      <c r="F19" s="278"/>
      <c r="G19" s="279"/>
      <c r="H19" s="396"/>
      <c r="I19" s="368"/>
      <c r="J19" s="368"/>
      <c r="K19" s="281"/>
      <c r="L19" s="276"/>
      <c r="M19" s="374"/>
      <c r="N19" s="370"/>
      <c r="O19" s="420"/>
      <c r="P19" s="418"/>
      <c r="R19" s="277">
        <f t="shared" si="9"/>
        <v>0</v>
      </c>
      <c r="S19" s="472" t="e">
        <f t="shared" si="1"/>
        <v>#N/A</v>
      </c>
      <c r="T19" s="472" t="e">
        <f t="shared" si="2"/>
        <v>#N/A</v>
      </c>
      <c r="U19" s="297" t="e">
        <f t="shared" si="3"/>
        <v>#N/A</v>
      </c>
      <c r="V19" s="297" t="e">
        <f t="shared" si="4"/>
        <v>#N/A</v>
      </c>
      <c r="W19" s="297" t="e">
        <f t="shared" si="5"/>
        <v>#N/A</v>
      </c>
      <c r="X19" s="297" t="e">
        <f t="shared" si="6"/>
        <v>#N/A</v>
      </c>
      <c r="Y19" s="297" t="e">
        <f t="shared" si="7"/>
        <v>#N/A</v>
      </c>
      <c r="Z19" s="472" t="e">
        <f t="shared" si="8"/>
        <v>#N/A</v>
      </c>
    </row>
    <row r="20" spans="1:26" ht="15" customHeight="1">
      <c r="B20" s="29"/>
      <c r="C20" s="366"/>
      <c r="D20" s="279"/>
      <c r="E20" s="279"/>
      <c r="F20" s="278"/>
      <c r="G20" s="279"/>
      <c r="H20" s="396"/>
      <c r="I20" s="368"/>
      <c r="J20" s="368"/>
      <c r="K20" s="281"/>
      <c r="L20" s="276"/>
      <c r="M20" s="374"/>
      <c r="N20" s="370"/>
      <c r="O20" s="420"/>
      <c r="P20" s="418"/>
      <c r="R20" s="277">
        <f t="shared" si="9"/>
        <v>0</v>
      </c>
      <c r="S20" s="472" t="e">
        <f t="shared" si="1"/>
        <v>#N/A</v>
      </c>
      <c r="T20" s="472" t="e">
        <f t="shared" si="2"/>
        <v>#N/A</v>
      </c>
      <c r="U20" s="297" t="e">
        <f t="shared" si="3"/>
        <v>#N/A</v>
      </c>
      <c r="V20" s="297" t="e">
        <f t="shared" si="4"/>
        <v>#N/A</v>
      </c>
      <c r="W20" s="297" t="e">
        <f t="shared" si="5"/>
        <v>#N/A</v>
      </c>
      <c r="X20" s="297" t="e">
        <f t="shared" si="6"/>
        <v>#N/A</v>
      </c>
      <c r="Y20" s="297" t="e">
        <f t="shared" si="7"/>
        <v>#N/A</v>
      </c>
      <c r="Z20" s="472" t="e">
        <f t="shared" si="8"/>
        <v>#N/A</v>
      </c>
    </row>
    <row r="21" spans="1:26" ht="15" customHeight="1">
      <c r="B21" s="29"/>
      <c r="C21" s="366"/>
      <c r="D21" s="279"/>
      <c r="E21" s="279"/>
      <c r="F21" s="278"/>
      <c r="G21" s="279"/>
      <c r="H21" s="396"/>
      <c r="I21" s="368"/>
      <c r="J21" s="368"/>
      <c r="K21" s="281"/>
      <c r="L21" s="276"/>
      <c r="M21" s="374"/>
      <c r="N21" s="370"/>
      <c r="O21" s="420"/>
      <c r="P21" s="418"/>
      <c r="R21" s="277">
        <f t="shared" si="9"/>
        <v>0</v>
      </c>
      <c r="S21" s="472" t="e">
        <f t="shared" si="1"/>
        <v>#N/A</v>
      </c>
      <c r="T21" s="472" t="e">
        <f t="shared" si="2"/>
        <v>#N/A</v>
      </c>
      <c r="U21" s="297" t="e">
        <f t="shared" si="3"/>
        <v>#N/A</v>
      </c>
      <c r="V21" s="297" t="e">
        <f t="shared" si="4"/>
        <v>#N/A</v>
      </c>
      <c r="W21" s="297" t="e">
        <f t="shared" si="5"/>
        <v>#N/A</v>
      </c>
      <c r="X21" s="297" t="e">
        <f t="shared" si="6"/>
        <v>#N/A</v>
      </c>
      <c r="Y21" s="297" t="e">
        <f t="shared" si="7"/>
        <v>#N/A</v>
      </c>
      <c r="Z21" s="472" t="e">
        <f t="shared" si="8"/>
        <v>#N/A</v>
      </c>
    </row>
    <row r="22" spans="1:26" ht="15" customHeight="1">
      <c r="B22" s="36"/>
      <c r="C22" s="366"/>
      <c r="D22" s="279"/>
      <c r="E22" s="279"/>
      <c r="F22" s="278"/>
      <c r="G22" s="279"/>
      <c r="H22" s="396"/>
      <c r="I22" s="489"/>
      <c r="J22" s="489"/>
      <c r="K22" s="490"/>
      <c r="L22" s="276"/>
      <c r="M22" s="374"/>
      <c r="N22" s="370"/>
      <c r="O22" s="420"/>
      <c r="P22" s="418"/>
      <c r="R22" s="277">
        <f t="shared" si="9"/>
        <v>0</v>
      </c>
      <c r="S22" s="472" t="e">
        <f t="shared" si="1"/>
        <v>#N/A</v>
      </c>
      <c r="T22" s="472" t="e">
        <f t="shared" si="2"/>
        <v>#N/A</v>
      </c>
      <c r="U22" s="297" t="e">
        <f t="shared" si="3"/>
        <v>#N/A</v>
      </c>
      <c r="V22" s="297" t="e">
        <f t="shared" si="4"/>
        <v>#N/A</v>
      </c>
      <c r="W22" s="297" t="e">
        <f t="shared" si="5"/>
        <v>#N/A</v>
      </c>
      <c r="X22" s="297" t="e">
        <f t="shared" si="6"/>
        <v>#N/A</v>
      </c>
      <c r="Y22" s="297" t="e">
        <f t="shared" si="7"/>
        <v>#N/A</v>
      </c>
      <c r="Z22" s="472" t="e">
        <f t="shared" si="8"/>
        <v>#N/A</v>
      </c>
    </row>
    <row r="23" spans="1:26" ht="17.25" customHeight="1" thickBot="1">
      <c r="B23" s="358"/>
      <c r="C23" s="358"/>
      <c r="D23" s="358"/>
      <c r="E23" s="358"/>
      <c r="F23" s="294"/>
      <c r="G23" s="294"/>
      <c r="H23" s="348"/>
      <c r="I23" s="535"/>
      <c r="J23" s="535"/>
      <c r="K23" s="535"/>
      <c r="L23" s="535"/>
      <c r="M23" s="535"/>
      <c r="N23" s="535"/>
      <c r="O23" s="1"/>
      <c r="P23" s="12"/>
      <c r="R23" s="277">
        <f t="shared" si="9"/>
        <v>0</v>
      </c>
      <c r="S23" s="472" t="e">
        <f t="shared" si="1"/>
        <v>#N/A</v>
      </c>
      <c r="T23" s="472" t="e">
        <f t="shared" si="2"/>
        <v>#N/A</v>
      </c>
      <c r="U23" s="297" t="e">
        <f t="shared" si="3"/>
        <v>#N/A</v>
      </c>
      <c r="V23" s="297" t="e">
        <f t="shared" si="4"/>
        <v>#N/A</v>
      </c>
      <c r="W23" s="297" t="e">
        <f t="shared" si="5"/>
        <v>#N/A</v>
      </c>
      <c r="X23" s="297" t="e">
        <f t="shared" si="6"/>
        <v>#N/A</v>
      </c>
      <c r="Y23" s="297" t="e">
        <f t="shared" si="7"/>
        <v>#N/A</v>
      </c>
      <c r="Z23" s="472" t="e">
        <f t="shared" si="8"/>
        <v>#N/A</v>
      </c>
    </row>
    <row r="24" spans="1:26" ht="17.25" customHeight="1" thickBot="1">
      <c r="B24" s="483" t="s">
        <v>162</v>
      </c>
      <c r="C24" s="388"/>
      <c r="D24" s="536" t="s">
        <v>35</v>
      </c>
      <c r="E24" s="537"/>
      <c r="F24" s="294"/>
      <c r="G24" s="294"/>
      <c r="H24" s="348"/>
      <c r="I24" s="24" t="s">
        <v>17</v>
      </c>
      <c r="J24" s="25"/>
      <c r="K24" s="26" t="s">
        <v>138</v>
      </c>
      <c r="L24" s="25" t="s">
        <v>37</v>
      </c>
      <c r="M24" s="25" t="s">
        <v>38</v>
      </c>
      <c r="N24" s="27" t="s">
        <v>39</v>
      </c>
      <c r="O24" s="294"/>
      <c r="P24" s="12"/>
      <c r="R24" s="277" t="str">
        <f t="shared" si="9"/>
        <v xml:space="preserve">BRAND </v>
      </c>
      <c r="S24" s="472" t="e">
        <f t="shared" si="1"/>
        <v>#N/A</v>
      </c>
      <c r="T24" s="472" t="e">
        <f t="shared" si="2"/>
        <v>#N/A</v>
      </c>
      <c r="U24" s="297" t="e">
        <f t="shared" si="3"/>
        <v>#N/A</v>
      </c>
      <c r="V24" s="297" t="e">
        <f t="shared" si="4"/>
        <v>#N/A</v>
      </c>
      <c r="W24" s="297" t="e">
        <f t="shared" si="5"/>
        <v>#N/A</v>
      </c>
      <c r="X24" s="297" t="e">
        <f t="shared" si="6"/>
        <v>#N/A</v>
      </c>
      <c r="Y24" s="297" t="e">
        <f t="shared" si="7"/>
        <v>#N/A</v>
      </c>
      <c r="Z24" s="472" t="e">
        <f t="shared" si="8"/>
        <v>#N/A</v>
      </c>
    </row>
    <row r="25" spans="1:26" ht="17.25" customHeight="1">
      <c r="A25" s="28"/>
      <c r="B25" s="538"/>
      <c r="C25" s="484"/>
      <c r="D25" s="523"/>
      <c r="E25" s="524"/>
      <c r="F25" s="294"/>
      <c r="G25" s="294"/>
      <c r="H25" s="348"/>
      <c r="I25" s="29" t="s">
        <v>6</v>
      </c>
      <c r="J25" s="323">
        <f>AVERAGE(I10:I17)</f>
        <v>99.250542008185647</v>
      </c>
      <c r="K25" s="284">
        <f>COUNTA([4]Brewhouse!$A$696:$A$734)</f>
        <v>39</v>
      </c>
      <c r="L25" s="305">
        <f>AVERAGE([4]Brewhouse!$AU$696:$AU$734)</f>
        <v>98.73791809902842</v>
      </c>
      <c r="M25" s="305">
        <f>AVERAGE([4]Brewhouse!$AU$42:$AU$123,[4]Brewhouse!$AU$125:$AU$188,[4]Brewhouse!$AU$198:$AU$290,[4]Brewhouse!$AU$292:$AU$370,[4]Brewhouse!$AU$372:$AU$439,[4]Brewhouse!$AU$441:$AU$497,[4]Brewhouse!$AU$499:$AU$519,[4]Brewhouse!$AU$521:$AU$593,[4]Brewhouse!$AU$595:$AU$734)</f>
        <v>98.311975966581088</v>
      </c>
      <c r="N25" s="30">
        <v>98</v>
      </c>
      <c r="O25" s="11"/>
      <c r="P25" s="31"/>
      <c r="R25" s="277">
        <f t="shared" si="9"/>
        <v>0</v>
      </c>
      <c r="S25" s="472" t="e">
        <f t="shared" si="1"/>
        <v>#N/A</v>
      </c>
      <c r="T25" s="472" t="e">
        <f t="shared" si="2"/>
        <v>#N/A</v>
      </c>
      <c r="U25" s="297" t="e">
        <f t="shared" si="3"/>
        <v>#N/A</v>
      </c>
      <c r="V25" s="297" t="e">
        <f t="shared" si="4"/>
        <v>#N/A</v>
      </c>
      <c r="W25" s="297" t="e">
        <f t="shared" si="5"/>
        <v>#N/A</v>
      </c>
      <c r="X25" s="297" t="e">
        <f t="shared" si="6"/>
        <v>#N/A</v>
      </c>
      <c r="Y25" s="297" t="e">
        <f t="shared" si="7"/>
        <v>#N/A</v>
      </c>
      <c r="Z25" s="472" t="e">
        <f t="shared" si="8"/>
        <v>#N/A</v>
      </c>
    </row>
    <row r="26" spans="1:26" ht="15" customHeight="1">
      <c r="A26" s="28"/>
      <c r="B26" s="539"/>
      <c r="C26" s="362"/>
      <c r="D26" s="525"/>
      <c r="E26" s="526"/>
      <c r="F26" s="294"/>
      <c r="G26" s="294"/>
      <c r="H26" s="348"/>
      <c r="I26" s="33" t="s">
        <v>9</v>
      </c>
      <c r="J26" s="323"/>
      <c r="K26" s="284">
        <f>COUNTA([5]Brewhouse!$A$363:$A$372)</f>
        <v>10</v>
      </c>
      <c r="L26" s="302">
        <f>AVERAGE([5]Brewhouse!$AS$363:$AS$372)</f>
        <v>100.50071873632695</v>
      </c>
      <c r="M26" s="302">
        <f>AVERAGE([5]Brewhouse!$AS$52:$AS$81,[5]Brewhouse!$AS$83:$AS$124,[5]Brewhouse!$AS$134:$AS$177,[5]Brewhouse!$AS$22:$AS$179,[5]Brewhouse!$AS$214:$AS$249,[5]Brewhouse!$AS$252:$AS$293,[5]Brewhouse!$AS$295:$AS$325,[5]Brewhouse!$AS$327:$AS$361,[5]Brewhouse!$AS$363:$AS$372)</f>
        <v>98.29248495310074</v>
      </c>
      <c r="N26" s="30">
        <v>98</v>
      </c>
      <c r="O26" s="11"/>
      <c r="P26" s="31"/>
      <c r="R26" s="277">
        <f t="shared" si="9"/>
        <v>0</v>
      </c>
      <c r="S26" s="472" t="e">
        <f t="shared" si="1"/>
        <v>#N/A</v>
      </c>
      <c r="T26" s="472" t="e">
        <f t="shared" si="2"/>
        <v>#N/A</v>
      </c>
      <c r="U26" s="297" t="e">
        <f t="shared" si="3"/>
        <v>#N/A</v>
      </c>
      <c r="V26" s="297" t="e">
        <f t="shared" si="4"/>
        <v>#N/A</v>
      </c>
      <c r="W26" s="297" t="e">
        <f t="shared" si="5"/>
        <v>#N/A</v>
      </c>
      <c r="X26" s="297" t="e">
        <f t="shared" si="6"/>
        <v>#N/A</v>
      </c>
      <c r="Y26" s="297" t="e">
        <f t="shared" si="7"/>
        <v>#N/A</v>
      </c>
      <c r="Z26" s="472" t="e">
        <f t="shared" si="8"/>
        <v>#N/A</v>
      </c>
    </row>
    <row r="27" spans="1:26" ht="14.65" customHeight="1">
      <c r="A27" s="28"/>
      <c r="B27" s="539"/>
      <c r="C27" s="362"/>
      <c r="D27" s="530"/>
      <c r="E27" s="531"/>
      <c r="F27" s="294"/>
      <c r="G27" s="294"/>
      <c r="H27" s="348"/>
      <c r="I27" s="34" t="s">
        <v>12</v>
      </c>
      <c r="J27" s="323"/>
      <c r="K27" s="284"/>
      <c r="L27" s="302"/>
      <c r="M27" s="302">
        <f>AVERAGE([6]Brewhouse!$AU$16:$AU$23,[6]Brewhouse!$AU$25:$AU$32,[6]Brewhouse!$AU$34:$AU$41,[6]Brewhouse!$AU$43:$AU$60,[6]Brewhouse!$AU$62:$AU$69,[6]Brewhouse!$AU$71:$AU$88,[6]Brewhouse!$AU$90:$AU$97)</f>
        <v>96.502171439390338</v>
      </c>
      <c r="N27" s="30">
        <v>98</v>
      </c>
      <c r="O27" s="11"/>
      <c r="P27" s="31"/>
      <c r="R27" s="277">
        <f t="shared" si="0"/>
        <v>0</v>
      </c>
      <c r="S27" s="472" t="e">
        <f t="shared" si="1"/>
        <v>#N/A</v>
      </c>
      <c r="T27" s="472" t="e">
        <f t="shared" si="2"/>
        <v>#N/A</v>
      </c>
      <c r="U27" s="297" t="e">
        <f t="shared" si="3"/>
        <v>#N/A</v>
      </c>
      <c r="V27" s="297" t="e">
        <f t="shared" si="4"/>
        <v>#N/A</v>
      </c>
      <c r="W27" s="297" t="e">
        <f t="shared" si="5"/>
        <v>#N/A</v>
      </c>
      <c r="X27" s="297" t="e">
        <f t="shared" si="6"/>
        <v>#N/A</v>
      </c>
      <c r="Y27" s="297" t="e">
        <f t="shared" si="7"/>
        <v>#N/A</v>
      </c>
      <c r="Z27" s="472" t="e">
        <f t="shared" si="8"/>
        <v>#N/A</v>
      </c>
    </row>
    <row r="28" spans="1:26" ht="14.65" customHeight="1">
      <c r="A28" s="28"/>
      <c r="B28" s="539"/>
      <c r="C28" s="362"/>
      <c r="D28" s="532"/>
      <c r="E28" s="526"/>
      <c r="F28" s="294"/>
      <c r="G28" s="294"/>
      <c r="H28" s="348"/>
      <c r="I28" s="22" t="s">
        <v>33</v>
      </c>
      <c r="J28" s="280"/>
      <c r="K28" s="284"/>
      <c r="L28" s="302"/>
      <c r="M28" s="302">
        <f>AVERAGE([7]Brewhouse!$AV$23:$AV$34,[7]Brewhouse!$AV$36,[7]Brewhouse!$AV$38:$AV$52,[7]Brewhouse!$AV$54:$AV$60,[7]Brewhouse!$AV$62:$AV$69,[7]Brewhouse!$AV$71:$AV$78,[7]Brewhouse!$AV$80:$AV$87,[7]Brewhouse!$AV$89:$AV$96)</f>
        <v>97.559547139003357</v>
      </c>
      <c r="N28" s="30">
        <v>98</v>
      </c>
      <c r="O28" s="11"/>
      <c r="P28" s="31"/>
      <c r="R28" s="277">
        <f t="shared" si="0"/>
        <v>0</v>
      </c>
      <c r="S28" s="472" t="e">
        <f t="shared" si="1"/>
        <v>#N/A</v>
      </c>
      <c r="T28" s="472" t="e">
        <f t="shared" si="2"/>
        <v>#N/A</v>
      </c>
      <c r="U28" s="297" t="e">
        <f t="shared" si="3"/>
        <v>#N/A</v>
      </c>
      <c r="V28" s="297" t="e">
        <f t="shared" si="4"/>
        <v>#N/A</v>
      </c>
      <c r="W28" s="297" t="e">
        <f t="shared" si="5"/>
        <v>#N/A</v>
      </c>
      <c r="X28" s="297" t="e">
        <f t="shared" si="6"/>
        <v>#N/A</v>
      </c>
      <c r="Y28" s="297" t="e">
        <f t="shared" si="7"/>
        <v>#N/A</v>
      </c>
      <c r="Z28" s="472" t="e">
        <f t="shared" si="8"/>
        <v>#N/A</v>
      </c>
    </row>
    <row r="29" spans="1:26" ht="14.65" customHeight="1">
      <c r="A29" s="28"/>
      <c r="B29" s="539"/>
      <c r="C29" s="362"/>
      <c r="D29" s="530"/>
      <c r="E29" s="531"/>
      <c r="F29" s="294"/>
      <c r="G29" s="294"/>
      <c r="H29" s="348"/>
      <c r="I29" s="35" t="s">
        <v>29</v>
      </c>
      <c r="J29" s="280"/>
      <c r="K29" s="284"/>
      <c r="L29" s="302"/>
      <c r="M29" s="302"/>
      <c r="N29" s="30">
        <v>98</v>
      </c>
      <c r="O29" s="11"/>
      <c r="P29" s="31"/>
      <c r="R29" s="277">
        <f t="shared" si="0"/>
        <v>0</v>
      </c>
      <c r="S29" s="472" t="e">
        <f t="shared" si="1"/>
        <v>#N/A</v>
      </c>
      <c r="T29" s="472" t="e">
        <f t="shared" si="2"/>
        <v>#N/A</v>
      </c>
      <c r="U29" s="297" t="e">
        <f t="shared" si="3"/>
        <v>#N/A</v>
      </c>
      <c r="V29" s="297" t="e">
        <f t="shared" si="4"/>
        <v>#N/A</v>
      </c>
      <c r="W29" s="297" t="e">
        <f t="shared" si="5"/>
        <v>#N/A</v>
      </c>
      <c r="X29" s="297" t="e">
        <f t="shared" si="6"/>
        <v>#N/A</v>
      </c>
      <c r="Y29" s="297" t="e">
        <f t="shared" si="7"/>
        <v>#N/A</v>
      </c>
      <c r="Z29" s="472" t="e">
        <f t="shared" si="8"/>
        <v>#N/A</v>
      </c>
    </row>
    <row r="30" spans="1:26" ht="14.65" customHeight="1">
      <c r="A30" s="28"/>
      <c r="B30" s="539"/>
      <c r="C30" s="362"/>
      <c r="D30" s="532"/>
      <c r="E30" s="526"/>
      <c r="F30" s="417"/>
      <c r="G30" s="294"/>
      <c r="H30" s="348"/>
      <c r="I30" s="36" t="s">
        <v>15</v>
      </c>
      <c r="J30" s="323"/>
      <c r="K30" s="284">
        <f>COUNTA([8]Brewhouse!$A$23:$A$30)</f>
        <v>8</v>
      </c>
      <c r="L30" s="302">
        <f>AVERAGE([8]Brewhouse!$AT$23:$AT$30)</f>
        <v>96.065914782338609</v>
      </c>
      <c r="M30" s="302">
        <f>AVERAGE([8]Brewhouse!$AT$4:$AT$11,[8]Brewhouse!$AT$13:$AT$16,[8]Brewhouse!$AT$18:$AT$30)</f>
        <v>93.22262799886262</v>
      </c>
      <c r="N30" s="30">
        <v>98</v>
      </c>
      <c r="O30" s="11"/>
      <c r="P30" s="31"/>
      <c r="R30" s="277">
        <f t="shared" si="0"/>
        <v>0</v>
      </c>
      <c r="S30" s="472" t="e">
        <f t="shared" si="1"/>
        <v>#N/A</v>
      </c>
      <c r="T30" s="472" t="e">
        <f t="shared" si="2"/>
        <v>#N/A</v>
      </c>
      <c r="U30" s="297" t="e">
        <f t="shared" si="3"/>
        <v>#N/A</v>
      </c>
      <c r="V30" s="297" t="e">
        <f t="shared" si="4"/>
        <v>#N/A</v>
      </c>
      <c r="W30" s="297" t="e">
        <f t="shared" si="5"/>
        <v>#N/A</v>
      </c>
      <c r="X30" s="297" t="e">
        <f t="shared" si="6"/>
        <v>#N/A</v>
      </c>
      <c r="Y30" s="297" t="e">
        <f t="shared" si="7"/>
        <v>#N/A</v>
      </c>
      <c r="Z30" s="472" t="e">
        <f t="shared" si="8"/>
        <v>#N/A</v>
      </c>
    </row>
    <row r="31" spans="1:26" ht="14.65" customHeight="1">
      <c r="A31" s="28"/>
      <c r="B31" s="539"/>
      <c r="C31" s="362"/>
      <c r="D31" s="530"/>
      <c r="E31" s="531"/>
      <c r="F31" s="417"/>
      <c r="G31" s="294"/>
      <c r="H31" s="348"/>
      <c r="I31" s="37" t="s">
        <v>16</v>
      </c>
      <c r="J31" s="323"/>
      <c r="K31" s="284"/>
      <c r="L31" s="302"/>
      <c r="M31" s="302">
        <f>AVERAGE([3]Brewhouse!$AY$5:$AY$14,[3]Brewhouse!$AY$16:$AY$23,[3]Brewhouse!$AY$42,[3]Brewhouse!$AY$44:$AY$51,[3]Brewhouse!$AY$53:$AY$64,[3]Brewhouse!$AY$66:$AY$73,[3]Brewhouse!$AY$75:$AY$82,[3]Brewhouse!$AY$84:$AY$101)</f>
        <v>97.784660430003186</v>
      </c>
      <c r="N31" s="30">
        <v>98</v>
      </c>
      <c r="O31" s="11"/>
      <c r="P31" s="31" t="s">
        <v>41</v>
      </c>
      <c r="R31" s="277">
        <f t="shared" si="0"/>
        <v>0</v>
      </c>
      <c r="S31" s="472" t="e">
        <f t="shared" si="1"/>
        <v>#N/A</v>
      </c>
      <c r="T31" s="472" t="e">
        <f t="shared" si="2"/>
        <v>#N/A</v>
      </c>
      <c r="U31" s="297" t="e">
        <f t="shared" si="3"/>
        <v>#N/A</v>
      </c>
      <c r="V31" s="297" t="e">
        <f t="shared" si="4"/>
        <v>#N/A</v>
      </c>
      <c r="W31" s="297" t="e">
        <f t="shared" si="5"/>
        <v>#N/A</v>
      </c>
      <c r="X31" s="297" t="e">
        <f t="shared" si="6"/>
        <v>#N/A</v>
      </c>
      <c r="Y31" s="297" t="e">
        <f t="shared" si="7"/>
        <v>#N/A</v>
      </c>
      <c r="Z31" s="472" t="e">
        <f t="shared" si="8"/>
        <v>#N/A</v>
      </c>
    </row>
    <row r="32" spans="1:26" ht="14.65" customHeight="1">
      <c r="A32" s="28"/>
      <c r="B32" s="539"/>
      <c r="C32" s="362"/>
      <c r="D32" s="532"/>
      <c r="E32" s="526"/>
      <c r="F32" s="294"/>
      <c r="G32" s="294"/>
      <c r="H32" s="348"/>
      <c r="I32" s="411" t="s">
        <v>158</v>
      </c>
      <c r="J32" s="326"/>
      <c r="K32" s="284"/>
      <c r="L32" s="305"/>
      <c r="M32" s="305"/>
      <c r="N32" s="30">
        <v>98</v>
      </c>
      <c r="O32" s="11"/>
      <c r="P32" s="31"/>
      <c r="R32" s="277">
        <f t="shared" si="0"/>
        <v>0</v>
      </c>
      <c r="S32" s="472" t="e">
        <f t="shared" si="1"/>
        <v>#N/A</v>
      </c>
      <c r="T32" s="472" t="e">
        <f t="shared" si="2"/>
        <v>#N/A</v>
      </c>
      <c r="U32" s="297" t="e">
        <f t="shared" si="3"/>
        <v>#N/A</v>
      </c>
      <c r="V32" s="297" t="e">
        <f t="shared" si="4"/>
        <v>#N/A</v>
      </c>
      <c r="W32" s="297" t="e">
        <f t="shared" si="5"/>
        <v>#N/A</v>
      </c>
      <c r="X32" s="297" t="e">
        <f t="shared" si="6"/>
        <v>#N/A</v>
      </c>
      <c r="Y32" s="297" t="e">
        <f t="shared" si="7"/>
        <v>#N/A</v>
      </c>
      <c r="Z32" s="472" t="e">
        <f t="shared" si="8"/>
        <v>#N/A</v>
      </c>
    </row>
    <row r="33" spans="1:56" ht="14.65" customHeight="1">
      <c r="A33" s="28"/>
      <c r="B33" s="539"/>
      <c r="C33" s="362"/>
      <c r="D33" s="530"/>
      <c r="E33" s="531"/>
      <c r="F33" s="294"/>
      <c r="G33" s="294"/>
      <c r="H33" s="348"/>
      <c r="I33" s="410" t="s">
        <v>157</v>
      </c>
      <c r="J33" s="326"/>
      <c r="K33" s="284"/>
      <c r="L33" s="305"/>
      <c r="M33" s="305"/>
      <c r="N33" s="30">
        <v>98</v>
      </c>
      <c r="O33" s="11"/>
      <c r="P33" s="31"/>
      <c r="R33" s="277">
        <f t="shared" si="0"/>
        <v>0</v>
      </c>
      <c r="S33" s="472" t="e">
        <f t="shared" si="1"/>
        <v>#N/A</v>
      </c>
      <c r="T33" s="472" t="e">
        <f t="shared" si="2"/>
        <v>#N/A</v>
      </c>
      <c r="U33" s="297" t="e">
        <f t="shared" si="3"/>
        <v>#N/A</v>
      </c>
      <c r="V33" s="297" t="e">
        <f t="shared" si="4"/>
        <v>#N/A</v>
      </c>
      <c r="W33" s="297" t="e">
        <f t="shared" si="5"/>
        <v>#N/A</v>
      </c>
      <c r="X33" s="297" t="e">
        <f t="shared" si="6"/>
        <v>#N/A</v>
      </c>
      <c r="Y33" s="297" t="e">
        <f t="shared" si="7"/>
        <v>#N/A</v>
      </c>
      <c r="Z33" s="472" t="e">
        <f t="shared" si="8"/>
        <v>#N/A</v>
      </c>
      <c r="AA33" s="472"/>
    </row>
    <row r="34" spans="1:56" ht="15" customHeight="1" thickBot="1">
      <c r="A34" s="28"/>
      <c r="B34" s="539"/>
      <c r="C34" s="362"/>
      <c r="D34" s="532"/>
      <c r="E34" s="526"/>
      <c r="F34" s="294"/>
      <c r="G34" s="294"/>
      <c r="H34" s="348"/>
      <c r="I34" s="406" t="s">
        <v>156</v>
      </c>
      <c r="J34" s="327"/>
      <c r="K34" s="407"/>
      <c r="L34" s="408"/>
      <c r="M34" s="408"/>
      <c r="N34" s="409">
        <v>98</v>
      </c>
      <c r="O34" s="11"/>
      <c r="P34" s="31"/>
      <c r="R34" s="277">
        <f t="shared" si="0"/>
        <v>0</v>
      </c>
      <c r="S34" s="472" t="e">
        <f t="shared" si="1"/>
        <v>#N/A</v>
      </c>
      <c r="T34" s="472" t="e">
        <f t="shared" si="2"/>
        <v>#N/A</v>
      </c>
      <c r="U34" s="297" t="e">
        <f t="shared" si="3"/>
        <v>#N/A</v>
      </c>
      <c r="V34" s="297" t="e">
        <f t="shared" si="4"/>
        <v>#N/A</v>
      </c>
      <c r="W34" s="297" t="e">
        <f t="shared" si="5"/>
        <v>#N/A</v>
      </c>
      <c r="X34" s="297" t="e">
        <f t="shared" si="6"/>
        <v>#N/A</v>
      </c>
      <c r="Y34" s="297" t="e">
        <f t="shared" si="7"/>
        <v>#N/A</v>
      </c>
      <c r="Z34" s="472" t="e">
        <f t="shared" si="8"/>
        <v>#N/A</v>
      </c>
      <c r="AA34" s="472"/>
    </row>
    <row r="35" spans="1:56" ht="15" customHeight="1" thickBot="1">
      <c r="A35" s="28"/>
      <c r="B35" s="539"/>
      <c r="C35" s="349"/>
      <c r="D35" s="523"/>
      <c r="E35" s="524"/>
      <c r="F35" s="294"/>
      <c r="G35" s="294"/>
      <c r="H35" s="348"/>
      <c r="I35" s="1"/>
      <c r="J35" s="39"/>
      <c r="K35" s="404">
        <f>SUM(K25:K34)</f>
        <v>57</v>
      </c>
      <c r="L35" s="405">
        <f>((L25*K25)+(L26*K26)+(L27*K27)+(L28*K28)+(L29*K29)+(K32*L32)+(L30*K30)+(L31*K31)+(L34*K34))/(K35)</f>
        <v>98.672163359369947</v>
      </c>
      <c r="M35" s="405">
        <f>AVERAGE('[9]Jan30th-31st'!$L$42,'[10]Feb 27th-28th'!$L$45,'[11]Mar 31st'!$L$42,'[12]Apr 30th'!$L$41,'[13]May 29th '!$L$35,'[14]June 30th'!$L$32,[15]July31st!$L$36,'[16]Aug 31st'!$L$32,L35)</f>
        <v>98.069497663813692</v>
      </c>
      <c r="N35" s="40">
        <v>98</v>
      </c>
      <c r="O35" s="11"/>
      <c r="P35" s="31"/>
      <c r="R35" s="277">
        <f t="shared" si="0"/>
        <v>0</v>
      </c>
      <c r="S35" s="472" t="e">
        <f t="shared" si="1"/>
        <v>#N/A</v>
      </c>
      <c r="T35" s="472" t="e">
        <f t="shared" si="2"/>
        <v>#N/A</v>
      </c>
      <c r="U35" s="297" t="e">
        <f t="shared" si="3"/>
        <v>#N/A</v>
      </c>
      <c r="V35" s="297" t="e">
        <f t="shared" si="4"/>
        <v>#N/A</v>
      </c>
      <c r="W35" s="297" t="e">
        <f t="shared" si="5"/>
        <v>#N/A</v>
      </c>
      <c r="X35" s="297" t="e">
        <f t="shared" si="6"/>
        <v>#N/A</v>
      </c>
      <c r="Y35" s="297" t="e">
        <f t="shared" si="7"/>
        <v>#N/A</v>
      </c>
      <c r="Z35" s="472" t="e">
        <f t="shared" si="8"/>
        <v>#N/A</v>
      </c>
      <c r="AA35" s="472"/>
    </row>
    <row r="36" spans="1:56" ht="15.75" thickBot="1">
      <c r="B36" s="540"/>
      <c r="C36" s="350"/>
      <c r="D36" s="525"/>
      <c r="E36" s="526"/>
      <c r="F36" s="294"/>
      <c r="G36" s="42"/>
      <c r="H36" s="41"/>
      <c r="I36" s="42"/>
      <c r="J36" s="42"/>
      <c r="K36" s="351"/>
      <c r="L36" s="348"/>
      <c r="M36" s="348"/>
      <c r="N36" s="11"/>
      <c r="O36" s="294"/>
      <c r="P36" s="12"/>
      <c r="R36" s="277">
        <f t="shared" si="0"/>
        <v>0</v>
      </c>
      <c r="S36" s="472" t="e">
        <f t="shared" si="1"/>
        <v>#N/A</v>
      </c>
      <c r="T36" s="472" t="e">
        <f t="shared" si="2"/>
        <v>#N/A</v>
      </c>
      <c r="U36" s="297" t="e">
        <f t="shared" si="3"/>
        <v>#N/A</v>
      </c>
      <c r="V36" s="297" t="e">
        <f t="shared" si="4"/>
        <v>#N/A</v>
      </c>
      <c r="W36" s="297" t="e">
        <f t="shared" si="5"/>
        <v>#N/A</v>
      </c>
      <c r="X36" s="297" t="e">
        <f t="shared" si="6"/>
        <v>#N/A</v>
      </c>
      <c r="Y36" s="297" t="e">
        <f t="shared" si="7"/>
        <v>#N/A</v>
      </c>
      <c r="Z36" s="472" t="e">
        <f t="shared" si="8"/>
        <v>#N/A</v>
      </c>
      <c r="AA36" s="472"/>
    </row>
    <row r="37" spans="1:56" ht="15.75" thickBot="1">
      <c r="B37" s="520"/>
      <c r="C37" s="362"/>
      <c r="D37" s="523"/>
      <c r="E37" s="524"/>
      <c r="F37" s="294"/>
      <c r="G37" s="42"/>
      <c r="H37" s="41"/>
      <c r="I37" s="42"/>
      <c r="J37" s="527" t="s">
        <v>129</v>
      </c>
      <c r="K37" s="527"/>
      <c r="L37" s="294"/>
      <c r="M37" s="294"/>
      <c r="N37" s="294"/>
      <c r="O37" s="294"/>
      <c r="P37" s="12"/>
    </row>
    <row r="38" spans="1:56" ht="15.75" thickBot="1">
      <c r="B38" s="521"/>
      <c r="C38" s="362"/>
      <c r="D38" s="525"/>
      <c r="E38" s="526"/>
      <c r="F38" s="294"/>
      <c r="G38" s="42"/>
      <c r="H38" s="42"/>
      <c r="I38" s="42"/>
      <c r="J38" s="292" t="s">
        <v>17</v>
      </c>
      <c r="K38" s="293"/>
      <c r="L38" s="528" t="s">
        <v>136</v>
      </c>
      <c r="M38" s="528"/>
      <c r="N38" s="529"/>
      <c r="O38" s="294"/>
      <c r="P38" s="12"/>
    </row>
    <row r="39" spans="1:56" ht="15" customHeight="1" thickBot="1">
      <c r="B39" s="521"/>
      <c r="C39" s="349"/>
      <c r="D39" s="530"/>
      <c r="E39" s="531"/>
      <c r="F39" s="294"/>
      <c r="G39" s="42"/>
      <c r="H39" s="42"/>
      <c r="I39" s="42"/>
      <c r="J39" s="287" t="s">
        <v>6</v>
      </c>
      <c r="K39" s="324">
        <v>6</v>
      </c>
      <c r="L39" s="473" t="s">
        <v>37</v>
      </c>
      <c r="M39" s="474" t="s">
        <v>38</v>
      </c>
      <c r="N39" s="474" t="s">
        <v>84</v>
      </c>
      <c r="O39" s="294"/>
      <c r="P39" s="12"/>
    </row>
    <row r="40" spans="1:56" ht="15.75" customHeight="1" thickBot="1">
      <c r="B40" s="521"/>
      <c r="C40" s="349"/>
      <c r="D40" s="532"/>
      <c r="E40" s="526"/>
      <c r="F40" s="294"/>
      <c r="G40" s="42"/>
      <c r="H40" s="42"/>
      <c r="I40" s="42"/>
      <c r="J40" s="345" t="s">
        <v>9</v>
      </c>
      <c r="K40" s="324"/>
      <c r="L40" s="485">
        <f>AVERAGE('Sept 1st'!K45,'Sept 2nd'!K47,'Sept 3rd'!K44,'Sept 4th'!K46,'Sept 7th'!K48,'Sept 8th'!K48,'Sept 9th'!K50,K49)</f>
        <v>7</v>
      </c>
      <c r="M40" s="486">
        <f>AVERAGE('[9]Jan30th-31st'!$L$47,L40,'[10]Feb 26th '!$L$39,'[11]Mar 31st'!$L$47,'[12]Apr 30th'!$L$46,'[13]May 29th '!$L$40,'[14]June 30th'!$L$39,[15]July31st!$L$41,'[16]Aug 31st'!$L$37)</f>
        <v>6.5155670416539984</v>
      </c>
      <c r="N40" s="416">
        <v>9.1999999999999993</v>
      </c>
      <c r="O40" s="294"/>
      <c r="P40" s="12"/>
    </row>
    <row r="41" spans="1:56" ht="15" customHeight="1">
      <c r="B41" s="521"/>
      <c r="C41" s="349"/>
      <c r="D41" s="530"/>
      <c r="E41" s="531"/>
      <c r="F41" s="294"/>
      <c r="G41" s="42"/>
      <c r="H41" s="42"/>
      <c r="I41" s="42"/>
      <c r="J41" s="288" t="s">
        <v>40</v>
      </c>
      <c r="K41" s="324"/>
      <c r="L41" s="294"/>
      <c r="M41" s="294"/>
      <c r="N41" s="294"/>
      <c r="O41" s="294"/>
      <c r="P41" s="12"/>
    </row>
    <row r="42" spans="1:56" ht="15" customHeight="1">
      <c r="B42" s="521"/>
      <c r="C42" s="349"/>
      <c r="D42" s="532"/>
      <c r="E42" s="526"/>
      <c r="F42" s="294"/>
      <c r="G42" s="42"/>
      <c r="H42" s="42"/>
      <c r="I42" s="42"/>
      <c r="J42" s="289" t="s">
        <v>33</v>
      </c>
      <c r="K42" s="324"/>
      <c r="L42" s="294"/>
      <c r="M42" s="294"/>
      <c r="N42" s="294"/>
      <c r="O42" s="294"/>
      <c r="P42" s="12"/>
    </row>
    <row r="43" spans="1:56" ht="15">
      <c r="B43" s="521"/>
      <c r="C43" s="349"/>
      <c r="D43" s="530"/>
      <c r="E43" s="531"/>
      <c r="F43" s="294"/>
      <c r="G43" s="42"/>
      <c r="H43" s="42"/>
      <c r="I43" s="42"/>
      <c r="J43" s="290" t="s">
        <v>16</v>
      </c>
      <c r="K43" s="324"/>
      <c r="L43" s="294"/>
      <c r="M43" s="294"/>
      <c r="N43" s="294"/>
      <c r="O43" s="294"/>
      <c r="P43" s="12"/>
      <c r="BC43" s="44"/>
      <c r="BD43" s="44"/>
    </row>
    <row r="44" spans="1:56" ht="15">
      <c r="B44" s="521"/>
      <c r="C44" s="349"/>
      <c r="D44" s="532"/>
      <c r="E44" s="526"/>
      <c r="F44" s="294"/>
      <c r="G44" s="42"/>
      <c r="H44" s="42"/>
      <c r="I44" s="42"/>
      <c r="J44" s="291" t="s">
        <v>15</v>
      </c>
      <c r="K44" s="324"/>
      <c r="L44" s="294"/>
      <c r="M44" s="294"/>
      <c r="N44" s="294"/>
      <c r="O44" s="294"/>
      <c r="P44" s="12"/>
      <c r="BC44" s="44"/>
      <c r="BD44" s="44"/>
    </row>
    <row r="45" spans="1:56" ht="15">
      <c r="B45" s="521"/>
      <c r="C45" s="349"/>
      <c r="D45" s="530"/>
      <c r="E45" s="531"/>
      <c r="F45" s="294"/>
      <c r="G45" s="42"/>
      <c r="H45" s="42"/>
      <c r="I45" s="42"/>
      <c r="J45" s="291" t="s">
        <v>149</v>
      </c>
      <c r="K45" s="324"/>
      <c r="L45" s="294"/>
      <c r="M45" s="294"/>
      <c r="N45" s="294"/>
      <c r="O45" s="294"/>
      <c r="P45" s="12"/>
      <c r="BC45" s="44"/>
      <c r="BD45" s="44"/>
    </row>
    <row r="46" spans="1:56" ht="15.75" thickBot="1">
      <c r="B46" s="522"/>
      <c r="C46" s="350"/>
      <c r="D46" s="533"/>
      <c r="E46" s="534"/>
      <c r="F46" s="294" t="s">
        <v>165</v>
      </c>
      <c r="G46" s="42"/>
      <c r="H46" s="42"/>
      <c r="I46" s="42"/>
      <c r="J46" s="291" t="s">
        <v>148</v>
      </c>
      <c r="K46" s="324"/>
      <c r="L46" s="294"/>
      <c r="M46" s="294"/>
      <c r="N46" s="294" t="s">
        <v>41</v>
      </c>
      <c r="O46" s="294"/>
      <c r="P46" s="12"/>
      <c r="BC46" s="44"/>
      <c r="BD46" s="44"/>
    </row>
    <row r="47" spans="1:56" ht="17.649999999999999" customHeight="1" thickBot="1">
      <c r="B47" s="312" t="s">
        <v>139</v>
      </c>
      <c r="C47" s="313"/>
      <c r="D47" s="511"/>
      <c r="E47" s="512"/>
      <c r="F47" s="294"/>
      <c r="J47" s="295" t="s">
        <v>134</v>
      </c>
      <c r="K47" s="324"/>
      <c r="L47" s="294"/>
      <c r="M47" s="294"/>
      <c r="N47" s="294"/>
      <c r="O47" s="294"/>
      <c r="P47" s="12"/>
      <c r="BC47" s="44"/>
      <c r="BD47" s="44"/>
    </row>
    <row r="48" spans="1:56" ht="17.649999999999999" customHeight="1">
      <c r="B48" s="363"/>
      <c r="C48" s="364"/>
      <c r="D48" s="365"/>
      <c r="E48" s="365"/>
      <c r="F48" s="294"/>
      <c r="G48" s="42"/>
      <c r="H48" s="42"/>
      <c r="I48" s="42"/>
      <c r="J48" s="295" t="s">
        <v>131</v>
      </c>
      <c r="K48" s="324"/>
      <c r="L48" s="294"/>
      <c r="M48" s="294"/>
      <c r="N48" s="294"/>
      <c r="O48" s="294"/>
      <c r="P48" s="12"/>
      <c r="BC48" s="44"/>
      <c r="BD48" s="44"/>
    </row>
    <row r="49" spans="2:57" ht="15.6" customHeight="1">
      <c r="B49" s="45"/>
      <c r="C49" s="11"/>
      <c r="D49" s="11"/>
      <c r="E49" s="46"/>
      <c r="F49" s="294"/>
      <c r="G49" s="42"/>
      <c r="H49" s="42"/>
      <c r="I49" s="42"/>
      <c r="J49" s="346" t="s">
        <v>130</v>
      </c>
      <c r="K49" s="324">
        <f>SUM(K39:K48)</f>
        <v>6</v>
      </c>
      <c r="L49" s="294"/>
      <c r="M49" s="294"/>
      <c r="N49" s="294"/>
      <c r="O49" s="294"/>
      <c r="P49" s="12"/>
    </row>
    <row r="50" spans="2:57" ht="20.25" customHeight="1">
      <c r="B50" s="15" t="s">
        <v>42</v>
      </c>
      <c r="C50" s="1" t="s">
        <v>43</v>
      </c>
      <c r="D50" s="1"/>
      <c r="E50" s="1"/>
      <c r="F50" s="294"/>
      <c r="G50" s="42"/>
      <c r="H50" s="41"/>
      <c r="I50" s="42"/>
      <c r="L50" s="42"/>
      <c r="N50" s="315"/>
      <c r="P50" s="334"/>
    </row>
    <row r="51" spans="2:57" ht="15" customHeight="1" thickBot="1">
      <c r="B51" s="48"/>
      <c r="C51" s="48"/>
      <c r="D51" s="48"/>
      <c r="E51" s="48"/>
      <c r="F51" s="48"/>
      <c r="G51" s="48"/>
      <c r="H51" s="48"/>
      <c r="I51" s="48"/>
      <c r="J51" s="48"/>
      <c r="K51" s="48"/>
      <c r="L51" s="48"/>
      <c r="M51" s="48"/>
      <c r="N51" s="41"/>
      <c r="O51" s="48"/>
      <c r="P51" s="49"/>
    </row>
    <row r="52" spans="2:57" ht="15" customHeight="1" thickBot="1">
      <c r="B52" s="505" t="s">
        <v>17</v>
      </c>
      <c r="C52" s="505" t="s">
        <v>44</v>
      </c>
      <c r="D52" s="514" t="s">
        <v>45</v>
      </c>
      <c r="E52" s="516" t="s">
        <v>46</v>
      </c>
      <c r="F52" s="518" t="s">
        <v>47</v>
      </c>
      <c r="G52" s="503" t="s">
        <v>48</v>
      </c>
      <c r="H52" s="505" t="s">
        <v>49</v>
      </c>
      <c r="I52" s="505" t="s">
        <v>50</v>
      </c>
      <c r="J52" s="497" t="s">
        <v>28</v>
      </c>
      <c r="K52" s="507" t="s">
        <v>51</v>
      </c>
      <c r="L52" s="509" t="s">
        <v>52</v>
      </c>
      <c r="M52" s="497" t="s">
        <v>53</v>
      </c>
      <c r="N52" s="13"/>
      <c r="O52" s="13"/>
      <c r="P52" s="50"/>
    </row>
    <row r="53" spans="2:57" ht="28.5" customHeight="1" thickTop="1" thickBot="1">
      <c r="B53" s="506"/>
      <c r="C53" s="513"/>
      <c r="D53" s="515"/>
      <c r="E53" s="517"/>
      <c r="F53" s="519"/>
      <c r="G53" s="504"/>
      <c r="H53" s="506"/>
      <c r="I53" s="506"/>
      <c r="J53" s="498"/>
      <c r="K53" s="508"/>
      <c r="L53" s="510"/>
      <c r="M53" s="498"/>
      <c r="N53" s="13"/>
      <c r="O53" s="13"/>
      <c r="P53" s="50"/>
      <c r="Q53" s="355"/>
      <c r="AB53" s="475">
        <v>43474</v>
      </c>
      <c r="AC53" s="475">
        <v>43475</v>
      </c>
      <c r="AD53" s="475">
        <v>43476</v>
      </c>
      <c r="AE53" s="475">
        <v>43477</v>
      </c>
      <c r="AF53" s="475">
        <v>43478</v>
      </c>
      <c r="AG53" s="475">
        <v>43479</v>
      </c>
      <c r="AH53" s="475">
        <v>43480</v>
      </c>
      <c r="AI53" s="475">
        <v>43481</v>
      </c>
      <c r="AJ53" s="475">
        <v>43482</v>
      </c>
      <c r="AK53" s="475">
        <v>43483</v>
      </c>
      <c r="AL53" s="475">
        <v>43484</v>
      </c>
      <c r="AM53" s="475">
        <v>43485</v>
      </c>
      <c r="AN53" s="475">
        <v>43486</v>
      </c>
      <c r="AO53" s="475">
        <v>43487</v>
      </c>
      <c r="AP53" s="475">
        <v>43488</v>
      </c>
      <c r="AQ53" s="475">
        <v>43489</v>
      </c>
      <c r="AR53" s="475">
        <v>43490</v>
      </c>
      <c r="AS53" s="475">
        <v>43491</v>
      </c>
      <c r="AT53" s="475">
        <v>43492</v>
      </c>
      <c r="AU53" s="475">
        <v>43493</v>
      </c>
      <c r="AV53" s="475">
        <v>43494</v>
      </c>
      <c r="AW53" s="475">
        <v>43495</v>
      </c>
      <c r="AX53" s="475">
        <v>43496</v>
      </c>
    </row>
    <row r="54" spans="2:57" s="54" customFormat="1" ht="36.75" customHeight="1" thickBot="1">
      <c r="B54" s="456" t="str">
        <f>J39</f>
        <v>CARIB</v>
      </c>
      <c r="C54" s="479">
        <v>46275</v>
      </c>
      <c r="D54" s="445">
        <f>[18]September_2026!$M$3</f>
        <v>117.1</v>
      </c>
      <c r="E54" s="443"/>
      <c r="F54" s="444"/>
      <c r="G54" s="444">
        <f>[18]September_2026!$M$7</f>
        <v>109</v>
      </c>
      <c r="H54" s="458"/>
      <c r="I54" s="458"/>
      <c r="J54" s="448" t="s">
        <v>177</v>
      </c>
      <c r="K54" s="449">
        <f>[19]September_2026!$M$18</f>
        <v>0.19122807017543861</v>
      </c>
      <c r="L54" s="457">
        <f>(((D54+E54)-G54)/(D54+E54))*100</f>
        <v>6.9171648163962374</v>
      </c>
      <c r="M54" s="455" t="s">
        <v>173</v>
      </c>
      <c r="N54" s="13"/>
      <c r="O54" s="13"/>
      <c r="P54" s="50"/>
      <c r="R54" s="275"/>
      <c r="S54" s="275"/>
      <c r="T54" s="275"/>
      <c r="U54" s="275"/>
      <c r="V54" s="275"/>
      <c r="W54" s="275"/>
      <c r="X54" s="275"/>
      <c r="Y54" s="275"/>
      <c r="Z54" s="275"/>
      <c r="AA54" s="275"/>
      <c r="AB54" s="57">
        <f>[17]January_2019!L5</f>
        <v>0</v>
      </c>
      <c r="AC54" s="57">
        <f>[17]January_2019!M5</f>
        <v>0</v>
      </c>
      <c r="AD54" s="57">
        <f>[17]January_2019!N5</f>
        <v>0</v>
      </c>
      <c r="AE54" s="57">
        <f>[17]January_2019!O5</f>
        <v>0</v>
      </c>
      <c r="AF54" s="57">
        <f>[17]January_2019!P5</f>
        <v>0</v>
      </c>
      <c r="AG54" s="57">
        <f>[17]January_2019!Q5</f>
        <v>0</v>
      </c>
      <c r="AH54" s="57">
        <f>[17]January_2019!R5</f>
        <v>0</v>
      </c>
      <c r="AI54" s="57">
        <f>[17]January_2019!S5</f>
        <v>0</v>
      </c>
      <c r="AJ54" s="57">
        <f>[17]January_2019!T5</f>
        <v>0</v>
      </c>
      <c r="AK54" s="57">
        <f>[17]January_2019!U5</f>
        <v>0</v>
      </c>
      <c r="AL54" s="57">
        <f>[17]January_2019!V5</f>
        <v>0</v>
      </c>
      <c r="AM54" s="57">
        <f>[17]January_2019!W5</f>
        <v>0</v>
      </c>
      <c r="AN54" s="57">
        <f>[17]January_2019!X5</f>
        <v>0</v>
      </c>
      <c r="AO54" s="57">
        <f>[17]January_2019!Y5</f>
        <v>0</v>
      </c>
      <c r="AP54" s="57">
        <f>[17]January_2019!Z5</f>
        <v>0</v>
      </c>
      <c r="AQ54" s="57">
        <f>[17]January_2019!AA5</f>
        <v>0</v>
      </c>
      <c r="AR54" s="57">
        <f>[17]January_2019!AB5</f>
        <v>0</v>
      </c>
      <c r="AS54" s="57">
        <f>[17]January_2019!AC5</f>
        <v>0</v>
      </c>
      <c r="AT54" s="57">
        <f>[17]January_2019!AD5</f>
        <v>0</v>
      </c>
      <c r="AU54" s="57">
        <f>[17]January_2019!AE5</f>
        <v>0</v>
      </c>
      <c r="AV54" s="57">
        <f>[17]January_2019!AF5</f>
        <v>0</v>
      </c>
      <c r="AW54" s="57">
        <f>[17]January_2019!AG5</f>
        <v>0</v>
      </c>
      <c r="AX54" s="277">
        <f>[17]January_2019!AH5</f>
        <v>0</v>
      </c>
      <c r="AY54" s="277"/>
      <c r="AZ54" s="277"/>
      <c r="BA54" s="277"/>
      <c r="BB54" s="277"/>
      <c r="BC54" s="277"/>
      <c r="BD54" s="277"/>
      <c r="BE54" s="277"/>
    </row>
    <row r="55" spans="2:57" s="54" customFormat="1" ht="14.25" customHeight="1" thickBot="1">
      <c r="B55" s="480"/>
      <c r="C55" s="479"/>
      <c r="D55" s="442"/>
      <c r="E55" s="443"/>
      <c r="F55" s="444"/>
      <c r="G55" s="445"/>
      <c r="H55" s="458"/>
      <c r="I55" s="458"/>
      <c r="J55" s="476"/>
      <c r="K55" s="449"/>
      <c r="L55" s="457"/>
      <c r="M55" s="455"/>
      <c r="N55" s="13"/>
      <c r="O55" s="13"/>
      <c r="P55" s="50"/>
      <c r="R55" s="275"/>
      <c r="S55" s="275"/>
      <c r="T55" s="275"/>
      <c r="U55" s="275"/>
      <c r="V55" s="275"/>
      <c r="W55" s="275"/>
      <c r="X55" s="275"/>
      <c r="Y55" s="275"/>
      <c r="Z55" s="275"/>
      <c r="AA55" s="275"/>
      <c r="AB55" s="57">
        <f>[17]January_2019!L6</f>
        <v>0</v>
      </c>
      <c r="AC55" s="57">
        <f>[17]January_2019!M6</f>
        <v>0</v>
      </c>
      <c r="AD55" s="57">
        <f>[17]January_2019!N6</f>
        <v>0</v>
      </c>
      <c r="AE55" s="57">
        <f>[17]January_2019!O6</f>
        <v>0</v>
      </c>
      <c r="AF55" s="57">
        <f>[17]January_2019!P6</f>
        <v>0</v>
      </c>
      <c r="AG55" s="57">
        <f>[17]January_2019!Q6</f>
        <v>0</v>
      </c>
      <c r="AH55" s="57">
        <f>[17]January_2019!R6</f>
        <v>0</v>
      </c>
      <c r="AI55" s="57">
        <f>[17]January_2019!S6</f>
        <v>0</v>
      </c>
      <c r="AJ55" s="57">
        <f>[17]January_2019!T6</f>
        <v>0</v>
      </c>
      <c r="AK55" s="57">
        <f>[17]January_2019!U6</f>
        <v>0</v>
      </c>
      <c r="AL55" s="57">
        <f>[17]January_2019!V6</f>
        <v>0</v>
      </c>
      <c r="AM55" s="57">
        <f>[17]January_2019!W6</f>
        <v>0</v>
      </c>
      <c r="AN55" s="57">
        <f>[17]January_2019!X6</f>
        <v>0</v>
      </c>
      <c r="AO55" s="57">
        <f>[17]January_2019!Y6</f>
        <v>0</v>
      </c>
      <c r="AP55" s="57">
        <f>[17]January_2019!Z6</f>
        <v>0</v>
      </c>
      <c r="AQ55" s="57">
        <f>[17]January_2019!AA6</f>
        <v>0</v>
      </c>
      <c r="AR55" s="57">
        <f>[17]January_2019!AB6</f>
        <v>0</v>
      </c>
      <c r="AS55" s="57">
        <f>[17]January_2019!AC6</f>
        <v>0</v>
      </c>
      <c r="AT55" s="57">
        <f>[17]January_2019!AD6</f>
        <v>0</v>
      </c>
      <c r="AU55" s="57">
        <f>[17]January_2019!AE6</f>
        <v>0</v>
      </c>
      <c r="AV55" s="57">
        <f>[17]January_2019!AF6</f>
        <v>0</v>
      </c>
      <c r="AW55" s="57">
        <f>[17]January_2019!AG6</f>
        <v>0</v>
      </c>
      <c r="AX55" s="277">
        <f>[17]January_2019!AH6</f>
        <v>0</v>
      </c>
      <c r="AY55" s="277"/>
      <c r="AZ55" s="277"/>
      <c r="BA55" s="277"/>
      <c r="BB55" s="277"/>
      <c r="BC55" s="277"/>
      <c r="BD55" s="277"/>
      <c r="BE55" s="277"/>
    </row>
    <row r="56" spans="2:57" s="54" customFormat="1" ht="37.15" customHeight="1" thickBot="1">
      <c r="B56" s="456"/>
      <c r="C56" s="479"/>
      <c r="D56" s="442"/>
      <c r="E56" s="443"/>
      <c r="F56" s="444"/>
      <c r="G56" s="444"/>
      <c r="H56" s="446"/>
      <c r="I56" s="446"/>
      <c r="J56" s="448"/>
      <c r="K56" s="449"/>
      <c r="L56" s="457"/>
      <c r="M56" s="455"/>
      <c r="N56" s="13"/>
      <c r="O56" s="13"/>
      <c r="P56" s="50"/>
      <c r="R56" s="275"/>
      <c r="S56" s="275"/>
      <c r="T56" s="275"/>
      <c r="U56" s="275"/>
      <c r="V56" s="275"/>
      <c r="W56" s="275"/>
      <c r="X56" s="275"/>
      <c r="Y56" s="275"/>
      <c r="Z56" s="275"/>
      <c r="AA56" s="275"/>
      <c r="AB56" s="57">
        <f>[17]January_2019!L7</f>
        <v>285.8</v>
      </c>
      <c r="AC56" s="57">
        <f>[17]January_2019!M7</f>
        <v>508.1</v>
      </c>
      <c r="AD56" s="57">
        <f>[17]January_2019!N7</f>
        <v>0</v>
      </c>
      <c r="AE56" s="57">
        <f>[17]January_2019!O7</f>
        <v>0</v>
      </c>
      <c r="AF56" s="57">
        <f>[17]January_2019!P7</f>
        <v>109.56666666666666</v>
      </c>
      <c r="AG56" s="57">
        <f>[17]January_2019!Q7</f>
        <v>297.64999999999998</v>
      </c>
      <c r="AH56" s="57">
        <f>[17]January_2019!R7</f>
        <v>122.3</v>
      </c>
      <c r="AI56" s="57">
        <f>[17]January_2019!S7</f>
        <v>0</v>
      </c>
      <c r="AJ56" s="57">
        <f>[17]January_2019!T7</f>
        <v>294.7</v>
      </c>
      <c r="AK56" s="57">
        <f>[17]January_2019!U7</f>
        <v>280.5</v>
      </c>
      <c r="AL56" s="57">
        <f>[17]January_2019!V7</f>
        <v>0</v>
      </c>
      <c r="AM56" s="57">
        <f>[17]January_2019!W7</f>
        <v>0</v>
      </c>
      <c r="AN56" s="57">
        <f>[17]January_2019!X7</f>
        <v>188.25</v>
      </c>
      <c r="AO56" s="57">
        <f>[17]January_2019!Y7</f>
        <v>295.7</v>
      </c>
      <c r="AP56" s="57">
        <f>[17]January_2019!Z7</f>
        <v>257.8</v>
      </c>
      <c r="AQ56" s="57">
        <f>[17]January_2019!AA7</f>
        <v>291.2</v>
      </c>
      <c r="AR56" s="57">
        <f>[17]January_2019!AB7</f>
        <v>187</v>
      </c>
      <c r="AS56" s="57">
        <f>[17]January_2019!AC7</f>
        <v>0</v>
      </c>
      <c r="AT56" s="57">
        <f>[17]January_2019!AD7</f>
        <v>0</v>
      </c>
      <c r="AU56" s="57">
        <f>[17]January_2019!AE7</f>
        <v>485.1</v>
      </c>
      <c r="AV56" s="57">
        <f>[17]January_2019!AF7</f>
        <v>171.55</v>
      </c>
      <c r="AW56" s="57">
        <f>[17]January_2019!AG7</f>
        <v>423.8</v>
      </c>
      <c r="AX56" s="277">
        <f>[17]January_2019!AH7</f>
        <v>0</v>
      </c>
      <c r="AY56" s="277"/>
      <c r="AZ56" s="277"/>
      <c r="BA56" s="277"/>
      <c r="BB56" s="277"/>
      <c r="BC56" s="277"/>
      <c r="BD56" s="277"/>
      <c r="BE56" s="277"/>
    </row>
    <row r="57" spans="2:57" s="54" customFormat="1" ht="18.600000000000001" hidden="1" customHeight="1" thickBot="1">
      <c r="B57" s="478"/>
      <c r="C57" s="430"/>
      <c r="D57" s="431"/>
      <c r="E57" s="432"/>
      <c r="F57" s="433"/>
      <c r="G57" s="434"/>
      <c r="H57" s="458"/>
      <c r="I57" s="458"/>
      <c r="J57" s="451"/>
      <c r="K57" s="436"/>
      <c r="L57" s="452"/>
      <c r="M57" s="421"/>
      <c r="N57" s="13"/>
      <c r="O57" s="13"/>
      <c r="P57" s="50"/>
      <c r="R57" s="275"/>
      <c r="S57" s="275"/>
      <c r="T57" s="275"/>
      <c r="U57" s="275"/>
      <c r="V57" s="275"/>
      <c r="W57" s="275"/>
      <c r="X57" s="275"/>
      <c r="Y57" s="275"/>
      <c r="Z57" s="275"/>
      <c r="AA57" s="275"/>
      <c r="AB57" s="57"/>
      <c r="AC57" s="57"/>
      <c r="AD57" s="57"/>
      <c r="AE57" s="57"/>
      <c r="AF57" s="57"/>
      <c r="AG57" s="57"/>
      <c r="AH57" s="57"/>
      <c r="AI57" s="57"/>
      <c r="AJ57" s="57"/>
      <c r="AK57" s="57"/>
      <c r="AL57" s="57"/>
      <c r="AM57" s="57"/>
      <c r="AN57" s="57"/>
      <c r="AO57" s="57"/>
      <c r="AP57" s="57"/>
      <c r="AQ57" s="57"/>
      <c r="AR57" s="57"/>
      <c r="AS57" s="57"/>
      <c r="AT57" s="57"/>
      <c r="AU57" s="57"/>
      <c r="AV57" s="57"/>
      <c r="AW57" s="57"/>
      <c r="AX57" s="277"/>
      <c r="AY57" s="277"/>
      <c r="AZ57" s="277"/>
      <c r="BA57" s="277"/>
      <c r="BB57" s="277"/>
      <c r="BC57" s="277"/>
      <c r="BD57" s="277"/>
      <c r="BE57" s="277"/>
    </row>
    <row r="58" spans="2:57" s="54" customFormat="1" ht="38.65" hidden="1" customHeight="1" thickBot="1">
      <c r="B58" s="487"/>
      <c r="C58" s="479"/>
      <c r="D58" s="442"/>
      <c r="E58" s="443"/>
      <c r="F58" s="444"/>
      <c r="G58" s="445"/>
      <c r="H58" s="458"/>
      <c r="I58" s="458"/>
      <c r="J58" s="448"/>
      <c r="K58" s="459"/>
      <c r="L58" s="457"/>
      <c r="M58" s="455"/>
      <c r="N58" s="13"/>
      <c r="O58" s="13"/>
      <c r="P58" s="50"/>
      <c r="R58" s="275"/>
      <c r="S58" s="275"/>
      <c r="T58" s="275"/>
      <c r="U58" s="275"/>
      <c r="V58" s="275"/>
      <c r="W58" s="275"/>
      <c r="X58" s="275"/>
      <c r="Y58" s="275"/>
      <c r="Z58" s="275"/>
      <c r="AA58" s="275"/>
      <c r="AB58" s="57"/>
      <c r="AC58" s="57"/>
      <c r="AD58" s="57"/>
      <c r="AE58" s="57"/>
      <c r="AF58" s="57"/>
      <c r="AG58" s="57"/>
      <c r="AH58" s="57"/>
      <c r="AI58" s="57"/>
      <c r="AJ58" s="57"/>
      <c r="AK58" s="57"/>
      <c r="AL58" s="57"/>
      <c r="AM58" s="57"/>
      <c r="AN58" s="57"/>
      <c r="AO58" s="57"/>
      <c r="AP58" s="57"/>
      <c r="AQ58" s="57"/>
      <c r="AR58" s="57"/>
      <c r="AS58" s="57"/>
      <c r="AT58" s="57"/>
      <c r="AU58" s="57"/>
      <c r="AV58" s="57"/>
      <c r="AW58" s="57"/>
      <c r="AX58" s="277"/>
      <c r="AY58" s="277"/>
      <c r="AZ58" s="277"/>
      <c r="BA58" s="277"/>
      <c r="BB58" s="277"/>
      <c r="BC58" s="277"/>
      <c r="BD58" s="277"/>
      <c r="BE58" s="277"/>
    </row>
    <row r="59" spans="2:57" s="54" customFormat="1" ht="15" hidden="1">
      <c r="B59" s="453"/>
      <c r="C59" s="430"/>
      <c r="D59" s="431"/>
      <c r="E59" s="432"/>
      <c r="F59" s="433"/>
      <c r="G59" s="434"/>
      <c r="H59" s="435"/>
      <c r="I59" s="450"/>
      <c r="J59" s="451"/>
      <c r="K59" s="436"/>
      <c r="L59" s="452"/>
      <c r="M59" s="421"/>
      <c r="N59" s="13"/>
      <c r="O59" s="13"/>
      <c r="P59" s="50"/>
      <c r="R59" s="275"/>
      <c r="S59" s="275"/>
      <c r="T59" s="275"/>
      <c r="U59" s="275"/>
      <c r="V59" s="275"/>
      <c r="W59" s="275"/>
      <c r="X59" s="275"/>
      <c r="Y59" s="275"/>
      <c r="Z59" s="275"/>
      <c r="AA59" s="275"/>
      <c r="AB59" s="57"/>
      <c r="AC59" s="57"/>
      <c r="AD59" s="57"/>
      <c r="AE59" s="57"/>
      <c r="AF59" s="57"/>
      <c r="AG59" s="57"/>
      <c r="AH59" s="57"/>
      <c r="AI59" s="57"/>
      <c r="AJ59" s="57"/>
      <c r="AK59" s="57"/>
      <c r="AL59" s="57"/>
      <c r="AM59" s="57"/>
      <c r="AN59" s="57"/>
      <c r="AO59" s="57"/>
      <c r="AP59" s="57"/>
      <c r="AQ59" s="57"/>
      <c r="AR59" s="57"/>
      <c r="AS59" s="57"/>
      <c r="AT59" s="57"/>
      <c r="AU59" s="57"/>
      <c r="AV59" s="57"/>
      <c r="AW59" s="57"/>
      <c r="AX59" s="277"/>
      <c r="AY59" s="277"/>
      <c r="AZ59" s="277"/>
      <c r="BA59" s="277"/>
      <c r="BB59" s="277"/>
      <c r="BC59" s="277"/>
      <c r="BD59" s="277"/>
      <c r="BE59" s="277"/>
    </row>
    <row r="60" spans="2:57" s="54" customFormat="1" ht="37.15" hidden="1" customHeight="1" thickBot="1">
      <c r="B60" s="481"/>
      <c r="C60" s="479"/>
      <c r="D60" s="442"/>
      <c r="E60" s="443"/>
      <c r="F60" s="444"/>
      <c r="G60" s="445"/>
      <c r="H60" s="446"/>
      <c r="I60" s="447"/>
      <c r="J60" s="448"/>
      <c r="K60" s="449"/>
      <c r="L60" s="457"/>
      <c r="M60" s="455"/>
      <c r="N60" s="13"/>
      <c r="O60" s="13"/>
      <c r="P60" s="50"/>
      <c r="R60" s="275"/>
      <c r="S60" s="275"/>
      <c r="T60" s="275"/>
      <c r="U60" s="275"/>
      <c r="V60" s="275"/>
      <c r="W60" s="275"/>
      <c r="X60" s="275"/>
      <c r="Y60" s="275"/>
      <c r="Z60" s="275"/>
      <c r="AA60" s="275"/>
      <c r="AB60" s="57"/>
      <c r="AC60" s="57"/>
      <c r="AD60" s="57"/>
      <c r="AE60" s="57"/>
      <c r="AF60" s="57"/>
      <c r="AG60" s="57"/>
      <c r="AH60" s="57"/>
      <c r="AI60" s="57"/>
      <c r="AJ60" s="57"/>
      <c r="AK60" s="57"/>
      <c r="AL60" s="57"/>
      <c r="AM60" s="57"/>
      <c r="AN60" s="57"/>
      <c r="AO60" s="57"/>
      <c r="AP60" s="57"/>
      <c r="AQ60" s="57"/>
      <c r="AR60" s="57"/>
      <c r="AS60" s="57"/>
      <c r="AT60" s="57"/>
      <c r="AU60" s="57"/>
      <c r="AV60" s="57"/>
      <c r="AW60" s="57"/>
      <c r="AX60" s="277"/>
      <c r="AY60" s="277"/>
      <c r="AZ60" s="277"/>
      <c r="BA60" s="277"/>
      <c r="BB60" s="277"/>
      <c r="BC60" s="277"/>
      <c r="BD60" s="277"/>
      <c r="BE60" s="277"/>
    </row>
    <row r="61" spans="2:57" s="54" customFormat="1" ht="16.5" hidden="1" customHeight="1" thickBot="1">
      <c r="B61" s="437"/>
      <c r="C61" s="423"/>
      <c r="D61" s="424"/>
      <c r="E61" s="425"/>
      <c r="F61" s="426"/>
      <c r="G61" s="427"/>
      <c r="H61" s="428"/>
      <c r="I61" s="438"/>
      <c r="J61" s="439"/>
      <c r="K61" s="429"/>
      <c r="L61" s="440"/>
      <c r="M61" s="422"/>
      <c r="N61" s="13"/>
      <c r="O61" s="13"/>
      <c r="P61" s="50"/>
      <c r="R61" s="275"/>
      <c r="S61" s="275"/>
      <c r="T61" s="275"/>
      <c r="U61" s="275"/>
      <c r="V61" s="275"/>
      <c r="W61" s="275"/>
      <c r="X61" s="275"/>
      <c r="Y61" s="275"/>
      <c r="Z61" s="275"/>
      <c r="AA61" s="275"/>
      <c r="AB61" s="415"/>
      <c r="AC61" s="415"/>
      <c r="AD61" s="415"/>
      <c r="AE61" s="415"/>
      <c r="AF61" s="415"/>
      <c r="AG61" s="415"/>
      <c r="AH61" s="415"/>
      <c r="AI61" s="415"/>
      <c r="AJ61" s="415"/>
      <c r="AK61" s="415"/>
      <c r="AL61" s="415"/>
      <c r="AM61" s="415"/>
      <c r="AN61" s="415"/>
      <c r="AO61" s="415"/>
      <c r="AP61" s="415"/>
      <c r="AQ61" s="415"/>
      <c r="AR61" s="415"/>
      <c r="AS61" s="415"/>
      <c r="AT61" s="415"/>
      <c r="AU61" s="415"/>
      <c r="AV61" s="415"/>
      <c r="AW61" s="415"/>
    </row>
    <row r="62" spans="2:57" s="54" customFormat="1" ht="37.15" hidden="1" customHeight="1" thickBot="1">
      <c r="B62" s="456"/>
      <c r="C62" s="441"/>
      <c r="D62" s="442"/>
      <c r="E62" s="443"/>
      <c r="F62" s="444"/>
      <c r="G62" s="445"/>
      <c r="H62" s="446"/>
      <c r="I62" s="447"/>
      <c r="J62" s="448"/>
      <c r="K62" s="449"/>
      <c r="L62" s="457"/>
      <c r="M62" s="454"/>
      <c r="N62" s="13"/>
      <c r="O62" s="13"/>
      <c r="P62" s="50"/>
      <c r="R62" s="275"/>
      <c r="S62" s="275"/>
      <c r="T62" s="275"/>
      <c r="U62" s="275"/>
      <c r="V62" s="275"/>
      <c r="W62" s="275"/>
      <c r="X62" s="275"/>
      <c r="Y62" s="275"/>
      <c r="Z62" s="275"/>
      <c r="AA62" s="275"/>
      <c r="AB62" s="57"/>
      <c r="AC62" s="57"/>
      <c r="AD62" s="57"/>
      <c r="AE62" s="57"/>
      <c r="AF62" s="57"/>
      <c r="AG62" s="57"/>
      <c r="AH62" s="57"/>
      <c r="AI62" s="57"/>
      <c r="AJ62" s="57"/>
      <c r="AK62" s="57"/>
      <c r="AL62" s="57"/>
      <c r="AM62" s="57"/>
      <c r="AN62" s="57"/>
      <c r="AO62" s="57"/>
      <c r="AP62" s="57"/>
      <c r="AQ62" s="57"/>
      <c r="AR62" s="57"/>
      <c r="AS62" s="57"/>
      <c r="AT62" s="57"/>
      <c r="AU62" s="57"/>
      <c r="AV62" s="57"/>
      <c r="AW62" s="57"/>
      <c r="AX62" s="277"/>
      <c r="AY62" s="277"/>
      <c r="AZ62" s="277"/>
      <c r="BA62" s="277"/>
      <c r="BB62" s="277"/>
      <c r="BC62" s="277"/>
      <c r="BD62" s="277"/>
      <c r="BE62" s="277"/>
    </row>
    <row r="63" spans="2:57" s="54" customFormat="1" ht="37.15" customHeight="1">
      <c r="B63" s="466"/>
      <c r="C63" s="430"/>
      <c r="D63" s="460"/>
      <c r="E63" s="461"/>
      <c r="F63" s="462"/>
      <c r="G63" s="460"/>
      <c r="H63" s="463"/>
      <c r="I63" s="463"/>
      <c r="J63" s="463"/>
      <c r="K63" s="464"/>
      <c r="L63" s="465"/>
      <c r="M63" s="50"/>
      <c r="N63" s="13"/>
      <c r="O63" s="13"/>
      <c r="P63" s="50"/>
      <c r="R63" s="275"/>
      <c r="S63" s="275"/>
      <c r="T63" s="275"/>
      <c r="U63" s="275"/>
      <c r="V63" s="275"/>
      <c r="W63" s="275"/>
      <c r="X63" s="275"/>
      <c r="Y63" s="275"/>
      <c r="Z63" s="275"/>
      <c r="AA63" s="275"/>
      <c r="AB63" s="57"/>
      <c r="AC63" s="57"/>
      <c r="AD63" s="57"/>
      <c r="AE63" s="57"/>
      <c r="AF63" s="57"/>
      <c r="AG63" s="57"/>
      <c r="AH63" s="57"/>
      <c r="AI63" s="57"/>
      <c r="AJ63" s="57"/>
      <c r="AK63" s="57"/>
      <c r="AL63" s="57"/>
      <c r="AM63" s="57"/>
      <c r="AN63" s="57"/>
      <c r="AO63" s="57"/>
      <c r="AP63" s="57"/>
      <c r="AQ63" s="57"/>
      <c r="AR63" s="57"/>
      <c r="AS63" s="57"/>
      <c r="AT63" s="57"/>
      <c r="AU63" s="57"/>
      <c r="AV63" s="57"/>
      <c r="AW63" s="57"/>
      <c r="AX63" s="277"/>
      <c r="AY63" s="277"/>
      <c r="AZ63" s="277"/>
      <c r="BA63" s="277"/>
      <c r="BB63" s="277"/>
      <c r="BC63" s="277"/>
      <c r="BD63" s="277"/>
      <c r="BE63" s="277"/>
    </row>
    <row r="64" spans="2:57" ht="18" customHeight="1" thickBot="1">
      <c r="B64" s="59"/>
      <c r="C64" s="309"/>
      <c r="D64" s="59"/>
      <c r="E64" s="59"/>
      <c r="F64" s="59"/>
      <c r="G64" s="59"/>
      <c r="H64" s="59"/>
      <c r="I64" s="59"/>
      <c r="J64" s="59"/>
      <c r="K64" s="59"/>
      <c r="L64" s="59"/>
      <c r="M64" s="59"/>
      <c r="N64" s="59" t="s">
        <v>41</v>
      </c>
      <c r="O64" s="56"/>
      <c r="P64" s="60"/>
    </row>
    <row r="65" spans="2:16" ht="15.75" thickBot="1">
      <c r="B65" s="499" t="s">
        <v>55</v>
      </c>
      <c r="C65" s="500"/>
      <c r="D65" s="500"/>
      <c r="E65" s="500"/>
      <c r="F65" s="501"/>
      <c r="G65" s="499" t="s">
        <v>56</v>
      </c>
      <c r="H65" s="500"/>
      <c r="I65" s="500"/>
      <c r="J65" s="501"/>
      <c r="K65" s="499" t="s">
        <v>51</v>
      </c>
      <c r="L65" s="500"/>
      <c r="M65" s="500"/>
      <c r="N65" s="502"/>
      <c r="O65" s="56"/>
      <c r="P65" s="50"/>
    </row>
    <row r="66" spans="2:16" ht="15">
      <c r="B66" s="61" t="s">
        <v>17</v>
      </c>
      <c r="C66" s="62" t="s">
        <v>36</v>
      </c>
      <c r="D66" s="62" t="s">
        <v>37</v>
      </c>
      <c r="E66" s="62" t="s">
        <v>38</v>
      </c>
      <c r="F66" s="63" t="s">
        <v>39</v>
      </c>
      <c r="G66" s="62" t="s">
        <v>36</v>
      </c>
      <c r="H66" s="62" t="s">
        <v>37</v>
      </c>
      <c r="I66" s="62" t="s">
        <v>38</v>
      </c>
      <c r="J66" s="63" t="s">
        <v>39</v>
      </c>
      <c r="K66" s="62"/>
      <c r="L66" s="62" t="s">
        <v>37</v>
      </c>
      <c r="M66" s="62" t="s">
        <v>38</v>
      </c>
      <c r="N66" s="63" t="s">
        <v>39</v>
      </c>
      <c r="O66" s="56"/>
      <c r="P66" s="64"/>
    </row>
    <row r="67" spans="2:16" ht="15">
      <c r="B67" s="29" t="s">
        <v>6</v>
      </c>
      <c r="C67" s="65">
        <f>AVERAGE(L54,L56)</f>
        <v>6.9171648163962374</v>
      </c>
      <c r="D67" s="76">
        <v>7.1683223149077477</v>
      </c>
      <c r="E67" s="76">
        <v>6.5664758512118544</v>
      </c>
      <c r="F67" s="66">
        <v>4.8</v>
      </c>
      <c r="G67" s="65">
        <f>[18]September_2026!$M$11</f>
        <v>7.2894961571306611</v>
      </c>
      <c r="H67" s="477">
        <v>6.6712241771672547</v>
      </c>
      <c r="I67" s="477">
        <v>6.6530949425970096</v>
      </c>
      <c r="J67" s="66">
        <v>4.8</v>
      </c>
      <c r="K67" s="67">
        <f>AVERAGE(K54,K56)</f>
        <v>0.19122807017543861</v>
      </c>
      <c r="L67" s="194">
        <v>0.62401503759398502</v>
      </c>
      <c r="M67" s="194">
        <v>0.53270208479630277</v>
      </c>
      <c r="N67" s="68">
        <v>1</v>
      </c>
      <c r="O67" s="56"/>
      <c r="P67" s="69"/>
    </row>
    <row r="68" spans="2:16" ht="15">
      <c r="B68" s="33" t="s">
        <v>9</v>
      </c>
      <c r="C68" s="65"/>
      <c r="D68" s="76">
        <v>8.6363636363636189</v>
      </c>
      <c r="E68" s="76">
        <v>5.8721053130307412</v>
      </c>
      <c r="F68" s="66">
        <v>4.8</v>
      </c>
      <c r="G68" s="65"/>
      <c r="H68" s="76">
        <v>7.5248838752488254</v>
      </c>
      <c r="I68" s="76">
        <v>5.9880521869393624</v>
      </c>
      <c r="J68" s="66">
        <v>4.8</v>
      </c>
      <c r="K68" s="67"/>
      <c r="L68" s="194">
        <v>0.31736842105263158</v>
      </c>
      <c r="M68" s="194">
        <v>0.68971317640877172</v>
      </c>
      <c r="N68" s="68">
        <v>1</v>
      </c>
      <c r="P68" s="69"/>
    </row>
    <row r="69" spans="2:16" ht="15">
      <c r="B69" s="34" t="s">
        <v>40</v>
      </c>
      <c r="C69" s="65"/>
      <c r="D69" s="76"/>
      <c r="E69" s="76">
        <v>11.277593164016125</v>
      </c>
      <c r="F69" s="66">
        <v>5.5</v>
      </c>
      <c r="G69" s="65"/>
      <c r="H69" s="76"/>
      <c r="I69" s="76">
        <v>11.857907912244482</v>
      </c>
      <c r="J69" s="66">
        <v>5.5</v>
      </c>
      <c r="K69" s="67"/>
      <c r="L69" s="194"/>
      <c r="M69" s="194">
        <v>0.35370190356844494</v>
      </c>
      <c r="N69" s="68">
        <v>1</v>
      </c>
      <c r="P69" s="69"/>
    </row>
    <row r="70" spans="2:16" ht="15">
      <c r="B70" s="22" t="s">
        <v>33</v>
      </c>
      <c r="C70" s="65"/>
      <c r="D70" s="76"/>
      <c r="E70" s="76">
        <v>4.8685538193023836</v>
      </c>
      <c r="F70" s="66">
        <v>3.3</v>
      </c>
      <c r="G70" s="65"/>
      <c r="H70" s="76"/>
      <c r="I70" s="76">
        <v>4.8702525342252114</v>
      </c>
      <c r="J70" s="66">
        <v>3.3</v>
      </c>
      <c r="K70" s="67"/>
      <c r="L70" s="194"/>
      <c r="M70" s="194">
        <v>0.77919298245614044</v>
      </c>
      <c r="N70" s="68">
        <v>1</v>
      </c>
      <c r="P70" s="69"/>
    </row>
    <row r="71" spans="2:16" ht="15">
      <c r="B71" s="35" t="s">
        <v>164</v>
      </c>
      <c r="C71" s="65"/>
      <c r="D71" s="76"/>
      <c r="E71" s="76"/>
      <c r="F71" s="66">
        <v>3.3</v>
      </c>
      <c r="G71" s="282"/>
      <c r="H71" s="76"/>
      <c r="I71" s="76"/>
      <c r="J71" s="66">
        <v>3</v>
      </c>
      <c r="K71" s="67"/>
      <c r="L71" s="194"/>
      <c r="M71" s="194"/>
      <c r="N71" s="68">
        <v>1</v>
      </c>
      <c r="P71" s="69"/>
    </row>
    <row r="72" spans="2:16" ht="15">
      <c r="B72" s="36" t="s">
        <v>15</v>
      </c>
      <c r="C72" s="65"/>
      <c r="D72" s="76"/>
      <c r="E72" s="76">
        <v>6.0400197628458603</v>
      </c>
      <c r="F72" s="70">
        <v>5.5</v>
      </c>
      <c r="G72" s="65"/>
      <c r="H72" s="76"/>
      <c r="I72" s="76">
        <v>8.2405787675951316</v>
      </c>
      <c r="J72" s="66">
        <v>5.5</v>
      </c>
      <c r="K72" s="67"/>
      <c r="L72" s="194"/>
      <c r="M72" s="194">
        <v>0.78491228070175445</v>
      </c>
      <c r="N72" s="68">
        <v>1</v>
      </c>
      <c r="P72" s="69"/>
    </row>
    <row r="73" spans="2:16" ht="15">
      <c r="B73" s="37" t="s">
        <v>16</v>
      </c>
      <c r="C73" s="482"/>
      <c r="D73" s="76"/>
      <c r="E73" s="76">
        <v>3.6168923014750334</v>
      </c>
      <c r="F73" s="66">
        <v>3.3</v>
      </c>
      <c r="G73" s="282"/>
      <c r="H73" s="76"/>
      <c r="I73" s="76">
        <v>5.0091179718082053</v>
      </c>
      <c r="J73" s="66">
        <v>3.3</v>
      </c>
      <c r="K73" s="67"/>
      <c r="L73" s="194"/>
      <c r="M73" s="194">
        <v>0.92642300194931759</v>
      </c>
      <c r="N73" s="71">
        <v>1</v>
      </c>
      <c r="P73" s="69"/>
    </row>
    <row r="74" spans="2:16" ht="15.75" thickBot="1">
      <c r="B74" s="38" t="s">
        <v>163</v>
      </c>
      <c r="C74" s="65"/>
      <c r="D74" s="76"/>
      <c r="E74" s="76"/>
      <c r="F74" s="66">
        <v>7.5</v>
      </c>
      <c r="G74" s="282"/>
      <c r="H74" s="76"/>
      <c r="I74" s="76"/>
      <c r="J74" s="66">
        <v>7.5</v>
      </c>
      <c r="K74" s="67"/>
      <c r="L74" s="194"/>
      <c r="M74" s="194"/>
      <c r="N74" s="71">
        <v>1</v>
      </c>
      <c r="P74" s="69"/>
    </row>
    <row r="75" spans="2:16" ht="15.75" thickBot="1">
      <c r="B75" s="414" t="s">
        <v>161</v>
      </c>
      <c r="C75" s="65"/>
      <c r="D75" s="76"/>
      <c r="E75" s="76"/>
      <c r="F75" s="66">
        <v>4.8</v>
      </c>
      <c r="G75" s="282"/>
      <c r="H75" s="76"/>
      <c r="I75" s="76"/>
      <c r="J75" s="66">
        <v>4.8</v>
      </c>
      <c r="K75" s="67"/>
      <c r="L75" s="194"/>
      <c r="M75" s="194"/>
      <c r="N75" s="71">
        <v>1</v>
      </c>
      <c r="O75" s="74"/>
      <c r="P75" s="75"/>
    </row>
    <row r="76" spans="2:16" ht="15">
      <c r="D76" s="76">
        <v>7.4087091718802176</v>
      </c>
      <c r="E76" s="76">
        <v>6.3744786687240067</v>
      </c>
      <c r="F76" s="341">
        <v>5.5</v>
      </c>
      <c r="H76" s="76">
        <v>6.81088060468403</v>
      </c>
      <c r="I76" s="76">
        <v>6.6977196776970018</v>
      </c>
      <c r="J76" s="341">
        <v>5.5</v>
      </c>
      <c r="L76" s="194">
        <v>0.58568421052631581</v>
      </c>
      <c r="M76" s="194">
        <v>0.59779007285381003</v>
      </c>
      <c r="N76" s="386">
        <v>1</v>
      </c>
    </row>
  </sheetData>
  <mergeCells count="51">
    <mergeCell ref="M4:N4"/>
    <mergeCell ref="S1:T1"/>
    <mergeCell ref="U1:V1"/>
    <mergeCell ref="W1:X1"/>
    <mergeCell ref="Y1:Z1"/>
    <mergeCell ref="B2:O2"/>
    <mergeCell ref="P8:P9"/>
    <mergeCell ref="C5:D5"/>
    <mergeCell ref="B8:B9"/>
    <mergeCell ref="C8:C9"/>
    <mergeCell ref="D8:D9"/>
    <mergeCell ref="G8:G9"/>
    <mergeCell ref="H8:H9"/>
    <mergeCell ref="I8:I9"/>
    <mergeCell ref="J8:J9"/>
    <mergeCell ref="K8:K9"/>
    <mergeCell ref="L8:L9"/>
    <mergeCell ref="O8:O9"/>
    <mergeCell ref="I23:N23"/>
    <mergeCell ref="D24:E24"/>
    <mergeCell ref="B25:B36"/>
    <mergeCell ref="D25:E26"/>
    <mergeCell ref="D27:E28"/>
    <mergeCell ref="D29:E30"/>
    <mergeCell ref="D31:E32"/>
    <mergeCell ref="D33:E34"/>
    <mergeCell ref="D35:E36"/>
    <mergeCell ref="B37:B46"/>
    <mergeCell ref="D37:E38"/>
    <mergeCell ref="J37:K37"/>
    <mergeCell ref="L38:N38"/>
    <mergeCell ref="D39:E40"/>
    <mergeCell ref="D41:E42"/>
    <mergeCell ref="D43:E44"/>
    <mergeCell ref="D45:E46"/>
    <mergeCell ref="D47:E47"/>
    <mergeCell ref="B52:B53"/>
    <mergeCell ref="C52:C53"/>
    <mergeCell ref="D52:D53"/>
    <mergeCell ref="E52:E53"/>
    <mergeCell ref="M52:M53"/>
    <mergeCell ref="B65:F65"/>
    <mergeCell ref="G65:J65"/>
    <mergeCell ref="K65:N65"/>
    <mergeCell ref="G52:G53"/>
    <mergeCell ref="H52:H53"/>
    <mergeCell ref="I52:I53"/>
    <mergeCell ref="J52:J53"/>
    <mergeCell ref="K52:K53"/>
    <mergeCell ref="L52:L53"/>
    <mergeCell ref="F52:F53"/>
  </mergeCells>
  <conditionalFormatting sqref="B47:B48">
    <cfRule type="cellIs" dxfId="2688" priority="102" operator="notBetween">
      <formula>#REF!</formula>
      <formula>#REF!</formula>
    </cfRule>
  </conditionalFormatting>
  <conditionalFormatting sqref="C51">
    <cfRule type="cellIs" dxfId="2687" priority="184" stopIfTrue="1" operator="lessThan">
      <formula>96</formula>
    </cfRule>
    <cfRule type="cellIs" dxfId="2686" priority="185" stopIfTrue="1" operator="greaterThan">
      <formula>100</formula>
    </cfRule>
  </conditionalFormatting>
  <conditionalFormatting sqref="C67:C68">
    <cfRule type="cellIs" dxfId="2685" priority="65" stopIfTrue="1" operator="greaterThan">
      <formula>$F67</formula>
    </cfRule>
    <cfRule type="cellIs" dxfId="2684" priority="67" stopIfTrue="1" operator="greaterThan">
      <formula>$F67</formula>
    </cfRule>
    <cfRule type="cellIs" dxfId="2683" priority="68" stopIfTrue="1" operator="lessThanOrEqual">
      <formula>0</formula>
    </cfRule>
    <cfRule type="cellIs" dxfId="2682" priority="66" stopIfTrue="1" operator="lessThanOrEqual">
      <formula>0</formula>
    </cfRule>
  </conditionalFormatting>
  <conditionalFormatting sqref="C69:C71 C73:C75">
    <cfRule type="cellIs" dxfId="2681" priority="74" stopIfTrue="1" operator="greaterThan">
      <formula>$F72</formula>
    </cfRule>
  </conditionalFormatting>
  <conditionalFormatting sqref="C69:C71">
    <cfRule type="cellIs" dxfId="2680" priority="75" stopIfTrue="1" operator="lessThanOrEqual">
      <formula>0</formula>
    </cfRule>
  </conditionalFormatting>
  <conditionalFormatting sqref="C72">
    <cfRule type="cellIs" dxfId="2679" priority="186" stopIfTrue="1" operator="greaterThan">
      <formula>$F67</formula>
    </cfRule>
    <cfRule type="cellIs" dxfId="2678" priority="189" stopIfTrue="1" operator="lessThanOrEqual">
      <formula>0</formula>
    </cfRule>
    <cfRule type="cellIs" dxfId="2677" priority="188" stopIfTrue="1" operator="greaterThan">
      <formula>$F67</formula>
    </cfRule>
    <cfRule type="cellIs" dxfId="2676" priority="187" stopIfTrue="1" operator="lessThanOrEqual">
      <formula>0</formula>
    </cfRule>
  </conditionalFormatting>
  <conditionalFormatting sqref="C73:C75">
    <cfRule type="cellIs" dxfId="2675" priority="76" stopIfTrue="1" operator="lessThanOrEqual">
      <formula>0</formula>
    </cfRule>
  </conditionalFormatting>
  <conditionalFormatting sqref="C78:C82">
    <cfRule type="cellIs" dxfId="2674" priority="176" stopIfTrue="1" operator="lessThanOrEqual">
      <formula>0</formula>
    </cfRule>
  </conditionalFormatting>
  <conditionalFormatting sqref="C79:C82">
    <cfRule type="cellIs" dxfId="2673" priority="175" stopIfTrue="1" operator="greaterThan">
      <formula>$F$78</formula>
    </cfRule>
  </conditionalFormatting>
  <conditionalFormatting sqref="C84">
    <cfRule type="cellIs" dxfId="2672" priority="177" stopIfTrue="1" operator="greaterThan">
      <formula>$F$78</formula>
    </cfRule>
    <cfRule type="cellIs" dxfId="2671" priority="178" stopIfTrue="1" operator="lessThanOrEqual">
      <formula>0</formula>
    </cfRule>
  </conditionalFormatting>
  <conditionalFormatting sqref="C72:D72">
    <cfRule type="cellIs" dxfId="2670" priority="63" stopIfTrue="1" operator="greaterThan">
      <formula>$J72</formula>
    </cfRule>
    <cfRule type="cellIs" dxfId="2669" priority="64" stopIfTrue="1" operator="lessThanOrEqual">
      <formula>0</formula>
    </cfRule>
  </conditionalFormatting>
  <conditionalFormatting sqref="C78:D78 D80:D86">
    <cfRule type="cellIs" dxfId="2668" priority="170" stopIfTrue="1" operator="greaterThan">
      <formula>4.5</formula>
    </cfRule>
  </conditionalFormatting>
  <conditionalFormatting sqref="D47:D48">
    <cfRule type="cellIs" dxfId="2667" priority="103" operator="notBetween">
      <formula>#REF!</formula>
      <formula>#REF!</formula>
    </cfRule>
  </conditionalFormatting>
  <conditionalFormatting sqref="D67:D71 D73:D74">
    <cfRule type="cellIs" dxfId="2666" priority="73" stopIfTrue="1" operator="lessThanOrEqual">
      <formula>0</formula>
    </cfRule>
  </conditionalFormatting>
  <conditionalFormatting sqref="D67:D71 D73:D76">
    <cfRule type="cellIs" dxfId="2665" priority="70" stopIfTrue="1" operator="greaterThan">
      <formula>$F67</formula>
    </cfRule>
    <cfRule type="cellIs" dxfId="2664" priority="69" stopIfTrue="1" operator="lessThanOrEqual">
      <formula>0</formula>
    </cfRule>
  </conditionalFormatting>
  <conditionalFormatting sqref="D75:D76">
    <cfRule type="cellIs" dxfId="2663" priority="71" stopIfTrue="1" operator="lessThanOrEqual">
      <formula>0</formula>
    </cfRule>
  </conditionalFormatting>
  <conditionalFormatting sqref="D76">
    <cfRule type="cellIs" dxfId="2662" priority="72" stopIfTrue="1" operator="lessThanOrEqual">
      <formula>0</formula>
    </cfRule>
  </conditionalFormatting>
  <conditionalFormatting sqref="D78 D80:D86">
    <cfRule type="cellIs" dxfId="2661" priority="171" stopIfTrue="1" operator="lessThanOrEqual">
      <formula>0</formula>
    </cfRule>
  </conditionalFormatting>
  <conditionalFormatting sqref="D79">
    <cfRule type="cellIs" dxfId="2660" priority="162" stopIfTrue="1" operator="greaterThan">
      <formula>$F$78</formula>
    </cfRule>
    <cfRule type="cellIs" dxfId="2659" priority="163" stopIfTrue="1" operator="lessThanOrEqual">
      <formula>0</formula>
    </cfRule>
  </conditionalFormatting>
  <conditionalFormatting sqref="E10:E22">
    <cfRule type="cellIs" dxfId="2658" priority="12" operator="lessThan">
      <formula>48</formula>
    </cfRule>
  </conditionalFormatting>
  <conditionalFormatting sqref="E50 E51:F51">
    <cfRule type="cellIs" dxfId="2657" priority="167" stopIfTrue="1" operator="greaterThan">
      <formula>100</formula>
    </cfRule>
  </conditionalFormatting>
  <conditionalFormatting sqref="E51">
    <cfRule type="cellIs" dxfId="2656" priority="165" stopIfTrue="1" operator="greaterThan">
      <formula>100</formula>
    </cfRule>
    <cfRule type="cellIs" dxfId="2655" priority="164" stopIfTrue="1" operator="lessThan">
      <formula>96.8</formula>
    </cfRule>
  </conditionalFormatting>
  <conditionalFormatting sqref="E67:E75">
    <cfRule type="cellIs" dxfId="2654" priority="36" stopIfTrue="1" operator="lessThanOrEqual">
      <formula>0</formula>
    </cfRule>
  </conditionalFormatting>
  <conditionalFormatting sqref="E67:E76">
    <cfRule type="cellIs" dxfId="2653" priority="37" stopIfTrue="1" operator="greaterThan">
      <formula>$F67</formula>
    </cfRule>
    <cfRule type="cellIs" dxfId="2652" priority="38" stopIfTrue="1" operator="lessThanOrEqual">
      <formula>0</formula>
    </cfRule>
  </conditionalFormatting>
  <conditionalFormatting sqref="E76">
    <cfRule type="cellIs" dxfId="2651" priority="39" stopIfTrue="1" operator="lessThanOrEqual">
      <formula>0</formula>
    </cfRule>
  </conditionalFormatting>
  <conditionalFormatting sqref="E78:E86">
    <cfRule type="cellIs" dxfId="2650" priority="156" stopIfTrue="1" operator="greaterThan">
      <formula>4.5</formula>
    </cfRule>
    <cfRule type="cellIs" dxfId="2649" priority="157" stopIfTrue="1" operator="lessThanOrEqual">
      <formula>0</formula>
    </cfRule>
  </conditionalFormatting>
  <conditionalFormatting sqref="E51:F51 E50">
    <cfRule type="cellIs" dxfId="2648" priority="166" stopIfTrue="1" operator="lessThan">
      <formula>96.5</formula>
    </cfRule>
  </conditionalFormatting>
  <conditionalFormatting sqref="F10:F22">
    <cfRule type="cellIs" dxfId="2647" priority="13" operator="greaterThan">
      <formula>60</formula>
    </cfRule>
  </conditionalFormatting>
  <conditionalFormatting sqref="F51">
    <cfRule type="cellIs" dxfId="2646" priority="182" stopIfTrue="1" operator="lessThan">
      <formula>96.8</formula>
    </cfRule>
    <cfRule type="cellIs" dxfId="2645" priority="183" stopIfTrue="1" operator="greaterThan">
      <formula>100</formula>
    </cfRule>
  </conditionalFormatting>
  <conditionalFormatting sqref="G22">
    <cfRule type="expression" dxfId="2644" priority="2">
      <formula>IF(+(IF(G22&lt;S22,0,IF(G22&gt;T22,0,1)))=0,1)</formula>
    </cfRule>
  </conditionalFormatting>
  <conditionalFormatting sqref="G67:G70 F76">
    <cfRule type="cellIs" dxfId="2643" priority="45" stopIfTrue="1" operator="greaterThan">
      <formula>$F67</formula>
    </cfRule>
    <cfRule type="cellIs" dxfId="2642" priority="46" stopIfTrue="1" operator="lessThanOrEqual">
      <formula>0</formula>
    </cfRule>
  </conditionalFormatting>
  <conditionalFormatting sqref="G69:G70">
    <cfRule type="cellIs" dxfId="2641" priority="32" stopIfTrue="1" operator="lessThanOrEqual">
      <formula>0</formula>
    </cfRule>
    <cfRule type="cellIs" dxfId="2640" priority="31" stopIfTrue="1" operator="greaterThan">
      <formula>$F69</formula>
    </cfRule>
  </conditionalFormatting>
  <conditionalFormatting sqref="G71:G75">
    <cfRule type="cellIs" dxfId="2639" priority="48" stopIfTrue="1" operator="lessThanOrEqual">
      <formula>0</formula>
    </cfRule>
    <cfRule type="cellIs" dxfId="2638" priority="47" stopIfTrue="1" operator="greaterThan">
      <formula>$J71</formula>
    </cfRule>
  </conditionalFormatting>
  <conditionalFormatting sqref="G72">
    <cfRule type="cellIs" dxfId="2637" priority="190" stopIfTrue="1" operator="greaterThan">
      <formula>$F67</formula>
    </cfRule>
    <cfRule type="cellIs" dxfId="2636" priority="191" stopIfTrue="1" operator="lessThanOrEqual">
      <formula>0</formula>
    </cfRule>
  </conditionalFormatting>
  <conditionalFormatting sqref="G80:G85 C83 C85">
    <cfRule type="cellIs" dxfId="2635" priority="180" stopIfTrue="1" operator="lessThanOrEqual">
      <formula>0</formula>
    </cfRule>
    <cfRule type="cellIs" dxfId="2634" priority="179" stopIfTrue="1" operator="greaterThan">
      <formula>4.5</formula>
    </cfRule>
  </conditionalFormatting>
  <conditionalFormatting sqref="G10:H21 M10:N21 H22">
    <cfRule type="expression" dxfId="2633" priority="3">
      <formula>IF(+(IF(G10&lt;#REF!,0,IF(G10&gt;#REF!,0,1)))=0,1)</formula>
    </cfRule>
  </conditionalFormatting>
  <conditionalFormatting sqref="G79:H79">
    <cfRule type="cellIs" dxfId="2632" priority="161" stopIfTrue="1" operator="lessThanOrEqual">
      <formula>0</formula>
    </cfRule>
    <cfRule type="cellIs" dxfId="2631" priority="160" stopIfTrue="1" operator="greaterThan">
      <formula>$F$78</formula>
    </cfRule>
  </conditionalFormatting>
  <conditionalFormatting sqref="H36:H37 H50">
    <cfRule type="cellIs" dxfId="2630" priority="158" stopIfTrue="1" operator="greaterThan">
      <formula>0</formula>
    </cfRule>
  </conditionalFormatting>
  <conditionalFormatting sqref="H54">
    <cfRule type="cellIs" dxfId="2629" priority="51" stopIfTrue="1" operator="greaterThan">
      <formula>$F$67</formula>
    </cfRule>
    <cfRule type="cellIs" dxfId="2628" priority="59" stopIfTrue="1" operator="greaterThan">
      <formula>$F$70</formula>
    </cfRule>
    <cfRule type="cellIs" dxfId="2627" priority="60" stopIfTrue="1" operator="lessThanOrEqual">
      <formula>0</formula>
    </cfRule>
    <cfRule type="cellIs" dxfId="2626" priority="61" stopIfTrue="1" operator="greaterThan">
      <formula>$F$68</formula>
    </cfRule>
    <cfRule type="cellIs" dxfId="2625" priority="50" stopIfTrue="1" operator="lessThanOrEqual">
      <formula>0</formula>
    </cfRule>
  </conditionalFormatting>
  <conditionalFormatting sqref="H54:H55">
    <cfRule type="cellIs" dxfId="2624" priority="62" stopIfTrue="1" operator="lessThanOrEqual">
      <formula>0</formula>
    </cfRule>
  </conditionalFormatting>
  <conditionalFormatting sqref="H55 H57:H58">
    <cfRule type="cellIs" dxfId="2623" priority="88" stopIfTrue="1" operator="lessThanOrEqual">
      <formula>0</formula>
    </cfRule>
  </conditionalFormatting>
  <conditionalFormatting sqref="H55">
    <cfRule type="cellIs" dxfId="2622" priority="85" stopIfTrue="1" operator="greaterThan">
      <formula>$F$70</formula>
    </cfRule>
    <cfRule type="cellIs" dxfId="2621" priority="87" stopIfTrue="1" operator="greaterThan">
      <formula>$F$68</formula>
    </cfRule>
    <cfRule type="cellIs" dxfId="2620" priority="86" stopIfTrue="1" operator="lessThanOrEqual">
      <formula>0</formula>
    </cfRule>
    <cfRule type="cellIs" dxfId="2619" priority="77" stopIfTrue="1" operator="greaterThan">
      <formula>$F$67</formula>
    </cfRule>
  </conditionalFormatting>
  <conditionalFormatting sqref="H56">
    <cfRule type="cellIs" dxfId="2618" priority="17" stopIfTrue="1" operator="lessThanOrEqual">
      <formula>0</formula>
    </cfRule>
    <cfRule type="cellIs" dxfId="2617" priority="18" stopIfTrue="1" operator="greaterThan">
      <formula>$F$69</formula>
    </cfRule>
    <cfRule type="cellIs" dxfId="2616" priority="26" stopIfTrue="1" operator="greaterThan">
      <formula>$F$72</formula>
    </cfRule>
    <cfRule type="cellIs" dxfId="2615" priority="27" stopIfTrue="1" operator="lessThanOrEqual">
      <formula>0</formula>
    </cfRule>
    <cfRule type="cellIs" dxfId="2614" priority="28" stopIfTrue="1" operator="greaterThan">
      <formula>$F$70</formula>
    </cfRule>
    <cfRule type="cellIs" dxfId="2613" priority="29" stopIfTrue="1" operator="lessThanOrEqual">
      <formula>0</formula>
    </cfRule>
  </conditionalFormatting>
  <conditionalFormatting sqref="H57:H58">
    <cfRule type="cellIs" dxfId="2612" priority="100" stopIfTrue="1" operator="greaterThan">
      <formula>$F$68</formula>
    </cfRule>
    <cfRule type="cellIs" dxfId="2611" priority="99" stopIfTrue="1" operator="lessThanOrEqual">
      <formula>0</formula>
    </cfRule>
    <cfRule type="cellIs" dxfId="2610" priority="98" stopIfTrue="1" operator="greaterThan">
      <formula>$F$70</formula>
    </cfRule>
    <cfRule type="cellIs" dxfId="2609" priority="90" stopIfTrue="1" operator="greaterThan">
      <formula>$F$67</formula>
    </cfRule>
    <cfRule type="cellIs" dxfId="2608" priority="101" stopIfTrue="1" operator="lessThanOrEqual">
      <formula>0</formula>
    </cfRule>
  </conditionalFormatting>
  <conditionalFormatting sqref="H59:H60">
    <cfRule type="cellIs" dxfId="2607" priority="125" stopIfTrue="1" operator="lessThanOrEqual">
      <formula>0</formula>
    </cfRule>
    <cfRule type="cellIs" dxfId="2606" priority="134" stopIfTrue="1" operator="greaterThan">
      <formula>#REF!</formula>
    </cfRule>
    <cfRule type="cellIs" dxfId="2605" priority="135" stopIfTrue="1" operator="lessThanOrEqual">
      <formula>0</formula>
    </cfRule>
    <cfRule type="cellIs" dxfId="2604" priority="126" stopIfTrue="1" operator="greaterThan">
      <formula>#REF!</formula>
    </cfRule>
  </conditionalFormatting>
  <conditionalFormatting sqref="H61">
    <cfRule type="cellIs" dxfId="2603" priority="149" stopIfTrue="1" operator="lessThanOrEqual">
      <formula>0</formula>
    </cfRule>
    <cfRule type="cellIs" dxfId="2602" priority="137" stopIfTrue="1" operator="lessThanOrEqual">
      <formula>0</formula>
    </cfRule>
    <cfRule type="cellIs" dxfId="2601" priority="138" stopIfTrue="1" operator="greaterThan">
      <formula>$F$35</formula>
    </cfRule>
    <cfRule type="cellIs" dxfId="2600" priority="148" stopIfTrue="1" operator="greaterThan">
      <formula>$F$36</formula>
    </cfRule>
    <cfRule type="cellIs" dxfId="2599" priority="147" stopIfTrue="1" operator="lessThanOrEqual">
      <formula>0</formula>
    </cfRule>
    <cfRule type="cellIs" dxfId="2598" priority="146" stopIfTrue="1" operator="greaterThan">
      <formula>$F$38</formula>
    </cfRule>
  </conditionalFormatting>
  <conditionalFormatting sqref="H62:H63">
    <cfRule type="cellIs" dxfId="2597" priority="122" stopIfTrue="1" operator="greaterThan">
      <formula>#REF!</formula>
    </cfRule>
    <cfRule type="cellIs" dxfId="2596" priority="114" stopIfTrue="1" operator="greaterThan">
      <formula>#REF!</formula>
    </cfRule>
    <cfRule type="cellIs" dxfId="2595" priority="113" stopIfTrue="1" operator="lessThanOrEqual">
      <formula>0</formula>
    </cfRule>
    <cfRule type="cellIs" dxfId="2594" priority="123" stopIfTrue="1" operator="lessThanOrEqual">
      <formula>0</formula>
    </cfRule>
  </conditionalFormatting>
  <conditionalFormatting sqref="H78 H80:H86">
    <cfRule type="cellIs" dxfId="2593" priority="172" stopIfTrue="1" operator="greaterThan">
      <formula>4.5</formula>
    </cfRule>
    <cfRule type="cellIs" dxfId="2592" priority="173" stopIfTrue="1" operator="lessThanOrEqual">
      <formula>0</formula>
    </cfRule>
  </conditionalFormatting>
  <conditionalFormatting sqref="H54:I54">
    <cfRule type="cellIs" dxfId="2591" priority="52" stopIfTrue="1" operator="lessThanOrEqual">
      <formula>0</formula>
    </cfRule>
  </conditionalFormatting>
  <conditionalFormatting sqref="H54:I55 H57:I58">
    <cfRule type="cellIs" dxfId="2590" priority="49" stopIfTrue="1" operator="greaterThan">
      <formula>$F$69</formula>
    </cfRule>
  </conditionalFormatting>
  <conditionalFormatting sqref="H55:I55">
    <cfRule type="cellIs" dxfId="2589" priority="78" stopIfTrue="1" operator="lessThanOrEqual">
      <formula>0</formula>
    </cfRule>
  </conditionalFormatting>
  <conditionalFormatting sqref="H56:I56">
    <cfRule type="cellIs" dxfId="2588" priority="16" stopIfTrue="1" operator="greaterThan">
      <formula>$F$71</formula>
    </cfRule>
    <cfRule type="cellIs" dxfId="2587" priority="19" stopIfTrue="1" operator="lessThanOrEqual">
      <formula>0</formula>
    </cfRule>
  </conditionalFormatting>
  <conditionalFormatting sqref="H57:I58">
    <cfRule type="cellIs" dxfId="2586" priority="91" stopIfTrue="1" operator="lessThanOrEqual">
      <formula>0</formula>
    </cfRule>
  </conditionalFormatting>
  <conditionalFormatting sqref="H59:I60">
    <cfRule type="cellIs" dxfId="2585" priority="132" stopIfTrue="1" operator="greaterThan">
      <formula>#REF!</formula>
    </cfRule>
    <cfRule type="cellIs" dxfId="2584" priority="127" stopIfTrue="1" operator="lessThanOrEqual">
      <formula>0</formula>
    </cfRule>
    <cfRule type="cellIs" dxfId="2583" priority="133" stopIfTrue="1" operator="lessThanOrEqual">
      <formula>0</formula>
    </cfRule>
    <cfRule type="cellIs" dxfId="2582" priority="124" stopIfTrue="1" operator="greaterThan">
      <formula>#REF!</formula>
    </cfRule>
  </conditionalFormatting>
  <conditionalFormatting sqref="H61:I61">
    <cfRule type="cellIs" dxfId="2581" priority="136" stopIfTrue="1" operator="greaterThan">
      <formula>$F$37</formula>
    </cfRule>
    <cfRule type="cellIs" dxfId="2580" priority="139" stopIfTrue="1" operator="lessThanOrEqual">
      <formula>0</formula>
    </cfRule>
  </conditionalFormatting>
  <conditionalFormatting sqref="H62:I63">
    <cfRule type="cellIs" dxfId="2579" priority="112" stopIfTrue="1" operator="greaterThan">
      <formula>#REF!</formula>
    </cfRule>
    <cfRule type="cellIs" dxfId="2578" priority="115" stopIfTrue="1" operator="lessThanOrEqual">
      <formula>0</formula>
    </cfRule>
    <cfRule type="cellIs" dxfId="2577" priority="120" stopIfTrue="1" operator="greaterThan">
      <formula>#REF!</formula>
    </cfRule>
    <cfRule type="cellIs" dxfId="2576" priority="121" stopIfTrue="1" operator="lessThanOrEqual">
      <formula>0</formula>
    </cfRule>
  </conditionalFormatting>
  <conditionalFormatting sqref="H67:I74">
    <cfRule type="cellIs" dxfId="2575" priority="35" stopIfTrue="1" operator="lessThanOrEqual">
      <formula>0</formula>
    </cfRule>
    <cfRule type="cellIs" dxfId="2574" priority="34" stopIfTrue="1" operator="greaterThan">
      <formula>$J67</formula>
    </cfRule>
  </conditionalFormatting>
  <conditionalFormatting sqref="H75:I75">
    <cfRule type="cellIs" dxfId="2573" priority="42" operator="greaterThan">
      <formula>5.3</formula>
    </cfRule>
  </conditionalFormatting>
  <conditionalFormatting sqref="H76:I76">
    <cfRule type="cellIs" dxfId="2572" priority="41" stopIfTrue="1" operator="lessThanOrEqual">
      <formula>0</formula>
    </cfRule>
    <cfRule type="cellIs" dxfId="2571" priority="40" stopIfTrue="1" operator="greaterThan">
      <formula>$J76</formula>
    </cfRule>
  </conditionalFormatting>
  <conditionalFormatting sqref="I54">
    <cfRule type="cellIs" dxfId="2570" priority="55" stopIfTrue="1" operator="greaterThan">
      <formula>$F$69</formula>
    </cfRule>
    <cfRule type="cellIs" dxfId="2569" priority="54" stopIfTrue="1" operator="lessThanOrEqual">
      <formula>0</formula>
    </cfRule>
    <cfRule type="cellIs" dxfId="2568" priority="53" stopIfTrue="1" operator="greaterThan">
      <formula>$F$67</formula>
    </cfRule>
    <cfRule type="cellIs" dxfId="2567" priority="58" stopIfTrue="1" operator="lessThanOrEqual">
      <formula>0</formula>
    </cfRule>
    <cfRule type="cellIs" dxfId="2566" priority="57" stopIfTrue="1" operator="greaterThan">
      <formula>$F$67</formula>
    </cfRule>
    <cfRule type="cellIs" dxfId="2565" priority="56" stopIfTrue="1" operator="lessThanOrEqual">
      <formula>0</formula>
    </cfRule>
  </conditionalFormatting>
  <conditionalFormatting sqref="I55">
    <cfRule type="cellIs" dxfId="2564" priority="80" stopIfTrue="1" operator="lessThanOrEqual">
      <formula>0</formula>
    </cfRule>
    <cfRule type="cellIs" dxfId="2563" priority="79" stopIfTrue="1" operator="greaterThan">
      <formula>$F$67</formula>
    </cfRule>
    <cfRule type="cellIs" dxfId="2562" priority="84" stopIfTrue="1" operator="lessThanOrEqual">
      <formula>0</formula>
    </cfRule>
    <cfRule type="cellIs" dxfId="2561" priority="83" stopIfTrue="1" operator="greaterThan">
      <formula>$F$67</formula>
    </cfRule>
    <cfRule type="cellIs" dxfId="2560" priority="82" stopIfTrue="1" operator="lessThanOrEqual">
      <formula>0</formula>
    </cfRule>
    <cfRule type="cellIs" dxfId="2559" priority="81" stopIfTrue="1" operator="greaterThan">
      <formula>$F$69</formula>
    </cfRule>
  </conditionalFormatting>
  <conditionalFormatting sqref="I56">
    <cfRule type="cellIs" dxfId="2558" priority="24" stopIfTrue="1" operator="greaterThan">
      <formula>$F$69</formula>
    </cfRule>
    <cfRule type="cellIs" dxfId="2557" priority="23" stopIfTrue="1" operator="lessThanOrEqual">
      <formula>0</formula>
    </cfRule>
    <cfRule type="cellIs" dxfId="2556" priority="22" stopIfTrue="1" operator="greaterThan">
      <formula>$F$71</formula>
    </cfRule>
    <cfRule type="cellIs" dxfId="2555" priority="21" stopIfTrue="1" operator="lessThanOrEqual">
      <formula>0</formula>
    </cfRule>
    <cfRule type="cellIs" dxfId="2554" priority="20" stopIfTrue="1" operator="greaterThan">
      <formula>$F$69</formula>
    </cfRule>
    <cfRule type="cellIs" dxfId="2553" priority="25" stopIfTrue="1" operator="lessThanOrEqual">
      <formula>0</formula>
    </cfRule>
  </conditionalFormatting>
  <conditionalFormatting sqref="I57:I58">
    <cfRule type="cellIs" dxfId="2552" priority="95" stopIfTrue="1" operator="lessThanOrEqual">
      <formula>0</formula>
    </cfRule>
    <cfRule type="cellIs" dxfId="2551" priority="96" stopIfTrue="1" operator="greaterThan">
      <formula>$F$67</formula>
    </cfRule>
    <cfRule type="cellIs" dxfId="2550" priority="97" stopIfTrue="1" operator="lessThanOrEqual">
      <formula>0</formula>
    </cfRule>
    <cfRule type="cellIs" dxfId="2549" priority="92" stopIfTrue="1" operator="greaterThan">
      <formula>$F$67</formula>
    </cfRule>
    <cfRule type="cellIs" dxfId="2548" priority="93" stopIfTrue="1" operator="lessThanOrEqual">
      <formula>0</formula>
    </cfRule>
    <cfRule type="cellIs" dxfId="2547" priority="94" stopIfTrue="1" operator="greaterThan">
      <formula>$F$69</formula>
    </cfRule>
  </conditionalFormatting>
  <conditionalFormatting sqref="I59:I60">
    <cfRule type="cellIs" dxfId="2546" priority="131" stopIfTrue="1" operator="lessThanOrEqual">
      <formula>0</formula>
    </cfRule>
    <cfRule type="cellIs" dxfId="2545" priority="130" stopIfTrue="1" operator="greaterThan">
      <formula>#REF!</formula>
    </cfRule>
    <cfRule type="cellIs" dxfId="2544" priority="129" stopIfTrue="1" operator="lessThanOrEqual">
      <formula>0</formula>
    </cfRule>
    <cfRule type="cellIs" dxfId="2543" priority="128" stopIfTrue="1" operator="greaterThan">
      <formula>#REF!</formula>
    </cfRule>
  </conditionalFormatting>
  <conditionalFormatting sqref="I61">
    <cfRule type="cellIs" dxfId="2542" priority="143" stopIfTrue="1" operator="lessThanOrEqual">
      <formula>0</formula>
    </cfRule>
    <cfRule type="cellIs" dxfId="2541" priority="144" stopIfTrue="1" operator="greaterThan">
      <formula>$F$35</formula>
    </cfRule>
    <cfRule type="cellIs" dxfId="2540" priority="145" stopIfTrue="1" operator="lessThanOrEqual">
      <formula>0</formula>
    </cfRule>
    <cfRule type="cellIs" dxfId="2539" priority="140" stopIfTrue="1" operator="greaterThan">
      <formula>$F$35</formula>
    </cfRule>
    <cfRule type="cellIs" dxfId="2538" priority="141" stopIfTrue="1" operator="lessThanOrEqual">
      <formula>0</formula>
    </cfRule>
    <cfRule type="cellIs" dxfId="2537" priority="142" stopIfTrue="1" operator="greaterThan">
      <formula>$F$37</formula>
    </cfRule>
  </conditionalFormatting>
  <conditionalFormatting sqref="I62:I63">
    <cfRule type="cellIs" dxfId="2536" priority="119" stopIfTrue="1" operator="lessThanOrEqual">
      <formula>0</formula>
    </cfRule>
    <cfRule type="cellIs" dxfId="2535" priority="116" stopIfTrue="1" operator="greaterThan">
      <formula>#REF!</formula>
    </cfRule>
    <cfRule type="cellIs" dxfId="2534" priority="117" stopIfTrue="1" operator="lessThanOrEqual">
      <formula>0</formula>
    </cfRule>
    <cfRule type="cellIs" dxfId="2533" priority="118" stopIfTrue="1" operator="greaterThan">
      <formula>#REF!</formula>
    </cfRule>
  </conditionalFormatting>
  <conditionalFormatting sqref="I78:I86">
    <cfRule type="cellIs" dxfId="2532" priority="169" stopIfTrue="1" operator="lessThanOrEqual">
      <formula>0</formula>
    </cfRule>
    <cfRule type="cellIs" dxfId="2531" priority="168" stopIfTrue="1" operator="greaterThan">
      <formula>4.5</formula>
    </cfRule>
  </conditionalFormatting>
  <conditionalFormatting sqref="I10:J22">
    <cfRule type="cellIs" dxfId="2530" priority="8" operator="lessThan">
      <formula>97.9</formula>
    </cfRule>
  </conditionalFormatting>
  <conditionalFormatting sqref="J25:J27">
    <cfRule type="cellIs" dxfId="2529" priority="15" operator="lessThan">
      <formula>97.95</formula>
    </cfRule>
  </conditionalFormatting>
  <conditionalFormatting sqref="J26:J29">
    <cfRule type="cellIs" dxfId="2528" priority="150" operator="lessThan">
      <formula>97.4</formula>
    </cfRule>
  </conditionalFormatting>
  <conditionalFormatting sqref="J30:J31">
    <cfRule type="cellIs" dxfId="2527" priority="151" operator="lessThan">
      <formula>98</formula>
    </cfRule>
  </conditionalFormatting>
  <conditionalFormatting sqref="J32:J33">
    <cfRule type="cellIs" dxfId="2526" priority="152" stopIfTrue="1" operator="lessThan">
      <formula>96.8</formula>
    </cfRule>
    <cfRule type="cellIs" dxfId="2525" priority="153" stopIfTrue="1" operator="greaterThan">
      <formula>100</formula>
    </cfRule>
  </conditionalFormatting>
  <conditionalFormatting sqref="J32:J34">
    <cfRule type="cellIs" dxfId="2524" priority="154" operator="lessThan">
      <formula>98</formula>
    </cfRule>
  </conditionalFormatting>
  <conditionalFormatting sqref="J63">
    <cfRule type="cellIs" dxfId="2523" priority="111" stopIfTrue="1" operator="lessThanOrEqual">
      <formula>0</formula>
    </cfRule>
    <cfRule type="cellIs" dxfId="2522" priority="105" stopIfTrue="1" operator="lessThanOrEqual">
      <formula>0</formula>
    </cfRule>
    <cfRule type="cellIs" dxfId="2521" priority="104" stopIfTrue="1" operator="greaterThan">
      <formula>#REF!</formula>
    </cfRule>
    <cfRule type="cellIs" dxfId="2520" priority="106" stopIfTrue="1" operator="greaterThan">
      <formula>#REF!</formula>
    </cfRule>
    <cfRule type="cellIs" dxfId="2519" priority="107" stopIfTrue="1" operator="lessThanOrEqual">
      <formula>0</formula>
    </cfRule>
    <cfRule type="cellIs" dxfId="2518" priority="108" stopIfTrue="1" operator="greaterThan">
      <formula>#REF!</formula>
    </cfRule>
    <cfRule type="cellIs" dxfId="2517" priority="109" stopIfTrue="1" operator="lessThanOrEqual">
      <formula>0</formula>
    </cfRule>
    <cfRule type="cellIs" dxfId="2516" priority="110" stopIfTrue="1" operator="greaterThan">
      <formula>#REF!</formula>
    </cfRule>
  </conditionalFormatting>
  <conditionalFormatting sqref="J76">
    <cfRule type="cellIs" dxfId="2515" priority="43" stopIfTrue="1" operator="greaterThan">
      <formula>$F76</formula>
    </cfRule>
    <cfRule type="cellIs" dxfId="2514" priority="44" stopIfTrue="1" operator="lessThanOrEqual">
      <formula>0</formula>
    </cfRule>
  </conditionalFormatting>
  <conditionalFormatting sqref="K10:K22">
    <cfRule type="cellIs" dxfId="2513" priority="10" operator="lessThan">
      <formula>4</formula>
    </cfRule>
    <cfRule type="cellIs" dxfId="2512" priority="11" operator="greaterThan">
      <formula>6.4</formula>
    </cfRule>
    <cfRule type="cellIs" dxfId="2511" priority="9" operator="greaterThan">
      <formula>6</formula>
    </cfRule>
  </conditionalFormatting>
  <conditionalFormatting sqref="K54:K63">
    <cfRule type="cellIs" dxfId="2510" priority="89" stopIfTrue="1" operator="lessThan">
      <formula>100%</formula>
    </cfRule>
  </conditionalFormatting>
  <conditionalFormatting sqref="K67:K75">
    <cfRule type="cellIs" dxfId="2509" priority="33" stopIfTrue="1" operator="lessThan">
      <formula>100%</formula>
    </cfRule>
  </conditionalFormatting>
  <conditionalFormatting sqref="K78:K83">
    <cfRule type="cellIs" dxfId="2508" priority="174" stopIfTrue="1" operator="lessThan">
      <formula>100%</formula>
    </cfRule>
  </conditionalFormatting>
  <conditionalFormatting sqref="K85:K86">
    <cfRule type="cellIs" dxfId="2507" priority="181" stopIfTrue="1" operator="lessThan">
      <formula>100%</formula>
    </cfRule>
  </conditionalFormatting>
  <conditionalFormatting sqref="L10:L22">
    <cfRule type="cellIs" dxfId="2506" priority="6" operator="greaterThan">
      <formula>65</formula>
    </cfRule>
    <cfRule type="cellIs" dxfId="2505" priority="5" operator="between">
      <formula>61</formula>
      <formula>65</formula>
    </cfRule>
  </conditionalFormatting>
  <conditionalFormatting sqref="L25:M36">
    <cfRule type="cellIs" dxfId="2504" priority="14" operator="lessThan">
      <formula>97.95</formula>
    </cfRule>
  </conditionalFormatting>
  <conditionalFormatting sqref="L40:N40">
    <cfRule type="cellIs" dxfId="2503" priority="4" operator="notEqual">
      <formula>#REF!</formula>
    </cfRule>
  </conditionalFormatting>
  <conditionalFormatting sqref="L67:N76">
    <cfRule type="cellIs" dxfId="2502" priority="30" stopIfTrue="1" operator="lessThan">
      <formula>100%</formula>
    </cfRule>
  </conditionalFormatting>
  <conditionalFormatting sqref="L78:N86">
    <cfRule type="cellIs" dxfId="2501" priority="159" stopIfTrue="1" operator="lessThan">
      <formula>100%</formula>
    </cfRule>
  </conditionalFormatting>
  <conditionalFormatting sqref="M22">
    <cfRule type="expression" dxfId="2500" priority="1">
      <formula>IF(+(IF(M22&lt;U22,0,IF(M22&gt;V22,0,1)))=0,1)</formula>
    </cfRule>
  </conditionalFormatting>
  <conditionalFormatting sqref="N10:N22">
    <cfRule type="expression" dxfId="2499" priority="7">
      <formula>IF(+(IF(N10&lt;W10,0,IF(N10&gt;X10,0,1)))=0,1)</formula>
    </cfRule>
  </conditionalFormatting>
  <conditionalFormatting sqref="P6">
    <cfRule type="cellIs" dxfId="2498" priority="155" operator="greaterThanOrEqual">
      <formula>19</formula>
    </cfRule>
  </conditionalFormatting>
  <dataValidations count="1">
    <dataValidation type="list" allowBlank="1" showInputMessage="1" showErrorMessage="1" sqref="R8" xr:uid="{4C9AD791-EA20-4B16-92F1-8C278E54D1E1}">
      <formula1>ProductList</formula1>
    </dataValidation>
  </dataValidations>
  <pageMargins left="0.7" right="0.7" top="0.75" bottom="0.75" header="0.3" footer="0.3"/>
  <pageSetup scale="40" fitToWidth="0" orientation="landscape" r:id="rId1"/>
  <rowBreaks count="1" manualBreakCount="1">
    <brk id="80" max="16383" man="1"/>
  </rowBreaks>
  <colBreaks count="1" manualBreakCount="1">
    <brk id="15" max="89" man="1"/>
  </colBreaks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66B2E1-BAD9-4D22-8F70-95F2A36D9F70}">
  <sheetPr>
    <pageSetUpPr fitToPage="1"/>
  </sheetPr>
  <dimension ref="A1:BE72"/>
  <sheetViews>
    <sheetView topLeftCell="A5" zoomScale="85" zoomScaleNormal="85" workbookViewId="0">
      <selection activeCell="G13" sqref="G13:H13"/>
    </sheetView>
  </sheetViews>
  <sheetFormatPr defaultColWidth="9.42578125" defaultRowHeight="14.25"/>
  <cols>
    <col min="1" max="1" width="7.28515625" style="275" customWidth="1"/>
    <col min="2" max="2" width="31.28515625" style="275" customWidth="1"/>
    <col min="3" max="3" width="22.28515625" style="275" customWidth="1"/>
    <col min="4" max="7" width="16.5703125" style="275" customWidth="1"/>
    <col min="8" max="8" width="20.7109375" style="275" customWidth="1"/>
    <col min="9" max="9" width="31.42578125" style="275" customWidth="1"/>
    <col min="10" max="10" width="35.28515625" style="275" customWidth="1"/>
    <col min="11" max="11" width="29" style="275" customWidth="1"/>
    <col min="12" max="12" width="17.28515625" style="275" bestFit="1" customWidth="1"/>
    <col min="13" max="13" width="23.28515625" style="275" customWidth="1"/>
    <col min="14" max="14" width="13.7109375" style="275" bestFit="1" customWidth="1"/>
    <col min="15" max="15" width="17.5703125" style="275" customWidth="1"/>
    <col min="16" max="16" width="109.28515625" style="6" customWidth="1"/>
    <col min="17" max="17" width="16.5703125" style="275" customWidth="1"/>
    <col min="18" max="18" width="15.7109375" style="275" bestFit="1" customWidth="1"/>
    <col min="19" max="19" width="12.42578125" style="275" customWidth="1"/>
    <col min="20" max="20" width="15" style="275" customWidth="1"/>
    <col min="21" max="21" width="12" style="275" customWidth="1"/>
    <col min="22" max="22" width="10.42578125" style="275" customWidth="1"/>
    <col min="23" max="23" width="11.42578125" style="275" customWidth="1"/>
    <col min="24" max="24" width="10.42578125" style="275" customWidth="1"/>
    <col min="25" max="25" width="8.42578125" style="275" customWidth="1"/>
    <col min="26" max="26" width="9.5703125" style="275" customWidth="1"/>
    <col min="27" max="27" width="8.42578125" style="275" customWidth="1"/>
    <col min="28" max="29" width="7.5703125" style="275" customWidth="1"/>
    <col min="30" max="51" width="9.42578125" style="275"/>
    <col min="52" max="52" width="1.5703125" style="275" customWidth="1"/>
    <col min="53" max="54" width="9.42578125" style="275"/>
    <col min="55" max="56" width="15.42578125" style="275" customWidth="1"/>
    <col min="57" max="16384" width="9.42578125" style="275"/>
  </cols>
  <sheetData>
    <row r="1" spans="2:29" ht="1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R1" s="467"/>
      <c r="S1" s="553" t="s">
        <v>0</v>
      </c>
      <c r="T1" s="553"/>
      <c r="U1" s="553" t="s">
        <v>1</v>
      </c>
      <c r="V1" s="553"/>
      <c r="W1" s="553" t="s">
        <v>2</v>
      </c>
      <c r="X1" s="553"/>
      <c r="Y1" s="553" t="s">
        <v>124</v>
      </c>
      <c r="Z1" s="553"/>
    </row>
    <row r="2" spans="2:29" ht="15">
      <c r="B2" s="554" t="s">
        <v>3</v>
      </c>
      <c r="C2" s="554"/>
      <c r="D2" s="554"/>
      <c r="E2" s="554"/>
      <c r="F2" s="554"/>
      <c r="G2" s="554"/>
      <c r="H2" s="554"/>
      <c r="I2" s="554"/>
      <c r="J2" s="554"/>
      <c r="K2" s="554"/>
      <c r="L2" s="554"/>
      <c r="M2" s="554"/>
      <c r="N2" s="554"/>
      <c r="O2" s="554"/>
      <c r="P2" s="4"/>
      <c r="R2" s="467"/>
      <c r="S2" s="467" t="s">
        <v>4</v>
      </c>
      <c r="T2" s="467" t="s">
        <v>5</v>
      </c>
      <c r="U2" s="467" t="s">
        <v>4</v>
      </c>
      <c r="V2" s="467" t="s">
        <v>5</v>
      </c>
      <c r="W2" s="467" t="s">
        <v>4</v>
      </c>
      <c r="X2" s="467" t="s">
        <v>5</v>
      </c>
      <c r="Y2" s="467" t="s">
        <v>4</v>
      </c>
      <c r="Z2" s="467" t="s">
        <v>5</v>
      </c>
    </row>
    <row r="3" spans="2:29" ht="14.25" customHeight="1">
      <c r="B3" s="5"/>
      <c r="R3" s="467" t="s">
        <v>6</v>
      </c>
      <c r="S3" s="468">
        <v>11.6</v>
      </c>
      <c r="T3" s="469">
        <v>12</v>
      </c>
      <c r="U3" s="9">
        <v>0</v>
      </c>
      <c r="V3" s="10">
        <v>0.118055555555556</v>
      </c>
      <c r="W3" s="10">
        <v>0.22569444444444445</v>
      </c>
      <c r="X3" s="10">
        <v>0.2638888888888889</v>
      </c>
      <c r="Y3" s="470">
        <v>0</v>
      </c>
      <c r="Z3" s="468">
        <v>60</v>
      </c>
      <c r="AB3" s="275" t="s">
        <v>135</v>
      </c>
    </row>
    <row r="4" spans="2:29" ht="30.75" customHeight="1">
      <c r="B4" s="301" t="s">
        <v>133</v>
      </c>
      <c r="C4" s="419">
        <v>46279</v>
      </c>
      <c r="J4" s="398" t="s">
        <v>153</v>
      </c>
      <c r="K4" s="398"/>
      <c r="L4" s="11"/>
      <c r="M4" s="555" t="s">
        <v>8</v>
      </c>
      <c r="N4" s="556"/>
      <c r="P4" s="12"/>
      <c r="R4" s="467" t="s">
        <v>9</v>
      </c>
      <c r="S4" s="468">
        <v>11.6</v>
      </c>
      <c r="T4" s="469">
        <v>12</v>
      </c>
      <c r="U4" s="9">
        <v>0</v>
      </c>
      <c r="V4" s="10">
        <v>0.118055555555556</v>
      </c>
      <c r="W4" s="10">
        <v>0.22569444444444445</v>
      </c>
      <c r="X4" s="10">
        <v>0.2638888888888889</v>
      </c>
      <c r="Y4" s="470">
        <v>0</v>
      </c>
      <c r="Z4" s="468">
        <v>60</v>
      </c>
      <c r="AA4" s="13"/>
      <c r="AB4" s="13"/>
      <c r="AC4" s="13"/>
    </row>
    <row r="5" spans="2:29" ht="12.75" customHeight="1" thickBot="1">
      <c r="B5" s="1"/>
      <c r="C5" s="549"/>
      <c r="D5" s="549"/>
      <c r="J5" s="403"/>
      <c r="K5" s="403"/>
      <c r="L5" s="11"/>
      <c r="M5" s="14" t="s">
        <v>10</v>
      </c>
      <c r="N5" s="14" t="s">
        <v>11</v>
      </c>
      <c r="P5" s="12"/>
      <c r="R5" s="467" t="s">
        <v>12</v>
      </c>
      <c r="S5" s="468">
        <v>17</v>
      </c>
      <c r="T5" s="469">
        <v>17.5</v>
      </c>
      <c r="U5" s="9">
        <v>0</v>
      </c>
      <c r="V5" s="10">
        <v>0.1076388888888889</v>
      </c>
      <c r="W5" s="10">
        <v>0.24652777777777779</v>
      </c>
      <c r="X5" s="10">
        <v>0.28472222222222221</v>
      </c>
      <c r="Y5" s="470">
        <v>0</v>
      </c>
      <c r="Z5" s="471">
        <v>60</v>
      </c>
      <c r="AA5" s="13"/>
      <c r="AB5" s="13"/>
      <c r="AC5" s="13"/>
    </row>
    <row r="6" spans="2:29" ht="14.25" customHeight="1">
      <c r="B6" s="15"/>
      <c r="C6" s="1"/>
      <c r="D6" s="1"/>
      <c r="J6" s="399" t="s">
        <v>168</v>
      </c>
      <c r="K6" s="400"/>
      <c r="L6" s="311" t="s">
        <v>14</v>
      </c>
      <c r="M6" s="340"/>
      <c r="N6" s="340"/>
      <c r="P6" s="16"/>
      <c r="R6" s="467" t="s">
        <v>15</v>
      </c>
      <c r="S6" s="468">
        <v>13.3</v>
      </c>
      <c r="T6" s="469">
        <v>13.5</v>
      </c>
      <c r="U6" s="9">
        <v>0</v>
      </c>
      <c r="V6" s="9">
        <v>0.12905092592592593</v>
      </c>
      <c r="W6" s="10">
        <v>0.27430555555555552</v>
      </c>
      <c r="X6" s="10">
        <v>0.30208333333333331</v>
      </c>
      <c r="Y6" s="470">
        <v>0</v>
      </c>
      <c r="Z6" s="471"/>
      <c r="AA6" s="13"/>
      <c r="AB6" s="13"/>
      <c r="AC6" s="13"/>
    </row>
    <row r="7" spans="2:29" ht="13.35" customHeight="1" thickBot="1">
      <c r="J7" s="401"/>
      <c r="K7" s="402"/>
      <c r="R7" s="467" t="s">
        <v>16</v>
      </c>
      <c r="S7" s="468">
        <v>17</v>
      </c>
      <c r="T7" s="469">
        <v>17.399999999999999</v>
      </c>
      <c r="U7" s="9">
        <v>0</v>
      </c>
      <c r="V7" s="9">
        <v>0.13605324074074074</v>
      </c>
      <c r="W7" s="10">
        <v>0.27430555555555552</v>
      </c>
      <c r="X7" s="10">
        <v>0.30902777777777779</v>
      </c>
      <c r="Y7" s="470">
        <v>0</v>
      </c>
      <c r="Z7" s="471">
        <v>85</v>
      </c>
      <c r="AA7" s="13"/>
      <c r="AB7" s="13"/>
      <c r="AC7" s="13"/>
    </row>
    <row r="8" spans="2:29" ht="25.5" customHeight="1">
      <c r="B8" s="507" t="s">
        <v>17</v>
      </c>
      <c r="C8" s="516" t="s">
        <v>18</v>
      </c>
      <c r="D8" s="516" t="s">
        <v>19</v>
      </c>
      <c r="E8" s="356" t="s">
        <v>20</v>
      </c>
      <c r="F8" s="356" t="s">
        <v>21</v>
      </c>
      <c r="G8" s="516" t="s">
        <v>22</v>
      </c>
      <c r="H8" s="551" t="s">
        <v>144</v>
      </c>
      <c r="I8" s="516" t="s">
        <v>167</v>
      </c>
      <c r="J8" s="542" t="s">
        <v>23</v>
      </c>
      <c r="K8" s="544" t="s">
        <v>142</v>
      </c>
      <c r="L8" s="546" t="s">
        <v>24</v>
      </c>
      <c r="M8" s="359" t="s">
        <v>25</v>
      </c>
      <c r="N8" s="17" t="s">
        <v>166</v>
      </c>
      <c r="O8" s="516" t="s">
        <v>155</v>
      </c>
      <c r="P8" s="548"/>
      <c r="R8" s="467" t="s">
        <v>125</v>
      </c>
      <c r="S8" s="468">
        <v>16.600000000000001</v>
      </c>
      <c r="T8" s="469">
        <v>17</v>
      </c>
      <c r="U8" s="9">
        <v>0</v>
      </c>
      <c r="V8" s="9">
        <v>0.12905092592592593</v>
      </c>
      <c r="W8" s="10">
        <v>0.27430555555555552</v>
      </c>
      <c r="X8" s="10">
        <v>0.30208333333333331</v>
      </c>
      <c r="Y8" s="470">
        <v>0</v>
      </c>
      <c r="Z8" s="471"/>
    </row>
    <row r="9" spans="2:29" ht="36" customHeight="1">
      <c r="B9" s="550"/>
      <c r="C9" s="541"/>
      <c r="D9" s="541"/>
      <c r="E9" s="357" t="s">
        <v>30</v>
      </c>
      <c r="F9" s="357" t="s">
        <v>31</v>
      </c>
      <c r="G9" s="541"/>
      <c r="H9" s="552"/>
      <c r="I9" s="541"/>
      <c r="J9" s="543"/>
      <c r="K9" s="545"/>
      <c r="L9" s="547"/>
      <c r="M9" s="20" t="s">
        <v>32</v>
      </c>
      <c r="N9" s="21" t="s">
        <v>41</v>
      </c>
      <c r="O9" s="541"/>
      <c r="P9" s="541"/>
      <c r="R9" s="467" t="s">
        <v>33</v>
      </c>
      <c r="S9" s="468">
        <v>14.2</v>
      </c>
      <c r="T9" s="469">
        <v>14.6</v>
      </c>
      <c r="U9" s="9">
        <v>0</v>
      </c>
      <c r="V9" s="9">
        <v>0.13905092592592591</v>
      </c>
      <c r="W9" s="10">
        <v>0.26041666666666669</v>
      </c>
      <c r="X9" s="10">
        <v>0.2951388888888889</v>
      </c>
      <c r="Y9" s="470">
        <v>0</v>
      </c>
      <c r="Z9" s="471">
        <v>75</v>
      </c>
    </row>
    <row r="10" spans="2:29" ht="15" customHeight="1">
      <c r="B10" s="29" t="s">
        <v>6</v>
      </c>
      <c r="C10" s="366" t="str">
        <f>[4]Brewhouse!$A734</f>
        <v>CA685</v>
      </c>
      <c r="D10" s="279">
        <f>[4]Brewhouse!$AF734</f>
        <v>49.1</v>
      </c>
      <c r="E10" s="279">
        <f>[4]Brewhouse!$AI734</f>
        <v>49.4</v>
      </c>
      <c r="F10" s="278">
        <f>[4]Brewhouse!$V734</f>
        <v>56</v>
      </c>
      <c r="G10" s="279">
        <f>[4]Brewhouse!AG734</f>
        <v>11.8</v>
      </c>
      <c r="H10" s="396">
        <v>11.8</v>
      </c>
      <c r="I10" s="368">
        <f>[4]Brewhouse!$AU734</f>
        <v>98.17458240291262</v>
      </c>
      <c r="J10" s="368">
        <f>[4]Brewhouse!$AV734</f>
        <v>99.736980599904328</v>
      </c>
      <c r="K10" s="281">
        <f>[4]Brewhouse!$Q734</f>
        <v>10.573012939001845</v>
      </c>
      <c r="L10" s="276">
        <f>[4]Brewhouse!$P734</f>
        <v>59</v>
      </c>
      <c r="M10" s="374">
        <f>[4]Brewhouse!$U734-[4]Brewhouse!$T734</f>
        <v>0.11736111111111125</v>
      </c>
      <c r="N10" s="370">
        <f>[4]Brewhouse!$Z734</f>
        <v>0.27708333333333335</v>
      </c>
      <c r="O10" s="420" t="str">
        <f>[4]Brewhouse!$AX734</f>
        <v>R. Regis</v>
      </c>
      <c r="P10" s="418"/>
      <c r="R10" s="277" t="str">
        <f t="shared" ref="R10:R32" si="0">B10</f>
        <v>CARIB</v>
      </c>
      <c r="S10" s="472">
        <f t="shared" ref="S10:S32" si="1">VLOOKUP($B10,$R$3:$X$9,2,FALSE)</f>
        <v>11.6</v>
      </c>
      <c r="T10" s="472">
        <f t="shared" ref="T10:T32" si="2">VLOOKUP($B10,$R$3:$X$9,3,FALSE)</f>
        <v>12</v>
      </c>
      <c r="U10" s="297">
        <f t="shared" ref="U10:U32" si="3">VLOOKUP($B10,$R$3:$X$9,4,FALSE)</f>
        <v>0</v>
      </c>
      <c r="V10" s="297">
        <f t="shared" ref="V10:V32" si="4">VLOOKUP($B10,$R$3:$X$9,5,FALSE)</f>
        <v>0.118055555555556</v>
      </c>
      <c r="W10" s="297">
        <f t="shared" ref="W10:W32" si="5">VLOOKUP($B10,$R$3:$X$9,6,FALSE)</f>
        <v>0.22569444444444445</v>
      </c>
      <c r="X10" s="297">
        <f t="shared" ref="X10:X32" si="6">VLOOKUP($B10,$R$3:$X$9,7,FALSE)</f>
        <v>0.2638888888888889</v>
      </c>
      <c r="Y10" s="297">
        <f t="shared" ref="Y10:Y32" si="7">VLOOKUP($B10,$R$3:$Z$9,8,FALSE)</f>
        <v>0</v>
      </c>
      <c r="Z10" s="472">
        <f t="shared" ref="Z10:Z32" si="8">VLOOKUP($B10,$R$3:$Z$9,9,FALSE)</f>
        <v>60</v>
      </c>
    </row>
    <row r="11" spans="2:29" ht="15" customHeight="1">
      <c r="B11" s="29" t="s">
        <v>6</v>
      </c>
      <c r="C11" s="366" t="str">
        <f>[4]Brewhouse!$A735</f>
        <v>CA686</v>
      </c>
      <c r="D11" s="279">
        <f>[4]Brewhouse!$AF735</f>
        <v>50.3</v>
      </c>
      <c r="E11" s="279">
        <f>[4]Brewhouse!$AI735</f>
        <v>50.7</v>
      </c>
      <c r="F11" s="278">
        <f>[4]Brewhouse!$V735</f>
        <v>63</v>
      </c>
      <c r="G11" s="488">
        <f>[4]Brewhouse!AG735</f>
        <v>11.5</v>
      </c>
      <c r="H11" s="396">
        <v>11.6</v>
      </c>
      <c r="I11" s="368">
        <f>[4]Brewhouse!$AU735</f>
        <v>98.18822759357343</v>
      </c>
      <c r="J11" s="368">
        <f>[4]Brewhouse!$AV735</f>
        <v>99.7507351326785</v>
      </c>
      <c r="K11" s="281">
        <f>[4]Brewhouse!$Q735</f>
        <v>8.3548983364140526</v>
      </c>
      <c r="L11" s="276">
        <f>[4]Brewhouse!$P735</f>
        <v>62</v>
      </c>
      <c r="M11" s="374">
        <f>[4]Brewhouse!$U735-[4]Brewhouse!$T735</f>
        <v>0.14166666666666666</v>
      </c>
      <c r="N11" s="370">
        <f>[4]Brewhouse!$Z735</f>
        <v>0.29652777777777783</v>
      </c>
      <c r="O11" s="420" t="str">
        <f>[4]Brewhouse!$AX735</f>
        <v>R. Regis</v>
      </c>
      <c r="P11" s="418"/>
      <c r="R11" s="277" t="str">
        <f t="shared" si="0"/>
        <v>CARIB</v>
      </c>
      <c r="S11" s="472">
        <f t="shared" si="1"/>
        <v>11.6</v>
      </c>
      <c r="T11" s="472">
        <f t="shared" si="2"/>
        <v>12</v>
      </c>
      <c r="U11" s="297">
        <f t="shared" si="3"/>
        <v>0</v>
      </c>
      <c r="V11" s="297">
        <f t="shared" si="4"/>
        <v>0.118055555555556</v>
      </c>
      <c r="W11" s="297">
        <f t="shared" si="5"/>
        <v>0.22569444444444445</v>
      </c>
      <c r="X11" s="297">
        <f t="shared" si="6"/>
        <v>0.2638888888888889</v>
      </c>
      <c r="Y11" s="297">
        <f t="shared" si="7"/>
        <v>0</v>
      </c>
      <c r="Z11" s="472">
        <f t="shared" si="8"/>
        <v>60</v>
      </c>
    </row>
    <row r="12" spans="2:29" ht="15" customHeight="1">
      <c r="B12" s="29" t="s">
        <v>6</v>
      </c>
      <c r="C12" s="366" t="str">
        <f>[4]Brewhouse!$A736</f>
        <v>CA687</v>
      </c>
      <c r="D12" s="279">
        <f>[4]Brewhouse!$AF736</f>
        <v>49.9</v>
      </c>
      <c r="E12" s="279">
        <f>[4]Brewhouse!$AI736</f>
        <v>50.3</v>
      </c>
      <c r="F12" s="278">
        <f>[4]Brewhouse!$V736</f>
        <v>63</v>
      </c>
      <c r="G12" s="279">
        <f>[4]Brewhouse!AG736</f>
        <v>11.8</v>
      </c>
      <c r="H12" s="396">
        <v>11.8</v>
      </c>
      <c r="I12" s="368">
        <f>[4]Brewhouse!$AU736</f>
        <v>99.836488721311795</v>
      </c>
      <c r="J12" s="368">
        <f>[4]Brewhouse!$AV736</f>
        <v>101.42544465248801</v>
      </c>
      <c r="K12" s="281">
        <f>[4]Brewhouse!$Q736</f>
        <v>9.0942698706099847</v>
      </c>
      <c r="L12" s="276">
        <f>[4]Brewhouse!$P736</f>
        <v>58</v>
      </c>
      <c r="M12" s="374">
        <f>[4]Brewhouse!$U736-[4]Brewhouse!$T736</f>
        <v>0.12569444444444439</v>
      </c>
      <c r="N12" s="370">
        <f>[4]Brewhouse!$Z736</f>
        <v>0.28333333333333327</v>
      </c>
      <c r="O12" s="420" t="str">
        <f>[4]Brewhouse!$AX736</f>
        <v>R. Sookram</v>
      </c>
      <c r="P12" s="418"/>
      <c r="R12" s="277" t="str">
        <f t="shared" si="0"/>
        <v>CARIB</v>
      </c>
      <c r="S12" s="472">
        <f t="shared" si="1"/>
        <v>11.6</v>
      </c>
      <c r="T12" s="472">
        <f t="shared" si="2"/>
        <v>12</v>
      </c>
      <c r="U12" s="297">
        <f t="shared" si="3"/>
        <v>0</v>
      </c>
      <c r="V12" s="297">
        <f t="shared" si="4"/>
        <v>0.118055555555556</v>
      </c>
      <c r="W12" s="297">
        <f t="shared" si="5"/>
        <v>0.22569444444444445</v>
      </c>
      <c r="X12" s="297">
        <f t="shared" si="6"/>
        <v>0.2638888888888889</v>
      </c>
      <c r="Y12" s="297">
        <f t="shared" si="7"/>
        <v>0</v>
      </c>
      <c r="Z12" s="472">
        <f t="shared" si="8"/>
        <v>60</v>
      </c>
    </row>
    <row r="13" spans="2:29" ht="15" customHeight="1">
      <c r="B13" s="29" t="s">
        <v>6</v>
      </c>
      <c r="C13" s="366" t="str">
        <f>[4]Brewhouse!$A737</f>
        <v>CA688</v>
      </c>
      <c r="D13" s="279">
        <f>[4]Brewhouse!$AF737</f>
        <v>48.5</v>
      </c>
      <c r="E13" s="279">
        <f>[4]Brewhouse!$AI737</f>
        <v>47.7</v>
      </c>
      <c r="F13" s="278">
        <f>[4]Brewhouse!$V737</f>
        <v>58</v>
      </c>
      <c r="G13" s="279">
        <f>[4]Brewhouse!AG737</f>
        <v>11.9</v>
      </c>
      <c r="H13" s="396">
        <v>11.8</v>
      </c>
      <c r="I13" s="368">
        <f>[4]Brewhouse!$AU737</f>
        <v>96.129104901277245</v>
      </c>
      <c r="J13" s="368">
        <f>[4]Brewhouse!$AV737</f>
        <v>97.658526544714448</v>
      </c>
      <c r="K13" s="281">
        <f>[4]Brewhouse!$Q737</f>
        <v>11.518518518518517</v>
      </c>
      <c r="L13" s="276">
        <f>[4]Brewhouse!$P737</f>
        <v>64</v>
      </c>
      <c r="M13" s="374">
        <f>[4]Brewhouse!$U737-[4]Brewhouse!$T737</f>
        <v>0.12083333333333335</v>
      </c>
      <c r="N13" s="370">
        <f>[4]Brewhouse!$Z737</f>
        <v>0.2680555555555556</v>
      </c>
      <c r="O13" s="420" t="str">
        <f>[4]Brewhouse!$AX737</f>
        <v>R. Sookram</v>
      </c>
      <c r="P13" s="418"/>
      <c r="R13" s="277" t="str">
        <f t="shared" si="0"/>
        <v>CARIB</v>
      </c>
      <c r="S13" s="472">
        <f t="shared" si="1"/>
        <v>11.6</v>
      </c>
      <c r="T13" s="472">
        <f t="shared" si="2"/>
        <v>12</v>
      </c>
      <c r="U13" s="297">
        <f t="shared" si="3"/>
        <v>0</v>
      </c>
      <c r="V13" s="297">
        <f t="shared" si="4"/>
        <v>0.118055555555556</v>
      </c>
      <c r="W13" s="297">
        <f t="shared" si="5"/>
        <v>0.22569444444444445</v>
      </c>
      <c r="X13" s="297">
        <f t="shared" si="6"/>
        <v>0.2638888888888889</v>
      </c>
      <c r="Y13" s="297">
        <f t="shared" si="7"/>
        <v>0</v>
      </c>
      <c r="Z13" s="472">
        <f t="shared" si="8"/>
        <v>60</v>
      </c>
    </row>
    <row r="14" spans="2:29" ht="15" customHeight="1">
      <c r="B14" s="29" t="s">
        <v>6</v>
      </c>
      <c r="C14" s="366" t="str">
        <f>[4]Brewhouse!$A738</f>
        <v>CA689</v>
      </c>
      <c r="D14" s="279">
        <f>[4]Brewhouse!$AF738</f>
        <v>49.1</v>
      </c>
      <c r="E14" s="279">
        <f>[4]Brewhouse!$AI738</f>
        <v>50.9</v>
      </c>
      <c r="F14" s="278">
        <f>[4]Brewhouse!$V738</f>
        <v>63</v>
      </c>
      <c r="G14" s="279">
        <f>[4]Brewhouse!AG738</f>
        <v>11.6</v>
      </c>
      <c r="H14" s="396">
        <v>11.6</v>
      </c>
      <c r="I14" s="368">
        <f>[4]Brewhouse!$AU738</f>
        <v>96.773121785755123</v>
      </c>
      <c r="J14" s="368">
        <f>[4]Brewhouse!$AV738</f>
        <v>98.315387286588233</v>
      </c>
      <c r="K14" s="281">
        <f>[4]Brewhouse!$Q738</f>
        <v>10.407407407407403</v>
      </c>
      <c r="L14" s="276">
        <f>[4]Brewhouse!$P738</f>
        <v>58</v>
      </c>
      <c r="M14" s="374">
        <f>[4]Brewhouse!$U738-[4]Brewhouse!$T738</f>
        <v>0.12569444444444444</v>
      </c>
      <c r="N14" s="370">
        <f>[4]Brewhouse!$Z738</f>
        <v>0.26249999999999996</v>
      </c>
      <c r="O14" s="420" t="str">
        <f>[4]Brewhouse!$AX738</f>
        <v>R. Sookram</v>
      </c>
      <c r="P14" s="418"/>
      <c r="R14" s="277" t="str">
        <f t="shared" ref="R14:R23" si="9">B14</f>
        <v>CARIB</v>
      </c>
      <c r="S14" s="472">
        <f t="shared" si="1"/>
        <v>11.6</v>
      </c>
      <c r="T14" s="472">
        <f t="shared" si="2"/>
        <v>12</v>
      </c>
      <c r="U14" s="297">
        <f t="shared" si="3"/>
        <v>0</v>
      </c>
      <c r="V14" s="297">
        <f t="shared" si="4"/>
        <v>0.118055555555556</v>
      </c>
      <c r="W14" s="297">
        <f t="shared" si="5"/>
        <v>0.22569444444444445</v>
      </c>
      <c r="X14" s="297">
        <f t="shared" si="6"/>
        <v>0.2638888888888889</v>
      </c>
      <c r="Y14" s="297">
        <f t="shared" si="7"/>
        <v>0</v>
      </c>
      <c r="Z14" s="472">
        <f t="shared" si="8"/>
        <v>60</v>
      </c>
    </row>
    <row r="15" spans="2:29" ht="15" customHeight="1">
      <c r="B15" s="29" t="s">
        <v>6</v>
      </c>
      <c r="C15" s="366" t="str">
        <f>[4]Brewhouse!$A739</f>
        <v>CA690</v>
      </c>
      <c r="D15" s="279">
        <f>[4]Brewhouse!$AF739</f>
        <v>50.5</v>
      </c>
      <c r="E15" s="279">
        <f>[4]Brewhouse!$AI739</f>
        <v>52</v>
      </c>
      <c r="F15" s="278">
        <f>[4]Brewhouse!$V739</f>
        <v>58</v>
      </c>
      <c r="G15" s="488">
        <f>[4]Brewhouse!AG739</f>
        <v>11.4</v>
      </c>
      <c r="H15" s="493">
        <v>11.4</v>
      </c>
      <c r="I15" s="368">
        <f>[4]Brewhouse!$AU739</f>
        <v>100.67902306542751</v>
      </c>
      <c r="J15" s="368">
        <f>[4]Brewhouse!$AV739</f>
        <v>102.2803858299127</v>
      </c>
      <c r="K15" s="281">
        <f>[4]Brewhouse!$Q739</f>
        <v>7.8148148148148131</v>
      </c>
      <c r="L15" s="276">
        <f>[4]Brewhouse!$P739</f>
        <v>60</v>
      </c>
      <c r="M15" s="374">
        <f>[4]Brewhouse!$U739-[4]Brewhouse!$T739</f>
        <v>0.12083333333333335</v>
      </c>
      <c r="N15" s="370">
        <f>[4]Brewhouse!$Z739</f>
        <v>0.26250000000000007</v>
      </c>
      <c r="O15" s="420" t="str">
        <f>[4]Brewhouse!$AX739</f>
        <v>K. Benjamin</v>
      </c>
      <c r="P15" s="418"/>
      <c r="R15" s="277" t="str">
        <f t="shared" si="9"/>
        <v>CARIB</v>
      </c>
      <c r="S15" s="472">
        <f t="shared" si="1"/>
        <v>11.6</v>
      </c>
      <c r="T15" s="472">
        <f t="shared" si="2"/>
        <v>12</v>
      </c>
      <c r="U15" s="297">
        <f t="shared" si="3"/>
        <v>0</v>
      </c>
      <c r="V15" s="297">
        <f t="shared" si="4"/>
        <v>0.118055555555556</v>
      </c>
      <c r="W15" s="297">
        <f t="shared" si="5"/>
        <v>0.22569444444444445</v>
      </c>
      <c r="X15" s="297">
        <f t="shared" si="6"/>
        <v>0.2638888888888889</v>
      </c>
      <c r="Y15" s="297">
        <f t="shared" si="7"/>
        <v>0</v>
      </c>
      <c r="Z15" s="472">
        <f t="shared" si="8"/>
        <v>60</v>
      </c>
    </row>
    <row r="16" spans="2:29" ht="15" customHeight="1">
      <c r="B16" s="29"/>
      <c r="C16" s="366"/>
      <c r="D16" s="279"/>
      <c r="E16" s="279"/>
      <c r="F16" s="278"/>
      <c r="G16" s="279"/>
      <c r="H16" s="396"/>
      <c r="I16" s="368"/>
      <c r="J16" s="368"/>
      <c r="K16" s="281"/>
      <c r="L16" s="276"/>
      <c r="M16" s="374"/>
      <c r="N16" s="370"/>
      <c r="O16" s="420"/>
      <c r="P16" s="418"/>
      <c r="R16" s="277">
        <f t="shared" si="9"/>
        <v>0</v>
      </c>
      <c r="S16" s="472" t="e">
        <f t="shared" si="1"/>
        <v>#N/A</v>
      </c>
      <c r="T16" s="472" t="e">
        <f t="shared" si="2"/>
        <v>#N/A</v>
      </c>
      <c r="U16" s="297" t="e">
        <f t="shared" si="3"/>
        <v>#N/A</v>
      </c>
      <c r="V16" s="297" t="e">
        <f t="shared" si="4"/>
        <v>#N/A</v>
      </c>
      <c r="W16" s="297" t="e">
        <f t="shared" si="5"/>
        <v>#N/A</v>
      </c>
      <c r="X16" s="297" t="e">
        <f t="shared" si="6"/>
        <v>#N/A</v>
      </c>
      <c r="Y16" s="297" t="e">
        <f t="shared" si="7"/>
        <v>#N/A</v>
      </c>
      <c r="Z16" s="472" t="e">
        <f t="shared" si="8"/>
        <v>#N/A</v>
      </c>
    </row>
    <row r="17" spans="1:27" ht="15" customHeight="1">
      <c r="B17" s="29"/>
      <c r="C17" s="366"/>
      <c r="D17" s="279"/>
      <c r="E17" s="279"/>
      <c r="F17" s="278"/>
      <c r="G17" s="279"/>
      <c r="H17" s="396"/>
      <c r="I17" s="368"/>
      <c r="J17" s="368"/>
      <c r="K17" s="281"/>
      <c r="L17" s="276"/>
      <c r="M17" s="374"/>
      <c r="N17" s="370"/>
      <c r="O17" s="420"/>
      <c r="P17" s="418"/>
      <c r="R17" s="277">
        <f t="shared" si="9"/>
        <v>0</v>
      </c>
      <c r="S17" s="472" t="e">
        <f t="shared" si="1"/>
        <v>#N/A</v>
      </c>
      <c r="T17" s="472" t="e">
        <f t="shared" si="2"/>
        <v>#N/A</v>
      </c>
      <c r="U17" s="297" t="e">
        <f t="shared" si="3"/>
        <v>#N/A</v>
      </c>
      <c r="V17" s="297" t="e">
        <f t="shared" si="4"/>
        <v>#N/A</v>
      </c>
      <c r="W17" s="297" t="e">
        <f t="shared" si="5"/>
        <v>#N/A</v>
      </c>
      <c r="X17" s="297" t="e">
        <f t="shared" si="6"/>
        <v>#N/A</v>
      </c>
      <c r="Y17" s="297" t="e">
        <f t="shared" si="7"/>
        <v>#N/A</v>
      </c>
      <c r="Z17" s="472" t="e">
        <f t="shared" si="8"/>
        <v>#N/A</v>
      </c>
    </row>
    <row r="18" spans="1:27" ht="15" customHeight="1">
      <c r="B18" s="36"/>
      <c r="C18" s="366"/>
      <c r="D18" s="279"/>
      <c r="E18" s="279"/>
      <c r="F18" s="278"/>
      <c r="G18" s="279"/>
      <c r="H18" s="396"/>
      <c r="I18" s="489"/>
      <c r="J18" s="489"/>
      <c r="K18" s="490"/>
      <c r="L18" s="276"/>
      <c r="M18" s="374"/>
      <c r="N18" s="370"/>
      <c r="O18" s="420"/>
      <c r="P18" s="418"/>
      <c r="R18" s="277">
        <f t="shared" si="9"/>
        <v>0</v>
      </c>
      <c r="S18" s="472" t="e">
        <f t="shared" si="1"/>
        <v>#N/A</v>
      </c>
      <c r="T18" s="472" t="e">
        <f t="shared" si="2"/>
        <v>#N/A</v>
      </c>
      <c r="U18" s="297" t="e">
        <f t="shared" si="3"/>
        <v>#N/A</v>
      </c>
      <c r="V18" s="297" t="e">
        <f t="shared" si="4"/>
        <v>#N/A</v>
      </c>
      <c r="W18" s="297" t="e">
        <f t="shared" si="5"/>
        <v>#N/A</v>
      </c>
      <c r="X18" s="297" t="e">
        <f t="shared" si="6"/>
        <v>#N/A</v>
      </c>
      <c r="Y18" s="297" t="e">
        <f t="shared" si="7"/>
        <v>#N/A</v>
      </c>
      <c r="Z18" s="472" t="e">
        <f t="shared" si="8"/>
        <v>#N/A</v>
      </c>
    </row>
    <row r="19" spans="1:27" ht="17.25" customHeight="1" thickBot="1">
      <c r="B19" s="358"/>
      <c r="C19" s="358"/>
      <c r="D19" s="358"/>
      <c r="E19" s="358"/>
      <c r="F19" s="294"/>
      <c r="G19" s="294"/>
      <c r="H19" s="348"/>
      <c r="I19" s="535"/>
      <c r="J19" s="535"/>
      <c r="K19" s="535"/>
      <c r="L19" s="535"/>
      <c r="M19" s="535"/>
      <c r="N19" s="535"/>
      <c r="O19" s="1"/>
      <c r="P19" s="12"/>
      <c r="R19" s="277">
        <f t="shared" si="9"/>
        <v>0</v>
      </c>
      <c r="S19" s="472" t="e">
        <f t="shared" si="1"/>
        <v>#N/A</v>
      </c>
      <c r="T19" s="472" t="e">
        <f t="shared" si="2"/>
        <v>#N/A</v>
      </c>
      <c r="U19" s="297" t="e">
        <f t="shared" si="3"/>
        <v>#N/A</v>
      </c>
      <c r="V19" s="297" t="e">
        <f t="shared" si="4"/>
        <v>#N/A</v>
      </c>
      <c r="W19" s="297" t="e">
        <f t="shared" si="5"/>
        <v>#N/A</v>
      </c>
      <c r="X19" s="297" t="e">
        <f t="shared" si="6"/>
        <v>#N/A</v>
      </c>
      <c r="Y19" s="297" t="e">
        <f t="shared" si="7"/>
        <v>#N/A</v>
      </c>
      <c r="Z19" s="472" t="e">
        <f t="shared" si="8"/>
        <v>#N/A</v>
      </c>
    </row>
    <row r="20" spans="1:27" ht="17.25" customHeight="1" thickBot="1">
      <c r="B20" s="483" t="s">
        <v>162</v>
      </c>
      <c r="C20" s="388"/>
      <c r="D20" s="536" t="s">
        <v>35</v>
      </c>
      <c r="E20" s="537"/>
      <c r="F20" s="294"/>
      <c r="G20" s="294"/>
      <c r="H20" s="348"/>
      <c r="I20" s="24" t="s">
        <v>17</v>
      </c>
      <c r="J20" s="25"/>
      <c r="K20" s="26" t="s">
        <v>138</v>
      </c>
      <c r="L20" s="25" t="s">
        <v>37</v>
      </c>
      <c r="M20" s="25" t="s">
        <v>38</v>
      </c>
      <c r="N20" s="27" t="s">
        <v>39</v>
      </c>
      <c r="O20" s="294"/>
      <c r="P20" s="12"/>
      <c r="R20" s="277" t="str">
        <f t="shared" si="9"/>
        <v xml:space="preserve">BRAND </v>
      </c>
      <c r="S20" s="472" t="e">
        <f t="shared" si="1"/>
        <v>#N/A</v>
      </c>
      <c r="T20" s="472" t="e">
        <f t="shared" si="2"/>
        <v>#N/A</v>
      </c>
      <c r="U20" s="297" t="e">
        <f t="shared" si="3"/>
        <v>#N/A</v>
      </c>
      <c r="V20" s="297" t="e">
        <f t="shared" si="4"/>
        <v>#N/A</v>
      </c>
      <c r="W20" s="297" t="e">
        <f t="shared" si="5"/>
        <v>#N/A</v>
      </c>
      <c r="X20" s="297" t="e">
        <f t="shared" si="6"/>
        <v>#N/A</v>
      </c>
      <c r="Y20" s="297" t="e">
        <f t="shared" si="7"/>
        <v>#N/A</v>
      </c>
      <c r="Z20" s="472" t="e">
        <f t="shared" si="8"/>
        <v>#N/A</v>
      </c>
    </row>
    <row r="21" spans="1:27" ht="17.25" customHeight="1">
      <c r="A21" s="28"/>
      <c r="B21" s="538"/>
      <c r="C21" s="484"/>
      <c r="D21" s="523"/>
      <c r="E21" s="524"/>
      <c r="F21" s="294"/>
      <c r="G21" s="294"/>
      <c r="H21" s="348"/>
      <c r="I21" s="29" t="s">
        <v>6</v>
      </c>
      <c r="J21" s="323">
        <f>AVERAGE(I10:I15)</f>
        <v>98.296758078376286</v>
      </c>
      <c r="K21" s="284">
        <f>COUNTA([4]Brewhouse!$A$696:$A$739)</f>
        <v>44</v>
      </c>
      <c r="L21" s="305">
        <f>AVERAGE([4]Brewhouse!$AU$696:$AU$739)</f>
        <v>98.690562998396686</v>
      </c>
      <c r="M21" s="305">
        <f>AVERAGE([4]Brewhouse!$AU$42:$AU$123,[4]Brewhouse!$AU$125:$AU$188,[4]Brewhouse!$AU$198:$AU$290,[4]Brewhouse!$AU$292:$AU$370,[4]Brewhouse!$AU$372:$AU$439,[4]Brewhouse!$AU$441:$AU$497,[4]Brewhouse!$AU$499:$AU$519,[4]Brewhouse!$AU$521:$AU$593,[4]Brewhouse!$AU$595:$AU$739)</f>
        <v>98.312043640934149</v>
      </c>
      <c r="N21" s="30">
        <v>98</v>
      </c>
      <c r="O21" s="11"/>
      <c r="P21" s="31"/>
      <c r="R21" s="277">
        <f t="shared" si="9"/>
        <v>0</v>
      </c>
      <c r="S21" s="472" t="e">
        <f t="shared" si="1"/>
        <v>#N/A</v>
      </c>
      <c r="T21" s="472" t="e">
        <f t="shared" si="2"/>
        <v>#N/A</v>
      </c>
      <c r="U21" s="297" t="e">
        <f t="shared" si="3"/>
        <v>#N/A</v>
      </c>
      <c r="V21" s="297" t="e">
        <f t="shared" si="4"/>
        <v>#N/A</v>
      </c>
      <c r="W21" s="297" t="e">
        <f t="shared" si="5"/>
        <v>#N/A</v>
      </c>
      <c r="X21" s="297" t="e">
        <f t="shared" si="6"/>
        <v>#N/A</v>
      </c>
      <c r="Y21" s="297" t="e">
        <f t="shared" si="7"/>
        <v>#N/A</v>
      </c>
      <c r="Z21" s="472" t="e">
        <f t="shared" si="8"/>
        <v>#N/A</v>
      </c>
    </row>
    <row r="22" spans="1:27" ht="15" customHeight="1">
      <c r="A22" s="28"/>
      <c r="B22" s="539"/>
      <c r="C22" s="362"/>
      <c r="D22" s="525"/>
      <c r="E22" s="526"/>
      <c r="F22" s="294"/>
      <c r="G22" s="294"/>
      <c r="H22" s="348"/>
      <c r="I22" s="33" t="s">
        <v>9</v>
      </c>
      <c r="J22" s="323"/>
      <c r="K22" s="284">
        <f>COUNTA([5]Brewhouse!$A$363:$A$372)</f>
        <v>10</v>
      </c>
      <c r="L22" s="302">
        <f>AVERAGE([5]Brewhouse!$AS$363:$AS$372)</f>
        <v>100.50071873632695</v>
      </c>
      <c r="M22" s="302">
        <f>AVERAGE([5]Brewhouse!$AS$52:$AS$81,[5]Brewhouse!$AS$83:$AS$124,[5]Brewhouse!$AS$134:$AS$177,[5]Brewhouse!$AS$22:$AS$179,[5]Brewhouse!$AS$214:$AS$249,[5]Brewhouse!$AS$252:$AS$293,[5]Brewhouse!$AS$295:$AS$325,[5]Brewhouse!$AS$327:$AS$361,[5]Brewhouse!$AS$363:$AS$372)</f>
        <v>98.29248495310074</v>
      </c>
      <c r="N22" s="30">
        <v>98</v>
      </c>
      <c r="O22" s="11"/>
      <c r="P22" s="31"/>
      <c r="R22" s="277">
        <f t="shared" si="9"/>
        <v>0</v>
      </c>
      <c r="S22" s="472" t="e">
        <f t="shared" si="1"/>
        <v>#N/A</v>
      </c>
      <c r="T22" s="472" t="e">
        <f t="shared" si="2"/>
        <v>#N/A</v>
      </c>
      <c r="U22" s="297" t="e">
        <f t="shared" si="3"/>
        <v>#N/A</v>
      </c>
      <c r="V22" s="297" t="e">
        <f t="shared" si="4"/>
        <v>#N/A</v>
      </c>
      <c r="W22" s="297" t="e">
        <f t="shared" si="5"/>
        <v>#N/A</v>
      </c>
      <c r="X22" s="297" t="e">
        <f t="shared" si="6"/>
        <v>#N/A</v>
      </c>
      <c r="Y22" s="297" t="e">
        <f t="shared" si="7"/>
        <v>#N/A</v>
      </c>
      <c r="Z22" s="472" t="e">
        <f t="shared" si="8"/>
        <v>#N/A</v>
      </c>
    </row>
    <row r="23" spans="1:27" ht="14.65" customHeight="1">
      <c r="A23" s="28"/>
      <c r="B23" s="539"/>
      <c r="C23" s="362"/>
      <c r="D23" s="530"/>
      <c r="E23" s="531"/>
      <c r="F23" s="294"/>
      <c r="G23" s="294"/>
      <c r="H23" s="348"/>
      <c r="I23" s="34" t="s">
        <v>12</v>
      </c>
      <c r="J23" s="323"/>
      <c r="K23" s="284"/>
      <c r="L23" s="302"/>
      <c r="M23" s="302">
        <f>AVERAGE([6]Brewhouse!$AU$16:$AU$23,[6]Brewhouse!$AU$25:$AU$32,[6]Brewhouse!$AU$34:$AU$41,[6]Brewhouse!$AU$43:$AU$60,[6]Brewhouse!$AU$62:$AU$69,[6]Brewhouse!$AU$71:$AU$88,[6]Brewhouse!$AU$90:$AU$97)</f>
        <v>96.502171439390338</v>
      </c>
      <c r="N23" s="30">
        <v>98</v>
      </c>
      <c r="O23" s="11"/>
      <c r="P23" s="31"/>
      <c r="R23" s="277">
        <f t="shared" si="9"/>
        <v>0</v>
      </c>
      <c r="S23" s="472" t="e">
        <f t="shared" si="1"/>
        <v>#N/A</v>
      </c>
      <c r="T23" s="472" t="e">
        <f t="shared" si="2"/>
        <v>#N/A</v>
      </c>
      <c r="U23" s="297" t="e">
        <f t="shared" si="3"/>
        <v>#N/A</v>
      </c>
      <c r="V23" s="297" t="e">
        <f t="shared" si="4"/>
        <v>#N/A</v>
      </c>
      <c r="W23" s="297" t="e">
        <f t="shared" si="5"/>
        <v>#N/A</v>
      </c>
      <c r="X23" s="297" t="e">
        <f t="shared" si="6"/>
        <v>#N/A</v>
      </c>
      <c r="Y23" s="297" t="e">
        <f t="shared" si="7"/>
        <v>#N/A</v>
      </c>
      <c r="Z23" s="472" t="e">
        <f t="shared" si="8"/>
        <v>#N/A</v>
      </c>
    </row>
    <row r="24" spans="1:27" ht="14.65" customHeight="1">
      <c r="A24" s="28"/>
      <c r="B24" s="539"/>
      <c r="C24" s="362"/>
      <c r="D24" s="532"/>
      <c r="E24" s="526"/>
      <c r="F24" s="294"/>
      <c r="G24" s="294"/>
      <c r="H24" s="348"/>
      <c r="I24" s="22" t="s">
        <v>33</v>
      </c>
      <c r="J24" s="280"/>
      <c r="K24" s="284"/>
      <c r="L24" s="302"/>
      <c r="M24" s="302">
        <f>AVERAGE([7]Brewhouse!$AV$23:$AV$34,[7]Brewhouse!$AV$36,[7]Brewhouse!$AV$38:$AV$52,[7]Brewhouse!$AV$54:$AV$60,[7]Brewhouse!$AV$62:$AV$69,[7]Brewhouse!$AV$71:$AV$78,[7]Brewhouse!$AV$80:$AV$87,[7]Brewhouse!$AV$89:$AV$96)</f>
        <v>97.559547139003357</v>
      </c>
      <c r="N24" s="30">
        <v>98</v>
      </c>
      <c r="O24" s="11"/>
      <c r="P24" s="31"/>
      <c r="R24" s="277">
        <f t="shared" si="0"/>
        <v>0</v>
      </c>
      <c r="S24" s="472" t="e">
        <f t="shared" si="1"/>
        <v>#N/A</v>
      </c>
      <c r="T24" s="472" t="e">
        <f t="shared" si="2"/>
        <v>#N/A</v>
      </c>
      <c r="U24" s="297" t="e">
        <f t="shared" si="3"/>
        <v>#N/A</v>
      </c>
      <c r="V24" s="297" t="e">
        <f t="shared" si="4"/>
        <v>#N/A</v>
      </c>
      <c r="W24" s="297" t="e">
        <f t="shared" si="5"/>
        <v>#N/A</v>
      </c>
      <c r="X24" s="297" t="e">
        <f t="shared" si="6"/>
        <v>#N/A</v>
      </c>
      <c r="Y24" s="297" t="e">
        <f t="shared" si="7"/>
        <v>#N/A</v>
      </c>
      <c r="Z24" s="472" t="e">
        <f t="shared" si="8"/>
        <v>#N/A</v>
      </c>
    </row>
    <row r="25" spans="1:27" ht="14.65" customHeight="1">
      <c r="A25" s="28"/>
      <c r="B25" s="539"/>
      <c r="C25" s="362"/>
      <c r="D25" s="530"/>
      <c r="E25" s="531"/>
      <c r="F25" s="294"/>
      <c r="G25" s="294"/>
      <c r="H25" s="348"/>
      <c r="I25" s="35" t="s">
        <v>29</v>
      </c>
      <c r="J25" s="280"/>
      <c r="K25" s="284"/>
      <c r="L25" s="302"/>
      <c r="M25" s="302"/>
      <c r="N25" s="30">
        <v>98</v>
      </c>
      <c r="O25" s="11"/>
      <c r="P25" s="31"/>
      <c r="R25" s="277">
        <f t="shared" si="0"/>
        <v>0</v>
      </c>
      <c r="S25" s="472" t="e">
        <f t="shared" si="1"/>
        <v>#N/A</v>
      </c>
      <c r="T25" s="472" t="e">
        <f t="shared" si="2"/>
        <v>#N/A</v>
      </c>
      <c r="U25" s="297" t="e">
        <f t="shared" si="3"/>
        <v>#N/A</v>
      </c>
      <c r="V25" s="297" t="e">
        <f t="shared" si="4"/>
        <v>#N/A</v>
      </c>
      <c r="W25" s="297" t="e">
        <f t="shared" si="5"/>
        <v>#N/A</v>
      </c>
      <c r="X25" s="297" t="e">
        <f t="shared" si="6"/>
        <v>#N/A</v>
      </c>
      <c r="Y25" s="297" t="e">
        <f t="shared" si="7"/>
        <v>#N/A</v>
      </c>
      <c r="Z25" s="472" t="e">
        <f t="shared" si="8"/>
        <v>#N/A</v>
      </c>
    </row>
    <row r="26" spans="1:27" ht="14.65" customHeight="1">
      <c r="A26" s="28"/>
      <c r="B26" s="539"/>
      <c r="C26" s="362"/>
      <c r="D26" s="532"/>
      <c r="E26" s="526"/>
      <c r="F26" s="417"/>
      <c r="G26" s="294"/>
      <c r="H26" s="348"/>
      <c r="I26" s="36" t="s">
        <v>15</v>
      </c>
      <c r="J26" s="323"/>
      <c r="K26" s="284">
        <f>COUNTA([8]Brewhouse!$A$23:$A$30)</f>
        <v>8</v>
      </c>
      <c r="L26" s="302">
        <f>AVERAGE([8]Brewhouse!$AT$23:$AT$30)</f>
        <v>96.065914782338609</v>
      </c>
      <c r="M26" s="302">
        <f>AVERAGE([8]Brewhouse!$AT$4:$AT$11,[8]Brewhouse!$AT$13:$AT$16,[8]Brewhouse!$AT$18:$AT$30)</f>
        <v>93.22262799886262</v>
      </c>
      <c r="N26" s="30">
        <v>98</v>
      </c>
      <c r="O26" s="11"/>
      <c r="P26" s="31"/>
      <c r="R26" s="277">
        <f t="shared" si="0"/>
        <v>0</v>
      </c>
      <c r="S26" s="472" t="e">
        <f t="shared" si="1"/>
        <v>#N/A</v>
      </c>
      <c r="T26" s="472" t="e">
        <f t="shared" si="2"/>
        <v>#N/A</v>
      </c>
      <c r="U26" s="297" t="e">
        <f t="shared" si="3"/>
        <v>#N/A</v>
      </c>
      <c r="V26" s="297" t="e">
        <f t="shared" si="4"/>
        <v>#N/A</v>
      </c>
      <c r="W26" s="297" t="e">
        <f t="shared" si="5"/>
        <v>#N/A</v>
      </c>
      <c r="X26" s="297" t="e">
        <f t="shared" si="6"/>
        <v>#N/A</v>
      </c>
      <c r="Y26" s="297" t="e">
        <f t="shared" si="7"/>
        <v>#N/A</v>
      </c>
      <c r="Z26" s="472" t="e">
        <f t="shared" si="8"/>
        <v>#N/A</v>
      </c>
    </row>
    <row r="27" spans="1:27" ht="14.65" customHeight="1">
      <c r="A27" s="28"/>
      <c r="B27" s="539"/>
      <c r="C27" s="362"/>
      <c r="D27" s="530"/>
      <c r="E27" s="531"/>
      <c r="F27" s="417"/>
      <c r="G27" s="294"/>
      <c r="H27" s="348"/>
      <c r="I27" s="37" t="s">
        <v>16</v>
      </c>
      <c r="J27" s="323"/>
      <c r="K27" s="284"/>
      <c r="L27" s="302"/>
      <c r="M27" s="302">
        <f>AVERAGE([3]Brewhouse!$AY$5:$AY$14,[3]Brewhouse!$AY$16:$AY$23,[3]Brewhouse!$AY$42,[3]Brewhouse!$AY$44:$AY$51,[3]Brewhouse!$AY$53:$AY$64,[3]Brewhouse!$AY$66:$AY$73,[3]Brewhouse!$AY$75:$AY$82,[3]Brewhouse!$AY$84:$AY$101)</f>
        <v>97.784660430003186</v>
      </c>
      <c r="N27" s="30">
        <v>98</v>
      </c>
      <c r="O27" s="11"/>
      <c r="P27" s="31" t="s">
        <v>41</v>
      </c>
      <c r="R27" s="277">
        <f t="shared" si="0"/>
        <v>0</v>
      </c>
      <c r="S27" s="472" t="e">
        <f t="shared" si="1"/>
        <v>#N/A</v>
      </c>
      <c r="T27" s="472" t="e">
        <f t="shared" si="2"/>
        <v>#N/A</v>
      </c>
      <c r="U27" s="297" t="e">
        <f t="shared" si="3"/>
        <v>#N/A</v>
      </c>
      <c r="V27" s="297" t="e">
        <f t="shared" si="4"/>
        <v>#N/A</v>
      </c>
      <c r="W27" s="297" t="e">
        <f t="shared" si="5"/>
        <v>#N/A</v>
      </c>
      <c r="X27" s="297" t="e">
        <f t="shared" si="6"/>
        <v>#N/A</v>
      </c>
      <c r="Y27" s="297" t="e">
        <f t="shared" si="7"/>
        <v>#N/A</v>
      </c>
      <c r="Z27" s="472" t="e">
        <f t="shared" si="8"/>
        <v>#N/A</v>
      </c>
    </row>
    <row r="28" spans="1:27" ht="14.65" customHeight="1">
      <c r="A28" s="28"/>
      <c r="B28" s="539"/>
      <c r="C28" s="362"/>
      <c r="D28" s="532"/>
      <c r="E28" s="526"/>
      <c r="F28" s="294"/>
      <c r="G28" s="294"/>
      <c r="H28" s="348"/>
      <c r="I28" s="411" t="s">
        <v>158</v>
      </c>
      <c r="J28" s="326"/>
      <c r="K28" s="284"/>
      <c r="L28" s="305"/>
      <c r="M28" s="305"/>
      <c r="N28" s="30">
        <v>98</v>
      </c>
      <c r="O28" s="11"/>
      <c r="P28" s="31"/>
      <c r="R28" s="277">
        <f t="shared" si="0"/>
        <v>0</v>
      </c>
      <c r="S28" s="472" t="e">
        <f t="shared" si="1"/>
        <v>#N/A</v>
      </c>
      <c r="T28" s="472" t="e">
        <f t="shared" si="2"/>
        <v>#N/A</v>
      </c>
      <c r="U28" s="297" t="e">
        <f t="shared" si="3"/>
        <v>#N/A</v>
      </c>
      <c r="V28" s="297" t="e">
        <f t="shared" si="4"/>
        <v>#N/A</v>
      </c>
      <c r="W28" s="297" t="e">
        <f t="shared" si="5"/>
        <v>#N/A</v>
      </c>
      <c r="X28" s="297" t="e">
        <f t="shared" si="6"/>
        <v>#N/A</v>
      </c>
      <c r="Y28" s="297" t="e">
        <f t="shared" si="7"/>
        <v>#N/A</v>
      </c>
      <c r="Z28" s="472" t="e">
        <f t="shared" si="8"/>
        <v>#N/A</v>
      </c>
    </row>
    <row r="29" spans="1:27" ht="14.65" customHeight="1">
      <c r="A29" s="28"/>
      <c r="B29" s="539"/>
      <c r="C29" s="362"/>
      <c r="D29" s="530"/>
      <c r="E29" s="531"/>
      <c r="F29" s="294"/>
      <c r="G29" s="294"/>
      <c r="H29" s="348"/>
      <c r="I29" s="410" t="s">
        <v>157</v>
      </c>
      <c r="J29" s="326"/>
      <c r="K29" s="284"/>
      <c r="L29" s="305"/>
      <c r="M29" s="305"/>
      <c r="N29" s="30">
        <v>98</v>
      </c>
      <c r="O29" s="11"/>
      <c r="P29" s="31"/>
      <c r="R29" s="277">
        <f t="shared" si="0"/>
        <v>0</v>
      </c>
      <c r="S29" s="472" t="e">
        <f t="shared" si="1"/>
        <v>#N/A</v>
      </c>
      <c r="T29" s="472" t="e">
        <f t="shared" si="2"/>
        <v>#N/A</v>
      </c>
      <c r="U29" s="297" t="e">
        <f t="shared" si="3"/>
        <v>#N/A</v>
      </c>
      <c r="V29" s="297" t="e">
        <f t="shared" si="4"/>
        <v>#N/A</v>
      </c>
      <c r="W29" s="297" t="e">
        <f t="shared" si="5"/>
        <v>#N/A</v>
      </c>
      <c r="X29" s="297" t="e">
        <f t="shared" si="6"/>
        <v>#N/A</v>
      </c>
      <c r="Y29" s="297" t="e">
        <f t="shared" si="7"/>
        <v>#N/A</v>
      </c>
      <c r="Z29" s="472" t="e">
        <f t="shared" si="8"/>
        <v>#N/A</v>
      </c>
      <c r="AA29" s="472"/>
    </row>
    <row r="30" spans="1:27" ht="15" customHeight="1" thickBot="1">
      <c r="A30" s="28"/>
      <c r="B30" s="539"/>
      <c r="C30" s="362"/>
      <c r="D30" s="532"/>
      <c r="E30" s="526"/>
      <c r="F30" s="294"/>
      <c r="G30" s="294"/>
      <c r="H30" s="348"/>
      <c r="I30" s="406" t="s">
        <v>156</v>
      </c>
      <c r="J30" s="327"/>
      <c r="K30" s="407"/>
      <c r="L30" s="408"/>
      <c r="M30" s="408"/>
      <c r="N30" s="409">
        <v>98</v>
      </c>
      <c r="O30" s="11"/>
      <c r="P30" s="31"/>
      <c r="R30" s="277">
        <f t="shared" si="0"/>
        <v>0</v>
      </c>
      <c r="S30" s="472" t="e">
        <f t="shared" si="1"/>
        <v>#N/A</v>
      </c>
      <c r="T30" s="472" t="e">
        <f t="shared" si="2"/>
        <v>#N/A</v>
      </c>
      <c r="U30" s="297" t="e">
        <f t="shared" si="3"/>
        <v>#N/A</v>
      </c>
      <c r="V30" s="297" t="e">
        <f t="shared" si="4"/>
        <v>#N/A</v>
      </c>
      <c r="W30" s="297" t="e">
        <f t="shared" si="5"/>
        <v>#N/A</v>
      </c>
      <c r="X30" s="297" t="e">
        <f t="shared" si="6"/>
        <v>#N/A</v>
      </c>
      <c r="Y30" s="297" t="e">
        <f t="shared" si="7"/>
        <v>#N/A</v>
      </c>
      <c r="Z30" s="472" t="e">
        <f t="shared" si="8"/>
        <v>#N/A</v>
      </c>
      <c r="AA30" s="472"/>
    </row>
    <row r="31" spans="1:27" ht="15" customHeight="1" thickBot="1">
      <c r="A31" s="28"/>
      <c r="B31" s="539"/>
      <c r="C31" s="349"/>
      <c r="D31" s="523"/>
      <c r="E31" s="524"/>
      <c r="F31" s="294"/>
      <c r="G31" s="294"/>
      <c r="H31" s="348"/>
      <c r="I31" s="1"/>
      <c r="J31" s="39"/>
      <c r="K31" s="404">
        <f>SUM(K21:K30)</f>
        <v>62</v>
      </c>
      <c r="L31" s="405">
        <f>((L21*K21)+(L22*K22)+(L23*K23)+(L24*K24)+(L25*K25)+(K28*L28)+(L26*K26)+(L27*K27)+(L30*K30))/(K31)</f>
        <v>98.643859315345694</v>
      </c>
      <c r="M31" s="405">
        <f>AVERAGE('[9]Jan30th-31st'!$L$42,'[10]Feb 27th-28th'!$L$45,'[11]Mar 31st'!$L$42,'[12]Apr 30th'!$L$41,'[13]May 29th '!$L$35,'[14]June 30th'!$L$32,[15]July31st!$L$36,'[16]Aug 31st'!$L$32,L31)</f>
        <v>98.065959658310661</v>
      </c>
      <c r="N31" s="40">
        <v>98</v>
      </c>
      <c r="O31" s="11"/>
      <c r="P31" s="31"/>
      <c r="R31" s="277">
        <f t="shared" si="0"/>
        <v>0</v>
      </c>
      <c r="S31" s="472" t="e">
        <f t="shared" si="1"/>
        <v>#N/A</v>
      </c>
      <c r="T31" s="472" t="e">
        <f t="shared" si="2"/>
        <v>#N/A</v>
      </c>
      <c r="U31" s="297" t="e">
        <f t="shared" si="3"/>
        <v>#N/A</v>
      </c>
      <c r="V31" s="297" t="e">
        <f t="shared" si="4"/>
        <v>#N/A</v>
      </c>
      <c r="W31" s="297" t="e">
        <f t="shared" si="5"/>
        <v>#N/A</v>
      </c>
      <c r="X31" s="297" t="e">
        <f t="shared" si="6"/>
        <v>#N/A</v>
      </c>
      <c r="Y31" s="297" t="e">
        <f t="shared" si="7"/>
        <v>#N/A</v>
      </c>
      <c r="Z31" s="472" t="e">
        <f t="shared" si="8"/>
        <v>#N/A</v>
      </c>
      <c r="AA31" s="472"/>
    </row>
    <row r="32" spans="1:27" ht="15.75" thickBot="1">
      <c r="B32" s="540"/>
      <c r="C32" s="350"/>
      <c r="D32" s="525"/>
      <c r="E32" s="526"/>
      <c r="F32" s="294"/>
      <c r="G32" s="42"/>
      <c r="H32" s="41"/>
      <c r="I32" s="42"/>
      <c r="J32" s="42"/>
      <c r="K32" s="351"/>
      <c r="L32" s="348"/>
      <c r="M32" s="348"/>
      <c r="N32" s="11"/>
      <c r="O32" s="294"/>
      <c r="P32" s="12"/>
      <c r="R32" s="277">
        <f t="shared" si="0"/>
        <v>0</v>
      </c>
      <c r="S32" s="472" t="e">
        <f t="shared" si="1"/>
        <v>#N/A</v>
      </c>
      <c r="T32" s="472" t="e">
        <f t="shared" si="2"/>
        <v>#N/A</v>
      </c>
      <c r="U32" s="297" t="e">
        <f t="shared" si="3"/>
        <v>#N/A</v>
      </c>
      <c r="V32" s="297" t="e">
        <f t="shared" si="4"/>
        <v>#N/A</v>
      </c>
      <c r="W32" s="297" t="e">
        <f t="shared" si="5"/>
        <v>#N/A</v>
      </c>
      <c r="X32" s="297" t="e">
        <f t="shared" si="6"/>
        <v>#N/A</v>
      </c>
      <c r="Y32" s="297" t="e">
        <f t="shared" si="7"/>
        <v>#N/A</v>
      </c>
      <c r="Z32" s="472" t="e">
        <f t="shared" si="8"/>
        <v>#N/A</v>
      </c>
      <c r="AA32" s="472"/>
    </row>
    <row r="33" spans="2:56" ht="15.75" thickBot="1">
      <c r="B33" s="520"/>
      <c r="C33" s="362"/>
      <c r="D33" s="523"/>
      <c r="E33" s="524"/>
      <c r="F33" s="294"/>
      <c r="G33" s="42"/>
      <c r="H33" s="41"/>
      <c r="I33" s="42"/>
      <c r="J33" s="527" t="s">
        <v>129</v>
      </c>
      <c r="K33" s="527"/>
      <c r="L33" s="294"/>
      <c r="M33" s="294"/>
      <c r="N33" s="294"/>
      <c r="O33" s="294"/>
      <c r="P33" s="12"/>
    </row>
    <row r="34" spans="2:56" ht="15.75" thickBot="1">
      <c r="B34" s="521"/>
      <c r="C34" s="362"/>
      <c r="D34" s="525"/>
      <c r="E34" s="526"/>
      <c r="F34" s="294"/>
      <c r="G34" s="42"/>
      <c r="H34" s="42"/>
      <c r="I34" s="42"/>
      <c r="J34" s="292" t="s">
        <v>17</v>
      </c>
      <c r="K34" s="293"/>
      <c r="L34" s="528" t="s">
        <v>136</v>
      </c>
      <c r="M34" s="528"/>
      <c r="N34" s="529"/>
      <c r="O34" s="294"/>
      <c r="P34" s="12"/>
    </row>
    <row r="35" spans="2:56" ht="15" customHeight="1" thickBot="1">
      <c r="B35" s="521"/>
      <c r="C35" s="349"/>
      <c r="D35" s="530"/>
      <c r="E35" s="531"/>
      <c r="F35" s="294"/>
      <c r="G35" s="42"/>
      <c r="H35" s="42"/>
      <c r="I35" s="42"/>
      <c r="J35" s="287" t="s">
        <v>6</v>
      </c>
      <c r="K35" s="324">
        <v>6</v>
      </c>
      <c r="L35" s="473" t="s">
        <v>37</v>
      </c>
      <c r="M35" s="474" t="s">
        <v>38</v>
      </c>
      <c r="N35" s="474" t="s">
        <v>84</v>
      </c>
      <c r="O35" s="294"/>
      <c r="P35" s="12"/>
    </row>
    <row r="36" spans="2:56" ht="15.75" customHeight="1" thickBot="1">
      <c r="B36" s="521"/>
      <c r="C36" s="349"/>
      <c r="D36" s="532"/>
      <c r="E36" s="526"/>
      <c r="F36" s="294"/>
      <c r="G36" s="42"/>
      <c r="H36" s="42"/>
      <c r="I36" s="42"/>
      <c r="J36" s="345" t="s">
        <v>9</v>
      </c>
      <c r="K36" s="324"/>
      <c r="L36" s="485">
        <f>AVERAGE('Sept 1st'!K45,'Sept 2nd'!K47,'Sept 3rd'!K44,'Sept 4th'!K46,'Sept 7th'!K48,'Sept 8th'!K48,'Sept 9th'!K50,'Sept 10th'!K49,K45)</f>
        <v>6.8888888888888893</v>
      </c>
      <c r="M36" s="486">
        <f>AVERAGE('[9]Jan30th-31st'!$L$47,L36,'[10]Feb 26th '!$L$39,'[11]Mar 31st'!$L$47,'[12]Apr 30th'!$L$46,'[13]May 29th '!$L$40,'[14]June 30th'!$L$39,[15]July31st!$L$41,'[16]Aug 31st'!$L$37)</f>
        <v>6.5032213626416526</v>
      </c>
      <c r="N36" s="416">
        <v>9.1999999999999993</v>
      </c>
      <c r="O36" s="294"/>
      <c r="P36" s="12"/>
    </row>
    <row r="37" spans="2:56" ht="15" customHeight="1">
      <c r="B37" s="521"/>
      <c r="C37" s="349"/>
      <c r="D37" s="530"/>
      <c r="E37" s="531"/>
      <c r="F37" s="294"/>
      <c r="G37" s="42"/>
      <c r="H37" s="42"/>
      <c r="I37" s="42"/>
      <c r="J37" s="288" t="s">
        <v>40</v>
      </c>
      <c r="K37" s="324"/>
      <c r="L37" s="294"/>
      <c r="M37" s="294"/>
      <c r="N37" s="294"/>
      <c r="O37" s="294"/>
      <c r="P37" s="12"/>
    </row>
    <row r="38" spans="2:56" ht="15" customHeight="1">
      <c r="B38" s="521"/>
      <c r="C38" s="349"/>
      <c r="D38" s="532"/>
      <c r="E38" s="526"/>
      <c r="F38" s="294"/>
      <c r="G38" s="42"/>
      <c r="H38" s="42"/>
      <c r="I38" s="42"/>
      <c r="J38" s="289" t="s">
        <v>33</v>
      </c>
      <c r="K38" s="324"/>
      <c r="L38" s="294"/>
      <c r="M38" s="294"/>
      <c r="N38" s="294"/>
      <c r="O38" s="294"/>
      <c r="P38" s="12"/>
    </row>
    <row r="39" spans="2:56" ht="15">
      <c r="B39" s="521"/>
      <c r="C39" s="349"/>
      <c r="D39" s="530"/>
      <c r="E39" s="531"/>
      <c r="F39" s="294"/>
      <c r="G39" s="42"/>
      <c r="H39" s="42"/>
      <c r="I39" s="42"/>
      <c r="J39" s="290" t="s">
        <v>16</v>
      </c>
      <c r="K39" s="324"/>
      <c r="L39" s="294"/>
      <c r="M39" s="294"/>
      <c r="N39" s="294"/>
      <c r="O39" s="294"/>
      <c r="P39" s="12"/>
      <c r="BC39" s="44"/>
      <c r="BD39" s="44"/>
    </row>
    <row r="40" spans="2:56" ht="15">
      <c r="B40" s="521"/>
      <c r="C40" s="349"/>
      <c r="D40" s="532"/>
      <c r="E40" s="526"/>
      <c r="F40" s="294"/>
      <c r="G40" s="42"/>
      <c r="H40" s="42"/>
      <c r="I40" s="42"/>
      <c r="J40" s="291" t="s">
        <v>15</v>
      </c>
      <c r="K40" s="324"/>
      <c r="L40" s="294"/>
      <c r="M40" s="294"/>
      <c r="N40" s="294"/>
      <c r="O40" s="294"/>
      <c r="P40" s="12"/>
      <c r="BC40" s="44"/>
      <c r="BD40" s="44"/>
    </row>
    <row r="41" spans="2:56" ht="15">
      <c r="B41" s="521"/>
      <c r="C41" s="349"/>
      <c r="D41" s="530"/>
      <c r="E41" s="531"/>
      <c r="F41" s="294"/>
      <c r="G41" s="42"/>
      <c r="H41" s="42"/>
      <c r="I41" s="42"/>
      <c r="J41" s="291" t="s">
        <v>149</v>
      </c>
      <c r="K41" s="324"/>
      <c r="L41" s="294"/>
      <c r="M41" s="294"/>
      <c r="N41" s="294"/>
      <c r="O41" s="294"/>
      <c r="P41" s="12"/>
      <c r="BC41" s="44"/>
      <c r="BD41" s="44"/>
    </row>
    <row r="42" spans="2:56" ht="15.75" thickBot="1">
      <c r="B42" s="522"/>
      <c r="C42" s="350"/>
      <c r="D42" s="533"/>
      <c r="E42" s="534"/>
      <c r="F42" s="294" t="s">
        <v>165</v>
      </c>
      <c r="G42" s="42"/>
      <c r="H42" s="42"/>
      <c r="I42" s="42"/>
      <c r="J42" s="291" t="s">
        <v>148</v>
      </c>
      <c r="K42" s="324"/>
      <c r="L42" s="294"/>
      <c r="M42" s="294"/>
      <c r="N42" s="294" t="s">
        <v>41</v>
      </c>
      <c r="O42" s="294"/>
      <c r="P42" s="12"/>
      <c r="BC42" s="44"/>
      <c r="BD42" s="44"/>
    </row>
    <row r="43" spans="2:56" ht="17.649999999999999" customHeight="1" thickBot="1">
      <c r="B43" s="312" t="s">
        <v>139</v>
      </c>
      <c r="C43" s="313"/>
      <c r="D43" s="511"/>
      <c r="E43" s="512"/>
      <c r="F43" s="294"/>
      <c r="J43" s="295" t="s">
        <v>134</v>
      </c>
      <c r="K43" s="324"/>
      <c r="L43" s="294"/>
      <c r="M43" s="294"/>
      <c r="N43" s="294"/>
      <c r="O43" s="294"/>
      <c r="P43" s="12"/>
      <c r="BC43" s="44"/>
      <c r="BD43" s="44"/>
    </row>
    <row r="44" spans="2:56" ht="17.649999999999999" customHeight="1">
      <c r="B44" s="363"/>
      <c r="C44" s="364"/>
      <c r="D44" s="365"/>
      <c r="E44" s="365"/>
      <c r="F44" s="294"/>
      <c r="G44" s="42"/>
      <c r="H44" s="42"/>
      <c r="I44" s="42"/>
      <c r="J44" s="295" t="s">
        <v>131</v>
      </c>
      <c r="K44" s="324"/>
      <c r="L44" s="294"/>
      <c r="M44" s="294"/>
      <c r="N44" s="294"/>
      <c r="O44" s="294"/>
      <c r="P44" s="12"/>
      <c r="BC44" s="44"/>
      <c r="BD44" s="44"/>
    </row>
    <row r="45" spans="2:56" ht="15.6" customHeight="1">
      <c r="B45" s="45"/>
      <c r="C45" s="11"/>
      <c r="D45" s="11"/>
      <c r="E45" s="46"/>
      <c r="F45" s="294"/>
      <c r="G45" s="42"/>
      <c r="H45" s="42"/>
      <c r="I45" s="42"/>
      <c r="J45" s="346" t="s">
        <v>130</v>
      </c>
      <c r="K45" s="324">
        <f>SUM(K35:K44)</f>
        <v>6</v>
      </c>
      <c r="L45" s="294"/>
      <c r="M45" s="294"/>
      <c r="N45" s="294"/>
      <c r="O45" s="294"/>
      <c r="P45" s="12"/>
    </row>
    <row r="46" spans="2:56" ht="20.25" customHeight="1">
      <c r="B46" s="15" t="s">
        <v>42</v>
      </c>
      <c r="C46" s="1" t="s">
        <v>43</v>
      </c>
      <c r="D46" s="1"/>
      <c r="E46" s="1"/>
      <c r="F46" s="294"/>
      <c r="G46" s="42"/>
      <c r="H46" s="41"/>
      <c r="I46" s="42"/>
      <c r="L46" s="42"/>
      <c r="N46" s="315"/>
      <c r="P46" s="334"/>
    </row>
    <row r="47" spans="2:56" ht="15" customHeight="1" thickBot="1">
      <c r="B47" s="48"/>
      <c r="C47" s="48"/>
      <c r="D47" s="48"/>
      <c r="E47" s="48"/>
      <c r="F47" s="48"/>
      <c r="G47" s="48"/>
      <c r="H47" s="48"/>
      <c r="I47" s="48"/>
      <c r="J47" s="48"/>
      <c r="K47" s="48"/>
      <c r="L47" s="48"/>
      <c r="M47" s="48"/>
      <c r="N47" s="41"/>
      <c r="O47" s="48"/>
      <c r="P47" s="49"/>
    </row>
    <row r="48" spans="2:56" ht="15" customHeight="1" thickBot="1">
      <c r="B48" s="505" t="s">
        <v>17</v>
      </c>
      <c r="C48" s="505" t="s">
        <v>44</v>
      </c>
      <c r="D48" s="514" t="s">
        <v>45</v>
      </c>
      <c r="E48" s="516" t="s">
        <v>46</v>
      </c>
      <c r="F48" s="518" t="s">
        <v>47</v>
      </c>
      <c r="G48" s="503" t="s">
        <v>48</v>
      </c>
      <c r="H48" s="505" t="s">
        <v>49</v>
      </c>
      <c r="I48" s="505" t="s">
        <v>50</v>
      </c>
      <c r="J48" s="497" t="s">
        <v>28</v>
      </c>
      <c r="K48" s="507" t="s">
        <v>51</v>
      </c>
      <c r="L48" s="509" t="s">
        <v>52</v>
      </c>
      <c r="M48" s="497" t="s">
        <v>53</v>
      </c>
      <c r="N48" s="13"/>
      <c r="O48" s="13"/>
      <c r="P48" s="50"/>
    </row>
    <row r="49" spans="2:57" ht="28.5" customHeight="1" thickTop="1" thickBot="1">
      <c r="B49" s="506"/>
      <c r="C49" s="513"/>
      <c r="D49" s="515"/>
      <c r="E49" s="517"/>
      <c r="F49" s="519"/>
      <c r="G49" s="504"/>
      <c r="H49" s="506"/>
      <c r="I49" s="506"/>
      <c r="J49" s="498"/>
      <c r="K49" s="508"/>
      <c r="L49" s="510"/>
      <c r="M49" s="498"/>
      <c r="N49" s="13"/>
      <c r="O49" s="13"/>
      <c r="P49" s="50"/>
      <c r="Q49" s="355"/>
      <c r="AB49" s="475">
        <v>43474</v>
      </c>
      <c r="AC49" s="475">
        <v>43475</v>
      </c>
      <c r="AD49" s="475">
        <v>43476</v>
      </c>
      <c r="AE49" s="475">
        <v>43477</v>
      </c>
      <c r="AF49" s="475">
        <v>43478</v>
      </c>
      <c r="AG49" s="475">
        <v>43479</v>
      </c>
      <c r="AH49" s="475">
        <v>43480</v>
      </c>
      <c r="AI49" s="475">
        <v>43481</v>
      </c>
      <c r="AJ49" s="475">
        <v>43482</v>
      </c>
      <c r="AK49" s="475">
        <v>43483</v>
      </c>
      <c r="AL49" s="475">
        <v>43484</v>
      </c>
      <c r="AM49" s="475">
        <v>43485</v>
      </c>
      <c r="AN49" s="475">
        <v>43486</v>
      </c>
      <c r="AO49" s="475">
        <v>43487</v>
      </c>
      <c r="AP49" s="475">
        <v>43488</v>
      </c>
      <c r="AQ49" s="475">
        <v>43489</v>
      </c>
      <c r="AR49" s="475">
        <v>43490</v>
      </c>
      <c r="AS49" s="475">
        <v>43491</v>
      </c>
      <c r="AT49" s="475">
        <v>43492</v>
      </c>
      <c r="AU49" s="475">
        <v>43493</v>
      </c>
      <c r="AV49" s="475">
        <v>43494</v>
      </c>
      <c r="AW49" s="475">
        <v>43495</v>
      </c>
      <c r="AX49" s="475">
        <v>43496</v>
      </c>
    </row>
    <row r="50" spans="2:57" s="54" customFormat="1" ht="36.75" customHeight="1" thickBot="1">
      <c r="B50" s="495" t="str">
        <f>J40</f>
        <v>MACKESON</v>
      </c>
      <c r="C50" s="479">
        <v>46276</v>
      </c>
      <c r="D50" s="445">
        <f>[18]September_2026!$N$34</f>
        <v>199.59999999999997</v>
      </c>
      <c r="E50" s="443">
        <f>SUM([8]Process!$Y$27:$Y$30)</f>
        <v>3.8</v>
      </c>
      <c r="F50" s="444"/>
      <c r="G50" s="444">
        <f>[18]September_2026!$N$39</f>
        <v>193</v>
      </c>
      <c r="H50" s="458"/>
      <c r="I50" s="458"/>
      <c r="J50" s="448" t="s">
        <v>150</v>
      </c>
      <c r="K50" s="449">
        <f>[19]September_2026!$N$39</f>
        <v>0.67719298245614035</v>
      </c>
      <c r="L50" s="457">
        <f>(((D50+E50)-G50)/(D50+E50))*100</f>
        <v>5.1130776794493498</v>
      </c>
      <c r="M50" s="455" t="s">
        <v>176</v>
      </c>
      <c r="N50" s="13"/>
      <c r="O50" s="13"/>
      <c r="P50" s="50"/>
      <c r="R50" s="275"/>
      <c r="S50" s="275"/>
      <c r="T50" s="275"/>
      <c r="U50" s="275"/>
      <c r="V50" s="275"/>
      <c r="W50" s="275"/>
      <c r="X50" s="275"/>
      <c r="Y50" s="275"/>
      <c r="Z50" s="275"/>
      <c r="AA50" s="275"/>
      <c r="AB50" s="57">
        <f>[17]January_2019!L5</f>
        <v>0</v>
      </c>
      <c r="AC50" s="57">
        <f>[17]January_2019!M5</f>
        <v>0</v>
      </c>
      <c r="AD50" s="57">
        <f>[17]January_2019!N5</f>
        <v>0</v>
      </c>
      <c r="AE50" s="57">
        <f>[17]January_2019!O5</f>
        <v>0</v>
      </c>
      <c r="AF50" s="57">
        <f>[17]January_2019!P5</f>
        <v>0</v>
      </c>
      <c r="AG50" s="57">
        <f>[17]January_2019!Q5</f>
        <v>0</v>
      </c>
      <c r="AH50" s="57">
        <f>[17]January_2019!R5</f>
        <v>0</v>
      </c>
      <c r="AI50" s="57">
        <f>[17]January_2019!S5</f>
        <v>0</v>
      </c>
      <c r="AJ50" s="57">
        <f>[17]January_2019!T5</f>
        <v>0</v>
      </c>
      <c r="AK50" s="57">
        <f>[17]January_2019!U5</f>
        <v>0</v>
      </c>
      <c r="AL50" s="57">
        <f>[17]January_2019!V5</f>
        <v>0</v>
      </c>
      <c r="AM50" s="57">
        <f>[17]January_2019!W5</f>
        <v>0</v>
      </c>
      <c r="AN50" s="57">
        <f>[17]January_2019!X5</f>
        <v>0</v>
      </c>
      <c r="AO50" s="57">
        <f>[17]January_2019!Y5</f>
        <v>0</v>
      </c>
      <c r="AP50" s="57">
        <f>[17]January_2019!Z5</f>
        <v>0</v>
      </c>
      <c r="AQ50" s="57">
        <f>[17]January_2019!AA5</f>
        <v>0</v>
      </c>
      <c r="AR50" s="57">
        <f>[17]January_2019!AB5</f>
        <v>0</v>
      </c>
      <c r="AS50" s="57">
        <f>[17]January_2019!AC5</f>
        <v>0</v>
      </c>
      <c r="AT50" s="57">
        <f>[17]January_2019!AD5</f>
        <v>0</v>
      </c>
      <c r="AU50" s="57">
        <f>[17]January_2019!AE5</f>
        <v>0</v>
      </c>
      <c r="AV50" s="57">
        <f>[17]January_2019!AF5</f>
        <v>0</v>
      </c>
      <c r="AW50" s="57">
        <f>[17]January_2019!AG5</f>
        <v>0</v>
      </c>
      <c r="AX50" s="277">
        <f>[17]January_2019!AH5</f>
        <v>0</v>
      </c>
      <c r="AY50" s="277"/>
      <c r="AZ50" s="277"/>
      <c r="BA50" s="277"/>
      <c r="BB50" s="277"/>
      <c r="BC50" s="277"/>
      <c r="BD50" s="277"/>
      <c r="BE50" s="277"/>
    </row>
    <row r="51" spans="2:57" s="54" customFormat="1" ht="14.25" customHeight="1" thickBot="1">
      <c r="B51" s="480"/>
      <c r="C51" s="479"/>
      <c r="D51" s="442"/>
      <c r="E51" s="443"/>
      <c r="F51" s="444"/>
      <c r="G51" s="445"/>
      <c r="H51" s="458"/>
      <c r="I51" s="458"/>
      <c r="J51" s="476"/>
      <c r="K51" s="449"/>
      <c r="L51" s="457"/>
      <c r="M51" s="455"/>
      <c r="N51" s="13"/>
      <c r="O51" s="13"/>
      <c r="P51" s="50"/>
      <c r="R51" s="275"/>
      <c r="S51" s="275"/>
      <c r="T51" s="275"/>
      <c r="U51" s="275"/>
      <c r="V51" s="275"/>
      <c r="W51" s="275"/>
      <c r="X51" s="275"/>
      <c r="Y51" s="275"/>
      <c r="Z51" s="275"/>
      <c r="AA51" s="275"/>
      <c r="AB51" s="57">
        <f>[17]January_2019!L6</f>
        <v>0</v>
      </c>
      <c r="AC51" s="57">
        <f>[17]January_2019!M6</f>
        <v>0</v>
      </c>
      <c r="AD51" s="57">
        <f>[17]January_2019!N6</f>
        <v>0</v>
      </c>
      <c r="AE51" s="57">
        <f>[17]January_2019!O6</f>
        <v>0</v>
      </c>
      <c r="AF51" s="57">
        <f>[17]January_2019!P6</f>
        <v>0</v>
      </c>
      <c r="AG51" s="57">
        <f>[17]January_2019!Q6</f>
        <v>0</v>
      </c>
      <c r="AH51" s="57">
        <f>[17]January_2019!R6</f>
        <v>0</v>
      </c>
      <c r="AI51" s="57">
        <f>[17]January_2019!S6</f>
        <v>0</v>
      </c>
      <c r="AJ51" s="57">
        <f>[17]January_2019!T6</f>
        <v>0</v>
      </c>
      <c r="AK51" s="57">
        <f>[17]January_2019!U6</f>
        <v>0</v>
      </c>
      <c r="AL51" s="57">
        <f>[17]January_2019!V6</f>
        <v>0</v>
      </c>
      <c r="AM51" s="57">
        <f>[17]January_2019!W6</f>
        <v>0</v>
      </c>
      <c r="AN51" s="57">
        <f>[17]January_2019!X6</f>
        <v>0</v>
      </c>
      <c r="AO51" s="57">
        <f>[17]January_2019!Y6</f>
        <v>0</v>
      </c>
      <c r="AP51" s="57">
        <f>[17]January_2019!Z6</f>
        <v>0</v>
      </c>
      <c r="AQ51" s="57">
        <f>[17]January_2019!AA6</f>
        <v>0</v>
      </c>
      <c r="AR51" s="57">
        <f>[17]January_2019!AB6</f>
        <v>0</v>
      </c>
      <c r="AS51" s="57">
        <f>[17]January_2019!AC6</f>
        <v>0</v>
      </c>
      <c r="AT51" s="57">
        <f>[17]January_2019!AD6</f>
        <v>0</v>
      </c>
      <c r="AU51" s="57">
        <f>[17]January_2019!AE6</f>
        <v>0</v>
      </c>
      <c r="AV51" s="57">
        <f>[17]January_2019!AF6</f>
        <v>0</v>
      </c>
      <c r="AW51" s="57">
        <f>[17]January_2019!AG6</f>
        <v>0</v>
      </c>
      <c r="AX51" s="277">
        <f>[17]January_2019!AH6</f>
        <v>0</v>
      </c>
      <c r="AY51" s="277"/>
      <c r="AZ51" s="277"/>
      <c r="BA51" s="277"/>
      <c r="BB51" s="277"/>
      <c r="BC51" s="277"/>
      <c r="BD51" s="277"/>
      <c r="BE51" s="277"/>
    </row>
    <row r="52" spans="2:57" s="54" customFormat="1" ht="37.15" customHeight="1" thickBot="1">
      <c r="B52" s="495" t="str">
        <f>J40</f>
        <v>MACKESON</v>
      </c>
      <c r="C52" s="479">
        <v>46276</v>
      </c>
      <c r="D52" s="442">
        <f>[18]September_2026!$O$34</f>
        <v>99.2</v>
      </c>
      <c r="E52" s="443">
        <f>[38]MACKESON!$S$7</f>
        <v>1.9</v>
      </c>
      <c r="F52" s="444"/>
      <c r="G52" s="444">
        <f>[18]September_2026!$O$39</f>
        <v>97</v>
      </c>
      <c r="H52" s="446"/>
      <c r="I52" s="446"/>
      <c r="J52" s="448" t="s">
        <v>174</v>
      </c>
      <c r="K52" s="449">
        <f>[19]September_2026!$O$39</f>
        <v>0.34035087719298246</v>
      </c>
      <c r="L52" s="457">
        <f>(((D52+E52)-G52)/(D52+E52))*100</f>
        <v>4.055390702274984</v>
      </c>
      <c r="M52" s="455" t="s">
        <v>178</v>
      </c>
      <c r="N52" s="13"/>
      <c r="O52" s="13"/>
      <c r="P52" s="50"/>
      <c r="R52" s="275"/>
      <c r="S52" s="275"/>
      <c r="T52" s="275"/>
      <c r="U52" s="275"/>
      <c r="V52" s="275"/>
      <c r="W52" s="275"/>
      <c r="X52" s="275"/>
      <c r="Y52" s="275"/>
      <c r="Z52" s="275"/>
      <c r="AA52" s="275"/>
      <c r="AB52" s="57">
        <f>[17]January_2019!L7</f>
        <v>285.8</v>
      </c>
      <c r="AC52" s="57">
        <f>[17]January_2019!M7</f>
        <v>508.1</v>
      </c>
      <c r="AD52" s="57">
        <f>[17]January_2019!N7</f>
        <v>0</v>
      </c>
      <c r="AE52" s="57">
        <f>[17]January_2019!O7</f>
        <v>0</v>
      </c>
      <c r="AF52" s="57">
        <f>[17]January_2019!P7</f>
        <v>109.56666666666666</v>
      </c>
      <c r="AG52" s="57">
        <f>[17]January_2019!Q7</f>
        <v>297.64999999999998</v>
      </c>
      <c r="AH52" s="57">
        <f>[17]January_2019!R7</f>
        <v>122.3</v>
      </c>
      <c r="AI52" s="57">
        <f>[17]January_2019!S7</f>
        <v>0</v>
      </c>
      <c r="AJ52" s="57">
        <f>[17]January_2019!T7</f>
        <v>294.7</v>
      </c>
      <c r="AK52" s="57">
        <f>[17]January_2019!U7</f>
        <v>280.5</v>
      </c>
      <c r="AL52" s="57">
        <f>[17]January_2019!V7</f>
        <v>0</v>
      </c>
      <c r="AM52" s="57">
        <f>[17]January_2019!W7</f>
        <v>0</v>
      </c>
      <c r="AN52" s="57">
        <f>[17]January_2019!X7</f>
        <v>188.25</v>
      </c>
      <c r="AO52" s="57">
        <f>[17]January_2019!Y7</f>
        <v>295.7</v>
      </c>
      <c r="AP52" s="57">
        <f>[17]January_2019!Z7</f>
        <v>257.8</v>
      </c>
      <c r="AQ52" s="57">
        <f>[17]January_2019!AA7</f>
        <v>291.2</v>
      </c>
      <c r="AR52" s="57">
        <f>[17]January_2019!AB7</f>
        <v>187</v>
      </c>
      <c r="AS52" s="57">
        <f>[17]January_2019!AC7</f>
        <v>0</v>
      </c>
      <c r="AT52" s="57">
        <f>[17]January_2019!AD7</f>
        <v>0</v>
      </c>
      <c r="AU52" s="57">
        <f>[17]January_2019!AE7</f>
        <v>485.1</v>
      </c>
      <c r="AV52" s="57">
        <f>[17]January_2019!AF7</f>
        <v>171.55</v>
      </c>
      <c r="AW52" s="57">
        <f>[17]January_2019!AG7</f>
        <v>423.8</v>
      </c>
      <c r="AX52" s="277">
        <f>[17]January_2019!AH7</f>
        <v>0</v>
      </c>
      <c r="AY52" s="277"/>
      <c r="AZ52" s="277"/>
      <c r="BA52" s="277"/>
      <c r="BB52" s="277"/>
      <c r="BC52" s="277"/>
      <c r="BD52" s="277"/>
      <c r="BE52" s="277"/>
    </row>
    <row r="53" spans="2:57" s="54" customFormat="1" ht="18.600000000000001" hidden="1" customHeight="1" thickBot="1">
      <c r="B53" s="478"/>
      <c r="C53" s="430"/>
      <c r="D53" s="431"/>
      <c r="E53" s="432"/>
      <c r="F53" s="433"/>
      <c r="G53" s="434"/>
      <c r="H53" s="458"/>
      <c r="I53" s="458"/>
      <c r="J53" s="451"/>
      <c r="K53" s="436"/>
      <c r="L53" s="452"/>
      <c r="M53" s="421"/>
      <c r="N53" s="13"/>
      <c r="O53" s="13"/>
      <c r="P53" s="50"/>
      <c r="R53" s="275"/>
      <c r="S53" s="275"/>
      <c r="T53" s="275"/>
      <c r="U53" s="275"/>
      <c r="V53" s="275"/>
      <c r="W53" s="275"/>
      <c r="X53" s="275"/>
      <c r="Y53" s="275"/>
      <c r="Z53" s="275"/>
      <c r="AA53" s="275"/>
      <c r="AB53" s="57"/>
      <c r="AC53" s="57"/>
      <c r="AD53" s="57"/>
      <c r="AE53" s="57"/>
      <c r="AF53" s="57"/>
      <c r="AG53" s="57"/>
      <c r="AH53" s="57"/>
      <c r="AI53" s="57"/>
      <c r="AJ53" s="57"/>
      <c r="AK53" s="57"/>
      <c r="AL53" s="57"/>
      <c r="AM53" s="57"/>
      <c r="AN53" s="57"/>
      <c r="AO53" s="57"/>
      <c r="AP53" s="57"/>
      <c r="AQ53" s="57"/>
      <c r="AR53" s="57"/>
      <c r="AS53" s="57"/>
      <c r="AT53" s="57"/>
      <c r="AU53" s="57"/>
      <c r="AV53" s="57"/>
      <c r="AW53" s="57"/>
      <c r="AX53" s="277"/>
      <c r="AY53" s="277"/>
      <c r="AZ53" s="277"/>
      <c r="BA53" s="277"/>
      <c r="BB53" s="277"/>
      <c r="BC53" s="277"/>
      <c r="BD53" s="277"/>
      <c r="BE53" s="277"/>
    </row>
    <row r="54" spans="2:57" s="54" customFormat="1" ht="38.65" hidden="1" customHeight="1" thickBot="1">
      <c r="B54" s="487"/>
      <c r="C54" s="479"/>
      <c r="D54" s="442"/>
      <c r="E54" s="443"/>
      <c r="F54" s="444"/>
      <c r="G54" s="445"/>
      <c r="H54" s="458"/>
      <c r="I54" s="458"/>
      <c r="J54" s="448"/>
      <c r="K54" s="459"/>
      <c r="L54" s="457"/>
      <c r="M54" s="455"/>
      <c r="N54" s="13"/>
      <c r="O54" s="13"/>
      <c r="P54" s="50"/>
      <c r="R54" s="275"/>
      <c r="S54" s="275"/>
      <c r="T54" s="275"/>
      <c r="U54" s="275"/>
      <c r="V54" s="275"/>
      <c r="W54" s="275"/>
      <c r="X54" s="275"/>
      <c r="Y54" s="275"/>
      <c r="Z54" s="275"/>
      <c r="AA54" s="275"/>
      <c r="AB54" s="57"/>
      <c r="AC54" s="57"/>
      <c r="AD54" s="57"/>
      <c r="AE54" s="57"/>
      <c r="AF54" s="57"/>
      <c r="AG54" s="57"/>
      <c r="AH54" s="57"/>
      <c r="AI54" s="57"/>
      <c r="AJ54" s="57"/>
      <c r="AK54" s="57"/>
      <c r="AL54" s="57"/>
      <c r="AM54" s="57"/>
      <c r="AN54" s="57"/>
      <c r="AO54" s="57"/>
      <c r="AP54" s="57"/>
      <c r="AQ54" s="57"/>
      <c r="AR54" s="57"/>
      <c r="AS54" s="57"/>
      <c r="AT54" s="57"/>
      <c r="AU54" s="57"/>
      <c r="AV54" s="57"/>
      <c r="AW54" s="57"/>
      <c r="AX54" s="277"/>
      <c r="AY54" s="277"/>
      <c r="AZ54" s="277"/>
      <c r="BA54" s="277"/>
      <c r="BB54" s="277"/>
      <c r="BC54" s="277"/>
      <c r="BD54" s="277"/>
      <c r="BE54" s="277"/>
    </row>
    <row r="55" spans="2:57" s="54" customFormat="1" ht="15" hidden="1">
      <c r="B55" s="453"/>
      <c r="C55" s="430"/>
      <c r="D55" s="431"/>
      <c r="E55" s="432"/>
      <c r="F55" s="433"/>
      <c r="G55" s="434"/>
      <c r="H55" s="435"/>
      <c r="I55" s="450"/>
      <c r="J55" s="451"/>
      <c r="K55" s="436"/>
      <c r="L55" s="452"/>
      <c r="M55" s="421"/>
      <c r="N55" s="13"/>
      <c r="O55" s="13"/>
      <c r="P55" s="50"/>
      <c r="R55" s="275"/>
      <c r="S55" s="275"/>
      <c r="T55" s="275"/>
      <c r="U55" s="275"/>
      <c r="V55" s="275"/>
      <c r="W55" s="275"/>
      <c r="X55" s="275"/>
      <c r="Y55" s="275"/>
      <c r="Z55" s="275"/>
      <c r="AA55" s="275"/>
      <c r="AB55" s="57"/>
      <c r="AC55" s="57"/>
      <c r="AD55" s="57"/>
      <c r="AE55" s="57"/>
      <c r="AF55" s="57"/>
      <c r="AG55" s="57"/>
      <c r="AH55" s="57"/>
      <c r="AI55" s="57"/>
      <c r="AJ55" s="57"/>
      <c r="AK55" s="57"/>
      <c r="AL55" s="57"/>
      <c r="AM55" s="57"/>
      <c r="AN55" s="57"/>
      <c r="AO55" s="57"/>
      <c r="AP55" s="57"/>
      <c r="AQ55" s="57"/>
      <c r="AR55" s="57"/>
      <c r="AS55" s="57"/>
      <c r="AT55" s="57"/>
      <c r="AU55" s="57"/>
      <c r="AV55" s="57"/>
      <c r="AW55" s="57"/>
      <c r="AX55" s="277"/>
      <c r="AY55" s="277"/>
      <c r="AZ55" s="277"/>
      <c r="BA55" s="277"/>
      <c r="BB55" s="277"/>
      <c r="BC55" s="277"/>
      <c r="BD55" s="277"/>
      <c r="BE55" s="277"/>
    </row>
    <row r="56" spans="2:57" s="54" customFormat="1" ht="37.15" hidden="1" customHeight="1" thickBot="1">
      <c r="B56" s="481"/>
      <c r="C56" s="479"/>
      <c r="D56" s="442"/>
      <c r="E56" s="443"/>
      <c r="F56" s="444"/>
      <c r="G56" s="445"/>
      <c r="H56" s="446"/>
      <c r="I56" s="447"/>
      <c r="J56" s="448"/>
      <c r="K56" s="449"/>
      <c r="L56" s="457"/>
      <c r="M56" s="455"/>
      <c r="N56" s="13"/>
      <c r="O56" s="13"/>
      <c r="P56" s="50"/>
      <c r="R56" s="275"/>
      <c r="S56" s="275"/>
      <c r="T56" s="275"/>
      <c r="U56" s="275"/>
      <c r="V56" s="275"/>
      <c r="W56" s="275"/>
      <c r="X56" s="275"/>
      <c r="Y56" s="275"/>
      <c r="Z56" s="275"/>
      <c r="AA56" s="275"/>
      <c r="AB56" s="57"/>
      <c r="AC56" s="57"/>
      <c r="AD56" s="57"/>
      <c r="AE56" s="57"/>
      <c r="AF56" s="57"/>
      <c r="AG56" s="57"/>
      <c r="AH56" s="57"/>
      <c r="AI56" s="57"/>
      <c r="AJ56" s="57"/>
      <c r="AK56" s="57"/>
      <c r="AL56" s="57"/>
      <c r="AM56" s="57"/>
      <c r="AN56" s="57"/>
      <c r="AO56" s="57"/>
      <c r="AP56" s="57"/>
      <c r="AQ56" s="57"/>
      <c r="AR56" s="57"/>
      <c r="AS56" s="57"/>
      <c r="AT56" s="57"/>
      <c r="AU56" s="57"/>
      <c r="AV56" s="57"/>
      <c r="AW56" s="57"/>
      <c r="AX56" s="277"/>
      <c r="AY56" s="277"/>
      <c r="AZ56" s="277"/>
      <c r="BA56" s="277"/>
      <c r="BB56" s="277"/>
      <c r="BC56" s="277"/>
      <c r="BD56" s="277"/>
      <c r="BE56" s="277"/>
    </row>
    <row r="57" spans="2:57" s="54" customFormat="1" ht="16.5" hidden="1" customHeight="1" thickBot="1">
      <c r="B57" s="437"/>
      <c r="C57" s="423"/>
      <c r="D57" s="424"/>
      <c r="E57" s="425"/>
      <c r="F57" s="426"/>
      <c r="G57" s="427"/>
      <c r="H57" s="428"/>
      <c r="I57" s="438"/>
      <c r="J57" s="439"/>
      <c r="K57" s="429"/>
      <c r="L57" s="440"/>
      <c r="M57" s="422"/>
      <c r="N57" s="13"/>
      <c r="O57" s="13"/>
      <c r="P57" s="50"/>
      <c r="R57" s="275"/>
      <c r="S57" s="275"/>
      <c r="T57" s="275"/>
      <c r="U57" s="275"/>
      <c r="V57" s="275"/>
      <c r="W57" s="275"/>
      <c r="X57" s="275"/>
      <c r="Y57" s="275"/>
      <c r="Z57" s="275"/>
      <c r="AA57" s="275"/>
      <c r="AB57" s="415"/>
      <c r="AC57" s="415"/>
      <c r="AD57" s="415"/>
      <c r="AE57" s="415"/>
      <c r="AF57" s="415"/>
      <c r="AG57" s="415"/>
      <c r="AH57" s="415"/>
      <c r="AI57" s="415"/>
      <c r="AJ57" s="415"/>
      <c r="AK57" s="415"/>
      <c r="AL57" s="415"/>
      <c r="AM57" s="415"/>
      <c r="AN57" s="415"/>
      <c r="AO57" s="415"/>
      <c r="AP57" s="415"/>
      <c r="AQ57" s="415"/>
      <c r="AR57" s="415"/>
      <c r="AS57" s="415"/>
      <c r="AT57" s="415"/>
      <c r="AU57" s="415"/>
      <c r="AV57" s="415"/>
      <c r="AW57" s="415"/>
    </row>
    <row r="58" spans="2:57" s="54" customFormat="1" ht="37.15" hidden="1" customHeight="1" thickBot="1">
      <c r="B58" s="456"/>
      <c r="C58" s="441"/>
      <c r="D58" s="442"/>
      <c r="E58" s="443"/>
      <c r="F58" s="444"/>
      <c r="G58" s="445"/>
      <c r="H58" s="446"/>
      <c r="I58" s="447"/>
      <c r="J58" s="448"/>
      <c r="K58" s="449"/>
      <c r="L58" s="457"/>
      <c r="M58" s="454"/>
      <c r="N58" s="13"/>
      <c r="O58" s="13"/>
      <c r="P58" s="50"/>
      <c r="R58" s="275"/>
      <c r="S58" s="275"/>
      <c r="T58" s="275"/>
      <c r="U58" s="275"/>
      <c r="V58" s="275"/>
      <c r="W58" s="275"/>
      <c r="X58" s="275"/>
      <c r="Y58" s="275"/>
      <c r="Z58" s="275"/>
      <c r="AA58" s="275"/>
      <c r="AB58" s="57"/>
      <c r="AC58" s="57"/>
      <c r="AD58" s="57"/>
      <c r="AE58" s="57"/>
      <c r="AF58" s="57"/>
      <c r="AG58" s="57"/>
      <c r="AH58" s="57"/>
      <c r="AI58" s="57"/>
      <c r="AJ58" s="57"/>
      <c r="AK58" s="57"/>
      <c r="AL58" s="57"/>
      <c r="AM58" s="57"/>
      <c r="AN58" s="57"/>
      <c r="AO58" s="57"/>
      <c r="AP58" s="57"/>
      <c r="AQ58" s="57"/>
      <c r="AR58" s="57"/>
      <c r="AS58" s="57"/>
      <c r="AT58" s="57"/>
      <c r="AU58" s="57"/>
      <c r="AV58" s="57"/>
      <c r="AW58" s="57"/>
      <c r="AX58" s="277"/>
      <c r="AY58" s="277"/>
      <c r="AZ58" s="277"/>
      <c r="BA58" s="277"/>
      <c r="BB58" s="277"/>
      <c r="BC58" s="277"/>
      <c r="BD58" s="277"/>
      <c r="BE58" s="277"/>
    </row>
    <row r="59" spans="2:57" s="54" customFormat="1" ht="37.15" customHeight="1">
      <c r="B59" s="466"/>
      <c r="C59" s="430"/>
      <c r="D59" s="460"/>
      <c r="E59" s="461"/>
      <c r="F59" s="462"/>
      <c r="G59" s="460"/>
      <c r="H59" s="463"/>
      <c r="I59" s="463"/>
      <c r="J59" s="463"/>
      <c r="K59" s="464"/>
      <c r="L59" s="465"/>
      <c r="M59" s="50"/>
      <c r="N59" s="13"/>
      <c r="O59" s="13"/>
      <c r="P59" s="50"/>
      <c r="R59" s="275"/>
      <c r="S59" s="275"/>
      <c r="T59" s="275"/>
      <c r="U59" s="275"/>
      <c r="V59" s="275"/>
      <c r="W59" s="275"/>
      <c r="X59" s="275"/>
      <c r="Y59" s="275"/>
      <c r="Z59" s="275"/>
      <c r="AA59" s="275"/>
      <c r="AB59" s="57"/>
      <c r="AC59" s="57"/>
      <c r="AD59" s="57"/>
      <c r="AE59" s="57"/>
      <c r="AF59" s="57"/>
      <c r="AG59" s="57"/>
      <c r="AH59" s="57"/>
      <c r="AI59" s="57"/>
      <c r="AJ59" s="57"/>
      <c r="AK59" s="57"/>
      <c r="AL59" s="57"/>
      <c r="AM59" s="57"/>
      <c r="AN59" s="57"/>
      <c r="AO59" s="57"/>
      <c r="AP59" s="57"/>
      <c r="AQ59" s="57"/>
      <c r="AR59" s="57"/>
      <c r="AS59" s="57"/>
      <c r="AT59" s="57"/>
      <c r="AU59" s="57"/>
      <c r="AV59" s="57"/>
      <c r="AW59" s="57"/>
      <c r="AX59" s="277"/>
      <c r="AY59" s="277"/>
      <c r="AZ59" s="277"/>
      <c r="BA59" s="277"/>
      <c r="BB59" s="277"/>
      <c r="BC59" s="277"/>
      <c r="BD59" s="277"/>
      <c r="BE59" s="277"/>
    </row>
    <row r="60" spans="2:57" ht="18" customHeight="1" thickBot="1">
      <c r="B60" s="59"/>
      <c r="C60" s="309"/>
      <c r="D60" s="59"/>
      <c r="E60" s="59"/>
      <c r="F60" s="59"/>
      <c r="G60" s="59"/>
      <c r="H60" s="59"/>
      <c r="I60" s="59"/>
      <c r="J60" s="59"/>
      <c r="K60" s="59"/>
      <c r="L60" s="59"/>
      <c r="M60" s="59"/>
      <c r="N60" s="59" t="s">
        <v>41</v>
      </c>
      <c r="O60" s="56"/>
      <c r="P60" s="60"/>
    </row>
    <row r="61" spans="2:57" ht="15.75" thickBot="1">
      <c r="B61" s="499" t="s">
        <v>55</v>
      </c>
      <c r="C61" s="500"/>
      <c r="D61" s="500"/>
      <c r="E61" s="500"/>
      <c r="F61" s="501"/>
      <c r="G61" s="499" t="s">
        <v>56</v>
      </c>
      <c r="H61" s="500"/>
      <c r="I61" s="500"/>
      <c r="J61" s="501"/>
      <c r="K61" s="499" t="s">
        <v>51</v>
      </c>
      <c r="L61" s="500"/>
      <c r="M61" s="500"/>
      <c r="N61" s="502"/>
      <c r="O61" s="56"/>
      <c r="P61" s="50"/>
    </row>
    <row r="62" spans="2:57" ht="15">
      <c r="B62" s="61" t="s">
        <v>17</v>
      </c>
      <c r="C62" s="62" t="s">
        <v>36</v>
      </c>
      <c r="D62" s="62" t="s">
        <v>37</v>
      </c>
      <c r="E62" s="62" t="s">
        <v>38</v>
      </c>
      <c r="F62" s="63" t="s">
        <v>39</v>
      </c>
      <c r="G62" s="62" t="s">
        <v>36</v>
      </c>
      <c r="H62" s="62" t="s">
        <v>37</v>
      </c>
      <c r="I62" s="62" t="s">
        <v>38</v>
      </c>
      <c r="J62" s="63" t="s">
        <v>39</v>
      </c>
      <c r="K62" s="62"/>
      <c r="L62" s="62" t="s">
        <v>37</v>
      </c>
      <c r="M62" s="62" t="s">
        <v>38</v>
      </c>
      <c r="N62" s="63" t="s">
        <v>39</v>
      </c>
      <c r="O62" s="56"/>
      <c r="P62" s="64"/>
    </row>
    <row r="63" spans="2:57" ht="15">
      <c r="B63" s="29" t="s">
        <v>6</v>
      </c>
      <c r="C63" s="65"/>
      <c r="D63" s="76">
        <v>7.1683223149077477</v>
      </c>
      <c r="E63" s="76">
        <v>6.5664758512118544</v>
      </c>
      <c r="F63" s="66">
        <v>4.8</v>
      </c>
      <c r="G63" s="65"/>
      <c r="H63" s="477">
        <v>6.6712241771672547</v>
      </c>
      <c r="I63" s="477">
        <v>6.6530949425970096</v>
      </c>
      <c r="J63" s="66">
        <v>4.8</v>
      </c>
      <c r="K63" s="67"/>
      <c r="L63" s="194">
        <v>0.62401503759398502</v>
      </c>
      <c r="M63" s="194">
        <v>0.53270208479630277</v>
      </c>
      <c r="N63" s="68">
        <v>1</v>
      </c>
      <c r="O63" s="56"/>
      <c r="P63" s="69"/>
    </row>
    <row r="64" spans="2:57" ht="15">
      <c r="B64" s="33" t="s">
        <v>9</v>
      </c>
      <c r="C64" s="65"/>
      <c r="D64" s="76">
        <v>8.6363636363636189</v>
      </c>
      <c r="E64" s="76">
        <v>5.8721053130307412</v>
      </c>
      <c r="F64" s="66">
        <v>4.8</v>
      </c>
      <c r="G64" s="65"/>
      <c r="H64" s="76">
        <v>7.5248838752488254</v>
      </c>
      <c r="I64" s="76">
        <v>5.9880521869393624</v>
      </c>
      <c r="J64" s="66">
        <v>4.8</v>
      </c>
      <c r="K64" s="67"/>
      <c r="L64" s="194">
        <v>0.31736842105263158</v>
      </c>
      <c r="M64" s="194">
        <v>0.68971317640877172</v>
      </c>
      <c r="N64" s="68">
        <v>1</v>
      </c>
      <c r="P64" s="69"/>
    </row>
    <row r="65" spans="2:16" ht="15">
      <c r="B65" s="34" t="s">
        <v>40</v>
      </c>
      <c r="C65" s="65"/>
      <c r="D65" s="76"/>
      <c r="E65" s="76">
        <v>11.277593164016125</v>
      </c>
      <c r="F65" s="66">
        <v>5.5</v>
      </c>
      <c r="G65" s="65"/>
      <c r="H65" s="76"/>
      <c r="I65" s="76">
        <v>11.857907912244482</v>
      </c>
      <c r="J65" s="66">
        <v>5.5</v>
      </c>
      <c r="K65" s="67"/>
      <c r="L65" s="194"/>
      <c r="M65" s="194">
        <v>0.35370190356844494</v>
      </c>
      <c r="N65" s="68">
        <v>1</v>
      </c>
      <c r="P65" s="69"/>
    </row>
    <row r="66" spans="2:16" ht="15">
      <c r="B66" s="22" t="s">
        <v>33</v>
      </c>
      <c r="C66" s="65"/>
      <c r="D66" s="76"/>
      <c r="E66" s="76">
        <v>4.8685538193023836</v>
      </c>
      <c r="F66" s="66">
        <v>3.3</v>
      </c>
      <c r="G66" s="65"/>
      <c r="H66" s="76"/>
      <c r="I66" s="76">
        <v>4.8702525342252114</v>
      </c>
      <c r="J66" s="66">
        <v>3.3</v>
      </c>
      <c r="K66" s="67"/>
      <c r="L66" s="194"/>
      <c r="M66" s="194">
        <v>0.77919298245614044</v>
      </c>
      <c r="N66" s="68">
        <v>1</v>
      </c>
      <c r="P66" s="69"/>
    </row>
    <row r="67" spans="2:16" ht="15">
      <c r="B67" s="35" t="s">
        <v>164</v>
      </c>
      <c r="C67" s="65"/>
      <c r="D67" s="76"/>
      <c r="E67" s="76"/>
      <c r="F67" s="66">
        <v>3.3</v>
      </c>
      <c r="G67" s="282"/>
      <c r="H67" s="76"/>
      <c r="I67" s="76"/>
      <c r="J67" s="66">
        <v>3</v>
      </c>
      <c r="K67" s="67"/>
      <c r="L67" s="194"/>
      <c r="M67" s="194"/>
      <c r="N67" s="68">
        <v>1</v>
      </c>
      <c r="P67" s="69"/>
    </row>
    <row r="68" spans="2:16" ht="15">
      <c r="B68" s="36" t="s">
        <v>15</v>
      </c>
      <c r="C68" s="65">
        <f>AVERAGE(L50,L52)</f>
        <v>4.5842341908621673</v>
      </c>
      <c r="D68" s="76">
        <v>6.8855672629257718</v>
      </c>
      <c r="E68" s="76">
        <v>6.3233965672990236</v>
      </c>
      <c r="F68" s="70">
        <v>5.5</v>
      </c>
      <c r="G68" s="65">
        <f>AVERAGE([18]September_2026!$N$43:$O$43)</f>
        <v>5.2526770594169907</v>
      </c>
      <c r="H68" s="76">
        <v>7.4264332958762713</v>
      </c>
      <c r="I68" s="76">
        <v>7.9667553186446929</v>
      </c>
      <c r="J68" s="66">
        <v>5.5</v>
      </c>
      <c r="K68" s="67">
        <f>AVERAGE(K50,K52)</f>
        <v>0.50877192982456143</v>
      </c>
      <c r="L68" s="194">
        <v>0.391812865497076</v>
      </c>
      <c r="M68" s="194">
        <v>0.5883625730994152</v>
      </c>
      <c r="N68" s="68">
        <v>1</v>
      </c>
      <c r="P68" s="69"/>
    </row>
    <row r="69" spans="2:16" ht="15">
      <c r="B69" s="37" t="s">
        <v>16</v>
      </c>
      <c r="C69" s="482"/>
      <c r="D69" s="76"/>
      <c r="E69" s="76">
        <v>3.6168923014750334</v>
      </c>
      <c r="F69" s="66">
        <v>3.3</v>
      </c>
      <c r="G69" s="282"/>
      <c r="H69" s="76"/>
      <c r="I69" s="76">
        <v>5.0091179718082053</v>
      </c>
      <c r="J69" s="66">
        <v>3.3</v>
      </c>
      <c r="K69" s="67"/>
      <c r="L69" s="194"/>
      <c r="M69" s="194">
        <v>0.92642300194931759</v>
      </c>
      <c r="N69" s="71">
        <v>1</v>
      </c>
      <c r="P69" s="69"/>
    </row>
    <row r="70" spans="2:16" ht="15.75" thickBot="1">
      <c r="B70" s="38" t="s">
        <v>163</v>
      </c>
      <c r="C70" s="65"/>
      <c r="D70" s="76"/>
      <c r="E70" s="76"/>
      <c r="F70" s="66">
        <v>7.5</v>
      </c>
      <c r="G70" s="282"/>
      <c r="H70" s="76"/>
      <c r="I70" s="76"/>
      <c r="J70" s="66">
        <v>7.5</v>
      </c>
      <c r="K70" s="67"/>
      <c r="L70" s="194"/>
      <c r="M70" s="194"/>
      <c r="N70" s="71">
        <v>1</v>
      </c>
      <c r="P70" s="69"/>
    </row>
    <row r="71" spans="2:16" ht="15.75" thickBot="1">
      <c r="B71" s="414" t="s">
        <v>161</v>
      </c>
      <c r="C71" s="65"/>
      <c r="D71" s="76"/>
      <c r="E71" s="76"/>
      <c r="F71" s="66">
        <v>4.8</v>
      </c>
      <c r="G71" s="282"/>
      <c r="H71" s="76"/>
      <c r="I71" s="76"/>
      <c r="J71" s="66">
        <v>4.8</v>
      </c>
      <c r="K71" s="67"/>
      <c r="L71" s="194"/>
      <c r="M71" s="194"/>
      <c r="N71" s="71">
        <v>1</v>
      </c>
      <c r="O71" s="74"/>
      <c r="P71" s="75"/>
    </row>
    <row r="72" spans="2:16" ht="15">
      <c r="D72" s="76">
        <v>7.3331753034703908</v>
      </c>
      <c r="E72" s="76">
        <v>6.378450933754924</v>
      </c>
      <c r="F72" s="341">
        <v>5.5</v>
      </c>
      <c r="H72" s="76">
        <v>6.9168836389050607</v>
      </c>
      <c r="I72" s="76">
        <v>6.7031757949393809</v>
      </c>
      <c r="J72" s="341">
        <v>5.5</v>
      </c>
      <c r="L72" s="194">
        <v>0.53281020733652318</v>
      </c>
      <c r="M72" s="194">
        <v>0.59433701786386905</v>
      </c>
      <c r="N72" s="386">
        <v>1</v>
      </c>
    </row>
  </sheetData>
  <mergeCells count="51">
    <mergeCell ref="M48:M49"/>
    <mergeCell ref="B61:F61"/>
    <mergeCell ref="G61:J61"/>
    <mergeCell ref="K61:N61"/>
    <mergeCell ref="G48:G49"/>
    <mergeCell ref="H48:H49"/>
    <mergeCell ref="I48:I49"/>
    <mergeCell ref="J48:J49"/>
    <mergeCell ref="K48:K49"/>
    <mergeCell ref="L48:L49"/>
    <mergeCell ref="F48:F49"/>
    <mergeCell ref="D43:E43"/>
    <mergeCell ref="B48:B49"/>
    <mergeCell ref="C48:C49"/>
    <mergeCell ref="D48:D49"/>
    <mergeCell ref="E48:E49"/>
    <mergeCell ref="B33:B42"/>
    <mergeCell ref="D33:E34"/>
    <mergeCell ref="J33:K33"/>
    <mergeCell ref="L34:N34"/>
    <mergeCell ref="D35:E36"/>
    <mergeCell ref="D37:E38"/>
    <mergeCell ref="D39:E40"/>
    <mergeCell ref="D41:E42"/>
    <mergeCell ref="I19:N19"/>
    <mergeCell ref="D20:E20"/>
    <mergeCell ref="B21:B32"/>
    <mergeCell ref="D21:E22"/>
    <mergeCell ref="D23:E24"/>
    <mergeCell ref="D25:E26"/>
    <mergeCell ref="D27:E28"/>
    <mergeCell ref="D29:E30"/>
    <mergeCell ref="D31:E32"/>
    <mergeCell ref="P8:P9"/>
    <mergeCell ref="C5:D5"/>
    <mergeCell ref="B8:B9"/>
    <mergeCell ref="C8:C9"/>
    <mergeCell ref="D8:D9"/>
    <mergeCell ref="G8:G9"/>
    <mergeCell ref="H8:H9"/>
    <mergeCell ref="I8:I9"/>
    <mergeCell ref="J8:J9"/>
    <mergeCell ref="K8:K9"/>
    <mergeCell ref="L8:L9"/>
    <mergeCell ref="O8:O9"/>
    <mergeCell ref="M4:N4"/>
    <mergeCell ref="S1:T1"/>
    <mergeCell ref="U1:V1"/>
    <mergeCell ref="W1:X1"/>
    <mergeCell ref="Y1:Z1"/>
    <mergeCell ref="B2:O2"/>
  </mergeCells>
  <conditionalFormatting sqref="B43:B44">
    <cfRule type="cellIs" dxfId="2497" priority="102" operator="notBetween">
      <formula>#REF!</formula>
      <formula>#REF!</formula>
    </cfRule>
  </conditionalFormatting>
  <conditionalFormatting sqref="C47">
    <cfRule type="cellIs" dxfId="2496" priority="184" stopIfTrue="1" operator="lessThan">
      <formula>96</formula>
    </cfRule>
    <cfRule type="cellIs" dxfId="2495" priority="185" stopIfTrue="1" operator="greaterThan">
      <formula>100</formula>
    </cfRule>
  </conditionalFormatting>
  <conditionalFormatting sqref="C63:C64">
    <cfRule type="cellIs" dxfId="2494" priority="65" stopIfTrue="1" operator="greaterThan">
      <formula>$F63</formula>
    </cfRule>
    <cfRule type="cellIs" dxfId="2493" priority="67" stopIfTrue="1" operator="greaterThan">
      <formula>$F63</formula>
    </cfRule>
    <cfRule type="cellIs" dxfId="2492" priority="68" stopIfTrue="1" operator="lessThanOrEqual">
      <formula>0</formula>
    </cfRule>
    <cfRule type="cellIs" dxfId="2491" priority="66" stopIfTrue="1" operator="lessThanOrEqual">
      <formula>0</formula>
    </cfRule>
  </conditionalFormatting>
  <conditionalFormatting sqref="C65:C67 C69:C71">
    <cfRule type="cellIs" dxfId="2490" priority="74" stopIfTrue="1" operator="greaterThan">
      <formula>$F68</formula>
    </cfRule>
  </conditionalFormatting>
  <conditionalFormatting sqref="C65:C67">
    <cfRule type="cellIs" dxfId="2489" priority="75" stopIfTrue="1" operator="lessThanOrEqual">
      <formula>0</formula>
    </cfRule>
  </conditionalFormatting>
  <conditionalFormatting sqref="C68">
    <cfRule type="cellIs" dxfId="2488" priority="186" stopIfTrue="1" operator="greaterThan">
      <formula>$F63</formula>
    </cfRule>
    <cfRule type="cellIs" dxfId="2487" priority="189" stopIfTrue="1" operator="lessThanOrEqual">
      <formula>0</formula>
    </cfRule>
    <cfRule type="cellIs" dxfId="2486" priority="188" stopIfTrue="1" operator="greaterThan">
      <formula>$F63</formula>
    </cfRule>
    <cfRule type="cellIs" dxfId="2485" priority="187" stopIfTrue="1" operator="lessThanOrEqual">
      <formula>0</formula>
    </cfRule>
  </conditionalFormatting>
  <conditionalFormatting sqref="C69:C71">
    <cfRule type="cellIs" dxfId="2484" priority="76" stopIfTrue="1" operator="lessThanOrEqual">
      <formula>0</formula>
    </cfRule>
  </conditionalFormatting>
  <conditionalFormatting sqref="C74:C78">
    <cfRule type="cellIs" dxfId="2483" priority="176" stopIfTrue="1" operator="lessThanOrEqual">
      <formula>0</formula>
    </cfRule>
  </conditionalFormatting>
  <conditionalFormatting sqref="C75:C78">
    <cfRule type="cellIs" dxfId="2482" priority="175" stopIfTrue="1" operator="greaterThan">
      <formula>$F$74</formula>
    </cfRule>
  </conditionalFormatting>
  <conditionalFormatting sqref="C80">
    <cfRule type="cellIs" dxfId="2481" priority="177" stopIfTrue="1" operator="greaterThan">
      <formula>$F$74</formula>
    </cfRule>
    <cfRule type="cellIs" dxfId="2480" priority="178" stopIfTrue="1" operator="lessThanOrEqual">
      <formula>0</formula>
    </cfRule>
  </conditionalFormatting>
  <conditionalFormatting sqref="C68:D68">
    <cfRule type="cellIs" dxfId="2479" priority="63" stopIfTrue="1" operator="greaterThan">
      <formula>$J68</formula>
    </cfRule>
    <cfRule type="cellIs" dxfId="2478" priority="64" stopIfTrue="1" operator="lessThanOrEqual">
      <formula>0</formula>
    </cfRule>
  </conditionalFormatting>
  <conditionalFormatting sqref="C74:D74 D76:D82">
    <cfRule type="cellIs" dxfId="2477" priority="170" stopIfTrue="1" operator="greaterThan">
      <formula>4.5</formula>
    </cfRule>
  </conditionalFormatting>
  <conditionalFormatting sqref="D43:D44">
    <cfRule type="cellIs" dxfId="2476" priority="103" operator="notBetween">
      <formula>#REF!</formula>
      <formula>#REF!</formula>
    </cfRule>
  </conditionalFormatting>
  <conditionalFormatting sqref="D63:D67 D69:D70">
    <cfRule type="cellIs" dxfId="2475" priority="73" stopIfTrue="1" operator="lessThanOrEqual">
      <formula>0</formula>
    </cfRule>
  </conditionalFormatting>
  <conditionalFormatting sqref="D63:D67 D69:D72">
    <cfRule type="cellIs" dxfId="2474" priority="70" stopIfTrue="1" operator="greaterThan">
      <formula>$F63</formula>
    </cfRule>
    <cfRule type="cellIs" dxfId="2473" priority="69" stopIfTrue="1" operator="lessThanOrEqual">
      <formula>0</formula>
    </cfRule>
  </conditionalFormatting>
  <conditionalFormatting sqref="D71:D72">
    <cfRule type="cellIs" dxfId="2472" priority="71" stopIfTrue="1" operator="lessThanOrEqual">
      <formula>0</formula>
    </cfRule>
  </conditionalFormatting>
  <conditionalFormatting sqref="D72">
    <cfRule type="cellIs" dxfId="2471" priority="72" stopIfTrue="1" operator="lessThanOrEqual">
      <formula>0</formula>
    </cfRule>
  </conditionalFormatting>
  <conditionalFormatting sqref="D74 D76:D82">
    <cfRule type="cellIs" dxfId="2470" priority="171" stopIfTrue="1" operator="lessThanOrEqual">
      <formula>0</formula>
    </cfRule>
  </conditionalFormatting>
  <conditionalFormatting sqref="D75">
    <cfRule type="cellIs" dxfId="2469" priority="162" stopIfTrue="1" operator="greaterThan">
      <formula>$F$74</formula>
    </cfRule>
    <cfRule type="cellIs" dxfId="2468" priority="163" stopIfTrue="1" operator="lessThanOrEqual">
      <formula>0</formula>
    </cfRule>
  </conditionalFormatting>
  <conditionalFormatting sqref="E10:E18">
    <cfRule type="cellIs" dxfId="2467" priority="12" operator="lessThan">
      <formula>48</formula>
    </cfRule>
  </conditionalFormatting>
  <conditionalFormatting sqref="E46 E47:F47">
    <cfRule type="cellIs" dxfId="2466" priority="167" stopIfTrue="1" operator="greaterThan">
      <formula>100</formula>
    </cfRule>
  </conditionalFormatting>
  <conditionalFormatting sqref="E47">
    <cfRule type="cellIs" dxfId="2465" priority="165" stopIfTrue="1" operator="greaterThan">
      <formula>100</formula>
    </cfRule>
    <cfRule type="cellIs" dxfId="2464" priority="164" stopIfTrue="1" operator="lessThan">
      <formula>96.8</formula>
    </cfRule>
  </conditionalFormatting>
  <conditionalFormatting sqref="E63:E71">
    <cfRule type="cellIs" dxfId="2463" priority="36" stopIfTrue="1" operator="lessThanOrEqual">
      <formula>0</formula>
    </cfRule>
  </conditionalFormatting>
  <conditionalFormatting sqref="E63:E72">
    <cfRule type="cellIs" dxfId="2462" priority="37" stopIfTrue="1" operator="greaterThan">
      <formula>$F63</formula>
    </cfRule>
    <cfRule type="cellIs" dxfId="2461" priority="38" stopIfTrue="1" operator="lessThanOrEqual">
      <formula>0</formula>
    </cfRule>
  </conditionalFormatting>
  <conditionalFormatting sqref="E72">
    <cfRule type="cellIs" dxfId="2460" priority="39" stopIfTrue="1" operator="lessThanOrEqual">
      <formula>0</formula>
    </cfRule>
  </conditionalFormatting>
  <conditionalFormatting sqref="E74:E82">
    <cfRule type="cellIs" dxfId="2459" priority="156" stopIfTrue="1" operator="greaterThan">
      <formula>4.5</formula>
    </cfRule>
    <cfRule type="cellIs" dxfId="2458" priority="157" stopIfTrue="1" operator="lessThanOrEqual">
      <formula>0</formula>
    </cfRule>
  </conditionalFormatting>
  <conditionalFormatting sqref="E47:F47 E46">
    <cfRule type="cellIs" dxfId="2457" priority="166" stopIfTrue="1" operator="lessThan">
      <formula>96.5</formula>
    </cfRule>
  </conditionalFormatting>
  <conditionalFormatting sqref="F10:F18">
    <cfRule type="cellIs" dxfId="2456" priority="13" operator="greaterThan">
      <formula>60</formula>
    </cfRule>
  </conditionalFormatting>
  <conditionalFormatting sqref="F47">
    <cfRule type="cellIs" dxfId="2455" priority="182" stopIfTrue="1" operator="lessThan">
      <formula>96.8</formula>
    </cfRule>
    <cfRule type="cellIs" dxfId="2454" priority="183" stopIfTrue="1" operator="greaterThan">
      <formula>100</formula>
    </cfRule>
  </conditionalFormatting>
  <conditionalFormatting sqref="G18">
    <cfRule type="expression" dxfId="2453" priority="2">
      <formula>IF(+(IF(G18&lt;S18,0,IF(G18&gt;T18,0,1)))=0,1)</formula>
    </cfRule>
  </conditionalFormatting>
  <conditionalFormatting sqref="G63:G66 F72">
    <cfRule type="cellIs" dxfId="2452" priority="45" stopIfTrue="1" operator="greaterThan">
      <formula>$F63</formula>
    </cfRule>
    <cfRule type="cellIs" dxfId="2451" priority="46" stopIfTrue="1" operator="lessThanOrEqual">
      <formula>0</formula>
    </cfRule>
  </conditionalFormatting>
  <conditionalFormatting sqref="G65:G66">
    <cfRule type="cellIs" dxfId="2450" priority="32" stopIfTrue="1" operator="lessThanOrEqual">
      <formula>0</formula>
    </cfRule>
    <cfRule type="cellIs" dxfId="2449" priority="31" stopIfTrue="1" operator="greaterThan">
      <formula>$F65</formula>
    </cfRule>
  </conditionalFormatting>
  <conditionalFormatting sqref="G67:G71">
    <cfRule type="cellIs" dxfId="2448" priority="48" stopIfTrue="1" operator="lessThanOrEqual">
      <formula>0</formula>
    </cfRule>
    <cfRule type="cellIs" dxfId="2447" priority="47" stopIfTrue="1" operator="greaterThan">
      <formula>$J67</formula>
    </cfRule>
  </conditionalFormatting>
  <conditionalFormatting sqref="G68">
    <cfRule type="cellIs" dxfId="2446" priority="190" stopIfTrue="1" operator="greaterThan">
      <formula>$F63</formula>
    </cfRule>
    <cfRule type="cellIs" dxfId="2445" priority="191" stopIfTrue="1" operator="lessThanOrEqual">
      <formula>0</formula>
    </cfRule>
  </conditionalFormatting>
  <conditionalFormatting sqref="G76:G81 C79 C81">
    <cfRule type="cellIs" dxfId="2444" priority="180" stopIfTrue="1" operator="lessThanOrEqual">
      <formula>0</formula>
    </cfRule>
    <cfRule type="cellIs" dxfId="2443" priority="179" stopIfTrue="1" operator="greaterThan">
      <formula>4.5</formula>
    </cfRule>
  </conditionalFormatting>
  <conditionalFormatting sqref="G10:H10 M10:N17 G11:G17 H11:H18">
    <cfRule type="expression" dxfId="2442" priority="3">
      <formula>IF(+(IF(G10&lt;#REF!,0,IF(G10&gt;#REF!,0,1)))=0,1)</formula>
    </cfRule>
  </conditionalFormatting>
  <conditionalFormatting sqref="G75:H75">
    <cfRule type="cellIs" dxfId="2441" priority="161" stopIfTrue="1" operator="lessThanOrEqual">
      <formula>0</formula>
    </cfRule>
    <cfRule type="cellIs" dxfId="2440" priority="160" stopIfTrue="1" operator="greaterThan">
      <formula>$F$74</formula>
    </cfRule>
  </conditionalFormatting>
  <conditionalFormatting sqref="H32:H33 H46">
    <cfRule type="cellIs" dxfId="2439" priority="158" stopIfTrue="1" operator="greaterThan">
      <formula>0</formula>
    </cfRule>
  </conditionalFormatting>
  <conditionalFormatting sqref="H50">
    <cfRule type="cellIs" dxfId="2438" priority="51" stopIfTrue="1" operator="greaterThan">
      <formula>$F$63</formula>
    </cfRule>
    <cfRule type="cellIs" dxfId="2437" priority="59" stopIfTrue="1" operator="greaterThan">
      <formula>$F$66</formula>
    </cfRule>
    <cfRule type="cellIs" dxfId="2436" priority="60" stopIfTrue="1" operator="lessThanOrEqual">
      <formula>0</formula>
    </cfRule>
    <cfRule type="cellIs" dxfId="2435" priority="61" stopIfTrue="1" operator="greaterThan">
      <formula>$F$64</formula>
    </cfRule>
    <cfRule type="cellIs" dxfId="2434" priority="50" stopIfTrue="1" operator="lessThanOrEqual">
      <formula>0</formula>
    </cfRule>
  </conditionalFormatting>
  <conditionalFormatting sqref="H50:H51">
    <cfRule type="cellIs" dxfId="2433" priority="62" stopIfTrue="1" operator="lessThanOrEqual">
      <formula>0</formula>
    </cfRule>
  </conditionalFormatting>
  <conditionalFormatting sqref="H51 H53:H54">
    <cfRule type="cellIs" dxfId="2432" priority="88" stopIfTrue="1" operator="lessThanOrEqual">
      <formula>0</formula>
    </cfRule>
  </conditionalFormatting>
  <conditionalFormatting sqref="H51">
    <cfRule type="cellIs" dxfId="2431" priority="85" stopIfTrue="1" operator="greaterThan">
      <formula>$F$66</formula>
    </cfRule>
    <cfRule type="cellIs" dxfId="2430" priority="87" stopIfTrue="1" operator="greaterThan">
      <formula>$F$64</formula>
    </cfRule>
    <cfRule type="cellIs" dxfId="2429" priority="86" stopIfTrue="1" operator="lessThanOrEqual">
      <formula>0</formula>
    </cfRule>
    <cfRule type="cellIs" dxfId="2428" priority="77" stopIfTrue="1" operator="greaterThan">
      <formula>$F$63</formula>
    </cfRule>
  </conditionalFormatting>
  <conditionalFormatting sqref="H52">
    <cfRule type="cellIs" dxfId="2427" priority="17" stopIfTrue="1" operator="lessThanOrEqual">
      <formula>0</formula>
    </cfRule>
    <cfRule type="cellIs" dxfId="2426" priority="18" stopIfTrue="1" operator="greaterThan">
      <formula>$F$65</formula>
    </cfRule>
    <cfRule type="cellIs" dxfId="2425" priority="26" stopIfTrue="1" operator="greaterThan">
      <formula>$F$68</formula>
    </cfRule>
    <cfRule type="cellIs" dxfId="2424" priority="27" stopIfTrue="1" operator="lessThanOrEqual">
      <formula>0</formula>
    </cfRule>
    <cfRule type="cellIs" dxfId="2423" priority="28" stopIfTrue="1" operator="greaterThan">
      <formula>$F$66</formula>
    </cfRule>
    <cfRule type="cellIs" dxfId="2422" priority="29" stopIfTrue="1" operator="lessThanOrEqual">
      <formula>0</formula>
    </cfRule>
  </conditionalFormatting>
  <conditionalFormatting sqref="H53:H54">
    <cfRule type="cellIs" dxfId="2421" priority="100" stopIfTrue="1" operator="greaterThan">
      <formula>$F$64</formula>
    </cfRule>
    <cfRule type="cellIs" dxfId="2420" priority="99" stopIfTrue="1" operator="lessThanOrEqual">
      <formula>0</formula>
    </cfRule>
    <cfRule type="cellIs" dxfId="2419" priority="98" stopIfTrue="1" operator="greaterThan">
      <formula>$F$66</formula>
    </cfRule>
    <cfRule type="cellIs" dxfId="2418" priority="90" stopIfTrue="1" operator="greaterThan">
      <formula>$F$63</formula>
    </cfRule>
    <cfRule type="cellIs" dxfId="2417" priority="101" stopIfTrue="1" operator="lessThanOrEqual">
      <formula>0</formula>
    </cfRule>
  </conditionalFormatting>
  <conditionalFormatting sqref="H55:H56">
    <cfRule type="cellIs" dxfId="2416" priority="125" stopIfTrue="1" operator="lessThanOrEqual">
      <formula>0</formula>
    </cfRule>
    <cfRule type="cellIs" dxfId="2415" priority="134" stopIfTrue="1" operator="greaterThan">
      <formula>#REF!</formula>
    </cfRule>
    <cfRule type="cellIs" dxfId="2414" priority="135" stopIfTrue="1" operator="lessThanOrEqual">
      <formula>0</formula>
    </cfRule>
    <cfRule type="cellIs" dxfId="2413" priority="126" stopIfTrue="1" operator="greaterThan">
      <formula>#REF!</formula>
    </cfRule>
  </conditionalFormatting>
  <conditionalFormatting sqref="H57">
    <cfRule type="cellIs" dxfId="2412" priority="149" stopIfTrue="1" operator="lessThanOrEqual">
      <formula>0</formula>
    </cfRule>
    <cfRule type="cellIs" dxfId="2411" priority="137" stopIfTrue="1" operator="lessThanOrEqual">
      <formula>0</formula>
    </cfRule>
    <cfRule type="cellIs" dxfId="2410" priority="138" stopIfTrue="1" operator="greaterThan">
      <formula>$F$31</formula>
    </cfRule>
    <cfRule type="cellIs" dxfId="2409" priority="148" stopIfTrue="1" operator="greaterThan">
      <formula>$F$32</formula>
    </cfRule>
    <cfRule type="cellIs" dxfId="2408" priority="147" stopIfTrue="1" operator="lessThanOrEqual">
      <formula>0</formula>
    </cfRule>
    <cfRule type="cellIs" dxfId="2407" priority="146" stopIfTrue="1" operator="greaterThan">
      <formula>$F$34</formula>
    </cfRule>
  </conditionalFormatting>
  <conditionalFormatting sqref="H58:H59">
    <cfRule type="cellIs" dxfId="2406" priority="122" stopIfTrue="1" operator="greaterThan">
      <formula>#REF!</formula>
    </cfRule>
    <cfRule type="cellIs" dxfId="2405" priority="114" stopIfTrue="1" operator="greaterThan">
      <formula>#REF!</formula>
    </cfRule>
    <cfRule type="cellIs" dxfId="2404" priority="113" stopIfTrue="1" operator="lessThanOrEqual">
      <formula>0</formula>
    </cfRule>
    <cfRule type="cellIs" dxfId="2403" priority="123" stopIfTrue="1" operator="lessThanOrEqual">
      <formula>0</formula>
    </cfRule>
  </conditionalFormatting>
  <conditionalFormatting sqref="H74 H76:H82">
    <cfRule type="cellIs" dxfId="2402" priority="172" stopIfTrue="1" operator="greaterThan">
      <formula>4.5</formula>
    </cfRule>
    <cfRule type="cellIs" dxfId="2401" priority="173" stopIfTrue="1" operator="lessThanOrEqual">
      <formula>0</formula>
    </cfRule>
  </conditionalFormatting>
  <conditionalFormatting sqref="H50:I50">
    <cfRule type="cellIs" dxfId="2400" priority="52" stopIfTrue="1" operator="lessThanOrEqual">
      <formula>0</formula>
    </cfRule>
  </conditionalFormatting>
  <conditionalFormatting sqref="H50:I51 H53:I54">
    <cfRule type="cellIs" dxfId="2399" priority="49" stopIfTrue="1" operator="greaterThan">
      <formula>$F$65</formula>
    </cfRule>
  </conditionalFormatting>
  <conditionalFormatting sqref="H51:I51">
    <cfRule type="cellIs" dxfId="2398" priority="78" stopIfTrue="1" operator="lessThanOrEqual">
      <formula>0</formula>
    </cfRule>
  </conditionalFormatting>
  <conditionalFormatting sqref="H52:I52">
    <cfRule type="cellIs" dxfId="2397" priority="16" stopIfTrue="1" operator="greaterThan">
      <formula>$F$67</formula>
    </cfRule>
    <cfRule type="cellIs" dxfId="2396" priority="19" stopIfTrue="1" operator="lessThanOrEqual">
      <formula>0</formula>
    </cfRule>
  </conditionalFormatting>
  <conditionalFormatting sqref="H53:I54">
    <cfRule type="cellIs" dxfId="2395" priority="91" stopIfTrue="1" operator="lessThanOrEqual">
      <formula>0</formula>
    </cfRule>
  </conditionalFormatting>
  <conditionalFormatting sqref="H55:I56">
    <cfRule type="cellIs" dxfId="2394" priority="132" stopIfTrue="1" operator="greaterThan">
      <formula>#REF!</formula>
    </cfRule>
    <cfRule type="cellIs" dxfId="2393" priority="127" stopIfTrue="1" operator="lessThanOrEqual">
      <formula>0</formula>
    </cfRule>
    <cfRule type="cellIs" dxfId="2392" priority="133" stopIfTrue="1" operator="lessThanOrEqual">
      <formula>0</formula>
    </cfRule>
    <cfRule type="cellIs" dxfId="2391" priority="124" stopIfTrue="1" operator="greaterThan">
      <formula>#REF!</formula>
    </cfRule>
  </conditionalFormatting>
  <conditionalFormatting sqref="H57:I57">
    <cfRule type="cellIs" dxfId="2390" priority="136" stopIfTrue="1" operator="greaterThan">
      <formula>$F$33</formula>
    </cfRule>
    <cfRule type="cellIs" dxfId="2389" priority="139" stopIfTrue="1" operator="lessThanOrEqual">
      <formula>0</formula>
    </cfRule>
  </conditionalFormatting>
  <conditionalFormatting sqref="H58:I59">
    <cfRule type="cellIs" dxfId="2388" priority="112" stopIfTrue="1" operator="greaterThan">
      <formula>#REF!</formula>
    </cfRule>
    <cfRule type="cellIs" dxfId="2387" priority="115" stopIfTrue="1" operator="lessThanOrEqual">
      <formula>0</formula>
    </cfRule>
    <cfRule type="cellIs" dxfId="2386" priority="120" stopIfTrue="1" operator="greaterThan">
      <formula>#REF!</formula>
    </cfRule>
    <cfRule type="cellIs" dxfId="2385" priority="121" stopIfTrue="1" operator="lessThanOrEqual">
      <formula>0</formula>
    </cfRule>
  </conditionalFormatting>
  <conditionalFormatting sqref="H63:I70">
    <cfRule type="cellIs" dxfId="2384" priority="35" stopIfTrue="1" operator="lessThanOrEqual">
      <formula>0</formula>
    </cfRule>
    <cfRule type="cellIs" dxfId="2383" priority="34" stopIfTrue="1" operator="greaterThan">
      <formula>$J63</formula>
    </cfRule>
  </conditionalFormatting>
  <conditionalFormatting sqref="H71:I71">
    <cfRule type="cellIs" dxfId="2382" priority="42" operator="greaterThan">
      <formula>5.3</formula>
    </cfRule>
  </conditionalFormatting>
  <conditionalFormatting sqref="H72:I72">
    <cfRule type="cellIs" dxfId="2381" priority="41" stopIfTrue="1" operator="lessThanOrEqual">
      <formula>0</formula>
    </cfRule>
    <cfRule type="cellIs" dxfId="2380" priority="40" stopIfTrue="1" operator="greaterThan">
      <formula>$J72</formula>
    </cfRule>
  </conditionalFormatting>
  <conditionalFormatting sqref="I50">
    <cfRule type="cellIs" dxfId="2379" priority="55" stopIfTrue="1" operator="greaterThan">
      <formula>$F$65</formula>
    </cfRule>
    <cfRule type="cellIs" dxfId="2378" priority="54" stopIfTrue="1" operator="lessThanOrEqual">
      <formula>0</formula>
    </cfRule>
    <cfRule type="cellIs" dxfId="2377" priority="53" stopIfTrue="1" operator="greaterThan">
      <formula>$F$63</formula>
    </cfRule>
    <cfRule type="cellIs" dxfId="2376" priority="58" stopIfTrue="1" operator="lessThanOrEqual">
      <formula>0</formula>
    </cfRule>
    <cfRule type="cellIs" dxfId="2375" priority="57" stopIfTrue="1" operator="greaterThan">
      <formula>$F$63</formula>
    </cfRule>
    <cfRule type="cellIs" dxfId="2374" priority="56" stopIfTrue="1" operator="lessThanOrEqual">
      <formula>0</formula>
    </cfRule>
  </conditionalFormatting>
  <conditionalFormatting sqref="I51">
    <cfRule type="cellIs" dxfId="2373" priority="80" stopIfTrue="1" operator="lessThanOrEqual">
      <formula>0</formula>
    </cfRule>
    <cfRule type="cellIs" dxfId="2372" priority="79" stopIfTrue="1" operator="greaterThan">
      <formula>$F$63</formula>
    </cfRule>
    <cfRule type="cellIs" dxfId="2371" priority="84" stopIfTrue="1" operator="lessThanOrEqual">
      <formula>0</formula>
    </cfRule>
    <cfRule type="cellIs" dxfId="2370" priority="83" stopIfTrue="1" operator="greaterThan">
      <formula>$F$63</formula>
    </cfRule>
    <cfRule type="cellIs" dxfId="2369" priority="82" stopIfTrue="1" operator="lessThanOrEqual">
      <formula>0</formula>
    </cfRule>
    <cfRule type="cellIs" dxfId="2368" priority="81" stopIfTrue="1" operator="greaterThan">
      <formula>$F$65</formula>
    </cfRule>
  </conditionalFormatting>
  <conditionalFormatting sqref="I52">
    <cfRule type="cellIs" dxfId="2367" priority="24" stopIfTrue="1" operator="greaterThan">
      <formula>$F$65</formula>
    </cfRule>
    <cfRule type="cellIs" dxfId="2366" priority="23" stopIfTrue="1" operator="lessThanOrEqual">
      <formula>0</formula>
    </cfRule>
    <cfRule type="cellIs" dxfId="2365" priority="22" stopIfTrue="1" operator="greaterThan">
      <formula>$F$67</formula>
    </cfRule>
    <cfRule type="cellIs" dxfId="2364" priority="21" stopIfTrue="1" operator="lessThanOrEqual">
      <formula>0</formula>
    </cfRule>
    <cfRule type="cellIs" dxfId="2363" priority="20" stopIfTrue="1" operator="greaterThan">
      <formula>$F$65</formula>
    </cfRule>
    <cfRule type="cellIs" dxfId="2362" priority="25" stopIfTrue="1" operator="lessThanOrEqual">
      <formula>0</formula>
    </cfRule>
  </conditionalFormatting>
  <conditionalFormatting sqref="I53:I54">
    <cfRule type="cellIs" dxfId="2361" priority="95" stopIfTrue="1" operator="lessThanOrEqual">
      <formula>0</formula>
    </cfRule>
    <cfRule type="cellIs" dxfId="2360" priority="96" stopIfTrue="1" operator="greaterThan">
      <formula>$F$63</formula>
    </cfRule>
    <cfRule type="cellIs" dxfId="2359" priority="97" stopIfTrue="1" operator="lessThanOrEqual">
      <formula>0</formula>
    </cfRule>
    <cfRule type="cellIs" dxfId="2358" priority="92" stopIfTrue="1" operator="greaterThan">
      <formula>$F$63</formula>
    </cfRule>
    <cfRule type="cellIs" dxfId="2357" priority="93" stopIfTrue="1" operator="lessThanOrEqual">
      <formula>0</formula>
    </cfRule>
    <cfRule type="cellIs" dxfId="2356" priority="94" stopIfTrue="1" operator="greaterThan">
      <formula>$F$65</formula>
    </cfRule>
  </conditionalFormatting>
  <conditionalFormatting sqref="I55:I56">
    <cfRule type="cellIs" dxfId="2355" priority="131" stopIfTrue="1" operator="lessThanOrEqual">
      <formula>0</formula>
    </cfRule>
    <cfRule type="cellIs" dxfId="2354" priority="130" stopIfTrue="1" operator="greaterThan">
      <formula>#REF!</formula>
    </cfRule>
    <cfRule type="cellIs" dxfId="2353" priority="129" stopIfTrue="1" operator="lessThanOrEqual">
      <formula>0</formula>
    </cfRule>
    <cfRule type="cellIs" dxfId="2352" priority="128" stopIfTrue="1" operator="greaterThan">
      <formula>#REF!</formula>
    </cfRule>
  </conditionalFormatting>
  <conditionalFormatting sqref="I57">
    <cfRule type="cellIs" dxfId="2351" priority="143" stopIfTrue="1" operator="lessThanOrEqual">
      <formula>0</formula>
    </cfRule>
    <cfRule type="cellIs" dxfId="2350" priority="144" stopIfTrue="1" operator="greaterThan">
      <formula>$F$31</formula>
    </cfRule>
    <cfRule type="cellIs" dxfId="2349" priority="145" stopIfTrue="1" operator="lessThanOrEqual">
      <formula>0</formula>
    </cfRule>
    <cfRule type="cellIs" dxfId="2348" priority="140" stopIfTrue="1" operator="greaterThan">
      <formula>$F$31</formula>
    </cfRule>
    <cfRule type="cellIs" dxfId="2347" priority="141" stopIfTrue="1" operator="lessThanOrEqual">
      <formula>0</formula>
    </cfRule>
    <cfRule type="cellIs" dxfId="2346" priority="142" stopIfTrue="1" operator="greaterThan">
      <formula>$F$33</formula>
    </cfRule>
  </conditionalFormatting>
  <conditionalFormatting sqref="I58:I59">
    <cfRule type="cellIs" dxfId="2345" priority="119" stopIfTrue="1" operator="lessThanOrEqual">
      <formula>0</formula>
    </cfRule>
    <cfRule type="cellIs" dxfId="2344" priority="116" stopIfTrue="1" operator="greaterThan">
      <formula>#REF!</formula>
    </cfRule>
    <cfRule type="cellIs" dxfId="2343" priority="117" stopIfTrue="1" operator="lessThanOrEqual">
      <formula>0</formula>
    </cfRule>
    <cfRule type="cellIs" dxfId="2342" priority="118" stopIfTrue="1" operator="greaterThan">
      <formula>#REF!</formula>
    </cfRule>
  </conditionalFormatting>
  <conditionalFormatting sqref="I74:I82">
    <cfRule type="cellIs" dxfId="2341" priority="169" stopIfTrue="1" operator="lessThanOrEqual">
      <formula>0</formula>
    </cfRule>
    <cfRule type="cellIs" dxfId="2340" priority="168" stopIfTrue="1" operator="greaterThan">
      <formula>4.5</formula>
    </cfRule>
  </conditionalFormatting>
  <conditionalFormatting sqref="I10:J18">
    <cfRule type="cellIs" dxfId="2339" priority="8" operator="lessThan">
      <formula>97.9</formula>
    </cfRule>
  </conditionalFormatting>
  <conditionalFormatting sqref="J21:J23">
    <cfRule type="cellIs" dxfId="2338" priority="15" operator="lessThan">
      <formula>97.95</formula>
    </cfRule>
  </conditionalFormatting>
  <conditionalFormatting sqref="J22:J25">
    <cfRule type="cellIs" dxfId="2337" priority="150" operator="lessThan">
      <formula>97.4</formula>
    </cfRule>
  </conditionalFormatting>
  <conditionalFormatting sqref="J26:J27">
    <cfRule type="cellIs" dxfId="2336" priority="151" operator="lessThan">
      <formula>98</formula>
    </cfRule>
  </conditionalFormatting>
  <conditionalFormatting sqref="J28:J29">
    <cfRule type="cellIs" dxfId="2335" priority="152" stopIfTrue="1" operator="lessThan">
      <formula>96.8</formula>
    </cfRule>
    <cfRule type="cellIs" dxfId="2334" priority="153" stopIfTrue="1" operator="greaterThan">
      <formula>100</formula>
    </cfRule>
  </conditionalFormatting>
  <conditionalFormatting sqref="J28:J30">
    <cfRule type="cellIs" dxfId="2333" priority="154" operator="lessThan">
      <formula>98</formula>
    </cfRule>
  </conditionalFormatting>
  <conditionalFormatting sqref="J59">
    <cfRule type="cellIs" dxfId="2332" priority="111" stopIfTrue="1" operator="lessThanOrEqual">
      <formula>0</formula>
    </cfRule>
    <cfRule type="cellIs" dxfId="2331" priority="105" stopIfTrue="1" operator="lessThanOrEqual">
      <formula>0</formula>
    </cfRule>
    <cfRule type="cellIs" dxfId="2330" priority="104" stopIfTrue="1" operator="greaterThan">
      <formula>#REF!</formula>
    </cfRule>
    <cfRule type="cellIs" dxfId="2329" priority="106" stopIfTrue="1" operator="greaterThan">
      <formula>#REF!</formula>
    </cfRule>
    <cfRule type="cellIs" dxfId="2328" priority="107" stopIfTrue="1" operator="lessThanOrEqual">
      <formula>0</formula>
    </cfRule>
    <cfRule type="cellIs" dxfId="2327" priority="108" stopIfTrue="1" operator="greaterThan">
      <formula>#REF!</formula>
    </cfRule>
    <cfRule type="cellIs" dxfId="2326" priority="109" stopIfTrue="1" operator="lessThanOrEqual">
      <formula>0</formula>
    </cfRule>
    <cfRule type="cellIs" dxfId="2325" priority="110" stopIfTrue="1" operator="greaterThan">
      <formula>#REF!</formula>
    </cfRule>
  </conditionalFormatting>
  <conditionalFormatting sqref="J72">
    <cfRule type="cellIs" dxfId="2324" priority="43" stopIfTrue="1" operator="greaterThan">
      <formula>$F72</formula>
    </cfRule>
    <cfRule type="cellIs" dxfId="2323" priority="44" stopIfTrue="1" operator="lessThanOrEqual">
      <formula>0</formula>
    </cfRule>
  </conditionalFormatting>
  <conditionalFormatting sqref="K10:K18">
    <cfRule type="cellIs" dxfId="2322" priority="10" operator="lessThan">
      <formula>4</formula>
    </cfRule>
    <cfRule type="cellIs" dxfId="2321" priority="11" operator="greaterThan">
      <formula>6.4</formula>
    </cfRule>
    <cfRule type="cellIs" dxfId="2320" priority="9" operator="greaterThan">
      <formula>6</formula>
    </cfRule>
  </conditionalFormatting>
  <conditionalFormatting sqref="K50:K59">
    <cfRule type="cellIs" dxfId="2319" priority="89" stopIfTrue="1" operator="lessThan">
      <formula>100%</formula>
    </cfRule>
  </conditionalFormatting>
  <conditionalFormatting sqref="K63:K71">
    <cfRule type="cellIs" dxfId="2318" priority="33" stopIfTrue="1" operator="lessThan">
      <formula>100%</formula>
    </cfRule>
  </conditionalFormatting>
  <conditionalFormatting sqref="K74:K79">
    <cfRule type="cellIs" dxfId="2317" priority="174" stopIfTrue="1" operator="lessThan">
      <formula>100%</formula>
    </cfRule>
  </conditionalFormatting>
  <conditionalFormatting sqref="K81:K82">
    <cfRule type="cellIs" dxfId="2316" priority="181" stopIfTrue="1" operator="lessThan">
      <formula>100%</formula>
    </cfRule>
  </conditionalFormatting>
  <conditionalFormatting sqref="L10:L18">
    <cfRule type="cellIs" dxfId="2315" priority="6" operator="greaterThan">
      <formula>65</formula>
    </cfRule>
    <cfRule type="cellIs" dxfId="2314" priority="5" operator="between">
      <formula>61</formula>
      <formula>65</formula>
    </cfRule>
  </conditionalFormatting>
  <conditionalFormatting sqref="L21:M32">
    <cfRule type="cellIs" dxfId="2313" priority="14" operator="lessThan">
      <formula>97.95</formula>
    </cfRule>
  </conditionalFormatting>
  <conditionalFormatting sqref="L36:N36">
    <cfRule type="cellIs" dxfId="2312" priority="4" operator="notEqual">
      <formula>#REF!</formula>
    </cfRule>
  </conditionalFormatting>
  <conditionalFormatting sqref="L63:N72">
    <cfRule type="cellIs" dxfId="2311" priority="30" stopIfTrue="1" operator="lessThan">
      <formula>100%</formula>
    </cfRule>
  </conditionalFormatting>
  <conditionalFormatting sqref="L74:N82">
    <cfRule type="cellIs" dxfId="2310" priority="159" stopIfTrue="1" operator="lessThan">
      <formula>100%</formula>
    </cfRule>
  </conditionalFormatting>
  <conditionalFormatting sqref="M18">
    <cfRule type="expression" dxfId="2309" priority="1">
      <formula>IF(+(IF(M18&lt;U18,0,IF(M18&gt;V18,0,1)))=0,1)</formula>
    </cfRule>
  </conditionalFormatting>
  <conditionalFormatting sqref="N10:N18">
    <cfRule type="expression" dxfId="2308" priority="7">
      <formula>IF(+(IF(N10&lt;W10,0,IF(N10&gt;X10,0,1)))=0,1)</formula>
    </cfRule>
  </conditionalFormatting>
  <conditionalFormatting sqref="P6">
    <cfRule type="cellIs" dxfId="2307" priority="155" operator="greaterThanOrEqual">
      <formula>19</formula>
    </cfRule>
  </conditionalFormatting>
  <dataValidations count="1">
    <dataValidation type="list" allowBlank="1" showInputMessage="1" showErrorMessage="1" sqref="R8" xr:uid="{E323F676-B2D8-4B16-BA70-65C5BAC1CB46}">
      <formula1>ProductList</formula1>
    </dataValidation>
  </dataValidations>
  <pageMargins left="0.7" right="0.7" top="0.75" bottom="0.75" header="0.3" footer="0.3"/>
  <pageSetup scale="40" fitToWidth="0" orientation="landscape" r:id="rId1"/>
  <rowBreaks count="1" manualBreakCount="1">
    <brk id="76" max="16383" man="1"/>
  </rowBreaks>
  <colBreaks count="1" manualBreakCount="1">
    <brk id="15" max="89" man="1"/>
  </colBreaks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C90CD0-82CE-4B20-8CBC-6E64BD0D7A5E}">
  <sheetPr>
    <pageSetUpPr fitToPage="1"/>
  </sheetPr>
  <dimension ref="A1:BE72"/>
  <sheetViews>
    <sheetView zoomScale="85" zoomScaleNormal="85" workbookViewId="0">
      <selection activeCell="H15" sqref="H15"/>
    </sheetView>
  </sheetViews>
  <sheetFormatPr defaultColWidth="9.42578125" defaultRowHeight="14.25"/>
  <cols>
    <col min="1" max="1" width="7.28515625" style="275" customWidth="1"/>
    <col min="2" max="2" width="31.28515625" style="275" customWidth="1"/>
    <col min="3" max="3" width="22.28515625" style="275" customWidth="1"/>
    <col min="4" max="7" width="16.5703125" style="275" customWidth="1"/>
    <col min="8" max="8" width="20.7109375" style="275" customWidth="1"/>
    <col min="9" max="9" width="31.42578125" style="275" customWidth="1"/>
    <col min="10" max="10" width="35.28515625" style="275" customWidth="1"/>
    <col min="11" max="11" width="29" style="275" customWidth="1"/>
    <col min="12" max="12" width="17.28515625" style="275" bestFit="1" customWidth="1"/>
    <col min="13" max="13" width="23.28515625" style="275" customWidth="1"/>
    <col min="14" max="14" width="13.7109375" style="275" bestFit="1" customWidth="1"/>
    <col min="15" max="15" width="17.5703125" style="275" customWidth="1"/>
    <col min="16" max="16" width="109.28515625" style="6" customWidth="1"/>
    <col min="17" max="17" width="16.5703125" style="275" customWidth="1"/>
    <col min="18" max="18" width="15.7109375" style="275" bestFit="1" customWidth="1"/>
    <col min="19" max="19" width="12.42578125" style="275" customWidth="1"/>
    <col min="20" max="20" width="15" style="275" customWidth="1"/>
    <col min="21" max="21" width="12" style="275" customWidth="1"/>
    <col min="22" max="22" width="10.42578125" style="275" customWidth="1"/>
    <col min="23" max="23" width="11.42578125" style="275" customWidth="1"/>
    <col min="24" max="24" width="10.42578125" style="275" customWidth="1"/>
    <col min="25" max="25" width="8.42578125" style="275" customWidth="1"/>
    <col min="26" max="26" width="9.5703125" style="275" customWidth="1"/>
    <col min="27" max="27" width="8.42578125" style="275" customWidth="1"/>
    <col min="28" max="29" width="7.5703125" style="275" customWidth="1"/>
    <col min="30" max="51" width="9.42578125" style="275"/>
    <col min="52" max="52" width="1.5703125" style="275" customWidth="1"/>
    <col min="53" max="54" width="9.42578125" style="275"/>
    <col min="55" max="56" width="15.42578125" style="275" customWidth="1"/>
    <col min="57" max="16384" width="9.42578125" style="275"/>
  </cols>
  <sheetData>
    <row r="1" spans="2:29" ht="1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R1" s="467"/>
      <c r="S1" s="553" t="s">
        <v>0</v>
      </c>
      <c r="T1" s="553"/>
      <c r="U1" s="553" t="s">
        <v>1</v>
      </c>
      <c r="V1" s="553"/>
      <c r="W1" s="553" t="s">
        <v>2</v>
      </c>
      <c r="X1" s="553"/>
      <c r="Y1" s="553" t="s">
        <v>124</v>
      </c>
      <c r="Z1" s="553"/>
    </row>
    <row r="2" spans="2:29" ht="15">
      <c r="B2" s="554" t="s">
        <v>3</v>
      </c>
      <c r="C2" s="554"/>
      <c r="D2" s="554"/>
      <c r="E2" s="554"/>
      <c r="F2" s="554"/>
      <c r="G2" s="554"/>
      <c r="H2" s="554"/>
      <c r="I2" s="554"/>
      <c r="J2" s="554"/>
      <c r="K2" s="554"/>
      <c r="L2" s="554"/>
      <c r="M2" s="554"/>
      <c r="N2" s="554"/>
      <c r="O2" s="554"/>
      <c r="P2" s="4"/>
      <c r="R2" s="467"/>
      <c r="S2" s="467" t="s">
        <v>4</v>
      </c>
      <c r="T2" s="467" t="s">
        <v>5</v>
      </c>
      <c r="U2" s="467" t="s">
        <v>4</v>
      </c>
      <c r="V2" s="467" t="s">
        <v>5</v>
      </c>
      <c r="W2" s="467" t="s">
        <v>4</v>
      </c>
      <c r="X2" s="467" t="s">
        <v>5</v>
      </c>
      <c r="Y2" s="467" t="s">
        <v>4</v>
      </c>
      <c r="Z2" s="467" t="s">
        <v>5</v>
      </c>
    </row>
    <row r="3" spans="2:29" ht="14.25" customHeight="1">
      <c r="B3" s="5"/>
      <c r="R3" s="467" t="s">
        <v>6</v>
      </c>
      <c r="S3" s="468">
        <v>11.6</v>
      </c>
      <c r="T3" s="469">
        <v>12</v>
      </c>
      <c r="U3" s="9">
        <v>0</v>
      </c>
      <c r="V3" s="10">
        <v>0.118055555555556</v>
      </c>
      <c r="W3" s="10">
        <v>0.22569444444444445</v>
      </c>
      <c r="X3" s="10">
        <v>0.2638888888888889</v>
      </c>
      <c r="Y3" s="470">
        <v>0</v>
      </c>
      <c r="Z3" s="468">
        <v>60</v>
      </c>
      <c r="AB3" s="275" t="s">
        <v>135</v>
      </c>
    </row>
    <row r="4" spans="2:29" ht="30.75" customHeight="1">
      <c r="B4" s="301" t="s">
        <v>133</v>
      </c>
      <c r="C4" s="419">
        <v>46280</v>
      </c>
      <c r="J4" s="398" t="s">
        <v>153</v>
      </c>
      <c r="K4" s="398"/>
      <c r="L4" s="11"/>
      <c r="M4" s="555" t="s">
        <v>8</v>
      </c>
      <c r="N4" s="556"/>
      <c r="P4" s="12"/>
      <c r="R4" s="467" t="s">
        <v>9</v>
      </c>
      <c r="S4" s="468">
        <v>11.6</v>
      </c>
      <c r="T4" s="469">
        <v>12</v>
      </c>
      <c r="U4" s="9">
        <v>0</v>
      </c>
      <c r="V4" s="10">
        <v>0.118055555555556</v>
      </c>
      <c r="W4" s="10">
        <v>0.22569444444444445</v>
      </c>
      <c r="X4" s="10">
        <v>0.2638888888888889</v>
      </c>
      <c r="Y4" s="470">
        <v>0</v>
      </c>
      <c r="Z4" s="468">
        <v>60</v>
      </c>
      <c r="AA4" s="13"/>
      <c r="AB4" s="13"/>
      <c r="AC4" s="13"/>
    </row>
    <row r="5" spans="2:29" ht="12.75" customHeight="1" thickBot="1">
      <c r="B5" s="1"/>
      <c r="C5" s="549"/>
      <c r="D5" s="549"/>
      <c r="J5" s="403"/>
      <c r="K5" s="403"/>
      <c r="L5" s="11"/>
      <c r="M5" s="14" t="s">
        <v>10</v>
      </c>
      <c r="N5" s="14" t="s">
        <v>11</v>
      </c>
      <c r="P5" s="12"/>
      <c r="R5" s="467" t="s">
        <v>12</v>
      </c>
      <c r="S5" s="468">
        <v>17</v>
      </c>
      <c r="T5" s="469">
        <v>17.5</v>
      </c>
      <c r="U5" s="9">
        <v>0</v>
      </c>
      <c r="V5" s="10">
        <v>0.1076388888888889</v>
      </c>
      <c r="W5" s="10">
        <v>0.24652777777777779</v>
      </c>
      <c r="X5" s="10">
        <v>0.28472222222222221</v>
      </c>
      <c r="Y5" s="470">
        <v>0</v>
      </c>
      <c r="Z5" s="471">
        <v>60</v>
      </c>
      <c r="AA5" s="13"/>
      <c r="AB5" s="13"/>
      <c r="AC5" s="13"/>
    </row>
    <row r="6" spans="2:29" ht="14.25" customHeight="1">
      <c r="B6" s="15"/>
      <c r="C6" s="1"/>
      <c r="D6" s="1"/>
      <c r="J6" s="399" t="s">
        <v>168</v>
      </c>
      <c r="K6" s="400"/>
      <c r="L6" s="311" t="s">
        <v>14</v>
      </c>
      <c r="M6" s="340"/>
      <c r="N6" s="340"/>
      <c r="P6" s="16"/>
      <c r="R6" s="467" t="s">
        <v>15</v>
      </c>
      <c r="S6" s="468">
        <v>13.3</v>
      </c>
      <c r="T6" s="469">
        <v>13.5</v>
      </c>
      <c r="U6" s="9">
        <v>0</v>
      </c>
      <c r="V6" s="9">
        <v>0.12905092592592593</v>
      </c>
      <c r="W6" s="10">
        <v>0.27430555555555552</v>
      </c>
      <c r="X6" s="10">
        <v>0.30208333333333331</v>
      </c>
      <c r="Y6" s="470">
        <v>0</v>
      </c>
      <c r="Z6" s="471"/>
      <c r="AA6" s="13"/>
      <c r="AB6" s="13"/>
      <c r="AC6" s="13"/>
    </row>
    <row r="7" spans="2:29" ht="13.35" customHeight="1" thickBot="1">
      <c r="J7" s="401"/>
      <c r="K7" s="402"/>
      <c r="R7" s="467" t="s">
        <v>16</v>
      </c>
      <c r="S7" s="468">
        <v>17</v>
      </c>
      <c r="T7" s="469">
        <v>17.399999999999999</v>
      </c>
      <c r="U7" s="9">
        <v>0</v>
      </c>
      <c r="V7" s="9">
        <v>0.13605324074074074</v>
      </c>
      <c r="W7" s="10">
        <v>0.27430555555555552</v>
      </c>
      <c r="X7" s="10">
        <v>0.30902777777777779</v>
      </c>
      <c r="Y7" s="470">
        <v>0</v>
      </c>
      <c r="Z7" s="471">
        <v>85</v>
      </c>
      <c r="AA7" s="13"/>
      <c r="AB7" s="13"/>
      <c r="AC7" s="13"/>
    </row>
    <row r="8" spans="2:29" ht="25.5" customHeight="1">
      <c r="B8" s="507" t="s">
        <v>17</v>
      </c>
      <c r="C8" s="516" t="s">
        <v>18</v>
      </c>
      <c r="D8" s="516" t="s">
        <v>19</v>
      </c>
      <c r="E8" s="356" t="s">
        <v>20</v>
      </c>
      <c r="F8" s="356" t="s">
        <v>21</v>
      </c>
      <c r="G8" s="516" t="s">
        <v>22</v>
      </c>
      <c r="H8" s="551" t="s">
        <v>144</v>
      </c>
      <c r="I8" s="516" t="s">
        <v>167</v>
      </c>
      <c r="J8" s="542" t="s">
        <v>23</v>
      </c>
      <c r="K8" s="544" t="s">
        <v>142</v>
      </c>
      <c r="L8" s="546" t="s">
        <v>24</v>
      </c>
      <c r="M8" s="359" t="s">
        <v>25</v>
      </c>
      <c r="N8" s="17" t="s">
        <v>166</v>
      </c>
      <c r="O8" s="516" t="s">
        <v>155</v>
      </c>
      <c r="P8" s="548"/>
      <c r="R8" s="467" t="s">
        <v>125</v>
      </c>
      <c r="S8" s="468">
        <v>16.600000000000001</v>
      </c>
      <c r="T8" s="469">
        <v>17</v>
      </c>
      <c r="U8" s="9">
        <v>0</v>
      </c>
      <c r="V8" s="9">
        <v>0.12905092592592593</v>
      </c>
      <c r="W8" s="10">
        <v>0.27430555555555552</v>
      </c>
      <c r="X8" s="10">
        <v>0.30208333333333331</v>
      </c>
      <c r="Y8" s="470">
        <v>0</v>
      </c>
      <c r="Z8" s="471"/>
    </row>
    <row r="9" spans="2:29" ht="36" customHeight="1">
      <c r="B9" s="550"/>
      <c r="C9" s="541"/>
      <c r="D9" s="541"/>
      <c r="E9" s="357" t="s">
        <v>30</v>
      </c>
      <c r="F9" s="357" t="s">
        <v>31</v>
      </c>
      <c r="G9" s="541"/>
      <c r="H9" s="552"/>
      <c r="I9" s="541"/>
      <c r="J9" s="543"/>
      <c r="K9" s="545"/>
      <c r="L9" s="547"/>
      <c r="M9" s="20" t="s">
        <v>32</v>
      </c>
      <c r="N9" s="21" t="s">
        <v>41</v>
      </c>
      <c r="O9" s="541"/>
      <c r="P9" s="541"/>
      <c r="R9" s="467" t="s">
        <v>33</v>
      </c>
      <c r="S9" s="468">
        <v>14.2</v>
      </c>
      <c r="T9" s="469">
        <v>14.6</v>
      </c>
      <c r="U9" s="9">
        <v>0</v>
      </c>
      <c r="V9" s="9">
        <v>0.13905092592592591</v>
      </c>
      <c r="W9" s="10">
        <v>0.26041666666666669</v>
      </c>
      <c r="X9" s="10">
        <v>0.2951388888888889</v>
      </c>
      <c r="Y9" s="470">
        <v>0</v>
      </c>
      <c r="Z9" s="471">
        <v>75</v>
      </c>
    </row>
    <row r="10" spans="2:29" ht="15" customHeight="1">
      <c r="B10" s="29" t="s">
        <v>6</v>
      </c>
      <c r="C10" s="366" t="str">
        <f>[4]Brewhouse!$A740</f>
        <v>CA691</v>
      </c>
      <c r="D10" s="279">
        <f>[4]Brewhouse!$AF740</f>
        <v>51.4</v>
      </c>
      <c r="E10" s="279">
        <f>[4]Brewhouse!$AI740</f>
        <v>51.8</v>
      </c>
      <c r="F10" s="278">
        <f>[4]Brewhouse!$V740</f>
        <v>59</v>
      </c>
      <c r="G10" s="279">
        <f>[4]Brewhouse!AG740</f>
        <v>11.7</v>
      </c>
      <c r="H10" s="396">
        <v>11.9</v>
      </c>
      <c r="I10" s="368">
        <f>[4]Brewhouse!$AU740</f>
        <v>99.289141660170145</v>
      </c>
      <c r="J10" s="368">
        <f>[4]Brewhouse!$AV740</f>
        <v>100.46551152774322</v>
      </c>
      <c r="K10" s="281">
        <f>[4]Brewhouse!$Q740</f>
        <v>11.497227356746762</v>
      </c>
      <c r="L10" s="276">
        <f>[4]Brewhouse!$P740</f>
        <v>59</v>
      </c>
      <c r="M10" s="374">
        <f>[4]Brewhouse!$U740-[4]Brewhouse!$T740</f>
        <v>0.11527777777777781</v>
      </c>
      <c r="N10" s="370">
        <f>[4]Brewhouse!$Z740</f>
        <v>0.25694444444444442</v>
      </c>
      <c r="O10" s="420" t="str">
        <f>[4]Brewhouse!$AX740</f>
        <v>R. Regis</v>
      </c>
      <c r="P10" s="418"/>
      <c r="R10" s="277" t="str">
        <f t="shared" ref="R10:R15" si="0">B10</f>
        <v>CARIB</v>
      </c>
      <c r="S10" s="472">
        <f t="shared" ref="S10:S15" si="1">VLOOKUP($B10,$R$3:$X$9,2,FALSE)</f>
        <v>11.6</v>
      </c>
      <c r="T10" s="472">
        <f t="shared" ref="T10:T15" si="2">VLOOKUP($B10,$R$3:$X$9,3,FALSE)</f>
        <v>12</v>
      </c>
      <c r="U10" s="297">
        <f t="shared" ref="U10:U15" si="3">VLOOKUP($B10,$R$3:$X$9,4,FALSE)</f>
        <v>0</v>
      </c>
      <c r="V10" s="297">
        <f t="shared" ref="V10:V15" si="4">VLOOKUP($B10,$R$3:$X$9,5,FALSE)</f>
        <v>0.118055555555556</v>
      </c>
      <c r="W10" s="297">
        <f t="shared" ref="W10:W15" si="5">VLOOKUP($B10,$R$3:$X$9,6,FALSE)</f>
        <v>0.22569444444444445</v>
      </c>
      <c r="X10" s="297">
        <f t="shared" ref="X10:X15" si="6">VLOOKUP($B10,$R$3:$X$9,7,FALSE)</f>
        <v>0.2638888888888889</v>
      </c>
      <c r="Y10" s="297">
        <f t="shared" ref="Y10:Y15" si="7">VLOOKUP($B10,$R$3:$Z$9,8,FALSE)</f>
        <v>0</v>
      </c>
      <c r="Z10" s="472">
        <f t="shared" ref="Z10:Z15" si="8">VLOOKUP($B10,$R$3:$Z$9,9,FALSE)</f>
        <v>60</v>
      </c>
    </row>
    <row r="11" spans="2:29" ht="15" customHeight="1">
      <c r="B11" s="29" t="s">
        <v>6</v>
      </c>
      <c r="C11" s="366" t="str">
        <f>[4]Brewhouse!$A741</f>
        <v>CA692</v>
      </c>
      <c r="D11" s="279">
        <f>[4]Brewhouse!$AF741</f>
        <v>50.2</v>
      </c>
      <c r="E11" s="279">
        <f>[4]Brewhouse!$AI741</f>
        <v>50.7</v>
      </c>
      <c r="F11" s="278">
        <f>[4]Brewhouse!$V741</f>
        <v>58</v>
      </c>
      <c r="G11" s="279">
        <f>[4]Brewhouse!AG741</f>
        <v>11.9</v>
      </c>
      <c r="H11" s="396">
        <v>11.9</v>
      </c>
      <c r="I11" s="368">
        <f>[4]Brewhouse!$AU741</f>
        <v>99.330638505114962</v>
      </c>
      <c r="J11" s="368">
        <f>[4]Brewhouse!$AV741</f>
        <v>100.10092572379527</v>
      </c>
      <c r="K11" s="281">
        <f>[4]Brewhouse!$Q741</f>
        <v>11.497227356746762</v>
      </c>
      <c r="L11" s="276">
        <f>[4]Brewhouse!$P741</f>
        <v>58</v>
      </c>
      <c r="M11" s="374">
        <f>[4]Brewhouse!$U741-[4]Brewhouse!$T741</f>
        <v>0.10624999999999996</v>
      </c>
      <c r="N11" s="370">
        <f>[4]Brewhouse!$Z741</f>
        <v>0.25347222222222221</v>
      </c>
      <c r="O11" s="420" t="str">
        <f>[4]Brewhouse!$AX741</f>
        <v>R. Regis</v>
      </c>
      <c r="P11" s="418"/>
      <c r="R11" s="277" t="str">
        <f t="shared" si="0"/>
        <v>CARIB</v>
      </c>
      <c r="S11" s="472">
        <f t="shared" si="1"/>
        <v>11.6</v>
      </c>
      <c r="T11" s="472">
        <f t="shared" si="2"/>
        <v>12</v>
      </c>
      <c r="U11" s="297">
        <f t="shared" si="3"/>
        <v>0</v>
      </c>
      <c r="V11" s="297">
        <f t="shared" si="4"/>
        <v>0.118055555555556</v>
      </c>
      <c r="W11" s="297">
        <f t="shared" si="5"/>
        <v>0.22569444444444445</v>
      </c>
      <c r="X11" s="297">
        <f t="shared" si="6"/>
        <v>0.2638888888888889</v>
      </c>
      <c r="Y11" s="297">
        <f t="shared" si="7"/>
        <v>0</v>
      </c>
      <c r="Z11" s="472">
        <f t="shared" si="8"/>
        <v>60</v>
      </c>
    </row>
    <row r="12" spans="2:29" ht="15" customHeight="1">
      <c r="B12" s="29" t="s">
        <v>6</v>
      </c>
      <c r="C12" s="366" t="str">
        <f>[4]Brewhouse!$A742</f>
        <v>CA693</v>
      </c>
      <c r="D12" s="279">
        <f>[4]Brewhouse!$AF742</f>
        <v>50.5</v>
      </c>
      <c r="E12" s="279">
        <f>[4]Brewhouse!$AI742</f>
        <v>51</v>
      </c>
      <c r="F12" s="278">
        <f>[4]Brewhouse!$V742</f>
        <v>56</v>
      </c>
      <c r="G12" s="279">
        <f>[4]Brewhouse!AG742</f>
        <v>12</v>
      </c>
      <c r="H12" s="396">
        <v>12</v>
      </c>
      <c r="I12" s="368">
        <f>[4]Brewhouse!$AU742</f>
        <v>100.92529729319159</v>
      </c>
      <c r="J12" s="368">
        <f>[4]Brewhouse!$AV742</f>
        <v>101.70790009349962</v>
      </c>
      <c r="K12" s="281">
        <f>[4]Brewhouse!$Q742</f>
        <v>12.421441774491679</v>
      </c>
      <c r="L12" s="276">
        <f>[4]Brewhouse!$P742</f>
        <v>57</v>
      </c>
      <c r="M12" s="374">
        <f>[4]Brewhouse!$U742-[4]Brewhouse!$T742</f>
        <v>0.1118055555555556</v>
      </c>
      <c r="N12" s="370">
        <f>[4]Brewhouse!$Z742</f>
        <v>0.27500000000000002</v>
      </c>
      <c r="O12" s="420" t="str">
        <f>[4]Brewhouse!$AX742</f>
        <v>R. Regis</v>
      </c>
      <c r="P12" s="418"/>
      <c r="R12" s="277" t="str">
        <f t="shared" si="0"/>
        <v>CARIB</v>
      </c>
      <c r="S12" s="472">
        <f t="shared" si="1"/>
        <v>11.6</v>
      </c>
      <c r="T12" s="472">
        <f t="shared" si="2"/>
        <v>12</v>
      </c>
      <c r="U12" s="297">
        <f t="shared" si="3"/>
        <v>0</v>
      </c>
      <c r="V12" s="297">
        <f t="shared" si="4"/>
        <v>0.118055555555556</v>
      </c>
      <c r="W12" s="297">
        <f t="shared" si="5"/>
        <v>0.22569444444444445</v>
      </c>
      <c r="X12" s="297">
        <f t="shared" si="6"/>
        <v>0.2638888888888889</v>
      </c>
      <c r="Y12" s="297">
        <f t="shared" si="7"/>
        <v>0</v>
      </c>
      <c r="Z12" s="472">
        <f t="shared" si="8"/>
        <v>60</v>
      </c>
    </row>
    <row r="13" spans="2:29" ht="15" customHeight="1">
      <c r="B13" s="29" t="s">
        <v>6</v>
      </c>
      <c r="C13" s="366" t="str">
        <f>[4]Brewhouse!$A743</f>
        <v>CA694</v>
      </c>
      <c r="D13" s="279">
        <f>[4]Brewhouse!$AF743</f>
        <v>50.7</v>
      </c>
      <c r="E13" s="279">
        <f>[4]Brewhouse!$AI743</f>
        <v>51.2</v>
      </c>
      <c r="F13" s="278">
        <f>[4]Brewhouse!$V743</f>
        <v>53</v>
      </c>
      <c r="G13" s="279">
        <f>[4]Brewhouse!AG743</f>
        <v>12</v>
      </c>
      <c r="H13" s="493">
        <v>12.1</v>
      </c>
      <c r="I13" s="368">
        <f>[4]Brewhouse!$AU743</f>
        <v>101.94859726081698</v>
      </c>
      <c r="J13" s="368">
        <f>[4]Brewhouse!$AV743</f>
        <v>102.73887731575459</v>
      </c>
      <c r="K13" s="281">
        <f>[4]Brewhouse!$Q743</f>
        <v>9.8336414048059151</v>
      </c>
      <c r="L13" s="276">
        <f>[4]Brewhouse!$P743</f>
        <v>58</v>
      </c>
      <c r="M13" s="374">
        <f>[4]Brewhouse!$U743-[4]Brewhouse!$T743</f>
        <v>0.1479166666666667</v>
      </c>
      <c r="N13" s="370">
        <f>[4]Brewhouse!$Z743</f>
        <v>0.30277777777777781</v>
      </c>
      <c r="O13" s="420" t="str">
        <f>[4]Brewhouse!$AX743</f>
        <v>R. Sookram</v>
      </c>
      <c r="P13" s="418"/>
      <c r="R13" s="277" t="str">
        <f t="shared" si="0"/>
        <v>CARIB</v>
      </c>
      <c r="S13" s="472">
        <f t="shared" si="1"/>
        <v>11.6</v>
      </c>
      <c r="T13" s="472">
        <f t="shared" si="2"/>
        <v>12</v>
      </c>
      <c r="U13" s="297">
        <f t="shared" si="3"/>
        <v>0</v>
      </c>
      <c r="V13" s="297">
        <f t="shared" si="4"/>
        <v>0.118055555555556</v>
      </c>
      <c r="W13" s="297">
        <f t="shared" si="5"/>
        <v>0.22569444444444445</v>
      </c>
      <c r="X13" s="297">
        <f t="shared" si="6"/>
        <v>0.2638888888888889</v>
      </c>
      <c r="Y13" s="297">
        <f t="shared" si="7"/>
        <v>0</v>
      </c>
      <c r="Z13" s="472">
        <f t="shared" si="8"/>
        <v>60</v>
      </c>
    </row>
    <row r="14" spans="2:29" ht="15" customHeight="1">
      <c r="B14" s="29" t="s">
        <v>6</v>
      </c>
      <c r="C14" s="366" t="str">
        <f>[4]Brewhouse!$A744</f>
        <v>CA695</v>
      </c>
      <c r="D14" s="279">
        <f>[4]Brewhouse!$AF744</f>
        <v>49.4</v>
      </c>
      <c r="E14" s="279">
        <f>[4]Brewhouse!$AI744</f>
        <v>50.3</v>
      </c>
      <c r="F14" s="278">
        <f>[4]Brewhouse!$V744</f>
        <v>53</v>
      </c>
      <c r="G14" s="279">
        <f>[4]Brewhouse!AG744</f>
        <v>11.9</v>
      </c>
      <c r="H14" s="396">
        <v>12</v>
      </c>
      <c r="I14" s="368">
        <f>[4]Brewhouse!$AU744</f>
        <v>98.546964828545995</v>
      </c>
      <c r="J14" s="368">
        <f>[4]Brewhouse!$AV744</f>
        <v>99.311174830510865</v>
      </c>
      <c r="K14" s="281">
        <f>[4]Brewhouse!$Q744</f>
        <v>9.8518518518518512</v>
      </c>
      <c r="L14" s="276">
        <f>[4]Brewhouse!$P744</f>
        <v>45</v>
      </c>
      <c r="M14" s="374">
        <f>[4]Brewhouse!$U744-[4]Brewhouse!$T744</f>
        <v>0.11805555555555558</v>
      </c>
      <c r="N14" s="370">
        <f>[4]Brewhouse!$Z744</f>
        <v>0.26736111111111116</v>
      </c>
      <c r="O14" s="420" t="str">
        <f>[4]Brewhouse!$AX744</f>
        <v>R. Sookram</v>
      </c>
      <c r="P14" s="418"/>
      <c r="R14" s="277" t="str">
        <f t="shared" si="0"/>
        <v>CARIB</v>
      </c>
      <c r="S14" s="472">
        <f t="shared" si="1"/>
        <v>11.6</v>
      </c>
      <c r="T14" s="472">
        <f t="shared" si="2"/>
        <v>12</v>
      </c>
      <c r="U14" s="297">
        <f t="shared" si="3"/>
        <v>0</v>
      </c>
      <c r="V14" s="297">
        <f t="shared" si="4"/>
        <v>0.118055555555556</v>
      </c>
      <c r="W14" s="297">
        <f t="shared" si="5"/>
        <v>0.22569444444444445</v>
      </c>
      <c r="X14" s="297">
        <f t="shared" si="6"/>
        <v>0.2638888888888889</v>
      </c>
      <c r="Y14" s="297">
        <f t="shared" si="7"/>
        <v>0</v>
      </c>
      <c r="Z14" s="472">
        <f t="shared" si="8"/>
        <v>60</v>
      </c>
    </row>
    <row r="15" spans="2:29" ht="15" customHeight="1">
      <c r="B15" s="29" t="s">
        <v>6</v>
      </c>
      <c r="C15" s="366" t="str">
        <f>[4]Brewhouse!$A745</f>
        <v>CA696</v>
      </c>
      <c r="D15" s="279">
        <f>[4]Brewhouse!$AF745</f>
        <v>52</v>
      </c>
      <c r="E15" s="279">
        <f>[4]Brewhouse!$AI745</f>
        <v>52.4</v>
      </c>
      <c r="F15" s="278">
        <f>[4]Brewhouse!$V745</f>
        <v>55</v>
      </c>
      <c r="G15" s="279">
        <f>[4]Brewhouse!AG745</f>
        <v>11.8</v>
      </c>
      <c r="H15" s="396">
        <v>11.9</v>
      </c>
      <c r="I15" s="368">
        <f>[4]Brewhouse!$AU745</f>
        <v>101.75420442737169</v>
      </c>
      <c r="J15" s="368">
        <f>[4]Brewhouse!$AV745</f>
        <v>102.54328586585805</v>
      </c>
      <c r="K15" s="281">
        <f>[4]Brewhouse!$Q745</f>
        <v>8</v>
      </c>
      <c r="L15" s="276">
        <f>[4]Brewhouse!$P745</f>
        <v>61</v>
      </c>
      <c r="M15" s="374">
        <f>[4]Brewhouse!$U745-[4]Brewhouse!$T745</f>
        <v>0.11527777777777781</v>
      </c>
      <c r="N15" s="370">
        <f>[4]Brewhouse!$Z745</f>
        <v>0.27083333333333337</v>
      </c>
      <c r="O15" s="420" t="str">
        <f>[4]Brewhouse!$AX745</f>
        <v>K. Benjamin</v>
      </c>
      <c r="P15" s="418"/>
      <c r="R15" s="277" t="str">
        <f t="shared" si="0"/>
        <v>CARIB</v>
      </c>
      <c r="S15" s="472">
        <f t="shared" si="1"/>
        <v>11.6</v>
      </c>
      <c r="T15" s="472">
        <f t="shared" si="2"/>
        <v>12</v>
      </c>
      <c r="U15" s="297">
        <f t="shared" si="3"/>
        <v>0</v>
      </c>
      <c r="V15" s="297">
        <f t="shared" si="4"/>
        <v>0.118055555555556</v>
      </c>
      <c r="W15" s="297">
        <f t="shared" si="5"/>
        <v>0.22569444444444445</v>
      </c>
      <c r="X15" s="297">
        <f t="shared" si="6"/>
        <v>0.2638888888888889</v>
      </c>
      <c r="Y15" s="297">
        <f t="shared" si="7"/>
        <v>0</v>
      </c>
      <c r="Z15" s="472">
        <f t="shared" si="8"/>
        <v>60</v>
      </c>
    </row>
    <row r="16" spans="2:29" ht="15" customHeight="1">
      <c r="B16" s="29"/>
      <c r="C16" s="366"/>
      <c r="D16" s="279"/>
      <c r="E16" s="279"/>
      <c r="F16" s="278"/>
      <c r="G16" s="279"/>
      <c r="H16" s="396"/>
      <c r="I16" s="368"/>
      <c r="J16" s="368"/>
      <c r="K16" s="281"/>
      <c r="L16" s="276"/>
      <c r="M16" s="374"/>
      <c r="N16" s="370"/>
      <c r="O16" s="420"/>
      <c r="P16" s="418"/>
      <c r="R16" s="277">
        <f t="shared" ref="R16:R32" si="9">B16</f>
        <v>0</v>
      </c>
      <c r="S16" s="472" t="e">
        <f t="shared" ref="S16:S32" si="10">VLOOKUP($B16,$R$3:$X$9,2,FALSE)</f>
        <v>#N/A</v>
      </c>
      <c r="T16" s="472" t="e">
        <f t="shared" ref="T16:T32" si="11">VLOOKUP($B16,$R$3:$X$9,3,FALSE)</f>
        <v>#N/A</v>
      </c>
      <c r="U16" s="297" t="e">
        <f t="shared" ref="U16:U32" si="12">VLOOKUP($B16,$R$3:$X$9,4,FALSE)</f>
        <v>#N/A</v>
      </c>
      <c r="V16" s="297" t="e">
        <f t="shared" ref="V16:V32" si="13">VLOOKUP($B16,$R$3:$X$9,5,FALSE)</f>
        <v>#N/A</v>
      </c>
      <c r="W16" s="297" t="e">
        <f t="shared" ref="W16:W32" si="14">VLOOKUP($B16,$R$3:$X$9,6,FALSE)</f>
        <v>#N/A</v>
      </c>
      <c r="X16" s="297" t="e">
        <f t="shared" ref="X16:X32" si="15">VLOOKUP($B16,$R$3:$X$9,7,FALSE)</f>
        <v>#N/A</v>
      </c>
      <c r="Y16" s="297" t="e">
        <f t="shared" ref="Y16:Y32" si="16">VLOOKUP($B16,$R$3:$Z$9,8,FALSE)</f>
        <v>#N/A</v>
      </c>
      <c r="Z16" s="472" t="e">
        <f t="shared" ref="Z16:Z32" si="17">VLOOKUP($B16,$R$3:$Z$9,9,FALSE)</f>
        <v>#N/A</v>
      </c>
    </row>
    <row r="17" spans="1:27" ht="15" customHeight="1">
      <c r="B17" s="29"/>
      <c r="C17" s="366"/>
      <c r="D17" s="279"/>
      <c r="E17" s="279"/>
      <c r="F17" s="278"/>
      <c r="G17" s="279"/>
      <c r="H17" s="396"/>
      <c r="I17" s="368"/>
      <c r="J17" s="368"/>
      <c r="K17" s="281"/>
      <c r="L17" s="276"/>
      <c r="M17" s="374"/>
      <c r="N17" s="370"/>
      <c r="O17" s="420"/>
      <c r="P17" s="418"/>
      <c r="R17" s="277">
        <f t="shared" si="9"/>
        <v>0</v>
      </c>
      <c r="S17" s="472" t="e">
        <f t="shared" si="10"/>
        <v>#N/A</v>
      </c>
      <c r="T17" s="472" t="e">
        <f t="shared" si="11"/>
        <v>#N/A</v>
      </c>
      <c r="U17" s="297" t="e">
        <f t="shared" si="12"/>
        <v>#N/A</v>
      </c>
      <c r="V17" s="297" t="e">
        <f t="shared" si="13"/>
        <v>#N/A</v>
      </c>
      <c r="W17" s="297" t="e">
        <f t="shared" si="14"/>
        <v>#N/A</v>
      </c>
      <c r="X17" s="297" t="e">
        <f t="shared" si="15"/>
        <v>#N/A</v>
      </c>
      <c r="Y17" s="297" t="e">
        <f t="shared" si="16"/>
        <v>#N/A</v>
      </c>
      <c r="Z17" s="472" t="e">
        <f t="shared" si="17"/>
        <v>#N/A</v>
      </c>
    </row>
    <row r="18" spans="1:27" ht="15" customHeight="1">
      <c r="B18" s="36"/>
      <c r="C18" s="366"/>
      <c r="D18" s="279"/>
      <c r="E18" s="279"/>
      <c r="F18" s="278"/>
      <c r="G18" s="279"/>
      <c r="H18" s="396"/>
      <c r="I18" s="489"/>
      <c r="J18" s="489"/>
      <c r="K18" s="490"/>
      <c r="L18" s="276"/>
      <c r="M18" s="374"/>
      <c r="N18" s="370"/>
      <c r="O18" s="420"/>
      <c r="P18" s="418"/>
      <c r="R18" s="277">
        <f t="shared" si="9"/>
        <v>0</v>
      </c>
      <c r="S18" s="472" t="e">
        <f t="shared" si="10"/>
        <v>#N/A</v>
      </c>
      <c r="T18" s="472" t="e">
        <f t="shared" si="11"/>
        <v>#N/A</v>
      </c>
      <c r="U18" s="297" t="e">
        <f t="shared" si="12"/>
        <v>#N/A</v>
      </c>
      <c r="V18" s="297" t="e">
        <f t="shared" si="13"/>
        <v>#N/A</v>
      </c>
      <c r="W18" s="297" t="e">
        <f t="shared" si="14"/>
        <v>#N/A</v>
      </c>
      <c r="X18" s="297" t="e">
        <f t="shared" si="15"/>
        <v>#N/A</v>
      </c>
      <c r="Y18" s="297" t="e">
        <f t="shared" si="16"/>
        <v>#N/A</v>
      </c>
      <c r="Z18" s="472" t="e">
        <f t="shared" si="17"/>
        <v>#N/A</v>
      </c>
    </row>
    <row r="19" spans="1:27" ht="17.25" customHeight="1" thickBot="1">
      <c r="B19" s="358"/>
      <c r="C19" s="358"/>
      <c r="D19" s="358"/>
      <c r="E19" s="358"/>
      <c r="F19" s="294"/>
      <c r="G19" s="294"/>
      <c r="H19" s="348"/>
      <c r="I19" s="535"/>
      <c r="J19" s="535"/>
      <c r="K19" s="535"/>
      <c r="L19" s="535"/>
      <c r="M19" s="535"/>
      <c r="N19" s="535"/>
      <c r="O19" s="1"/>
      <c r="P19" s="12"/>
      <c r="R19" s="277">
        <f t="shared" si="9"/>
        <v>0</v>
      </c>
      <c r="S19" s="472" t="e">
        <f t="shared" si="10"/>
        <v>#N/A</v>
      </c>
      <c r="T19" s="472" t="e">
        <f t="shared" si="11"/>
        <v>#N/A</v>
      </c>
      <c r="U19" s="297" t="e">
        <f t="shared" si="12"/>
        <v>#N/A</v>
      </c>
      <c r="V19" s="297" t="e">
        <f t="shared" si="13"/>
        <v>#N/A</v>
      </c>
      <c r="W19" s="297" t="e">
        <f t="shared" si="14"/>
        <v>#N/A</v>
      </c>
      <c r="X19" s="297" t="e">
        <f t="shared" si="15"/>
        <v>#N/A</v>
      </c>
      <c r="Y19" s="297" t="e">
        <f t="shared" si="16"/>
        <v>#N/A</v>
      </c>
      <c r="Z19" s="472" t="e">
        <f t="shared" si="17"/>
        <v>#N/A</v>
      </c>
    </row>
    <row r="20" spans="1:27" ht="17.25" customHeight="1" thickBot="1">
      <c r="B20" s="483" t="s">
        <v>162</v>
      </c>
      <c r="C20" s="388"/>
      <c r="D20" s="536" t="s">
        <v>35</v>
      </c>
      <c r="E20" s="537"/>
      <c r="F20" s="294"/>
      <c r="G20" s="294"/>
      <c r="H20" s="348"/>
      <c r="I20" s="24" t="s">
        <v>17</v>
      </c>
      <c r="J20" s="25"/>
      <c r="K20" s="26" t="s">
        <v>138</v>
      </c>
      <c r="L20" s="25" t="s">
        <v>37</v>
      </c>
      <c r="M20" s="25" t="s">
        <v>38</v>
      </c>
      <c r="N20" s="27" t="s">
        <v>39</v>
      </c>
      <c r="O20" s="294"/>
      <c r="P20" s="12"/>
      <c r="R20" s="277" t="str">
        <f t="shared" si="9"/>
        <v xml:space="preserve">BRAND </v>
      </c>
      <c r="S20" s="472" t="e">
        <f t="shared" si="10"/>
        <v>#N/A</v>
      </c>
      <c r="T20" s="472" t="e">
        <f t="shared" si="11"/>
        <v>#N/A</v>
      </c>
      <c r="U20" s="297" t="e">
        <f t="shared" si="12"/>
        <v>#N/A</v>
      </c>
      <c r="V20" s="297" t="e">
        <f t="shared" si="13"/>
        <v>#N/A</v>
      </c>
      <c r="W20" s="297" t="e">
        <f t="shared" si="14"/>
        <v>#N/A</v>
      </c>
      <c r="X20" s="297" t="e">
        <f t="shared" si="15"/>
        <v>#N/A</v>
      </c>
      <c r="Y20" s="297" t="e">
        <f t="shared" si="16"/>
        <v>#N/A</v>
      </c>
      <c r="Z20" s="472" t="e">
        <f t="shared" si="17"/>
        <v>#N/A</v>
      </c>
    </row>
    <row r="21" spans="1:27" ht="17.25" customHeight="1">
      <c r="A21" s="28"/>
      <c r="B21" s="538"/>
      <c r="C21" s="484"/>
      <c r="D21" s="523"/>
      <c r="E21" s="524"/>
      <c r="F21" s="294"/>
      <c r="G21" s="294"/>
      <c r="H21" s="348"/>
      <c r="I21" s="29" t="s">
        <v>6</v>
      </c>
      <c r="J21" s="323">
        <f>AVERAGE(I10:I15)</f>
        <v>100.29914066253524</v>
      </c>
      <c r="K21" s="284">
        <f>COUNTA([4]Brewhouse!$A$696:$A$745)</f>
        <v>50</v>
      </c>
      <c r="L21" s="305">
        <f>AVERAGE([4]Brewhouse!$AU$696:$AU$745)</f>
        <v>98.883592318093321</v>
      </c>
      <c r="M21" s="305">
        <f>AVERAGE([4]Brewhouse!$AU$42:$AU$123,[4]Brewhouse!$AU$125:$AU$188,[4]Brewhouse!$AU$198:$AU$290,[4]Brewhouse!$AU$292:$AU$370,[4]Brewhouse!$AU$372:$AU$439,[4]Brewhouse!$AU$441:$AU$497,[4]Brewhouse!$AU$499:$AU$519,[4]Brewhouse!$AU$521:$AU$593,[4]Brewhouse!$AU$595:$AU$745)</f>
        <v>98.329398200074777</v>
      </c>
      <c r="N21" s="30">
        <v>98</v>
      </c>
      <c r="O21" s="11"/>
      <c r="P21" s="31"/>
      <c r="R21" s="277">
        <f t="shared" si="9"/>
        <v>0</v>
      </c>
      <c r="S21" s="472" t="e">
        <f t="shared" si="10"/>
        <v>#N/A</v>
      </c>
      <c r="T21" s="472" t="e">
        <f t="shared" si="11"/>
        <v>#N/A</v>
      </c>
      <c r="U21" s="297" t="e">
        <f t="shared" si="12"/>
        <v>#N/A</v>
      </c>
      <c r="V21" s="297" t="e">
        <f t="shared" si="13"/>
        <v>#N/A</v>
      </c>
      <c r="W21" s="297" t="e">
        <f t="shared" si="14"/>
        <v>#N/A</v>
      </c>
      <c r="X21" s="297" t="e">
        <f t="shared" si="15"/>
        <v>#N/A</v>
      </c>
      <c r="Y21" s="297" t="e">
        <f t="shared" si="16"/>
        <v>#N/A</v>
      </c>
      <c r="Z21" s="472" t="e">
        <f t="shared" si="17"/>
        <v>#N/A</v>
      </c>
    </row>
    <row r="22" spans="1:27" ht="15" customHeight="1">
      <c r="A22" s="28"/>
      <c r="B22" s="539"/>
      <c r="C22" s="362"/>
      <c r="D22" s="525"/>
      <c r="E22" s="526"/>
      <c r="F22" s="294"/>
      <c r="G22" s="294"/>
      <c r="H22" s="348"/>
      <c r="I22" s="33" t="s">
        <v>9</v>
      </c>
      <c r="J22" s="323"/>
      <c r="K22" s="284">
        <f>COUNTA([5]Brewhouse!$A$363:$A$372)</f>
        <v>10</v>
      </c>
      <c r="L22" s="302">
        <f>AVERAGE([5]Brewhouse!$AS$363:$AS$372)</f>
        <v>100.50071873632695</v>
      </c>
      <c r="M22" s="302">
        <f>AVERAGE([5]Brewhouse!$AS$52:$AS$81,[5]Brewhouse!$AS$83:$AS$124,[5]Brewhouse!$AS$134:$AS$177,[5]Brewhouse!$AS$22:$AS$179,[5]Brewhouse!$AS$214:$AS$249,[5]Brewhouse!$AS$252:$AS$293,[5]Brewhouse!$AS$295:$AS$325,[5]Brewhouse!$AS$327:$AS$361,[5]Brewhouse!$AS$363:$AS$372)</f>
        <v>98.29248495310074</v>
      </c>
      <c r="N22" s="30">
        <v>98</v>
      </c>
      <c r="O22" s="11"/>
      <c r="P22" s="31"/>
      <c r="R22" s="277">
        <f t="shared" si="9"/>
        <v>0</v>
      </c>
      <c r="S22" s="472" t="e">
        <f t="shared" si="10"/>
        <v>#N/A</v>
      </c>
      <c r="T22" s="472" t="e">
        <f t="shared" si="11"/>
        <v>#N/A</v>
      </c>
      <c r="U22" s="297" t="e">
        <f t="shared" si="12"/>
        <v>#N/A</v>
      </c>
      <c r="V22" s="297" t="e">
        <f t="shared" si="13"/>
        <v>#N/A</v>
      </c>
      <c r="W22" s="297" t="e">
        <f t="shared" si="14"/>
        <v>#N/A</v>
      </c>
      <c r="X22" s="297" t="e">
        <f t="shared" si="15"/>
        <v>#N/A</v>
      </c>
      <c r="Y22" s="297" t="e">
        <f t="shared" si="16"/>
        <v>#N/A</v>
      </c>
      <c r="Z22" s="472" t="e">
        <f t="shared" si="17"/>
        <v>#N/A</v>
      </c>
    </row>
    <row r="23" spans="1:27" ht="14.65" customHeight="1">
      <c r="A23" s="28"/>
      <c r="B23" s="539"/>
      <c r="C23" s="362"/>
      <c r="D23" s="530"/>
      <c r="E23" s="531"/>
      <c r="F23" s="294"/>
      <c r="G23" s="294"/>
      <c r="H23" s="348"/>
      <c r="I23" s="34" t="s">
        <v>12</v>
      </c>
      <c r="J23" s="323"/>
      <c r="K23" s="284"/>
      <c r="L23" s="302"/>
      <c r="M23" s="302">
        <f>AVERAGE([6]Brewhouse!$AU$16:$AU$23,[6]Brewhouse!$AU$25:$AU$32,[6]Brewhouse!$AU$34:$AU$41,[6]Brewhouse!$AU$43:$AU$60,[6]Brewhouse!$AU$62:$AU$69,[6]Brewhouse!$AU$71:$AU$88,[6]Brewhouse!$AU$90:$AU$97)</f>
        <v>96.502171439390338</v>
      </c>
      <c r="N23" s="30">
        <v>98</v>
      </c>
      <c r="O23" s="11"/>
      <c r="P23" s="31"/>
      <c r="R23" s="277">
        <f t="shared" si="9"/>
        <v>0</v>
      </c>
      <c r="S23" s="472" t="e">
        <f t="shared" si="10"/>
        <v>#N/A</v>
      </c>
      <c r="T23" s="472" t="e">
        <f t="shared" si="11"/>
        <v>#N/A</v>
      </c>
      <c r="U23" s="297" t="e">
        <f t="shared" si="12"/>
        <v>#N/A</v>
      </c>
      <c r="V23" s="297" t="e">
        <f t="shared" si="13"/>
        <v>#N/A</v>
      </c>
      <c r="W23" s="297" t="e">
        <f t="shared" si="14"/>
        <v>#N/A</v>
      </c>
      <c r="X23" s="297" t="e">
        <f t="shared" si="15"/>
        <v>#N/A</v>
      </c>
      <c r="Y23" s="297" t="e">
        <f t="shared" si="16"/>
        <v>#N/A</v>
      </c>
      <c r="Z23" s="472" t="e">
        <f t="shared" si="17"/>
        <v>#N/A</v>
      </c>
    </row>
    <row r="24" spans="1:27" ht="14.65" customHeight="1">
      <c r="A24" s="28"/>
      <c r="B24" s="539"/>
      <c r="C24" s="362"/>
      <c r="D24" s="532"/>
      <c r="E24" s="526"/>
      <c r="F24" s="294"/>
      <c r="G24" s="294"/>
      <c r="H24" s="348"/>
      <c r="I24" s="22" t="s">
        <v>33</v>
      </c>
      <c r="J24" s="280"/>
      <c r="K24" s="284"/>
      <c r="L24" s="302"/>
      <c r="M24" s="302">
        <f>AVERAGE([7]Brewhouse!$AV$23:$AV$34,[7]Brewhouse!$AV$36,[7]Brewhouse!$AV$38:$AV$52,[7]Brewhouse!$AV$54:$AV$60,[7]Brewhouse!$AV$62:$AV$69,[7]Brewhouse!$AV$71:$AV$78,[7]Brewhouse!$AV$80:$AV$87,[7]Brewhouse!$AV$89:$AV$96)</f>
        <v>97.559547139003357</v>
      </c>
      <c r="N24" s="30">
        <v>98</v>
      </c>
      <c r="O24" s="11"/>
      <c r="P24" s="31"/>
      <c r="R24" s="277">
        <f t="shared" si="9"/>
        <v>0</v>
      </c>
      <c r="S24" s="472" t="e">
        <f t="shared" si="10"/>
        <v>#N/A</v>
      </c>
      <c r="T24" s="472" t="e">
        <f t="shared" si="11"/>
        <v>#N/A</v>
      </c>
      <c r="U24" s="297" t="e">
        <f t="shared" si="12"/>
        <v>#N/A</v>
      </c>
      <c r="V24" s="297" t="e">
        <f t="shared" si="13"/>
        <v>#N/A</v>
      </c>
      <c r="W24" s="297" t="e">
        <f t="shared" si="14"/>
        <v>#N/A</v>
      </c>
      <c r="X24" s="297" t="e">
        <f t="shared" si="15"/>
        <v>#N/A</v>
      </c>
      <c r="Y24" s="297" t="e">
        <f t="shared" si="16"/>
        <v>#N/A</v>
      </c>
      <c r="Z24" s="472" t="e">
        <f t="shared" si="17"/>
        <v>#N/A</v>
      </c>
    </row>
    <row r="25" spans="1:27" ht="14.65" customHeight="1">
      <c r="A25" s="28"/>
      <c r="B25" s="539"/>
      <c r="C25" s="362"/>
      <c r="D25" s="530"/>
      <c r="E25" s="531"/>
      <c r="F25" s="294"/>
      <c r="G25" s="294"/>
      <c r="H25" s="348"/>
      <c r="I25" s="35" t="s">
        <v>29</v>
      </c>
      <c r="J25" s="280"/>
      <c r="K25" s="284"/>
      <c r="L25" s="302"/>
      <c r="M25" s="302"/>
      <c r="N25" s="30">
        <v>98</v>
      </c>
      <c r="O25" s="11"/>
      <c r="P25" s="31"/>
      <c r="R25" s="277">
        <f t="shared" si="9"/>
        <v>0</v>
      </c>
      <c r="S25" s="472" t="e">
        <f t="shared" si="10"/>
        <v>#N/A</v>
      </c>
      <c r="T25" s="472" t="e">
        <f t="shared" si="11"/>
        <v>#N/A</v>
      </c>
      <c r="U25" s="297" t="e">
        <f t="shared" si="12"/>
        <v>#N/A</v>
      </c>
      <c r="V25" s="297" t="e">
        <f t="shared" si="13"/>
        <v>#N/A</v>
      </c>
      <c r="W25" s="297" t="e">
        <f t="shared" si="14"/>
        <v>#N/A</v>
      </c>
      <c r="X25" s="297" t="e">
        <f t="shared" si="15"/>
        <v>#N/A</v>
      </c>
      <c r="Y25" s="297" t="e">
        <f t="shared" si="16"/>
        <v>#N/A</v>
      </c>
      <c r="Z25" s="472" t="e">
        <f t="shared" si="17"/>
        <v>#N/A</v>
      </c>
    </row>
    <row r="26" spans="1:27" ht="14.65" customHeight="1">
      <c r="A26" s="28"/>
      <c r="B26" s="539"/>
      <c r="C26" s="362"/>
      <c r="D26" s="532"/>
      <c r="E26" s="526"/>
      <c r="F26" s="417"/>
      <c r="G26" s="294"/>
      <c r="H26" s="348"/>
      <c r="I26" s="36" t="s">
        <v>15</v>
      </c>
      <c r="J26" s="323"/>
      <c r="K26" s="284">
        <f>COUNTA([8]Brewhouse!$A$23:$A$30)</f>
        <v>8</v>
      </c>
      <c r="L26" s="302">
        <f>AVERAGE([8]Brewhouse!$AT$23:$AT$30)</f>
        <v>96.065914782338609</v>
      </c>
      <c r="M26" s="302">
        <f>AVERAGE([8]Brewhouse!$AT$4:$AT$11,[8]Brewhouse!$AT$13:$AT$16,[8]Brewhouse!$AT$18:$AT$30)</f>
        <v>93.22262799886262</v>
      </c>
      <c r="N26" s="30">
        <v>98</v>
      </c>
      <c r="O26" s="11"/>
      <c r="P26" s="31"/>
      <c r="R26" s="277">
        <f t="shared" si="9"/>
        <v>0</v>
      </c>
      <c r="S26" s="472" t="e">
        <f t="shared" si="10"/>
        <v>#N/A</v>
      </c>
      <c r="T26" s="472" t="e">
        <f t="shared" si="11"/>
        <v>#N/A</v>
      </c>
      <c r="U26" s="297" t="e">
        <f t="shared" si="12"/>
        <v>#N/A</v>
      </c>
      <c r="V26" s="297" t="e">
        <f t="shared" si="13"/>
        <v>#N/A</v>
      </c>
      <c r="W26" s="297" t="e">
        <f t="shared" si="14"/>
        <v>#N/A</v>
      </c>
      <c r="X26" s="297" t="e">
        <f t="shared" si="15"/>
        <v>#N/A</v>
      </c>
      <c r="Y26" s="297" t="e">
        <f t="shared" si="16"/>
        <v>#N/A</v>
      </c>
      <c r="Z26" s="472" t="e">
        <f t="shared" si="17"/>
        <v>#N/A</v>
      </c>
    </row>
    <row r="27" spans="1:27" ht="14.65" customHeight="1">
      <c r="A27" s="28"/>
      <c r="B27" s="539"/>
      <c r="C27" s="362"/>
      <c r="D27" s="530"/>
      <c r="E27" s="531"/>
      <c r="F27" s="417"/>
      <c r="G27" s="294"/>
      <c r="H27" s="348"/>
      <c r="I27" s="37" t="s">
        <v>16</v>
      </c>
      <c r="J27" s="323"/>
      <c r="K27" s="284"/>
      <c r="L27" s="302"/>
      <c r="M27" s="302">
        <f>AVERAGE([3]Brewhouse!$AY$5:$AY$14,[3]Brewhouse!$AY$16:$AY$23,[3]Brewhouse!$AY$42,[3]Brewhouse!$AY$44:$AY$51,[3]Brewhouse!$AY$53:$AY$64,[3]Brewhouse!$AY$66:$AY$73,[3]Brewhouse!$AY$75:$AY$82,[3]Brewhouse!$AY$84:$AY$101)</f>
        <v>97.784660430003186</v>
      </c>
      <c r="N27" s="30">
        <v>98</v>
      </c>
      <c r="O27" s="11"/>
      <c r="P27" s="31" t="s">
        <v>41</v>
      </c>
      <c r="R27" s="277">
        <f t="shared" si="9"/>
        <v>0</v>
      </c>
      <c r="S27" s="472" t="e">
        <f t="shared" si="10"/>
        <v>#N/A</v>
      </c>
      <c r="T27" s="472" t="e">
        <f t="shared" si="11"/>
        <v>#N/A</v>
      </c>
      <c r="U27" s="297" t="e">
        <f t="shared" si="12"/>
        <v>#N/A</v>
      </c>
      <c r="V27" s="297" t="e">
        <f t="shared" si="13"/>
        <v>#N/A</v>
      </c>
      <c r="W27" s="297" t="e">
        <f t="shared" si="14"/>
        <v>#N/A</v>
      </c>
      <c r="X27" s="297" t="e">
        <f t="shared" si="15"/>
        <v>#N/A</v>
      </c>
      <c r="Y27" s="297" t="e">
        <f t="shared" si="16"/>
        <v>#N/A</v>
      </c>
      <c r="Z27" s="472" t="e">
        <f t="shared" si="17"/>
        <v>#N/A</v>
      </c>
    </row>
    <row r="28" spans="1:27" ht="14.65" customHeight="1">
      <c r="A28" s="28"/>
      <c r="B28" s="539"/>
      <c r="C28" s="362"/>
      <c r="D28" s="532"/>
      <c r="E28" s="526"/>
      <c r="F28" s="294"/>
      <c r="G28" s="294"/>
      <c r="H28" s="348"/>
      <c r="I28" s="411" t="s">
        <v>158</v>
      </c>
      <c r="J28" s="326"/>
      <c r="K28" s="284"/>
      <c r="L28" s="305"/>
      <c r="M28" s="305"/>
      <c r="N28" s="30">
        <v>98</v>
      </c>
      <c r="O28" s="11"/>
      <c r="P28" s="31"/>
      <c r="R28" s="277">
        <f t="shared" si="9"/>
        <v>0</v>
      </c>
      <c r="S28" s="472" t="e">
        <f t="shared" si="10"/>
        <v>#N/A</v>
      </c>
      <c r="T28" s="472" t="e">
        <f t="shared" si="11"/>
        <v>#N/A</v>
      </c>
      <c r="U28" s="297" t="e">
        <f t="shared" si="12"/>
        <v>#N/A</v>
      </c>
      <c r="V28" s="297" t="e">
        <f t="shared" si="13"/>
        <v>#N/A</v>
      </c>
      <c r="W28" s="297" t="e">
        <f t="shared" si="14"/>
        <v>#N/A</v>
      </c>
      <c r="X28" s="297" t="e">
        <f t="shared" si="15"/>
        <v>#N/A</v>
      </c>
      <c r="Y28" s="297" t="e">
        <f t="shared" si="16"/>
        <v>#N/A</v>
      </c>
      <c r="Z28" s="472" t="e">
        <f t="shared" si="17"/>
        <v>#N/A</v>
      </c>
    </row>
    <row r="29" spans="1:27" ht="14.65" customHeight="1">
      <c r="A29" s="28"/>
      <c r="B29" s="539"/>
      <c r="C29" s="362"/>
      <c r="D29" s="530"/>
      <c r="E29" s="531"/>
      <c r="F29" s="294"/>
      <c r="G29" s="294"/>
      <c r="H29" s="348"/>
      <c r="I29" s="410" t="s">
        <v>157</v>
      </c>
      <c r="J29" s="326"/>
      <c r="K29" s="284"/>
      <c r="L29" s="305"/>
      <c r="M29" s="305"/>
      <c r="N29" s="30">
        <v>98</v>
      </c>
      <c r="O29" s="11"/>
      <c r="P29" s="31"/>
      <c r="R29" s="277">
        <f t="shared" si="9"/>
        <v>0</v>
      </c>
      <c r="S29" s="472" t="e">
        <f t="shared" si="10"/>
        <v>#N/A</v>
      </c>
      <c r="T29" s="472" t="e">
        <f t="shared" si="11"/>
        <v>#N/A</v>
      </c>
      <c r="U29" s="297" t="e">
        <f t="shared" si="12"/>
        <v>#N/A</v>
      </c>
      <c r="V29" s="297" t="e">
        <f t="shared" si="13"/>
        <v>#N/A</v>
      </c>
      <c r="W29" s="297" t="e">
        <f t="shared" si="14"/>
        <v>#N/A</v>
      </c>
      <c r="X29" s="297" t="e">
        <f t="shared" si="15"/>
        <v>#N/A</v>
      </c>
      <c r="Y29" s="297" t="e">
        <f t="shared" si="16"/>
        <v>#N/A</v>
      </c>
      <c r="Z29" s="472" t="e">
        <f t="shared" si="17"/>
        <v>#N/A</v>
      </c>
      <c r="AA29" s="472"/>
    </row>
    <row r="30" spans="1:27" ht="15" customHeight="1" thickBot="1">
      <c r="A30" s="28"/>
      <c r="B30" s="539"/>
      <c r="C30" s="362"/>
      <c r="D30" s="532"/>
      <c r="E30" s="526"/>
      <c r="F30" s="294"/>
      <c r="G30" s="294"/>
      <c r="H30" s="348"/>
      <c r="I30" s="406" t="s">
        <v>156</v>
      </c>
      <c r="J30" s="327"/>
      <c r="K30" s="407"/>
      <c r="L30" s="408"/>
      <c r="M30" s="408"/>
      <c r="N30" s="409">
        <v>98</v>
      </c>
      <c r="O30" s="11"/>
      <c r="P30" s="31"/>
      <c r="R30" s="277">
        <f t="shared" si="9"/>
        <v>0</v>
      </c>
      <c r="S30" s="472" t="e">
        <f t="shared" si="10"/>
        <v>#N/A</v>
      </c>
      <c r="T30" s="472" t="e">
        <f t="shared" si="11"/>
        <v>#N/A</v>
      </c>
      <c r="U30" s="297" t="e">
        <f t="shared" si="12"/>
        <v>#N/A</v>
      </c>
      <c r="V30" s="297" t="e">
        <f t="shared" si="13"/>
        <v>#N/A</v>
      </c>
      <c r="W30" s="297" t="e">
        <f t="shared" si="14"/>
        <v>#N/A</v>
      </c>
      <c r="X30" s="297" t="e">
        <f t="shared" si="15"/>
        <v>#N/A</v>
      </c>
      <c r="Y30" s="297" t="e">
        <f t="shared" si="16"/>
        <v>#N/A</v>
      </c>
      <c r="Z30" s="472" t="e">
        <f t="shared" si="17"/>
        <v>#N/A</v>
      </c>
      <c r="AA30" s="472"/>
    </row>
    <row r="31" spans="1:27" ht="15" customHeight="1" thickBot="1">
      <c r="A31" s="28"/>
      <c r="B31" s="539"/>
      <c r="C31" s="349"/>
      <c r="D31" s="523"/>
      <c r="E31" s="524"/>
      <c r="F31" s="294"/>
      <c r="G31" s="294"/>
      <c r="H31" s="348"/>
      <c r="I31" s="1"/>
      <c r="J31" s="39"/>
      <c r="K31" s="404">
        <f>SUM(K21:K30)</f>
        <v>68</v>
      </c>
      <c r="L31" s="405">
        <f>((L21*K21)+(L22*K22)+(L23*K23)+(L24*K24)+(L25*K25)+(K28*L28)+(L26*K26)+(L27*K27)+(L30*K30))/(K31)</f>
        <v>98.789913551862426</v>
      </c>
      <c r="M31" s="405">
        <f>AVERAGE('[9]Jan30th-31st'!$L$42,'[10]Feb 27th-28th'!$L$45,'[11]Mar 31st'!$L$42,'[12]Apr 30th'!$L$41,'[13]May 29th '!$L$35,'[14]June 30th'!$L$32,[15]July31st!$L$36,'[16]Aug 31st'!$L$32,L31)</f>
        <v>98.084216437875256</v>
      </c>
      <c r="N31" s="40">
        <v>98</v>
      </c>
      <c r="O31" s="11"/>
      <c r="P31" s="31"/>
      <c r="R31" s="277">
        <f t="shared" si="9"/>
        <v>0</v>
      </c>
      <c r="S31" s="472" t="e">
        <f t="shared" si="10"/>
        <v>#N/A</v>
      </c>
      <c r="T31" s="472" t="e">
        <f t="shared" si="11"/>
        <v>#N/A</v>
      </c>
      <c r="U31" s="297" t="e">
        <f t="shared" si="12"/>
        <v>#N/A</v>
      </c>
      <c r="V31" s="297" t="e">
        <f t="shared" si="13"/>
        <v>#N/A</v>
      </c>
      <c r="W31" s="297" t="e">
        <f t="shared" si="14"/>
        <v>#N/A</v>
      </c>
      <c r="X31" s="297" t="e">
        <f t="shared" si="15"/>
        <v>#N/A</v>
      </c>
      <c r="Y31" s="297" t="e">
        <f t="shared" si="16"/>
        <v>#N/A</v>
      </c>
      <c r="Z31" s="472" t="e">
        <f t="shared" si="17"/>
        <v>#N/A</v>
      </c>
      <c r="AA31" s="472"/>
    </row>
    <row r="32" spans="1:27" ht="15.75" thickBot="1">
      <c r="B32" s="540"/>
      <c r="C32" s="350"/>
      <c r="D32" s="525"/>
      <c r="E32" s="526"/>
      <c r="F32" s="294"/>
      <c r="G32" s="42"/>
      <c r="H32" s="41"/>
      <c r="I32" s="42"/>
      <c r="J32" s="42"/>
      <c r="K32" s="351"/>
      <c r="L32" s="348"/>
      <c r="M32" s="348"/>
      <c r="N32" s="11"/>
      <c r="O32" s="294"/>
      <c r="P32" s="12"/>
      <c r="R32" s="277">
        <f t="shared" si="9"/>
        <v>0</v>
      </c>
      <c r="S32" s="472" t="e">
        <f t="shared" si="10"/>
        <v>#N/A</v>
      </c>
      <c r="T32" s="472" t="e">
        <f t="shared" si="11"/>
        <v>#N/A</v>
      </c>
      <c r="U32" s="297" t="e">
        <f t="shared" si="12"/>
        <v>#N/A</v>
      </c>
      <c r="V32" s="297" t="e">
        <f t="shared" si="13"/>
        <v>#N/A</v>
      </c>
      <c r="W32" s="297" t="e">
        <f t="shared" si="14"/>
        <v>#N/A</v>
      </c>
      <c r="X32" s="297" t="e">
        <f t="shared" si="15"/>
        <v>#N/A</v>
      </c>
      <c r="Y32" s="297" t="e">
        <f t="shared" si="16"/>
        <v>#N/A</v>
      </c>
      <c r="Z32" s="472" t="e">
        <f t="shared" si="17"/>
        <v>#N/A</v>
      </c>
      <c r="AA32" s="472"/>
    </row>
    <row r="33" spans="2:56" ht="15.75" thickBot="1">
      <c r="B33" s="520"/>
      <c r="C33" s="362"/>
      <c r="D33" s="523"/>
      <c r="E33" s="524"/>
      <c r="F33" s="294"/>
      <c r="G33" s="42"/>
      <c r="H33" s="41"/>
      <c r="I33" s="42"/>
      <c r="J33" s="527" t="s">
        <v>129</v>
      </c>
      <c r="K33" s="527"/>
      <c r="L33" s="294"/>
      <c r="M33" s="294"/>
      <c r="N33" s="294"/>
      <c r="O33" s="294"/>
      <c r="P33" s="12"/>
    </row>
    <row r="34" spans="2:56" ht="15.75" thickBot="1">
      <c r="B34" s="521"/>
      <c r="C34" s="362"/>
      <c r="D34" s="525"/>
      <c r="E34" s="526"/>
      <c r="F34" s="294"/>
      <c r="G34" s="42"/>
      <c r="H34" s="42"/>
      <c r="I34" s="42"/>
      <c r="J34" s="292" t="s">
        <v>17</v>
      </c>
      <c r="K34" s="293"/>
      <c r="L34" s="528" t="s">
        <v>136</v>
      </c>
      <c r="M34" s="528"/>
      <c r="N34" s="529"/>
      <c r="O34" s="294"/>
      <c r="P34" s="12"/>
    </row>
    <row r="35" spans="2:56" ht="15" customHeight="1" thickBot="1">
      <c r="B35" s="521"/>
      <c r="C35" s="349"/>
      <c r="D35" s="530"/>
      <c r="E35" s="531"/>
      <c r="F35" s="294"/>
      <c r="G35" s="42"/>
      <c r="H35" s="42"/>
      <c r="I35" s="42"/>
      <c r="J35" s="287" t="s">
        <v>6</v>
      </c>
      <c r="K35" s="324">
        <v>6</v>
      </c>
      <c r="L35" s="473" t="s">
        <v>37</v>
      </c>
      <c r="M35" s="474" t="s">
        <v>38</v>
      </c>
      <c r="N35" s="474" t="s">
        <v>84</v>
      </c>
      <c r="O35" s="294"/>
      <c r="P35" s="12"/>
    </row>
    <row r="36" spans="2:56" ht="15.75" customHeight="1" thickBot="1">
      <c r="B36" s="521"/>
      <c r="C36" s="349"/>
      <c r="D36" s="532"/>
      <c r="E36" s="526"/>
      <c r="F36" s="294"/>
      <c r="G36" s="42"/>
      <c r="H36" s="42"/>
      <c r="I36" s="42"/>
      <c r="J36" s="345" t="s">
        <v>9</v>
      </c>
      <c r="K36" s="324"/>
      <c r="L36" s="485">
        <f>AVERAGE('Sept 1st'!K45,'Sept 2nd'!K47,'Sept 3rd'!K44,'Sept 4th'!K46,'Sept 7th'!K48,'Sept 8th'!K48,'Sept 9th'!K50,'Sept 10th'!K49,'Sept 11th '!K45,K45)</f>
        <v>6.8</v>
      </c>
      <c r="M36" s="486">
        <f>AVERAGE('[9]Jan30th-31st'!$L$47,L36,'[10]Feb 26th '!$L$39,'[11]Mar 31st'!$L$47,'[12]Apr 30th'!$L$46,'[13]May 29th '!$L$40,'[14]June 30th'!$L$39,[15]July31st!$L$41,'[16]Aug 31st'!$L$37)</f>
        <v>6.4933448194317762</v>
      </c>
      <c r="N36" s="416">
        <v>9.1999999999999993</v>
      </c>
      <c r="O36" s="294"/>
      <c r="P36" s="12"/>
    </row>
    <row r="37" spans="2:56" ht="15" customHeight="1">
      <c r="B37" s="521"/>
      <c r="C37" s="349"/>
      <c r="D37" s="530"/>
      <c r="E37" s="531"/>
      <c r="F37" s="294"/>
      <c r="G37" s="42"/>
      <c r="H37" s="42"/>
      <c r="I37" s="42"/>
      <c r="J37" s="288" t="s">
        <v>40</v>
      </c>
      <c r="K37" s="324"/>
      <c r="L37" s="294"/>
      <c r="M37" s="294"/>
      <c r="N37" s="294"/>
      <c r="O37" s="294"/>
      <c r="P37" s="12"/>
    </row>
    <row r="38" spans="2:56" ht="15" customHeight="1">
      <c r="B38" s="521"/>
      <c r="C38" s="349"/>
      <c r="D38" s="532"/>
      <c r="E38" s="526"/>
      <c r="F38" s="294"/>
      <c r="G38" s="42"/>
      <c r="H38" s="42"/>
      <c r="I38" s="42"/>
      <c r="J38" s="289" t="s">
        <v>33</v>
      </c>
      <c r="K38" s="324"/>
      <c r="L38" s="294"/>
      <c r="M38" s="294"/>
      <c r="N38" s="294"/>
      <c r="O38" s="294"/>
      <c r="P38" s="12"/>
    </row>
    <row r="39" spans="2:56" ht="15">
      <c r="B39" s="521"/>
      <c r="C39" s="349"/>
      <c r="D39" s="530"/>
      <c r="E39" s="531"/>
      <c r="F39" s="294"/>
      <c r="G39" s="42"/>
      <c r="H39" s="42"/>
      <c r="I39" s="42"/>
      <c r="J39" s="290" t="s">
        <v>16</v>
      </c>
      <c r="K39" s="324"/>
      <c r="L39" s="294"/>
      <c r="M39" s="294"/>
      <c r="N39" s="294"/>
      <c r="O39" s="294"/>
      <c r="P39" s="12"/>
      <c r="BC39" s="44"/>
      <c r="BD39" s="44"/>
    </row>
    <row r="40" spans="2:56" ht="15">
      <c r="B40" s="521"/>
      <c r="C40" s="349"/>
      <c r="D40" s="532"/>
      <c r="E40" s="526"/>
      <c r="F40" s="294"/>
      <c r="G40" s="42"/>
      <c r="H40" s="42"/>
      <c r="I40" s="42"/>
      <c r="J40" s="291" t="s">
        <v>15</v>
      </c>
      <c r="K40" s="324"/>
      <c r="L40" s="294"/>
      <c r="M40" s="294"/>
      <c r="N40" s="294"/>
      <c r="O40" s="294"/>
      <c r="P40" s="12"/>
      <c r="BC40" s="44"/>
      <c r="BD40" s="44"/>
    </row>
    <row r="41" spans="2:56" ht="15">
      <c r="B41" s="521"/>
      <c r="C41" s="349"/>
      <c r="D41" s="530"/>
      <c r="E41" s="531"/>
      <c r="F41" s="294"/>
      <c r="G41" s="42"/>
      <c r="H41" s="42"/>
      <c r="I41" s="42"/>
      <c r="J41" s="291" t="s">
        <v>149</v>
      </c>
      <c r="K41" s="324"/>
      <c r="L41" s="294"/>
      <c r="M41" s="294"/>
      <c r="N41" s="294"/>
      <c r="O41" s="294"/>
      <c r="P41" s="12"/>
      <c r="BC41" s="44"/>
      <c r="BD41" s="44"/>
    </row>
    <row r="42" spans="2:56" ht="15.75" thickBot="1">
      <c r="B42" s="522"/>
      <c r="C42" s="350"/>
      <c r="D42" s="533"/>
      <c r="E42" s="534"/>
      <c r="F42" s="294" t="s">
        <v>165</v>
      </c>
      <c r="G42" s="42"/>
      <c r="H42" s="42"/>
      <c r="I42" s="42"/>
      <c r="J42" s="291" t="s">
        <v>148</v>
      </c>
      <c r="K42" s="324"/>
      <c r="L42" s="294"/>
      <c r="M42" s="294"/>
      <c r="N42" s="294" t="s">
        <v>41</v>
      </c>
      <c r="O42" s="294"/>
      <c r="P42" s="12"/>
      <c r="BC42" s="44"/>
      <c r="BD42" s="44"/>
    </row>
    <row r="43" spans="2:56" ht="17.649999999999999" customHeight="1" thickBot="1">
      <c r="B43" s="312" t="s">
        <v>139</v>
      </c>
      <c r="C43" s="313"/>
      <c r="D43" s="511"/>
      <c r="E43" s="512"/>
      <c r="F43" s="294"/>
      <c r="J43" s="295" t="s">
        <v>134</v>
      </c>
      <c r="K43" s="324"/>
      <c r="L43" s="294"/>
      <c r="M43" s="294"/>
      <c r="N43" s="294"/>
      <c r="O43" s="294"/>
      <c r="P43" s="12"/>
      <c r="BC43" s="44"/>
      <c r="BD43" s="44"/>
    </row>
    <row r="44" spans="2:56" ht="17.649999999999999" customHeight="1">
      <c r="B44" s="363"/>
      <c r="C44" s="364"/>
      <c r="D44" s="365"/>
      <c r="E44" s="365"/>
      <c r="F44" s="294"/>
      <c r="G44" s="42"/>
      <c r="H44" s="42"/>
      <c r="I44" s="42"/>
      <c r="J44" s="295" t="s">
        <v>131</v>
      </c>
      <c r="K44" s="324"/>
      <c r="L44" s="294"/>
      <c r="M44" s="294"/>
      <c r="N44" s="294"/>
      <c r="O44" s="294"/>
      <c r="P44" s="12"/>
      <c r="BC44" s="44"/>
      <c r="BD44" s="44"/>
    </row>
    <row r="45" spans="2:56" ht="15.6" customHeight="1">
      <c r="B45" s="45"/>
      <c r="C45" s="11"/>
      <c r="D45" s="11"/>
      <c r="E45" s="46"/>
      <c r="F45" s="294"/>
      <c r="G45" s="42"/>
      <c r="H45" s="42"/>
      <c r="I45" s="42"/>
      <c r="J45" s="346" t="s">
        <v>130</v>
      </c>
      <c r="K45" s="324">
        <f>SUM(K35:K44)</f>
        <v>6</v>
      </c>
      <c r="L45" s="294"/>
      <c r="M45" s="294"/>
      <c r="N45" s="294"/>
      <c r="O45" s="294"/>
      <c r="P45" s="12"/>
    </row>
    <row r="46" spans="2:56" ht="20.25" customHeight="1">
      <c r="B46" s="15" t="s">
        <v>42</v>
      </c>
      <c r="C46" s="1" t="s">
        <v>43</v>
      </c>
      <c r="D46" s="1"/>
      <c r="E46" s="1"/>
      <c r="F46" s="294"/>
      <c r="G46" s="42"/>
      <c r="H46" s="41"/>
      <c r="I46" s="42"/>
      <c r="L46" s="42"/>
      <c r="N46" s="315"/>
      <c r="P46" s="334"/>
    </row>
    <row r="47" spans="2:56" ht="15" customHeight="1" thickBot="1">
      <c r="B47" s="48"/>
      <c r="C47" s="48"/>
      <c r="D47" s="48"/>
      <c r="E47" s="48"/>
      <c r="F47" s="48"/>
      <c r="G47" s="48"/>
      <c r="H47" s="48"/>
      <c r="I47" s="48"/>
      <c r="J47" s="48"/>
      <c r="K47" s="48"/>
      <c r="L47" s="48"/>
      <c r="M47" s="48"/>
      <c r="N47" s="41"/>
      <c r="O47" s="48"/>
      <c r="P47" s="49"/>
    </row>
    <row r="48" spans="2:56" ht="15" customHeight="1" thickBot="1">
      <c r="B48" s="505" t="s">
        <v>17</v>
      </c>
      <c r="C48" s="505" t="s">
        <v>44</v>
      </c>
      <c r="D48" s="514" t="s">
        <v>45</v>
      </c>
      <c r="E48" s="516" t="s">
        <v>46</v>
      </c>
      <c r="F48" s="518" t="s">
        <v>47</v>
      </c>
      <c r="G48" s="503" t="s">
        <v>48</v>
      </c>
      <c r="H48" s="505" t="s">
        <v>49</v>
      </c>
      <c r="I48" s="505" t="s">
        <v>50</v>
      </c>
      <c r="J48" s="497" t="s">
        <v>28</v>
      </c>
      <c r="K48" s="507" t="s">
        <v>51</v>
      </c>
      <c r="L48" s="509" t="s">
        <v>52</v>
      </c>
      <c r="M48" s="497" t="s">
        <v>53</v>
      </c>
      <c r="N48" s="13"/>
      <c r="O48" s="13"/>
      <c r="P48" s="50"/>
    </row>
    <row r="49" spans="2:57" ht="28.5" customHeight="1" thickTop="1" thickBot="1">
      <c r="B49" s="506"/>
      <c r="C49" s="513"/>
      <c r="D49" s="515"/>
      <c r="E49" s="517"/>
      <c r="F49" s="519"/>
      <c r="G49" s="504"/>
      <c r="H49" s="506"/>
      <c r="I49" s="506"/>
      <c r="J49" s="498"/>
      <c r="K49" s="508"/>
      <c r="L49" s="510"/>
      <c r="M49" s="498"/>
      <c r="N49" s="13"/>
      <c r="O49" s="13"/>
      <c r="P49" s="50"/>
      <c r="Q49" s="355"/>
      <c r="AB49" s="475">
        <v>43474</v>
      </c>
      <c r="AC49" s="475">
        <v>43475</v>
      </c>
      <c r="AD49" s="475">
        <v>43476</v>
      </c>
      <c r="AE49" s="475">
        <v>43477</v>
      </c>
      <c r="AF49" s="475">
        <v>43478</v>
      </c>
      <c r="AG49" s="475">
        <v>43479</v>
      </c>
      <c r="AH49" s="475">
        <v>43480</v>
      </c>
      <c r="AI49" s="475">
        <v>43481</v>
      </c>
      <c r="AJ49" s="475">
        <v>43482</v>
      </c>
      <c r="AK49" s="475">
        <v>43483</v>
      </c>
      <c r="AL49" s="475">
        <v>43484</v>
      </c>
      <c r="AM49" s="475">
        <v>43485</v>
      </c>
      <c r="AN49" s="475">
        <v>43486</v>
      </c>
      <c r="AO49" s="475">
        <v>43487</v>
      </c>
      <c r="AP49" s="475">
        <v>43488</v>
      </c>
      <c r="AQ49" s="475">
        <v>43489</v>
      </c>
      <c r="AR49" s="475">
        <v>43490</v>
      </c>
      <c r="AS49" s="475">
        <v>43491</v>
      </c>
      <c r="AT49" s="475">
        <v>43492</v>
      </c>
      <c r="AU49" s="475">
        <v>43493</v>
      </c>
      <c r="AV49" s="475">
        <v>43494</v>
      </c>
      <c r="AW49" s="475">
        <v>43495</v>
      </c>
      <c r="AX49" s="475">
        <v>43496</v>
      </c>
    </row>
    <row r="50" spans="2:57" s="54" customFormat="1" ht="36.75" customHeight="1" thickBot="1">
      <c r="B50" s="491" t="str">
        <f>J36</f>
        <v>STAG</v>
      </c>
      <c r="C50" s="479">
        <v>46279</v>
      </c>
      <c r="D50" s="445">
        <f>[18]September_2026!$Q$13</f>
        <v>494</v>
      </c>
      <c r="E50" s="443"/>
      <c r="F50" s="444"/>
      <c r="G50" s="444">
        <f>[18]September_2026!$Q$17</f>
        <v>455.40000000000003</v>
      </c>
      <c r="H50" s="458"/>
      <c r="I50" s="458"/>
      <c r="J50" s="448" t="s">
        <v>169</v>
      </c>
      <c r="K50" s="449">
        <f>[19]September_2026!$Q$25</f>
        <v>0.31957894736842107</v>
      </c>
      <c r="L50" s="457">
        <f>(((D50+E50)-G50)/(D50+E50))*100</f>
        <v>7.8137651821862271</v>
      </c>
      <c r="M50" s="455" t="s">
        <v>178</v>
      </c>
      <c r="N50" s="13"/>
      <c r="O50" s="13"/>
      <c r="P50" s="50"/>
      <c r="R50" s="275"/>
      <c r="S50" s="275"/>
      <c r="T50" s="275"/>
      <c r="U50" s="275"/>
      <c r="V50" s="275"/>
      <c r="W50" s="275"/>
      <c r="X50" s="275"/>
      <c r="Y50" s="275"/>
      <c r="Z50" s="275"/>
      <c r="AA50" s="275"/>
      <c r="AB50" s="57">
        <f>[17]January_2019!L5</f>
        <v>0</v>
      </c>
      <c r="AC50" s="57">
        <f>[17]January_2019!M5</f>
        <v>0</v>
      </c>
      <c r="AD50" s="57">
        <f>[17]January_2019!N5</f>
        <v>0</v>
      </c>
      <c r="AE50" s="57">
        <f>[17]January_2019!O5</f>
        <v>0</v>
      </c>
      <c r="AF50" s="57">
        <f>[17]January_2019!P5</f>
        <v>0</v>
      </c>
      <c r="AG50" s="57">
        <f>[17]January_2019!Q5</f>
        <v>0</v>
      </c>
      <c r="AH50" s="57">
        <f>[17]January_2019!R5</f>
        <v>0</v>
      </c>
      <c r="AI50" s="57">
        <f>[17]January_2019!S5</f>
        <v>0</v>
      </c>
      <c r="AJ50" s="57">
        <f>[17]January_2019!T5</f>
        <v>0</v>
      </c>
      <c r="AK50" s="57">
        <f>[17]January_2019!U5</f>
        <v>0</v>
      </c>
      <c r="AL50" s="57">
        <f>[17]January_2019!V5</f>
        <v>0</v>
      </c>
      <c r="AM50" s="57">
        <f>[17]January_2019!W5</f>
        <v>0</v>
      </c>
      <c r="AN50" s="57">
        <f>[17]January_2019!X5</f>
        <v>0</v>
      </c>
      <c r="AO50" s="57">
        <f>[17]January_2019!Y5</f>
        <v>0</v>
      </c>
      <c r="AP50" s="57">
        <f>[17]January_2019!Z5</f>
        <v>0</v>
      </c>
      <c r="AQ50" s="57">
        <f>[17]January_2019!AA5</f>
        <v>0</v>
      </c>
      <c r="AR50" s="57">
        <f>[17]January_2019!AB5</f>
        <v>0</v>
      </c>
      <c r="AS50" s="57">
        <f>[17]January_2019!AC5</f>
        <v>0</v>
      </c>
      <c r="AT50" s="57">
        <f>[17]January_2019!AD5</f>
        <v>0</v>
      </c>
      <c r="AU50" s="57">
        <f>[17]January_2019!AE5</f>
        <v>0</v>
      </c>
      <c r="AV50" s="57">
        <f>[17]January_2019!AF5</f>
        <v>0</v>
      </c>
      <c r="AW50" s="57">
        <f>[17]January_2019!AG5</f>
        <v>0</v>
      </c>
      <c r="AX50" s="277">
        <f>[17]January_2019!AH5</f>
        <v>0</v>
      </c>
      <c r="AY50" s="277"/>
      <c r="AZ50" s="277"/>
      <c r="BA50" s="277"/>
      <c r="BB50" s="277"/>
      <c r="BC50" s="277"/>
      <c r="BD50" s="277"/>
      <c r="BE50" s="277"/>
    </row>
    <row r="51" spans="2:57" s="54" customFormat="1" ht="14.25" customHeight="1" thickBot="1">
      <c r="B51" s="480"/>
      <c r="C51" s="479"/>
      <c r="D51" s="442"/>
      <c r="E51" s="443"/>
      <c r="F51" s="444"/>
      <c r="G51" s="445"/>
      <c r="H51" s="458"/>
      <c r="I51" s="458"/>
      <c r="J51" s="476"/>
      <c r="K51" s="449"/>
      <c r="L51" s="457"/>
      <c r="M51" s="455"/>
      <c r="N51" s="13"/>
      <c r="O51" s="13"/>
      <c r="P51" s="50"/>
      <c r="R51" s="275"/>
      <c r="S51" s="275"/>
      <c r="T51" s="275"/>
      <c r="U51" s="275"/>
      <c r="V51" s="275"/>
      <c r="W51" s="275"/>
      <c r="X51" s="275"/>
      <c r="Y51" s="275"/>
      <c r="Z51" s="275"/>
      <c r="AA51" s="275"/>
      <c r="AB51" s="57">
        <f>[17]January_2019!L6</f>
        <v>0</v>
      </c>
      <c r="AC51" s="57">
        <f>[17]January_2019!M6</f>
        <v>0</v>
      </c>
      <c r="AD51" s="57">
        <f>[17]January_2019!N6</f>
        <v>0</v>
      </c>
      <c r="AE51" s="57">
        <f>[17]January_2019!O6</f>
        <v>0</v>
      </c>
      <c r="AF51" s="57">
        <f>[17]January_2019!P6</f>
        <v>0</v>
      </c>
      <c r="AG51" s="57">
        <f>[17]January_2019!Q6</f>
        <v>0</v>
      </c>
      <c r="AH51" s="57">
        <f>[17]January_2019!R6</f>
        <v>0</v>
      </c>
      <c r="AI51" s="57">
        <f>[17]January_2019!S6</f>
        <v>0</v>
      </c>
      <c r="AJ51" s="57">
        <f>[17]January_2019!T6</f>
        <v>0</v>
      </c>
      <c r="AK51" s="57">
        <f>[17]January_2019!U6</f>
        <v>0</v>
      </c>
      <c r="AL51" s="57">
        <f>[17]January_2019!V6</f>
        <v>0</v>
      </c>
      <c r="AM51" s="57">
        <f>[17]January_2019!W6</f>
        <v>0</v>
      </c>
      <c r="AN51" s="57">
        <f>[17]January_2019!X6</f>
        <v>0</v>
      </c>
      <c r="AO51" s="57">
        <f>[17]January_2019!Y6</f>
        <v>0</v>
      </c>
      <c r="AP51" s="57">
        <f>[17]January_2019!Z6</f>
        <v>0</v>
      </c>
      <c r="AQ51" s="57">
        <f>[17]January_2019!AA6</f>
        <v>0</v>
      </c>
      <c r="AR51" s="57">
        <f>[17]January_2019!AB6</f>
        <v>0</v>
      </c>
      <c r="AS51" s="57">
        <f>[17]January_2019!AC6</f>
        <v>0</v>
      </c>
      <c r="AT51" s="57">
        <f>[17]January_2019!AD6</f>
        <v>0</v>
      </c>
      <c r="AU51" s="57">
        <f>[17]January_2019!AE6</f>
        <v>0</v>
      </c>
      <c r="AV51" s="57">
        <f>[17]January_2019!AF6</f>
        <v>0</v>
      </c>
      <c r="AW51" s="57">
        <f>[17]January_2019!AG6</f>
        <v>0</v>
      </c>
      <c r="AX51" s="277">
        <f>[17]January_2019!AH6</f>
        <v>0</v>
      </c>
      <c r="AY51" s="277"/>
      <c r="AZ51" s="277"/>
      <c r="BA51" s="277"/>
      <c r="BB51" s="277"/>
      <c r="BC51" s="277"/>
      <c r="BD51" s="277"/>
      <c r="BE51" s="277"/>
    </row>
    <row r="52" spans="2:57" s="54" customFormat="1" ht="37.15" hidden="1" customHeight="1" thickBot="1">
      <c r="B52" s="495"/>
      <c r="C52" s="479"/>
      <c r="D52" s="442"/>
      <c r="E52" s="443"/>
      <c r="F52" s="444"/>
      <c r="G52" s="444"/>
      <c r="H52" s="446"/>
      <c r="I52" s="446"/>
      <c r="J52" s="448"/>
      <c r="K52" s="449"/>
      <c r="L52" s="457"/>
      <c r="M52" s="455"/>
      <c r="N52" s="13"/>
      <c r="O52" s="13"/>
      <c r="P52" s="50"/>
      <c r="R52" s="275"/>
      <c r="S52" s="275"/>
      <c r="T52" s="275"/>
      <c r="U52" s="275"/>
      <c r="V52" s="275"/>
      <c r="W52" s="275"/>
      <c r="X52" s="275"/>
      <c r="Y52" s="275"/>
      <c r="Z52" s="275"/>
      <c r="AA52" s="275"/>
      <c r="AB52" s="57">
        <f>[17]January_2019!L7</f>
        <v>285.8</v>
      </c>
      <c r="AC52" s="57">
        <f>[17]January_2019!M7</f>
        <v>508.1</v>
      </c>
      <c r="AD52" s="57">
        <f>[17]January_2019!N7</f>
        <v>0</v>
      </c>
      <c r="AE52" s="57">
        <f>[17]January_2019!O7</f>
        <v>0</v>
      </c>
      <c r="AF52" s="57">
        <f>[17]January_2019!P7</f>
        <v>109.56666666666666</v>
      </c>
      <c r="AG52" s="57">
        <f>[17]January_2019!Q7</f>
        <v>297.64999999999998</v>
      </c>
      <c r="AH52" s="57">
        <f>[17]January_2019!R7</f>
        <v>122.3</v>
      </c>
      <c r="AI52" s="57">
        <f>[17]January_2019!S7</f>
        <v>0</v>
      </c>
      <c r="AJ52" s="57">
        <f>[17]January_2019!T7</f>
        <v>294.7</v>
      </c>
      <c r="AK52" s="57">
        <f>[17]January_2019!U7</f>
        <v>280.5</v>
      </c>
      <c r="AL52" s="57">
        <f>[17]January_2019!V7</f>
        <v>0</v>
      </c>
      <c r="AM52" s="57">
        <f>[17]January_2019!W7</f>
        <v>0</v>
      </c>
      <c r="AN52" s="57">
        <f>[17]January_2019!X7</f>
        <v>188.25</v>
      </c>
      <c r="AO52" s="57">
        <f>[17]January_2019!Y7</f>
        <v>295.7</v>
      </c>
      <c r="AP52" s="57">
        <f>[17]January_2019!Z7</f>
        <v>257.8</v>
      </c>
      <c r="AQ52" s="57">
        <f>[17]January_2019!AA7</f>
        <v>291.2</v>
      </c>
      <c r="AR52" s="57">
        <f>[17]January_2019!AB7</f>
        <v>187</v>
      </c>
      <c r="AS52" s="57">
        <f>[17]January_2019!AC7</f>
        <v>0</v>
      </c>
      <c r="AT52" s="57">
        <f>[17]January_2019!AD7</f>
        <v>0</v>
      </c>
      <c r="AU52" s="57">
        <f>[17]January_2019!AE7</f>
        <v>485.1</v>
      </c>
      <c r="AV52" s="57">
        <f>[17]January_2019!AF7</f>
        <v>171.55</v>
      </c>
      <c r="AW52" s="57">
        <f>[17]January_2019!AG7</f>
        <v>423.8</v>
      </c>
      <c r="AX52" s="277">
        <f>[17]January_2019!AH7</f>
        <v>0</v>
      </c>
      <c r="AY52" s="277"/>
      <c r="AZ52" s="277"/>
      <c r="BA52" s="277"/>
      <c r="BB52" s="277"/>
      <c r="BC52" s="277"/>
      <c r="BD52" s="277"/>
      <c r="BE52" s="277"/>
    </row>
    <row r="53" spans="2:57" s="54" customFormat="1" ht="18.600000000000001" hidden="1" customHeight="1" thickBot="1">
      <c r="B53" s="478"/>
      <c r="C53" s="430"/>
      <c r="D53" s="431"/>
      <c r="E53" s="432"/>
      <c r="F53" s="433"/>
      <c r="G53" s="434"/>
      <c r="H53" s="458"/>
      <c r="I53" s="458"/>
      <c r="J53" s="451"/>
      <c r="K53" s="436"/>
      <c r="L53" s="452"/>
      <c r="M53" s="421"/>
      <c r="N53" s="13"/>
      <c r="O53" s="13"/>
      <c r="P53" s="50"/>
      <c r="R53" s="275"/>
      <c r="S53" s="275"/>
      <c r="T53" s="275"/>
      <c r="U53" s="275"/>
      <c r="V53" s="275"/>
      <c r="W53" s="275"/>
      <c r="X53" s="275"/>
      <c r="Y53" s="275"/>
      <c r="Z53" s="275"/>
      <c r="AA53" s="275"/>
      <c r="AB53" s="57"/>
      <c r="AC53" s="57"/>
      <c r="AD53" s="57"/>
      <c r="AE53" s="57"/>
      <c r="AF53" s="57"/>
      <c r="AG53" s="57"/>
      <c r="AH53" s="57"/>
      <c r="AI53" s="57"/>
      <c r="AJ53" s="57"/>
      <c r="AK53" s="57"/>
      <c r="AL53" s="57"/>
      <c r="AM53" s="57"/>
      <c r="AN53" s="57"/>
      <c r="AO53" s="57"/>
      <c r="AP53" s="57"/>
      <c r="AQ53" s="57"/>
      <c r="AR53" s="57"/>
      <c r="AS53" s="57"/>
      <c r="AT53" s="57"/>
      <c r="AU53" s="57"/>
      <c r="AV53" s="57"/>
      <c r="AW53" s="57"/>
      <c r="AX53" s="277"/>
      <c r="AY53" s="277"/>
      <c r="AZ53" s="277"/>
      <c r="BA53" s="277"/>
      <c r="BB53" s="277"/>
      <c r="BC53" s="277"/>
      <c r="BD53" s="277"/>
      <c r="BE53" s="277"/>
    </row>
    <row r="54" spans="2:57" s="54" customFormat="1" ht="38.65" hidden="1" customHeight="1" thickBot="1">
      <c r="B54" s="487"/>
      <c r="C54" s="479"/>
      <c r="D54" s="442"/>
      <c r="E54" s="443"/>
      <c r="F54" s="444"/>
      <c r="G54" s="445"/>
      <c r="H54" s="458"/>
      <c r="I54" s="458"/>
      <c r="J54" s="448"/>
      <c r="K54" s="459"/>
      <c r="L54" s="457"/>
      <c r="M54" s="455"/>
      <c r="N54" s="13"/>
      <c r="O54" s="13"/>
      <c r="P54" s="50"/>
      <c r="R54" s="275"/>
      <c r="S54" s="275"/>
      <c r="T54" s="275"/>
      <c r="U54" s="275"/>
      <c r="V54" s="275"/>
      <c r="W54" s="275"/>
      <c r="X54" s="275"/>
      <c r="Y54" s="275"/>
      <c r="Z54" s="275"/>
      <c r="AA54" s="275"/>
      <c r="AB54" s="57"/>
      <c r="AC54" s="57"/>
      <c r="AD54" s="57"/>
      <c r="AE54" s="57"/>
      <c r="AF54" s="57"/>
      <c r="AG54" s="57"/>
      <c r="AH54" s="57"/>
      <c r="AI54" s="57"/>
      <c r="AJ54" s="57"/>
      <c r="AK54" s="57"/>
      <c r="AL54" s="57"/>
      <c r="AM54" s="57"/>
      <c r="AN54" s="57"/>
      <c r="AO54" s="57"/>
      <c r="AP54" s="57"/>
      <c r="AQ54" s="57"/>
      <c r="AR54" s="57"/>
      <c r="AS54" s="57"/>
      <c r="AT54" s="57"/>
      <c r="AU54" s="57"/>
      <c r="AV54" s="57"/>
      <c r="AW54" s="57"/>
      <c r="AX54" s="277"/>
      <c r="AY54" s="277"/>
      <c r="AZ54" s="277"/>
      <c r="BA54" s="277"/>
      <c r="BB54" s="277"/>
      <c r="BC54" s="277"/>
      <c r="BD54" s="277"/>
      <c r="BE54" s="277"/>
    </row>
    <row r="55" spans="2:57" s="54" customFormat="1" ht="15" hidden="1">
      <c r="B55" s="453"/>
      <c r="C55" s="430"/>
      <c r="D55" s="431"/>
      <c r="E55" s="432"/>
      <c r="F55" s="433"/>
      <c r="G55" s="434"/>
      <c r="H55" s="435"/>
      <c r="I55" s="450"/>
      <c r="J55" s="451"/>
      <c r="K55" s="436"/>
      <c r="L55" s="452"/>
      <c r="M55" s="421"/>
      <c r="N55" s="13"/>
      <c r="O55" s="13"/>
      <c r="P55" s="50"/>
      <c r="R55" s="275"/>
      <c r="S55" s="275"/>
      <c r="T55" s="275"/>
      <c r="U55" s="275"/>
      <c r="V55" s="275"/>
      <c r="W55" s="275"/>
      <c r="X55" s="275"/>
      <c r="Y55" s="275"/>
      <c r="Z55" s="275"/>
      <c r="AA55" s="275"/>
      <c r="AB55" s="57"/>
      <c r="AC55" s="57"/>
      <c r="AD55" s="57"/>
      <c r="AE55" s="57"/>
      <c r="AF55" s="57"/>
      <c r="AG55" s="57"/>
      <c r="AH55" s="57"/>
      <c r="AI55" s="57"/>
      <c r="AJ55" s="57"/>
      <c r="AK55" s="57"/>
      <c r="AL55" s="57"/>
      <c r="AM55" s="57"/>
      <c r="AN55" s="57"/>
      <c r="AO55" s="57"/>
      <c r="AP55" s="57"/>
      <c r="AQ55" s="57"/>
      <c r="AR55" s="57"/>
      <c r="AS55" s="57"/>
      <c r="AT55" s="57"/>
      <c r="AU55" s="57"/>
      <c r="AV55" s="57"/>
      <c r="AW55" s="57"/>
      <c r="AX55" s="277"/>
      <c r="AY55" s="277"/>
      <c r="AZ55" s="277"/>
      <c r="BA55" s="277"/>
      <c r="BB55" s="277"/>
      <c r="BC55" s="277"/>
      <c r="BD55" s="277"/>
      <c r="BE55" s="277"/>
    </row>
    <row r="56" spans="2:57" s="54" customFormat="1" ht="37.15" hidden="1" customHeight="1" thickBot="1">
      <c r="B56" s="481"/>
      <c r="C56" s="479"/>
      <c r="D56" s="442"/>
      <c r="E56" s="443"/>
      <c r="F56" s="444"/>
      <c r="G56" s="445"/>
      <c r="H56" s="446"/>
      <c r="I56" s="447"/>
      <c r="J56" s="448"/>
      <c r="K56" s="449"/>
      <c r="L56" s="457"/>
      <c r="M56" s="455"/>
      <c r="N56" s="13"/>
      <c r="O56" s="13"/>
      <c r="P56" s="50"/>
      <c r="R56" s="275"/>
      <c r="S56" s="275"/>
      <c r="T56" s="275"/>
      <c r="U56" s="275"/>
      <c r="V56" s="275"/>
      <c r="W56" s="275"/>
      <c r="X56" s="275"/>
      <c r="Y56" s="275"/>
      <c r="Z56" s="275"/>
      <c r="AA56" s="275"/>
      <c r="AB56" s="57"/>
      <c r="AC56" s="57"/>
      <c r="AD56" s="57"/>
      <c r="AE56" s="57"/>
      <c r="AF56" s="57"/>
      <c r="AG56" s="57"/>
      <c r="AH56" s="57"/>
      <c r="AI56" s="57"/>
      <c r="AJ56" s="57"/>
      <c r="AK56" s="57"/>
      <c r="AL56" s="57"/>
      <c r="AM56" s="57"/>
      <c r="AN56" s="57"/>
      <c r="AO56" s="57"/>
      <c r="AP56" s="57"/>
      <c r="AQ56" s="57"/>
      <c r="AR56" s="57"/>
      <c r="AS56" s="57"/>
      <c r="AT56" s="57"/>
      <c r="AU56" s="57"/>
      <c r="AV56" s="57"/>
      <c r="AW56" s="57"/>
      <c r="AX56" s="277"/>
      <c r="AY56" s="277"/>
      <c r="AZ56" s="277"/>
      <c r="BA56" s="277"/>
      <c r="BB56" s="277"/>
      <c r="BC56" s="277"/>
      <c r="BD56" s="277"/>
      <c r="BE56" s="277"/>
    </row>
    <row r="57" spans="2:57" s="54" customFormat="1" ht="16.5" hidden="1" customHeight="1" thickBot="1">
      <c r="B57" s="437"/>
      <c r="C57" s="423"/>
      <c r="D57" s="424"/>
      <c r="E57" s="425"/>
      <c r="F57" s="426"/>
      <c r="G57" s="427"/>
      <c r="H57" s="428"/>
      <c r="I57" s="438"/>
      <c r="J57" s="439"/>
      <c r="K57" s="429"/>
      <c r="L57" s="440"/>
      <c r="M57" s="422"/>
      <c r="N57" s="13"/>
      <c r="O57" s="13"/>
      <c r="P57" s="50"/>
      <c r="R57" s="275"/>
      <c r="S57" s="275"/>
      <c r="T57" s="275"/>
      <c r="U57" s="275"/>
      <c r="V57" s="275"/>
      <c r="W57" s="275"/>
      <c r="X57" s="275"/>
      <c r="Y57" s="275"/>
      <c r="Z57" s="275"/>
      <c r="AA57" s="275"/>
      <c r="AB57" s="415"/>
      <c r="AC57" s="415"/>
      <c r="AD57" s="415"/>
      <c r="AE57" s="415"/>
      <c r="AF57" s="415"/>
      <c r="AG57" s="415"/>
      <c r="AH57" s="415"/>
      <c r="AI57" s="415"/>
      <c r="AJ57" s="415"/>
      <c r="AK57" s="415"/>
      <c r="AL57" s="415"/>
      <c r="AM57" s="415"/>
      <c r="AN57" s="415"/>
      <c r="AO57" s="415"/>
      <c r="AP57" s="415"/>
      <c r="AQ57" s="415"/>
      <c r="AR57" s="415"/>
      <c r="AS57" s="415"/>
      <c r="AT57" s="415"/>
      <c r="AU57" s="415"/>
      <c r="AV57" s="415"/>
      <c r="AW57" s="415"/>
    </row>
    <row r="58" spans="2:57" s="54" customFormat="1" ht="37.15" hidden="1" customHeight="1" thickBot="1">
      <c r="B58" s="456"/>
      <c r="C58" s="441"/>
      <c r="D58" s="442"/>
      <c r="E58" s="443"/>
      <c r="F58" s="444"/>
      <c r="G58" s="445"/>
      <c r="H58" s="446"/>
      <c r="I58" s="447"/>
      <c r="J58" s="448"/>
      <c r="K58" s="449"/>
      <c r="L58" s="457"/>
      <c r="M58" s="454"/>
      <c r="N58" s="13"/>
      <c r="O58" s="13"/>
      <c r="P58" s="50"/>
      <c r="R58" s="275"/>
      <c r="S58" s="275"/>
      <c r="T58" s="275"/>
      <c r="U58" s="275"/>
      <c r="V58" s="275"/>
      <c r="W58" s="275"/>
      <c r="X58" s="275"/>
      <c r="Y58" s="275"/>
      <c r="Z58" s="275"/>
      <c r="AA58" s="275"/>
      <c r="AB58" s="57"/>
      <c r="AC58" s="57"/>
      <c r="AD58" s="57"/>
      <c r="AE58" s="57"/>
      <c r="AF58" s="57"/>
      <c r="AG58" s="57"/>
      <c r="AH58" s="57"/>
      <c r="AI58" s="57"/>
      <c r="AJ58" s="57"/>
      <c r="AK58" s="57"/>
      <c r="AL58" s="57"/>
      <c r="AM58" s="57"/>
      <c r="AN58" s="57"/>
      <c r="AO58" s="57"/>
      <c r="AP58" s="57"/>
      <c r="AQ58" s="57"/>
      <c r="AR58" s="57"/>
      <c r="AS58" s="57"/>
      <c r="AT58" s="57"/>
      <c r="AU58" s="57"/>
      <c r="AV58" s="57"/>
      <c r="AW58" s="57"/>
      <c r="AX58" s="277"/>
      <c r="AY58" s="277"/>
      <c r="AZ58" s="277"/>
      <c r="BA58" s="277"/>
      <c r="BB58" s="277"/>
      <c r="BC58" s="277"/>
      <c r="BD58" s="277"/>
      <c r="BE58" s="277"/>
    </row>
    <row r="59" spans="2:57" s="54" customFormat="1" ht="37.15" customHeight="1">
      <c r="B59" s="466"/>
      <c r="C59" s="430"/>
      <c r="D59" s="460"/>
      <c r="E59" s="461"/>
      <c r="F59" s="462"/>
      <c r="G59" s="460"/>
      <c r="H59" s="463"/>
      <c r="I59" s="463"/>
      <c r="J59" s="463"/>
      <c r="K59" s="464"/>
      <c r="L59" s="465"/>
      <c r="M59" s="50"/>
      <c r="N59" s="13"/>
      <c r="O59" s="13"/>
      <c r="P59" s="50"/>
      <c r="R59" s="275"/>
      <c r="S59" s="275"/>
      <c r="T59" s="275"/>
      <c r="U59" s="275"/>
      <c r="V59" s="275"/>
      <c r="W59" s="275"/>
      <c r="X59" s="275"/>
      <c r="Y59" s="275"/>
      <c r="Z59" s="275"/>
      <c r="AA59" s="275"/>
      <c r="AB59" s="57"/>
      <c r="AC59" s="57"/>
      <c r="AD59" s="57"/>
      <c r="AE59" s="57"/>
      <c r="AF59" s="57"/>
      <c r="AG59" s="57"/>
      <c r="AH59" s="57"/>
      <c r="AI59" s="57"/>
      <c r="AJ59" s="57"/>
      <c r="AK59" s="57"/>
      <c r="AL59" s="57"/>
      <c r="AM59" s="57"/>
      <c r="AN59" s="57"/>
      <c r="AO59" s="57"/>
      <c r="AP59" s="57"/>
      <c r="AQ59" s="57"/>
      <c r="AR59" s="57"/>
      <c r="AS59" s="57"/>
      <c r="AT59" s="57"/>
      <c r="AU59" s="57"/>
      <c r="AV59" s="57"/>
      <c r="AW59" s="57"/>
      <c r="AX59" s="277"/>
      <c r="AY59" s="277"/>
      <c r="AZ59" s="277"/>
      <c r="BA59" s="277"/>
      <c r="BB59" s="277"/>
      <c r="BC59" s="277"/>
      <c r="BD59" s="277"/>
      <c r="BE59" s="277"/>
    </row>
    <row r="60" spans="2:57" ht="18" customHeight="1" thickBot="1">
      <c r="B60" s="59"/>
      <c r="C60" s="309"/>
      <c r="D60" s="59"/>
      <c r="E60" s="59"/>
      <c r="F60" s="59"/>
      <c r="G60" s="59"/>
      <c r="H60" s="59"/>
      <c r="I60" s="59"/>
      <c r="J60" s="59"/>
      <c r="K60" s="59"/>
      <c r="L60" s="59"/>
      <c r="M60" s="59"/>
      <c r="N60" s="59" t="s">
        <v>41</v>
      </c>
      <c r="O60" s="56"/>
      <c r="P60" s="60"/>
    </row>
    <row r="61" spans="2:57" ht="15.75" thickBot="1">
      <c r="B61" s="499" t="s">
        <v>55</v>
      </c>
      <c r="C61" s="500"/>
      <c r="D61" s="500"/>
      <c r="E61" s="500"/>
      <c r="F61" s="501"/>
      <c r="G61" s="499" t="s">
        <v>56</v>
      </c>
      <c r="H61" s="500"/>
      <c r="I61" s="500"/>
      <c r="J61" s="501"/>
      <c r="K61" s="499" t="s">
        <v>51</v>
      </c>
      <c r="L61" s="500"/>
      <c r="M61" s="500"/>
      <c r="N61" s="502"/>
      <c r="O61" s="56"/>
      <c r="P61" s="50"/>
    </row>
    <row r="62" spans="2:57" ht="15">
      <c r="B62" s="61" t="s">
        <v>17</v>
      </c>
      <c r="C62" s="62" t="s">
        <v>36</v>
      </c>
      <c r="D62" s="62" t="s">
        <v>37</v>
      </c>
      <c r="E62" s="62" t="s">
        <v>38</v>
      </c>
      <c r="F62" s="63" t="s">
        <v>39</v>
      </c>
      <c r="G62" s="62" t="s">
        <v>36</v>
      </c>
      <c r="H62" s="62" t="s">
        <v>37</v>
      </c>
      <c r="I62" s="62" t="s">
        <v>38</v>
      </c>
      <c r="J62" s="63" t="s">
        <v>39</v>
      </c>
      <c r="K62" s="62"/>
      <c r="L62" s="62" t="s">
        <v>37</v>
      </c>
      <c r="M62" s="62" t="s">
        <v>38</v>
      </c>
      <c r="N62" s="63" t="s">
        <v>39</v>
      </c>
      <c r="O62" s="56"/>
      <c r="P62" s="64"/>
    </row>
    <row r="63" spans="2:57" ht="15">
      <c r="B63" s="29" t="s">
        <v>6</v>
      </c>
      <c r="C63" s="65"/>
      <c r="D63" s="76">
        <v>7.1683223149077477</v>
      </c>
      <c r="E63" s="76">
        <v>6.5664758512118544</v>
      </c>
      <c r="F63" s="66">
        <v>4.8</v>
      </c>
      <c r="G63" s="65"/>
      <c r="H63" s="477">
        <v>6.6712241771672547</v>
      </c>
      <c r="I63" s="477">
        <v>6.6530949425970096</v>
      </c>
      <c r="J63" s="66">
        <v>4.8</v>
      </c>
      <c r="K63" s="67">
        <f>K50</f>
        <v>0.31957894736842107</v>
      </c>
      <c r="L63" s="194">
        <v>0.62401503759398502</v>
      </c>
      <c r="M63" s="194">
        <v>0.53270208479630277</v>
      </c>
      <c r="N63" s="68">
        <v>1</v>
      </c>
      <c r="O63" s="56"/>
      <c r="P63" s="69"/>
    </row>
    <row r="64" spans="2:57" ht="15">
      <c r="B64" s="33" t="s">
        <v>9</v>
      </c>
      <c r="C64" s="65">
        <f>L50</f>
        <v>7.8137651821862271</v>
      </c>
      <c r="D64" s="76">
        <v>8.1797752808988591</v>
      </c>
      <c r="E64" s="76">
        <v>5.939590940751847</v>
      </c>
      <c r="F64" s="66">
        <v>4.8</v>
      </c>
      <c r="G64" s="65">
        <f>[18]September_2026!$Q$21</f>
        <v>6.8511779913174742</v>
      </c>
      <c r="H64" s="76">
        <v>7.1493286491954091</v>
      </c>
      <c r="I64" s="76">
        <v>6.0146000548367518</v>
      </c>
      <c r="J64" s="66">
        <v>4.8</v>
      </c>
      <c r="K64" s="67"/>
      <c r="L64" s="194">
        <v>0.31847368421052635</v>
      </c>
      <c r="M64" s="194">
        <v>0.68029295501093157</v>
      </c>
      <c r="N64" s="68">
        <v>1</v>
      </c>
      <c r="P64" s="69"/>
    </row>
    <row r="65" spans="2:16" ht="15">
      <c r="B65" s="34" t="s">
        <v>40</v>
      </c>
      <c r="C65" s="65"/>
      <c r="D65" s="76"/>
      <c r="E65" s="76">
        <v>11.277593164016125</v>
      </c>
      <c r="F65" s="66">
        <v>5.5</v>
      </c>
      <c r="G65" s="65"/>
      <c r="H65" s="76"/>
      <c r="I65" s="76">
        <v>11.857907912244482</v>
      </c>
      <c r="J65" s="66">
        <v>5.5</v>
      </c>
      <c r="K65" s="67"/>
      <c r="L65" s="194"/>
      <c r="M65" s="194">
        <v>0.35370190356844494</v>
      </c>
      <c r="N65" s="68">
        <v>1</v>
      </c>
      <c r="P65" s="69"/>
    </row>
    <row r="66" spans="2:16" ht="15">
      <c r="B66" s="22" t="s">
        <v>33</v>
      </c>
      <c r="C66" s="65"/>
      <c r="D66" s="76"/>
      <c r="E66" s="76">
        <v>4.8685538193023836</v>
      </c>
      <c r="F66" s="66">
        <v>3.3</v>
      </c>
      <c r="G66" s="65"/>
      <c r="H66" s="76"/>
      <c r="I66" s="76">
        <v>4.8702525342252114</v>
      </c>
      <c r="J66" s="66">
        <v>3.3</v>
      </c>
      <c r="K66" s="67"/>
      <c r="L66" s="194"/>
      <c r="M66" s="194">
        <v>0.77919298245614044</v>
      </c>
      <c r="N66" s="68">
        <v>1</v>
      </c>
      <c r="P66" s="69"/>
    </row>
    <row r="67" spans="2:16" ht="15">
      <c r="B67" s="35" t="s">
        <v>164</v>
      </c>
      <c r="C67" s="65"/>
      <c r="D67" s="76"/>
      <c r="E67" s="76"/>
      <c r="F67" s="66">
        <v>3.3</v>
      </c>
      <c r="G67" s="282"/>
      <c r="H67" s="76"/>
      <c r="I67" s="76"/>
      <c r="J67" s="66">
        <v>3</v>
      </c>
      <c r="K67" s="67"/>
      <c r="L67" s="194"/>
      <c r="M67" s="194"/>
      <c r="N67" s="68">
        <v>1</v>
      </c>
      <c r="P67" s="69"/>
    </row>
    <row r="68" spans="2:16" ht="15">
      <c r="B68" s="36" t="s">
        <v>15</v>
      </c>
      <c r="C68" s="65"/>
      <c r="D68" s="76">
        <v>6.8855672629257718</v>
      </c>
      <c r="E68" s="76">
        <v>6.3233965672990236</v>
      </c>
      <c r="F68" s="70">
        <v>5.5</v>
      </c>
      <c r="G68" s="65"/>
      <c r="H68" s="76">
        <v>7.4264332958762713</v>
      </c>
      <c r="I68" s="76">
        <v>7.9667553186446929</v>
      </c>
      <c r="J68" s="66">
        <v>5.5</v>
      </c>
      <c r="K68" s="67"/>
      <c r="L68" s="194">
        <v>0.391812865497076</v>
      </c>
      <c r="M68" s="194">
        <v>0.5883625730994152</v>
      </c>
      <c r="N68" s="68">
        <v>1</v>
      </c>
      <c r="P68" s="69"/>
    </row>
    <row r="69" spans="2:16" ht="15">
      <c r="B69" s="37" t="s">
        <v>16</v>
      </c>
      <c r="C69" s="482"/>
      <c r="D69" s="76"/>
      <c r="E69" s="76">
        <v>3.6168923014750334</v>
      </c>
      <c r="F69" s="66">
        <v>3.3</v>
      </c>
      <c r="G69" s="282"/>
      <c r="H69" s="76"/>
      <c r="I69" s="76">
        <v>5.0091179718082053</v>
      </c>
      <c r="J69" s="66">
        <v>3.3</v>
      </c>
      <c r="K69" s="67"/>
      <c r="L69" s="194"/>
      <c r="M69" s="194">
        <v>0.92642300194931759</v>
      </c>
      <c r="N69" s="71">
        <v>1</v>
      </c>
      <c r="P69" s="69"/>
    </row>
    <row r="70" spans="2:16" ht="15.75" thickBot="1">
      <c r="B70" s="38" t="s">
        <v>163</v>
      </c>
      <c r="C70" s="65"/>
      <c r="D70" s="76"/>
      <c r="E70" s="76"/>
      <c r="F70" s="66">
        <v>7.5</v>
      </c>
      <c r="G70" s="282"/>
      <c r="H70" s="76"/>
      <c r="I70" s="76"/>
      <c r="J70" s="66">
        <v>7.5</v>
      </c>
      <c r="K70" s="67"/>
      <c r="L70" s="194"/>
      <c r="M70" s="194"/>
      <c r="N70" s="71">
        <v>1</v>
      </c>
      <c r="P70" s="69"/>
    </row>
    <row r="71" spans="2:16" ht="15.75" thickBot="1">
      <c r="B71" s="414" t="s">
        <v>161</v>
      </c>
      <c r="C71" s="65"/>
      <c r="D71" s="76"/>
      <c r="E71" s="76"/>
      <c r="F71" s="66">
        <v>4.8</v>
      </c>
      <c r="G71" s="282"/>
      <c r="H71" s="76"/>
      <c r="I71" s="76"/>
      <c r="J71" s="66">
        <v>4.8</v>
      </c>
      <c r="K71" s="67"/>
      <c r="L71" s="194"/>
      <c r="M71" s="194"/>
      <c r="N71" s="71">
        <v>1</v>
      </c>
      <c r="O71" s="74"/>
      <c r="P71" s="75"/>
    </row>
    <row r="72" spans="2:16" ht="15">
      <c r="D72" s="76">
        <v>7.4046746394335576</v>
      </c>
      <c r="E72" s="76">
        <v>6.3918286687512609</v>
      </c>
      <c r="F72" s="341">
        <v>5.5</v>
      </c>
      <c r="H72" s="76">
        <v>6.9073087003620639</v>
      </c>
      <c r="I72" s="76">
        <v>6.704265397809281</v>
      </c>
      <c r="J72" s="341">
        <v>5.5</v>
      </c>
      <c r="L72" s="194">
        <v>0.51504093567251463</v>
      </c>
      <c r="M72" s="194">
        <v>0.59281017827258786</v>
      </c>
      <c r="N72" s="386">
        <v>1</v>
      </c>
    </row>
  </sheetData>
  <mergeCells count="51">
    <mergeCell ref="M4:N4"/>
    <mergeCell ref="S1:T1"/>
    <mergeCell ref="U1:V1"/>
    <mergeCell ref="W1:X1"/>
    <mergeCell ref="Y1:Z1"/>
    <mergeCell ref="B2:O2"/>
    <mergeCell ref="P8:P9"/>
    <mergeCell ref="C5:D5"/>
    <mergeCell ref="B8:B9"/>
    <mergeCell ref="C8:C9"/>
    <mergeCell ref="D8:D9"/>
    <mergeCell ref="G8:G9"/>
    <mergeCell ref="H8:H9"/>
    <mergeCell ref="I8:I9"/>
    <mergeCell ref="J8:J9"/>
    <mergeCell ref="K8:K9"/>
    <mergeCell ref="L8:L9"/>
    <mergeCell ref="O8:O9"/>
    <mergeCell ref="I19:N19"/>
    <mergeCell ref="D20:E20"/>
    <mergeCell ref="B21:B32"/>
    <mergeCell ref="D21:E22"/>
    <mergeCell ref="D23:E24"/>
    <mergeCell ref="D25:E26"/>
    <mergeCell ref="D27:E28"/>
    <mergeCell ref="D29:E30"/>
    <mergeCell ref="D31:E32"/>
    <mergeCell ref="B33:B42"/>
    <mergeCell ref="D33:E34"/>
    <mergeCell ref="J33:K33"/>
    <mergeCell ref="L34:N34"/>
    <mergeCell ref="D35:E36"/>
    <mergeCell ref="D37:E38"/>
    <mergeCell ref="D39:E40"/>
    <mergeCell ref="D41:E42"/>
    <mergeCell ref="D43:E43"/>
    <mergeCell ref="B48:B49"/>
    <mergeCell ref="C48:C49"/>
    <mergeCell ref="D48:D49"/>
    <mergeCell ref="E48:E49"/>
    <mergeCell ref="M48:M49"/>
    <mergeCell ref="B61:F61"/>
    <mergeCell ref="G61:J61"/>
    <mergeCell ref="K61:N61"/>
    <mergeCell ref="G48:G49"/>
    <mergeCell ref="H48:H49"/>
    <mergeCell ref="I48:I49"/>
    <mergeCell ref="J48:J49"/>
    <mergeCell ref="K48:K49"/>
    <mergeCell ref="L48:L49"/>
    <mergeCell ref="F48:F49"/>
  </mergeCells>
  <conditionalFormatting sqref="B43:B44">
    <cfRule type="cellIs" dxfId="2306" priority="103" operator="notBetween">
      <formula>#REF!</formula>
      <formula>#REF!</formula>
    </cfRule>
  </conditionalFormatting>
  <conditionalFormatting sqref="C47">
    <cfRule type="cellIs" dxfId="2305" priority="186" stopIfTrue="1" operator="greaterThan">
      <formula>100</formula>
    </cfRule>
    <cfRule type="cellIs" dxfId="2304" priority="185" stopIfTrue="1" operator="lessThan">
      <formula>96</formula>
    </cfRule>
  </conditionalFormatting>
  <conditionalFormatting sqref="C63:C64">
    <cfRule type="cellIs" dxfId="2303" priority="66" stopIfTrue="1" operator="greaterThan">
      <formula>$F63</formula>
    </cfRule>
    <cfRule type="cellIs" dxfId="2302" priority="67" stopIfTrue="1" operator="lessThanOrEqual">
      <formula>0</formula>
    </cfRule>
    <cfRule type="cellIs" dxfId="2301" priority="68" stopIfTrue="1" operator="greaterThan">
      <formula>$F63</formula>
    </cfRule>
    <cfRule type="cellIs" dxfId="2300" priority="69" stopIfTrue="1" operator="lessThanOrEqual">
      <formula>0</formula>
    </cfRule>
  </conditionalFormatting>
  <conditionalFormatting sqref="C65:C67 C69:C71">
    <cfRule type="cellIs" dxfId="2299" priority="75" stopIfTrue="1" operator="greaterThan">
      <formula>$F68</formula>
    </cfRule>
  </conditionalFormatting>
  <conditionalFormatting sqref="C65:C67">
    <cfRule type="cellIs" dxfId="2298" priority="76" stopIfTrue="1" operator="lessThanOrEqual">
      <formula>0</formula>
    </cfRule>
  </conditionalFormatting>
  <conditionalFormatting sqref="C68">
    <cfRule type="cellIs" dxfId="2297" priority="187" stopIfTrue="1" operator="greaterThan">
      <formula>$F63</formula>
    </cfRule>
    <cfRule type="cellIs" dxfId="2296" priority="190" stopIfTrue="1" operator="lessThanOrEqual">
      <formula>0</formula>
    </cfRule>
    <cfRule type="cellIs" dxfId="2295" priority="189" stopIfTrue="1" operator="greaterThan">
      <formula>$F63</formula>
    </cfRule>
    <cfRule type="cellIs" dxfId="2294" priority="188" stopIfTrue="1" operator="lessThanOrEqual">
      <formula>0</formula>
    </cfRule>
  </conditionalFormatting>
  <conditionalFormatting sqref="C69:C71">
    <cfRule type="cellIs" dxfId="2293" priority="77" stopIfTrue="1" operator="lessThanOrEqual">
      <formula>0</formula>
    </cfRule>
  </conditionalFormatting>
  <conditionalFormatting sqref="C74:C78">
    <cfRule type="cellIs" dxfId="2292" priority="177" stopIfTrue="1" operator="lessThanOrEqual">
      <formula>0</formula>
    </cfRule>
  </conditionalFormatting>
  <conditionalFormatting sqref="C75:C78">
    <cfRule type="cellIs" dxfId="2291" priority="176" stopIfTrue="1" operator="greaterThan">
      <formula>$F$74</formula>
    </cfRule>
  </conditionalFormatting>
  <conditionalFormatting sqref="C80">
    <cfRule type="cellIs" dxfId="2290" priority="178" stopIfTrue="1" operator="greaterThan">
      <formula>$F$74</formula>
    </cfRule>
    <cfRule type="cellIs" dxfId="2289" priority="179" stopIfTrue="1" operator="lessThanOrEqual">
      <formula>0</formula>
    </cfRule>
  </conditionalFormatting>
  <conditionalFormatting sqref="C68:D68">
    <cfRule type="cellIs" dxfId="2288" priority="64" stopIfTrue="1" operator="greaterThan">
      <formula>$J68</formula>
    </cfRule>
    <cfRule type="cellIs" dxfId="2287" priority="65" stopIfTrue="1" operator="lessThanOrEqual">
      <formula>0</formula>
    </cfRule>
  </conditionalFormatting>
  <conditionalFormatting sqref="C74:D74 D76:D82">
    <cfRule type="cellIs" dxfId="2286" priority="171" stopIfTrue="1" operator="greaterThan">
      <formula>4.5</formula>
    </cfRule>
  </conditionalFormatting>
  <conditionalFormatting sqref="D43:D44">
    <cfRule type="cellIs" dxfId="2285" priority="104" operator="notBetween">
      <formula>#REF!</formula>
      <formula>#REF!</formula>
    </cfRule>
  </conditionalFormatting>
  <conditionalFormatting sqref="D63:D67 D69:D70">
    <cfRule type="cellIs" dxfId="2284" priority="74" stopIfTrue="1" operator="lessThanOrEqual">
      <formula>0</formula>
    </cfRule>
  </conditionalFormatting>
  <conditionalFormatting sqref="D63:D67 D69:D72">
    <cfRule type="cellIs" dxfId="2283" priority="70" stopIfTrue="1" operator="lessThanOrEqual">
      <formula>0</formula>
    </cfRule>
    <cfRule type="cellIs" dxfId="2282" priority="71" stopIfTrue="1" operator="greaterThan">
      <formula>$F63</formula>
    </cfRule>
  </conditionalFormatting>
  <conditionalFormatting sqref="D71:D72">
    <cfRule type="cellIs" dxfId="2281" priority="72" stopIfTrue="1" operator="lessThanOrEqual">
      <formula>0</formula>
    </cfRule>
  </conditionalFormatting>
  <conditionalFormatting sqref="D72">
    <cfRule type="cellIs" dxfId="2280" priority="73" stopIfTrue="1" operator="lessThanOrEqual">
      <formula>0</formula>
    </cfRule>
  </conditionalFormatting>
  <conditionalFormatting sqref="D74 D76:D82">
    <cfRule type="cellIs" dxfId="2279" priority="172" stopIfTrue="1" operator="lessThanOrEqual">
      <formula>0</formula>
    </cfRule>
  </conditionalFormatting>
  <conditionalFormatting sqref="D75">
    <cfRule type="cellIs" dxfId="2278" priority="163" stopIfTrue="1" operator="greaterThan">
      <formula>$F$74</formula>
    </cfRule>
    <cfRule type="cellIs" dxfId="2277" priority="164" stopIfTrue="1" operator="lessThanOrEqual">
      <formula>0</formula>
    </cfRule>
  </conditionalFormatting>
  <conditionalFormatting sqref="E10:E18">
    <cfRule type="cellIs" dxfId="2276" priority="13" operator="lessThan">
      <formula>48</formula>
    </cfRule>
  </conditionalFormatting>
  <conditionalFormatting sqref="E46 E47:F47">
    <cfRule type="cellIs" dxfId="2275" priority="168" stopIfTrue="1" operator="greaterThan">
      <formula>100</formula>
    </cfRule>
  </conditionalFormatting>
  <conditionalFormatting sqref="E47">
    <cfRule type="cellIs" dxfId="2274" priority="166" stopIfTrue="1" operator="greaterThan">
      <formula>100</formula>
    </cfRule>
    <cfRule type="cellIs" dxfId="2273" priority="165" stopIfTrue="1" operator="lessThan">
      <formula>96.8</formula>
    </cfRule>
  </conditionalFormatting>
  <conditionalFormatting sqref="E63:E71">
    <cfRule type="cellIs" dxfId="2272" priority="37" stopIfTrue="1" operator="lessThanOrEqual">
      <formula>0</formula>
    </cfRule>
  </conditionalFormatting>
  <conditionalFormatting sqref="E63:E72">
    <cfRule type="cellIs" dxfId="2271" priority="38" stopIfTrue="1" operator="greaterThan">
      <formula>$F63</formula>
    </cfRule>
    <cfRule type="cellIs" dxfId="2270" priority="39" stopIfTrue="1" operator="lessThanOrEqual">
      <formula>0</formula>
    </cfRule>
  </conditionalFormatting>
  <conditionalFormatting sqref="E72">
    <cfRule type="cellIs" dxfId="2269" priority="40" stopIfTrue="1" operator="lessThanOrEqual">
      <formula>0</formula>
    </cfRule>
  </conditionalFormatting>
  <conditionalFormatting sqref="E74:E82">
    <cfRule type="cellIs" dxfId="2268" priority="158" stopIfTrue="1" operator="lessThanOrEqual">
      <formula>0</formula>
    </cfRule>
    <cfRule type="cellIs" dxfId="2267" priority="157" stopIfTrue="1" operator="greaterThan">
      <formula>4.5</formula>
    </cfRule>
  </conditionalFormatting>
  <conditionalFormatting sqref="E47:F47 E46">
    <cfRule type="cellIs" dxfId="2266" priority="167" stopIfTrue="1" operator="lessThan">
      <formula>96.5</formula>
    </cfRule>
  </conditionalFormatting>
  <conditionalFormatting sqref="F10:F18">
    <cfRule type="cellIs" dxfId="2265" priority="14" operator="greaterThan">
      <formula>60</formula>
    </cfRule>
  </conditionalFormatting>
  <conditionalFormatting sqref="F47">
    <cfRule type="cellIs" dxfId="2264" priority="183" stopIfTrue="1" operator="lessThan">
      <formula>96.8</formula>
    </cfRule>
    <cfRule type="cellIs" dxfId="2263" priority="184" stopIfTrue="1" operator="greaterThan">
      <formula>100</formula>
    </cfRule>
  </conditionalFormatting>
  <conditionalFormatting sqref="G18">
    <cfRule type="expression" dxfId="2262" priority="3">
      <formula>IF(+(IF(G18&lt;S18,0,IF(G18&gt;T18,0,1)))=0,1)</formula>
    </cfRule>
  </conditionalFormatting>
  <conditionalFormatting sqref="G63:G66 F72">
    <cfRule type="cellIs" dxfId="2261" priority="46" stopIfTrue="1" operator="greaterThan">
      <formula>$F63</formula>
    </cfRule>
    <cfRule type="cellIs" dxfId="2260" priority="47" stopIfTrue="1" operator="lessThanOrEqual">
      <formula>0</formula>
    </cfRule>
  </conditionalFormatting>
  <conditionalFormatting sqref="G65:G66">
    <cfRule type="cellIs" dxfId="2259" priority="32" stopIfTrue="1" operator="greaterThan">
      <formula>$F65</formula>
    </cfRule>
    <cfRule type="cellIs" dxfId="2258" priority="33" stopIfTrue="1" operator="lessThanOrEqual">
      <formula>0</formula>
    </cfRule>
  </conditionalFormatting>
  <conditionalFormatting sqref="G67:G71">
    <cfRule type="cellIs" dxfId="2257" priority="49" stopIfTrue="1" operator="lessThanOrEqual">
      <formula>0</formula>
    </cfRule>
    <cfRule type="cellIs" dxfId="2256" priority="48" stopIfTrue="1" operator="greaterThan">
      <formula>$J67</formula>
    </cfRule>
  </conditionalFormatting>
  <conditionalFormatting sqref="G68">
    <cfRule type="cellIs" dxfId="2255" priority="192" stopIfTrue="1" operator="lessThanOrEqual">
      <formula>0</formula>
    </cfRule>
    <cfRule type="cellIs" dxfId="2254" priority="191" stopIfTrue="1" operator="greaterThan">
      <formula>$F63</formula>
    </cfRule>
  </conditionalFormatting>
  <conditionalFormatting sqref="G76:G81 C79 C81">
    <cfRule type="cellIs" dxfId="2253" priority="181" stopIfTrue="1" operator="lessThanOrEqual">
      <formula>0</formula>
    </cfRule>
    <cfRule type="cellIs" dxfId="2252" priority="180" stopIfTrue="1" operator="greaterThan">
      <formula>4.5</formula>
    </cfRule>
  </conditionalFormatting>
  <conditionalFormatting sqref="G10:H15">
    <cfRule type="expression" dxfId="2251" priority="1">
      <formula>IF(+(IF(G10&lt;#REF!,0,IF(G10&gt;#REF!,0,1)))=0,1)</formula>
    </cfRule>
  </conditionalFormatting>
  <conditionalFormatting sqref="G75:H75">
    <cfRule type="cellIs" dxfId="2250" priority="162" stopIfTrue="1" operator="lessThanOrEqual">
      <formula>0</formula>
    </cfRule>
    <cfRule type="cellIs" dxfId="2249" priority="161" stopIfTrue="1" operator="greaterThan">
      <formula>$F$74</formula>
    </cfRule>
  </conditionalFormatting>
  <conditionalFormatting sqref="H32:H33 H46">
    <cfRule type="cellIs" dxfId="2248" priority="159" stopIfTrue="1" operator="greaterThan">
      <formula>0</formula>
    </cfRule>
  </conditionalFormatting>
  <conditionalFormatting sqref="H50">
    <cfRule type="cellIs" dxfId="2247" priority="61" stopIfTrue="1" operator="lessThanOrEqual">
      <formula>0</formula>
    </cfRule>
    <cfRule type="cellIs" dxfId="2246" priority="51" stopIfTrue="1" operator="lessThanOrEqual">
      <formula>0</formula>
    </cfRule>
    <cfRule type="cellIs" dxfId="2245" priority="62" stopIfTrue="1" operator="greaterThan">
      <formula>$F$64</formula>
    </cfRule>
    <cfRule type="cellIs" dxfId="2244" priority="60" stopIfTrue="1" operator="greaterThan">
      <formula>$F$66</formula>
    </cfRule>
    <cfRule type="cellIs" dxfId="2243" priority="52" stopIfTrue="1" operator="greaterThan">
      <formula>$F$63</formula>
    </cfRule>
  </conditionalFormatting>
  <conditionalFormatting sqref="H50:H51">
    <cfRule type="cellIs" dxfId="2242" priority="63" stopIfTrue="1" operator="lessThanOrEqual">
      <formula>0</formula>
    </cfRule>
  </conditionalFormatting>
  <conditionalFormatting sqref="H51 H53:H54">
    <cfRule type="cellIs" dxfId="2241" priority="89" stopIfTrue="1" operator="lessThanOrEqual">
      <formula>0</formula>
    </cfRule>
  </conditionalFormatting>
  <conditionalFormatting sqref="H51">
    <cfRule type="cellIs" dxfId="2240" priority="88" stopIfTrue="1" operator="greaterThan">
      <formula>$F$64</formula>
    </cfRule>
    <cfRule type="cellIs" dxfId="2239" priority="86" stopIfTrue="1" operator="greaterThan">
      <formula>$F$66</formula>
    </cfRule>
    <cfRule type="cellIs" dxfId="2238" priority="78" stopIfTrue="1" operator="greaterThan">
      <formula>$F$63</formula>
    </cfRule>
    <cfRule type="cellIs" dxfId="2237" priority="87" stopIfTrue="1" operator="lessThanOrEqual">
      <formula>0</formula>
    </cfRule>
  </conditionalFormatting>
  <conditionalFormatting sqref="H52">
    <cfRule type="cellIs" dxfId="2236" priority="27" stopIfTrue="1" operator="greaterThan">
      <formula>$F$68</formula>
    </cfRule>
    <cfRule type="cellIs" dxfId="2235" priority="29" stopIfTrue="1" operator="greaterThan">
      <formula>$F$66</formula>
    </cfRule>
    <cfRule type="cellIs" dxfId="2234" priority="30" stopIfTrue="1" operator="lessThanOrEqual">
      <formula>0</formula>
    </cfRule>
    <cfRule type="cellIs" dxfId="2233" priority="18" stopIfTrue="1" operator="lessThanOrEqual">
      <formula>0</formula>
    </cfRule>
    <cfRule type="cellIs" dxfId="2232" priority="19" stopIfTrue="1" operator="greaterThan">
      <formula>$F$65</formula>
    </cfRule>
    <cfRule type="cellIs" dxfId="2231" priority="28" stopIfTrue="1" operator="lessThanOrEqual">
      <formula>0</formula>
    </cfRule>
  </conditionalFormatting>
  <conditionalFormatting sqref="H53:H54">
    <cfRule type="cellIs" dxfId="2230" priority="91" stopIfTrue="1" operator="greaterThan">
      <formula>$F$63</formula>
    </cfRule>
    <cfRule type="cellIs" dxfId="2229" priority="102" stopIfTrue="1" operator="lessThanOrEqual">
      <formula>0</formula>
    </cfRule>
    <cfRule type="cellIs" dxfId="2228" priority="101" stopIfTrue="1" operator="greaterThan">
      <formula>$F$64</formula>
    </cfRule>
    <cfRule type="cellIs" dxfId="2227" priority="99" stopIfTrue="1" operator="greaterThan">
      <formula>$F$66</formula>
    </cfRule>
    <cfRule type="cellIs" dxfId="2226" priority="100" stopIfTrue="1" operator="lessThanOrEqual">
      <formula>0</formula>
    </cfRule>
  </conditionalFormatting>
  <conditionalFormatting sqref="H55:H56">
    <cfRule type="cellIs" dxfId="2225" priority="126" stopIfTrue="1" operator="lessThanOrEqual">
      <formula>0</formula>
    </cfRule>
    <cfRule type="cellIs" dxfId="2224" priority="135" stopIfTrue="1" operator="greaterThan">
      <formula>#REF!</formula>
    </cfRule>
    <cfRule type="cellIs" dxfId="2223" priority="136" stopIfTrue="1" operator="lessThanOrEqual">
      <formula>0</formula>
    </cfRule>
    <cfRule type="cellIs" dxfId="2222" priority="127" stopIfTrue="1" operator="greaterThan">
      <formula>#REF!</formula>
    </cfRule>
  </conditionalFormatting>
  <conditionalFormatting sqref="H57">
    <cfRule type="cellIs" dxfId="2221" priority="139" stopIfTrue="1" operator="greaterThan">
      <formula>$F$31</formula>
    </cfRule>
    <cfRule type="cellIs" dxfId="2220" priority="138" stopIfTrue="1" operator="lessThanOrEqual">
      <formula>0</formula>
    </cfRule>
    <cfRule type="cellIs" dxfId="2219" priority="147" stopIfTrue="1" operator="greaterThan">
      <formula>$F$34</formula>
    </cfRule>
    <cfRule type="cellIs" dxfId="2218" priority="148" stopIfTrue="1" operator="lessThanOrEqual">
      <formula>0</formula>
    </cfRule>
    <cfRule type="cellIs" dxfId="2217" priority="149" stopIfTrue="1" operator="greaterThan">
      <formula>$F$32</formula>
    </cfRule>
    <cfRule type="cellIs" dxfId="2216" priority="150" stopIfTrue="1" operator="lessThanOrEqual">
      <formula>0</formula>
    </cfRule>
  </conditionalFormatting>
  <conditionalFormatting sqref="H58:H59">
    <cfRule type="cellIs" dxfId="2215" priority="124" stopIfTrue="1" operator="lessThanOrEqual">
      <formula>0</formula>
    </cfRule>
    <cfRule type="cellIs" dxfId="2214" priority="123" stopIfTrue="1" operator="greaterThan">
      <formula>#REF!</formula>
    </cfRule>
    <cfRule type="cellIs" dxfId="2213" priority="114" stopIfTrue="1" operator="lessThanOrEqual">
      <formula>0</formula>
    </cfRule>
    <cfRule type="cellIs" dxfId="2212" priority="115" stopIfTrue="1" operator="greaterThan">
      <formula>#REF!</formula>
    </cfRule>
  </conditionalFormatting>
  <conditionalFormatting sqref="H74 H76:H82">
    <cfRule type="cellIs" dxfId="2211" priority="174" stopIfTrue="1" operator="lessThanOrEqual">
      <formula>0</formula>
    </cfRule>
    <cfRule type="cellIs" dxfId="2210" priority="173" stopIfTrue="1" operator="greaterThan">
      <formula>4.5</formula>
    </cfRule>
  </conditionalFormatting>
  <conditionalFormatting sqref="H50:I50">
    <cfRule type="cellIs" dxfId="2209" priority="53" stopIfTrue="1" operator="lessThanOrEqual">
      <formula>0</formula>
    </cfRule>
  </conditionalFormatting>
  <conditionalFormatting sqref="H50:I51 H53:I54">
    <cfRule type="cellIs" dxfId="2208" priority="50" stopIfTrue="1" operator="greaterThan">
      <formula>$F$65</formula>
    </cfRule>
  </conditionalFormatting>
  <conditionalFormatting sqref="H51:I51">
    <cfRule type="cellIs" dxfId="2207" priority="79" stopIfTrue="1" operator="lessThanOrEqual">
      <formula>0</formula>
    </cfRule>
  </conditionalFormatting>
  <conditionalFormatting sqref="H52:I52">
    <cfRule type="cellIs" dxfId="2206" priority="20" stopIfTrue="1" operator="lessThanOrEqual">
      <formula>0</formula>
    </cfRule>
    <cfRule type="cellIs" dxfId="2205" priority="17" stopIfTrue="1" operator="greaterThan">
      <formula>$F$67</formula>
    </cfRule>
  </conditionalFormatting>
  <conditionalFormatting sqref="H53:I54">
    <cfRule type="cellIs" dxfId="2204" priority="92" stopIfTrue="1" operator="lessThanOrEqual">
      <formula>0</formula>
    </cfRule>
  </conditionalFormatting>
  <conditionalFormatting sqref="H55:I56">
    <cfRule type="cellIs" dxfId="2203" priority="133" stopIfTrue="1" operator="greaterThan">
      <formula>#REF!</formula>
    </cfRule>
    <cfRule type="cellIs" dxfId="2202" priority="125" stopIfTrue="1" operator="greaterThan">
      <formula>#REF!</formula>
    </cfRule>
    <cfRule type="cellIs" dxfId="2201" priority="128" stopIfTrue="1" operator="lessThanOrEqual">
      <formula>0</formula>
    </cfRule>
    <cfRule type="cellIs" dxfId="2200" priority="134" stopIfTrue="1" operator="lessThanOrEqual">
      <formula>0</formula>
    </cfRule>
  </conditionalFormatting>
  <conditionalFormatting sqref="H57:I57">
    <cfRule type="cellIs" dxfId="2199" priority="137" stopIfTrue="1" operator="greaterThan">
      <formula>$F$33</formula>
    </cfRule>
    <cfRule type="cellIs" dxfId="2198" priority="140" stopIfTrue="1" operator="lessThanOrEqual">
      <formula>0</formula>
    </cfRule>
  </conditionalFormatting>
  <conditionalFormatting sqref="H58:I59">
    <cfRule type="cellIs" dxfId="2197" priority="113" stopIfTrue="1" operator="greaterThan">
      <formula>#REF!</formula>
    </cfRule>
    <cfRule type="cellIs" dxfId="2196" priority="116" stopIfTrue="1" operator="lessThanOrEqual">
      <formula>0</formula>
    </cfRule>
    <cfRule type="cellIs" dxfId="2195" priority="121" stopIfTrue="1" operator="greaterThan">
      <formula>#REF!</formula>
    </cfRule>
    <cfRule type="cellIs" dxfId="2194" priority="122" stopIfTrue="1" operator="lessThanOrEqual">
      <formula>0</formula>
    </cfRule>
  </conditionalFormatting>
  <conditionalFormatting sqref="H63:I70">
    <cfRule type="cellIs" dxfId="2193" priority="36" stopIfTrue="1" operator="lessThanOrEqual">
      <formula>0</formula>
    </cfRule>
    <cfRule type="cellIs" dxfId="2192" priority="35" stopIfTrue="1" operator="greaterThan">
      <formula>$J63</formula>
    </cfRule>
  </conditionalFormatting>
  <conditionalFormatting sqref="H71:I71">
    <cfRule type="cellIs" dxfId="2191" priority="43" operator="greaterThan">
      <formula>5.3</formula>
    </cfRule>
  </conditionalFormatting>
  <conditionalFormatting sqref="H72:I72">
    <cfRule type="cellIs" dxfId="2190" priority="41" stopIfTrue="1" operator="greaterThan">
      <formula>$J72</formula>
    </cfRule>
    <cfRule type="cellIs" dxfId="2189" priority="42" stopIfTrue="1" operator="lessThanOrEqual">
      <formula>0</formula>
    </cfRule>
  </conditionalFormatting>
  <conditionalFormatting sqref="I50">
    <cfRule type="cellIs" dxfId="2188" priority="56" stopIfTrue="1" operator="greaterThan">
      <formula>$F$65</formula>
    </cfRule>
    <cfRule type="cellIs" dxfId="2187" priority="55" stopIfTrue="1" operator="lessThanOrEqual">
      <formula>0</formula>
    </cfRule>
    <cfRule type="cellIs" dxfId="2186" priority="54" stopIfTrue="1" operator="greaterThan">
      <formula>$F$63</formula>
    </cfRule>
    <cfRule type="cellIs" dxfId="2185" priority="59" stopIfTrue="1" operator="lessThanOrEqual">
      <formula>0</formula>
    </cfRule>
    <cfRule type="cellIs" dxfId="2184" priority="58" stopIfTrue="1" operator="greaterThan">
      <formula>$F$63</formula>
    </cfRule>
    <cfRule type="cellIs" dxfId="2183" priority="57" stopIfTrue="1" operator="lessThanOrEqual">
      <formula>0</formula>
    </cfRule>
  </conditionalFormatting>
  <conditionalFormatting sqref="I51">
    <cfRule type="cellIs" dxfId="2182" priority="81" stopIfTrue="1" operator="lessThanOrEqual">
      <formula>0</formula>
    </cfRule>
    <cfRule type="cellIs" dxfId="2181" priority="82" stopIfTrue="1" operator="greaterThan">
      <formula>$F$65</formula>
    </cfRule>
    <cfRule type="cellIs" dxfId="2180" priority="83" stopIfTrue="1" operator="lessThanOrEqual">
      <formula>0</formula>
    </cfRule>
    <cfRule type="cellIs" dxfId="2179" priority="84" stopIfTrue="1" operator="greaterThan">
      <formula>$F$63</formula>
    </cfRule>
    <cfRule type="cellIs" dxfId="2178" priority="85" stopIfTrue="1" operator="lessThanOrEqual">
      <formula>0</formula>
    </cfRule>
    <cfRule type="cellIs" dxfId="2177" priority="80" stopIfTrue="1" operator="greaterThan">
      <formula>$F$63</formula>
    </cfRule>
  </conditionalFormatting>
  <conditionalFormatting sqref="I52">
    <cfRule type="cellIs" dxfId="2176" priority="24" stopIfTrue="1" operator="lessThanOrEqual">
      <formula>0</formula>
    </cfRule>
    <cfRule type="cellIs" dxfId="2175" priority="23" stopIfTrue="1" operator="greaterThan">
      <formula>$F$67</formula>
    </cfRule>
    <cfRule type="cellIs" dxfId="2174" priority="25" stopIfTrue="1" operator="greaterThan">
      <formula>$F$65</formula>
    </cfRule>
    <cfRule type="cellIs" dxfId="2173" priority="21" stopIfTrue="1" operator="greaterThan">
      <formula>$F$65</formula>
    </cfRule>
    <cfRule type="cellIs" dxfId="2172" priority="22" stopIfTrue="1" operator="lessThanOrEqual">
      <formula>0</formula>
    </cfRule>
    <cfRule type="cellIs" dxfId="2171" priority="26" stopIfTrue="1" operator="lessThanOrEqual">
      <formula>0</formula>
    </cfRule>
  </conditionalFormatting>
  <conditionalFormatting sqref="I53:I54">
    <cfRule type="cellIs" dxfId="2170" priority="95" stopIfTrue="1" operator="greaterThan">
      <formula>$F$65</formula>
    </cfRule>
    <cfRule type="cellIs" dxfId="2169" priority="98" stopIfTrue="1" operator="lessThanOrEqual">
      <formula>0</formula>
    </cfRule>
    <cfRule type="cellIs" dxfId="2168" priority="93" stopIfTrue="1" operator="greaterThan">
      <formula>$F$63</formula>
    </cfRule>
    <cfRule type="cellIs" dxfId="2167" priority="96" stopIfTrue="1" operator="lessThanOrEqual">
      <formula>0</formula>
    </cfRule>
    <cfRule type="cellIs" dxfId="2166" priority="94" stopIfTrue="1" operator="lessThanOrEqual">
      <formula>0</formula>
    </cfRule>
    <cfRule type="cellIs" dxfId="2165" priority="97" stopIfTrue="1" operator="greaterThan">
      <formula>$F$63</formula>
    </cfRule>
  </conditionalFormatting>
  <conditionalFormatting sqref="I55:I56">
    <cfRule type="cellIs" dxfId="2164" priority="129" stopIfTrue="1" operator="greaterThan">
      <formula>#REF!</formula>
    </cfRule>
    <cfRule type="cellIs" dxfId="2163" priority="130" stopIfTrue="1" operator="lessThanOrEqual">
      <formula>0</formula>
    </cfRule>
    <cfRule type="cellIs" dxfId="2162" priority="131" stopIfTrue="1" operator="greaterThan">
      <formula>#REF!</formula>
    </cfRule>
    <cfRule type="cellIs" dxfId="2161" priority="132" stopIfTrue="1" operator="lessThanOrEqual">
      <formula>0</formula>
    </cfRule>
  </conditionalFormatting>
  <conditionalFormatting sqref="I57">
    <cfRule type="cellIs" dxfId="2160" priority="142" stopIfTrue="1" operator="lessThanOrEqual">
      <formula>0</formula>
    </cfRule>
    <cfRule type="cellIs" dxfId="2159" priority="141" stopIfTrue="1" operator="greaterThan">
      <formula>$F$31</formula>
    </cfRule>
    <cfRule type="cellIs" dxfId="2158" priority="144" stopIfTrue="1" operator="lessThanOrEqual">
      <formula>0</formula>
    </cfRule>
    <cfRule type="cellIs" dxfId="2157" priority="143" stopIfTrue="1" operator="greaterThan">
      <formula>$F$33</formula>
    </cfRule>
    <cfRule type="cellIs" dxfId="2156" priority="145" stopIfTrue="1" operator="greaterThan">
      <formula>$F$31</formula>
    </cfRule>
    <cfRule type="cellIs" dxfId="2155" priority="146" stopIfTrue="1" operator="lessThanOrEqual">
      <formula>0</formula>
    </cfRule>
  </conditionalFormatting>
  <conditionalFormatting sqref="I58:I59">
    <cfRule type="cellIs" dxfId="2154" priority="117" stopIfTrue="1" operator="greaterThan">
      <formula>#REF!</formula>
    </cfRule>
    <cfRule type="cellIs" dxfId="2153" priority="118" stopIfTrue="1" operator="lessThanOrEqual">
      <formula>0</formula>
    </cfRule>
    <cfRule type="cellIs" dxfId="2152" priority="119" stopIfTrue="1" operator="greaterThan">
      <formula>#REF!</formula>
    </cfRule>
    <cfRule type="cellIs" dxfId="2151" priority="120" stopIfTrue="1" operator="lessThanOrEqual">
      <formula>0</formula>
    </cfRule>
  </conditionalFormatting>
  <conditionalFormatting sqref="I74:I82">
    <cfRule type="cellIs" dxfId="2150" priority="170" stopIfTrue="1" operator="lessThanOrEqual">
      <formula>0</formula>
    </cfRule>
    <cfRule type="cellIs" dxfId="2149" priority="169" stopIfTrue="1" operator="greaterThan">
      <formula>4.5</formula>
    </cfRule>
  </conditionalFormatting>
  <conditionalFormatting sqref="I10:J18">
    <cfRule type="cellIs" dxfId="2148" priority="9" operator="lessThan">
      <formula>97.9</formula>
    </cfRule>
  </conditionalFormatting>
  <conditionalFormatting sqref="J21:J23">
    <cfRule type="cellIs" dxfId="2147" priority="16" operator="lessThan">
      <formula>97.95</formula>
    </cfRule>
  </conditionalFormatting>
  <conditionalFormatting sqref="J22:J25">
    <cfRule type="cellIs" dxfId="2146" priority="151" operator="lessThan">
      <formula>97.4</formula>
    </cfRule>
  </conditionalFormatting>
  <conditionalFormatting sqref="J26:J27">
    <cfRule type="cellIs" dxfId="2145" priority="152" operator="lessThan">
      <formula>98</formula>
    </cfRule>
  </conditionalFormatting>
  <conditionalFormatting sqref="J28:J29">
    <cfRule type="cellIs" dxfId="2144" priority="153" stopIfTrue="1" operator="lessThan">
      <formula>96.8</formula>
    </cfRule>
    <cfRule type="cellIs" dxfId="2143" priority="154" stopIfTrue="1" operator="greaterThan">
      <formula>100</formula>
    </cfRule>
  </conditionalFormatting>
  <conditionalFormatting sqref="J28:J30">
    <cfRule type="cellIs" dxfId="2142" priority="155" operator="lessThan">
      <formula>98</formula>
    </cfRule>
  </conditionalFormatting>
  <conditionalFormatting sqref="J59">
    <cfRule type="cellIs" dxfId="2141" priority="105" stopIfTrue="1" operator="greaterThan">
      <formula>#REF!</formula>
    </cfRule>
    <cfRule type="cellIs" dxfId="2140" priority="108" stopIfTrue="1" operator="lessThanOrEqual">
      <formula>0</formula>
    </cfRule>
    <cfRule type="cellIs" dxfId="2139" priority="112" stopIfTrue="1" operator="lessThanOrEqual">
      <formula>0</formula>
    </cfRule>
    <cfRule type="cellIs" dxfId="2138" priority="111" stopIfTrue="1" operator="greaterThan">
      <formula>#REF!</formula>
    </cfRule>
    <cfRule type="cellIs" dxfId="2137" priority="110" stopIfTrue="1" operator="lessThanOrEqual">
      <formula>0</formula>
    </cfRule>
    <cfRule type="cellIs" dxfId="2136" priority="109" stopIfTrue="1" operator="greaterThan">
      <formula>#REF!</formula>
    </cfRule>
    <cfRule type="cellIs" dxfId="2135" priority="107" stopIfTrue="1" operator="greaterThan">
      <formula>#REF!</formula>
    </cfRule>
    <cfRule type="cellIs" dxfId="2134" priority="106" stopIfTrue="1" operator="lessThanOrEqual">
      <formula>0</formula>
    </cfRule>
  </conditionalFormatting>
  <conditionalFormatting sqref="J72">
    <cfRule type="cellIs" dxfId="2133" priority="45" stopIfTrue="1" operator="lessThanOrEqual">
      <formula>0</formula>
    </cfRule>
    <cfRule type="cellIs" dxfId="2132" priority="44" stopIfTrue="1" operator="greaterThan">
      <formula>$F72</formula>
    </cfRule>
  </conditionalFormatting>
  <conditionalFormatting sqref="K10:K18">
    <cfRule type="cellIs" dxfId="2131" priority="10" operator="greaterThan">
      <formula>6</formula>
    </cfRule>
    <cfRule type="cellIs" dxfId="2130" priority="12" operator="greaterThan">
      <formula>6.4</formula>
    </cfRule>
    <cfRule type="cellIs" dxfId="2129" priority="11" operator="lessThan">
      <formula>4</formula>
    </cfRule>
  </conditionalFormatting>
  <conditionalFormatting sqref="K50:K59">
    <cfRule type="cellIs" dxfId="2128" priority="90" stopIfTrue="1" operator="lessThan">
      <formula>100%</formula>
    </cfRule>
  </conditionalFormatting>
  <conditionalFormatting sqref="K63:K71">
    <cfRule type="cellIs" dxfId="2127" priority="34" stopIfTrue="1" operator="lessThan">
      <formula>100%</formula>
    </cfRule>
  </conditionalFormatting>
  <conditionalFormatting sqref="K74:K79">
    <cfRule type="cellIs" dxfId="2126" priority="175" stopIfTrue="1" operator="lessThan">
      <formula>100%</formula>
    </cfRule>
  </conditionalFormatting>
  <conditionalFormatting sqref="K81:K82">
    <cfRule type="cellIs" dxfId="2125" priority="182" stopIfTrue="1" operator="lessThan">
      <formula>100%</formula>
    </cfRule>
  </conditionalFormatting>
  <conditionalFormatting sqref="L10:L18">
    <cfRule type="cellIs" dxfId="2124" priority="6" operator="between">
      <formula>61</formula>
      <formula>65</formula>
    </cfRule>
    <cfRule type="cellIs" dxfId="2123" priority="7" operator="greaterThan">
      <formula>65</formula>
    </cfRule>
  </conditionalFormatting>
  <conditionalFormatting sqref="L21:M32">
    <cfRule type="cellIs" dxfId="2122" priority="15" operator="lessThan">
      <formula>97.95</formula>
    </cfRule>
  </conditionalFormatting>
  <conditionalFormatting sqref="L36:N36">
    <cfRule type="cellIs" dxfId="2121" priority="5" operator="notEqual">
      <formula>#REF!</formula>
    </cfRule>
  </conditionalFormatting>
  <conditionalFormatting sqref="L63:N72">
    <cfRule type="cellIs" dxfId="2120" priority="31" stopIfTrue="1" operator="lessThan">
      <formula>100%</formula>
    </cfRule>
  </conditionalFormatting>
  <conditionalFormatting sqref="L74:N82">
    <cfRule type="cellIs" dxfId="2119" priority="160" stopIfTrue="1" operator="lessThan">
      <formula>100%</formula>
    </cfRule>
  </conditionalFormatting>
  <conditionalFormatting sqref="M18">
    <cfRule type="expression" dxfId="2118" priority="2">
      <formula>IF(+(IF(M18&lt;U18,0,IF(M18&gt;V18,0,1)))=0,1)</formula>
    </cfRule>
  </conditionalFormatting>
  <conditionalFormatting sqref="M10:N17 G16:G17 H16:H18">
    <cfRule type="expression" dxfId="2117" priority="4">
      <formula>IF(+(IF(G10&lt;#REF!,0,IF(G10&gt;#REF!,0,1)))=0,1)</formula>
    </cfRule>
  </conditionalFormatting>
  <conditionalFormatting sqref="N10:N18">
    <cfRule type="expression" dxfId="2116" priority="8">
      <formula>IF(+(IF(N10&lt;W10,0,IF(N10&gt;X10,0,1)))=0,1)</formula>
    </cfRule>
  </conditionalFormatting>
  <conditionalFormatting sqref="P6">
    <cfRule type="cellIs" dxfId="2115" priority="156" operator="greaterThanOrEqual">
      <formula>19</formula>
    </cfRule>
  </conditionalFormatting>
  <dataValidations count="1">
    <dataValidation type="list" allowBlank="1" showInputMessage="1" showErrorMessage="1" sqref="R8" xr:uid="{1C11E4F6-4F3A-4830-895C-31D5FC7047A5}">
      <formula1>ProductList</formula1>
    </dataValidation>
  </dataValidations>
  <pageMargins left="0.7" right="0.7" top="0.75" bottom="0.75" header="0.3" footer="0.3"/>
  <pageSetup scale="40" fitToWidth="0" orientation="landscape" r:id="rId1"/>
  <rowBreaks count="1" manualBreakCount="1">
    <brk id="76" max="16383" man="1"/>
  </rowBreaks>
  <colBreaks count="1" manualBreakCount="1">
    <brk id="15" max="89" man="1"/>
  </colBreaks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F171E6-9C93-4F25-84BF-89CABDBF5EAB}">
  <sheetPr>
    <pageSetUpPr fitToPage="1"/>
  </sheetPr>
  <dimension ref="A1:BE75"/>
  <sheetViews>
    <sheetView topLeftCell="A9" zoomScale="85" zoomScaleNormal="85" workbookViewId="0">
      <selection activeCell="G10" sqref="G10:G16"/>
    </sheetView>
  </sheetViews>
  <sheetFormatPr defaultColWidth="9.42578125" defaultRowHeight="14.25"/>
  <cols>
    <col min="1" max="1" width="7.28515625" style="275" customWidth="1"/>
    <col min="2" max="2" width="31.28515625" style="275" customWidth="1"/>
    <col min="3" max="3" width="22.28515625" style="275" customWidth="1"/>
    <col min="4" max="7" width="16.5703125" style="275" customWidth="1"/>
    <col min="8" max="8" width="20.7109375" style="275" customWidth="1"/>
    <col min="9" max="9" width="31.42578125" style="275" customWidth="1"/>
    <col min="10" max="10" width="35.28515625" style="275" customWidth="1"/>
    <col min="11" max="11" width="29" style="275" customWidth="1"/>
    <col min="12" max="12" width="17.28515625" style="275" bestFit="1" customWidth="1"/>
    <col min="13" max="13" width="23.28515625" style="275" customWidth="1"/>
    <col min="14" max="14" width="13.7109375" style="275" bestFit="1" customWidth="1"/>
    <col min="15" max="15" width="17.5703125" style="275" customWidth="1"/>
    <col min="16" max="16" width="109.28515625" style="6" customWidth="1"/>
    <col min="17" max="17" width="16.5703125" style="275" customWidth="1"/>
    <col min="18" max="18" width="15.7109375" style="275" bestFit="1" customWidth="1"/>
    <col min="19" max="19" width="12.42578125" style="275" customWidth="1"/>
    <col min="20" max="20" width="15" style="275" customWidth="1"/>
    <col min="21" max="21" width="12" style="275" customWidth="1"/>
    <col min="22" max="22" width="10.42578125" style="275" customWidth="1"/>
    <col min="23" max="23" width="11.42578125" style="275" customWidth="1"/>
    <col min="24" max="24" width="10.42578125" style="275" customWidth="1"/>
    <col min="25" max="25" width="8.42578125" style="275" customWidth="1"/>
    <col min="26" max="26" width="9.5703125" style="275" customWidth="1"/>
    <col min="27" max="27" width="8.42578125" style="275" customWidth="1"/>
    <col min="28" max="29" width="7.5703125" style="275" customWidth="1"/>
    <col min="30" max="51" width="9.42578125" style="275"/>
    <col min="52" max="52" width="1.5703125" style="275" customWidth="1"/>
    <col min="53" max="54" width="9.42578125" style="275"/>
    <col min="55" max="56" width="15.42578125" style="275" customWidth="1"/>
    <col min="57" max="16384" width="9.42578125" style="275"/>
  </cols>
  <sheetData>
    <row r="1" spans="2:29" ht="1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R1" s="467"/>
      <c r="S1" s="553" t="s">
        <v>0</v>
      </c>
      <c r="T1" s="553"/>
      <c r="U1" s="553" t="s">
        <v>1</v>
      </c>
      <c r="V1" s="553"/>
      <c r="W1" s="553" t="s">
        <v>2</v>
      </c>
      <c r="X1" s="553"/>
      <c r="Y1" s="553" t="s">
        <v>124</v>
      </c>
      <c r="Z1" s="553"/>
    </row>
    <row r="2" spans="2:29" ht="15">
      <c r="B2" s="554" t="s">
        <v>3</v>
      </c>
      <c r="C2" s="554"/>
      <c r="D2" s="554"/>
      <c r="E2" s="554"/>
      <c r="F2" s="554"/>
      <c r="G2" s="554"/>
      <c r="H2" s="554"/>
      <c r="I2" s="554"/>
      <c r="J2" s="554"/>
      <c r="K2" s="554"/>
      <c r="L2" s="554"/>
      <c r="M2" s="554"/>
      <c r="N2" s="554"/>
      <c r="O2" s="554"/>
      <c r="P2" s="4"/>
      <c r="R2" s="467"/>
      <c r="S2" s="467" t="s">
        <v>4</v>
      </c>
      <c r="T2" s="467" t="s">
        <v>5</v>
      </c>
      <c r="U2" s="467" t="s">
        <v>4</v>
      </c>
      <c r="V2" s="467" t="s">
        <v>5</v>
      </c>
      <c r="W2" s="467" t="s">
        <v>4</v>
      </c>
      <c r="X2" s="467" t="s">
        <v>5</v>
      </c>
      <c r="Y2" s="467" t="s">
        <v>4</v>
      </c>
      <c r="Z2" s="467" t="s">
        <v>5</v>
      </c>
    </row>
    <row r="3" spans="2:29" ht="14.25" customHeight="1">
      <c r="B3" s="5"/>
      <c r="R3" s="467" t="s">
        <v>6</v>
      </c>
      <c r="S3" s="468">
        <v>11.6</v>
      </c>
      <c r="T3" s="469">
        <v>12</v>
      </c>
      <c r="U3" s="9">
        <v>0</v>
      </c>
      <c r="V3" s="10">
        <v>0.118055555555556</v>
      </c>
      <c r="W3" s="10">
        <v>0.22569444444444445</v>
      </c>
      <c r="X3" s="10">
        <v>0.2638888888888889</v>
      </c>
      <c r="Y3" s="470">
        <v>0</v>
      </c>
      <c r="Z3" s="468">
        <v>60</v>
      </c>
      <c r="AB3" s="275" t="s">
        <v>135</v>
      </c>
    </row>
    <row r="4" spans="2:29" ht="30.75" customHeight="1">
      <c r="B4" s="301" t="s">
        <v>133</v>
      </c>
      <c r="C4" s="419">
        <v>46281</v>
      </c>
      <c r="J4" s="398" t="s">
        <v>153</v>
      </c>
      <c r="K4" s="398"/>
      <c r="L4" s="11"/>
      <c r="M4" s="555" t="s">
        <v>8</v>
      </c>
      <c r="N4" s="556"/>
      <c r="P4" s="12"/>
      <c r="R4" s="467" t="s">
        <v>9</v>
      </c>
      <c r="S4" s="468">
        <v>11.6</v>
      </c>
      <c r="T4" s="469">
        <v>12</v>
      </c>
      <c r="U4" s="9">
        <v>0</v>
      </c>
      <c r="V4" s="10">
        <v>0.118055555555556</v>
      </c>
      <c r="W4" s="10">
        <v>0.22569444444444445</v>
      </c>
      <c r="X4" s="10">
        <v>0.2638888888888889</v>
      </c>
      <c r="Y4" s="470">
        <v>0</v>
      </c>
      <c r="Z4" s="468">
        <v>60</v>
      </c>
      <c r="AA4" s="13"/>
      <c r="AB4" s="13"/>
      <c r="AC4" s="13"/>
    </row>
    <row r="5" spans="2:29" ht="12.75" customHeight="1" thickBot="1">
      <c r="B5" s="1"/>
      <c r="C5" s="549"/>
      <c r="D5" s="549"/>
      <c r="J5" s="403"/>
      <c r="K5" s="403"/>
      <c r="L5" s="11"/>
      <c r="M5" s="14" t="s">
        <v>10</v>
      </c>
      <c r="N5" s="14" t="s">
        <v>11</v>
      </c>
      <c r="P5" s="12"/>
      <c r="R5" s="467" t="s">
        <v>12</v>
      </c>
      <c r="S5" s="468">
        <v>17</v>
      </c>
      <c r="T5" s="469">
        <v>17.5</v>
      </c>
      <c r="U5" s="9">
        <v>0</v>
      </c>
      <c r="V5" s="10">
        <v>0.1076388888888889</v>
      </c>
      <c r="W5" s="10">
        <v>0.24652777777777779</v>
      </c>
      <c r="X5" s="10">
        <v>0.28472222222222221</v>
      </c>
      <c r="Y5" s="470">
        <v>0</v>
      </c>
      <c r="Z5" s="471">
        <v>60</v>
      </c>
      <c r="AA5" s="13"/>
      <c r="AB5" s="13"/>
      <c r="AC5" s="13"/>
    </row>
    <row r="6" spans="2:29" ht="14.25" customHeight="1">
      <c r="B6" s="15"/>
      <c r="C6" s="1"/>
      <c r="D6" s="1"/>
      <c r="J6" s="399" t="s">
        <v>168</v>
      </c>
      <c r="K6" s="400"/>
      <c r="L6" s="311" t="s">
        <v>14</v>
      </c>
      <c r="M6" s="340"/>
      <c r="N6" s="340"/>
      <c r="P6" s="16"/>
      <c r="R6" s="467" t="s">
        <v>15</v>
      </c>
      <c r="S6" s="468">
        <v>13.3</v>
      </c>
      <c r="T6" s="469">
        <v>13.5</v>
      </c>
      <c r="U6" s="9">
        <v>0</v>
      </c>
      <c r="V6" s="9">
        <v>0.12905092592592593</v>
      </c>
      <c r="W6" s="10">
        <v>0.27430555555555552</v>
      </c>
      <c r="X6" s="10">
        <v>0.30208333333333331</v>
      </c>
      <c r="Y6" s="470">
        <v>0</v>
      </c>
      <c r="Z6" s="471"/>
      <c r="AA6" s="13"/>
      <c r="AB6" s="13"/>
      <c r="AC6" s="13"/>
    </row>
    <row r="7" spans="2:29" ht="13.35" customHeight="1" thickBot="1">
      <c r="J7" s="401"/>
      <c r="K7" s="402"/>
      <c r="R7" s="467" t="s">
        <v>16</v>
      </c>
      <c r="S7" s="468">
        <v>17</v>
      </c>
      <c r="T7" s="469">
        <v>17.399999999999999</v>
      </c>
      <c r="U7" s="9">
        <v>0</v>
      </c>
      <c r="V7" s="9">
        <v>0.13605324074074074</v>
      </c>
      <c r="W7" s="10">
        <v>0.27430555555555552</v>
      </c>
      <c r="X7" s="10">
        <v>0.30902777777777779</v>
      </c>
      <c r="Y7" s="470">
        <v>0</v>
      </c>
      <c r="Z7" s="471">
        <v>85</v>
      </c>
      <c r="AA7" s="13"/>
      <c r="AB7" s="13"/>
      <c r="AC7" s="13"/>
    </row>
    <row r="8" spans="2:29" ht="25.5" customHeight="1">
      <c r="B8" s="507" t="s">
        <v>17</v>
      </c>
      <c r="C8" s="516" t="s">
        <v>18</v>
      </c>
      <c r="D8" s="516" t="s">
        <v>19</v>
      </c>
      <c r="E8" s="356" t="s">
        <v>20</v>
      </c>
      <c r="F8" s="356" t="s">
        <v>21</v>
      </c>
      <c r="G8" s="516" t="s">
        <v>22</v>
      </c>
      <c r="H8" s="551" t="s">
        <v>144</v>
      </c>
      <c r="I8" s="516" t="s">
        <v>167</v>
      </c>
      <c r="J8" s="542" t="s">
        <v>23</v>
      </c>
      <c r="K8" s="544" t="s">
        <v>142</v>
      </c>
      <c r="L8" s="546" t="s">
        <v>24</v>
      </c>
      <c r="M8" s="359" t="s">
        <v>25</v>
      </c>
      <c r="N8" s="17" t="s">
        <v>166</v>
      </c>
      <c r="O8" s="516" t="s">
        <v>155</v>
      </c>
      <c r="P8" s="548"/>
      <c r="R8" s="467" t="s">
        <v>125</v>
      </c>
      <c r="S8" s="468">
        <v>16.600000000000001</v>
      </c>
      <c r="T8" s="469">
        <v>17</v>
      </c>
      <c r="U8" s="9">
        <v>0</v>
      </c>
      <c r="V8" s="9">
        <v>0.12905092592592593</v>
      </c>
      <c r="W8" s="10">
        <v>0.27430555555555552</v>
      </c>
      <c r="X8" s="10">
        <v>0.30208333333333331</v>
      </c>
      <c r="Y8" s="470">
        <v>0</v>
      </c>
      <c r="Z8" s="471"/>
    </row>
    <row r="9" spans="2:29" ht="36" customHeight="1">
      <c r="B9" s="550"/>
      <c r="C9" s="541"/>
      <c r="D9" s="541"/>
      <c r="E9" s="357" t="s">
        <v>30</v>
      </c>
      <c r="F9" s="357" t="s">
        <v>31</v>
      </c>
      <c r="G9" s="541"/>
      <c r="H9" s="552"/>
      <c r="I9" s="541"/>
      <c r="J9" s="543"/>
      <c r="K9" s="545"/>
      <c r="L9" s="547"/>
      <c r="M9" s="20" t="s">
        <v>32</v>
      </c>
      <c r="N9" s="21" t="s">
        <v>41</v>
      </c>
      <c r="O9" s="541"/>
      <c r="P9" s="541"/>
      <c r="R9" s="467" t="s">
        <v>33</v>
      </c>
      <c r="S9" s="468">
        <v>14.2</v>
      </c>
      <c r="T9" s="469">
        <v>14.6</v>
      </c>
      <c r="U9" s="9">
        <v>0</v>
      </c>
      <c r="V9" s="9">
        <v>0.13905092592592591</v>
      </c>
      <c r="W9" s="10">
        <v>0.26041666666666669</v>
      </c>
      <c r="X9" s="10">
        <v>0.2951388888888889</v>
      </c>
      <c r="Y9" s="470">
        <v>0</v>
      </c>
      <c r="Z9" s="471">
        <v>75</v>
      </c>
    </row>
    <row r="10" spans="2:29" ht="15" customHeight="1">
      <c r="B10" s="29" t="s">
        <v>6</v>
      </c>
      <c r="C10" s="366" t="str">
        <f>[4]Brewhouse!$A746</f>
        <v>CA697</v>
      </c>
      <c r="D10" s="279">
        <f>[4]Brewhouse!$AF746</f>
        <v>51.4</v>
      </c>
      <c r="E10" s="279">
        <f>[4]Brewhouse!$AI746</f>
        <v>51.6</v>
      </c>
      <c r="F10" s="278">
        <f>[4]Brewhouse!$V746</f>
        <v>63</v>
      </c>
      <c r="G10" s="279">
        <f>[4]Brewhouse!AG746</f>
        <v>11.9</v>
      </c>
      <c r="H10" s="396">
        <v>12</v>
      </c>
      <c r="I10" s="368">
        <f>[4]Brewhouse!$AU746</f>
        <v>100.59914666956269</v>
      </c>
      <c r="J10" s="368">
        <f>[4]Brewhouse!$AV746</f>
        <v>101.37947158397257</v>
      </c>
      <c r="K10" s="281">
        <f>[4]Brewhouse!$Q746</f>
        <v>6.1481481481481488</v>
      </c>
      <c r="L10" s="276">
        <f>[4]Brewhouse!$P746</f>
        <v>59</v>
      </c>
      <c r="M10" s="374">
        <f>[4]Brewhouse!$U746-[4]Brewhouse!$T746</f>
        <v>0.11458333333333337</v>
      </c>
      <c r="N10" s="370">
        <f>[4]Brewhouse!$Z746</f>
        <v>0.2638888888888889</v>
      </c>
      <c r="O10" s="420" t="str">
        <f>[4]Brewhouse!$AX746</f>
        <v>K. Benjamin</v>
      </c>
      <c r="P10" s="418"/>
      <c r="R10" s="277" t="str">
        <f t="shared" ref="R10:R18" si="0">B10</f>
        <v>CARIB</v>
      </c>
      <c r="S10" s="472">
        <f t="shared" ref="S10:S18" si="1">VLOOKUP($B10,$R$3:$X$9,2,FALSE)</f>
        <v>11.6</v>
      </c>
      <c r="T10" s="472">
        <f t="shared" ref="T10:T18" si="2">VLOOKUP($B10,$R$3:$X$9,3,FALSE)</f>
        <v>12</v>
      </c>
      <c r="U10" s="297">
        <f t="shared" ref="U10:U18" si="3">VLOOKUP($B10,$R$3:$X$9,4,FALSE)</f>
        <v>0</v>
      </c>
      <c r="V10" s="297">
        <f t="shared" ref="V10:V18" si="4">VLOOKUP($B10,$R$3:$X$9,5,FALSE)</f>
        <v>0.118055555555556</v>
      </c>
      <c r="W10" s="297">
        <f t="shared" ref="W10:W18" si="5">VLOOKUP($B10,$R$3:$X$9,6,FALSE)</f>
        <v>0.22569444444444445</v>
      </c>
      <c r="X10" s="297">
        <f t="shared" ref="X10:X18" si="6">VLOOKUP($B10,$R$3:$X$9,7,FALSE)</f>
        <v>0.2638888888888889</v>
      </c>
      <c r="Y10" s="297">
        <f t="shared" ref="Y10:Y18" si="7">VLOOKUP($B10,$R$3:$Z$9,8,FALSE)</f>
        <v>0</v>
      </c>
      <c r="Z10" s="472">
        <f t="shared" ref="Z10:Z18" si="8">VLOOKUP($B10,$R$3:$Z$9,9,FALSE)</f>
        <v>60</v>
      </c>
    </row>
    <row r="11" spans="2:29" ht="15" customHeight="1">
      <c r="B11" s="29" t="s">
        <v>6</v>
      </c>
      <c r="C11" s="366" t="str">
        <f>[4]Brewhouse!$A747</f>
        <v>CA698</v>
      </c>
      <c r="D11" s="279">
        <f>[4]Brewhouse!$AF747</f>
        <v>50</v>
      </c>
      <c r="E11" s="279">
        <f>[4]Brewhouse!$AI747</f>
        <v>50.5</v>
      </c>
      <c r="F11" s="278">
        <f>[4]Brewhouse!$V747</f>
        <v>55</v>
      </c>
      <c r="G11" s="279">
        <f>[4]Brewhouse!AG747</f>
        <v>11.7</v>
      </c>
      <c r="H11" s="396">
        <v>11.8</v>
      </c>
      <c r="I11" s="368">
        <f>[4]Brewhouse!$AU747</f>
        <v>96.83330789221209</v>
      </c>
      <c r="J11" s="368">
        <f>[4]Brewhouse!$AV747</f>
        <v>97.584373925744757</v>
      </c>
      <c r="K11" s="281">
        <f>[4]Brewhouse!$Q747</f>
        <v>8.9094269870609999</v>
      </c>
      <c r="L11" s="276">
        <f>[4]Brewhouse!$P747</f>
        <v>60</v>
      </c>
      <c r="M11" s="374">
        <f>[4]Brewhouse!$U747-[4]Brewhouse!$T747</f>
        <v>0.1076388888888889</v>
      </c>
      <c r="N11" s="370">
        <f>[4]Brewhouse!$Z747</f>
        <v>0.27569444444444446</v>
      </c>
      <c r="O11" s="420" t="str">
        <f>[4]Brewhouse!$AX747</f>
        <v>K. Benjamin</v>
      </c>
      <c r="P11" s="418"/>
      <c r="R11" s="277" t="str">
        <f t="shared" si="0"/>
        <v>CARIB</v>
      </c>
      <c r="S11" s="472">
        <f t="shared" si="1"/>
        <v>11.6</v>
      </c>
      <c r="T11" s="472">
        <f t="shared" si="2"/>
        <v>12</v>
      </c>
      <c r="U11" s="297">
        <f t="shared" si="3"/>
        <v>0</v>
      </c>
      <c r="V11" s="297">
        <f t="shared" si="4"/>
        <v>0.118055555555556</v>
      </c>
      <c r="W11" s="297">
        <f t="shared" si="5"/>
        <v>0.22569444444444445</v>
      </c>
      <c r="X11" s="297">
        <f t="shared" si="6"/>
        <v>0.2638888888888889</v>
      </c>
      <c r="Y11" s="297">
        <f t="shared" si="7"/>
        <v>0</v>
      </c>
      <c r="Z11" s="472">
        <f t="shared" si="8"/>
        <v>60</v>
      </c>
    </row>
    <row r="12" spans="2:29" ht="15" customHeight="1">
      <c r="B12" s="29" t="s">
        <v>6</v>
      </c>
      <c r="C12" s="366" t="str">
        <f>[4]Brewhouse!$A748</f>
        <v>CA699</v>
      </c>
      <c r="D12" s="279">
        <f>[4]Brewhouse!$AF748</f>
        <v>49</v>
      </c>
      <c r="E12" s="279">
        <f>[4]Brewhouse!$AI748</f>
        <v>49.7</v>
      </c>
      <c r="F12" s="278">
        <f>[4]Brewhouse!$V748</f>
        <v>61</v>
      </c>
      <c r="G12" s="279">
        <f>[4]Brewhouse!AG748</f>
        <v>11.8</v>
      </c>
      <c r="H12" s="396">
        <v>11.8</v>
      </c>
      <c r="I12" s="368">
        <f>[4]Brewhouse!$AU748</f>
        <v>96.27440025962683</v>
      </c>
      <c r="J12" s="368">
        <f>[4]Brewhouse!$AV748</f>
        <v>97.021083292762469</v>
      </c>
      <c r="K12" s="281">
        <f>[4]Brewhouse!$Q748</f>
        <v>12.975970425138639</v>
      </c>
      <c r="L12" s="276">
        <f>[4]Brewhouse!$P748</f>
        <v>61</v>
      </c>
      <c r="M12" s="374">
        <f>[4]Brewhouse!$U748-[4]Brewhouse!$T748</f>
        <v>0.10902777777777783</v>
      </c>
      <c r="N12" s="370">
        <f>[4]Brewhouse!$Z748</f>
        <v>0.25277777777777777</v>
      </c>
      <c r="O12" s="420" t="str">
        <f>[4]Brewhouse!$AX748</f>
        <v>R. Regis</v>
      </c>
      <c r="P12" s="418"/>
      <c r="R12" s="277" t="str">
        <f t="shared" si="0"/>
        <v>CARIB</v>
      </c>
      <c r="S12" s="472">
        <f t="shared" si="1"/>
        <v>11.6</v>
      </c>
      <c r="T12" s="472">
        <f t="shared" si="2"/>
        <v>12</v>
      </c>
      <c r="U12" s="297">
        <f t="shared" si="3"/>
        <v>0</v>
      </c>
      <c r="V12" s="297">
        <f t="shared" si="4"/>
        <v>0.118055555555556</v>
      </c>
      <c r="W12" s="297">
        <f t="shared" si="5"/>
        <v>0.22569444444444445</v>
      </c>
      <c r="X12" s="297">
        <f t="shared" si="6"/>
        <v>0.2638888888888889</v>
      </c>
      <c r="Y12" s="297">
        <f t="shared" si="7"/>
        <v>0</v>
      </c>
      <c r="Z12" s="472">
        <f t="shared" si="8"/>
        <v>60</v>
      </c>
    </row>
    <row r="13" spans="2:29" ht="15" customHeight="1">
      <c r="B13" s="29" t="s">
        <v>6</v>
      </c>
      <c r="C13" s="366" t="str">
        <f>[4]Brewhouse!$A749</f>
        <v>CA700</v>
      </c>
      <c r="D13" s="279">
        <f>[4]Brewhouse!$AF749</f>
        <v>49.4</v>
      </c>
      <c r="E13" s="279">
        <f>[4]Brewhouse!$AI749</f>
        <v>50</v>
      </c>
      <c r="F13" s="278">
        <f>[4]Brewhouse!$V749</f>
        <v>59</v>
      </c>
      <c r="G13" s="279">
        <f>[4]Brewhouse!AG749</f>
        <v>11.9</v>
      </c>
      <c r="H13" s="396">
        <v>12</v>
      </c>
      <c r="I13" s="368">
        <f>[4]Brewhouse!$AU749</f>
        <v>98.200690439983745</v>
      </c>
      <c r="J13" s="368">
        <f>[4]Brewhouse!$AV749</f>
        <v>98.962116481498398</v>
      </c>
      <c r="K13" s="281">
        <f>[4]Brewhouse!$Q749</f>
        <v>13.715341959334568</v>
      </c>
      <c r="L13" s="276">
        <f>[4]Brewhouse!$P749</f>
        <v>59</v>
      </c>
      <c r="M13" s="374">
        <f>[4]Brewhouse!$U749-[4]Brewhouse!$T749</f>
        <v>0.10972222222222217</v>
      </c>
      <c r="N13" s="370">
        <f>[4]Brewhouse!$Z749</f>
        <v>0.24722222222222223</v>
      </c>
      <c r="O13" s="420" t="str">
        <f>[4]Brewhouse!$AX749</f>
        <v>R. Regis</v>
      </c>
      <c r="P13" s="418"/>
      <c r="R13" s="277" t="str">
        <f t="shared" si="0"/>
        <v>CARIB</v>
      </c>
      <c r="S13" s="472">
        <f t="shared" si="1"/>
        <v>11.6</v>
      </c>
      <c r="T13" s="472">
        <f t="shared" si="2"/>
        <v>12</v>
      </c>
      <c r="U13" s="297">
        <f t="shared" si="3"/>
        <v>0</v>
      </c>
      <c r="V13" s="297">
        <f t="shared" si="4"/>
        <v>0.118055555555556</v>
      </c>
      <c r="W13" s="297">
        <f t="shared" si="5"/>
        <v>0.22569444444444445</v>
      </c>
      <c r="X13" s="297">
        <f t="shared" si="6"/>
        <v>0.2638888888888889</v>
      </c>
      <c r="Y13" s="297">
        <f t="shared" si="7"/>
        <v>0</v>
      </c>
      <c r="Z13" s="472">
        <f t="shared" si="8"/>
        <v>60</v>
      </c>
    </row>
    <row r="14" spans="2:29" ht="15" customHeight="1">
      <c r="B14" s="29" t="s">
        <v>6</v>
      </c>
      <c r="C14" s="366" t="str">
        <f>[4]Brewhouse!$A750</f>
        <v>CA701</v>
      </c>
      <c r="D14" s="279">
        <f>[4]Brewhouse!$AF750</f>
        <v>48.4</v>
      </c>
      <c r="E14" s="279">
        <f>[4]Brewhouse!$AI750</f>
        <v>49.1</v>
      </c>
      <c r="F14" s="278">
        <f>[4]Brewhouse!$V750</f>
        <v>57</v>
      </c>
      <c r="G14" s="279">
        <f>[4]Brewhouse!AG750</f>
        <v>11.8</v>
      </c>
      <c r="H14" s="396">
        <v>11.9</v>
      </c>
      <c r="I14" s="368">
        <f>[4]Brewhouse!$AU750</f>
        <v>95.935798235039968</v>
      </c>
      <c r="J14" s="368">
        <f>[4]Brewhouse!$AV750</f>
        <v>96.679517313882144</v>
      </c>
      <c r="K14" s="281">
        <f>[4]Brewhouse!$Q750</f>
        <v>14.085027726432529</v>
      </c>
      <c r="L14" s="276">
        <f>[4]Brewhouse!$P750</f>
        <v>61</v>
      </c>
      <c r="M14" s="374">
        <f>[4]Brewhouse!$U750-[4]Brewhouse!$T750</f>
        <v>0.1069444444444444</v>
      </c>
      <c r="N14" s="370">
        <f>[4]Brewhouse!$Z750</f>
        <v>0.25277777777777777</v>
      </c>
      <c r="O14" s="420" t="str">
        <f>[4]Brewhouse!$AX750</f>
        <v>D. Gomaz</v>
      </c>
      <c r="P14" s="418"/>
      <c r="R14" s="277" t="str">
        <f t="shared" si="0"/>
        <v>CARIB</v>
      </c>
      <c r="S14" s="472">
        <f t="shared" si="1"/>
        <v>11.6</v>
      </c>
      <c r="T14" s="472">
        <f t="shared" si="2"/>
        <v>12</v>
      </c>
      <c r="U14" s="297">
        <f t="shared" si="3"/>
        <v>0</v>
      </c>
      <c r="V14" s="297">
        <f t="shared" si="4"/>
        <v>0.118055555555556</v>
      </c>
      <c r="W14" s="297">
        <f t="shared" si="5"/>
        <v>0.22569444444444445</v>
      </c>
      <c r="X14" s="297">
        <f t="shared" si="6"/>
        <v>0.2638888888888889</v>
      </c>
      <c r="Y14" s="297">
        <f t="shared" si="7"/>
        <v>0</v>
      </c>
      <c r="Z14" s="472">
        <f t="shared" si="8"/>
        <v>60</v>
      </c>
    </row>
    <row r="15" spans="2:29" ht="15" customHeight="1">
      <c r="B15" s="29" t="s">
        <v>6</v>
      </c>
      <c r="C15" s="366" t="str">
        <f>[4]Brewhouse!$A751</f>
        <v>CA702</v>
      </c>
      <c r="D15" s="279">
        <f>[4]Brewhouse!$AF751</f>
        <v>50.9</v>
      </c>
      <c r="E15" s="279">
        <f>[4]Brewhouse!$AI751</f>
        <v>51.5</v>
      </c>
      <c r="F15" s="278">
        <f>[4]Brewhouse!$V751</f>
        <v>54</v>
      </c>
      <c r="G15" s="488">
        <f>[4]Brewhouse!AG751</f>
        <v>12.2</v>
      </c>
      <c r="H15" s="493">
        <v>12.1</v>
      </c>
      <c r="I15" s="368">
        <f>[4]Brewhouse!$AU751</f>
        <v>103.95583994710779</v>
      </c>
      <c r="J15" s="368">
        <f>[4]Brewhouse!$AV751</f>
        <v>104.7618376976899</v>
      </c>
      <c r="K15" s="281">
        <f>[4]Brewhouse!$Q751</f>
        <v>12.421441774491679</v>
      </c>
      <c r="L15" s="276">
        <f>[4]Brewhouse!$P751</f>
        <v>59</v>
      </c>
      <c r="M15" s="374">
        <f>[4]Brewhouse!$U751-[4]Brewhouse!$T751</f>
        <v>0.10902777777777783</v>
      </c>
      <c r="N15" s="370">
        <f>[4]Brewhouse!$Z751</f>
        <v>0.25000000000000011</v>
      </c>
      <c r="O15" s="420" t="str">
        <f>[4]Brewhouse!$AX751</f>
        <v>D. Gomaz</v>
      </c>
      <c r="P15" s="418"/>
      <c r="R15" s="277" t="str">
        <f t="shared" si="0"/>
        <v>CARIB</v>
      </c>
      <c r="S15" s="472">
        <f t="shared" si="1"/>
        <v>11.6</v>
      </c>
      <c r="T15" s="472">
        <f t="shared" si="2"/>
        <v>12</v>
      </c>
      <c r="U15" s="297">
        <f t="shared" si="3"/>
        <v>0</v>
      </c>
      <c r="V15" s="297">
        <f t="shared" si="4"/>
        <v>0.118055555555556</v>
      </c>
      <c r="W15" s="297">
        <f t="shared" si="5"/>
        <v>0.22569444444444445</v>
      </c>
      <c r="X15" s="297">
        <f t="shared" si="6"/>
        <v>0.2638888888888889</v>
      </c>
      <c r="Y15" s="297">
        <f t="shared" si="7"/>
        <v>0</v>
      </c>
      <c r="Z15" s="472">
        <f t="shared" si="8"/>
        <v>60</v>
      </c>
    </row>
    <row r="16" spans="2:29" ht="15" customHeight="1">
      <c r="B16" s="29" t="s">
        <v>6</v>
      </c>
      <c r="C16" s="366" t="str">
        <f>[4]Brewhouse!$A752</f>
        <v>CA703</v>
      </c>
      <c r="D16" s="279">
        <f>[4]Brewhouse!$AF752</f>
        <v>47.2</v>
      </c>
      <c r="E16" s="279">
        <f>[4]Brewhouse!$AI752</f>
        <v>47.6</v>
      </c>
      <c r="F16" s="278">
        <f>[4]Brewhouse!$V752</f>
        <v>50</v>
      </c>
      <c r="G16" s="279">
        <f>[4]Brewhouse!AG752</f>
        <v>11.9</v>
      </c>
      <c r="H16" s="396">
        <v>12</v>
      </c>
      <c r="I16" s="368">
        <f>[4]Brewhouse!$AU752</f>
        <v>93.602427745802785</v>
      </c>
      <c r="J16" s="368">
        <f>[4]Brewhouse!$AV752</f>
        <v>94.32815269064983</v>
      </c>
      <c r="K16" s="281">
        <f>[4]Brewhouse!$Q752</f>
        <v>13.92592592592592</v>
      </c>
      <c r="L16" s="276">
        <f>[4]Brewhouse!$P752</f>
        <v>59</v>
      </c>
      <c r="M16" s="374">
        <f>[4]Brewhouse!$U752-[4]Brewhouse!$T752</f>
        <v>0.10624999999999996</v>
      </c>
      <c r="N16" s="370">
        <f>[4]Brewhouse!$Z752</f>
        <v>0.24861111111111101</v>
      </c>
      <c r="O16" s="420" t="str">
        <f>[4]Brewhouse!$AX752</f>
        <v>K. Benjamin</v>
      </c>
      <c r="P16" s="418"/>
      <c r="R16" s="277" t="str">
        <f t="shared" si="0"/>
        <v>CARIB</v>
      </c>
      <c r="S16" s="472">
        <f t="shared" si="1"/>
        <v>11.6</v>
      </c>
      <c r="T16" s="472">
        <f t="shared" si="2"/>
        <v>12</v>
      </c>
      <c r="U16" s="297">
        <f t="shared" si="3"/>
        <v>0</v>
      </c>
      <c r="V16" s="297">
        <f t="shared" si="4"/>
        <v>0.118055555555556</v>
      </c>
      <c r="W16" s="297">
        <f t="shared" si="5"/>
        <v>0.22569444444444445</v>
      </c>
      <c r="X16" s="297">
        <f t="shared" si="6"/>
        <v>0.2638888888888889</v>
      </c>
      <c r="Y16" s="297">
        <f t="shared" si="7"/>
        <v>0</v>
      </c>
      <c r="Z16" s="472">
        <f t="shared" si="8"/>
        <v>60</v>
      </c>
    </row>
    <row r="17" spans="1:27" ht="15" customHeight="1">
      <c r="B17" s="29"/>
      <c r="C17" s="366"/>
      <c r="D17" s="279"/>
      <c r="E17" s="279"/>
      <c r="F17" s="278"/>
      <c r="G17" s="279"/>
      <c r="H17" s="396"/>
      <c r="I17" s="368"/>
      <c r="J17" s="368"/>
      <c r="K17" s="281"/>
      <c r="L17" s="276"/>
      <c r="M17" s="374"/>
      <c r="N17" s="370"/>
      <c r="O17" s="420"/>
      <c r="P17" s="418"/>
      <c r="R17" s="277">
        <f t="shared" si="0"/>
        <v>0</v>
      </c>
      <c r="S17" s="472" t="e">
        <f t="shared" si="1"/>
        <v>#N/A</v>
      </c>
      <c r="T17" s="472" t="e">
        <f t="shared" si="2"/>
        <v>#N/A</v>
      </c>
      <c r="U17" s="297" t="e">
        <f t="shared" si="3"/>
        <v>#N/A</v>
      </c>
      <c r="V17" s="297" t="e">
        <f t="shared" si="4"/>
        <v>#N/A</v>
      </c>
      <c r="W17" s="297" t="e">
        <f t="shared" si="5"/>
        <v>#N/A</v>
      </c>
      <c r="X17" s="297" t="e">
        <f t="shared" si="6"/>
        <v>#N/A</v>
      </c>
      <c r="Y17" s="297" t="e">
        <f t="shared" si="7"/>
        <v>#N/A</v>
      </c>
      <c r="Z17" s="472" t="e">
        <f t="shared" si="8"/>
        <v>#N/A</v>
      </c>
    </row>
    <row r="18" spans="1:27" ht="15" customHeight="1">
      <c r="B18" s="29"/>
      <c r="C18" s="366"/>
      <c r="D18" s="279"/>
      <c r="E18" s="279"/>
      <c r="F18" s="278"/>
      <c r="G18" s="279"/>
      <c r="H18" s="396"/>
      <c r="I18" s="368"/>
      <c r="J18" s="368"/>
      <c r="K18" s="281"/>
      <c r="L18" s="276"/>
      <c r="M18" s="374"/>
      <c r="N18" s="370"/>
      <c r="O18" s="420"/>
      <c r="P18" s="418"/>
      <c r="R18" s="277">
        <f t="shared" si="0"/>
        <v>0</v>
      </c>
      <c r="S18" s="472" t="e">
        <f t="shared" si="1"/>
        <v>#N/A</v>
      </c>
      <c r="T18" s="472" t="e">
        <f t="shared" si="2"/>
        <v>#N/A</v>
      </c>
      <c r="U18" s="297" t="e">
        <f t="shared" si="3"/>
        <v>#N/A</v>
      </c>
      <c r="V18" s="297" t="e">
        <f t="shared" si="4"/>
        <v>#N/A</v>
      </c>
      <c r="W18" s="297" t="e">
        <f t="shared" si="5"/>
        <v>#N/A</v>
      </c>
      <c r="X18" s="297" t="e">
        <f t="shared" si="6"/>
        <v>#N/A</v>
      </c>
      <c r="Y18" s="297" t="e">
        <f t="shared" si="7"/>
        <v>#N/A</v>
      </c>
      <c r="Z18" s="472" t="e">
        <f t="shared" si="8"/>
        <v>#N/A</v>
      </c>
    </row>
    <row r="19" spans="1:27" ht="15" customHeight="1">
      <c r="B19" s="29"/>
      <c r="C19" s="366"/>
      <c r="D19" s="279"/>
      <c r="E19" s="279"/>
      <c r="F19" s="278"/>
      <c r="G19" s="279"/>
      <c r="H19" s="396"/>
      <c r="I19" s="368"/>
      <c r="J19" s="368"/>
      <c r="K19" s="281"/>
      <c r="L19" s="276"/>
      <c r="M19" s="374"/>
      <c r="N19" s="370"/>
      <c r="O19" s="420"/>
      <c r="P19" s="418"/>
      <c r="R19" s="277">
        <f t="shared" ref="R19:R35" si="9">B19</f>
        <v>0</v>
      </c>
      <c r="S19" s="472" t="e">
        <f t="shared" ref="S19:S35" si="10">VLOOKUP($B19,$R$3:$X$9,2,FALSE)</f>
        <v>#N/A</v>
      </c>
      <c r="T19" s="472" t="e">
        <f t="shared" ref="T19:T35" si="11">VLOOKUP($B19,$R$3:$X$9,3,FALSE)</f>
        <v>#N/A</v>
      </c>
      <c r="U19" s="297" t="e">
        <f t="shared" ref="U19:U35" si="12">VLOOKUP($B19,$R$3:$X$9,4,FALSE)</f>
        <v>#N/A</v>
      </c>
      <c r="V19" s="297" t="e">
        <f t="shared" ref="V19:V35" si="13">VLOOKUP($B19,$R$3:$X$9,5,FALSE)</f>
        <v>#N/A</v>
      </c>
      <c r="W19" s="297" t="e">
        <f t="shared" ref="W19:W35" si="14">VLOOKUP($B19,$R$3:$X$9,6,FALSE)</f>
        <v>#N/A</v>
      </c>
      <c r="X19" s="297" t="e">
        <f t="shared" ref="X19:X35" si="15">VLOOKUP($B19,$R$3:$X$9,7,FALSE)</f>
        <v>#N/A</v>
      </c>
      <c r="Y19" s="297" t="e">
        <f t="shared" ref="Y19:Y35" si="16">VLOOKUP($B19,$R$3:$Z$9,8,FALSE)</f>
        <v>#N/A</v>
      </c>
      <c r="Z19" s="472" t="e">
        <f t="shared" ref="Z19:Z35" si="17">VLOOKUP($B19,$R$3:$Z$9,9,FALSE)</f>
        <v>#N/A</v>
      </c>
    </row>
    <row r="20" spans="1:27" ht="15" customHeight="1">
      <c r="B20" s="29"/>
      <c r="C20" s="366"/>
      <c r="D20" s="279"/>
      <c r="E20" s="279"/>
      <c r="F20" s="278"/>
      <c r="G20" s="279"/>
      <c r="H20" s="396"/>
      <c r="I20" s="368"/>
      <c r="J20" s="368"/>
      <c r="K20" s="281"/>
      <c r="L20" s="276"/>
      <c r="M20" s="374"/>
      <c r="N20" s="370"/>
      <c r="O20" s="420"/>
      <c r="P20" s="418"/>
      <c r="R20" s="277">
        <f t="shared" si="9"/>
        <v>0</v>
      </c>
      <c r="S20" s="472" t="e">
        <f t="shared" si="10"/>
        <v>#N/A</v>
      </c>
      <c r="T20" s="472" t="e">
        <f t="shared" si="11"/>
        <v>#N/A</v>
      </c>
      <c r="U20" s="297" t="e">
        <f t="shared" si="12"/>
        <v>#N/A</v>
      </c>
      <c r="V20" s="297" t="e">
        <f t="shared" si="13"/>
        <v>#N/A</v>
      </c>
      <c r="W20" s="297" t="e">
        <f t="shared" si="14"/>
        <v>#N/A</v>
      </c>
      <c r="X20" s="297" t="e">
        <f t="shared" si="15"/>
        <v>#N/A</v>
      </c>
      <c r="Y20" s="297" t="e">
        <f t="shared" si="16"/>
        <v>#N/A</v>
      </c>
      <c r="Z20" s="472" t="e">
        <f t="shared" si="17"/>
        <v>#N/A</v>
      </c>
    </row>
    <row r="21" spans="1:27" ht="15" customHeight="1">
      <c r="B21" s="36"/>
      <c r="C21" s="366"/>
      <c r="D21" s="279"/>
      <c r="E21" s="279"/>
      <c r="F21" s="278"/>
      <c r="G21" s="279"/>
      <c r="H21" s="396"/>
      <c r="I21" s="489"/>
      <c r="J21" s="489"/>
      <c r="K21" s="490"/>
      <c r="L21" s="276"/>
      <c r="M21" s="374"/>
      <c r="N21" s="370"/>
      <c r="O21" s="420"/>
      <c r="P21" s="418"/>
      <c r="R21" s="277">
        <f t="shared" si="9"/>
        <v>0</v>
      </c>
      <c r="S21" s="472" t="e">
        <f t="shared" si="10"/>
        <v>#N/A</v>
      </c>
      <c r="T21" s="472" t="e">
        <f t="shared" si="11"/>
        <v>#N/A</v>
      </c>
      <c r="U21" s="297" t="e">
        <f t="shared" si="12"/>
        <v>#N/A</v>
      </c>
      <c r="V21" s="297" t="e">
        <f t="shared" si="13"/>
        <v>#N/A</v>
      </c>
      <c r="W21" s="297" t="e">
        <f t="shared" si="14"/>
        <v>#N/A</v>
      </c>
      <c r="X21" s="297" t="e">
        <f t="shared" si="15"/>
        <v>#N/A</v>
      </c>
      <c r="Y21" s="297" t="e">
        <f t="shared" si="16"/>
        <v>#N/A</v>
      </c>
      <c r="Z21" s="472" t="e">
        <f t="shared" si="17"/>
        <v>#N/A</v>
      </c>
    </row>
    <row r="22" spans="1:27" ht="17.25" customHeight="1" thickBot="1">
      <c r="B22" s="358"/>
      <c r="C22" s="358"/>
      <c r="D22" s="358"/>
      <c r="E22" s="358"/>
      <c r="F22" s="294"/>
      <c r="G22" s="294"/>
      <c r="H22" s="348"/>
      <c r="I22" s="535"/>
      <c r="J22" s="535"/>
      <c r="K22" s="535"/>
      <c r="L22" s="535"/>
      <c r="M22" s="535"/>
      <c r="N22" s="535"/>
      <c r="O22" s="1"/>
      <c r="P22" s="12"/>
      <c r="R22" s="277">
        <f t="shared" si="9"/>
        <v>0</v>
      </c>
      <c r="S22" s="472" t="e">
        <f t="shared" si="10"/>
        <v>#N/A</v>
      </c>
      <c r="T22" s="472" t="e">
        <f t="shared" si="11"/>
        <v>#N/A</v>
      </c>
      <c r="U22" s="297" t="e">
        <f t="shared" si="12"/>
        <v>#N/A</v>
      </c>
      <c r="V22" s="297" t="e">
        <f t="shared" si="13"/>
        <v>#N/A</v>
      </c>
      <c r="W22" s="297" t="e">
        <f t="shared" si="14"/>
        <v>#N/A</v>
      </c>
      <c r="X22" s="297" t="e">
        <f t="shared" si="15"/>
        <v>#N/A</v>
      </c>
      <c r="Y22" s="297" t="e">
        <f t="shared" si="16"/>
        <v>#N/A</v>
      </c>
      <c r="Z22" s="472" t="e">
        <f t="shared" si="17"/>
        <v>#N/A</v>
      </c>
    </row>
    <row r="23" spans="1:27" ht="17.25" customHeight="1" thickBot="1">
      <c r="B23" s="483" t="s">
        <v>162</v>
      </c>
      <c r="C23" s="388"/>
      <c r="D23" s="536" t="s">
        <v>35</v>
      </c>
      <c r="E23" s="537"/>
      <c r="F23" s="294"/>
      <c r="G23" s="294"/>
      <c r="H23" s="348"/>
      <c r="I23" s="24" t="s">
        <v>17</v>
      </c>
      <c r="J23" s="25"/>
      <c r="K23" s="26" t="s">
        <v>138</v>
      </c>
      <c r="L23" s="25" t="s">
        <v>37</v>
      </c>
      <c r="M23" s="25" t="s">
        <v>38</v>
      </c>
      <c r="N23" s="27" t="s">
        <v>39</v>
      </c>
      <c r="O23" s="294"/>
      <c r="P23" s="12"/>
      <c r="R23" s="277" t="str">
        <f t="shared" si="9"/>
        <v xml:space="preserve">BRAND </v>
      </c>
      <c r="S23" s="472" t="e">
        <f t="shared" si="10"/>
        <v>#N/A</v>
      </c>
      <c r="T23" s="472" t="e">
        <f t="shared" si="11"/>
        <v>#N/A</v>
      </c>
      <c r="U23" s="297" t="e">
        <f t="shared" si="12"/>
        <v>#N/A</v>
      </c>
      <c r="V23" s="297" t="e">
        <f t="shared" si="13"/>
        <v>#N/A</v>
      </c>
      <c r="W23" s="297" t="e">
        <f t="shared" si="14"/>
        <v>#N/A</v>
      </c>
      <c r="X23" s="297" t="e">
        <f t="shared" si="15"/>
        <v>#N/A</v>
      </c>
      <c r="Y23" s="297" t="e">
        <f t="shared" si="16"/>
        <v>#N/A</v>
      </c>
      <c r="Z23" s="472" t="e">
        <f t="shared" si="17"/>
        <v>#N/A</v>
      </c>
    </row>
    <row r="24" spans="1:27" ht="17.25" customHeight="1">
      <c r="A24" s="28"/>
      <c r="B24" s="538"/>
      <c r="C24" s="484"/>
      <c r="D24" s="523"/>
      <c r="E24" s="524"/>
      <c r="F24" s="294"/>
      <c r="G24" s="294"/>
      <c r="H24" s="348"/>
      <c r="I24" s="29" t="s">
        <v>6</v>
      </c>
      <c r="J24" s="323">
        <f>AVERAGE(I10:I16)</f>
        <v>97.914515884190834</v>
      </c>
      <c r="K24" s="284">
        <f>COUNTA([4]Brewhouse!$A$696:$A$752)</f>
        <v>57</v>
      </c>
      <c r="L24" s="305">
        <f>AVERAGE([4]Brewhouse!$AU$696:$AU$752)</f>
        <v>98.764582931473726</v>
      </c>
      <c r="M24" s="305">
        <f>AVERAGE([4]Brewhouse!$AU$42:$AU$123,[4]Brewhouse!$AU$125:$AU$188,[4]Brewhouse!$AU$198:$AU$290,[4]Brewhouse!$AU$292:$AU$370,[4]Brewhouse!$AU$372:$AU$439,[4]Brewhouse!$AU$441:$AU$497,[4]Brewhouse!$AU$499:$AU$519,[4]Brewhouse!$AU$521:$AU$593,[4]Brewhouse!$AU$595:$AU$694,[4]Brewhouse!$AU$696:$AU$752)</f>
        <v>98.324342967065277</v>
      </c>
      <c r="N24" s="30">
        <v>98</v>
      </c>
      <c r="O24" s="11"/>
      <c r="P24" s="31"/>
      <c r="R24" s="277">
        <f t="shared" si="9"/>
        <v>0</v>
      </c>
      <c r="S24" s="472" t="e">
        <f t="shared" si="10"/>
        <v>#N/A</v>
      </c>
      <c r="T24" s="472" t="e">
        <f t="shared" si="11"/>
        <v>#N/A</v>
      </c>
      <c r="U24" s="297" t="e">
        <f t="shared" si="12"/>
        <v>#N/A</v>
      </c>
      <c r="V24" s="297" t="e">
        <f t="shared" si="13"/>
        <v>#N/A</v>
      </c>
      <c r="W24" s="297" t="e">
        <f t="shared" si="14"/>
        <v>#N/A</v>
      </c>
      <c r="X24" s="297" t="e">
        <f t="shared" si="15"/>
        <v>#N/A</v>
      </c>
      <c r="Y24" s="297" t="e">
        <f t="shared" si="16"/>
        <v>#N/A</v>
      </c>
      <c r="Z24" s="472" t="e">
        <f t="shared" si="17"/>
        <v>#N/A</v>
      </c>
    </row>
    <row r="25" spans="1:27" ht="15" customHeight="1">
      <c r="A25" s="28"/>
      <c r="B25" s="539"/>
      <c r="C25" s="362"/>
      <c r="D25" s="525"/>
      <c r="E25" s="526"/>
      <c r="F25" s="294"/>
      <c r="G25" s="294"/>
      <c r="H25" s="348"/>
      <c r="I25" s="33" t="s">
        <v>9</v>
      </c>
      <c r="J25" s="323"/>
      <c r="K25" s="284">
        <f>COUNTA([5]Brewhouse!$A$363:$A$372)</f>
        <v>10</v>
      </c>
      <c r="L25" s="302">
        <f>AVERAGE([5]Brewhouse!$AS$363:$AS$372)</f>
        <v>100.50071873632695</v>
      </c>
      <c r="M25" s="302">
        <f>AVERAGE([5]Brewhouse!$AS$52:$AS$81,[5]Brewhouse!$AS$83:$AS$124,[5]Brewhouse!$AS$134:$AS$177,[5]Brewhouse!$AS$22:$AS$179,[5]Brewhouse!$AS$214:$AS$249,[5]Brewhouse!$AS$252:$AS$293,[5]Brewhouse!$AS$295:$AS$325,[5]Brewhouse!$AS$327:$AS$361,[5]Brewhouse!$AS$363:$AS$372)</f>
        <v>98.29248495310074</v>
      </c>
      <c r="N25" s="30">
        <v>98</v>
      </c>
      <c r="O25" s="11"/>
      <c r="P25" s="31"/>
      <c r="R25" s="277">
        <f t="shared" si="9"/>
        <v>0</v>
      </c>
      <c r="S25" s="472" t="e">
        <f t="shared" si="10"/>
        <v>#N/A</v>
      </c>
      <c r="T25" s="472" t="e">
        <f t="shared" si="11"/>
        <v>#N/A</v>
      </c>
      <c r="U25" s="297" t="e">
        <f t="shared" si="12"/>
        <v>#N/A</v>
      </c>
      <c r="V25" s="297" t="e">
        <f t="shared" si="13"/>
        <v>#N/A</v>
      </c>
      <c r="W25" s="297" t="e">
        <f t="shared" si="14"/>
        <v>#N/A</v>
      </c>
      <c r="X25" s="297" t="e">
        <f t="shared" si="15"/>
        <v>#N/A</v>
      </c>
      <c r="Y25" s="297" t="e">
        <f t="shared" si="16"/>
        <v>#N/A</v>
      </c>
      <c r="Z25" s="472" t="e">
        <f t="shared" si="17"/>
        <v>#N/A</v>
      </c>
    </row>
    <row r="26" spans="1:27" ht="14.65" customHeight="1">
      <c r="A26" s="28"/>
      <c r="B26" s="539"/>
      <c r="C26" s="362"/>
      <c r="D26" s="530"/>
      <c r="E26" s="531"/>
      <c r="F26" s="294"/>
      <c r="G26" s="294"/>
      <c r="H26" s="348"/>
      <c r="I26" s="34" t="s">
        <v>12</v>
      </c>
      <c r="J26" s="323"/>
      <c r="K26" s="284"/>
      <c r="L26" s="302"/>
      <c r="M26" s="302">
        <f>AVERAGE([6]Brewhouse!$AU$16:$AU$23,[6]Brewhouse!$AU$25:$AU$32,[6]Brewhouse!$AU$34:$AU$41,[6]Brewhouse!$AU$43:$AU$60,[6]Brewhouse!$AU$62:$AU$69,[6]Brewhouse!$AU$71:$AU$88,[6]Brewhouse!$AU$90:$AU$97)</f>
        <v>96.502171439390338</v>
      </c>
      <c r="N26" s="30">
        <v>98</v>
      </c>
      <c r="O26" s="11"/>
      <c r="P26" s="31"/>
      <c r="R26" s="277">
        <f t="shared" si="9"/>
        <v>0</v>
      </c>
      <c r="S26" s="472" t="e">
        <f t="shared" si="10"/>
        <v>#N/A</v>
      </c>
      <c r="T26" s="472" t="e">
        <f t="shared" si="11"/>
        <v>#N/A</v>
      </c>
      <c r="U26" s="297" t="e">
        <f t="shared" si="12"/>
        <v>#N/A</v>
      </c>
      <c r="V26" s="297" t="e">
        <f t="shared" si="13"/>
        <v>#N/A</v>
      </c>
      <c r="W26" s="297" t="e">
        <f t="shared" si="14"/>
        <v>#N/A</v>
      </c>
      <c r="X26" s="297" t="e">
        <f t="shared" si="15"/>
        <v>#N/A</v>
      </c>
      <c r="Y26" s="297" t="e">
        <f t="shared" si="16"/>
        <v>#N/A</v>
      </c>
      <c r="Z26" s="472" t="e">
        <f t="shared" si="17"/>
        <v>#N/A</v>
      </c>
    </row>
    <row r="27" spans="1:27" ht="14.65" customHeight="1">
      <c r="A27" s="28"/>
      <c r="B27" s="539"/>
      <c r="C27" s="362"/>
      <c r="D27" s="532"/>
      <c r="E27" s="526"/>
      <c r="F27" s="294"/>
      <c r="G27" s="294"/>
      <c r="H27" s="348"/>
      <c r="I27" s="22" t="s">
        <v>33</v>
      </c>
      <c r="J27" s="280"/>
      <c r="K27" s="284"/>
      <c r="L27" s="302"/>
      <c r="M27" s="302">
        <f>AVERAGE([7]Brewhouse!$AV$23:$AV$34,[7]Brewhouse!$AV$36,[7]Brewhouse!$AV$38:$AV$52,[7]Brewhouse!$AV$54:$AV$60,[7]Brewhouse!$AV$62:$AV$69,[7]Brewhouse!$AV$71:$AV$78,[7]Brewhouse!$AV$80:$AV$87,[7]Brewhouse!$AV$89:$AV$96)</f>
        <v>97.559547139003357</v>
      </c>
      <c r="N27" s="30">
        <v>98</v>
      </c>
      <c r="O27" s="11"/>
      <c r="P27" s="31"/>
      <c r="R27" s="277">
        <f t="shared" si="9"/>
        <v>0</v>
      </c>
      <c r="S27" s="472" t="e">
        <f t="shared" si="10"/>
        <v>#N/A</v>
      </c>
      <c r="T27" s="472" t="e">
        <f t="shared" si="11"/>
        <v>#N/A</v>
      </c>
      <c r="U27" s="297" t="e">
        <f t="shared" si="12"/>
        <v>#N/A</v>
      </c>
      <c r="V27" s="297" t="e">
        <f t="shared" si="13"/>
        <v>#N/A</v>
      </c>
      <c r="W27" s="297" t="e">
        <f t="shared" si="14"/>
        <v>#N/A</v>
      </c>
      <c r="X27" s="297" t="e">
        <f t="shared" si="15"/>
        <v>#N/A</v>
      </c>
      <c r="Y27" s="297" t="e">
        <f t="shared" si="16"/>
        <v>#N/A</v>
      </c>
      <c r="Z27" s="472" t="e">
        <f t="shared" si="17"/>
        <v>#N/A</v>
      </c>
    </row>
    <row r="28" spans="1:27" ht="14.65" customHeight="1">
      <c r="A28" s="28"/>
      <c r="B28" s="539"/>
      <c r="C28" s="362"/>
      <c r="D28" s="530"/>
      <c r="E28" s="531"/>
      <c r="F28" s="294"/>
      <c r="G28" s="294"/>
      <c r="H28" s="348"/>
      <c r="I28" s="35" t="s">
        <v>29</v>
      </c>
      <c r="J28" s="280"/>
      <c r="K28" s="284"/>
      <c r="L28" s="302"/>
      <c r="M28" s="302"/>
      <c r="N28" s="30">
        <v>98</v>
      </c>
      <c r="O28" s="11"/>
      <c r="P28" s="31"/>
      <c r="R28" s="277">
        <f t="shared" si="9"/>
        <v>0</v>
      </c>
      <c r="S28" s="472" t="e">
        <f t="shared" si="10"/>
        <v>#N/A</v>
      </c>
      <c r="T28" s="472" t="e">
        <f t="shared" si="11"/>
        <v>#N/A</v>
      </c>
      <c r="U28" s="297" t="e">
        <f t="shared" si="12"/>
        <v>#N/A</v>
      </c>
      <c r="V28" s="297" t="e">
        <f t="shared" si="13"/>
        <v>#N/A</v>
      </c>
      <c r="W28" s="297" t="e">
        <f t="shared" si="14"/>
        <v>#N/A</v>
      </c>
      <c r="X28" s="297" t="e">
        <f t="shared" si="15"/>
        <v>#N/A</v>
      </c>
      <c r="Y28" s="297" t="e">
        <f t="shared" si="16"/>
        <v>#N/A</v>
      </c>
      <c r="Z28" s="472" t="e">
        <f t="shared" si="17"/>
        <v>#N/A</v>
      </c>
    </row>
    <row r="29" spans="1:27" ht="14.65" customHeight="1">
      <c r="A29" s="28"/>
      <c r="B29" s="539"/>
      <c r="C29" s="362"/>
      <c r="D29" s="532"/>
      <c r="E29" s="526"/>
      <c r="F29" s="417"/>
      <c r="G29" s="294"/>
      <c r="H29" s="348"/>
      <c r="I29" s="36" t="s">
        <v>15</v>
      </c>
      <c r="J29" s="323"/>
      <c r="K29" s="284">
        <f>COUNTA([8]Brewhouse!$A$23:$A$30)</f>
        <v>8</v>
      </c>
      <c r="L29" s="302">
        <f>AVERAGE([8]Brewhouse!$AT$23:$AT$30)</f>
        <v>96.065914782338609</v>
      </c>
      <c r="M29" s="302">
        <f>AVERAGE([8]Brewhouse!$AT$4:$AT$11,[8]Brewhouse!$AT$13:$AT$16,[8]Brewhouse!$AT$18:$AT$30)</f>
        <v>93.22262799886262</v>
      </c>
      <c r="N29" s="30">
        <v>98</v>
      </c>
      <c r="O29" s="11"/>
      <c r="P29" s="31"/>
      <c r="R29" s="277">
        <f t="shared" si="9"/>
        <v>0</v>
      </c>
      <c r="S29" s="472" t="e">
        <f t="shared" si="10"/>
        <v>#N/A</v>
      </c>
      <c r="T29" s="472" t="e">
        <f t="shared" si="11"/>
        <v>#N/A</v>
      </c>
      <c r="U29" s="297" t="e">
        <f t="shared" si="12"/>
        <v>#N/A</v>
      </c>
      <c r="V29" s="297" t="e">
        <f t="shared" si="13"/>
        <v>#N/A</v>
      </c>
      <c r="W29" s="297" t="e">
        <f t="shared" si="14"/>
        <v>#N/A</v>
      </c>
      <c r="X29" s="297" t="e">
        <f t="shared" si="15"/>
        <v>#N/A</v>
      </c>
      <c r="Y29" s="297" t="e">
        <f t="shared" si="16"/>
        <v>#N/A</v>
      </c>
      <c r="Z29" s="472" t="e">
        <f t="shared" si="17"/>
        <v>#N/A</v>
      </c>
    </row>
    <row r="30" spans="1:27" ht="14.65" customHeight="1">
      <c r="A30" s="28"/>
      <c r="B30" s="539"/>
      <c r="C30" s="362"/>
      <c r="D30" s="530"/>
      <c r="E30" s="531"/>
      <c r="F30" s="417"/>
      <c r="G30" s="294"/>
      <c r="H30" s="348"/>
      <c r="I30" s="37" t="s">
        <v>16</v>
      </c>
      <c r="J30" s="323"/>
      <c r="K30" s="284"/>
      <c r="L30" s="302"/>
      <c r="M30" s="302">
        <f>AVERAGE([3]Brewhouse!$AY$5:$AY$14,[3]Brewhouse!$AY$16:$AY$23,[3]Brewhouse!$AY$42,[3]Brewhouse!$AY$44:$AY$51,[3]Brewhouse!$AY$53:$AY$64,[3]Brewhouse!$AY$66:$AY$73,[3]Brewhouse!$AY$75:$AY$82,[3]Brewhouse!$AY$84:$AY$101)</f>
        <v>97.784660430003186</v>
      </c>
      <c r="N30" s="30">
        <v>98</v>
      </c>
      <c r="O30" s="11"/>
      <c r="P30" s="31" t="s">
        <v>41</v>
      </c>
      <c r="R30" s="277">
        <f t="shared" si="9"/>
        <v>0</v>
      </c>
      <c r="S30" s="472" t="e">
        <f t="shared" si="10"/>
        <v>#N/A</v>
      </c>
      <c r="T30" s="472" t="e">
        <f t="shared" si="11"/>
        <v>#N/A</v>
      </c>
      <c r="U30" s="297" t="e">
        <f t="shared" si="12"/>
        <v>#N/A</v>
      </c>
      <c r="V30" s="297" t="e">
        <f t="shared" si="13"/>
        <v>#N/A</v>
      </c>
      <c r="W30" s="297" t="e">
        <f t="shared" si="14"/>
        <v>#N/A</v>
      </c>
      <c r="X30" s="297" t="e">
        <f t="shared" si="15"/>
        <v>#N/A</v>
      </c>
      <c r="Y30" s="297" t="e">
        <f t="shared" si="16"/>
        <v>#N/A</v>
      </c>
      <c r="Z30" s="472" t="e">
        <f t="shared" si="17"/>
        <v>#N/A</v>
      </c>
    </row>
    <row r="31" spans="1:27" ht="14.65" customHeight="1">
      <c r="A31" s="28"/>
      <c r="B31" s="539"/>
      <c r="C31" s="362"/>
      <c r="D31" s="532"/>
      <c r="E31" s="526"/>
      <c r="F31" s="294"/>
      <c r="G31" s="294"/>
      <c r="H31" s="348"/>
      <c r="I31" s="411" t="s">
        <v>158</v>
      </c>
      <c r="J31" s="326"/>
      <c r="K31" s="284"/>
      <c r="L31" s="305"/>
      <c r="M31" s="305"/>
      <c r="N31" s="30">
        <v>98</v>
      </c>
      <c r="O31" s="11"/>
      <c r="P31" s="31"/>
      <c r="R31" s="277">
        <f t="shared" si="9"/>
        <v>0</v>
      </c>
      <c r="S31" s="472" t="e">
        <f t="shared" si="10"/>
        <v>#N/A</v>
      </c>
      <c r="T31" s="472" t="e">
        <f t="shared" si="11"/>
        <v>#N/A</v>
      </c>
      <c r="U31" s="297" t="e">
        <f t="shared" si="12"/>
        <v>#N/A</v>
      </c>
      <c r="V31" s="297" t="e">
        <f t="shared" si="13"/>
        <v>#N/A</v>
      </c>
      <c r="W31" s="297" t="e">
        <f t="shared" si="14"/>
        <v>#N/A</v>
      </c>
      <c r="X31" s="297" t="e">
        <f t="shared" si="15"/>
        <v>#N/A</v>
      </c>
      <c r="Y31" s="297" t="e">
        <f t="shared" si="16"/>
        <v>#N/A</v>
      </c>
      <c r="Z31" s="472" t="e">
        <f t="shared" si="17"/>
        <v>#N/A</v>
      </c>
    </row>
    <row r="32" spans="1:27" ht="14.65" customHeight="1">
      <c r="A32" s="28"/>
      <c r="B32" s="539"/>
      <c r="C32" s="362"/>
      <c r="D32" s="530"/>
      <c r="E32" s="531"/>
      <c r="F32" s="294"/>
      <c r="G32" s="294"/>
      <c r="H32" s="348"/>
      <c r="I32" s="410" t="s">
        <v>157</v>
      </c>
      <c r="J32" s="326"/>
      <c r="K32" s="284"/>
      <c r="L32" s="305"/>
      <c r="M32" s="305"/>
      <c r="N32" s="30">
        <v>98</v>
      </c>
      <c r="O32" s="11"/>
      <c r="P32" s="31"/>
      <c r="R32" s="277">
        <f t="shared" si="9"/>
        <v>0</v>
      </c>
      <c r="S32" s="472" t="e">
        <f t="shared" si="10"/>
        <v>#N/A</v>
      </c>
      <c r="T32" s="472" t="e">
        <f t="shared" si="11"/>
        <v>#N/A</v>
      </c>
      <c r="U32" s="297" t="e">
        <f t="shared" si="12"/>
        <v>#N/A</v>
      </c>
      <c r="V32" s="297" t="e">
        <f t="shared" si="13"/>
        <v>#N/A</v>
      </c>
      <c r="W32" s="297" t="e">
        <f t="shared" si="14"/>
        <v>#N/A</v>
      </c>
      <c r="X32" s="297" t="e">
        <f t="shared" si="15"/>
        <v>#N/A</v>
      </c>
      <c r="Y32" s="297" t="e">
        <f t="shared" si="16"/>
        <v>#N/A</v>
      </c>
      <c r="Z32" s="472" t="e">
        <f t="shared" si="17"/>
        <v>#N/A</v>
      </c>
      <c r="AA32" s="472"/>
    </row>
    <row r="33" spans="1:56" ht="15" customHeight="1" thickBot="1">
      <c r="A33" s="28"/>
      <c r="B33" s="539"/>
      <c r="C33" s="362"/>
      <c r="D33" s="532"/>
      <c r="E33" s="526"/>
      <c r="F33" s="294"/>
      <c r="G33" s="294"/>
      <c r="H33" s="348"/>
      <c r="I33" s="406" t="s">
        <v>156</v>
      </c>
      <c r="J33" s="327"/>
      <c r="K33" s="407"/>
      <c r="L33" s="408"/>
      <c r="M33" s="408"/>
      <c r="N33" s="409">
        <v>98</v>
      </c>
      <c r="O33" s="11"/>
      <c r="P33" s="31"/>
      <c r="R33" s="277">
        <f t="shared" si="9"/>
        <v>0</v>
      </c>
      <c r="S33" s="472" t="e">
        <f t="shared" si="10"/>
        <v>#N/A</v>
      </c>
      <c r="T33" s="472" t="e">
        <f t="shared" si="11"/>
        <v>#N/A</v>
      </c>
      <c r="U33" s="297" t="e">
        <f t="shared" si="12"/>
        <v>#N/A</v>
      </c>
      <c r="V33" s="297" t="e">
        <f t="shared" si="13"/>
        <v>#N/A</v>
      </c>
      <c r="W33" s="297" t="e">
        <f t="shared" si="14"/>
        <v>#N/A</v>
      </c>
      <c r="X33" s="297" t="e">
        <f t="shared" si="15"/>
        <v>#N/A</v>
      </c>
      <c r="Y33" s="297" t="e">
        <f t="shared" si="16"/>
        <v>#N/A</v>
      </c>
      <c r="Z33" s="472" t="e">
        <f t="shared" si="17"/>
        <v>#N/A</v>
      </c>
      <c r="AA33" s="472"/>
    </row>
    <row r="34" spans="1:56" ht="15" customHeight="1" thickBot="1">
      <c r="A34" s="28"/>
      <c r="B34" s="539"/>
      <c r="C34" s="349"/>
      <c r="D34" s="523"/>
      <c r="E34" s="524"/>
      <c r="F34" s="294"/>
      <c r="G34" s="294"/>
      <c r="H34" s="348"/>
      <c r="I34" s="1"/>
      <c r="J34" s="39"/>
      <c r="K34" s="404">
        <f>SUM(K24:K33)</f>
        <v>75</v>
      </c>
      <c r="L34" s="405">
        <f>((L24*K24)+(L25*K25)+(L26*K26)+(L27*K27)+(L28*K28)+(K31*L31)+(L29*K29)+(L30*K30)+(L33*K33))/(K34)</f>
        <v>98.708209769546414</v>
      </c>
      <c r="M34" s="405">
        <f>AVERAGE('[9]Jan30th-31st'!$L$42,'[10]Feb 27th-28th'!$L$45,'[11]Mar 31st'!$L$42,'[12]Apr 30th'!$L$41,'[13]May 29th '!$L$35,'[14]June 30th'!$L$32,[15]July31st!$L$36,'[16]Aug 31st'!$L$32,L34)</f>
        <v>98.074003465085752</v>
      </c>
      <c r="N34" s="40">
        <v>98</v>
      </c>
      <c r="O34" s="11"/>
      <c r="P34" s="31"/>
      <c r="R34" s="277">
        <f t="shared" si="9"/>
        <v>0</v>
      </c>
      <c r="S34" s="472" t="e">
        <f t="shared" si="10"/>
        <v>#N/A</v>
      </c>
      <c r="T34" s="472" t="e">
        <f t="shared" si="11"/>
        <v>#N/A</v>
      </c>
      <c r="U34" s="297" t="e">
        <f t="shared" si="12"/>
        <v>#N/A</v>
      </c>
      <c r="V34" s="297" t="e">
        <f t="shared" si="13"/>
        <v>#N/A</v>
      </c>
      <c r="W34" s="297" t="e">
        <f t="shared" si="14"/>
        <v>#N/A</v>
      </c>
      <c r="X34" s="297" t="e">
        <f t="shared" si="15"/>
        <v>#N/A</v>
      </c>
      <c r="Y34" s="297" t="e">
        <f t="shared" si="16"/>
        <v>#N/A</v>
      </c>
      <c r="Z34" s="472" t="e">
        <f t="shared" si="17"/>
        <v>#N/A</v>
      </c>
      <c r="AA34" s="472"/>
    </row>
    <row r="35" spans="1:56" ht="15.75" thickBot="1">
      <c r="B35" s="540"/>
      <c r="C35" s="350"/>
      <c r="D35" s="525"/>
      <c r="E35" s="526"/>
      <c r="F35" s="294"/>
      <c r="G35" s="42"/>
      <c r="H35" s="41"/>
      <c r="I35" s="42"/>
      <c r="J35" s="42"/>
      <c r="K35" s="351"/>
      <c r="L35" s="348"/>
      <c r="M35" s="348"/>
      <c r="N35" s="11"/>
      <c r="O35" s="294"/>
      <c r="P35" s="12"/>
      <c r="R35" s="277">
        <f t="shared" si="9"/>
        <v>0</v>
      </c>
      <c r="S35" s="472" t="e">
        <f t="shared" si="10"/>
        <v>#N/A</v>
      </c>
      <c r="T35" s="472" t="e">
        <f t="shared" si="11"/>
        <v>#N/A</v>
      </c>
      <c r="U35" s="297" t="e">
        <f t="shared" si="12"/>
        <v>#N/A</v>
      </c>
      <c r="V35" s="297" t="e">
        <f t="shared" si="13"/>
        <v>#N/A</v>
      </c>
      <c r="W35" s="297" t="e">
        <f t="shared" si="14"/>
        <v>#N/A</v>
      </c>
      <c r="X35" s="297" t="e">
        <f t="shared" si="15"/>
        <v>#N/A</v>
      </c>
      <c r="Y35" s="297" t="e">
        <f t="shared" si="16"/>
        <v>#N/A</v>
      </c>
      <c r="Z35" s="472" t="e">
        <f t="shared" si="17"/>
        <v>#N/A</v>
      </c>
      <c r="AA35" s="472"/>
    </row>
    <row r="36" spans="1:56" ht="15.75" thickBot="1">
      <c r="B36" s="520"/>
      <c r="C36" s="362"/>
      <c r="D36" s="523"/>
      <c r="E36" s="524"/>
      <c r="F36" s="294"/>
      <c r="G36" s="42"/>
      <c r="H36" s="41"/>
      <c r="I36" s="42"/>
      <c r="J36" s="527" t="s">
        <v>129</v>
      </c>
      <c r="K36" s="527"/>
      <c r="L36" s="294"/>
      <c r="M36" s="294"/>
      <c r="N36" s="294"/>
      <c r="O36" s="294"/>
      <c r="P36" s="12"/>
    </row>
    <row r="37" spans="1:56" ht="15.75" thickBot="1">
      <c r="B37" s="521"/>
      <c r="C37" s="362"/>
      <c r="D37" s="525"/>
      <c r="E37" s="526"/>
      <c r="F37" s="294"/>
      <c r="G37" s="42"/>
      <c r="H37" s="42"/>
      <c r="I37" s="42"/>
      <c r="J37" s="292" t="s">
        <v>17</v>
      </c>
      <c r="K37" s="293"/>
      <c r="L37" s="528" t="s">
        <v>136</v>
      </c>
      <c r="M37" s="528"/>
      <c r="N37" s="529"/>
      <c r="O37" s="294"/>
      <c r="P37" s="12"/>
    </row>
    <row r="38" spans="1:56" ht="15" customHeight="1" thickBot="1">
      <c r="B38" s="521"/>
      <c r="C38" s="349"/>
      <c r="D38" s="530"/>
      <c r="E38" s="531"/>
      <c r="F38" s="294"/>
      <c r="G38" s="42"/>
      <c r="H38" s="42"/>
      <c r="I38" s="42"/>
      <c r="J38" s="287" t="s">
        <v>6</v>
      </c>
      <c r="K38" s="324">
        <v>7</v>
      </c>
      <c r="L38" s="473" t="s">
        <v>37</v>
      </c>
      <c r="M38" s="474" t="s">
        <v>38</v>
      </c>
      <c r="N38" s="474" t="s">
        <v>84</v>
      </c>
      <c r="O38" s="294"/>
      <c r="P38" s="12"/>
    </row>
    <row r="39" spans="1:56" ht="15.75" customHeight="1" thickBot="1">
      <c r="B39" s="521"/>
      <c r="C39" s="349"/>
      <c r="D39" s="532"/>
      <c r="E39" s="526"/>
      <c r="F39" s="294"/>
      <c r="G39" s="42"/>
      <c r="H39" s="42"/>
      <c r="I39" s="42"/>
      <c r="J39" s="345" t="s">
        <v>9</v>
      </c>
      <c r="K39" s="324"/>
      <c r="L39" s="485">
        <f>AVERAGE('Sept 1st'!K45,'Sept 2nd'!K47,'Sept 3rd'!K44,'Sept 4th'!K46,'Sept 7th'!K48,'Sept 8th'!K48,'Sept 9th'!K50,'Sept 10th'!K49,'Sept 11th '!K45,'Sept 14th'!K45,K48)</f>
        <v>6.8181818181818183</v>
      </c>
      <c r="M39" s="486">
        <f>AVERAGE('[9]Jan30th-31st'!$L$47,L39,'[10]Feb 26th '!$L$39,'[11]Mar 31st'!$L$47,'[12]Apr 30th'!$L$46,'[13]May 29th '!$L$40,'[14]June 30th'!$L$39,[15]July31st!$L$41,'[16]Aug 31st'!$L$37)</f>
        <v>6.4953650214519776</v>
      </c>
      <c r="N39" s="416">
        <v>9.1999999999999993</v>
      </c>
      <c r="O39" s="294"/>
      <c r="P39" s="12"/>
    </row>
    <row r="40" spans="1:56" ht="15" customHeight="1">
      <c r="B40" s="521"/>
      <c r="C40" s="349"/>
      <c r="D40" s="530"/>
      <c r="E40" s="531"/>
      <c r="F40" s="294"/>
      <c r="G40" s="42"/>
      <c r="H40" s="42"/>
      <c r="I40" s="42"/>
      <c r="J40" s="288" t="s">
        <v>40</v>
      </c>
      <c r="K40" s="324"/>
      <c r="L40" s="294"/>
      <c r="M40" s="294"/>
      <c r="N40" s="294"/>
      <c r="O40" s="294"/>
      <c r="P40" s="12"/>
    </row>
    <row r="41" spans="1:56" ht="15" customHeight="1">
      <c r="B41" s="521"/>
      <c r="C41" s="349"/>
      <c r="D41" s="532"/>
      <c r="E41" s="526"/>
      <c r="F41" s="294"/>
      <c r="G41" s="42"/>
      <c r="H41" s="42"/>
      <c r="I41" s="42"/>
      <c r="J41" s="289" t="s">
        <v>33</v>
      </c>
      <c r="K41" s="324"/>
      <c r="L41" s="294"/>
      <c r="M41" s="294"/>
      <c r="N41" s="294"/>
      <c r="O41" s="294"/>
      <c r="P41" s="12"/>
    </row>
    <row r="42" spans="1:56" ht="15">
      <c r="B42" s="521"/>
      <c r="C42" s="349"/>
      <c r="D42" s="530"/>
      <c r="E42" s="531"/>
      <c r="F42" s="294"/>
      <c r="G42" s="42"/>
      <c r="H42" s="42"/>
      <c r="I42" s="42"/>
      <c r="J42" s="290" t="s">
        <v>16</v>
      </c>
      <c r="K42" s="324"/>
      <c r="L42" s="294"/>
      <c r="M42" s="294"/>
      <c r="N42" s="294"/>
      <c r="O42" s="294"/>
      <c r="P42" s="12"/>
      <c r="BC42" s="44"/>
      <c r="BD42" s="44"/>
    </row>
    <row r="43" spans="1:56" ht="15">
      <c r="B43" s="521"/>
      <c r="C43" s="349"/>
      <c r="D43" s="532"/>
      <c r="E43" s="526"/>
      <c r="F43" s="294"/>
      <c r="G43" s="42"/>
      <c r="H43" s="42"/>
      <c r="I43" s="42"/>
      <c r="J43" s="291" t="s">
        <v>15</v>
      </c>
      <c r="K43" s="324"/>
      <c r="L43" s="294"/>
      <c r="M43" s="294"/>
      <c r="N43" s="294"/>
      <c r="O43" s="294"/>
      <c r="P43" s="12"/>
      <c r="BC43" s="44"/>
      <c r="BD43" s="44"/>
    </row>
    <row r="44" spans="1:56" ht="15">
      <c r="B44" s="521"/>
      <c r="C44" s="349"/>
      <c r="D44" s="530"/>
      <c r="E44" s="531"/>
      <c r="F44" s="294"/>
      <c r="G44" s="42"/>
      <c r="H44" s="42"/>
      <c r="I44" s="42"/>
      <c r="J44" s="291" t="s">
        <v>149</v>
      </c>
      <c r="K44" s="324"/>
      <c r="L44" s="294"/>
      <c r="M44" s="294"/>
      <c r="N44" s="294"/>
      <c r="O44" s="294"/>
      <c r="P44" s="12"/>
      <c r="BC44" s="44"/>
      <c r="BD44" s="44"/>
    </row>
    <row r="45" spans="1:56" ht="15.75" thickBot="1">
      <c r="B45" s="522"/>
      <c r="C45" s="350"/>
      <c r="D45" s="533"/>
      <c r="E45" s="534"/>
      <c r="F45" s="294" t="s">
        <v>165</v>
      </c>
      <c r="G45" s="42"/>
      <c r="H45" s="42"/>
      <c r="I45" s="42"/>
      <c r="J45" s="291" t="s">
        <v>148</v>
      </c>
      <c r="K45" s="324"/>
      <c r="L45" s="294"/>
      <c r="M45" s="294"/>
      <c r="N45" s="294" t="s">
        <v>41</v>
      </c>
      <c r="O45" s="294"/>
      <c r="P45" s="12"/>
      <c r="BC45" s="44"/>
      <c r="BD45" s="44"/>
    </row>
    <row r="46" spans="1:56" ht="17.649999999999999" customHeight="1" thickBot="1">
      <c r="B46" s="312" t="s">
        <v>139</v>
      </c>
      <c r="C46" s="313"/>
      <c r="D46" s="511"/>
      <c r="E46" s="512"/>
      <c r="F46" s="294"/>
      <c r="J46" s="295" t="s">
        <v>134</v>
      </c>
      <c r="K46" s="324"/>
      <c r="L46" s="294"/>
      <c r="M46" s="294"/>
      <c r="N46" s="294"/>
      <c r="O46" s="294"/>
      <c r="P46" s="12"/>
      <c r="BC46" s="44"/>
      <c r="BD46" s="44"/>
    </row>
    <row r="47" spans="1:56" ht="17.649999999999999" customHeight="1">
      <c r="B47" s="363"/>
      <c r="C47" s="364"/>
      <c r="D47" s="365"/>
      <c r="E47" s="365"/>
      <c r="F47" s="294"/>
      <c r="G47" s="42"/>
      <c r="H47" s="42"/>
      <c r="I47" s="42"/>
      <c r="J47" s="295" t="s">
        <v>131</v>
      </c>
      <c r="K47" s="324"/>
      <c r="L47" s="294"/>
      <c r="M47" s="294"/>
      <c r="N47" s="294"/>
      <c r="O47" s="294"/>
      <c r="P47" s="12"/>
      <c r="BC47" s="44"/>
      <c r="BD47" s="44"/>
    </row>
    <row r="48" spans="1:56" ht="15.6" customHeight="1">
      <c r="B48" s="45"/>
      <c r="C48" s="11"/>
      <c r="D48" s="11"/>
      <c r="E48" s="46"/>
      <c r="F48" s="294"/>
      <c r="G48" s="42"/>
      <c r="H48" s="42"/>
      <c r="I48" s="42"/>
      <c r="J48" s="346" t="s">
        <v>130</v>
      </c>
      <c r="K48" s="324">
        <f>SUM(K38:K47)</f>
        <v>7</v>
      </c>
      <c r="L48" s="294"/>
      <c r="M48" s="294"/>
      <c r="N48" s="294"/>
      <c r="O48" s="294"/>
      <c r="P48" s="12"/>
    </row>
    <row r="49" spans="2:57" ht="20.25" customHeight="1">
      <c r="B49" s="15" t="s">
        <v>42</v>
      </c>
      <c r="C49" s="1" t="s">
        <v>43</v>
      </c>
      <c r="D49" s="1"/>
      <c r="E49" s="1"/>
      <c r="F49" s="294"/>
      <c r="G49" s="42"/>
      <c r="H49" s="41"/>
      <c r="I49" s="42"/>
      <c r="L49" s="42"/>
      <c r="N49" s="315"/>
      <c r="P49" s="334"/>
    </row>
    <row r="50" spans="2:57" ht="15" customHeight="1" thickBot="1">
      <c r="B50" s="48"/>
      <c r="C50" s="48"/>
      <c r="D50" s="48"/>
      <c r="E50" s="48"/>
      <c r="F50" s="48"/>
      <c r="G50" s="48"/>
      <c r="H50" s="48"/>
      <c r="I50" s="48"/>
      <c r="J50" s="48"/>
      <c r="K50" s="48"/>
      <c r="L50" s="48"/>
      <c r="M50" s="48"/>
      <c r="N50" s="41"/>
      <c r="O50" s="48"/>
      <c r="P50" s="49"/>
    </row>
    <row r="51" spans="2:57" ht="15" customHeight="1" thickBot="1">
      <c r="B51" s="505" t="s">
        <v>17</v>
      </c>
      <c r="C51" s="505" t="s">
        <v>44</v>
      </c>
      <c r="D51" s="514" t="s">
        <v>45</v>
      </c>
      <c r="E51" s="516" t="s">
        <v>46</v>
      </c>
      <c r="F51" s="518" t="s">
        <v>47</v>
      </c>
      <c r="G51" s="503" t="s">
        <v>48</v>
      </c>
      <c r="H51" s="505" t="s">
        <v>49</v>
      </c>
      <c r="I51" s="505" t="s">
        <v>50</v>
      </c>
      <c r="J51" s="497" t="s">
        <v>28</v>
      </c>
      <c r="K51" s="507" t="s">
        <v>51</v>
      </c>
      <c r="L51" s="509" t="s">
        <v>52</v>
      </c>
      <c r="M51" s="497" t="s">
        <v>53</v>
      </c>
      <c r="N51" s="13"/>
      <c r="O51" s="13"/>
      <c r="P51" s="50"/>
    </row>
    <row r="52" spans="2:57" ht="28.5" customHeight="1" thickTop="1" thickBot="1">
      <c r="B52" s="506"/>
      <c r="C52" s="513"/>
      <c r="D52" s="515"/>
      <c r="E52" s="517"/>
      <c r="F52" s="519"/>
      <c r="G52" s="504"/>
      <c r="H52" s="506"/>
      <c r="I52" s="506"/>
      <c r="J52" s="498"/>
      <c r="K52" s="508"/>
      <c r="L52" s="510"/>
      <c r="M52" s="498"/>
      <c r="N52" s="13"/>
      <c r="O52" s="13"/>
      <c r="P52" s="50"/>
      <c r="Q52" s="355"/>
      <c r="AB52" s="475">
        <v>43474</v>
      </c>
      <c r="AC52" s="475">
        <v>43475</v>
      </c>
      <c r="AD52" s="475">
        <v>43476</v>
      </c>
      <c r="AE52" s="475">
        <v>43477</v>
      </c>
      <c r="AF52" s="475">
        <v>43478</v>
      </c>
      <c r="AG52" s="475">
        <v>43479</v>
      </c>
      <c r="AH52" s="475">
        <v>43480</v>
      </c>
      <c r="AI52" s="475">
        <v>43481</v>
      </c>
      <c r="AJ52" s="475">
        <v>43482</v>
      </c>
      <c r="AK52" s="475">
        <v>43483</v>
      </c>
      <c r="AL52" s="475">
        <v>43484</v>
      </c>
      <c r="AM52" s="475">
        <v>43485</v>
      </c>
      <c r="AN52" s="475">
        <v>43486</v>
      </c>
      <c r="AO52" s="475">
        <v>43487</v>
      </c>
      <c r="AP52" s="475">
        <v>43488</v>
      </c>
      <c r="AQ52" s="475">
        <v>43489</v>
      </c>
      <c r="AR52" s="475">
        <v>43490</v>
      </c>
      <c r="AS52" s="475">
        <v>43491</v>
      </c>
      <c r="AT52" s="475">
        <v>43492</v>
      </c>
      <c r="AU52" s="475">
        <v>43493</v>
      </c>
      <c r="AV52" s="475">
        <v>43494</v>
      </c>
      <c r="AW52" s="475">
        <v>43495</v>
      </c>
      <c r="AX52" s="475">
        <v>43496</v>
      </c>
    </row>
    <row r="53" spans="2:57" s="54" customFormat="1" ht="36.75" customHeight="1" thickBot="1">
      <c r="B53" s="456" t="str">
        <f>J38</f>
        <v>CARIB</v>
      </c>
      <c r="C53" s="479">
        <v>46280</v>
      </c>
      <c r="D53" s="445">
        <f>[18]September_2026!$R$3</f>
        <v>801.3</v>
      </c>
      <c r="E53" s="443"/>
      <c r="F53" s="444"/>
      <c r="G53" s="444">
        <f>[18]September_2026!$R$7</f>
        <v>737.7</v>
      </c>
      <c r="H53" s="458"/>
      <c r="I53" s="458"/>
      <c r="J53" s="448" t="s">
        <v>180</v>
      </c>
      <c r="K53" s="449">
        <f>[19]September_2026!$R$18</f>
        <v>0.43140350877192984</v>
      </c>
      <c r="L53" s="457">
        <f>(((D53+E53)-G53)/(D53+E53))*100</f>
        <v>7.9371022089105097</v>
      </c>
      <c r="M53" s="455" t="s">
        <v>179</v>
      </c>
      <c r="N53" s="13"/>
      <c r="O53" s="13"/>
      <c r="P53" s="50"/>
      <c r="R53" s="275"/>
      <c r="S53" s="275"/>
      <c r="T53" s="275"/>
      <c r="U53" s="275"/>
      <c r="V53" s="275"/>
      <c r="W53" s="275"/>
      <c r="X53" s="275"/>
      <c r="Y53" s="275"/>
      <c r="Z53" s="275"/>
      <c r="AA53" s="275"/>
      <c r="AB53" s="57">
        <f>[17]January_2019!L5</f>
        <v>0</v>
      </c>
      <c r="AC53" s="57">
        <f>[17]January_2019!M5</f>
        <v>0</v>
      </c>
      <c r="AD53" s="57">
        <f>[17]January_2019!N5</f>
        <v>0</v>
      </c>
      <c r="AE53" s="57">
        <f>[17]January_2019!O5</f>
        <v>0</v>
      </c>
      <c r="AF53" s="57">
        <f>[17]January_2019!P5</f>
        <v>0</v>
      </c>
      <c r="AG53" s="57">
        <f>[17]January_2019!Q5</f>
        <v>0</v>
      </c>
      <c r="AH53" s="57">
        <f>[17]January_2019!R5</f>
        <v>0</v>
      </c>
      <c r="AI53" s="57">
        <f>[17]January_2019!S5</f>
        <v>0</v>
      </c>
      <c r="AJ53" s="57">
        <f>[17]January_2019!T5</f>
        <v>0</v>
      </c>
      <c r="AK53" s="57">
        <f>[17]January_2019!U5</f>
        <v>0</v>
      </c>
      <c r="AL53" s="57">
        <f>[17]January_2019!V5</f>
        <v>0</v>
      </c>
      <c r="AM53" s="57">
        <f>[17]January_2019!W5</f>
        <v>0</v>
      </c>
      <c r="AN53" s="57">
        <f>[17]January_2019!X5</f>
        <v>0</v>
      </c>
      <c r="AO53" s="57">
        <f>[17]January_2019!Y5</f>
        <v>0</v>
      </c>
      <c r="AP53" s="57">
        <f>[17]January_2019!Z5</f>
        <v>0</v>
      </c>
      <c r="AQ53" s="57">
        <f>[17]January_2019!AA5</f>
        <v>0</v>
      </c>
      <c r="AR53" s="57">
        <f>[17]January_2019!AB5</f>
        <v>0</v>
      </c>
      <c r="AS53" s="57">
        <f>[17]January_2019!AC5</f>
        <v>0</v>
      </c>
      <c r="AT53" s="57">
        <f>[17]January_2019!AD5</f>
        <v>0</v>
      </c>
      <c r="AU53" s="57">
        <f>[17]January_2019!AE5</f>
        <v>0</v>
      </c>
      <c r="AV53" s="57">
        <f>[17]January_2019!AF5</f>
        <v>0</v>
      </c>
      <c r="AW53" s="57">
        <f>[17]January_2019!AG5</f>
        <v>0</v>
      </c>
      <c r="AX53" s="277">
        <f>[17]January_2019!AH5</f>
        <v>0</v>
      </c>
      <c r="AY53" s="277"/>
      <c r="AZ53" s="277"/>
      <c r="BA53" s="277"/>
      <c r="BB53" s="277"/>
      <c r="BC53" s="277"/>
      <c r="BD53" s="277"/>
      <c r="BE53" s="277"/>
    </row>
    <row r="54" spans="2:57" s="54" customFormat="1" ht="14.25" customHeight="1" thickBot="1">
      <c r="B54" s="480"/>
      <c r="C54" s="479"/>
      <c r="D54" s="442"/>
      <c r="E54" s="443"/>
      <c r="F54" s="444"/>
      <c r="G54" s="445"/>
      <c r="H54" s="458"/>
      <c r="I54" s="458"/>
      <c r="J54" s="476"/>
      <c r="K54" s="449"/>
      <c r="L54" s="457"/>
      <c r="M54" s="455"/>
      <c r="N54" s="13"/>
      <c r="O54" s="13"/>
      <c r="P54" s="50"/>
      <c r="R54" s="275"/>
      <c r="S54" s="275"/>
      <c r="T54" s="275"/>
      <c r="U54" s="275"/>
      <c r="V54" s="275"/>
      <c r="W54" s="275"/>
      <c r="X54" s="275"/>
      <c r="Y54" s="275"/>
      <c r="Z54" s="275"/>
      <c r="AA54" s="275"/>
      <c r="AB54" s="57">
        <f>[17]January_2019!L6</f>
        <v>0</v>
      </c>
      <c r="AC54" s="57">
        <f>[17]January_2019!M6</f>
        <v>0</v>
      </c>
      <c r="AD54" s="57">
        <f>[17]January_2019!N6</f>
        <v>0</v>
      </c>
      <c r="AE54" s="57">
        <f>[17]January_2019!O6</f>
        <v>0</v>
      </c>
      <c r="AF54" s="57">
        <f>[17]January_2019!P6</f>
        <v>0</v>
      </c>
      <c r="AG54" s="57">
        <f>[17]January_2019!Q6</f>
        <v>0</v>
      </c>
      <c r="AH54" s="57">
        <f>[17]January_2019!R6</f>
        <v>0</v>
      </c>
      <c r="AI54" s="57">
        <f>[17]January_2019!S6</f>
        <v>0</v>
      </c>
      <c r="AJ54" s="57">
        <f>[17]January_2019!T6</f>
        <v>0</v>
      </c>
      <c r="AK54" s="57">
        <f>[17]January_2019!U6</f>
        <v>0</v>
      </c>
      <c r="AL54" s="57">
        <f>[17]January_2019!V6</f>
        <v>0</v>
      </c>
      <c r="AM54" s="57">
        <f>[17]January_2019!W6</f>
        <v>0</v>
      </c>
      <c r="AN54" s="57">
        <f>[17]January_2019!X6</f>
        <v>0</v>
      </c>
      <c r="AO54" s="57">
        <f>[17]January_2019!Y6</f>
        <v>0</v>
      </c>
      <c r="AP54" s="57">
        <f>[17]January_2019!Z6</f>
        <v>0</v>
      </c>
      <c r="AQ54" s="57">
        <f>[17]January_2019!AA6</f>
        <v>0</v>
      </c>
      <c r="AR54" s="57">
        <f>[17]January_2019!AB6</f>
        <v>0</v>
      </c>
      <c r="AS54" s="57">
        <f>[17]January_2019!AC6</f>
        <v>0</v>
      </c>
      <c r="AT54" s="57">
        <f>[17]January_2019!AD6</f>
        <v>0</v>
      </c>
      <c r="AU54" s="57">
        <f>[17]January_2019!AE6</f>
        <v>0</v>
      </c>
      <c r="AV54" s="57">
        <f>[17]January_2019!AF6</f>
        <v>0</v>
      </c>
      <c r="AW54" s="57">
        <f>[17]January_2019!AG6</f>
        <v>0</v>
      </c>
      <c r="AX54" s="277">
        <f>[17]January_2019!AH6</f>
        <v>0</v>
      </c>
      <c r="AY54" s="277"/>
      <c r="AZ54" s="277"/>
      <c r="BA54" s="277"/>
      <c r="BB54" s="277"/>
      <c r="BC54" s="277"/>
      <c r="BD54" s="277"/>
      <c r="BE54" s="277"/>
    </row>
    <row r="55" spans="2:57" s="54" customFormat="1" ht="37.15" hidden="1" customHeight="1" thickBot="1">
      <c r="B55" s="495"/>
      <c r="C55" s="479"/>
      <c r="D55" s="442"/>
      <c r="E55" s="443"/>
      <c r="F55" s="444"/>
      <c r="G55" s="444"/>
      <c r="H55" s="446"/>
      <c r="I55" s="446"/>
      <c r="J55" s="448"/>
      <c r="K55" s="449"/>
      <c r="L55" s="457"/>
      <c r="M55" s="455"/>
      <c r="N55" s="13"/>
      <c r="O55" s="13"/>
      <c r="P55" s="50"/>
      <c r="R55" s="275"/>
      <c r="S55" s="275"/>
      <c r="T55" s="275"/>
      <c r="U55" s="275"/>
      <c r="V55" s="275"/>
      <c r="W55" s="275"/>
      <c r="X55" s="275"/>
      <c r="Y55" s="275"/>
      <c r="Z55" s="275"/>
      <c r="AA55" s="275"/>
      <c r="AB55" s="57">
        <f>[17]January_2019!L7</f>
        <v>285.8</v>
      </c>
      <c r="AC55" s="57">
        <f>[17]January_2019!M7</f>
        <v>508.1</v>
      </c>
      <c r="AD55" s="57">
        <f>[17]January_2019!N7</f>
        <v>0</v>
      </c>
      <c r="AE55" s="57">
        <f>[17]January_2019!O7</f>
        <v>0</v>
      </c>
      <c r="AF55" s="57">
        <f>[17]January_2019!P7</f>
        <v>109.56666666666666</v>
      </c>
      <c r="AG55" s="57">
        <f>[17]January_2019!Q7</f>
        <v>297.64999999999998</v>
      </c>
      <c r="AH55" s="57">
        <f>[17]January_2019!R7</f>
        <v>122.3</v>
      </c>
      <c r="AI55" s="57">
        <f>[17]January_2019!S7</f>
        <v>0</v>
      </c>
      <c r="AJ55" s="57">
        <f>[17]January_2019!T7</f>
        <v>294.7</v>
      </c>
      <c r="AK55" s="57">
        <f>[17]January_2019!U7</f>
        <v>280.5</v>
      </c>
      <c r="AL55" s="57">
        <f>[17]January_2019!V7</f>
        <v>0</v>
      </c>
      <c r="AM55" s="57">
        <f>[17]January_2019!W7</f>
        <v>0</v>
      </c>
      <c r="AN55" s="57">
        <f>[17]January_2019!X7</f>
        <v>188.25</v>
      </c>
      <c r="AO55" s="57">
        <f>[17]January_2019!Y7</f>
        <v>295.7</v>
      </c>
      <c r="AP55" s="57">
        <f>[17]January_2019!Z7</f>
        <v>257.8</v>
      </c>
      <c r="AQ55" s="57">
        <f>[17]January_2019!AA7</f>
        <v>291.2</v>
      </c>
      <c r="AR55" s="57">
        <f>[17]January_2019!AB7</f>
        <v>187</v>
      </c>
      <c r="AS55" s="57">
        <f>[17]January_2019!AC7</f>
        <v>0</v>
      </c>
      <c r="AT55" s="57">
        <f>[17]January_2019!AD7</f>
        <v>0</v>
      </c>
      <c r="AU55" s="57">
        <f>[17]January_2019!AE7</f>
        <v>485.1</v>
      </c>
      <c r="AV55" s="57">
        <f>[17]January_2019!AF7</f>
        <v>171.55</v>
      </c>
      <c r="AW55" s="57">
        <f>[17]January_2019!AG7</f>
        <v>423.8</v>
      </c>
      <c r="AX55" s="277">
        <f>[17]January_2019!AH7</f>
        <v>0</v>
      </c>
      <c r="AY55" s="277"/>
      <c r="AZ55" s="277"/>
      <c r="BA55" s="277"/>
      <c r="BB55" s="277"/>
      <c r="BC55" s="277"/>
      <c r="BD55" s="277"/>
      <c r="BE55" s="277"/>
    </row>
    <row r="56" spans="2:57" s="54" customFormat="1" ht="18.600000000000001" hidden="1" customHeight="1" thickBot="1">
      <c r="B56" s="478"/>
      <c r="C56" s="430"/>
      <c r="D56" s="431"/>
      <c r="E56" s="432"/>
      <c r="F56" s="433"/>
      <c r="G56" s="434"/>
      <c r="H56" s="458"/>
      <c r="I56" s="458"/>
      <c r="J56" s="451"/>
      <c r="K56" s="436"/>
      <c r="L56" s="452"/>
      <c r="M56" s="421"/>
      <c r="N56" s="13"/>
      <c r="O56" s="13"/>
      <c r="P56" s="50"/>
      <c r="R56" s="275"/>
      <c r="S56" s="275"/>
      <c r="T56" s="275"/>
      <c r="U56" s="275"/>
      <c r="V56" s="275"/>
      <c r="W56" s="275"/>
      <c r="X56" s="275"/>
      <c r="Y56" s="275"/>
      <c r="Z56" s="275"/>
      <c r="AA56" s="275"/>
      <c r="AB56" s="57"/>
      <c r="AC56" s="57"/>
      <c r="AD56" s="57"/>
      <c r="AE56" s="57"/>
      <c r="AF56" s="57"/>
      <c r="AG56" s="57"/>
      <c r="AH56" s="57"/>
      <c r="AI56" s="57"/>
      <c r="AJ56" s="57"/>
      <c r="AK56" s="57"/>
      <c r="AL56" s="57"/>
      <c r="AM56" s="57"/>
      <c r="AN56" s="57"/>
      <c r="AO56" s="57"/>
      <c r="AP56" s="57"/>
      <c r="AQ56" s="57"/>
      <c r="AR56" s="57"/>
      <c r="AS56" s="57"/>
      <c r="AT56" s="57"/>
      <c r="AU56" s="57"/>
      <c r="AV56" s="57"/>
      <c r="AW56" s="57"/>
      <c r="AX56" s="277"/>
      <c r="AY56" s="277"/>
      <c r="AZ56" s="277"/>
      <c r="BA56" s="277"/>
      <c r="BB56" s="277"/>
      <c r="BC56" s="277"/>
      <c r="BD56" s="277"/>
      <c r="BE56" s="277"/>
    </row>
    <row r="57" spans="2:57" s="54" customFormat="1" ht="38.65" hidden="1" customHeight="1" thickBot="1">
      <c r="B57" s="487"/>
      <c r="C57" s="479"/>
      <c r="D57" s="442"/>
      <c r="E57" s="443"/>
      <c r="F57" s="444"/>
      <c r="G57" s="445"/>
      <c r="H57" s="458"/>
      <c r="I57" s="458"/>
      <c r="J57" s="448"/>
      <c r="K57" s="459"/>
      <c r="L57" s="457"/>
      <c r="M57" s="455"/>
      <c r="N57" s="13"/>
      <c r="O57" s="13"/>
      <c r="P57" s="50"/>
      <c r="R57" s="275"/>
      <c r="S57" s="275"/>
      <c r="T57" s="275"/>
      <c r="U57" s="275"/>
      <c r="V57" s="275"/>
      <c r="W57" s="275"/>
      <c r="X57" s="275"/>
      <c r="Y57" s="275"/>
      <c r="Z57" s="275"/>
      <c r="AA57" s="275"/>
      <c r="AB57" s="57"/>
      <c r="AC57" s="57"/>
      <c r="AD57" s="57"/>
      <c r="AE57" s="57"/>
      <c r="AF57" s="57"/>
      <c r="AG57" s="57"/>
      <c r="AH57" s="57"/>
      <c r="AI57" s="57"/>
      <c r="AJ57" s="57"/>
      <c r="AK57" s="57"/>
      <c r="AL57" s="57"/>
      <c r="AM57" s="57"/>
      <c r="AN57" s="57"/>
      <c r="AO57" s="57"/>
      <c r="AP57" s="57"/>
      <c r="AQ57" s="57"/>
      <c r="AR57" s="57"/>
      <c r="AS57" s="57"/>
      <c r="AT57" s="57"/>
      <c r="AU57" s="57"/>
      <c r="AV57" s="57"/>
      <c r="AW57" s="57"/>
      <c r="AX57" s="277"/>
      <c r="AY57" s="277"/>
      <c r="AZ57" s="277"/>
      <c r="BA57" s="277"/>
      <c r="BB57" s="277"/>
      <c r="BC57" s="277"/>
      <c r="BD57" s="277"/>
      <c r="BE57" s="277"/>
    </row>
    <row r="58" spans="2:57" s="54" customFormat="1" ht="15" hidden="1">
      <c r="B58" s="453"/>
      <c r="C58" s="430"/>
      <c r="D58" s="431"/>
      <c r="E58" s="432"/>
      <c r="F58" s="433"/>
      <c r="G58" s="434"/>
      <c r="H58" s="435"/>
      <c r="I58" s="450"/>
      <c r="J58" s="451"/>
      <c r="K58" s="436"/>
      <c r="L58" s="452"/>
      <c r="M58" s="421"/>
      <c r="N58" s="13"/>
      <c r="O58" s="13"/>
      <c r="P58" s="50"/>
      <c r="R58" s="275"/>
      <c r="S58" s="275"/>
      <c r="T58" s="275"/>
      <c r="U58" s="275"/>
      <c r="V58" s="275"/>
      <c r="W58" s="275"/>
      <c r="X58" s="275"/>
      <c r="Y58" s="275"/>
      <c r="Z58" s="275"/>
      <c r="AA58" s="275"/>
      <c r="AB58" s="57"/>
      <c r="AC58" s="57"/>
      <c r="AD58" s="57"/>
      <c r="AE58" s="57"/>
      <c r="AF58" s="57"/>
      <c r="AG58" s="57"/>
      <c r="AH58" s="57"/>
      <c r="AI58" s="57"/>
      <c r="AJ58" s="57"/>
      <c r="AK58" s="57"/>
      <c r="AL58" s="57"/>
      <c r="AM58" s="57"/>
      <c r="AN58" s="57"/>
      <c r="AO58" s="57"/>
      <c r="AP58" s="57"/>
      <c r="AQ58" s="57"/>
      <c r="AR58" s="57"/>
      <c r="AS58" s="57"/>
      <c r="AT58" s="57"/>
      <c r="AU58" s="57"/>
      <c r="AV58" s="57"/>
      <c r="AW58" s="57"/>
      <c r="AX58" s="277"/>
      <c r="AY58" s="277"/>
      <c r="AZ58" s="277"/>
      <c r="BA58" s="277"/>
      <c r="BB58" s="277"/>
      <c r="BC58" s="277"/>
      <c r="BD58" s="277"/>
      <c r="BE58" s="277"/>
    </row>
    <row r="59" spans="2:57" s="54" customFormat="1" ht="37.15" hidden="1" customHeight="1" thickBot="1">
      <c r="B59" s="481"/>
      <c r="C59" s="479"/>
      <c r="D59" s="442"/>
      <c r="E59" s="443"/>
      <c r="F59" s="444"/>
      <c r="G59" s="445"/>
      <c r="H59" s="446"/>
      <c r="I59" s="447"/>
      <c r="J59" s="448"/>
      <c r="K59" s="449"/>
      <c r="L59" s="457"/>
      <c r="M59" s="455"/>
      <c r="N59" s="13"/>
      <c r="O59" s="13"/>
      <c r="P59" s="50"/>
      <c r="R59" s="275"/>
      <c r="S59" s="275"/>
      <c r="T59" s="275"/>
      <c r="U59" s="275"/>
      <c r="V59" s="275"/>
      <c r="W59" s="275"/>
      <c r="X59" s="275"/>
      <c r="Y59" s="275"/>
      <c r="Z59" s="275"/>
      <c r="AA59" s="275"/>
      <c r="AB59" s="57"/>
      <c r="AC59" s="57"/>
      <c r="AD59" s="57"/>
      <c r="AE59" s="57"/>
      <c r="AF59" s="57"/>
      <c r="AG59" s="57"/>
      <c r="AH59" s="57"/>
      <c r="AI59" s="57"/>
      <c r="AJ59" s="57"/>
      <c r="AK59" s="57"/>
      <c r="AL59" s="57"/>
      <c r="AM59" s="57"/>
      <c r="AN59" s="57"/>
      <c r="AO59" s="57"/>
      <c r="AP59" s="57"/>
      <c r="AQ59" s="57"/>
      <c r="AR59" s="57"/>
      <c r="AS59" s="57"/>
      <c r="AT59" s="57"/>
      <c r="AU59" s="57"/>
      <c r="AV59" s="57"/>
      <c r="AW59" s="57"/>
      <c r="AX59" s="277"/>
      <c r="AY59" s="277"/>
      <c r="AZ59" s="277"/>
      <c r="BA59" s="277"/>
      <c r="BB59" s="277"/>
      <c r="BC59" s="277"/>
      <c r="BD59" s="277"/>
      <c r="BE59" s="277"/>
    </row>
    <row r="60" spans="2:57" s="54" customFormat="1" ht="16.5" hidden="1" customHeight="1" thickBot="1">
      <c r="B60" s="437"/>
      <c r="C60" s="423"/>
      <c r="D60" s="424"/>
      <c r="E60" s="425"/>
      <c r="F60" s="426"/>
      <c r="G60" s="427"/>
      <c r="H60" s="428"/>
      <c r="I60" s="438"/>
      <c r="J60" s="439"/>
      <c r="K60" s="429"/>
      <c r="L60" s="440"/>
      <c r="M60" s="422"/>
      <c r="N60" s="13"/>
      <c r="O60" s="13"/>
      <c r="P60" s="50"/>
      <c r="R60" s="275"/>
      <c r="S60" s="275"/>
      <c r="T60" s="275"/>
      <c r="U60" s="275"/>
      <c r="V60" s="275"/>
      <c r="W60" s="275"/>
      <c r="X60" s="275"/>
      <c r="Y60" s="275"/>
      <c r="Z60" s="275"/>
      <c r="AA60" s="275"/>
      <c r="AB60" s="415"/>
      <c r="AC60" s="415"/>
      <c r="AD60" s="415"/>
      <c r="AE60" s="415"/>
      <c r="AF60" s="415"/>
      <c r="AG60" s="415"/>
      <c r="AH60" s="415"/>
      <c r="AI60" s="415"/>
      <c r="AJ60" s="415"/>
      <c r="AK60" s="415"/>
      <c r="AL60" s="415"/>
      <c r="AM60" s="415"/>
      <c r="AN60" s="415"/>
      <c r="AO60" s="415"/>
      <c r="AP60" s="415"/>
      <c r="AQ60" s="415"/>
      <c r="AR60" s="415"/>
      <c r="AS60" s="415"/>
      <c r="AT60" s="415"/>
      <c r="AU60" s="415"/>
      <c r="AV60" s="415"/>
      <c r="AW60" s="415"/>
    </row>
    <row r="61" spans="2:57" s="54" customFormat="1" ht="37.15" hidden="1" customHeight="1" thickBot="1">
      <c r="B61" s="456"/>
      <c r="C61" s="441"/>
      <c r="D61" s="442"/>
      <c r="E61" s="443"/>
      <c r="F61" s="444"/>
      <c r="G61" s="445"/>
      <c r="H61" s="446"/>
      <c r="I61" s="447"/>
      <c r="J61" s="448"/>
      <c r="K61" s="449"/>
      <c r="L61" s="457"/>
      <c r="M61" s="454"/>
      <c r="N61" s="13"/>
      <c r="O61" s="13"/>
      <c r="P61" s="50"/>
      <c r="R61" s="275"/>
      <c r="S61" s="275"/>
      <c r="T61" s="275"/>
      <c r="U61" s="275"/>
      <c r="V61" s="275"/>
      <c r="W61" s="275"/>
      <c r="X61" s="275"/>
      <c r="Y61" s="275"/>
      <c r="Z61" s="275"/>
      <c r="AA61" s="275"/>
      <c r="AB61" s="57"/>
      <c r="AC61" s="57"/>
      <c r="AD61" s="57"/>
      <c r="AE61" s="57"/>
      <c r="AF61" s="57"/>
      <c r="AG61" s="57"/>
      <c r="AH61" s="57"/>
      <c r="AI61" s="57"/>
      <c r="AJ61" s="57"/>
      <c r="AK61" s="57"/>
      <c r="AL61" s="57"/>
      <c r="AM61" s="57"/>
      <c r="AN61" s="57"/>
      <c r="AO61" s="57"/>
      <c r="AP61" s="57"/>
      <c r="AQ61" s="57"/>
      <c r="AR61" s="57"/>
      <c r="AS61" s="57"/>
      <c r="AT61" s="57"/>
      <c r="AU61" s="57"/>
      <c r="AV61" s="57"/>
      <c r="AW61" s="57"/>
      <c r="AX61" s="277"/>
      <c r="AY61" s="277"/>
      <c r="AZ61" s="277"/>
      <c r="BA61" s="277"/>
      <c r="BB61" s="277"/>
      <c r="BC61" s="277"/>
      <c r="BD61" s="277"/>
      <c r="BE61" s="277"/>
    </row>
    <row r="62" spans="2:57" s="54" customFormat="1" ht="37.15" customHeight="1">
      <c r="B62" s="466"/>
      <c r="C62" s="430"/>
      <c r="D62" s="460"/>
      <c r="E62" s="461"/>
      <c r="F62" s="462"/>
      <c r="G62" s="460"/>
      <c r="H62" s="463"/>
      <c r="I62" s="463"/>
      <c r="J62" s="463"/>
      <c r="K62" s="464"/>
      <c r="L62" s="465"/>
      <c r="M62" s="50"/>
      <c r="N62" s="13"/>
      <c r="O62" s="13"/>
      <c r="P62" s="50"/>
      <c r="R62" s="275"/>
      <c r="S62" s="275"/>
      <c r="T62" s="275"/>
      <c r="U62" s="275"/>
      <c r="V62" s="275"/>
      <c r="W62" s="275"/>
      <c r="X62" s="275"/>
      <c r="Y62" s="275"/>
      <c r="Z62" s="275"/>
      <c r="AA62" s="275"/>
      <c r="AB62" s="57"/>
      <c r="AC62" s="57"/>
      <c r="AD62" s="57"/>
      <c r="AE62" s="57"/>
      <c r="AF62" s="57"/>
      <c r="AG62" s="57"/>
      <c r="AH62" s="57"/>
      <c r="AI62" s="57"/>
      <c r="AJ62" s="57"/>
      <c r="AK62" s="57"/>
      <c r="AL62" s="57"/>
      <c r="AM62" s="57"/>
      <c r="AN62" s="57"/>
      <c r="AO62" s="57"/>
      <c r="AP62" s="57"/>
      <c r="AQ62" s="57"/>
      <c r="AR62" s="57"/>
      <c r="AS62" s="57"/>
      <c r="AT62" s="57"/>
      <c r="AU62" s="57"/>
      <c r="AV62" s="57"/>
      <c r="AW62" s="57"/>
      <c r="AX62" s="277"/>
      <c r="AY62" s="277"/>
      <c r="AZ62" s="277"/>
      <c r="BA62" s="277"/>
      <c r="BB62" s="277"/>
      <c r="BC62" s="277"/>
      <c r="BD62" s="277"/>
      <c r="BE62" s="277"/>
    </row>
    <row r="63" spans="2:57" ht="18" customHeight="1" thickBot="1">
      <c r="B63" s="59"/>
      <c r="C63" s="309"/>
      <c r="D63" s="59"/>
      <c r="E63" s="59"/>
      <c r="F63" s="59"/>
      <c r="G63" s="59"/>
      <c r="H63" s="59"/>
      <c r="I63" s="59"/>
      <c r="J63" s="59"/>
      <c r="K63" s="59"/>
      <c r="L63" s="59"/>
      <c r="M63" s="59"/>
      <c r="N63" s="59" t="s">
        <v>41</v>
      </c>
      <c r="O63" s="56"/>
      <c r="P63" s="60"/>
    </row>
    <row r="64" spans="2:57" ht="15.75" thickBot="1">
      <c r="B64" s="499" t="s">
        <v>55</v>
      </c>
      <c r="C64" s="500"/>
      <c r="D64" s="500"/>
      <c r="E64" s="500"/>
      <c r="F64" s="501"/>
      <c r="G64" s="499" t="s">
        <v>56</v>
      </c>
      <c r="H64" s="500"/>
      <c r="I64" s="500"/>
      <c r="J64" s="501"/>
      <c r="K64" s="499" t="s">
        <v>51</v>
      </c>
      <c r="L64" s="500"/>
      <c r="M64" s="500"/>
      <c r="N64" s="502"/>
      <c r="O64" s="56"/>
      <c r="P64" s="50"/>
    </row>
    <row r="65" spans="2:16" ht="15">
      <c r="B65" s="61" t="s">
        <v>17</v>
      </c>
      <c r="C65" s="62" t="s">
        <v>36</v>
      </c>
      <c r="D65" s="62" t="s">
        <v>37</v>
      </c>
      <c r="E65" s="62" t="s">
        <v>38</v>
      </c>
      <c r="F65" s="63" t="s">
        <v>39</v>
      </c>
      <c r="G65" s="62" t="s">
        <v>36</v>
      </c>
      <c r="H65" s="62" t="s">
        <v>37</v>
      </c>
      <c r="I65" s="62" t="s">
        <v>38</v>
      </c>
      <c r="J65" s="63" t="s">
        <v>39</v>
      </c>
      <c r="K65" s="62" t="s">
        <v>36</v>
      </c>
      <c r="L65" s="62" t="s">
        <v>37</v>
      </c>
      <c r="M65" s="62" t="s">
        <v>38</v>
      </c>
      <c r="N65" s="63" t="s">
        <v>39</v>
      </c>
      <c r="O65" s="56"/>
      <c r="P65" s="64"/>
    </row>
    <row r="66" spans="2:16" ht="15">
      <c r="B66" s="29" t="s">
        <v>6</v>
      </c>
      <c r="C66" s="65">
        <f>L53</f>
        <v>7.9371022089105097</v>
      </c>
      <c r="D66" s="76">
        <v>7.1031671548020761</v>
      </c>
      <c r="E66" s="76">
        <v>6.5769948005270145</v>
      </c>
      <c r="F66" s="66">
        <v>4.8</v>
      </c>
      <c r="G66" s="65">
        <f>[18]September_2026!$R$11</f>
        <v>6.7385616355521467</v>
      </c>
      <c r="H66" s="477">
        <v>6.4041575385468743</v>
      </c>
      <c r="I66" s="477">
        <v>6.6307190081077829</v>
      </c>
      <c r="J66" s="66">
        <v>4.8</v>
      </c>
      <c r="K66" s="67">
        <f>K53</f>
        <v>0.43140350877192984</v>
      </c>
      <c r="L66" s="194">
        <v>0.60052339181286551</v>
      </c>
      <c r="M66" s="194">
        <v>0.53173259312468302</v>
      </c>
      <c r="N66" s="68">
        <v>1</v>
      </c>
      <c r="O66" s="56"/>
      <c r="P66" s="69"/>
    </row>
    <row r="67" spans="2:16" ht="15">
      <c r="B67" s="33" t="s">
        <v>9</v>
      </c>
      <c r="C67" s="65"/>
      <c r="D67" s="76">
        <v>8.1797752808988591</v>
      </c>
      <c r="E67" s="76">
        <v>5.939590940751847</v>
      </c>
      <c r="F67" s="66">
        <v>4.8</v>
      </c>
      <c r="G67" s="65"/>
      <c r="H67" s="76">
        <v>7.1493286491954091</v>
      </c>
      <c r="I67" s="76">
        <v>6.0146000548367518</v>
      </c>
      <c r="J67" s="66">
        <v>4.8</v>
      </c>
      <c r="K67" s="67"/>
      <c r="L67" s="194">
        <v>0.31847368421052635</v>
      </c>
      <c r="M67" s="194">
        <v>0.68029295501093157</v>
      </c>
      <c r="N67" s="68">
        <v>1</v>
      </c>
      <c r="P67" s="69"/>
    </row>
    <row r="68" spans="2:16" ht="15">
      <c r="B68" s="34" t="s">
        <v>40</v>
      </c>
      <c r="C68" s="65"/>
      <c r="D68" s="76"/>
      <c r="E68" s="76">
        <v>11.277593164016125</v>
      </c>
      <c r="F68" s="66">
        <v>5.5</v>
      </c>
      <c r="G68" s="65"/>
      <c r="H68" s="76"/>
      <c r="I68" s="76">
        <v>11.857907912244482</v>
      </c>
      <c r="J68" s="66">
        <v>5.5</v>
      </c>
      <c r="K68" s="67"/>
      <c r="L68" s="194"/>
      <c r="M68" s="194">
        <v>0.35370190356844494</v>
      </c>
      <c r="N68" s="68">
        <v>1</v>
      </c>
      <c r="P68" s="69"/>
    </row>
    <row r="69" spans="2:16" ht="15">
      <c r="B69" s="22" t="s">
        <v>33</v>
      </c>
      <c r="C69" s="65"/>
      <c r="D69" s="76"/>
      <c r="E69" s="76">
        <v>4.8685538193023836</v>
      </c>
      <c r="F69" s="66">
        <v>3.3</v>
      </c>
      <c r="G69" s="65"/>
      <c r="H69" s="76"/>
      <c r="I69" s="76">
        <v>4.8702525342252114</v>
      </c>
      <c r="J69" s="66">
        <v>3.3</v>
      </c>
      <c r="K69" s="67"/>
      <c r="L69" s="194"/>
      <c r="M69" s="194">
        <v>0.77919298245614044</v>
      </c>
      <c r="N69" s="68">
        <v>1</v>
      </c>
      <c r="P69" s="69"/>
    </row>
    <row r="70" spans="2:16" ht="15">
      <c r="B70" s="35" t="s">
        <v>164</v>
      </c>
      <c r="C70" s="65"/>
      <c r="D70" s="76"/>
      <c r="E70" s="76"/>
      <c r="F70" s="66">
        <v>3.3</v>
      </c>
      <c r="G70" s="282"/>
      <c r="H70" s="76"/>
      <c r="I70" s="76"/>
      <c r="J70" s="66">
        <v>3</v>
      </c>
      <c r="K70" s="67"/>
      <c r="L70" s="194"/>
      <c r="M70" s="194"/>
      <c r="N70" s="68">
        <v>1</v>
      </c>
      <c r="P70" s="69"/>
    </row>
    <row r="71" spans="2:16" ht="15">
      <c r="B71" s="36" t="s">
        <v>15</v>
      </c>
      <c r="C71" s="65"/>
      <c r="D71" s="76">
        <v>6.8855672629257718</v>
      </c>
      <c r="E71" s="76">
        <v>6.3233965672990236</v>
      </c>
      <c r="F71" s="70">
        <v>5.5</v>
      </c>
      <c r="G71" s="65"/>
      <c r="H71" s="76">
        <v>7.4264332958762713</v>
      </c>
      <c r="I71" s="76">
        <v>7.9667553186446929</v>
      </c>
      <c r="J71" s="66">
        <v>5.5</v>
      </c>
      <c r="K71" s="67"/>
      <c r="L71" s="194">
        <v>0.391812865497076</v>
      </c>
      <c r="M71" s="194">
        <v>0.5883625730994152</v>
      </c>
      <c r="N71" s="68">
        <v>1</v>
      </c>
      <c r="P71" s="69"/>
    </row>
    <row r="72" spans="2:16" ht="15">
      <c r="B72" s="37" t="s">
        <v>16</v>
      </c>
      <c r="C72" s="482"/>
      <c r="D72" s="76"/>
      <c r="E72" s="76">
        <v>3.6168923014750334</v>
      </c>
      <c r="F72" s="66">
        <v>3.3</v>
      </c>
      <c r="G72" s="282"/>
      <c r="H72" s="76"/>
      <c r="I72" s="76">
        <v>5.0091179718082053</v>
      </c>
      <c r="J72" s="66">
        <v>3.3</v>
      </c>
      <c r="K72" s="67"/>
      <c r="L72" s="194"/>
      <c r="M72" s="194">
        <v>0.92642300194931759</v>
      </c>
      <c r="N72" s="71">
        <v>1</v>
      </c>
      <c r="P72" s="69"/>
    </row>
    <row r="73" spans="2:16" ht="15.75" thickBot="1">
      <c r="B73" s="38" t="s">
        <v>163</v>
      </c>
      <c r="C73" s="65"/>
      <c r="D73" s="76"/>
      <c r="E73" s="76"/>
      <c r="F73" s="66">
        <v>7.5</v>
      </c>
      <c r="G73" s="282"/>
      <c r="H73" s="76"/>
      <c r="I73" s="76"/>
      <c r="J73" s="66">
        <v>7.5</v>
      </c>
      <c r="K73" s="67"/>
      <c r="L73" s="194"/>
      <c r="M73" s="194"/>
      <c r="N73" s="71">
        <v>1</v>
      </c>
      <c r="P73" s="69"/>
    </row>
    <row r="74" spans="2:16" ht="15.75" thickBot="1">
      <c r="B74" s="414" t="s">
        <v>161</v>
      </c>
      <c r="C74" s="65"/>
      <c r="D74" s="76"/>
      <c r="E74" s="76"/>
      <c r="F74" s="66">
        <v>4.8</v>
      </c>
      <c r="G74" s="282"/>
      <c r="H74" s="76"/>
      <c r="I74" s="76"/>
      <c r="J74" s="66">
        <v>4.8</v>
      </c>
      <c r="K74" s="67"/>
      <c r="L74" s="194"/>
      <c r="M74" s="194"/>
      <c r="N74" s="71">
        <v>1</v>
      </c>
      <c r="O74" s="74"/>
      <c r="P74" s="75"/>
    </row>
    <row r="75" spans="2:16" ht="15">
      <c r="D75" s="76">
        <v>7.3140907910921831</v>
      </c>
      <c r="E75" s="76">
        <v>6.3999736818578956</v>
      </c>
      <c r="F75" s="341">
        <v>5.5</v>
      </c>
      <c r="H75" s="76">
        <v>6.6840393045153821</v>
      </c>
      <c r="I75" s="76">
        <v>6.6928815041484677</v>
      </c>
      <c r="J75" s="341">
        <v>5.5</v>
      </c>
      <c r="L75" s="194">
        <v>0.50896716149347732</v>
      </c>
      <c r="M75" s="194">
        <v>0.59194404706036807</v>
      </c>
      <c r="N75" s="386">
        <v>1</v>
      </c>
    </row>
  </sheetData>
  <mergeCells count="51">
    <mergeCell ref="M51:M52"/>
    <mergeCell ref="B64:F64"/>
    <mergeCell ref="G64:J64"/>
    <mergeCell ref="K64:N64"/>
    <mergeCell ref="G51:G52"/>
    <mergeCell ref="H51:H52"/>
    <mergeCell ref="I51:I52"/>
    <mergeCell ref="J51:J52"/>
    <mergeCell ref="K51:K52"/>
    <mergeCell ref="L51:L52"/>
    <mergeCell ref="F51:F52"/>
    <mergeCell ref="D46:E46"/>
    <mergeCell ref="B51:B52"/>
    <mergeCell ref="C51:C52"/>
    <mergeCell ref="D51:D52"/>
    <mergeCell ref="E51:E52"/>
    <mergeCell ref="B36:B45"/>
    <mergeCell ref="D36:E37"/>
    <mergeCell ref="J36:K36"/>
    <mergeCell ref="L37:N37"/>
    <mergeCell ref="D38:E39"/>
    <mergeCell ref="D40:E41"/>
    <mergeCell ref="D42:E43"/>
    <mergeCell ref="D44:E45"/>
    <mergeCell ref="I22:N22"/>
    <mergeCell ref="D23:E23"/>
    <mergeCell ref="B24:B35"/>
    <mergeCell ref="D24:E25"/>
    <mergeCell ref="D26:E27"/>
    <mergeCell ref="D28:E29"/>
    <mergeCell ref="D30:E31"/>
    <mergeCell ref="D32:E33"/>
    <mergeCell ref="D34:E35"/>
    <mergeCell ref="P8:P9"/>
    <mergeCell ref="C5:D5"/>
    <mergeCell ref="B8:B9"/>
    <mergeCell ref="C8:C9"/>
    <mergeCell ref="D8:D9"/>
    <mergeCell ref="G8:G9"/>
    <mergeCell ref="H8:H9"/>
    <mergeCell ref="I8:I9"/>
    <mergeCell ref="J8:J9"/>
    <mergeCell ref="K8:K9"/>
    <mergeCell ref="L8:L9"/>
    <mergeCell ref="O8:O9"/>
    <mergeCell ref="M4:N4"/>
    <mergeCell ref="S1:T1"/>
    <mergeCell ref="U1:V1"/>
    <mergeCell ref="W1:X1"/>
    <mergeCell ref="Y1:Z1"/>
    <mergeCell ref="B2:O2"/>
  </mergeCells>
  <conditionalFormatting sqref="B46:B47">
    <cfRule type="cellIs" dxfId="2114" priority="103" operator="notBetween">
      <formula>#REF!</formula>
      <formula>#REF!</formula>
    </cfRule>
  </conditionalFormatting>
  <conditionalFormatting sqref="C50">
    <cfRule type="cellIs" dxfId="2113" priority="186" stopIfTrue="1" operator="greaterThan">
      <formula>100</formula>
    </cfRule>
    <cfRule type="cellIs" dxfId="2112" priority="185" stopIfTrue="1" operator="lessThan">
      <formula>96</formula>
    </cfRule>
  </conditionalFormatting>
  <conditionalFormatting sqref="C66:C67">
    <cfRule type="cellIs" dxfId="2111" priority="66" stopIfTrue="1" operator="greaterThan">
      <formula>$F66</formula>
    </cfRule>
    <cfRule type="cellIs" dxfId="2110" priority="67" stopIfTrue="1" operator="lessThanOrEqual">
      <formula>0</formula>
    </cfRule>
    <cfRule type="cellIs" dxfId="2109" priority="68" stopIfTrue="1" operator="greaterThan">
      <formula>$F66</formula>
    </cfRule>
    <cfRule type="cellIs" dxfId="2108" priority="69" stopIfTrue="1" operator="lessThanOrEqual">
      <formula>0</formula>
    </cfRule>
  </conditionalFormatting>
  <conditionalFormatting sqref="C68:C70 C72:C74">
    <cfRule type="cellIs" dxfId="2107" priority="75" stopIfTrue="1" operator="greaterThan">
      <formula>$F71</formula>
    </cfRule>
  </conditionalFormatting>
  <conditionalFormatting sqref="C68:C70">
    <cfRule type="cellIs" dxfId="2106" priority="76" stopIfTrue="1" operator="lessThanOrEqual">
      <formula>0</formula>
    </cfRule>
  </conditionalFormatting>
  <conditionalFormatting sqref="C71">
    <cfRule type="cellIs" dxfId="2105" priority="190" stopIfTrue="1" operator="lessThanOrEqual">
      <formula>0</formula>
    </cfRule>
    <cfRule type="cellIs" dxfId="2104" priority="189" stopIfTrue="1" operator="greaterThan">
      <formula>$F66</formula>
    </cfRule>
    <cfRule type="cellIs" dxfId="2103" priority="188" stopIfTrue="1" operator="lessThanOrEqual">
      <formula>0</formula>
    </cfRule>
    <cfRule type="cellIs" dxfId="2102" priority="187" stopIfTrue="1" operator="greaterThan">
      <formula>$F66</formula>
    </cfRule>
  </conditionalFormatting>
  <conditionalFormatting sqref="C72:C74">
    <cfRule type="cellIs" dxfId="2101" priority="77" stopIfTrue="1" operator="lessThanOrEqual">
      <formula>0</formula>
    </cfRule>
  </conditionalFormatting>
  <conditionalFormatting sqref="C77:C81">
    <cfRule type="cellIs" dxfId="2100" priority="177" stopIfTrue="1" operator="lessThanOrEqual">
      <formula>0</formula>
    </cfRule>
  </conditionalFormatting>
  <conditionalFormatting sqref="C78:C81">
    <cfRule type="cellIs" dxfId="2099" priority="176" stopIfTrue="1" operator="greaterThan">
      <formula>$F$77</formula>
    </cfRule>
  </conditionalFormatting>
  <conditionalFormatting sqref="C83">
    <cfRule type="cellIs" dxfId="2098" priority="179" stopIfTrue="1" operator="lessThanOrEqual">
      <formula>0</formula>
    </cfRule>
    <cfRule type="cellIs" dxfId="2097" priority="178" stopIfTrue="1" operator="greaterThan">
      <formula>$F$77</formula>
    </cfRule>
  </conditionalFormatting>
  <conditionalFormatting sqref="C71:D71">
    <cfRule type="cellIs" dxfId="2096" priority="64" stopIfTrue="1" operator="greaterThan">
      <formula>$J71</formula>
    </cfRule>
    <cfRule type="cellIs" dxfId="2095" priority="65" stopIfTrue="1" operator="lessThanOrEqual">
      <formula>0</formula>
    </cfRule>
  </conditionalFormatting>
  <conditionalFormatting sqref="C77:D77 D79:D85">
    <cfRule type="cellIs" dxfId="2094" priority="171" stopIfTrue="1" operator="greaterThan">
      <formula>4.5</formula>
    </cfRule>
  </conditionalFormatting>
  <conditionalFormatting sqref="D46:D47">
    <cfRule type="cellIs" dxfId="2093" priority="104" operator="notBetween">
      <formula>#REF!</formula>
      <formula>#REF!</formula>
    </cfRule>
  </conditionalFormatting>
  <conditionalFormatting sqref="D66:D70 D72:D73">
    <cfRule type="cellIs" dxfId="2092" priority="74" stopIfTrue="1" operator="lessThanOrEqual">
      <formula>0</formula>
    </cfRule>
  </conditionalFormatting>
  <conditionalFormatting sqref="D66:D70 D72:D75">
    <cfRule type="cellIs" dxfId="2091" priority="70" stopIfTrue="1" operator="lessThanOrEqual">
      <formula>0</formula>
    </cfRule>
    <cfRule type="cellIs" dxfId="2090" priority="71" stopIfTrue="1" operator="greaterThan">
      <formula>$F66</formula>
    </cfRule>
  </conditionalFormatting>
  <conditionalFormatting sqref="D74:D75">
    <cfRule type="cellIs" dxfId="2089" priority="72" stopIfTrue="1" operator="lessThanOrEqual">
      <formula>0</formula>
    </cfRule>
  </conditionalFormatting>
  <conditionalFormatting sqref="D75">
    <cfRule type="cellIs" dxfId="2088" priority="73" stopIfTrue="1" operator="lessThanOrEqual">
      <formula>0</formula>
    </cfRule>
  </conditionalFormatting>
  <conditionalFormatting sqref="D77 D79:D85">
    <cfRule type="cellIs" dxfId="2087" priority="172" stopIfTrue="1" operator="lessThanOrEqual">
      <formula>0</formula>
    </cfRule>
  </conditionalFormatting>
  <conditionalFormatting sqref="D78">
    <cfRule type="cellIs" dxfId="2086" priority="164" stopIfTrue="1" operator="lessThanOrEqual">
      <formula>0</formula>
    </cfRule>
    <cfRule type="cellIs" dxfId="2085" priority="163" stopIfTrue="1" operator="greaterThan">
      <formula>$F$77</formula>
    </cfRule>
  </conditionalFormatting>
  <conditionalFormatting sqref="E10:E21">
    <cfRule type="cellIs" dxfId="2084" priority="13" operator="lessThan">
      <formula>48</formula>
    </cfRule>
  </conditionalFormatting>
  <conditionalFormatting sqref="E49 E50:F50">
    <cfRule type="cellIs" dxfId="2083" priority="168" stopIfTrue="1" operator="greaterThan">
      <formula>100</formula>
    </cfRule>
  </conditionalFormatting>
  <conditionalFormatting sqref="E50">
    <cfRule type="cellIs" dxfId="2082" priority="166" stopIfTrue="1" operator="greaterThan">
      <formula>100</formula>
    </cfRule>
    <cfRule type="cellIs" dxfId="2081" priority="165" stopIfTrue="1" operator="lessThan">
      <formula>96.8</formula>
    </cfRule>
  </conditionalFormatting>
  <conditionalFormatting sqref="E66:E74">
    <cfRule type="cellIs" dxfId="2080" priority="37" stopIfTrue="1" operator="lessThanOrEqual">
      <formula>0</formula>
    </cfRule>
  </conditionalFormatting>
  <conditionalFormatting sqref="E66:E75">
    <cfRule type="cellIs" dxfId="2079" priority="38" stopIfTrue="1" operator="greaterThan">
      <formula>$F66</formula>
    </cfRule>
    <cfRule type="cellIs" dxfId="2078" priority="39" stopIfTrue="1" operator="lessThanOrEqual">
      <formula>0</formula>
    </cfRule>
  </conditionalFormatting>
  <conditionalFormatting sqref="E75">
    <cfRule type="cellIs" dxfId="2077" priority="40" stopIfTrue="1" operator="lessThanOrEqual">
      <formula>0</formula>
    </cfRule>
  </conditionalFormatting>
  <conditionalFormatting sqref="E77:E85">
    <cfRule type="cellIs" dxfId="2076" priority="158" stopIfTrue="1" operator="lessThanOrEqual">
      <formula>0</formula>
    </cfRule>
    <cfRule type="cellIs" dxfId="2075" priority="157" stopIfTrue="1" operator="greaterThan">
      <formula>4.5</formula>
    </cfRule>
  </conditionalFormatting>
  <conditionalFormatting sqref="E50:F50 E49">
    <cfRule type="cellIs" dxfId="2074" priority="167" stopIfTrue="1" operator="lessThan">
      <formula>96.5</formula>
    </cfRule>
  </conditionalFormatting>
  <conditionalFormatting sqref="F10:F21">
    <cfRule type="cellIs" dxfId="2073" priority="14" operator="greaterThan">
      <formula>60</formula>
    </cfRule>
  </conditionalFormatting>
  <conditionalFormatting sqref="F50">
    <cfRule type="cellIs" dxfId="2072" priority="183" stopIfTrue="1" operator="lessThan">
      <formula>96.8</formula>
    </cfRule>
    <cfRule type="cellIs" dxfId="2071" priority="184" stopIfTrue="1" operator="greaterThan">
      <formula>100</formula>
    </cfRule>
  </conditionalFormatting>
  <conditionalFormatting sqref="G19:G20 H19:H21">
    <cfRule type="expression" dxfId="2070" priority="4">
      <formula>IF(+(IF(G19&lt;#REF!,0,IF(G19&gt;#REF!,0,1)))=0,1)</formula>
    </cfRule>
  </conditionalFormatting>
  <conditionalFormatting sqref="G21">
    <cfRule type="expression" dxfId="2069" priority="3">
      <formula>IF(+(IF(G21&lt;S21,0,IF(G21&gt;T21,0,1)))=0,1)</formula>
    </cfRule>
  </conditionalFormatting>
  <conditionalFormatting sqref="G66:G69 F75">
    <cfRule type="cellIs" dxfId="2068" priority="46" stopIfTrue="1" operator="greaterThan">
      <formula>$F66</formula>
    </cfRule>
    <cfRule type="cellIs" dxfId="2067" priority="47" stopIfTrue="1" operator="lessThanOrEqual">
      <formula>0</formula>
    </cfRule>
  </conditionalFormatting>
  <conditionalFormatting sqref="G68:G69">
    <cfRule type="cellIs" dxfId="2066" priority="32" stopIfTrue="1" operator="greaterThan">
      <formula>$F68</formula>
    </cfRule>
    <cfRule type="cellIs" dxfId="2065" priority="33" stopIfTrue="1" operator="lessThanOrEqual">
      <formula>0</formula>
    </cfRule>
  </conditionalFormatting>
  <conditionalFormatting sqref="G70:G74">
    <cfRule type="cellIs" dxfId="2064" priority="49" stopIfTrue="1" operator="lessThanOrEqual">
      <formula>0</formula>
    </cfRule>
    <cfRule type="cellIs" dxfId="2063" priority="48" stopIfTrue="1" operator="greaterThan">
      <formula>$J70</formula>
    </cfRule>
  </conditionalFormatting>
  <conditionalFormatting sqref="G71">
    <cfRule type="cellIs" dxfId="2062" priority="192" stopIfTrue="1" operator="lessThanOrEqual">
      <formula>0</formula>
    </cfRule>
    <cfRule type="cellIs" dxfId="2061" priority="191" stopIfTrue="1" operator="greaterThan">
      <formula>$F66</formula>
    </cfRule>
  </conditionalFormatting>
  <conditionalFormatting sqref="G79:G84 C82 C84">
    <cfRule type="cellIs" dxfId="2060" priority="180" stopIfTrue="1" operator="greaterThan">
      <formula>4.5</formula>
    </cfRule>
    <cfRule type="cellIs" dxfId="2059" priority="181" stopIfTrue="1" operator="lessThanOrEqual">
      <formula>0</formula>
    </cfRule>
  </conditionalFormatting>
  <conditionalFormatting sqref="G10:H18 M10:N20">
    <cfRule type="expression" dxfId="2058" priority="1">
      <formula>IF(+(IF(G10&lt;#REF!,0,IF(G10&gt;#REF!,0,1)))=0,1)</formula>
    </cfRule>
  </conditionalFormatting>
  <conditionalFormatting sqref="G78:H78">
    <cfRule type="cellIs" dxfId="2057" priority="161" stopIfTrue="1" operator="greaterThan">
      <formula>$F$77</formula>
    </cfRule>
    <cfRule type="cellIs" dxfId="2056" priority="162" stopIfTrue="1" operator="lessThanOrEqual">
      <formula>0</formula>
    </cfRule>
  </conditionalFormatting>
  <conditionalFormatting sqref="H35:H36 H49">
    <cfRule type="cellIs" dxfId="2055" priority="159" stopIfTrue="1" operator="greaterThan">
      <formula>0</formula>
    </cfRule>
  </conditionalFormatting>
  <conditionalFormatting sqref="H53">
    <cfRule type="cellIs" dxfId="2054" priority="62" stopIfTrue="1" operator="greaterThan">
      <formula>$F$67</formula>
    </cfRule>
    <cfRule type="cellIs" dxfId="2053" priority="60" stopIfTrue="1" operator="greaterThan">
      <formula>$F$69</formula>
    </cfRule>
    <cfRule type="cellIs" dxfId="2052" priority="61" stopIfTrue="1" operator="lessThanOrEqual">
      <formula>0</formula>
    </cfRule>
    <cfRule type="cellIs" dxfId="2051" priority="52" stopIfTrue="1" operator="greaterThan">
      <formula>$F$66</formula>
    </cfRule>
    <cfRule type="cellIs" dxfId="2050" priority="51" stopIfTrue="1" operator="lessThanOrEqual">
      <formula>0</formula>
    </cfRule>
  </conditionalFormatting>
  <conditionalFormatting sqref="H53:H54">
    <cfRule type="cellIs" dxfId="2049" priority="63" stopIfTrue="1" operator="lessThanOrEqual">
      <formula>0</formula>
    </cfRule>
  </conditionalFormatting>
  <conditionalFormatting sqref="H54 H56:H57">
    <cfRule type="cellIs" dxfId="2048" priority="89" stopIfTrue="1" operator="lessThanOrEqual">
      <formula>0</formula>
    </cfRule>
  </conditionalFormatting>
  <conditionalFormatting sqref="H54">
    <cfRule type="cellIs" dxfId="2047" priority="86" stopIfTrue="1" operator="greaterThan">
      <formula>$F$69</formula>
    </cfRule>
    <cfRule type="cellIs" dxfId="2046" priority="78" stopIfTrue="1" operator="greaterThan">
      <formula>$F$66</formula>
    </cfRule>
    <cfRule type="cellIs" dxfId="2045" priority="87" stopIfTrue="1" operator="lessThanOrEqual">
      <formula>0</formula>
    </cfRule>
    <cfRule type="cellIs" dxfId="2044" priority="88" stopIfTrue="1" operator="greaterThan">
      <formula>$F$67</formula>
    </cfRule>
  </conditionalFormatting>
  <conditionalFormatting sqref="H55">
    <cfRule type="cellIs" dxfId="2043" priority="29" stopIfTrue="1" operator="greaterThan">
      <formula>$F$69</formula>
    </cfRule>
    <cfRule type="cellIs" dxfId="2042" priority="18" stopIfTrue="1" operator="lessThanOrEqual">
      <formula>0</formula>
    </cfRule>
    <cfRule type="cellIs" dxfId="2041" priority="19" stopIfTrue="1" operator="greaterThan">
      <formula>$F$68</formula>
    </cfRule>
    <cfRule type="cellIs" dxfId="2040" priority="30" stopIfTrue="1" operator="lessThanOrEqual">
      <formula>0</formula>
    </cfRule>
    <cfRule type="cellIs" dxfId="2039" priority="28" stopIfTrue="1" operator="lessThanOrEqual">
      <formula>0</formula>
    </cfRule>
    <cfRule type="cellIs" dxfId="2038" priority="27" stopIfTrue="1" operator="greaterThan">
      <formula>$F$71</formula>
    </cfRule>
  </conditionalFormatting>
  <conditionalFormatting sqref="H56:H57">
    <cfRule type="cellIs" dxfId="2037" priority="102" stopIfTrue="1" operator="lessThanOrEqual">
      <formula>0</formula>
    </cfRule>
    <cfRule type="cellIs" dxfId="2036" priority="91" stopIfTrue="1" operator="greaterThan">
      <formula>$F$66</formula>
    </cfRule>
    <cfRule type="cellIs" dxfId="2035" priority="101" stopIfTrue="1" operator="greaterThan">
      <formula>$F$67</formula>
    </cfRule>
    <cfRule type="cellIs" dxfId="2034" priority="99" stopIfTrue="1" operator="greaterThan">
      <formula>$F$69</formula>
    </cfRule>
    <cfRule type="cellIs" dxfId="2033" priority="100" stopIfTrue="1" operator="lessThanOrEqual">
      <formula>0</formula>
    </cfRule>
  </conditionalFormatting>
  <conditionalFormatting sqref="H58:H59">
    <cfRule type="cellIs" dxfId="2032" priority="126" stopIfTrue="1" operator="lessThanOrEqual">
      <formula>0</formula>
    </cfRule>
    <cfRule type="cellIs" dxfId="2031" priority="127" stopIfTrue="1" operator="greaterThan">
      <formula>#REF!</formula>
    </cfRule>
    <cfRule type="cellIs" dxfId="2030" priority="135" stopIfTrue="1" operator="greaterThan">
      <formula>#REF!</formula>
    </cfRule>
    <cfRule type="cellIs" dxfId="2029" priority="136" stopIfTrue="1" operator="lessThanOrEqual">
      <formula>0</formula>
    </cfRule>
  </conditionalFormatting>
  <conditionalFormatting sqref="H60">
    <cfRule type="cellIs" dxfId="2028" priority="150" stopIfTrue="1" operator="lessThanOrEqual">
      <formula>0</formula>
    </cfRule>
    <cfRule type="cellIs" dxfId="2027" priority="149" stopIfTrue="1" operator="greaterThan">
      <formula>$F$35</formula>
    </cfRule>
    <cfRule type="cellIs" dxfId="2026" priority="148" stopIfTrue="1" operator="lessThanOrEqual">
      <formula>0</formula>
    </cfRule>
    <cfRule type="cellIs" dxfId="2025" priority="147" stopIfTrue="1" operator="greaterThan">
      <formula>$F$37</formula>
    </cfRule>
    <cfRule type="cellIs" dxfId="2024" priority="139" stopIfTrue="1" operator="greaterThan">
      <formula>$F$34</formula>
    </cfRule>
    <cfRule type="cellIs" dxfId="2023" priority="138" stopIfTrue="1" operator="lessThanOrEqual">
      <formula>0</formula>
    </cfRule>
  </conditionalFormatting>
  <conditionalFormatting sqref="H61:H62">
    <cfRule type="cellIs" dxfId="2022" priority="124" stopIfTrue="1" operator="lessThanOrEqual">
      <formula>0</formula>
    </cfRule>
    <cfRule type="cellIs" dxfId="2021" priority="123" stopIfTrue="1" operator="greaterThan">
      <formula>#REF!</formula>
    </cfRule>
    <cfRule type="cellIs" dxfId="2020" priority="114" stopIfTrue="1" operator="lessThanOrEqual">
      <formula>0</formula>
    </cfRule>
    <cfRule type="cellIs" dxfId="2019" priority="115" stopIfTrue="1" operator="greaterThan">
      <formula>#REF!</formula>
    </cfRule>
  </conditionalFormatting>
  <conditionalFormatting sqref="H77 H79:H85">
    <cfRule type="cellIs" dxfId="2018" priority="174" stopIfTrue="1" operator="lessThanOrEqual">
      <formula>0</formula>
    </cfRule>
    <cfRule type="cellIs" dxfId="2017" priority="173" stopIfTrue="1" operator="greaterThan">
      <formula>4.5</formula>
    </cfRule>
  </conditionalFormatting>
  <conditionalFormatting sqref="H53:I53">
    <cfRule type="cellIs" dxfId="2016" priority="53" stopIfTrue="1" operator="lessThanOrEqual">
      <formula>0</formula>
    </cfRule>
  </conditionalFormatting>
  <conditionalFormatting sqref="H53:I54 H56:I57">
    <cfRule type="cellIs" dxfId="2015" priority="50" stopIfTrue="1" operator="greaterThan">
      <formula>$F$68</formula>
    </cfRule>
  </conditionalFormatting>
  <conditionalFormatting sqref="H54:I54">
    <cfRule type="cellIs" dxfId="2014" priority="79" stopIfTrue="1" operator="lessThanOrEqual">
      <formula>0</formula>
    </cfRule>
  </conditionalFormatting>
  <conditionalFormatting sqref="H55:I55">
    <cfRule type="cellIs" dxfId="2013" priority="20" stopIfTrue="1" operator="lessThanOrEqual">
      <formula>0</formula>
    </cfRule>
    <cfRule type="cellIs" dxfId="2012" priority="17" stopIfTrue="1" operator="greaterThan">
      <formula>$F$70</formula>
    </cfRule>
  </conditionalFormatting>
  <conditionalFormatting sqref="H56:I57">
    <cfRule type="cellIs" dxfId="2011" priority="92" stopIfTrue="1" operator="lessThanOrEqual">
      <formula>0</formula>
    </cfRule>
  </conditionalFormatting>
  <conditionalFormatting sqref="H58:I59">
    <cfRule type="cellIs" dxfId="2010" priority="125" stopIfTrue="1" operator="greaterThan">
      <formula>#REF!</formula>
    </cfRule>
    <cfRule type="cellIs" dxfId="2009" priority="134" stopIfTrue="1" operator="lessThanOrEqual">
      <formula>0</formula>
    </cfRule>
    <cfRule type="cellIs" dxfId="2008" priority="133" stopIfTrue="1" operator="greaterThan">
      <formula>#REF!</formula>
    </cfRule>
    <cfRule type="cellIs" dxfId="2007" priority="128" stopIfTrue="1" operator="lessThanOrEqual">
      <formula>0</formula>
    </cfRule>
  </conditionalFormatting>
  <conditionalFormatting sqref="H60:I60">
    <cfRule type="cellIs" dxfId="2006" priority="140" stopIfTrue="1" operator="lessThanOrEqual">
      <formula>0</formula>
    </cfRule>
    <cfRule type="cellIs" dxfId="2005" priority="137" stopIfTrue="1" operator="greaterThan">
      <formula>$F$36</formula>
    </cfRule>
  </conditionalFormatting>
  <conditionalFormatting sqref="H61:I62">
    <cfRule type="cellIs" dxfId="2004" priority="113" stopIfTrue="1" operator="greaterThan">
      <formula>#REF!</formula>
    </cfRule>
    <cfRule type="cellIs" dxfId="2003" priority="121" stopIfTrue="1" operator="greaterThan">
      <formula>#REF!</formula>
    </cfRule>
    <cfRule type="cellIs" dxfId="2002" priority="116" stopIfTrue="1" operator="lessThanOrEqual">
      <formula>0</formula>
    </cfRule>
    <cfRule type="cellIs" dxfId="2001" priority="122" stopIfTrue="1" operator="lessThanOrEqual">
      <formula>0</formula>
    </cfRule>
  </conditionalFormatting>
  <conditionalFormatting sqref="H66:I73">
    <cfRule type="cellIs" dxfId="2000" priority="35" stopIfTrue="1" operator="greaterThan">
      <formula>$J66</formula>
    </cfRule>
    <cfRule type="cellIs" dxfId="1999" priority="36" stopIfTrue="1" operator="lessThanOrEqual">
      <formula>0</formula>
    </cfRule>
  </conditionalFormatting>
  <conditionalFormatting sqref="H74:I74">
    <cfRule type="cellIs" dxfId="1998" priority="43" operator="greaterThan">
      <formula>5.3</formula>
    </cfRule>
  </conditionalFormatting>
  <conditionalFormatting sqref="H75:I75">
    <cfRule type="cellIs" dxfId="1997" priority="41" stopIfTrue="1" operator="greaterThan">
      <formula>$J75</formula>
    </cfRule>
    <cfRule type="cellIs" dxfId="1996" priority="42" stopIfTrue="1" operator="lessThanOrEqual">
      <formula>0</formula>
    </cfRule>
  </conditionalFormatting>
  <conditionalFormatting sqref="I53">
    <cfRule type="cellIs" dxfId="1995" priority="58" stopIfTrue="1" operator="greaterThan">
      <formula>$F$66</formula>
    </cfRule>
    <cfRule type="cellIs" dxfId="1994" priority="55" stopIfTrue="1" operator="lessThanOrEqual">
      <formula>0</formula>
    </cfRule>
    <cfRule type="cellIs" dxfId="1993" priority="59" stopIfTrue="1" operator="lessThanOrEqual">
      <formula>0</formula>
    </cfRule>
    <cfRule type="cellIs" dxfId="1992" priority="56" stopIfTrue="1" operator="greaterThan">
      <formula>$F$68</formula>
    </cfRule>
    <cfRule type="cellIs" dxfId="1991" priority="54" stopIfTrue="1" operator="greaterThan">
      <formula>$F$66</formula>
    </cfRule>
    <cfRule type="cellIs" dxfId="1990" priority="57" stopIfTrue="1" operator="lessThanOrEqual">
      <formula>0</formula>
    </cfRule>
  </conditionalFormatting>
  <conditionalFormatting sqref="I54">
    <cfRule type="cellIs" dxfId="1989" priority="80" stopIfTrue="1" operator="greaterThan">
      <formula>$F$66</formula>
    </cfRule>
    <cfRule type="cellIs" dxfId="1988" priority="83" stopIfTrue="1" operator="lessThanOrEqual">
      <formula>0</formula>
    </cfRule>
    <cfRule type="cellIs" dxfId="1987" priority="82" stopIfTrue="1" operator="greaterThan">
      <formula>$F$68</formula>
    </cfRule>
    <cfRule type="cellIs" dxfId="1986" priority="84" stopIfTrue="1" operator="greaterThan">
      <formula>$F$66</formula>
    </cfRule>
    <cfRule type="cellIs" dxfId="1985" priority="85" stopIfTrue="1" operator="lessThanOrEqual">
      <formula>0</formula>
    </cfRule>
    <cfRule type="cellIs" dxfId="1984" priority="81" stopIfTrue="1" operator="lessThanOrEqual">
      <formula>0</formula>
    </cfRule>
  </conditionalFormatting>
  <conditionalFormatting sqref="I55">
    <cfRule type="cellIs" dxfId="1983" priority="26" stopIfTrue="1" operator="lessThanOrEqual">
      <formula>0</formula>
    </cfRule>
    <cfRule type="cellIs" dxfId="1982" priority="24" stopIfTrue="1" operator="lessThanOrEqual">
      <formula>0</formula>
    </cfRule>
    <cfRule type="cellIs" dxfId="1981" priority="25" stopIfTrue="1" operator="greaterThan">
      <formula>$F$68</formula>
    </cfRule>
    <cfRule type="cellIs" dxfId="1980" priority="23" stopIfTrue="1" operator="greaterThan">
      <formula>$F$70</formula>
    </cfRule>
    <cfRule type="cellIs" dxfId="1979" priority="21" stopIfTrue="1" operator="greaterThan">
      <formula>$F$68</formula>
    </cfRule>
    <cfRule type="cellIs" dxfId="1978" priority="22" stopIfTrue="1" operator="lessThanOrEqual">
      <formula>0</formula>
    </cfRule>
  </conditionalFormatting>
  <conditionalFormatting sqref="I56:I57">
    <cfRule type="cellIs" dxfId="1977" priority="94" stopIfTrue="1" operator="lessThanOrEqual">
      <formula>0</formula>
    </cfRule>
    <cfRule type="cellIs" dxfId="1976" priority="93" stopIfTrue="1" operator="greaterThan">
      <formula>$F$66</formula>
    </cfRule>
    <cfRule type="cellIs" dxfId="1975" priority="95" stopIfTrue="1" operator="greaterThan">
      <formula>$F$68</formula>
    </cfRule>
    <cfRule type="cellIs" dxfId="1974" priority="96" stopIfTrue="1" operator="lessThanOrEqual">
      <formula>0</formula>
    </cfRule>
    <cfRule type="cellIs" dxfId="1973" priority="98" stopIfTrue="1" operator="lessThanOrEqual">
      <formula>0</formula>
    </cfRule>
    <cfRule type="cellIs" dxfId="1972" priority="97" stopIfTrue="1" operator="greaterThan">
      <formula>$F$66</formula>
    </cfRule>
  </conditionalFormatting>
  <conditionalFormatting sqref="I58:I59">
    <cfRule type="cellIs" dxfId="1971" priority="129" stopIfTrue="1" operator="greaterThan">
      <formula>#REF!</formula>
    </cfRule>
    <cfRule type="cellIs" dxfId="1970" priority="130" stopIfTrue="1" operator="lessThanOrEqual">
      <formula>0</formula>
    </cfRule>
    <cfRule type="cellIs" dxfId="1969" priority="131" stopIfTrue="1" operator="greaterThan">
      <formula>#REF!</formula>
    </cfRule>
    <cfRule type="cellIs" dxfId="1968" priority="132" stopIfTrue="1" operator="lessThanOrEqual">
      <formula>0</formula>
    </cfRule>
  </conditionalFormatting>
  <conditionalFormatting sqref="I60">
    <cfRule type="cellIs" dxfId="1967" priority="141" stopIfTrue="1" operator="greaterThan">
      <formula>$F$34</formula>
    </cfRule>
    <cfRule type="cellIs" dxfId="1966" priority="144" stopIfTrue="1" operator="lessThanOrEqual">
      <formula>0</formula>
    </cfRule>
    <cfRule type="cellIs" dxfId="1965" priority="142" stopIfTrue="1" operator="lessThanOrEqual">
      <formula>0</formula>
    </cfRule>
    <cfRule type="cellIs" dxfId="1964" priority="143" stopIfTrue="1" operator="greaterThan">
      <formula>$F$36</formula>
    </cfRule>
    <cfRule type="cellIs" dxfId="1963" priority="145" stopIfTrue="1" operator="greaterThan">
      <formula>$F$34</formula>
    </cfRule>
    <cfRule type="cellIs" dxfId="1962" priority="146" stopIfTrue="1" operator="lessThanOrEqual">
      <formula>0</formula>
    </cfRule>
  </conditionalFormatting>
  <conditionalFormatting sqref="I61:I62">
    <cfRule type="cellIs" dxfId="1961" priority="117" stopIfTrue="1" operator="greaterThan">
      <formula>#REF!</formula>
    </cfRule>
    <cfRule type="cellIs" dxfId="1960" priority="118" stopIfTrue="1" operator="lessThanOrEqual">
      <formula>0</formula>
    </cfRule>
    <cfRule type="cellIs" dxfId="1959" priority="119" stopIfTrue="1" operator="greaterThan">
      <formula>#REF!</formula>
    </cfRule>
    <cfRule type="cellIs" dxfId="1958" priority="120" stopIfTrue="1" operator="lessThanOrEqual">
      <formula>0</formula>
    </cfRule>
  </conditionalFormatting>
  <conditionalFormatting sqref="I77:I85">
    <cfRule type="cellIs" dxfId="1957" priority="169" stopIfTrue="1" operator="greaterThan">
      <formula>4.5</formula>
    </cfRule>
    <cfRule type="cellIs" dxfId="1956" priority="170" stopIfTrue="1" operator="lessThanOrEqual">
      <formula>0</formula>
    </cfRule>
  </conditionalFormatting>
  <conditionalFormatting sqref="I10:J21">
    <cfRule type="cellIs" dxfId="1955" priority="9" operator="lessThan">
      <formula>97.9</formula>
    </cfRule>
  </conditionalFormatting>
  <conditionalFormatting sqref="J24:J26">
    <cfRule type="cellIs" dxfId="1954" priority="16" operator="lessThan">
      <formula>97.95</formula>
    </cfRule>
  </conditionalFormatting>
  <conditionalFormatting sqref="J25:J28">
    <cfRule type="cellIs" dxfId="1953" priority="151" operator="lessThan">
      <formula>97.4</formula>
    </cfRule>
  </conditionalFormatting>
  <conditionalFormatting sqref="J29:J30">
    <cfRule type="cellIs" dxfId="1952" priority="152" operator="lessThan">
      <formula>98</formula>
    </cfRule>
  </conditionalFormatting>
  <conditionalFormatting sqref="J31:J32">
    <cfRule type="cellIs" dxfId="1951" priority="154" stopIfTrue="1" operator="greaterThan">
      <formula>100</formula>
    </cfRule>
    <cfRule type="cellIs" dxfId="1950" priority="153" stopIfTrue="1" operator="lessThan">
      <formula>96.8</formula>
    </cfRule>
  </conditionalFormatting>
  <conditionalFormatting sqref="J31:J33">
    <cfRule type="cellIs" dxfId="1949" priority="155" operator="lessThan">
      <formula>98</formula>
    </cfRule>
  </conditionalFormatting>
  <conditionalFormatting sqref="J62">
    <cfRule type="cellIs" dxfId="1948" priority="112" stopIfTrue="1" operator="lessThanOrEqual">
      <formula>0</formula>
    </cfRule>
    <cfRule type="cellIs" dxfId="1947" priority="111" stopIfTrue="1" operator="greaterThan">
      <formula>#REF!</formula>
    </cfRule>
    <cfRule type="cellIs" dxfId="1946" priority="110" stopIfTrue="1" operator="lessThanOrEqual">
      <formula>0</formula>
    </cfRule>
    <cfRule type="cellIs" dxfId="1945" priority="108" stopIfTrue="1" operator="lessThanOrEqual">
      <formula>0</formula>
    </cfRule>
    <cfRule type="cellIs" dxfId="1944" priority="107" stopIfTrue="1" operator="greaterThan">
      <formula>#REF!</formula>
    </cfRule>
    <cfRule type="cellIs" dxfId="1943" priority="106" stopIfTrue="1" operator="lessThanOrEqual">
      <formula>0</formula>
    </cfRule>
    <cfRule type="cellIs" dxfId="1942" priority="105" stopIfTrue="1" operator="greaterThan">
      <formula>#REF!</formula>
    </cfRule>
    <cfRule type="cellIs" dxfId="1941" priority="109" stopIfTrue="1" operator="greaterThan">
      <formula>#REF!</formula>
    </cfRule>
  </conditionalFormatting>
  <conditionalFormatting sqref="J75">
    <cfRule type="cellIs" dxfId="1940" priority="44" stopIfTrue="1" operator="greaterThan">
      <formula>$F75</formula>
    </cfRule>
    <cfRule type="cellIs" dxfId="1939" priority="45" stopIfTrue="1" operator="lessThanOrEqual">
      <formula>0</formula>
    </cfRule>
  </conditionalFormatting>
  <conditionalFormatting sqref="K10:K21">
    <cfRule type="cellIs" dxfId="1938" priority="12" operator="greaterThan">
      <formula>6.4</formula>
    </cfRule>
    <cfRule type="cellIs" dxfId="1937" priority="11" operator="lessThan">
      <formula>4</formula>
    </cfRule>
    <cfRule type="cellIs" dxfId="1936" priority="10" operator="greaterThan">
      <formula>6</formula>
    </cfRule>
  </conditionalFormatting>
  <conditionalFormatting sqref="K53:K62">
    <cfRule type="cellIs" dxfId="1935" priority="90" stopIfTrue="1" operator="lessThan">
      <formula>100%</formula>
    </cfRule>
  </conditionalFormatting>
  <conditionalFormatting sqref="K66:K74">
    <cfRule type="cellIs" dxfId="1934" priority="34" stopIfTrue="1" operator="lessThan">
      <formula>100%</formula>
    </cfRule>
  </conditionalFormatting>
  <conditionalFormatting sqref="K77:K82">
    <cfRule type="cellIs" dxfId="1933" priority="175" stopIfTrue="1" operator="lessThan">
      <formula>100%</formula>
    </cfRule>
  </conditionalFormatting>
  <conditionalFormatting sqref="K84:K85">
    <cfRule type="cellIs" dxfId="1932" priority="182" stopIfTrue="1" operator="lessThan">
      <formula>100%</formula>
    </cfRule>
  </conditionalFormatting>
  <conditionalFormatting sqref="L10:L21">
    <cfRule type="cellIs" dxfId="1931" priority="6" operator="between">
      <formula>61</formula>
      <formula>65</formula>
    </cfRule>
    <cfRule type="cellIs" dxfId="1930" priority="7" operator="greaterThan">
      <formula>65</formula>
    </cfRule>
  </conditionalFormatting>
  <conditionalFormatting sqref="L24:M35">
    <cfRule type="cellIs" dxfId="1929" priority="15" operator="lessThan">
      <formula>97.95</formula>
    </cfRule>
  </conditionalFormatting>
  <conditionalFormatting sqref="L39:N39">
    <cfRule type="cellIs" dxfId="1928" priority="5" operator="notEqual">
      <formula>#REF!</formula>
    </cfRule>
  </conditionalFormatting>
  <conditionalFormatting sqref="L66:N75">
    <cfRule type="cellIs" dxfId="1927" priority="31" stopIfTrue="1" operator="lessThan">
      <formula>100%</formula>
    </cfRule>
  </conditionalFormatting>
  <conditionalFormatting sqref="L77:N85">
    <cfRule type="cellIs" dxfId="1926" priority="160" stopIfTrue="1" operator="lessThan">
      <formula>100%</formula>
    </cfRule>
  </conditionalFormatting>
  <conditionalFormatting sqref="M21">
    <cfRule type="expression" dxfId="1925" priority="2">
      <formula>IF(+(IF(M21&lt;U21,0,IF(M21&gt;V21,0,1)))=0,1)</formula>
    </cfRule>
  </conditionalFormatting>
  <conditionalFormatting sqref="N10:N21">
    <cfRule type="expression" dxfId="1924" priority="8">
      <formula>IF(+(IF(N10&lt;W10,0,IF(N10&gt;X10,0,1)))=0,1)</formula>
    </cfRule>
  </conditionalFormatting>
  <conditionalFormatting sqref="P6">
    <cfRule type="cellIs" dxfId="1923" priority="156" operator="greaterThanOrEqual">
      <formula>19</formula>
    </cfRule>
  </conditionalFormatting>
  <dataValidations count="1">
    <dataValidation type="list" allowBlank="1" showInputMessage="1" showErrorMessage="1" sqref="R8" xr:uid="{37267789-B8ED-41BF-82AC-FEC1910EC23E}">
      <formula1>ProductList</formula1>
    </dataValidation>
  </dataValidations>
  <pageMargins left="0.7" right="0.7" top="0.75" bottom="0.75" header="0.3" footer="0.3"/>
  <pageSetup scale="40" fitToWidth="0" orientation="landscape" r:id="rId1"/>
  <rowBreaks count="1" manualBreakCount="1">
    <brk id="79" max="16383" man="1"/>
  </rowBreaks>
  <colBreaks count="1" manualBreakCount="1">
    <brk id="15" max="89" man="1"/>
  </colBreaks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9E4874-D820-4875-B9E1-9C8C77C6EE2C}">
  <sheetPr>
    <pageSetUpPr fitToPage="1"/>
  </sheetPr>
  <dimension ref="A1:BE78"/>
  <sheetViews>
    <sheetView zoomScale="85" zoomScaleNormal="85" workbookViewId="0">
      <selection activeCell="B20" sqref="A20:XFD20"/>
    </sheetView>
  </sheetViews>
  <sheetFormatPr defaultColWidth="9.42578125" defaultRowHeight="14.25"/>
  <cols>
    <col min="1" max="1" width="7.28515625" style="275" customWidth="1"/>
    <col min="2" max="2" width="31.28515625" style="275" customWidth="1"/>
    <col min="3" max="3" width="22.28515625" style="275" customWidth="1"/>
    <col min="4" max="7" width="16.5703125" style="275" customWidth="1"/>
    <col min="8" max="8" width="20.7109375" style="275" customWidth="1"/>
    <col min="9" max="9" width="31.42578125" style="275" customWidth="1"/>
    <col min="10" max="10" width="35.28515625" style="275" customWidth="1"/>
    <col min="11" max="11" width="29" style="275" customWidth="1"/>
    <col min="12" max="12" width="17.28515625" style="275" bestFit="1" customWidth="1"/>
    <col min="13" max="13" width="23.28515625" style="275" customWidth="1"/>
    <col min="14" max="14" width="13.7109375" style="275" bestFit="1" customWidth="1"/>
    <col min="15" max="15" width="17.5703125" style="275" customWidth="1"/>
    <col min="16" max="16" width="109.28515625" style="6" customWidth="1"/>
    <col min="17" max="17" width="16.5703125" style="275" customWidth="1"/>
    <col min="18" max="18" width="15.7109375" style="275" bestFit="1" customWidth="1"/>
    <col min="19" max="19" width="12.42578125" style="275" customWidth="1"/>
    <col min="20" max="20" width="15" style="275" customWidth="1"/>
    <col min="21" max="21" width="12" style="275" customWidth="1"/>
    <col min="22" max="22" width="10.42578125" style="275" customWidth="1"/>
    <col min="23" max="23" width="11.42578125" style="275" customWidth="1"/>
    <col min="24" max="24" width="10.42578125" style="275" customWidth="1"/>
    <col min="25" max="25" width="8.42578125" style="275" customWidth="1"/>
    <col min="26" max="26" width="9.5703125" style="275" customWidth="1"/>
    <col min="27" max="27" width="8.42578125" style="275" customWidth="1"/>
    <col min="28" max="29" width="7.5703125" style="275" customWidth="1"/>
    <col min="30" max="51" width="9.42578125" style="275"/>
    <col min="52" max="52" width="1.5703125" style="275" customWidth="1"/>
    <col min="53" max="54" width="9.42578125" style="275"/>
    <col min="55" max="56" width="15.42578125" style="275" customWidth="1"/>
    <col min="57" max="16384" width="9.42578125" style="275"/>
  </cols>
  <sheetData>
    <row r="1" spans="2:29" ht="1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R1" s="467"/>
      <c r="S1" s="553" t="s">
        <v>0</v>
      </c>
      <c r="T1" s="553"/>
      <c r="U1" s="553" t="s">
        <v>1</v>
      </c>
      <c r="V1" s="553"/>
      <c r="W1" s="553" t="s">
        <v>2</v>
      </c>
      <c r="X1" s="553"/>
      <c r="Y1" s="553" t="s">
        <v>124</v>
      </c>
      <c r="Z1" s="553"/>
    </row>
    <row r="2" spans="2:29" ht="15">
      <c r="B2" s="554" t="s">
        <v>3</v>
      </c>
      <c r="C2" s="554"/>
      <c r="D2" s="554"/>
      <c r="E2" s="554"/>
      <c r="F2" s="554"/>
      <c r="G2" s="554"/>
      <c r="H2" s="554"/>
      <c r="I2" s="554"/>
      <c r="J2" s="554"/>
      <c r="K2" s="554"/>
      <c r="L2" s="554"/>
      <c r="M2" s="554"/>
      <c r="N2" s="554"/>
      <c r="O2" s="554"/>
      <c r="P2" s="4"/>
      <c r="R2" s="467"/>
      <c r="S2" s="467" t="s">
        <v>4</v>
      </c>
      <c r="T2" s="467" t="s">
        <v>5</v>
      </c>
      <c r="U2" s="467" t="s">
        <v>4</v>
      </c>
      <c r="V2" s="467" t="s">
        <v>5</v>
      </c>
      <c r="W2" s="467" t="s">
        <v>4</v>
      </c>
      <c r="X2" s="467" t="s">
        <v>5</v>
      </c>
      <c r="Y2" s="467" t="s">
        <v>4</v>
      </c>
      <c r="Z2" s="467" t="s">
        <v>5</v>
      </c>
    </row>
    <row r="3" spans="2:29" ht="14.25" customHeight="1">
      <c r="B3" s="5"/>
      <c r="R3" s="467" t="s">
        <v>6</v>
      </c>
      <c r="S3" s="468">
        <v>11.6</v>
      </c>
      <c r="T3" s="469">
        <v>12</v>
      </c>
      <c r="U3" s="9">
        <v>0</v>
      </c>
      <c r="V3" s="10">
        <v>0.118055555555556</v>
      </c>
      <c r="W3" s="10">
        <v>0.22569444444444445</v>
      </c>
      <c r="X3" s="10">
        <v>0.2638888888888889</v>
      </c>
      <c r="Y3" s="470">
        <v>0</v>
      </c>
      <c r="Z3" s="468">
        <v>60</v>
      </c>
      <c r="AB3" s="275" t="s">
        <v>135</v>
      </c>
    </row>
    <row r="4" spans="2:29" ht="30.75" customHeight="1">
      <c r="B4" s="301" t="s">
        <v>133</v>
      </c>
      <c r="C4" s="419">
        <v>46282</v>
      </c>
      <c r="J4" s="398" t="s">
        <v>153</v>
      </c>
      <c r="K4" s="398"/>
      <c r="L4" s="11"/>
      <c r="M4" s="555" t="s">
        <v>8</v>
      </c>
      <c r="N4" s="556"/>
      <c r="P4" s="12"/>
      <c r="R4" s="467" t="s">
        <v>9</v>
      </c>
      <c r="S4" s="468">
        <v>11.6</v>
      </c>
      <c r="T4" s="469">
        <v>12</v>
      </c>
      <c r="U4" s="9">
        <v>0</v>
      </c>
      <c r="V4" s="10">
        <v>0.118055555555556</v>
      </c>
      <c r="W4" s="10">
        <v>0.22569444444444445</v>
      </c>
      <c r="X4" s="10">
        <v>0.2638888888888889</v>
      </c>
      <c r="Y4" s="470">
        <v>0</v>
      </c>
      <c r="Z4" s="468">
        <v>60</v>
      </c>
      <c r="AA4" s="13"/>
      <c r="AB4" s="13"/>
      <c r="AC4" s="13"/>
    </row>
    <row r="5" spans="2:29" ht="12.75" customHeight="1" thickBot="1">
      <c r="B5" s="1"/>
      <c r="C5" s="549"/>
      <c r="D5" s="549"/>
      <c r="J5" s="403"/>
      <c r="K5" s="403"/>
      <c r="L5" s="11"/>
      <c r="M5" s="14" t="s">
        <v>10</v>
      </c>
      <c r="N5" s="14" t="s">
        <v>11</v>
      </c>
      <c r="P5" s="12"/>
      <c r="R5" s="467" t="s">
        <v>12</v>
      </c>
      <c r="S5" s="468">
        <v>17</v>
      </c>
      <c r="T5" s="469">
        <v>17.5</v>
      </c>
      <c r="U5" s="9">
        <v>0</v>
      </c>
      <c r="V5" s="10">
        <v>0.1076388888888889</v>
      </c>
      <c r="W5" s="10">
        <v>0.24652777777777779</v>
      </c>
      <c r="X5" s="10">
        <v>0.28472222222222221</v>
      </c>
      <c r="Y5" s="470">
        <v>0</v>
      </c>
      <c r="Z5" s="471">
        <v>60</v>
      </c>
      <c r="AA5" s="13"/>
      <c r="AB5" s="13"/>
      <c r="AC5" s="13"/>
    </row>
    <row r="6" spans="2:29" ht="14.25" customHeight="1">
      <c r="B6" s="15"/>
      <c r="C6" s="1"/>
      <c r="D6" s="1"/>
      <c r="J6" s="399" t="s">
        <v>168</v>
      </c>
      <c r="K6" s="400"/>
      <c r="L6" s="311" t="s">
        <v>14</v>
      </c>
      <c r="M6" s="340"/>
      <c r="N6" s="340"/>
      <c r="P6" s="16"/>
      <c r="R6" s="467" t="s">
        <v>15</v>
      </c>
      <c r="S6" s="468">
        <v>13.3</v>
      </c>
      <c r="T6" s="469">
        <v>13.5</v>
      </c>
      <c r="U6" s="9">
        <v>0</v>
      </c>
      <c r="V6" s="9">
        <v>0.12905092592592593</v>
      </c>
      <c r="W6" s="10">
        <v>0.27430555555555552</v>
      </c>
      <c r="X6" s="10">
        <v>0.30208333333333331</v>
      </c>
      <c r="Y6" s="470">
        <v>0</v>
      </c>
      <c r="Z6" s="471"/>
      <c r="AA6" s="13"/>
      <c r="AB6" s="13"/>
      <c r="AC6" s="13"/>
    </row>
    <row r="7" spans="2:29" ht="13.35" customHeight="1" thickBot="1">
      <c r="J7" s="401"/>
      <c r="K7" s="402"/>
      <c r="R7" s="467" t="s">
        <v>16</v>
      </c>
      <c r="S7" s="468">
        <v>17</v>
      </c>
      <c r="T7" s="469">
        <v>17.399999999999999</v>
      </c>
      <c r="U7" s="9">
        <v>0</v>
      </c>
      <c r="V7" s="9">
        <v>0.13605324074074074</v>
      </c>
      <c r="W7" s="10">
        <v>0.27430555555555552</v>
      </c>
      <c r="X7" s="10">
        <v>0.30902777777777779</v>
      </c>
      <c r="Y7" s="470">
        <v>0</v>
      </c>
      <c r="Z7" s="471">
        <v>85</v>
      </c>
      <c r="AA7" s="13"/>
      <c r="AB7" s="13"/>
      <c r="AC7" s="13"/>
    </row>
    <row r="8" spans="2:29" ht="25.5" customHeight="1">
      <c r="B8" s="507" t="s">
        <v>17</v>
      </c>
      <c r="C8" s="516" t="s">
        <v>18</v>
      </c>
      <c r="D8" s="516" t="s">
        <v>19</v>
      </c>
      <c r="E8" s="356" t="s">
        <v>20</v>
      </c>
      <c r="F8" s="356" t="s">
        <v>21</v>
      </c>
      <c r="G8" s="516" t="s">
        <v>22</v>
      </c>
      <c r="H8" s="551" t="s">
        <v>144</v>
      </c>
      <c r="I8" s="516" t="s">
        <v>167</v>
      </c>
      <c r="J8" s="542" t="s">
        <v>23</v>
      </c>
      <c r="K8" s="544" t="s">
        <v>142</v>
      </c>
      <c r="L8" s="546" t="s">
        <v>24</v>
      </c>
      <c r="M8" s="359" t="s">
        <v>25</v>
      </c>
      <c r="N8" s="17" t="s">
        <v>166</v>
      </c>
      <c r="O8" s="516" t="s">
        <v>155</v>
      </c>
      <c r="P8" s="548"/>
      <c r="R8" s="467" t="s">
        <v>125</v>
      </c>
      <c r="S8" s="468">
        <v>16.600000000000001</v>
      </c>
      <c r="T8" s="469">
        <v>17</v>
      </c>
      <c r="U8" s="9">
        <v>0</v>
      </c>
      <c r="V8" s="9">
        <v>0.12905092592592593</v>
      </c>
      <c r="W8" s="10">
        <v>0.27430555555555552</v>
      </c>
      <c r="X8" s="10">
        <v>0.30208333333333331</v>
      </c>
      <c r="Y8" s="470">
        <v>0</v>
      </c>
      <c r="Z8" s="471"/>
    </row>
    <row r="9" spans="2:29" ht="36" customHeight="1">
      <c r="B9" s="550"/>
      <c r="C9" s="541"/>
      <c r="D9" s="541"/>
      <c r="E9" s="357" t="s">
        <v>30</v>
      </c>
      <c r="F9" s="357" t="s">
        <v>31</v>
      </c>
      <c r="G9" s="541"/>
      <c r="H9" s="552"/>
      <c r="I9" s="541"/>
      <c r="J9" s="543"/>
      <c r="K9" s="545"/>
      <c r="L9" s="547"/>
      <c r="M9" s="20" t="s">
        <v>32</v>
      </c>
      <c r="N9" s="21" t="s">
        <v>41</v>
      </c>
      <c r="O9" s="541"/>
      <c r="P9" s="541"/>
      <c r="R9" s="467" t="s">
        <v>33</v>
      </c>
      <c r="S9" s="468">
        <v>14.2</v>
      </c>
      <c r="T9" s="469">
        <v>14.6</v>
      </c>
      <c r="U9" s="9">
        <v>0</v>
      </c>
      <c r="V9" s="9">
        <v>0.13905092592592591</v>
      </c>
      <c r="W9" s="10">
        <v>0.26041666666666669</v>
      </c>
      <c r="X9" s="10">
        <v>0.2951388888888889</v>
      </c>
      <c r="Y9" s="470">
        <v>0</v>
      </c>
      <c r="Z9" s="471">
        <v>75</v>
      </c>
    </row>
    <row r="10" spans="2:29" ht="15" customHeight="1">
      <c r="B10" s="29" t="s">
        <v>6</v>
      </c>
      <c r="C10" s="366" t="str">
        <f>[4]Brewhouse!$A753</f>
        <v>CA704</v>
      </c>
      <c r="D10" s="279">
        <f>[4]Brewhouse!$AF753</f>
        <v>49.3</v>
      </c>
      <c r="E10" s="279">
        <f>[4]Brewhouse!$AI753</f>
        <v>48.9</v>
      </c>
      <c r="F10" s="278">
        <f>[4]Brewhouse!$V753</f>
        <v>53</v>
      </c>
      <c r="G10" s="279">
        <f>[4]Brewhouse!AG753</f>
        <v>11.7</v>
      </c>
      <c r="H10" s="396">
        <v>12</v>
      </c>
      <c r="I10" s="368">
        <f>[4]Brewhouse!$AU753</f>
        <v>94.459604984803278</v>
      </c>
      <c r="J10" s="368">
        <f>[4]Brewhouse!$AV753</f>
        <v>95.191975856678908</v>
      </c>
      <c r="K10" s="281">
        <f>[4]Brewhouse!$Q753</f>
        <v>10.03703703703704</v>
      </c>
      <c r="L10" s="276">
        <f>[4]Brewhouse!$P753</f>
        <v>61</v>
      </c>
      <c r="M10" s="374">
        <f>[4]Brewhouse!$U753-[4]Brewhouse!$T753</f>
        <v>0.1027777777777778</v>
      </c>
      <c r="N10" s="370">
        <f>[4]Brewhouse!$Z753</f>
        <v>0.24444444444444446</v>
      </c>
      <c r="O10" s="420" t="str">
        <f>[4]Brewhouse!$AX753</f>
        <v>K. Benjamin</v>
      </c>
      <c r="P10" s="418"/>
      <c r="R10" s="277" t="str">
        <f t="shared" ref="R10:R38" si="0">B10</f>
        <v>CARIB</v>
      </c>
      <c r="S10" s="472">
        <f t="shared" ref="S10:S38" si="1">VLOOKUP($B10,$R$3:$X$9,2,FALSE)</f>
        <v>11.6</v>
      </c>
      <c r="T10" s="472">
        <f t="shared" ref="T10:T38" si="2">VLOOKUP($B10,$R$3:$X$9,3,FALSE)</f>
        <v>12</v>
      </c>
      <c r="U10" s="297">
        <f t="shared" ref="U10:U38" si="3">VLOOKUP($B10,$R$3:$X$9,4,FALSE)</f>
        <v>0</v>
      </c>
      <c r="V10" s="297">
        <f t="shared" ref="V10:V38" si="4">VLOOKUP($B10,$R$3:$X$9,5,FALSE)</f>
        <v>0.118055555555556</v>
      </c>
      <c r="W10" s="297">
        <f t="shared" ref="W10:W38" si="5">VLOOKUP($B10,$R$3:$X$9,6,FALSE)</f>
        <v>0.22569444444444445</v>
      </c>
      <c r="X10" s="297">
        <f t="shared" ref="X10:X38" si="6">VLOOKUP($B10,$R$3:$X$9,7,FALSE)</f>
        <v>0.2638888888888889</v>
      </c>
      <c r="Y10" s="297">
        <f t="shared" ref="Y10:Y38" si="7">VLOOKUP($B10,$R$3:$Z$9,8,FALSE)</f>
        <v>0</v>
      </c>
      <c r="Z10" s="472">
        <f t="shared" ref="Z10:Z38" si="8">VLOOKUP($B10,$R$3:$Z$9,9,FALSE)</f>
        <v>60</v>
      </c>
    </row>
    <row r="11" spans="2:29" ht="15" customHeight="1">
      <c r="B11" s="29" t="s">
        <v>6</v>
      </c>
      <c r="C11" s="366" t="str">
        <f>[4]Brewhouse!$A754</f>
        <v>CA705</v>
      </c>
      <c r="D11" s="279">
        <f>[4]Brewhouse!$AF754</f>
        <v>49.8</v>
      </c>
      <c r="E11" s="279">
        <f>[4]Brewhouse!$AI754</f>
        <v>50.3</v>
      </c>
      <c r="F11" s="278">
        <f>[4]Brewhouse!$V754</f>
        <v>55</v>
      </c>
      <c r="G11" s="279">
        <f>[4]Brewhouse!AG754</f>
        <v>11.9</v>
      </c>
      <c r="H11" s="396">
        <v>11.8</v>
      </c>
      <c r="I11" s="368">
        <f>[4]Brewhouse!$AU754</f>
        <v>99.279364994320531</v>
      </c>
      <c r="J11" s="368">
        <f>[4]Brewhouse!$AV754</f>
        <v>100.04895382761427</v>
      </c>
      <c r="K11" s="281">
        <f>[4]Brewhouse!$Q754</f>
        <v>11.497227356746762</v>
      </c>
      <c r="L11" s="276">
        <f>[4]Brewhouse!$P754</f>
        <v>60</v>
      </c>
      <c r="M11" s="374">
        <f>[4]Brewhouse!$U754-[4]Brewhouse!$T754</f>
        <v>0.11041666666666666</v>
      </c>
      <c r="N11" s="370">
        <f>[4]Brewhouse!$Z754</f>
        <v>0.25208333333333333</v>
      </c>
      <c r="O11" s="420" t="str">
        <f>[4]Brewhouse!$AX754</f>
        <v>K. Benjamin</v>
      </c>
      <c r="P11" s="418"/>
      <c r="R11" s="277" t="str">
        <f t="shared" ref="R11:R29" si="9">B11</f>
        <v>CARIB</v>
      </c>
      <c r="S11" s="472">
        <f t="shared" si="1"/>
        <v>11.6</v>
      </c>
      <c r="T11" s="472">
        <f t="shared" si="2"/>
        <v>12</v>
      </c>
      <c r="U11" s="297">
        <f t="shared" si="3"/>
        <v>0</v>
      </c>
      <c r="V11" s="297">
        <f t="shared" si="4"/>
        <v>0.118055555555556</v>
      </c>
      <c r="W11" s="297">
        <f t="shared" si="5"/>
        <v>0.22569444444444445</v>
      </c>
      <c r="X11" s="297">
        <f t="shared" si="6"/>
        <v>0.2638888888888889</v>
      </c>
      <c r="Y11" s="297">
        <f t="shared" si="7"/>
        <v>0</v>
      </c>
      <c r="Z11" s="472">
        <f t="shared" si="8"/>
        <v>60</v>
      </c>
    </row>
    <row r="12" spans="2:29" ht="15" customHeight="1">
      <c r="B12" s="29" t="s">
        <v>6</v>
      </c>
      <c r="C12" s="366" t="str">
        <f>[4]Brewhouse!$A755</f>
        <v>CA706</v>
      </c>
      <c r="D12" s="279">
        <f>[4]Brewhouse!$AF755</f>
        <v>49.1</v>
      </c>
      <c r="E12" s="279">
        <f>[4]Brewhouse!$AI755</f>
        <v>49.4</v>
      </c>
      <c r="F12" s="278">
        <f>[4]Brewhouse!$V755</f>
        <v>58</v>
      </c>
      <c r="G12" s="279">
        <f>[4]Brewhouse!AG755</f>
        <v>12</v>
      </c>
      <c r="H12" s="396">
        <v>12</v>
      </c>
      <c r="I12" s="368">
        <f>[4]Brewhouse!$AU755</f>
        <v>98.854256189992114</v>
      </c>
      <c r="J12" s="368">
        <f>[4]Brewhouse!$AV755</f>
        <v>99.620347546540984</v>
      </c>
      <c r="K12" s="281">
        <f>[4]Brewhouse!$Q755</f>
        <v>10.573012939001845</v>
      </c>
      <c r="L12" s="276">
        <f>[4]Brewhouse!$P755</f>
        <v>60</v>
      </c>
      <c r="M12" s="374">
        <f>[4]Brewhouse!$U755-[4]Brewhouse!$T755</f>
        <v>0.11180555555555549</v>
      </c>
      <c r="N12" s="370">
        <f>[4]Brewhouse!$Z755</f>
        <v>0.25624999999999998</v>
      </c>
      <c r="O12" s="420" t="str">
        <f>[4]Brewhouse!$AX755</f>
        <v>K. Benjamin</v>
      </c>
      <c r="P12" s="418"/>
      <c r="R12" s="277" t="str">
        <f t="shared" si="9"/>
        <v>CARIB</v>
      </c>
      <c r="S12" s="472">
        <f t="shared" si="1"/>
        <v>11.6</v>
      </c>
      <c r="T12" s="472">
        <f t="shared" si="2"/>
        <v>12</v>
      </c>
      <c r="U12" s="297">
        <f t="shared" si="3"/>
        <v>0</v>
      </c>
      <c r="V12" s="297">
        <f t="shared" si="4"/>
        <v>0.118055555555556</v>
      </c>
      <c r="W12" s="297">
        <f t="shared" si="5"/>
        <v>0.22569444444444445</v>
      </c>
      <c r="X12" s="297">
        <f t="shared" si="6"/>
        <v>0.2638888888888889</v>
      </c>
      <c r="Y12" s="297">
        <f t="shared" si="7"/>
        <v>0</v>
      </c>
      <c r="Z12" s="472">
        <f t="shared" si="8"/>
        <v>60</v>
      </c>
    </row>
    <row r="13" spans="2:29" ht="15" customHeight="1">
      <c r="B13" s="29" t="s">
        <v>6</v>
      </c>
      <c r="C13" s="366" t="str">
        <f>[4]Brewhouse!$A756</f>
        <v>CA707</v>
      </c>
      <c r="D13" s="279">
        <f>[4]Brewhouse!$AF756</f>
        <v>50.6</v>
      </c>
      <c r="E13" s="279">
        <f>[4]Brewhouse!$AI756</f>
        <v>51.2</v>
      </c>
      <c r="F13" s="278">
        <f>[4]Brewhouse!$V756</f>
        <v>58</v>
      </c>
      <c r="G13" s="279">
        <f>[4]Brewhouse!AG756</f>
        <v>11.9</v>
      </c>
      <c r="H13" s="396">
        <v>12</v>
      </c>
      <c r="I13" s="368">
        <f>[4]Brewhouse!$AU756</f>
        <v>98.732110806844759</v>
      </c>
      <c r="J13" s="368">
        <f>[4]Brewhouse!$AV756</f>
        <v>99.498389756920488</v>
      </c>
      <c r="K13" s="281">
        <f>[4]Brewhouse!$Q756</f>
        <v>9.2791127541589713</v>
      </c>
      <c r="L13" s="276">
        <f>[4]Brewhouse!$P756</f>
        <v>60</v>
      </c>
      <c r="M13" s="374">
        <f>[4]Brewhouse!$U756-[4]Brewhouse!$T756</f>
        <v>0.11319444444444449</v>
      </c>
      <c r="N13" s="370">
        <f>[4]Brewhouse!$Z756</f>
        <v>0.25555555555555559</v>
      </c>
      <c r="O13" s="420" t="str">
        <f>[4]Brewhouse!$AX756</f>
        <v>R. Regis</v>
      </c>
      <c r="P13" s="418"/>
      <c r="R13" s="277" t="str">
        <f t="shared" si="9"/>
        <v>CARIB</v>
      </c>
      <c r="S13" s="472">
        <f t="shared" si="1"/>
        <v>11.6</v>
      </c>
      <c r="T13" s="472">
        <f t="shared" si="2"/>
        <v>12</v>
      </c>
      <c r="U13" s="297">
        <f t="shared" si="3"/>
        <v>0</v>
      </c>
      <c r="V13" s="297">
        <f t="shared" si="4"/>
        <v>0.118055555555556</v>
      </c>
      <c r="W13" s="297">
        <f t="shared" si="5"/>
        <v>0.22569444444444445</v>
      </c>
      <c r="X13" s="297">
        <f t="shared" si="6"/>
        <v>0.2638888888888889</v>
      </c>
      <c r="Y13" s="297">
        <f t="shared" si="7"/>
        <v>0</v>
      </c>
      <c r="Z13" s="472">
        <f t="shared" si="8"/>
        <v>60</v>
      </c>
    </row>
    <row r="14" spans="2:29" ht="15" customHeight="1">
      <c r="B14" s="29" t="s">
        <v>6</v>
      </c>
      <c r="C14" s="366" t="str">
        <f>[4]Brewhouse!$A757</f>
        <v>CA708</v>
      </c>
      <c r="D14" s="279">
        <f>[4]Brewhouse!$AF757</f>
        <v>50.1</v>
      </c>
      <c r="E14" s="279">
        <f>[4]Brewhouse!$AI757</f>
        <v>50.7</v>
      </c>
      <c r="F14" s="278">
        <f>[4]Brewhouse!$V757</f>
        <v>58</v>
      </c>
      <c r="G14" s="279">
        <f>[4]Brewhouse!AG757</f>
        <v>12</v>
      </c>
      <c r="H14" s="396">
        <v>11.9</v>
      </c>
      <c r="I14" s="368">
        <f>[4]Brewhouse!$AU757</f>
        <v>100.95300549069179</v>
      </c>
      <c r="J14" s="368">
        <f>[4]Brewhouse!$AV757</f>
        <v>101.73556796696792</v>
      </c>
      <c r="K14" s="281">
        <f>[4]Brewhouse!$Q757</f>
        <v>9.4639556377079437</v>
      </c>
      <c r="L14" s="276">
        <f>[4]Brewhouse!$P757</f>
        <v>60</v>
      </c>
      <c r="M14" s="374">
        <f>[4]Brewhouse!$U757-[4]Brewhouse!$T757</f>
        <v>0.10902777777777783</v>
      </c>
      <c r="N14" s="370">
        <f>[4]Brewhouse!$Z757</f>
        <v>0.25972222222222224</v>
      </c>
      <c r="O14" s="420" t="str">
        <f>[4]Brewhouse!$AX757</f>
        <v>R. Regis</v>
      </c>
      <c r="P14" s="418"/>
      <c r="R14" s="277" t="str">
        <f t="shared" si="9"/>
        <v>CARIB</v>
      </c>
      <c r="S14" s="472">
        <f t="shared" si="1"/>
        <v>11.6</v>
      </c>
      <c r="T14" s="472">
        <f t="shared" si="2"/>
        <v>12</v>
      </c>
      <c r="U14" s="297">
        <f t="shared" si="3"/>
        <v>0</v>
      </c>
      <c r="V14" s="297">
        <f t="shared" si="4"/>
        <v>0.118055555555556</v>
      </c>
      <c r="W14" s="297">
        <f t="shared" si="5"/>
        <v>0.22569444444444445</v>
      </c>
      <c r="X14" s="297">
        <f t="shared" si="6"/>
        <v>0.2638888888888889</v>
      </c>
      <c r="Y14" s="297">
        <f t="shared" si="7"/>
        <v>0</v>
      </c>
      <c r="Z14" s="472">
        <f t="shared" si="8"/>
        <v>60</v>
      </c>
    </row>
    <row r="15" spans="2:29" ht="15" customHeight="1">
      <c r="B15" s="29" t="s">
        <v>6</v>
      </c>
      <c r="C15" s="366" t="str">
        <f>[4]Brewhouse!$A758</f>
        <v>CA709</v>
      </c>
      <c r="D15" s="279">
        <f>[4]Brewhouse!$AF758</f>
        <v>49.5</v>
      </c>
      <c r="E15" s="279">
        <f>[4]Brewhouse!$AI758</f>
        <v>49.9</v>
      </c>
      <c r="F15" s="278">
        <f>[4]Brewhouse!$V758</f>
        <v>59</v>
      </c>
      <c r="G15" s="279">
        <f>[4]Brewhouse!AG758</f>
        <v>11.9</v>
      </c>
      <c r="H15" s="396">
        <v>11.9</v>
      </c>
      <c r="I15" s="368">
        <f>[4]Brewhouse!$AU758</f>
        <v>98.368022017893821</v>
      </c>
      <c r="J15" s="368">
        <f>[4]Brewhouse!$AV758</f>
        <v>99.130596323508485</v>
      </c>
      <c r="K15" s="281">
        <f>[4]Brewhouse!$Q758</f>
        <v>9.8336414048059151</v>
      </c>
      <c r="L15" s="276">
        <f>[4]Brewhouse!$P758</f>
        <v>63</v>
      </c>
      <c r="M15" s="374">
        <f>[4]Brewhouse!$U758-[4]Brewhouse!$T758</f>
        <v>0.10972222222222228</v>
      </c>
      <c r="N15" s="370">
        <f>[4]Brewhouse!$Z758</f>
        <v>0.26249999999999996</v>
      </c>
      <c r="O15" s="420" t="str">
        <f>[4]Brewhouse!$AX758</f>
        <v>R. Regis</v>
      </c>
      <c r="P15" s="418"/>
      <c r="R15" s="277" t="str">
        <f t="shared" si="9"/>
        <v>CARIB</v>
      </c>
      <c r="S15" s="472">
        <f t="shared" si="1"/>
        <v>11.6</v>
      </c>
      <c r="T15" s="472">
        <f t="shared" si="2"/>
        <v>12</v>
      </c>
      <c r="U15" s="297">
        <f t="shared" si="3"/>
        <v>0</v>
      </c>
      <c r="V15" s="297">
        <f t="shared" si="4"/>
        <v>0.118055555555556</v>
      </c>
      <c r="W15" s="297">
        <f t="shared" si="5"/>
        <v>0.22569444444444445</v>
      </c>
      <c r="X15" s="297">
        <f t="shared" si="6"/>
        <v>0.2638888888888889</v>
      </c>
      <c r="Y15" s="297">
        <f t="shared" si="7"/>
        <v>0</v>
      </c>
      <c r="Z15" s="472">
        <f t="shared" si="8"/>
        <v>60</v>
      </c>
    </row>
    <row r="16" spans="2:29" ht="15" customHeight="1">
      <c r="B16" s="29" t="s">
        <v>6</v>
      </c>
      <c r="C16" s="366" t="str">
        <f>[4]Brewhouse!$A759</f>
        <v>CA710</v>
      </c>
      <c r="D16" s="279">
        <f>[4]Brewhouse!$AF759</f>
        <v>50.1</v>
      </c>
      <c r="E16" s="279">
        <f>[4]Brewhouse!$AI759</f>
        <v>51.1</v>
      </c>
      <c r="F16" s="278">
        <f>[4]Brewhouse!$V759</f>
        <v>57</v>
      </c>
      <c r="G16" s="279">
        <f>[4]Brewhouse!AG759</f>
        <v>12</v>
      </c>
      <c r="H16" s="396">
        <v>12</v>
      </c>
      <c r="I16" s="368">
        <f>[4]Brewhouse!$AU759</f>
        <v>101.37277811430624</v>
      </c>
      <c r="J16" s="368">
        <f>[4]Brewhouse!$AV759</f>
        <v>102.15874868769549</v>
      </c>
      <c r="K16" s="281">
        <f>[4]Brewhouse!$Q759</f>
        <v>9.4639556377079437</v>
      </c>
      <c r="L16" s="276">
        <f>[4]Brewhouse!$P759</f>
        <v>60</v>
      </c>
      <c r="M16" s="374">
        <f>[4]Brewhouse!$U759-[4]Brewhouse!$T759</f>
        <v>0.12013888888888891</v>
      </c>
      <c r="N16" s="370">
        <f>[4]Brewhouse!$Z759</f>
        <v>0.26249999999999996</v>
      </c>
      <c r="O16" s="420" t="str">
        <f>[4]Brewhouse!$AX759</f>
        <v>D. Gomaz</v>
      </c>
      <c r="P16" s="418"/>
      <c r="R16" s="277" t="str">
        <f t="shared" si="9"/>
        <v>CARIB</v>
      </c>
      <c r="S16" s="472">
        <f t="shared" si="1"/>
        <v>11.6</v>
      </c>
      <c r="T16" s="472">
        <f t="shared" si="2"/>
        <v>12</v>
      </c>
      <c r="U16" s="297">
        <f t="shared" si="3"/>
        <v>0</v>
      </c>
      <c r="V16" s="297">
        <f t="shared" si="4"/>
        <v>0.118055555555556</v>
      </c>
      <c r="W16" s="297">
        <f t="shared" si="5"/>
        <v>0.22569444444444445</v>
      </c>
      <c r="X16" s="297">
        <f t="shared" si="6"/>
        <v>0.2638888888888889</v>
      </c>
      <c r="Y16" s="297">
        <f t="shared" si="7"/>
        <v>0</v>
      </c>
      <c r="Z16" s="472">
        <f t="shared" si="8"/>
        <v>60</v>
      </c>
    </row>
    <row r="17" spans="1:26" ht="15" customHeight="1">
      <c r="B17" s="29" t="s">
        <v>6</v>
      </c>
      <c r="C17" s="366" t="str">
        <f>[4]Brewhouse!$A760</f>
        <v>CA711</v>
      </c>
      <c r="D17" s="279">
        <f>[4]Brewhouse!$AF760</f>
        <v>49.2</v>
      </c>
      <c r="E17" s="279">
        <f>[4]Brewhouse!$AI760</f>
        <v>49.4</v>
      </c>
      <c r="F17" s="278">
        <f>[4]Brewhouse!$V760</f>
        <v>54</v>
      </c>
      <c r="G17" s="279">
        <f>[4]Brewhouse!AG760</f>
        <v>11.7</v>
      </c>
      <c r="H17" s="493">
        <v>12.1</v>
      </c>
      <c r="I17" s="368">
        <f>[4]Brewhouse!$AU760</f>
        <v>95.073465016717392</v>
      </c>
      <c r="J17" s="368">
        <f>[4]Brewhouse!$AV760</f>
        <v>95.810738792867085</v>
      </c>
      <c r="K17" s="281">
        <f>[4]Brewhouse!$Q760</f>
        <v>13.92592592592592</v>
      </c>
      <c r="L17" s="276">
        <f>[4]Brewhouse!$P760</f>
        <v>60</v>
      </c>
      <c r="M17" s="374">
        <f>[4]Brewhouse!$U760-[4]Brewhouse!$T760</f>
        <v>0.11111111111111105</v>
      </c>
      <c r="N17" s="370">
        <f>[4]Brewhouse!$Z760</f>
        <v>0.25208333333333321</v>
      </c>
      <c r="O17" s="420" t="str">
        <f>[4]Brewhouse!$AX760</f>
        <v>D. Gomaz</v>
      </c>
      <c r="P17" s="418"/>
      <c r="R17" s="277" t="str">
        <f t="shared" si="9"/>
        <v>CARIB</v>
      </c>
      <c r="S17" s="472">
        <f t="shared" si="1"/>
        <v>11.6</v>
      </c>
      <c r="T17" s="472">
        <f t="shared" si="2"/>
        <v>12</v>
      </c>
      <c r="U17" s="297">
        <f t="shared" si="3"/>
        <v>0</v>
      </c>
      <c r="V17" s="297">
        <f t="shared" si="4"/>
        <v>0.118055555555556</v>
      </c>
      <c r="W17" s="297">
        <f t="shared" si="5"/>
        <v>0.22569444444444445</v>
      </c>
      <c r="X17" s="297">
        <f t="shared" si="6"/>
        <v>0.2638888888888889</v>
      </c>
      <c r="Y17" s="297">
        <f t="shared" si="7"/>
        <v>0</v>
      </c>
      <c r="Z17" s="472">
        <f t="shared" si="8"/>
        <v>60</v>
      </c>
    </row>
    <row r="18" spans="1:26" ht="15" customHeight="1">
      <c r="B18" s="29" t="s">
        <v>6</v>
      </c>
      <c r="C18" s="366" t="str">
        <f>[4]Brewhouse!$A761</f>
        <v>CA712</v>
      </c>
      <c r="D18" s="279">
        <f>[4]Brewhouse!$AF761</f>
        <v>47.9</v>
      </c>
      <c r="E18" s="279">
        <f>[4]Brewhouse!$AI761</f>
        <v>48.5</v>
      </c>
      <c r="F18" s="278">
        <f>[4]Brewhouse!$V761</f>
        <v>51</v>
      </c>
      <c r="G18" s="279">
        <f>[4]Brewhouse!AG761</f>
        <v>11.9</v>
      </c>
      <c r="H18" s="493">
        <v>12.3</v>
      </c>
      <c r="I18" s="368">
        <f>[4]Brewhouse!$AU761</f>
        <v>95.845344590065395</v>
      </c>
      <c r="J18" s="368">
        <f>[4]Brewhouse!$AV761</f>
        <v>96.588264940667742</v>
      </c>
      <c r="K18" s="281">
        <f>[4]Brewhouse!$Q761</f>
        <v>14.111111111111107</v>
      </c>
      <c r="L18" s="276">
        <f>[4]Brewhouse!$P761</f>
        <v>60</v>
      </c>
      <c r="M18" s="374">
        <f>[4]Brewhouse!$U761-[4]Brewhouse!$T761</f>
        <v>0.10625000000000018</v>
      </c>
      <c r="N18" s="370">
        <f>[4]Brewhouse!$Z761</f>
        <v>0.25555555555555565</v>
      </c>
      <c r="O18" s="420" t="str">
        <f>[4]Brewhouse!$AX761</f>
        <v>D. Gomaz</v>
      </c>
      <c r="P18" s="418"/>
      <c r="R18" s="277" t="str">
        <f t="shared" si="9"/>
        <v>CARIB</v>
      </c>
      <c r="S18" s="472">
        <f t="shared" si="1"/>
        <v>11.6</v>
      </c>
      <c r="T18" s="472">
        <f t="shared" si="2"/>
        <v>12</v>
      </c>
      <c r="U18" s="297">
        <f t="shared" si="3"/>
        <v>0</v>
      </c>
      <c r="V18" s="297">
        <f t="shared" si="4"/>
        <v>0.118055555555556</v>
      </c>
      <c r="W18" s="297">
        <f t="shared" si="5"/>
        <v>0.22569444444444445</v>
      </c>
      <c r="X18" s="297">
        <f t="shared" si="6"/>
        <v>0.2638888888888889</v>
      </c>
      <c r="Y18" s="297">
        <f t="shared" si="7"/>
        <v>0</v>
      </c>
      <c r="Z18" s="472">
        <f t="shared" si="8"/>
        <v>60</v>
      </c>
    </row>
    <row r="19" spans="1:26" ht="15" customHeight="1">
      <c r="B19" s="29"/>
      <c r="C19" s="366"/>
      <c r="D19" s="279"/>
      <c r="E19" s="279"/>
      <c r="F19" s="278"/>
      <c r="G19" s="279"/>
      <c r="H19" s="396"/>
      <c r="I19" s="368"/>
      <c r="J19" s="368"/>
      <c r="K19" s="281"/>
      <c r="L19" s="276"/>
      <c r="M19" s="374"/>
      <c r="N19" s="370"/>
      <c r="O19" s="420"/>
      <c r="P19" s="418"/>
      <c r="R19" s="277">
        <f t="shared" si="9"/>
        <v>0</v>
      </c>
      <c r="S19" s="472" t="e">
        <f t="shared" si="1"/>
        <v>#N/A</v>
      </c>
      <c r="T19" s="472" t="e">
        <f t="shared" si="2"/>
        <v>#N/A</v>
      </c>
      <c r="U19" s="297" t="e">
        <f t="shared" si="3"/>
        <v>#N/A</v>
      </c>
      <c r="V19" s="297" t="e">
        <f t="shared" si="4"/>
        <v>#N/A</v>
      </c>
      <c r="W19" s="297" t="e">
        <f t="shared" si="5"/>
        <v>#N/A</v>
      </c>
      <c r="X19" s="297" t="e">
        <f t="shared" si="6"/>
        <v>#N/A</v>
      </c>
      <c r="Y19" s="297" t="e">
        <f t="shared" si="7"/>
        <v>#N/A</v>
      </c>
      <c r="Z19" s="472" t="e">
        <f t="shared" si="8"/>
        <v>#N/A</v>
      </c>
    </row>
    <row r="20" spans="1:26" ht="15" hidden="1" customHeight="1">
      <c r="B20" s="29"/>
      <c r="C20" s="366"/>
      <c r="D20" s="279"/>
      <c r="E20" s="279"/>
      <c r="F20" s="278"/>
      <c r="G20" s="279"/>
      <c r="H20" s="396"/>
      <c r="I20" s="368"/>
      <c r="J20" s="368"/>
      <c r="K20" s="281"/>
      <c r="L20" s="276"/>
      <c r="M20" s="374"/>
      <c r="N20" s="370"/>
      <c r="O20" s="420"/>
      <c r="P20" s="418"/>
      <c r="R20" s="277">
        <f t="shared" si="9"/>
        <v>0</v>
      </c>
      <c r="S20" s="472" t="e">
        <f t="shared" si="1"/>
        <v>#N/A</v>
      </c>
      <c r="T20" s="472" t="e">
        <f t="shared" si="2"/>
        <v>#N/A</v>
      </c>
      <c r="U20" s="297" t="e">
        <f t="shared" si="3"/>
        <v>#N/A</v>
      </c>
      <c r="V20" s="297" t="e">
        <f t="shared" si="4"/>
        <v>#N/A</v>
      </c>
      <c r="W20" s="297" t="e">
        <f t="shared" si="5"/>
        <v>#N/A</v>
      </c>
      <c r="X20" s="297" t="e">
        <f t="shared" si="6"/>
        <v>#N/A</v>
      </c>
      <c r="Y20" s="297" t="e">
        <f t="shared" si="7"/>
        <v>#N/A</v>
      </c>
      <c r="Z20" s="472" t="e">
        <f t="shared" si="8"/>
        <v>#N/A</v>
      </c>
    </row>
    <row r="21" spans="1:26" ht="15" hidden="1" customHeight="1">
      <c r="B21" s="29"/>
      <c r="C21" s="366"/>
      <c r="D21" s="279"/>
      <c r="E21" s="279"/>
      <c r="F21" s="278"/>
      <c r="G21" s="279"/>
      <c r="H21" s="396"/>
      <c r="I21" s="368"/>
      <c r="J21" s="368"/>
      <c r="K21" s="281"/>
      <c r="L21" s="276"/>
      <c r="M21" s="374"/>
      <c r="N21" s="370"/>
      <c r="O21" s="420"/>
      <c r="P21" s="418"/>
      <c r="R21" s="277">
        <f t="shared" si="9"/>
        <v>0</v>
      </c>
      <c r="S21" s="472" t="e">
        <f t="shared" si="1"/>
        <v>#N/A</v>
      </c>
      <c r="T21" s="472" t="e">
        <f t="shared" si="2"/>
        <v>#N/A</v>
      </c>
      <c r="U21" s="297" t="e">
        <f t="shared" si="3"/>
        <v>#N/A</v>
      </c>
      <c r="V21" s="297" t="e">
        <f t="shared" si="4"/>
        <v>#N/A</v>
      </c>
      <c r="W21" s="297" t="e">
        <f t="shared" si="5"/>
        <v>#N/A</v>
      </c>
      <c r="X21" s="297" t="e">
        <f t="shared" si="6"/>
        <v>#N/A</v>
      </c>
      <c r="Y21" s="297" t="e">
        <f t="shared" si="7"/>
        <v>#N/A</v>
      </c>
      <c r="Z21" s="472" t="e">
        <f t="shared" si="8"/>
        <v>#N/A</v>
      </c>
    </row>
    <row r="22" spans="1:26" ht="15" hidden="1" customHeight="1">
      <c r="B22" s="29"/>
      <c r="C22" s="366"/>
      <c r="D22" s="279"/>
      <c r="E22" s="279"/>
      <c r="F22" s="278"/>
      <c r="G22" s="279"/>
      <c r="H22" s="396"/>
      <c r="I22" s="368"/>
      <c r="J22" s="368"/>
      <c r="K22" s="281"/>
      <c r="L22" s="276"/>
      <c r="M22" s="374"/>
      <c r="N22" s="370"/>
      <c r="O22" s="420"/>
      <c r="P22" s="418"/>
      <c r="R22" s="277">
        <f t="shared" si="9"/>
        <v>0</v>
      </c>
      <c r="S22" s="472" t="e">
        <f t="shared" si="1"/>
        <v>#N/A</v>
      </c>
      <c r="T22" s="472" t="e">
        <f t="shared" si="2"/>
        <v>#N/A</v>
      </c>
      <c r="U22" s="297" t="e">
        <f t="shared" si="3"/>
        <v>#N/A</v>
      </c>
      <c r="V22" s="297" t="e">
        <f t="shared" si="4"/>
        <v>#N/A</v>
      </c>
      <c r="W22" s="297" t="e">
        <f t="shared" si="5"/>
        <v>#N/A</v>
      </c>
      <c r="X22" s="297" t="e">
        <f t="shared" si="6"/>
        <v>#N/A</v>
      </c>
      <c r="Y22" s="297" t="e">
        <f t="shared" si="7"/>
        <v>#N/A</v>
      </c>
      <c r="Z22" s="472" t="e">
        <f t="shared" si="8"/>
        <v>#N/A</v>
      </c>
    </row>
    <row r="23" spans="1:26" ht="15" hidden="1" customHeight="1">
      <c r="B23" s="29"/>
      <c r="C23" s="366"/>
      <c r="D23" s="279"/>
      <c r="E23" s="279"/>
      <c r="F23" s="278"/>
      <c r="G23" s="279"/>
      <c r="H23" s="396"/>
      <c r="I23" s="368"/>
      <c r="J23" s="368"/>
      <c r="K23" s="281"/>
      <c r="L23" s="276"/>
      <c r="M23" s="374"/>
      <c r="N23" s="370"/>
      <c r="O23" s="420"/>
      <c r="P23" s="418"/>
      <c r="R23" s="277">
        <f t="shared" si="9"/>
        <v>0</v>
      </c>
      <c r="S23" s="472" t="e">
        <f t="shared" si="1"/>
        <v>#N/A</v>
      </c>
      <c r="T23" s="472" t="e">
        <f t="shared" si="2"/>
        <v>#N/A</v>
      </c>
      <c r="U23" s="297" t="e">
        <f t="shared" si="3"/>
        <v>#N/A</v>
      </c>
      <c r="V23" s="297" t="e">
        <f t="shared" si="4"/>
        <v>#N/A</v>
      </c>
      <c r="W23" s="297" t="e">
        <f t="shared" si="5"/>
        <v>#N/A</v>
      </c>
      <c r="X23" s="297" t="e">
        <f t="shared" si="6"/>
        <v>#N/A</v>
      </c>
      <c r="Y23" s="297" t="e">
        <f t="shared" si="7"/>
        <v>#N/A</v>
      </c>
      <c r="Z23" s="472" t="e">
        <f t="shared" si="8"/>
        <v>#N/A</v>
      </c>
    </row>
    <row r="24" spans="1:26" ht="15" customHeight="1">
      <c r="B24" s="36"/>
      <c r="C24" s="366"/>
      <c r="D24" s="279"/>
      <c r="E24" s="279"/>
      <c r="F24" s="278"/>
      <c r="G24" s="279"/>
      <c r="H24" s="396"/>
      <c r="I24" s="489"/>
      <c r="J24" s="489"/>
      <c r="K24" s="490"/>
      <c r="L24" s="276"/>
      <c r="M24" s="374"/>
      <c r="N24" s="370"/>
      <c r="O24" s="420"/>
      <c r="P24" s="418"/>
      <c r="R24" s="277">
        <f t="shared" si="9"/>
        <v>0</v>
      </c>
      <c r="S24" s="472" t="e">
        <f t="shared" si="1"/>
        <v>#N/A</v>
      </c>
      <c r="T24" s="472" t="e">
        <f t="shared" si="2"/>
        <v>#N/A</v>
      </c>
      <c r="U24" s="297" t="e">
        <f t="shared" si="3"/>
        <v>#N/A</v>
      </c>
      <c r="V24" s="297" t="e">
        <f t="shared" si="4"/>
        <v>#N/A</v>
      </c>
      <c r="W24" s="297" t="e">
        <f t="shared" si="5"/>
        <v>#N/A</v>
      </c>
      <c r="X24" s="297" t="e">
        <f t="shared" si="6"/>
        <v>#N/A</v>
      </c>
      <c r="Y24" s="297" t="e">
        <f t="shared" si="7"/>
        <v>#N/A</v>
      </c>
      <c r="Z24" s="472" t="e">
        <f t="shared" si="8"/>
        <v>#N/A</v>
      </c>
    </row>
    <row r="25" spans="1:26" ht="17.25" customHeight="1" thickBot="1">
      <c r="B25" s="358"/>
      <c r="C25" s="358"/>
      <c r="D25" s="358"/>
      <c r="E25" s="358"/>
      <c r="F25" s="294"/>
      <c r="G25" s="294"/>
      <c r="H25" s="348"/>
      <c r="I25" s="535"/>
      <c r="J25" s="535"/>
      <c r="K25" s="535"/>
      <c r="L25" s="535"/>
      <c r="M25" s="535"/>
      <c r="N25" s="535"/>
      <c r="O25" s="1"/>
      <c r="P25" s="12"/>
      <c r="R25" s="277">
        <f t="shared" si="9"/>
        <v>0</v>
      </c>
      <c r="S25" s="472" t="e">
        <f t="shared" si="1"/>
        <v>#N/A</v>
      </c>
      <c r="T25" s="472" t="e">
        <f t="shared" si="2"/>
        <v>#N/A</v>
      </c>
      <c r="U25" s="297" t="e">
        <f t="shared" si="3"/>
        <v>#N/A</v>
      </c>
      <c r="V25" s="297" t="e">
        <f t="shared" si="4"/>
        <v>#N/A</v>
      </c>
      <c r="W25" s="297" t="e">
        <f t="shared" si="5"/>
        <v>#N/A</v>
      </c>
      <c r="X25" s="297" t="e">
        <f t="shared" si="6"/>
        <v>#N/A</v>
      </c>
      <c r="Y25" s="297" t="e">
        <f t="shared" si="7"/>
        <v>#N/A</v>
      </c>
      <c r="Z25" s="472" t="e">
        <f t="shared" si="8"/>
        <v>#N/A</v>
      </c>
    </row>
    <row r="26" spans="1:26" ht="17.25" customHeight="1" thickBot="1">
      <c r="B26" s="483" t="s">
        <v>162</v>
      </c>
      <c r="C26" s="388"/>
      <c r="D26" s="536" t="s">
        <v>35</v>
      </c>
      <c r="E26" s="537"/>
      <c r="F26" s="294"/>
      <c r="G26" s="294"/>
      <c r="H26" s="348"/>
      <c r="I26" s="24" t="s">
        <v>17</v>
      </c>
      <c r="J26" s="25"/>
      <c r="K26" s="26" t="s">
        <v>138</v>
      </c>
      <c r="L26" s="25" t="s">
        <v>37</v>
      </c>
      <c r="M26" s="25" t="s">
        <v>38</v>
      </c>
      <c r="N26" s="27" t="s">
        <v>39</v>
      </c>
      <c r="O26" s="294"/>
      <c r="P26" s="12"/>
      <c r="R26" s="277" t="str">
        <f t="shared" si="9"/>
        <v xml:space="preserve">BRAND </v>
      </c>
      <c r="S26" s="472" t="e">
        <f t="shared" si="1"/>
        <v>#N/A</v>
      </c>
      <c r="T26" s="472" t="e">
        <f t="shared" si="2"/>
        <v>#N/A</v>
      </c>
      <c r="U26" s="297" t="e">
        <f t="shared" si="3"/>
        <v>#N/A</v>
      </c>
      <c r="V26" s="297" t="e">
        <f t="shared" si="4"/>
        <v>#N/A</v>
      </c>
      <c r="W26" s="297" t="e">
        <f t="shared" si="5"/>
        <v>#N/A</v>
      </c>
      <c r="X26" s="297" t="e">
        <f t="shared" si="6"/>
        <v>#N/A</v>
      </c>
      <c r="Y26" s="297" t="e">
        <f t="shared" si="7"/>
        <v>#N/A</v>
      </c>
      <c r="Z26" s="472" t="e">
        <f t="shared" si="8"/>
        <v>#N/A</v>
      </c>
    </row>
    <row r="27" spans="1:26" ht="17.25" customHeight="1">
      <c r="A27" s="28"/>
      <c r="B27" s="538"/>
      <c r="C27" s="484"/>
      <c r="D27" s="523"/>
      <c r="E27" s="524"/>
      <c r="F27" s="294"/>
      <c r="G27" s="294"/>
      <c r="H27" s="348"/>
      <c r="I27" s="29" t="s">
        <v>6</v>
      </c>
      <c r="J27" s="323">
        <f>AVERAGE(I10:I18)</f>
        <v>98.104216911737268</v>
      </c>
      <c r="K27" s="284">
        <f>COUNTA([4]Brewhouse!$A$696:$A$761)</f>
        <v>66</v>
      </c>
      <c r="L27" s="305">
        <f>AVERAGE([4]Brewhouse!$AU$696:$AU$761)</f>
        <v>98.674533019691481</v>
      </c>
      <c r="M27" s="305">
        <f>AVERAGE([4]Brewhouse!$AU$42:$AU$123,[4]Brewhouse!$AU$125:$AU$188,[4]Brewhouse!$AU$198:$AU$290,[4]Brewhouse!$AU$292:$AU$370,[4]Brewhouse!$AU$372:$AU$439,[4]Brewhouse!$AU$441:$AU$497,[4]Brewhouse!$AU$499:$AU$519,[4]Brewhouse!$AU$521:$AU$593,[4]Brewhouse!$AU$595:$AU$694,[4]Brewhouse!$AU$696:$AU$761)</f>
        <v>98.321520838150818</v>
      </c>
      <c r="N27" s="30">
        <v>98</v>
      </c>
      <c r="O27" s="11"/>
      <c r="P27" s="31"/>
      <c r="R27" s="277">
        <f t="shared" si="9"/>
        <v>0</v>
      </c>
      <c r="S27" s="472" t="e">
        <f t="shared" si="1"/>
        <v>#N/A</v>
      </c>
      <c r="T27" s="472" t="e">
        <f t="shared" si="2"/>
        <v>#N/A</v>
      </c>
      <c r="U27" s="297" t="e">
        <f t="shared" si="3"/>
        <v>#N/A</v>
      </c>
      <c r="V27" s="297" t="e">
        <f t="shared" si="4"/>
        <v>#N/A</v>
      </c>
      <c r="W27" s="297" t="e">
        <f t="shared" si="5"/>
        <v>#N/A</v>
      </c>
      <c r="X27" s="297" t="e">
        <f t="shared" si="6"/>
        <v>#N/A</v>
      </c>
      <c r="Y27" s="297" t="e">
        <f t="shared" si="7"/>
        <v>#N/A</v>
      </c>
      <c r="Z27" s="472" t="e">
        <f t="shared" si="8"/>
        <v>#N/A</v>
      </c>
    </row>
    <row r="28" spans="1:26" ht="15" customHeight="1">
      <c r="A28" s="28"/>
      <c r="B28" s="539"/>
      <c r="C28" s="362"/>
      <c r="D28" s="525"/>
      <c r="E28" s="526"/>
      <c r="F28" s="294"/>
      <c r="G28" s="294"/>
      <c r="H28" s="348"/>
      <c r="I28" s="33" t="s">
        <v>9</v>
      </c>
      <c r="J28" s="323"/>
      <c r="K28" s="284">
        <f>COUNTA([5]Brewhouse!$A$363:$A$372)</f>
        <v>10</v>
      </c>
      <c r="L28" s="302">
        <f>AVERAGE([5]Brewhouse!$AS$363:$AS$372)</f>
        <v>100.50071873632695</v>
      </c>
      <c r="M28" s="302">
        <f>AVERAGE([5]Brewhouse!$AS$52:$AS$81,[5]Brewhouse!$AS$83:$AS$124,[5]Brewhouse!$AS$134:$AS$177,[5]Brewhouse!$AS$22:$AS$179,[5]Brewhouse!$AS$214:$AS$249,[5]Brewhouse!$AS$252:$AS$293,[5]Brewhouse!$AS$295:$AS$325,[5]Brewhouse!$AS$327:$AS$361,[5]Brewhouse!$AS$363:$AS$372)</f>
        <v>98.29248495310074</v>
      </c>
      <c r="N28" s="30">
        <v>98</v>
      </c>
      <c r="O28" s="11"/>
      <c r="P28" s="31"/>
      <c r="R28" s="277">
        <f t="shared" si="9"/>
        <v>0</v>
      </c>
      <c r="S28" s="472" t="e">
        <f t="shared" si="1"/>
        <v>#N/A</v>
      </c>
      <c r="T28" s="472" t="e">
        <f t="shared" si="2"/>
        <v>#N/A</v>
      </c>
      <c r="U28" s="297" t="e">
        <f t="shared" si="3"/>
        <v>#N/A</v>
      </c>
      <c r="V28" s="297" t="e">
        <f t="shared" si="4"/>
        <v>#N/A</v>
      </c>
      <c r="W28" s="297" t="e">
        <f t="shared" si="5"/>
        <v>#N/A</v>
      </c>
      <c r="X28" s="297" t="e">
        <f t="shared" si="6"/>
        <v>#N/A</v>
      </c>
      <c r="Y28" s="297" t="e">
        <f t="shared" si="7"/>
        <v>#N/A</v>
      </c>
      <c r="Z28" s="472" t="e">
        <f t="shared" si="8"/>
        <v>#N/A</v>
      </c>
    </row>
    <row r="29" spans="1:26" ht="14.65" customHeight="1">
      <c r="A29" s="28"/>
      <c r="B29" s="539"/>
      <c r="C29" s="362"/>
      <c r="D29" s="530"/>
      <c r="E29" s="531"/>
      <c r="F29" s="294"/>
      <c r="G29" s="294"/>
      <c r="H29" s="348"/>
      <c r="I29" s="34" t="s">
        <v>12</v>
      </c>
      <c r="J29" s="323"/>
      <c r="K29" s="284"/>
      <c r="L29" s="302"/>
      <c r="M29" s="302">
        <f>AVERAGE([6]Brewhouse!$AU$16:$AU$23,[6]Brewhouse!$AU$25:$AU$32,[6]Brewhouse!$AU$34:$AU$41,[6]Brewhouse!$AU$43:$AU$60,[6]Brewhouse!$AU$62:$AU$69,[6]Brewhouse!$AU$71:$AU$88,[6]Brewhouse!$AU$90:$AU$97)</f>
        <v>96.502171439390338</v>
      </c>
      <c r="N29" s="30">
        <v>98</v>
      </c>
      <c r="O29" s="11"/>
      <c r="P29" s="31"/>
      <c r="R29" s="277">
        <f t="shared" si="9"/>
        <v>0</v>
      </c>
      <c r="S29" s="472" t="e">
        <f t="shared" si="1"/>
        <v>#N/A</v>
      </c>
      <c r="T29" s="472" t="e">
        <f t="shared" si="2"/>
        <v>#N/A</v>
      </c>
      <c r="U29" s="297" t="e">
        <f t="shared" si="3"/>
        <v>#N/A</v>
      </c>
      <c r="V29" s="297" t="e">
        <f t="shared" si="4"/>
        <v>#N/A</v>
      </c>
      <c r="W29" s="297" t="e">
        <f t="shared" si="5"/>
        <v>#N/A</v>
      </c>
      <c r="X29" s="297" t="e">
        <f t="shared" si="6"/>
        <v>#N/A</v>
      </c>
      <c r="Y29" s="297" t="e">
        <f t="shared" si="7"/>
        <v>#N/A</v>
      </c>
      <c r="Z29" s="472" t="e">
        <f t="shared" si="8"/>
        <v>#N/A</v>
      </c>
    </row>
    <row r="30" spans="1:26" ht="14.65" customHeight="1">
      <c r="A30" s="28"/>
      <c r="B30" s="539"/>
      <c r="C30" s="362"/>
      <c r="D30" s="532"/>
      <c r="E30" s="526"/>
      <c r="F30" s="294"/>
      <c r="G30" s="294"/>
      <c r="H30" s="348"/>
      <c r="I30" s="22" t="s">
        <v>33</v>
      </c>
      <c r="J30" s="280"/>
      <c r="K30" s="284"/>
      <c r="L30" s="302"/>
      <c r="M30" s="302">
        <f>AVERAGE([7]Brewhouse!$AV$23:$AV$34,[7]Brewhouse!$AV$36,[7]Brewhouse!$AV$38:$AV$52,[7]Brewhouse!$AV$54:$AV$60,[7]Brewhouse!$AV$62:$AV$69,[7]Brewhouse!$AV$71:$AV$78,[7]Brewhouse!$AV$80:$AV$87,[7]Brewhouse!$AV$89:$AV$96)</f>
        <v>97.559547139003357</v>
      </c>
      <c r="N30" s="30">
        <v>98</v>
      </c>
      <c r="O30" s="11"/>
      <c r="P30" s="31"/>
      <c r="R30" s="277">
        <f t="shared" si="0"/>
        <v>0</v>
      </c>
      <c r="S30" s="472" t="e">
        <f t="shared" si="1"/>
        <v>#N/A</v>
      </c>
      <c r="T30" s="472" t="e">
        <f t="shared" si="2"/>
        <v>#N/A</v>
      </c>
      <c r="U30" s="297" t="e">
        <f t="shared" si="3"/>
        <v>#N/A</v>
      </c>
      <c r="V30" s="297" t="e">
        <f t="shared" si="4"/>
        <v>#N/A</v>
      </c>
      <c r="W30" s="297" t="e">
        <f t="shared" si="5"/>
        <v>#N/A</v>
      </c>
      <c r="X30" s="297" t="e">
        <f t="shared" si="6"/>
        <v>#N/A</v>
      </c>
      <c r="Y30" s="297" t="e">
        <f t="shared" si="7"/>
        <v>#N/A</v>
      </c>
      <c r="Z30" s="472" t="e">
        <f t="shared" si="8"/>
        <v>#N/A</v>
      </c>
    </row>
    <row r="31" spans="1:26" ht="14.65" customHeight="1">
      <c r="A31" s="28"/>
      <c r="B31" s="539"/>
      <c r="C31" s="362"/>
      <c r="D31" s="530"/>
      <c r="E31" s="531"/>
      <c r="F31" s="294"/>
      <c r="G31" s="294"/>
      <c r="H31" s="348"/>
      <c r="I31" s="35" t="s">
        <v>29</v>
      </c>
      <c r="J31" s="280"/>
      <c r="K31" s="284"/>
      <c r="L31" s="302"/>
      <c r="M31" s="302"/>
      <c r="N31" s="30">
        <v>98</v>
      </c>
      <c r="O31" s="11"/>
      <c r="P31" s="31"/>
      <c r="R31" s="277">
        <f t="shared" si="0"/>
        <v>0</v>
      </c>
      <c r="S31" s="472" t="e">
        <f t="shared" si="1"/>
        <v>#N/A</v>
      </c>
      <c r="T31" s="472" t="e">
        <f t="shared" si="2"/>
        <v>#N/A</v>
      </c>
      <c r="U31" s="297" t="e">
        <f t="shared" si="3"/>
        <v>#N/A</v>
      </c>
      <c r="V31" s="297" t="e">
        <f t="shared" si="4"/>
        <v>#N/A</v>
      </c>
      <c r="W31" s="297" t="e">
        <f t="shared" si="5"/>
        <v>#N/A</v>
      </c>
      <c r="X31" s="297" t="e">
        <f t="shared" si="6"/>
        <v>#N/A</v>
      </c>
      <c r="Y31" s="297" t="e">
        <f t="shared" si="7"/>
        <v>#N/A</v>
      </c>
      <c r="Z31" s="472" t="e">
        <f t="shared" si="8"/>
        <v>#N/A</v>
      </c>
    </row>
    <row r="32" spans="1:26" ht="14.65" customHeight="1">
      <c r="A32" s="28"/>
      <c r="B32" s="539"/>
      <c r="C32" s="362"/>
      <c r="D32" s="532"/>
      <c r="E32" s="526"/>
      <c r="F32" s="417"/>
      <c r="G32" s="294"/>
      <c r="H32" s="348"/>
      <c r="I32" s="36" t="s">
        <v>15</v>
      </c>
      <c r="J32" s="323"/>
      <c r="K32" s="284">
        <f>COUNTA([8]Brewhouse!$A$23:$A$30)</f>
        <v>8</v>
      </c>
      <c r="L32" s="302">
        <f>AVERAGE([8]Brewhouse!$AT$23:$AT$30)</f>
        <v>96.065914782338609</v>
      </c>
      <c r="M32" s="302">
        <f>AVERAGE([8]Brewhouse!$AT$4:$AT$11,[8]Brewhouse!$AT$13:$AT$16,[8]Brewhouse!$AT$18:$AT$30)</f>
        <v>93.22262799886262</v>
      </c>
      <c r="N32" s="30">
        <v>98</v>
      </c>
      <c r="O32" s="11"/>
      <c r="P32" s="31"/>
      <c r="R32" s="277">
        <f t="shared" si="0"/>
        <v>0</v>
      </c>
      <c r="S32" s="472" t="e">
        <f t="shared" si="1"/>
        <v>#N/A</v>
      </c>
      <c r="T32" s="472" t="e">
        <f t="shared" si="2"/>
        <v>#N/A</v>
      </c>
      <c r="U32" s="297" t="e">
        <f t="shared" si="3"/>
        <v>#N/A</v>
      </c>
      <c r="V32" s="297" t="e">
        <f t="shared" si="4"/>
        <v>#N/A</v>
      </c>
      <c r="W32" s="297" t="e">
        <f t="shared" si="5"/>
        <v>#N/A</v>
      </c>
      <c r="X32" s="297" t="e">
        <f t="shared" si="6"/>
        <v>#N/A</v>
      </c>
      <c r="Y32" s="297" t="e">
        <f t="shared" si="7"/>
        <v>#N/A</v>
      </c>
      <c r="Z32" s="472" t="e">
        <f t="shared" si="8"/>
        <v>#N/A</v>
      </c>
    </row>
    <row r="33" spans="1:56" ht="14.65" customHeight="1">
      <c r="A33" s="28"/>
      <c r="B33" s="539"/>
      <c r="C33" s="362"/>
      <c r="D33" s="530"/>
      <c r="E33" s="531"/>
      <c r="F33" s="417"/>
      <c r="G33" s="294"/>
      <c r="H33" s="348"/>
      <c r="I33" s="37" t="s">
        <v>16</v>
      </c>
      <c r="J33" s="323"/>
      <c r="K33" s="284"/>
      <c r="L33" s="302"/>
      <c r="M33" s="302">
        <f>AVERAGE([3]Brewhouse!$AY$5:$AY$14,[3]Brewhouse!$AY$16:$AY$23,[3]Brewhouse!$AY$42,[3]Brewhouse!$AY$44:$AY$51,[3]Brewhouse!$AY$53:$AY$64,[3]Brewhouse!$AY$66:$AY$73,[3]Brewhouse!$AY$75:$AY$82,[3]Brewhouse!$AY$84:$AY$101)</f>
        <v>97.784660430003186</v>
      </c>
      <c r="N33" s="30">
        <v>98</v>
      </c>
      <c r="O33" s="11"/>
      <c r="P33" s="31" t="s">
        <v>41</v>
      </c>
      <c r="R33" s="277">
        <f t="shared" si="0"/>
        <v>0</v>
      </c>
      <c r="S33" s="472" t="e">
        <f t="shared" si="1"/>
        <v>#N/A</v>
      </c>
      <c r="T33" s="472" t="e">
        <f t="shared" si="2"/>
        <v>#N/A</v>
      </c>
      <c r="U33" s="297" t="e">
        <f t="shared" si="3"/>
        <v>#N/A</v>
      </c>
      <c r="V33" s="297" t="e">
        <f t="shared" si="4"/>
        <v>#N/A</v>
      </c>
      <c r="W33" s="297" t="e">
        <f t="shared" si="5"/>
        <v>#N/A</v>
      </c>
      <c r="X33" s="297" t="e">
        <f t="shared" si="6"/>
        <v>#N/A</v>
      </c>
      <c r="Y33" s="297" t="e">
        <f t="shared" si="7"/>
        <v>#N/A</v>
      </c>
      <c r="Z33" s="472" t="e">
        <f t="shared" si="8"/>
        <v>#N/A</v>
      </c>
    </row>
    <row r="34" spans="1:56" ht="14.65" customHeight="1">
      <c r="A34" s="28"/>
      <c r="B34" s="539"/>
      <c r="C34" s="362"/>
      <c r="D34" s="532"/>
      <c r="E34" s="526"/>
      <c r="F34" s="294"/>
      <c r="G34" s="294"/>
      <c r="H34" s="348"/>
      <c r="I34" s="411" t="s">
        <v>158</v>
      </c>
      <c r="J34" s="326"/>
      <c r="K34" s="284"/>
      <c r="L34" s="305"/>
      <c r="M34" s="305"/>
      <c r="N34" s="30">
        <v>98</v>
      </c>
      <c r="O34" s="11"/>
      <c r="P34" s="31"/>
      <c r="R34" s="277">
        <f t="shared" si="0"/>
        <v>0</v>
      </c>
      <c r="S34" s="472" t="e">
        <f t="shared" si="1"/>
        <v>#N/A</v>
      </c>
      <c r="T34" s="472" t="e">
        <f t="shared" si="2"/>
        <v>#N/A</v>
      </c>
      <c r="U34" s="297" t="e">
        <f t="shared" si="3"/>
        <v>#N/A</v>
      </c>
      <c r="V34" s="297" t="e">
        <f t="shared" si="4"/>
        <v>#N/A</v>
      </c>
      <c r="W34" s="297" t="e">
        <f t="shared" si="5"/>
        <v>#N/A</v>
      </c>
      <c r="X34" s="297" t="e">
        <f t="shared" si="6"/>
        <v>#N/A</v>
      </c>
      <c r="Y34" s="297" t="e">
        <f t="shared" si="7"/>
        <v>#N/A</v>
      </c>
      <c r="Z34" s="472" t="e">
        <f t="shared" si="8"/>
        <v>#N/A</v>
      </c>
    </row>
    <row r="35" spans="1:56" ht="14.65" customHeight="1">
      <c r="A35" s="28"/>
      <c r="B35" s="539"/>
      <c r="C35" s="362"/>
      <c r="D35" s="530"/>
      <c r="E35" s="531"/>
      <c r="F35" s="294"/>
      <c r="G35" s="294"/>
      <c r="H35" s="348"/>
      <c r="I35" s="410" t="s">
        <v>157</v>
      </c>
      <c r="J35" s="326"/>
      <c r="K35" s="284"/>
      <c r="L35" s="305"/>
      <c r="M35" s="305"/>
      <c r="N35" s="30">
        <v>98</v>
      </c>
      <c r="O35" s="11"/>
      <c r="P35" s="31"/>
      <c r="R35" s="277">
        <f t="shared" si="0"/>
        <v>0</v>
      </c>
      <c r="S35" s="472" t="e">
        <f t="shared" si="1"/>
        <v>#N/A</v>
      </c>
      <c r="T35" s="472" t="e">
        <f t="shared" si="2"/>
        <v>#N/A</v>
      </c>
      <c r="U35" s="297" t="e">
        <f t="shared" si="3"/>
        <v>#N/A</v>
      </c>
      <c r="V35" s="297" t="e">
        <f t="shared" si="4"/>
        <v>#N/A</v>
      </c>
      <c r="W35" s="297" t="e">
        <f t="shared" si="5"/>
        <v>#N/A</v>
      </c>
      <c r="X35" s="297" t="e">
        <f t="shared" si="6"/>
        <v>#N/A</v>
      </c>
      <c r="Y35" s="297" t="e">
        <f t="shared" si="7"/>
        <v>#N/A</v>
      </c>
      <c r="Z35" s="472" t="e">
        <f t="shared" si="8"/>
        <v>#N/A</v>
      </c>
      <c r="AA35" s="472"/>
    </row>
    <row r="36" spans="1:56" ht="15" customHeight="1" thickBot="1">
      <c r="A36" s="28"/>
      <c r="B36" s="539"/>
      <c r="C36" s="362"/>
      <c r="D36" s="532"/>
      <c r="E36" s="526"/>
      <c r="F36" s="294"/>
      <c r="G36" s="294"/>
      <c r="H36" s="348"/>
      <c r="I36" s="406" t="s">
        <v>156</v>
      </c>
      <c r="J36" s="327"/>
      <c r="K36" s="407"/>
      <c r="L36" s="408"/>
      <c r="M36" s="408"/>
      <c r="N36" s="409">
        <v>98</v>
      </c>
      <c r="O36" s="11"/>
      <c r="P36" s="31"/>
      <c r="R36" s="277">
        <f t="shared" si="0"/>
        <v>0</v>
      </c>
      <c r="S36" s="472" t="e">
        <f t="shared" si="1"/>
        <v>#N/A</v>
      </c>
      <c r="T36" s="472" t="e">
        <f t="shared" si="2"/>
        <v>#N/A</v>
      </c>
      <c r="U36" s="297" t="e">
        <f t="shared" si="3"/>
        <v>#N/A</v>
      </c>
      <c r="V36" s="297" t="e">
        <f t="shared" si="4"/>
        <v>#N/A</v>
      </c>
      <c r="W36" s="297" t="e">
        <f t="shared" si="5"/>
        <v>#N/A</v>
      </c>
      <c r="X36" s="297" t="e">
        <f t="shared" si="6"/>
        <v>#N/A</v>
      </c>
      <c r="Y36" s="297" t="e">
        <f t="shared" si="7"/>
        <v>#N/A</v>
      </c>
      <c r="Z36" s="472" t="e">
        <f t="shared" si="8"/>
        <v>#N/A</v>
      </c>
      <c r="AA36" s="472"/>
    </row>
    <row r="37" spans="1:56" ht="15" customHeight="1" thickBot="1">
      <c r="A37" s="28"/>
      <c r="B37" s="539"/>
      <c r="C37" s="349"/>
      <c r="D37" s="523"/>
      <c r="E37" s="524"/>
      <c r="F37" s="294"/>
      <c r="G37" s="294"/>
      <c r="H37" s="348"/>
      <c r="I37" s="1"/>
      <c r="J37" s="39"/>
      <c r="K37" s="404">
        <f>SUM(K27:K36)</f>
        <v>84</v>
      </c>
      <c r="L37" s="405">
        <f>((L27*K27)+(L28*K28)+(L29*K29)+(L30*K30)+(L31*K31)+(K34*L34)+(L32*K32)+(L33*K33)+(L36*K36))/(K37)</f>
        <v>98.643496249066843</v>
      </c>
      <c r="M37" s="405">
        <f>AVERAGE('[9]Jan30th-31st'!$L$42,'[10]Feb 27th-28th'!$L$45,'[11]Mar 31st'!$L$42,'[12]Apr 30th'!$L$41,'[13]May 29th '!$L$35,'[14]June 30th'!$L$32,[15]July31st!$L$36,'[16]Aug 31st'!$L$32,L37)</f>
        <v>98.065914275025804</v>
      </c>
      <c r="N37" s="40">
        <v>98</v>
      </c>
      <c r="O37" s="11"/>
      <c r="P37" s="31"/>
      <c r="R37" s="277">
        <f t="shared" si="0"/>
        <v>0</v>
      </c>
      <c r="S37" s="472" t="e">
        <f t="shared" si="1"/>
        <v>#N/A</v>
      </c>
      <c r="T37" s="472" t="e">
        <f t="shared" si="2"/>
        <v>#N/A</v>
      </c>
      <c r="U37" s="297" t="e">
        <f t="shared" si="3"/>
        <v>#N/A</v>
      </c>
      <c r="V37" s="297" t="e">
        <f t="shared" si="4"/>
        <v>#N/A</v>
      </c>
      <c r="W37" s="297" t="e">
        <f t="shared" si="5"/>
        <v>#N/A</v>
      </c>
      <c r="X37" s="297" t="e">
        <f t="shared" si="6"/>
        <v>#N/A</v>
      </c>
      <c r="Y37" s="297" t="e">
        <f t="shared" si="7"/>
        <v>#N/A</v>
      </c>
      <c r="Z37" s="472" t="e">
        <f t="shared" si="8"/>
        <v>#N/A</v>
      </c>
      <c r="AA37" s="472"/>
    </row>
    <row r="38" spans="1:56" ht="15.75" thickBot="1">
      <c r="B38" s="540"/>
      <c r="C38" s="350"/>
      <c r="D38" s="525"/>
      <c r="E38" s="526"/>
      <c r="F38" s="294"/>
      <c r="G38" s="42"/>
      <c r="H38" s="41"/>
      <c r="I38" s="42"/>
      <c r="J38" s="42"/>
      <c r="K38" s="351"/>
      <c r="L38" s="348"/>
      <c r="M38" s="348"/>
      <c r="N38" s="11"/>
      <c r="O38" s="294"/>
      <c r="P38" s="12"/>
      <c r="R38" s="277">
        <f t="shared" si="0"/>
        <v>0</v>
      </c>
      <c r="S38" s="472" t="e">
        <f t="shared" si="1"/>
        <v>#N/A</v>
      </c>
      <c r="T38" s="472" t="e">
        <f t="shared" si="2"/>
        <v>#N/A</v>
      </c>
      <c r="U38" s="297" t="e">
        <f t="shared" si="3"/>
        <v>#N/A</v>
      </c>
      <c r="V38" s="297" t="e">
        <f t="shared" si="4"/>
        <v>#N/A</v>
      </c>
      <c r="W38" s="297" t="e">
        <f t="shared" si="5"/>
        <v>#N/A</v>
      </c>
      <c r="X38" s="297" t="e">
        <f t="shared" si="6"/>
        <v>#N/A</v>
      </c>
      <c r="Y38" s="297" t="e">
        <f t="shared" si="7"/>
        <v>#N/A</v>
      </c>
      <c r="Z38" s="472" t="e">
        <f t="shared" si="8"/>
        <v>#N/A</v>
      </c>
      <c r="AA38" s="472"/>
    </row>
    <row r="39" spans="1:56" ht="15.75" thickBot="1">
      <c r="B39" s="520"/>
      <c r="C39" s="362"/>
      <c r="D39" s="523"/>
      <c r="E39" s="524"/>
      <c r="F39" s="294"/>
      <c r="G39" s="42"/>
      <c r="H39" s="41"/>
      <c r="I39" s="42"/>
      <c r="J39" s="527" t="s">
        <v>129</v>
      </c>
      <c r="K39" s="527"/>
      <c r="L39" s="294"/>
      <c r="M39" s="294"/>
      <c r="N39" s="294"/>
      <c r="O39" s="294"/>
      <c r="P39" s="12"/>
    </row>
    <row r="40" spans="1:56" ht="15.75" thickBot="1">
      <c r="B40" s="521"/>
      <c r="C40" s="362"/>
      <c r="D40" s="525"/>
      <c r="E40" s="526"/>
      <c r="F40" s="294"/>
      <c r="G40" s="42"/>
      <c r="H40" s="42"/>
      <c r="I40" s="42"/>
      <c r="J40" s="292" t="s">
        <v>17</v>
      </c>
      <c r="K40" s="293"/>
      <c r="L40" s="528" t="s">
        <v>136</v>
      </c>
      <c r="M40" s="528"/>
      <c r="N40" s="529"/>
      <c r="O40" s="294"/>
      <c r="P40" s="12"/>
    </row>
    <row r="41" spans="1:56" ht="15" customHeight="1" thickBot="1">
      <c r="B41" s="521"/>
      <c r="C41" s="349"/>
      <c r="D41" s="530"/>
      <c r="E41" s="531"/>
      <c r="F41" s="294"/>
      <c r="G41" s="42"/>
      <c r="H41" s="42"/>
      <c r="I41" s="42"/>
      <c r="J41" s="287" t="s">
        <v>6</v>
      </c>
      <c r="K41" s="324">
        <v>9</v>
      </c>
      <c r="L41" s="473" t="s">
        <v>37</v>
      </c>
      <c r="M41" s="474" t="s">
        <v>38</v>
      </c>
      <c r="N41" s="474" t="s">
        <v>84</v>
      </c>
      <c r="O41" s="294"/>
      <c r="P41" s="12"/>
    </row>
    <row r="42" spans="1:56" ht="15.75" customHeight="1" thickBot="1">
      <c r="B42" s="521"/>
      <c r="C42" s="349"/>
      <c r="D42" s="532"/>
      <c r="E42" s="526"/>
      <c r="F42" s="294"/>
      <c r="G42" s="42"/>
      <c r="H42" s="42"/>
      <c r="I42" s="42"/>
      <c r="J42" s="345" t="s">
        <v>9</v>
      </c>
      <c r="K42" s="324"/>
      <c r="L42" s="485">
        <f>AVERAGE('Sept 1st'!K45,'Sept 2nd'!K47,'Sept 3rd'!K44,'Sept 4th'!K46,'Sept 7th'!K48,'Sept 8th'!K48,'Sept 9th'!K50,'Sept 10th'!K49,'Sept 11th '!K45,'Sept 14th'!K45,'Sept 15th'!K48,K51)</f>
        <v>7</v>
      </c>
      <c r="M42" s="486">
        <f>AVERAGE('[9]Jan30th-31st'!$L$47,L42,'[10]Feb 26th '!$L$39,'[11]Mar 31st'!$L$47,'[12]Apr 30th'!$L$46,'[13]May 29th '!$L$40,'[14]June 30th'!$L$39,[15]July31st!$L$41,'[16]Aug 31st'!$L$37)</f>
        <v>6.5155670416539984</v>
      </c>
      <c r="N42" s="416">
        <v>9.1999999999999993</v>
      </c>
      <c r="O42" s="294"/>
      <c r="P42" s="12"/>
    </row>
    <row r="43" spans="1:56" ht="15" customHeight="1">
      <c r="B43" s="521"/>
      <c r="C43" s="349"/>
      <c r="D43" s="530"/>
      <c r="E43" s="531"/>
      <c r="F43" s="294"/>
      <c r="G43" s="42"/>
      <c r="H43" s="42"/>
      <c r="I43" s="42"/>
      <c r="J43" s="288" t="s">
        <v>40</v>
      </c>
      <c r="K43" s="324"/>
      <c r="L43" s="294"/>
      <c r="M43" s="294"/>
      <c r="N43" s="294"/>
      <c r="O43" s="294"/>
      <c r="P43" s="12"/>
    </row>
    <row r="44" spans="1:56" ht="15" customHeight="1">
      <c r="B44" s="521"/>
      <c r="C44" s="349"/>
      <c r="D44" s="532"/>
      <c r="E44" s="526"/>
      <c r="F44" s="294"/>
      <c r="G44" s="42"/>
      <c r="H44" s="42"/>
      <c r="I44" s="42"/>
      <c r="J44" s="289" t="s">
        <v>33</v>
      </c>
      <c r="K44" s="324"/>
      <c r="L44" s="294"/>
      <c r="M44" s="294"/>
      <c r="N44" s="294"/>
      <c r="O44" s="294"/>
      <c r="P44" s="12"/>
    </row>
    <row r="45" spans="1:56" ht="15">
      <c r="B45" s="521"/>
      <c r="C45" s="349"/>
      <c r="D45" s="530"/>
      <c r="E45" s="531"/>
      <c r="F45" s="294"/>
      <c r="G45" s="42"/>
      <c r="H45" s="42"/>
      <c r="I45" s="42"/>
      <c r="J45" s="290" t="s">
        <v>16</v>
      </c>
      <c r="K45" s="324"/>
      <c r="L45" s="294"/>
      <c r="M45" s="294"/>
      <c r="N45" s="294"/>
      <c r="O45" s="294"/>
      <c r="P45" s="12"/>
      <c r="BC45" s="44"/>
      <c r="BD45" s="44"/>
    </row>
    <row r="46" spans="1:56" ht="15">
      <c r="B46" s="521"/>
      <c r="C46" s="349"/>
      <c r="D46" s="532"/>
      <c r="E46" s="526"/>
      <c r="F46" s="294"/>
      <c r="G46" s="42"/>
      <c r="H46" s="42"/>
      <c r="I46" s="42"/>
      <c r="J46" s="291" t="s">
        <v>15</v>
      </c>
      <c r="K46" s="324"/>
      <c r="L46" s="294"/>
      <c r="M46" s="294"/>
      <c r="N46" s="294"/>
      <c r="O46" s="294"/>
      <c r="P46" s="12"/>
      <c r="BC46" s="44"/>
      <c r="BD46" s="44"/>
    </row>
    <row r="47" spans="1:56" ht="15">
      <c r="B47" s="521"/>
      <c r="C47" s="349"/>
      <c r="D47" s="530"/>
      <c r="E47" s="531"/>
      <c r="F47" s="294"/>
      <c r="G47" s="42"/>
      <c r="H47" s="42"/>
      <c r="I47" s="42"/>
      <c r="J47" s="291" t="s">
        <v>149</v>
      </c>
      <c r="K47" s="324"/>
      <c r="L47" s="294"/>
      <c r="M47" s="294"/>
      <c r="N47" s="294"/>
      <c r="O47" s="294"/>
      <c r="P47" s="12"/>
      <c r="BC47" s="44"/>
      <c r="BD47" s="44"/>
    </row>
    <row r="48" spans="1:56" ht="15.75" thickBot="1">
      <c r="B48" s="522"/>
      <c r="C48" s="350"/>
      <c r="D48" s="533"/>
      <c r="E48" s="534"/>
      <c r="F48" s="294" t="s">
        <v>165</v>
      </c>
      <c r="G48" s="42"/>
      <c r="H48" s="42"/>
      <c r="I48" s="42"/>
      <c r="J48" s="291" t="s">
        <v>148</v>
      </c>
      <c r="K48" s="324"/>
      <c r="L48" s="294"/>
      <c r="M48" s="294"/>
      <c r="N48" s="294" t="s">
        <v>41</v>
      </c>
      <c r="O48" s="294"/>
      <c r="P48" s="12"/>
      <c r="BC48" s="44"/>
      <c r="BD48" s="44"/>
    </row>
    <row r="49" spans="2:57" ht="17.649999999999999" customHeight="1" thickBot="1">
      <c r="B49" s="312" t="s">
        <v>139</v>
      </c>
      <c r="C49" s="313"/>
      <c r="D49" s="511"/>
      <c r="E49" s="512"/>
      <c r="F49" s="294"/>
      <c r="J49" s="295" t="s">
        <v>134</v>
      </c>
      <c r="K49" s="324"/>
      <c r="L49" s="294"/>
      <c r="M49" s="294"/>
      <c r="N49" s="294"/>
      <c r="O49" s="294"/>
      <c r="P49" s="12"/>
      <c r="BC49" s="44"/>
      <c r="BD49" s="44"/>
    </row>
    <row r="50" spans="2:57" ht="17.649999999999999" customHeight="1">
      <c r="B50" s="363"/>
      <c r="C50" s="364"/>
      <c r="D50" s="365"/>
      <c r="E50" s="365"/>
      <c r="F50" s="294"/>
      <c r="G50" s="42"/>
      <c r="H50" s="42"/>
      <c r="I50" s="42"/>
      <c r="J50" s="295" t="s">
        <v>131</v>
      </c>
      <c r="K50" s="324"/>
      <c r="L50" s="294"/>
      <c r="M50" s="294"/>
      <c r="N50" s="294"/>
      <c r="O50" s="294"/>
      <c r="P50" s="12"/>
      <c r="BC50" s="44"/>
      <c r="BD50" s="44"/>
    </row>
    <row r="51" spans="2:57" ht="15.6" customHeight="1">
      <c r="B51" s="45"/>
      <c r="C51" s="11"/>
      <c r="D51" s="11"/>
      <c r="E51" s="46"/>
      <c r="F51" s="294"/>
      <c r="G51" s="42"/>
      <c r="H51" s="42"/>
      <c r="I51" s="42"/>
      <c r="J51" s="346" t="s">
        <v>130</v>
      </c>
      <c r="K51" s="324">
        <f>SUM(K41:K50)</f>
        <v>9</v>
      </c>
      <c r="L51" s="294"/>
      <c r="M51" s="294"/>
      <c r="N51" s="294"/>
      <c r="O51" s="294"/>
      <c r="P51" s="12"/>
    </row>
    <row r="52" spans="2:57" ht="20.25" customHeight="1">
      <c r="B52" s="15" t="s">
        <v>42</v>
      </c>
      <c r="C52" s="1" t="s">
        <v>43</v>
      </c>
      <c r="D52" s="1"/>
      <c r="E52" s="1"/>
      <c r="F52" s="294"/>
      <c r="G52" s="42"/>
      <c r="H52" s="41"/>
      <c r="I52" s="42"/>
      <c r="L52" s="42"/>
      <c r="N52" s="315"/>
      <c r="P52" s="334"/>
    </row>
    <row r="53" spans="2:57" ht="15" customHeight="1" thickBot="1">
      <c r="B53" s="48"/>
      <c r="C53" s="48"/>
      <c r="D53" s="48"/>
      <c r="E53" s="48"/>
      <c r="F53" s="48"/>
      <c r="G53" s="48"/>
      <c r="H53" s="48"/>
      <c r="I53" s="48"/>
      <c r="J53" s="48"/>
      <c r="K53" s="48"/>
      <c r="L53" s="48"/>
      <c r="M53" s="48"/>
      <c r="N53" s="41"/>
      <c r="O53" s="48"/>
      <c r="P53" s="49"/>
    </row>
    <row r="54" spans="2:57" ht="15" customHeight="1" thickBot="1">
      <c r="B54" s="505" t="s">
        <v>17</v>
      </c>
      <c r="C54" s="505" t="s">
        <v>44</v>
      </c>
      <c r="D54" s="514" t="s">
        <v>45</v>
      </c>
      <c r="E54" s="516" t="s">
        <v>46</v>
      </c>
      <c r="F54" s="518" t="s">
        <v>47</v>
      </c>
      <c r="G54" s="503" t="s">
        <v>48</v>
      </c>
      <c r="H54" s="505" t="s">
        <v>49</v>
      </c>
      <c r="I54" s="505" t="s">
        <v>50</v>
      </c>
      <c r="J54" s="497" t="s">
        <v>28</v>
      </c>
      <c r="K54" s="507" t="s">
        <v>51</v>
      </c>
      <c r="L54" s="509" t="s">
        <v>52</v>
      </c>
      <c r="M54" s="497" t="s">
        <v>53</v>
      </c>
      <c r="N54" s="13"/>
      <c r="O54" s="13"/>
      <c r="P54" s="50"/>
    </row>
    <row r="55" spans="2:57" ht="28.5" customHeight="1" thickTop="1" thickBot="1">
      <c r="B55" s="506"/>
      <c r="C55" s="513"/>
      <c r="D55" s="515"/>
      <c r="E55" s="517"/>
      <c r="F55" s="519"/>
      <c r="G55" s="504"/>
      <c r="H55" s="506"/>
      <c r="I55" s="506"/>
      <c r="J55" s="498"/>
      <c r="K55" s="508"/>
      <c r="L55" s="510"/>
      <c r="M55" s="498"/>
      <c r="N55" s="13"/>
      <c r="O55" s="13"/>
      <c r="P55" s="50"/>
      <c r="Q55" s="355"/>
      <c r="AB55" s="475">
        <v>43474</v>
      </c>
      <c r="AC55" s="475">
        <v>43475</v>
      </c>
      <c r="AD55" s="475">
        <v>43476</v>
      </c>
      <c r="AE55" s="475">
        <v>43477</v>
      </c>
      <c r="AF55" s="475">
        <v>43478</v>
      </c>
      <c r="AG55" s="475">
        <v>43479</v>
      </c>
      <c r="AH55" s="475">
        <v>43480</v>
      </c>
      <c r="AI55" s="475">
        <v>43481</v>
      </c>
      <c r="AJ55" s="475">
        <v>43482</v>
      </c>
      <c r="AK55" s="475">
        <v>43483</v>
      </c>
      <c r="AL55" s="475">
        <v>43484</v>
      </c>
      <c r="AM55" s="475">
        <v>43485</v>
      </c>
      <c r="AN55" s="475">
        <v>43486</v>
      </c>
      <c r="AO55" s="475">
        <v>43487</v>
      </c>
      <c r="AP55" s="475">
        <v>43488</v>
      </c>
      <c r="AQ55" s="475">
        <v>43489</v>
      </c>
      <c r="AR55" s="475">
        <v>43490</v>
      </c>
      <c r="AS55" s="475">
        <v>43491</v>
      </c>
      <c r="AT55" s="475">
        <v>43492</v>
      </c>
      <c r="AU55" s="475">
        <v>43493</v>
      </c>
      <c r="AV55" s="475">
        <v>43494</v>
      </c>
      <c r="AW55" s="475">
        <v>43495</v>
      </c>
      <c r="AX55" s="475">
        <v>43496</v>
      </c>
    </row>
    <row r="56" spans="2:57" s="54" customFormat="1" ht="36.75" customHeight="1" thickBot="1">
      <c r="B56" s="456"/>
      <c r="C56" s="479"/>
      <c r="D56" s="445"/>
      <c r="E56" s="443"/>
      <c r="F56" s="444"/>
      <c r="G56" s="444"/>
      <c r="H56" s="458"/>
      <c r="I56" s="458"/>
      <c r="J56" s="448"/>
      <c r="K56" s="449"/>
      <c r="L56" s="457" t="e">
        <f>(((D56+E56)-G56)/(D56+E56))*100</f>
        <v>#DIV/0!</v>
      </c>
      <c r="M56" s="455"/>
      <c r="N56" s="13"/>
      <c r="O56" s="13"/>
      <c r="P56" s="50"/>
      <c r="R56" s="275"/>
      <c r="S56" s="275"/>
      <c r="T56" s="275"/>
      <c r="U56" s="275"/>
      <c r="V56" s="275"/>
      <c r="W56" s="275"/>
      <c r="X56" s="275"/>
      <c r="Y56" s="275"/>
      <c r="Z56" s="275"/>
      <c r="AA56" s="275"/>
      <c r="AB56" s="57">
        <f>[17]January_2019!L5</f>
        <v>0</v>
      </c>
      <c r="AC56" s="57">
        <f>[17]January_2019!M5</f>
        <v>0</v>
      </c>
      <c r="AD56" s="57">
        <f>[17]January_2019!N5</f>
        <v>0</v>
      </c>
      <c r="AE56" s="57">
        <f>[17]January_2019!O5</f>
        <v>0</v>
      </c>
      <c r="AF56" s="57">
        <f>[17]January_2019!P5</f>
        <v>0</v>
      </c>
      <c r="AG56" s="57">
        <f>[17]January_2019!Q5</f>
        <v>0</v>
      </c>
      <c r="AH56" s="57">
        <f>[17]January_2019!R5</f>
        <v>0</v>
      </c>
      <c r="AI56" s="57">
        <f>[17]January_2019!S5</f>
        <v>0</v>
      </c>
      <c r="AJ56" s="57">
        <f>[17]January_2019!T5</f>
        <v>0</v>
      </c>
      <c r="AK56" s="57">
        <f>[17]January_2019!U5</f>
        <v>0</v>
      </c>
      <c r="AL56" s="57">
        <f>[17]January_2019!V5</f>
        <v>0</v>
      </c>
      <c r="AM56" s="57">
        <f>[17]January_2019!W5</f>
        <v>0</v>
      </c>
      <c r="AN56" s="57">
        <f>[17]January_2019!X5</f>
        <v>0</v>
      </c>
      <c r="AO56" s="57">
        <f>[17]January_2019!Y5</f>
        <v>0</v>
      </c>
      <c r="AP56" s="57">
        <f>[17]January_2019!Z5</f>
        <v>0</v>
      </c>
      <c r="AQ56" s="57">
        <f>[17]January_2019!AA5</f>
        <v>0</v>
      </c>
      <c r="AR56" s="57">
        <f>[17]January_2019!AB5</f>
        <v>0</v>
      </c>
      <c r="AS56" s="57">
        <f>[17]January_2019!AC5</f>
        <v>0</v>
      </c>
      <c r="AT56" s="57">
        <f>[17]January_2019!AD5</f>
        <v>0</v>
      </c>
      <c r="AU56" s="57">
        <f>[17]January_2019!AE5</f>
        <v>0</v>
      </c>
      <c r="AV56" s="57">
        <f>[17]January_2019!AF5</f>
        <v>0</v>
      </c>
      <c r="AW56" s="57">
        <f>[17]January_2019!AG5</f>
        <v>0</v>
      </c>
      <c r="AX56" s="277">
        <f>[17]January_2019!AH5</f>
        <v>0</v>
      </c>
      <c r="AY56" s="277"/>
      <c r="AZ56" s="277"/>
      <c r="BA56" s="277"/>
      <c r="BB56" s="277"/>
      <c r="BC56" s="277"/>
      <c r="BD56" s="277"/>
      <c r="BE56" s="277"/>
    </row>
    <row r="57" spans="2:57" s="54" customFormat="1" ht="14.25" customHeight="1" thickBot="1">
      <c r="B57" s="480"/>
      <c r="C57" s="479"/>
      <c r="D57" s="442"/>
      <c r="E57" s="443"/>
      <c r="F57" s="444"/>
      <c r="G57" s="445"/>
      <c r="H57" s="458"/>
      <c r="I57" s="458"/>
      <c r="J57" s="476"/>
      <c r="K57" s="449"/>
      <c r="L57" s="457"/>
      <c r="M57" s="455"/>
      <c r="N57" s="13"/>
      <c r="O57" s="13"/>
      <c r="P57" s="50"/>
      <c r="R57" s="275"/>
      <c r="S57" s="275"/>
      <c r="T57" s="275"/>
      <c r="U57" s="275"/>
      <c r="V57" s="275"/>
      <c r="W57" s="275"/>
      <c r="X57" s="275"/>
      <c r="Y57" s="275"/>
      <c r="Z57" s="275"/>
      <c r="AA57" s="275"/>
      <c r="AB57" s="57">
        <f>[17]January_2019!L6</f>
        <v>0</v>
      </c>
      <c r="AC57" s="57">
        <f>[17]January_2019!M6</f>
        <v>0</v>
      </c>
      <c r="AD57" s="57">
        <f>[17]January_2019!N6</f>
        <v>0</v>
      </c>
      <c r="AE57" s="57">
        <f>[17]January_2019!O6</f>
        <v>0</v>
      </c>
      <c r="AF57" s="57">
        <f>[17]January_2019!P6</f>
        <v>0</v>
      </c>
      <c r="AG57" s="57">
        <f>[17]January_2019!Q6</f>
        <v>0</v>
      </c>
      <c r="AH57" s="57">
        <f>[17]January_2019!R6</f>
        <v>0</v>
      </c>
      <c r="AI57" s="57">
        <f>[17]January_2019!S6</f>
        <v>0</v>
      </c>
      <c r="AJ57" s="57">
        <f>[17]January_2019!T6</f>
        <v>0</v>
      </c>
      <c r="AK57" s="57">
        <f>[17]January_2019!U6</f>
        <v>0</v>
      </c>
      <c r="AL57" s="57">
        <f>[17]January_2019!V6</f>
        <v>0</v>
      </c>
      <c r="AM57" s="57">
        <f>[17]January_2019!W6</f>
        <v>0</v>
      </c>
      <c r="AN57" s="57">
        <f>[17]January_2019!X6</f>
        <v>0</v>
      </c>
      <c r="AO57" s="57">
        <f>[17]January_2019!Y6</f>
        <v>0</v>
      </c>
      <c r="AP57" s="57">
        <f>[17]January_2019!Z6</f>
        <v>0</v>
      </c>
      <c r="AQ57" s="57">
        <f>[17]January_2019!AA6</f>
        <v>0</v>
      </c>
      <c r="AR57" s="57">
        <f>[17]January_2019!AB6</f>
        <v>0</v>
      </c>
      <c r="AS57" s="57">
        <f>[17]January_2019!AC6</f>
        <v>0</v>
      </c>
      <c r="AT57" s="57">
        <f>[17]January_2019!AD6</f>
        <v>0</v>
      </c>
      <c r="AU57" s="57">
        <f>[17]January_2019!AE6</f>
        <v>0</v>
      </c>
      <c r="AV57" s="57">
        <f>[17]January_2019!AF6</f>
        <v>0</v>
      </c>
      <c r="AW57" s="57">
        <f>[17]January_2019!AG6</f>
        <v>0</v>
      </c>
      <c r="AX57" s="277">
        <f>[17]January_2019!AH6</f>
        <v>0</v>
      </c>
      <c r="AY57" s="277"/>
      <c r="AZ57" s="277"/>
      <c r="BA57" s="277"/>
      <c r="BB57" s="277"/>
      <c r="BC57" s="277"/>
      <c r="BD57" s="277"/>
      <c r="BE57" s="277"/>
    </row>
    <row r="58" spans="2:57" s="54" customFormat="1" ht="37.15" hidden="1" customHeight="1" thickBot="1">
      <c r="B58" s="495"/>
      <c r="C58" s="479"/>
      <c r="D58" s="442"/>
      <c r="E58" s="443"/>
      <c r="F58" s="444"/>
      <c r="G58" s="444"/>
      <c r="H58" s="446"/>
      <c r="I58" s="446"/>
      <c r="J58" s="448"/>
      <c r="K58" s="449"/>
      <c r="L58" s="457"/>
      <c r="M58" s="455"/>
      <c r="N58" s="13"/>
      <c r="O58" s="13"/>
      <c r="P58" s="50"/>
      <c r="R58" s="275"/>
      <c r="S58" s="275"/>
      <c r="T58" s="275"/>
      <c r="U58" s="275"/>
      <c r="V58" s="275"/>
      <c r="W58" s="275"/>
      <c r="X58" s="275"/>
      <c r="Y58" s="275"/>
      <c r="Z58" s="275"/>
      <c r="AA58" s="275"/>
      <c r="AB58" s="57">
        <f>[17]January_2019!L7</f>
        <v>285.8</v>
      </c>
      <c r="AC58" s="57">
        <f>[17]January_2019!M7</f>
        <v>508.1</v>
      </c>
      <c r="AD58" s="57">
        <f>[17]January_2019!N7</f>
        <v>0</v>
      </c>
      <c r="AE58" s="57">
        <f>[17]January_2019!O7</f>
        <v>0</v>
      </c>
      <c r="AF58" s="57">
        <f>[17]January_2019!P7</f>
        <v>109.56666666666666</v>
      </c>
      <c r="AG58" s="57">
        <f>[17]January_2019!Q7</f>
        <v>297.64999999999998</v>
      </c>
      <c r="AH58" s="57">
        <f>[17]January_2019!R7</f>
        <v>122.3</v>
      </c>
      <c r="AI58" s="57">
        <f>[17]January_2019!S7</f>
        <v>0</v>
      </c>
      <c r="AJ58" s="57">
        <f>[17]January_2019!T7</f>
        <v>294.7</v>
      </c>
      <c r="AK58" s="57">
        <f>[17]January_2019!U7</f>
        <v>280.5</v>
      </c>
      <c r="AL58" s="57">
        <f>[17]January_2019!V7</f>
        <v>0</v>
      </c>
      <c r="AM58" s="57">
        <f>[17]January_2019!W7</f>
        <v>0</v>
      </c>
      <c r="AN58" s="57">
        <f>[17]January_2019!X7</f>
        <v>188.25</v>
      </c>
      <c r="AO58" s="57">
        <f>[17]January_2019!Y7</f>
        <v>295.7</v>
      </c>
      <c r="AP58" s="57">
        <f>[17]January_2019!Z7</f>
        <v>257.8</v>
      </c>
      <c r="AQ58" s="57">
        <f>[17]January_2019!AA7</f>
        <v>291.2</v>
      </c>
      <c r="AR58" s="57">
        <f>[17]January_2019!AB7</f>
        <v>187</v>
      </c>
      <c r="AS58" s="57">
        <f>[17]January_2019!AC7</f>
        <v>0</v>
      </c>
      <c r="AT58" s="57">
        <f>[17]January_2019!AD7</f>
        <v>0</v>
      </c>
      <c r="AU58" s="57">
        <f>[17]January_2019!AE7</f>
        <v>485.1</v>
      </c>
      <c r="AV58" s="57">
        <f>[17]January_2019!AF7</f>
        <v>171.55</v>
      </c>
      <c r="AW58" s="57">
        <f>[17]January_2019!AG7</f>
        <v>423.8</v>
      </c>
      <c r="AX58" s="277">
        <f>[17]January_2019!AH7</f>
        <v>0</v>
      </c>
      <c r="AY58" s="277"/>
      <c r="AZ58" s="277"/>
      <c r="BA58" s="277"/>
      <c r="BB58" s="277"/>
      <c r="BC58" s="277"/>
      <c r="BD58" s="277"/>
      <c r="BE58" s="277"/>
    </row>
    <row r="59" spans="2:57" s="54" customFormat="1" ht="18.600000000000001" hidden="1" customHeight="1" thickBot="1">
      <c r="B59" s="478"/>
      <c r="C59" s="430"/>
      <c r="D59" s="431"/>
      <c r="E59" s="432"/>
      <c r="F59" s="433"/>
      <c r="G59" s="434"/>
      <c r="H59" s="458"/>
      <c r="I59" s="458"/>
      <c r="J59" s="451"/>
      <c r="K59" s="436"/>
      <c r="L59" s="452"/>
      <c r="M59" s="421"/>
      <c r="N59" s="13"/>
      <c r="O59" s="13"/>
      <c r="P59" s="50"/>
      <c r="R59" s="275"/>
      <c r="S59" s="275"/>
      <c r="T59" s="275"/>
      <c r="U59" s="275"/>
      <c r="V59" s="275"/>
      <c r="W59" s="275"/>
      <c r="X59" s="275"/>
      <c r="Y59" s="275"/>
      <c r="Z59" s="275"/>
      <c r="AA59" s="275"/>
      <c r="AB59" s="57"/>
      <c r="AC59" s="57"/>
      <c r="AD59" s="57"/>
      <c r="AE59" s="57"/>
      <c r="AF59" s="57"/>
      <c r="AG59" s="57"/>
      <c r="AH59" s="57"/>
      <c r="AI59" s="57"/>
      <c r="AJ59" s="57"/>
      <c r="AK59" s="57"/>
      <c r="AL59" s="57"/>
      <c r="AM59" s="57"/>
      <c r="AN59" s="57"/>
      <c r="AO59" s="57"/>
      <c r="AP59" s="57"/>
      <c r="AQ59" s="57"/>
      <c r="AR59" s="57"/>
      <c r="AS59" s="57"/>
      <c r="AT59" s="57"/>
      <c r="AU59" s="57"/>
      <c r="AV59" s="57"/>
      <c r="AW59" s="57"/>
      <c r="AX59" s="277"/>
      <c r="AY59" s="277"/>
      <c r="AZ59" s="277"/>
      <c r="BA59" s="277"/>
      <c r="BB59" s="277"/>
      <c r="BC59" s="277"/>
      <c r="BD59" s="277"/>
      <c r="BE59" s="277"/>
    </row>
    <row r="60" spans="2:57" s="54" customFormat="1" ht="38.65" hidden="1" customHeight="1" thickBot="1">
      <c r="B60" s="487"/>
      <c r="C60" s="479"/>
      <c r="D60" s="442"/>
      <c r="E60" s="443"/>
      <c r="F60" s="444"/>
      <c r="G60" s="445"/>
      <c r="H60" s="458"/>
      <c r="I60" s="458"/>
      <c r="J60" s="448"/>
      <c r="K60" s="459"/>
      <c r="L60" s="457"/>
      <c r="M60" s="455"/>
      <c r="N60" s="13"/>
      <c r="O60" s="13"/>
      <c r="P60" s="50"/>
      <c r="R60" s="275"/>
      <c r="S60" s="275"/>
      <c r="T60" s="275"/>
      <c r="U60" s="275"/>
      <c r="V60" s="275"/>
      <c r="W60" s="275"/>
      <c r="X60" s="275"/>
      <c r="Y60" s="275"/>
      <c r="Z60" s="275"/>
      <c r="AA60" s="275"/>
      <c r="AB60" s="57"/>
      <c r="AC60" s="57"/>
      <c r="AD60" s="57"/>
      <c r="AE60" s="57"/>
      <c r="AF60" s="57"/>
      <c r="AG60" s="57"/>
      <c r="AH60" s="57"/>
      <c r="AI60" s="57"/>
      <c r="AJ60" s="57"/>
      <c r="AK60" s="57"/>
      <c r="AL60" s="57"/>
      <c r="AM60" s="57"/>
      <c r="AN60" s="57"/>
      <c r="AO60" s="57"/>
      <c r="AP60" s="57"/>
      <c r="AQ60" s="57"/>
      <c r="AR60" s="57"/>
      <c r="AS60" s="57"/>
      <c r="AT60" s="57"/>
      <c r="AU60" s="57"/>
      <c r="AV60" s="57"/>
      <c r="AW60" s="57"/>
      <c r="AX60" s="277"/>
      <c r="AY60" s="277"/>
      <c r="AZ60" s="277"/>
      <c r="BA60" s="277"/>
      <c r="BB60" s="277"/>
      <c r="BC60" s="277"/>
      <c r="BD60" s="277"/>
      <c r="BE60" s="277"/>
    </row>
    <row r="61" spans="2:57" s="54" customFormat="1" ht="15" hidden="1">
      <c r="B61" s="453"/>
      <c r="C61" s="430"/>
      <c r="D61" s="431"/>
      <c r="E61" s="432"/>
      <c r="F61" s="433"/>
      <c r="G61" s="434"/>
      <c r="H61" s="435"/>
      <c r="I61" s="450"/>
      <c r="J61" s="451"/>
      <c r="K61" s="436"/>
      <c r="L61" s="452"/>
      <c r="M61" s="421"/>
      <c r="N61" s="13"/>
      <c r="O61" s="13"/>
      <c r="P61" s="50"/>
      <c r="R61" s="275"/>
      <c r="S61" s="275"/>
      <c r="T61" s="275"/>
      <c r="U61" s="275"/>
      <c r="V61" s="275"/>
      <c r="W61" s="275"/>
      <c r="X61" s="275"/>
      <c r="Y61" s="275"/>
      <c r="Z61" s="275"/>
      <c r="AA61" s="275"/>
      <c r="AB61" s="57"/>
      <c r="AC61" s="57"/>
      <c r="AD61" s="57"/>
      <c r="AE61" s="57"/>
      <c r="AF61" s="57"/>
      <c r="AG61" s="57"/>
      <c r="AH61" s="57"/>
      <c r="AI61" s="57"/>
      <c r="AJ61" s="57"/>
      <c r="AK61" s="57"/>
      <c r="AL61" s="57"/>
      <c r="AM61" s="57"/>
      <c r="AN61" s="57"/>
      <c r="AO61" s="57"/>
      <c r="AP61" s="57"/>
      <c r="AQ61" s="57"/>
      <c r="AR61" s="57"/>
      <c r="AS61" s="57"/>
      <c r="AT61" s="57"/>
      <c r="AU61" s="57"/>
      <c r="AV61" s="57"/>
      <c r="AW61" s="57"/>
      <c r="AX61" s="277"/>
      <c r="AY61" s="277"/>
      <c r="AZ61" s="277"/>
      <c r="BA61" s="277"/>
      <c r="BB61" s="277"/>
      <c r="BC61" s="277"/>
      <c r="BD61" s="277"/>
      <c r="BE61" s="277"/>
    </row>
    <row r="62" spans="2:57" s="54" customFormat="1" ht="37.15" hidden="1" customHeight="1" thickBot="1">
      <c r="B62" s="481"/>
      <c r="C62" s="479"/>
      <c r="D62" s="442"/>
      <c r="E62" s="443"/>
      <c r="F62" s="444"/>
      <c r="G62" s="445"/>
      <c r="H62" s="446"/>
      <c r="I62" s="447"/>
      <c r="J62" s="448"/>
      <c r="K62" s="449"/>
      <c r="L62" s="457"/>
      <c r="M62" s="455"/>
      <c r="N62" s="13"/>
      <c r="O62" s="13"/>
      <c r="P62" s="50"/>
      <c r="R62" s="275"/>
      <c r="S62" s="275"/>
      <c r="T62" s="275"/>
      <c r="U62" s="275"/>
      <c r="V62" s="275"/>
      <c r="W62" s="275"/>
      <c r="X62" s="275"/>
      <c r="Y62" s="275"/>
      <c r="Z62" s="275"/>
      <c r="AA62" s="275"/>
      <c r="AB62" s="57"/>
      <c r="AC62" s="57"/>
      <c r="AD62" s="57"/>
      <c r="AE62" s="57"/>
      <c r="AF62" s="57"/>
      <c r="AG62" s="57"/>
      <c r="AH62" s="57"/>
      <c r="AI62" s="57"/>
      <c r="AJ62" s="57"/>
      <c r="AK62" s="57"/>
      <c r="AL62" s="57"/>
      <c r="AM62" s="57"/>
      <c r="AN62" s="57"/>
      <c r="AO62" s="57"/>
      <c r="AP62" s="57"/>
      <c r="AQ62" s="57"/>
      <c r="AR62" s="57"/>
      <c r="AS62" s="57"/>
      <c r="AT62" s="57"/>
      <c r="AU62" s="57"/>
      <c r="AV62" s="57"/>
      <c r="AW62" s="57"/>
      <c r="AX62" s="277"/>
      <c r="AY62" s="277"/>
      <c r="AZ62" s="277"/>
      <c r="BA62" s="277"/>
      <c r="BB62" s="277"/>
      <c r="BC62" s="277"/>
      <c r="BD62" s="277"/>
      <c r="BE62" s="277"/>
    </row>
    <row r="63" spans="2:57" s="54" customFormat="1" ht="16.5" hidden="1" customHeight="1" thickBot="1">
      <c r="B63" s="437"/>
      <c r="C63" s="423"/>
      <c r="D63" s="424"/>
      <c r="E63" s="425"/>
      <c r="F63" s="426"/>
      <c r="G63" s="427"/>
      <c r="H63" s="428"/>
      <c r="I63" s="438"/>
      <c r="J63" s="439"/>
      <c r="K63" s="429"/>
      <c r="L63" s="440"/>
      <c r="M63" s="422"/>
      <c r="N63" s="13"/>
      <c r="O63" s="13"/>
      <c r="P63" s="50"/>
      <c r="R63" s="275"/>
      <c r="S63" s="275"/>
      <c r="T63" s="275"/>
      <c r="U63" s="275"/>
      <c r="V63" s="275"/>
      <c r="W63" s="275"/>
      <c r="X63" s="275"/>
      <c r="Y63" s="275"/>
      <c r="Z63" s="275"/>
      <c r="AA63" s="275"/>
      <c r="AB63" s="415"/>
      <c r="AC63" s="415"/>
      <c r="AD63" s="415"/>
      <c r="AE63" s="415"/>
      <c r="AF63" s="415"/>
      <c r="AG63" s="415"/>
      <c r="AH63" s="415"/>
      <c r="AI63" s="415"/>
      <c r="AJ63" s="415"/>
      <c r="AK63" s="415"/>
      <c r="AL63" s="415"/>
      <c r="AM63" s="415"/>
      <c r="AN63" s="415"/>
      <c r="AO63" s="415"/>
      <c r="AP63" s="415"/>
      <c r="AQ63" s="415"/>
      <c r="AR63" s="415"/>
      <c r="AS63" s="415"/>
      <c r="AT63" s="415"/>
      <c r="AU63" s="415"/>
      <c r="AV63" s="415"/>
      <c r="AW63" s="415"/>
    </row>
    <row r="64" spans="2:57" s="54" customFormat="1" ht="37.15" hidden="1" customHeight="1" thickBot="1">
      <c r="B64" s="456"/>
      <c r="C64" s="441"/>
      <c r="D64" s="442"/>
      <c r="E64" s="443"/>
      <c r="F64" s="444"/>
      <c r="G64" s="445"/>
      <c r="H64" s="446"/>
      <c r="I64" s="447"/>
      <c r="J64" s="448"/>
      <c r="K64" s="449"/>
      <c r="L64" s="457"/>
      <c r="M64" s="454"/>
      <c r="N64" s="13"/>
      <c r="O64" s="13"/>
      <c r="P64" s="50"/>
      <c r="R64" s="275"/>
      <c r="S64" s="275"/>
      <c r="T64" s="275"/>
      <c r="U64" s="275"/>
      <c r="V64" s="275"/>
      <c r="W64" s="275"/>
      <c r="X64" s="275"/>
      <c r="Y64" s="275"/>
      <c r="Z64" s="275"/>
      <c r="AA64" s="275"/>
      <c r="AB64" s="57"/>
      <c r="AC64" s="57"/>
      <c r="AD64" s="57"/>
      <c r="AE64" s="57"/>
      <c r="AF64" s="57"/>
      <c r="AG64" s="57"/>
      <c r="AH64" s="57"/>
      <c r="AI64" s="57"/>
      <c r="AJ64" s="57"/>
      <c r="AK64" s="57"/>
      <c r="AL64" s="57"/>
      <c r="AM64" s="57"/>
      <c r="AN64" s="57"/>
      <c r="AO64" s="57"/>
      <c r="AP64" s="57"/>
      <c r="AQ64" s="57"/>
      <c r="AR64" s="57"/>
      <c r="AS64" s="57"/>
      <c r="AT64" s="57"/>
      <c r="AU64" s="57"/>
      <c r="AV64" s="57"/>
      <c r="AW64" s="57"/>
      <c r="AX64" s="277"/>
      <c r="AY64" s="277"/>
      <c r="AZ64" s="277"/>
      <c r="BA64" s="277"/>
      <c r="BB64" s="277"/>
      <c r="BC64" s="277"/>
      <c r="BD64" s="277"/>
      <c r="BE64" s="277"/>
    </row>
    <row r="65" spans="2:57" s="54" customFormat="1" ht="37.15" customHeight="1">
      <c r="B65" s="466"/>
      <c r="C65" s="430"/>
      <c r="D65" s="460"/>
      <c r="E65" s="461"/>
      <c r="F65" s="462"/>
      <c r="G65" s="460"/>
      <c r="H65" s="463"/>
      <c r="I65" s="463"/>
      <c r="J65" s="463"/>
      <c r="K65" s="464"/>
      <c r="L65" s="465"/>
      <c r="M65" s="50"/>
      <c r="N65" s="13"/>
      <c r="O65" s="13"/>
      <c r="P65" s="50"/>
      <c r="R65" s="275"/>
      <c r="S65" s="275"/>
      <c r="T65" s="275"/>
      <c r="U65" s="275"/>
      <c r="V65" s="275"/>
      <c r="W65" s="275"/>
      <c r="X65" s="275"/>
      <c r="Y65" s="275"/>
      <c r="Z65" s="275"/>
      <c r="AA65" s="275"/>
      <c r="AB65" s="57"/>
      <c r="AC65" s="57"/>
      <c r="AD65" s="57"/>
      <c r="AE65" s="57"/>
      <c r="AF65" s="57"/>
      <c r="AG65" s="57"/>
      <c r="AH65" s="57"/>
      <c r="AI65" s="57"/>
      <c r="AJ65" s="57"/>
      <c r="AK65" s="57"/>
      <c r="AL65" s="57"/>
      <c r="AM65" s="57"/>
      <c r="AN65" s="57"/>
      <c r="AO65" s="57"/>
      <c r="AP65" s="57"/>
      <c r="AQ65" s="57"/>
      <c r="AR65" s="57"/>
      <c r="AS65" s="57"/>
      <c r="AT65" s="57"/>
      <c r="AU65" s="57"/>
      <c r="AV65" s="57"/>
      <c r="AW65" s="57"/>
      <c r="AX65" s="277"/>
      <c r="AY65" s="277"/>
      <c r="AZ65" s="277"/>
      <c r="BA65" s="277"/>
      <c r="BB65" s="277"/>
      <c r="BC65" s="277"/>
      <c r="BD65" s="277"/>
      <c r="BE65" s="277"/>
    </row>
    <row r="66" spans="2:57" ht="18" customHeight="1" thickBot="1">
      <c r="B66" s="59"/>
      <c r="C66" s="309"/>
      <c r="D66" s="59"/>
      <c r="E66" s="59"/>
      <c r="F66" s="59"/>
      <c r="G66" s="59"/>
      <c r="H66" s="59"/>
      <c r="I66" s="59"/>
      <c r="J66" s="59"/>
      <c r="K66" s="59"/>
      <c r="L66" s="59"/>
      <c r="M66" s="59"/>
      <c r="N66" s="59" t="s">
        <v>41</v>
      </c>
      <c r="O66" s="56"/>
      <c r="P66" s="60"/>
    </row>
    <row r="67" spans="2:57" ht="15.75" thickBot="1">
      <c r="B67" s="499" t="s">
        <v>55</v>
      </c>
      <c r="C67" s="500"/>
      <c r="D67" s="500"/>
      <c r="E67" s="500"/>
      <c r="F67" s="501"/>
      <c r="G67" s="499" t="s">
        <v>56</v>
      </c>
      <c r="H67" s="500"/>
      <c r="I67" s="500"/>
      <c r="J67" s="501"/>
      <c r="K67" s="499" t="s">
        <v>51</v>
      </c>
      <c r="L67" s="500"/>
      <c r="M67" s="500"/>
      <c r="N67" s="502"/>
      <c r="O67" s="56"/>
      <c r="P67" s="50"/>
    </row>
    <row r="68" spans="2:57" ht="15">
      <c r="B68" s="61" t="s">
        <v>17</v>
      </c>
      <c r="C68" s="62" t="s">
        <v>36</v>
      </c>
      <c r="D68" s="62" t="s">
        <v>37</v>
      </c>
      <c r="E68" s="62" t="s">
        <v>38</v>
      </c>
      <c r="F68" s="63" t="s">
        <v>39</v>
      </c>
      <c r="G68" s="62" t="s">
        <v>36</v>
      </c>
      <c r="H68" s="62" t="s">
        <v>37</v>
      </c>
      <c r="I68" s="62" t="s">
        <v>38</v>
      </c>
      <c r="J68" s="63" t="s">
        <v>39</v>
      </c>
      <c r="K68" s="62" t="s">
        <v>36</v>
      </c>
      <c r="L68" s="62" t="s">
        <v>37</v>
      </c>
      <c r="M68" s="62" t="s">
        <v>38</v>
      </c>
      <c r="N68" s="63" t="s">
        <v>39</v>
      </c>
      <c r="O68" s="56"/>
      <c r="P68" s="64"/>
    </row>
    <row r="69" spans="2:57" ht="15">
      <c r="B69" s="29" t="s">
        <v>6</v>
      </c>
      <c r="C69" s="65"/>
      <c r="D69" s="76">
        <v>7.1031671548020761</v>
      </c>
      <c r="E69" s="76">
        <v>6.5769948005270145</v>
      </c>
      <c r="F69" s="66">
        <v>4.8</v>
      </c>
      <c r="G69" s="65"/>
      <c r="H69" s="477">
        <v>6.4041575385468743</v>
      </c>
      <c r="I69" s="477">
        <v>6.6307190081077829</v>
      </c>
      <c r="J69" s="66">
        <v>4.8</v>
      </c>
      <c r="K69" s="67"/>
      <c r="L69" s="194">
        <v>0.60052339181286551</v>
      </c>
      <c r="M69" s="194">
        <v>0.53173259312468302</v>
      </c>
      <c r="N69" s="68">
        <v>1</v>
      </c>
      <c r="O69" s="56"/>
      <c r="P69" s="69"/>
    </row>
    <row r="70" spans="2:57" ht="15">
      <c r="B70" s="33" t="s">
        <v>9</v>
      </c>
      <c r="C70" s="65"/>
      <c r="D70" s="76">
        <v>8.1797752808988591</v>
      </c>
      <c r="E70" s="76">
        <v>5.939590940751847</v>
      </c>
      <c r="F70" s="66">
        <v>4.8</v>
      </c>
      <c r="G70" s="65"/>
      <c r="H70" s="76">
        <v>7.1493286491954091</v>
      </c>
      <c r="I70" s="76">
        <v>6.0146000548367518</v>
      </c>
      <c r="J70" s="66">
        <v>4.8</v>
      </c>
      <c r="K70" s="67"/>
      <c r="L70" s="194">
        <v>0.31847368421052635</v>
      </c>
      <c r="M70" s="194">
        <v>0.68029295501093157</v>
      </c>
      <c r="N70" s="68">
        <v>1</v>
      </c>
      <c r="P70" s="69"/>
    </row>
    <row r="71" spans="2:57" ht="15">
      <c r="B71" s="34" t="s">
        <v>40</v>
      </c>
      <c r="C71" s="65"/>
      <c r="D71" s="76"/>
      <c r="E71" s="76">
        <v>11.277593164016125</v>
      </c>
      <c r="F71" s="66">
        <v>5.5</v>
      </c>
      <c r="G71" s="65"/>
      <c r="H71" s="76"/>
      <c r="I71" s="76">
        <v>11.857907912244482</v>
      </c>
      <c r="J71" s="66">
        <v>5.5</v>
      </c>
      <c r="K71" s="67"/>
      <c r="L71" s="194"/>
      <c r="M71" s="194">
        <v>0.35370190356844494</v>
      </c>
      <c r="N71" s="68">
        <v>1</v>
      </c>
      <c r="P71" s="69"/>
    </row>
    <row r="72" spans="2:57" ht="15">
      <c r="B72" s="22" t="s">
        <v>33</v>
      </c>
      <c r="C72" s="65"/>
      <c r="D72" s="76"/>
      <c r="E72" s="76">
        <v>4.8685538193023836</v>
      </c>
      <c r="F72" s="66">
        <v>3.3</v>
      </c>
      <c r="G72" s="65"/>
      <c r="H72" s="76"/>
      <c r="I72" s="76">
        <v>4.8702525342252114</v>
      </c>
      <c r="J72" s="66">
        <v>3.3</v>
      </c>
      <c r="K72" s="67"/>
      <c r="L72" s="194"/>
      <c r="M72" s="194">
        <v>0.77919298245614044</v>
      </c>
      <c r="N72" s="68">
        <v>1</v>
      </c>
      <c r="P72" s="69"/>
    </row>
    <row r="73" spans="2:57" ht="15">
      <c r="B73" s="35" t="s">
        <v>164</v>
      </c>
      <c r="C73" s="65"/>
      <c r="D73" s="76"/>
      <c r="E73" s="76"/>
      <c r="F73" s="66">
        <v>3.3</v>
      </c>
      <c r="G73" s="282"/>
      <c r="H73" s="76"/>
      <c r="I73" s="76"/>
      <c r="J73" s="66">
        <v>3</v>
      </c>
      <c r="K73" s="67"/>
      <c r="L73" s="194"/>
      <c r="M73" s="194"/>
      <c r="N73" s="68">
        <v>1</v>
      </c>
      <c r="P73" s="69"/>
    </row>
    <row r="74" spans="2:57" ht="15">
      <c r="B74" s="36" t="s">
        <v>15</v>
      </c>
      <c r="C74" s="65"/>
      <c r="D74" s="76">
        <v>6.8855672629257718</v>
      </c>
      <c r="E74" s="76">
        <v>6.3233965672990236</v>
      </c>
      <c r="F74" s="70">
        <v>5.5</v>
      </c>
      <c r="G74" s="65"/>
      <c r="H74" s="76">
        <v>7.4264332958762713</v>
      </c>
      <c r="I74" s="76">
        <v>7.9667553186446929</v>
      </c>
      <c r="J74" s="66">
        <v>5.5</v>
      </c>
      <c r="K74" s="67"/>
      <c r="L74" s="194">
        <v>0.391812865497076</v>
      </c>
      <c r="M74" s="194">
        <v>0.5883625730994152</v>
      </c>
      <c r="N74" s="68">
        <v>1</v>
      </c>
      <c r="P74" s="69"/>
    </row>
    <row r="75" spans="2:57" ht="15">
      <c r="B75" s="37" t="s">
        <v>16</v>
      </c>
      <c r="C75" s="482"/>
      <c r="D75" s="76"/>
      <c r="E75" s="76">
        <v>3.6168923014750334</v>
      </c>
      <c r="F75" s="66">
        <v>3.3</v>
      </c>
      <c r="G75" s="282"/>
      <c r="H75" s="76"/>
      <c r="I75" s="76">
        <v>5.0091179718082053</v>
      </c>
      <c r="J75" s="66">
        <v>3.3</v>
      </c>
      <c r="K75" s="67"/>
      <c r="L75" s="194"/>
      <c r="M75" s="194">
        <v>0.92642300194931759</v>
      </c>
      <c r="N75" s="71">
        <v>1</v>
      </c>
      <c r="P75" s="69"/>
    </row>
    <row r="76" spans="2:57" ht="15.75" thickBot="1">
      <c r="B76" s="38" t="s">
        <v>163</v>
      </c>
      <c r="C76" s="65"/>
      <c r="D76" s="76"/>
      <c r="E76" s="76"/>
      <c r="F76" s="66">
        <v>7.5</v>
      </c>
      <c r="G76" s="282"/>
      <c r="H76" s="76"/>
      <c r="I76" s="76"/>
      <c r="J76" s="66">
        <v>7.5</v>
      </c>
      <c r="K76" s="67"/>
      <c r="L76" s="194"/>
      <c r="M76" s="194"/>
      <c r="N76" s="71">
        <v>1</v>
      </c>
      <c r="P76" s="69"/>
    </row>
    <row r="77" spans="2:57" ht="15.75" thickBot="1">
      <c r="B77" s="414" t="s">
        <v>161</v>
      </c>
      <c r="C77" s="65"/>
      <c r="D77" s="76"/>
      <c r="E77" s="76"/>
      <c r="F77" s="66">
        <v>4.8</v>
      </c>
      <c r="G77" s="282"/>
      <c r="H77" s="76"/>
      <c r="I77" s="76"/>
      <c r="J77" s="66">
        <v>4.8</v>
      </c>
      <c r="K77" s="67"/>
      <c r="L77" s="194"/>
      <c r="M77" s="194"/>
      <c r="N77" s="71">
        <v>1</v>
      </c>
      <c r="O77" s="74"/>
      <c r="P77" s="75"/>
    </row>
    <row r="78" spans="2:57" ht="15">
      <c r="D78" s="76">
        <v>7.3140907910921831</v>
      </c>
      <c r="E78" s="76">
        <v>6.3999736818578956</v>
      </c>
      <c r="F78" s="341">
        <v>5.5</v>
      </c>
      <c r="H78" s="76">
        <v>6.6840393045153821</v>
      </c>
      <c r="I78" s="76">
        <v>6.6928815041484677</v>
      </c>
      <c r="J78" s="341">
        <v>5.5</v>
      </c>
      <c r="L78" s="194">
        <v>0.50896716149347732</v>
      </c>
      <c r="M78" s="194">
        <v>0.59194404706036807</v>
      </c>
      <c r="N78" s="386">
        <v>1</v>
      </c>
    </row>
  </sheetData>
  <mergeCells count="51">
    <mergeCell ref="M54:M55"/>
    <mergeCell ref="B67:F67"/>
    <mergeCell ref="G67:J67"/>
    <mergeCell ref="K67:N67"/>
    <mergeCell ref="G54:G55"/>
    <mergeCell ref="H54:H55"/>
    <mergeCell ref="I54:I55"/>
    <mergeCell ref="J54:J55"/>
    <mergeCell ref="K54:K55"/>
    <mergeCell ref="L54:L55"/>
    <mergeCell ref="F54:F55"/>
    <mergeCell ref="D49:E49"/>
    <mergeCell ref="B54:B55"/>
    <mergeCell ref="C54:C55"/>
    <mergeCell ref="D54:D55"/>
    <mergeCell ref="E54:E55"/>
    <mergeCell ref="B39:B48"/>
    <mergeCell ref="D39:E40"/>
    <mergeCell ref="J39:K39"/>
    <mergeCell ref="L40:N40"/>
    <mergeCell ref="D41:E42"/>
    <mergeCell ref="D43:E44"/>
    <mergeCell ref="D45:E46"/>
    <mergeCell ref="D47:E48"/>
    <mergeCell ref="I25:N25"/>
    <mergeCell ref="D26:E26"/>
    <mergeCell ref="B27:B38"/>
    <mergeCell ref="D27:E28"/>
    <mergeCell ref="D29:E30"/>
    <mergeCell ref="D31:E32"/>
    <mergeCell ref="D33:E34"/>
    <mergeCell ref="D35:E36"/>
    <mergeCell ref="D37:E38"/>
    <mergeCell ref="P8:P9"/>
    <mergeCell ref="C5:D5"/>
    <mergeCell ref="B8:B9"/>
    <mergeCell ref="C8:C9"/>
    <mergeCell ref="D8:D9"/>
    <mergeCell ref="G8:G9"/>
    <mergeCell ref="H8:H9"/>
    <mergeCell ref="I8:I9"/>
    <mergeCell ref="J8:J9"/>
    <mergeCell ref="K8:K9"/>
    <mergeCell ref="L8:L9"/>
    <mergeCell ref="O8:O9"/>
    <mergeCell ref="M4:N4"/>
    <mergeCell ref="S1:T1"/>
    <mergeCell ref="U1:V1"/>
    <mergeCell ref="W1:X1"/>
    <mergeCell ref="Y1:Z1"/>
    <mergeCell ref="B2:O2"/>
  </mergeCells>
  <conditionalFormatting sqref="B49:B50">
    <cfRule type="cellIs" dxfId="1922" priority="103" operator="notBetween">
      <formula>#REF!</formula>
      <formula>#REF!</formula>
    </cfRule>
  </conditionalFormatting>
  <conditionalFormatting sqref="C53">
    <cfRule type="cellIs" dxfId="1921" priority="185" stopIfTrue="1" operator="lessThan">
      <formula>96</formula>
    </cfRule>
    <cfRule type="cellIs" dxfId="1920" priority="186" stopIfTrue="1" operator="greaterThan">
      <formula>100</formula>
    </cfRule>
  </conditionalFormatting>
  <conditionalFormatting sqref="C69:C70">
    <cfRule type="cellIs" dxfId="1919" priority="66" stopIfTrue="1" operator="greaterThan">
      <formula>$F69</formula>
    </cfRule>
    <cfRule type="cellIs" dxfId="1918" priority="68" stopIfTrue="1" operator="greaterThan">
      <formula>$F69</formula>
    </cfRule>
    <cfRule type="cellIs" dxfId="1917" priority="69" stopIfTrue="1" operator="lessThanOrEqual">
      <formula>0</formula>
    </cfRule>
    <cfRule type="cellIs" dxfId="1916" priority="67" stopIfTrue="1" operator="lessThanOrEqual">
      <formula>0</formula>
    </cfRule>
  </conditionalFormatting>
  <conditionalFormatting sqref="C71:C73 C75:C77">
    <cfRule type="cellIs" dxfId="1915" priority="75" stopIfTrue="1" operator="greaterThan">
      <formula>$F74</formula>
    </cfRule>
  </conditionalFormatting>
  <conditionalFormatting sqref="C71:C73">
    <cfRule type="cellIs" dxfId="1914" priority="76" stopIfTrue="1" operator="lessThanOrEqual">
      <formula>0</formula>
    </cfRule>
  </conditionalFormatting>
  <conditionalFormatting sqref="C74">
    <cfRule type="cellIs" dxfId="1913" priority="187" stopIfTrue="1" operator="greaterThan">
      <formula>$F69</formula>
    </cfRule>
    <cfRule type="cellIs" dxfId="1912" priority="190" stopIfTrue="1" operator="lessThanOrEqual">
      <formula>0</formula>
    </cfRule>
    <cfRule type="cellIs" dxfId="1911" priority="189" stopIfTrue="1" operator="greaterThan">
      <formula>$F69</formula>
    </cfRule>
    <cfRule type="cellIs" dxfId="1910" priority="188" stopIfTrue="1" operator="lessThanOrEqual">
      <formula>0</formula>
    </cfRule>
  </conditionalFormatting>
  <conditionalFormatting sqref="C75:C77">
    <cfRule type="cellIs" dxfId="1909" priority="77" stopIfTrue="1" operator="lessThanOrEqual">
      <formula>0</formula>
    </cfRule>
  </conditionalFormatting>
  <conditionalFormatting sqref="C80:C84">
    <cfRule type="cellIs" dxfId="1908" priority="177" stopIfTrue="1" operator="lessThanOrEqual">
      <formula>0</formula>
    </cfRule>
  </conditionalFormatting>
  <conditionalFormatting sqref="C81:C84">
    <cfRule type="cellIs" dxfId="1907" priority="176" stopIfTrue="1" operator="greaterThan">
      <formula>$F$80</formula>
    </cfRule>
  </conditionalFormatting>
  <conditionalFormatting sqref="C86">
    <cfRule type="cellIs" dxfId="1906" priority="178" stopIfTrue="1" operator="greaterThan">
      <formula>$F$80</formula>
    </cfRule>
    <cfRule type="cellIs" dxfId="1905" priority="179" stopIfTrue="1" operator="lessThanOrEqual">
      <formula>0</formula>
    </cfRule>
  </conditionalFormatting>
  <conditionalFormatting sqref="C74:D74">
    <cfRule type="cellIs" dxfId="1904" priority="64" stopIfTrue="1" operator="greaterThan">
      <formula>$J74</formula>
    </cfRule>
    <cfRule type="cellIs" dxfId="1903" priority="65" stopIfTrue="1" operator="lessThanOrEqual">
      <formula>0</formula>
    </cfRule>
  </conditionalFormatting>
  <conditionalFormatting sqref="C80:D80 D82:D88">
    <cfRule type="cellIs" dxfId="1902" priority="171" stopIfTrue="1" operator="greaterThan">
      <formula>4.5</formula>
    </cfRule>
  </conditionalFormatting>
  <conditionalFormatting sqref="D49:D50">
    <cfRule type="cellIs" dxfId="1901" priority="104" operator="notBetween">
      <formula>#REF!</formula>
      <formula>#REF!</formula>
    </cfRule>
  </conditionalFormatting>
  <conditionalFormatting sqref="D69:D73 D75:D76">
    <cfRule type="cellIs" dxfId="1900" priority="74" stopIfTrue="1" operator="lessThanOrEqual">
      <formula>0</formula>
    </cfRule>
  </conditionalFormatting>
  <conditionalFormatting sqref="D69:D73 D75:D78">
    <cfRule type="cellIs" dxfId="1899" priority="71" stopIfTrue="1" operator="greaterThan">
      <formula>$F69</formula>
    </cfRule>
    <cfRule type="cellIs" dxfId="1898" priority="70" stopIfTrue="1" operator="lessThanOrEqual">
      <formula>0</formula>
    </cfRule>
  </conditionalFormatting>
  <conditionalFormatting sqref="D77:D78">
    <cfRule type="cellIs" dxfId="1897" priority="72" stopIfTrue="1" operator="lessThanOrEqual">
      <formula>0</formula>
    </cfRule>
  </conditionalFormatting>
  <conditionalFormatting sqref="D78">
    <cfRule type="cellIs" dxfId="1896" priority="73" stopIfTrue="1" operator="lessThanOrEqual">
      <formula>0</formula>
    </cfRule>
  </conditionalFormatting>
  <conditionalFormatting sqref="D80 D82:D88">
    <cfRule type="cellIs" dxfId="1895" priority="172" stopIfTrue="1" operator="lessThanOrEqual">
      <formula>0</formula>
    </cfRule>
  </conditionalFormatting>
  <conditionalFormatting sqref="D81">
    <cfRule type="cellIs" dxfId="1894" priority="163" stopIfTrue="1" operator="greaterThan">
      <formula>$F$80</formula>
    </cfRule>
    <cfRule type="cellIs" dxfId="1893" priority="164" stopIfTrue="1" operator="lessThanOrEqual">
      <formula>0</formula>
    </cfRule>
  </conditionalFormatting>
  <conditionalFormatting sqref="E10:E24">
    <cfRule type="cellIs" dxfId="1892" priority="13" operator="lessThan">
      <formula>48</formula>
    </cfRule>
  </conditionalFormatting>
  <conditionalFormatting sqref="E52 E53:F53">
    <cfRule type="cellIs" dxfId="1891" priority="168" stopIfTrue="1" operator="greaterThan">
      <formula>100</formula>
    </cfRule>
  </conditionalFormatting>
  <conditionalFormatting sqref="E53">
    <cfRule type="cellIs" dxfId="1890" priority="166" stopIfTrue="1" operator="greaterThan">
      <formula>100</formula>
    </cfRule>
    <cfRule type="cellIs" dxfId="1889" priority="165" stopIfTrue="1" operator="lessThan">
      <formula>96.8</formula>
    </cfRule>
  </conditionalFormatting>
  <conditionalFormatting sqref="E69:E77">
    <cfRule type="cellIs" dxfId="1888" priority="37" stopIfTrue="1" operator="lessThanOrEqual">
      <formula>0</formula>
    </cfRule>
  </conditionalFormatting>
  <conditionalFormatting sqref="E69:E78">
    <cfRule type="cellIs" dxfId="1887" priority="38" stopIfTrue="1" operator="greaterThan">
      <formula>$F69</formula>
    </cfRule>
    <cfRule type="cellIs" dxfId="1886" priority="39" stopIfTrue="1" operator="lessThanOrEqual">
      <formula>0</formula>
    </cfRule>
  </conditionalFormatting>
  <conditionalFormatting sqref="E78">
    <cfRule type="cellIs" dxfId="1885" priority="40" stopIfTrue="1" operator="lessThanOrEqual">
      <formula>0</formula>
    </cfRule>
  </conditionalFormatting>
  <conditionalFormatting sqref="E80:E88">
    <cfRule type="cellIs" dxfId="1884" priority="157" stopIfTrue="1" operator="greaterThan">
      <formula>4.5</formula>
    </cfRule>
    <cfRule type="cellIs" dxfId="1883" priority="158" stopIfTrue="1" operator="lessThanOrEqual">
      <formula>0</formula>
    </cfRule>
  </conditionalFormatting>
  <conditionalFormatting sqref="E53:F53 E52">
    <cfRule type="cellIs" dxfId="1882" priority="167" stopIfTrue="1" operator="lessThan">
      <formula>96.5</formula>
    </cfRule>
  </conditionalFormatting>
  <conditionalFormatting sqref="F10:F24">
    <cfRule type="cellIs" dxfId="1881" priority="14" operator="greaterThan">
      <formula>60</formula>
    </cfRule>
  </conditionalFormatting>
  <conditionalFormatting sqref="F53">
    <cfRule type="cellIs" dxfId="1880" priority="183" stopIfTrue="1" operator="lessThan">
      <formula>96.8</formula>
    </cfRule>
    <cfRule type="cellIs" dxfId="1879" priority="184" stopIfTrue="1" operator="greaterThan">
      <formula>100</formula>
    </cfRule>
  </conditionalFormatting>
  <conditionalFormatting sqref="G24">
    <cfRule type="expression" dxfId="1878" priority="3">
      <formula>IF(+(IF(G24&lt;S24,0,IF(G24&gt;T24,0,1)))=0,1)</formula>
    </cfRule>
  </conditionalFormatting>
  <conditionalFormatting sqref="G69:G72 F78">
    <cfRule type="cellIs" dxfId="1877" priority="46" stopIfTrue="1" operator="greaterThan">
      <formula>$F69</formula>
    </cfRule>
    <cfRule type="cellIs" dxfId="1876" priority="47" stopIfTrue="1" operator="lessThanOrEqual">
      <formula>0</formula>
    </cfRule>
  </conditionalFormatting>
  <conditionalFormatting sqref="G71:G72">
    <cfRule type="cellIs" dxfId="1875" priority="33" stopIfTrue="1" operator="lessThanOrEqual">
      <formula>0</formula>
    </cfRule>
    <cfRule type="cellIs" dxfId="1874" priority="32" stopIfTrue="1" operator="greaterThan">
      <formula>$F71</formula>
    </cfRule>
  </conditionalFormatting>
  <conditionalFormatting sqref="G73:G77">
    <cfRule type="cellIs" dxfId="1873" priority="49" stopIfTrue="1" operator="lessThanOrEqual">
      <formula>0</formula>
    </cfRule>
    <cfRule type="cellIs" dxfId="1872" priority="48" stopIfTrue="1" operator="greaterThan">
      <formula>$J73</formula>
    </cfRule>
  </conditionalFormatting>
  <conditionalFormatting sqref="G74">
    <cfRule type="cellIs" dxfId="1871" priority="191" stopIfTrue="1" operator="greaterThan">
      <formula>$F69</formula>
    </cfRule>
    <cfRule type="cellIs" dxfId="1870" priority="192" stopIfTrue="1" operator="lessThanOrEqual">
      <formula>0</formula>
    </cfRule>
  </conditionalFormatting>
  <conditionalFormatting sqref="G82:G87 C85 C87">
    <cfRule type="cellIs" dxfId="1869" priority="181" stopIfTrue="1" operator="lessThanOrEqual">
      <formula>0</formula>
    </cfRule>
    <cfRule type="cellIs" dxfId="1868" priority="180" stopIfTrue="1" operator="greaterThan">
      <formula>4.5</formula>
    </cfRule>
  </conditionalFormatting>
  <conditionalFormatting sqref="G10:H21 M10:N23 G22:G23 H22:H24">
    <cfRule type="expression" dxfId="1867" priority="4">
      <formula>IF(+(IF(G10&lt;#REF!,0,IF(G10&gt;#REF!,0,1)))=0,1)</formula>
    </cfRule>
  </conditionalFormatting>
  <conditionalFormatting sqref="G81:H81">
    <cfRule type="cellIs" dxfId="1866" priority="162" stopIfTrue="1" operator="lessThanOrEqual">
      <formula>0</formula>
    </cfRule>
    <cfRule type="cellIs" dxfId="1865" priority="161" stopIfTrue="1" operator="greaterThan">
      <formula>$F$80</formula>
    </cfRule>
  </conditionalFormatting>
  <conditionalFormatting sqref="H38:H39 H52">
    <cfRule type="cellIs" dxfId="1864" priority="159" stopIfTrue="1" operator="greaterThan">
      <formula>0</formula>
    </cfRule>
  </conditionalFormatting>
  <conditionalFormatting sqref="H56">
    <cfRule type="cellIs" dxfId="1863" priority="52" stopIfTrue="1" operator="greaterThan">
      <formula>$F$69</formula>
    </cfRule>
    <cfRule type="cellIs" dxfId="1862" priority="60" stopIfTrue="1" operator="greaterThan">
      <formula>$F$72</formula>
    </cfRule>
    <cfRule type="cellIs" dxfId="1861" priority="61" stopIfTrue="1" operator="lessThanOrEqual">
      <formula>0</formula>
    </cfRule>
    <cfRule type="cellIs" dxfId="1860" priority="62" stopIfTrue="1" operator="greaterThan">
      <formula>$F$70</formula>
    </cfRule>
    <cfRule type="cellIs" dxfId="1859" priority="51" stopIfTrue="1" operator="lessThanOrEqual">
      <formula>0</formula>
    </cfRule>
  </conditionalFormatting>
  <conditionalFormatting sqref="H56:H57">
    <cfRule type="cellIs" dxfId="1858" priority="63" stopIfTrue="1" operator="lessThanOrEqual">
      <formula>0</formula>
    </cfRule>
  </conditionalFormatting>
  <conditionalFormatting sqref="H57 H59:H60">
    <cfRule type="cellIs" dxfId="1857" priority="89" stopIfTrue="1" operator="lessThanOrEqual">
      <formula>0</formula>
    </cfRule>
  </conditionalFormatting>
  <conditionalFormatting sqref="H57">
    <cfRule type="cellIs" dxfId="1856" priority="86" stopIfTrue="1" operator="greaterThan">
      <formula>$F$72</formula>
    </cfRule>
    <cfRule type="cellIs" dxfId="1855" priority="88" stopIfTrue="1" operator="greaterThan">
      <formula>$F$70</formula>
    </cfRule>
    <cfRule type="cellIs" dxfId="1854" priority="87" stopIfTrue="1" operator="lessThanOrEqual">
      <formula>0</formula>
    </cfRule>
    <cfRule type="cellIs" dxfId="1853" priority="78" stopIfTrue="1" operator="greaterThan">
      <formula>$F$69</formula>
    </cfRule>
  </conditionalFormatting>
  <conditionalFormatting sqref="H58">
    <cfRule type="cellIs" dxfId="1852" priority="18" stopIfTrue="1" operator="lessThanOrEqual">
      <formula>0</formula>
    </cfRule>
    <cfRule type="cellIs" dxfId="1851" priority="19" stopIfTrue="1" operator="greaterThan">
      <formula>$F$71</formula>
    </cfRule>
    <cfRule type="cellIs" dxfId="1850" priority="27" stopIfTrue="1" operator="greaterThan">
      <formula>$F$74</formula>
    </cfRule>
    <cfRule type="cellIs" dxfId="1849" priority="28" stopIfTrue="1" operator="lessThanOrEqual">
      <formula>0</formula>
    </cfRule>
    <cfRule type="cellIs" dxfId="1848" priority="29" stopIfTrue="1" operator="greaterThan">
      <formula>$F$72</formula>
    </cfRule>
    <cfRule type="cellIs" dxfId="1847" priority="30" stopIfTrue="1" operator="lessThanOrEqual">
      <formula>0</formula>
    </cfRule>
  </conditionalFormatting>
  <conditionalFormatting sqref="H59:H60">
    <cfRule type="cellIs" dxfId="1846" priority="101" stopIfTrue="1" operator="greaterThan">
      <formula>$F$70</formula>
    </cfRule>
    <cfRule type="cellIs" dxfId="1845" priority="100" stopIfTrue="1" operator="lessThanOrEqual">
      <formula>0</formula>
    </cfRule>
    <cfRule type="cellIs" dxfId="1844" priority="99" stopIfTrue="1" operator="greaterThan">
      <formula>$F$72</formula>
    </cfRule>
    <cfRule type="cellIs" dxfId="1843" priority="91" stopIfTrue="1" operator="greaterThan">
      <formula>$F$69</formula>
    </cfRule>
    <cfRule type="cellIs" dxfId="1842" priority="102" stopIfTrue="1" operator="lessThanOrEqual">
      <formula>0</formula>
    </cfRule>
  </conditionalFormatting>
  <conditionalFormatting sqref="H61:H62">
    <cfRule type="cellIs" dxfId="1841" priority="126" stopIfTrue="1" operator="lessThanOrEqual">
      <formula>0</formula>
    </cfRule>
    <cfRule type="cellIs" dxfId="1840" priority="135" stopIfTrue="1" operator="greaterThan">
      <formula>#REF!</formula>
    </cfRule>
    <cfRule type="cellIs" dxfId="1839" priority="136" stopIfTrue="1" operator="lessThanOrEqual">
      <formula>0</formula>
    </cfRule>
    <cfRule type="cellIs" dxfId="1838" priority="127" stopIfTrue="1" operator="greaterThan">
      <formula>#REF!</formula>
    </cfRule>
  </conditionalFormatting>
  <conditionalFormatting sqref="H63">
    <cfRule type="cellIs" dxfId="1837" priority="150" stopIfTrue="1" operator="lessThanOrEqual">
      <formula>0</formula>
    </cfRule>
    <cfRule type="cellIs" dxfId="1836" priority="138" stopIfTrue="1" operator="lessThanOrEqual">
      <formula>0</formula>
    </cfRule>
    <cfRule type="cellIs" dxfId="1835" priority="139" stopIfTrue="1" operator="greaterThan">
      <formula>$F$37</formula>
    </cfRule>
    <cfRule type="cellIs" dxfId="1834" priority="149" stopIfTrue="1" operator="greaterThan">
      <formula>$F$38</formula>
    </cfRule>
    <cfRule type="cellIs" dxfId="1833" priority="148" stopIfTrue="1" operator="lessThanOrEqual">
      <formula>0</formula>
    </cfRule>
    <cfRule type="cellIs" dxfId="1832" priority="147" stopIfTrue="1" operator="greaterThan">
      <formula>$F$40</formula>
    </cfRule>
  </conditionalFormatting>
  <conditionalFormatting sqref="H64:H65">
    <cfRule type="cellIs" dxfId="1831" priority="123" stopIfTrue="1" operator="greaterThan">
      <formula>#REF!</formula>
    </cfRule>
    <cfRule type="cellIs" dxfId="1830" priority="115" stopIfTrue="1" operator="greaterThan">
      <formula>#REF!</formula>
    </cfRule>
    <cfRule type="cellIs" dxfId="1829" priority="114" stopIfTrue="1" operator="lessThanOrEqual">
      <formula>0</formula>
    </cfRule>
    <cfRule type="cellIs" dxfId="1828" priority="124" stopIfTrue="1" operator="lessThanOrEqual">
      <formula>0</formula>
    </cfRule>
  </conditionalFormatting>
  <conditionalFormatting sqref="H80 H82:H88">
    <cfRule type="cellIs" dxfId="1827" priority="173" stopIfTrue="1" operator="greaterThan">
      <formula>4.5</formula>
    </cfRule>
    <cfRule type="cellIs" dxfId="1826" priority="174" stopIfTrue="1" operator="lessThanOrEqual">
      <formula>0</formula>
    </cfRule>
  </conditionalFormatting>
  <conditionalFormatting sqref="H56:I56">
    <cfRule type="cellIs" dxfId="1825" priority="53" stopIfTrue="1" operator="lessThanOrEqual">
      <formula>0</formula>
    </cfRule>
  </conditionalFormatting>
  <conditionalFormatting sqref="H56:I57 H59:I60">
    <cfRule type="cellIs" dxfId="1824" priority="50" stopIfTrue="1" operator="greaterThan">
      <formula>$F$71</formula>
    </cfRule>
  </conditionalFormatting>
  <conditionalFormatting sqref="H57:I57">
    <cfRule type="cellIs" dxfId="1823" priority="79" stopIfTrue="1" operator="lessThanOrEqual">
      <formula>0</formula>
    </cfRule>
  </conditionalFormatting>
  <conditionalFormatting sqref="H58:I58">
    <cfRule type="cellIs" dxfId="1822" priority="17" stopIfTrue="1" operator="greaterThan">
      <formula>$F$73</formula>
    </cfRule>
    <cfRule type="cellIs" dxfId="1821" priority="20" stopIfTrue="1" operator="lessThanOrEqual">
      <formula>0</formula>
    </cfRule>
  </conditionalFormatting>
  <conditionalFormatting sqref="H59:I60">
    <cfRule type="cellIs" dxfId="1820" priority="92" stopIfTrue="1" operator="lessThanOrEqual">
      <formula>0</formula>
    </cfRule>
  </conditionalFormatting>
  <conditionalFormatting sqref="H61:I62">
    <cfRule type="cellIs" dxfId="1819" priority="133" stopIfTrue="1" operator="greaterThan">
      <formula>#REF!</formula>
    </cfRule>
    <cfRule type="cellIs" dxfId="1818" priority="128" stopIfTrue="1" operator="lessThanOrEqual">
      <formula>0</formula>
    </cfRule>
    <cfRule type="cellIs" dxfId="1817" priority="134" stopIfTrue="1" operator="lessThanOrEqual">
      <formula>0</formula>
    </cfRule>
    <cfRule type="cellIs" dxfId="1816" priority="125" stopIfTrue="1" operator="greaterThan">
      <formula>#REF!</formula>
    </cfRule>
  </conditionalFormatting>
  <conditionalFormatting sqref="H63:I63">
    <cfRule type="cellIs" dxfId="1815" priority="137" stopIfTrue="1" operator="greaterThan">
      <formula>$F$39</formula>
    </cfRule>
    <cfRule type="cellIs" dxfId="1814" priority="140" stopIfTrue="1" operator="lessThanOrEqual">
      <formula>0</formula>
    </cfRule>
  </conditionalFormatting>
  <conditionalFormatting sqref="H64:I65">
    <cfRule type="cellIs" dxfId="1813" priority="113" stopIfTrue="1" operator="greaterThan">
      <formula>#REF!</formula>
    </cfRule>
    <cfRule type="cellIs" dxfId="1812" priority="116" stopIfTrue="1" operator="lessThanOrEqual">
      <formula>0</formula>
    </cfRule>
    <cfRule type="cellIs" dxfId="1811" priority="121" stopIfTrue="1" operator="greaterThan">
      <formula>#REF!</formula>
    </cfRule>
    <cfRule type="cellIs" dxfId="1810" priority="122" stopIfTrue="1" operator="lessThanOrEqual">
      <formula>0</formula>
    </cfRule>
  </conditionalFormatting>
  <conditionalFormatting sqref="H69:I76">
    <cfRule type="cellIs" dxfId="1809" priority="36" stopIfTrue="1" operator="lessThanOrEqual">
      <formula>0</formula>
    </cfRule>
    <cfRule type="cellIs" dxfId="1808" priority="35" stopIfTrue="1" operator="greaterThan">
      <formula>$J69</formula>
    </cfRule>
  </conditionalFormatting>
  <conditionalFormatting sqref="H77:I77">
    <cfRule type="cellIs" dxfId="1807" priority="43" operator="greaterThan">
      <formula>5.3</formula>
    </cfRule>
  </conditionalFormatting>
  <conditionalFormatting sqref="H78:I78">
    <cfRule type="cellIs" dxfId="1806" priority="42" stopIfTrue="1" operator="lessThanOrEqual">
      <formula>0</formula>
    </cfRule>
    <cfRule type="cellIs" dxfId="1805" priority="41" stopIfTrue="1" operator="greaterThan">
      <formula>$J78</formula>
    </cfRule>
  </conditionalFormatting>
  <conditionalFormatting sqref="I56">
    <cfRule type="cellIs" dxfId="1804" priority="56" stopIfTrue="1" operator="greaterThan">
      <formula>$F$71</formula>
    </cfRule>
    <cfRule type="cellIs" dxfId="1803" priority="55" stopIfTrue="1" operator="lessThanOrEqual">
      <formula>0</formula>
    </cfRule>
    <cfRule type="cellIs" dxfId="1802" priority="54" stopIfTrue="1" operator="greaterThan">
      <formula>$F$69</formula>
    </cfRule>
    <cfRule type="cellIs" dxfId="1801" priority="59" stopIfTrue="1" operator="lessThanOrEqual">
      <formula>0</formula>
    </cfRule>
    <cfRule type="cellIs" dxfId="1800" priority="58" stopIfTrue="1" operator="greaterThan">
      <formula>$F$69</formula>
    </cfRule>
    <cfRule type="cellIs" dxfId="1799" priority="57" stopIfTrue="1" operator="lessThanOrEqual">
      <formula>0</formula>
    </cfRule>
  </conditionalFormatting>
  <conditionalFormatting sqref="I57">
    <cfRule type="cellIs" dxfId="1798" priority="81" stopIfTrue="1" operator="lessThanOrEqual">
      <formula>0</formula>
    </cfRule>
    <cfRule type="cellIs" dxfId="1797" priority="80" stopIfTrue="1" operator="greaterThan">
      <formula>$F$69</formula>
    </cfRule>
    <cfRule type="cellIs" dxfId="1796" priority="85" stopIfTrue="1" operator="lessThanOrEqual">
      <formula>0</formula>
    </cfRule>
    <cfRule type="cellIs" dxfId="1795" priority="84" stopIfTrue="1" operator="greaterThan">
      <formula>$F$69</formula>
    </cfRule>
    <cfRule type="cellIs" dxfId="1794" priority="83" stopIfTrue="1" operator="lessThanOrEqual">
      <formula>0</formula>
    </cfRule>
    <cfRule type="cellIs" dxfId="1793" priority="82" stopIfTrue="1" operator="greaterThan">
      <formula>$F$71</formula>
    </cfRule>
  </conditionalFormatting>
  <conditionalFormatting sqref="I58">
    <cfRule type="cellIs" dxfId="1792" priority="25" stopIfTrue="1" operator="greaterThan">
      <formula>$F$71</formula>
    </cfRule>
    <cfRule type="cellIs" dxfId="1791" priority="24" stopIfTrue="1" operator="lessThanOrEqual">
      <formula>0</formula>
    </cfRule>
    <cfRule type="cellIs" dxfId="1790" priority="23" stopIfTrue="1" operator="greaterThan">
      <formula>$F$73</formula>
    </cfRule>
    <cfRule type="cellIs" dxfId="1789" priority="22" stopIfTrue="1" operator="lessThanOrEqual">
      <formula>0</formula>
    </cfRule>
    <cfRule type="cellIs" dxfId="1788" priority="21" stopIfTrue="1" operator="greaterThan">
      <formula>$F$71</formula>
    </cfRule>
    <cfRule type="cellIs" dxfId="1787" priority="26" stopIfTrue="1" operator="lessThanOrEqual">
      <formula>0</formula>
    </cfRule>
  </conditionalFormatting>
  <conditionalFormatting sqref="I59:I60">
    <cfRule type="cellIs" dxfId="1786" priority="96" stopIfTrue="1" operator="lessThanOrEqual">
      <formula>0</formula>
    </cfRule>
    <cfRule type="cellIs" dxfId="1785" priority="97" stopIfTrue="1" operator="greaterThan">
      <formula>$F$69</formula>
    </cfRule>
    <cfRule type="cellIs" dxfId="1784" priority="98" stopIfTrue="1" operator="lessThanOrEqual">
      <formula>0</formula>
    </cfRule>
    <cfRule type="cellIs" dxfId="1783" priority="93" stopIfTrue="1" operator="greaterThan">
      <formula>$F$69</formula>
    </cfRule>
    <cfRule type="cellIs" dxfId="1782" priority="94" stopIfTrue="1" operator="lessThanOrEqual">
      <formula>0</formula>
    </cfRule>
    <cfRule type="cellIs" dxfId="1781" priority="95" stopIfTrue="1" operator="greaterThan">
      <formula>$F$71</formula>
    </cfRule>
  </conditionalFormatting>
  <conditionalFormatting sqref="I61:I62">
    <cfRule type="cellIs" dxfId="1780" priority="132" stopIfTrue="1" operator="lessThanOrEqual">
      <formula>0</formula>
    </cfRule>
    <cfRule type="cellIs" dxfId="1779" priority="131" stopIfTrue="1" operator="greaterThan">
      <formula>#REF!</formula>
    </cfRule>
    <cfRule type="cellIs" dxfId="1778" priority="130" stopIfTrue="1" operator="lessThanOrEqual">
      <formula>0</formula>
    </cfRule>
    <cfRule type="cellIs" dxfId="1777" priority="129" stopIfTrue="1" operator="greaterThan">
      <formula>#REF!</formula>
    </cfRule>
  </conditionalFormatting>
  <conditionalFormatting sqref="I63">
    <cfRule type="cellIs" dxfId="1776" priority="144" stopIfTrue="1" operator="lessThanOrEqual">
      <formula>0</formula>
    </cfRule>
    <cfRule type="cellIs" dxfId="1775" priority="145" stopIfTrue="1" operator="greaterThan">
      <formula>$F$37</formula>
    </cfRule>
    <cfRule type="cellIs" dxfId="1774" priority="146" stopIfTrue="1" operator="lessThanOrEqual">
      <formula>0</formula>
    </cfRule>
    <cfRule type="cellIs" dxfId="1773" priority="141" stopIfTrue="1" operator="greaterThan">
      <formula>$F$37</formula>
    </cfRule>
    <cfRule type="cellIs" dxfId="1772" priority="142" stopIfTrue="1" operator="lessThanOrEqual">
      <formula>0</formula>
    </cfRule>
    <cfRule type="cellIs" dxfId="1771" priority="143" stopIfTrue="1" operator="greaterThan">
      <formula>$F$39</formula>
    </cfRule>
  </conditionalFormatting>
  <conditionalFormatting sqref="I64:I65">
    <cfRule type="cellIs" dxfId="1770" priority="120" stopIfTrue="1" operator="lessThanOrEqual">
      <formula>0</formula>
    </cfRule>
    <cfRule type="cellIs" dxfId="1769" priority="117" stopIfTrue="1" operator="greaterThan">
      <formula>#REF!</formula>
    </cfRule>
    <cfRule type="cellIs" dxfId="1768" priority="118" stopIfTrue="1" operator="lessThanOrEqual">
      <formula>0</formula>
    </cfRule>
    <cfRule type="cellIs" dxfId="1767" priority="119" stopIfTrue="1" operator="greaterThan">
      <formula>#REF!</formula>
    </cfRule>
  </conditionalFormatting>
  <conditionalFormatting sqref="I80:I88">
    <cfRule type="cellIs" dxfId="1766" priority="170" stopIfTrue="1" operator="lessThanOrEqual">
      <formula>0</formula>
    </cfRule>
    <cfRule type="cellIs" dxfId="1765" priority="169" stopIfTrue="1" operator="greaterThan">
      <formula>4.5</formula>
    </cfRule>
  </conditionalFormatting>
  <conditionalFormatting sqref="I10:J24">
    <cfRule type="cellIs" dxfId="1764" priority="9" operator="lessThan">
      <formula>97.9</formula>
    </cfRule>
  </conditionalFormatting>
  <conditionalFormatting sqref="J27:J29">
    <cfRule type="cellIs" dxfId="1763" priority="16" operator="lessThan">
      <formula>97.95</formula>
    </cfRule>
  </conditionalFormatting>
  <conditionalFormatting sqref="J28:J31">
    <cfRule type="cellIs" dxfId="1762" priority="151" operator="lessThan">
      <formula>97.4</formula>
    </cfRule>
  </conditionalFormatting>
  <conditionalFormatting sqref="J32:J33">
    <cfRule type="cellIs" dxfId="1761" priority="152" operator="lessThan">
      <formula>98</formula>
    </cfRule>
  </conditionalFormatting>
  <conditionalFormatting sqref="J34:J35">
    <cfRule type="cellIs" dxfId="1760" priority="153" stopIfTrue="1" operator="lessThan">
      <formula>96.8</formula>
    </cfRule>
    <cfRule type="cellIs" dxfId="1759" priority="154" stopIfTrue="1" operator="greaterThan">
      <formula>100</formula>
    </cfRule>
  </conditionalFormatting>
  <conditionalFormatting sqref="J34:J36">
    <cfRule type="cellIs" dxfId="1758" priority="155" operator="lessThan">
      <formula>98</formula>
    </cfRule>
  </conditionalFormatting>
  <conditionalFormatting sqref="J65">
    <cfRule type="cellIs" dxfId="1757" priority="112" stopIfTrue="1" operator="lessThanOrEqual">
      <formula>0</formula>
    </cfRule>
    <cfRule type="cellIs" dxfId="1756" priority="106" stopIfTrue="1" operator="lessThanOrEqual">
      <formula>0</formula>
    </cfRule>
    <cfRule type="cellIs" dxfId="1755" priority="105" stopIfTrue="1" operator="greaterThan">
      <formula>#REF!</formula>
    </cfRule>
    <cfRule type="cellIs" dxfId="1754" priority="107" stopIfTrue="1" operator="greaterThan">
      <formula>#REF!</formula>
    </cfRule>
    <cfRule type="cellIs" dxfId="1753" priority="108" stopIfTrue="1" operator="lessThanOrEqual">
      <formula>0</formula>
    </cfRule>
    <cfRule type="cellIs" dxfId="1752" priority="109" stopIfTrue="1" operator="greaterThan">
      <formula>#REF!</formula>
    </cfRule>
    <cfRule type="cellIs" dxfId="1751" priority="110" stopIfTrue="1" operator="lessThanOrEqual">
      <formula>0</formula>
    </cfRule>
    <cfRule type="cellIs" dxfId="1750" priority="111" stopIfTrue="1" operator="greaterThan">
      <formula>#REF!</formula>
    </cfRule>
  </conditionalFormatting>
  <conditionalFormatting sqref="J78">
    <cfRule type="cellIs" dxfId="1749" priority="44" stopIfTrue="1" operator="greaterThan">
      <formula>$F78</formula>
    </cfRule>
    <cfRule type="cellIs" dxfId="1748" priority="45" stopIfTrue="1" operator="lessThanOrEqual">
      <formula>0</formula>
    </cfRule>
  </conditionalFormatting>
  <conditionalFormatting sqref="K10:K24">
    <cfRule type="cellIs" dxfId="1747" priority="11" operator="lessThan">
      <formula>4</formula>
    </cfRule>
    <cfRule type="cellIs" dxfId="1746" priority="12" operator="greaterThan">
      <formula>6.4</formula>
    </cfRule>
    <cfRule type="cellIs" dxfId="1745" priority="10" operator="greaterThan">
      <formula>6</formula>
    </cfRule>
  </conditionalFormatting>
  <conditionalFormatting sqref="K56:K65">
    <cfRule type="cellIs" dxfId="1744" priority="90" stopIfTrue="1" operator="lessThan">
      <formula>100%</formula>
    </cfRule>
  </conditionalFormatting>
  <conditionalFormatting sqref="K69:K77">
    <cfRule type="cellIs" dxfId="1743" priority="34" stopIfTrue="1" operator="lessThan">
      <formula>100%</formula>
    </cfRule>
  </conditionalFormatting>
  <conditionalFormatting sqref="K80:K85">
    <cfRule type="cellIs" dxfId="1742" priority="175" stopIfTrue="1" operator="lessThan">
      <formula>100%</formula>
    </cfRule>
  </conditionalFormatting>
  <conditionalFormatting sqref="K87:K88">
    <cfRule type="cellIs" dxfId="1741" priority="182" stopIfTrue="1" operator="lessThan">
      <formula>100%</formula>
    </cfRule>
  </conditionalFormatting>
  <conditionalFormatting sqref="L10:L24">
    <cfRule type="cellIs" dxfId="1740" priority="7" operator="greaterThan">
      <formula>65</formula>
    </cfRule>
    <cfRule type="cellIs" dxfId="1739" priority="6" operator="between">
      <formula>61</formula>
      <formula>65</formula>
    </cfRule>
  </conditionalFormatting>
  <conditionalFormatting sqref="L27:M38">
    <cfRule type="cellIs" dxfId="1738" priority="15" operator="lessThan">
      <formula>97.95</formula>
    </cfRule>
  </conditionalFormatting>
  <conditionalFormatting sqref="L42:N42">
    <cfRule type="cellIs" dxfId="1737" priority="5" operator="notEqual">
      <formula>#REF!</formula>
    </cfRule>
  </conditionalFormatting>
  <conditionalFormatting sqref="L69:N78">
    <cfRule type="cellIs" dxfId="1736" priority="31" stopIfTrue="1" operator="lessThan">
      <formula>100%</formula>
    </cfRule>
  </conditionalFormatting>
  <conditionalFormatting sqref="L80:N88">
    <cfRule type="cellIs" dxfId="1735" priority="160" stopIfTrue="1" operator="lessThan">
      <formula>100%</formula>
    </cfRule>
  </conditionalFormatting>
  <conditionalFormatting sqref="M24">
    <cfRule type="expression" dxfId="1734" priority="2">
      <formula>IF(+(IF(M24&lt;U24,0,IF(M24&gt;V24,0,1)))=0,1)</formula>
    </cfRule>
  </conditionalFormatting>
  <conditionalFormatting sqref="N10:N24">
    <cfRule type="expression" dxfId="1733" priority="8">
      <formula>IF(+(IF(N10&lt;W10,0,IF(N10&gt;X10,0,1)))=0,1)</formula>
    </cfRule>
  </conditionalFormatting>
  <conditionalFormatting sqref="P6">
    <cfRule type="cellIs" dxfId="1732" priority="156" operator="greaterThanOrEqual">
      <formula>19</formula>
    </cfRule>
  </conditionalFormatting>
  <dataValidations count="1">
    <dataValidation type="list" allowBlank="1" showInputMessage="1" showErrorMessage="1" sqref="R8" xr:uid="{37015F1B-B18A-4270-889D-F1074D40C635}">
      <formula1>ProductList</formula1>
    </dataValidation>
  </dataValidations>
  <pageMargins left="0.7" right="0.7" top="0.75" bottom="0.75" header="0.3" footer="0.3"/>
  <pageSetup scale="40" fitToWidth="0" orientation="landscape" r:id="rId1"/>
  <rowBreaks count="1" manualBreakCount="1">
    <brk id="82" max="16383" man="1"/>
  </rowBreaks>
  <colBreaks count="1" manualBreakCount="1">
    <brk id="15" max="89" man="1"/>
  </colBreaks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7AD82D-E74C-4C4C-8A01-691D84E551E4}">
  <sheetPr>
    <pageSetUpPr fitToPage="1"/>
  </sheetPr>
  <dimension ref="A1:BE79"/>
  <sheetViews>
    <sheetView zoomScale="85" zoomScaleNormal="85" workbookViewId="0">
      <selection activeCell="M13" sqref="M13:M19"/>
    </sheetView>
  </sheetViews>
  <sheetFormatPr defaultColWidth="9.42578125" defaultRowHeight="14.25"/>
  <cols>
    <col min="1" max="1" width="7.28515625" style="275" customWidth="1"/>
    <col min="2" max="2" width="31.28515625" style="275" customWidth="1"/>
    <col min="3" max="3" width="22.28515625" style="275" customWidth="1"/>
    <col min="4" max="7" width="16.5703125" style="275" customWidth="1"/>
    <col min="8" max="8" width="20.7109375" style="275" customWidth="1"/>
    <col min="9" max="9" width="31.42578125" style="275" customWidth="1"/>
    <col min="10" max="10" width="35.28515625" style="275" customWidth="1"/>
    <col min="11" max="11" width="29" style="275" customWidth="1"/>
    <col min="12" max="12" width="17.28515625" style="275" bestFit="1" customWidth="1"/>
    <col min="13" max="13" width="23.28515625" style="275" customWidth="1"/>
    <col min="14" max="14" width="13.7109375" style="275" bestFit="1" customWidth="1"/>
    <col min="15" max="15" width="17.5703125" style="275" customWidth="1"/>
    <col min="16" max="16" width="109.28515625" style="6" customWidth="1"/>
    <col min="17" max="17" width="16.5703125" style="275" customWidth="1"/>
    <col min="18" max="18" width="15.7109375" style="275" bestFit="1" customWidth="1"/>
    <col min="19" max="19" width="12.42578125" style="275" customWidth="1"/>
    <col min="20" max="20" width="15" style="275" customWidth="1"/>
    <col min="21" max="21" width="12" style="275" customWidth="1"/>
    <col min="22" max="22" width="10.42578125" style="275" customWidth="1"/>
    <col min="23" max="23" width="11.42578125" style="275" customWidth="1"/>
    <col min="24" max="24" width="10.42578125" style="275" customWidth="1"/>
    <col min="25" max="25" width="8.42578125" style="275" customWidth="1"/>
    <col min="26" max="26" width="9.5703125" style="275" customWidth="1"/>
    <col min="27" max="27" width="8.42578125" style="275" customWidth="1"/>
    <col min="28" max="29" width="7.5703125" style="275" customWidth="1"/>
    <col min="30" max="51" width="9.42578125" style="275"/>
    <col min="52" max="52" width="1.5703125" style="275" customWidth="1"/>
    <col min="53" max="54" width="9.42578125" style="275"/>
    <col min="55" max="56" width="15.42578125" style="275" customWidth="1"/>
    <col min="57" max="16384" width="9.42578125" style="275"/>
  </cols>
  <sheetData>
    <row r="1" spans="2:29" ht="1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R1" s="467"/>
      <c r="S1" s="553" t="s">
        <v>0</v>
      </c>
      <c r="T1" s="553"/>
      <c r="U1" s="553" t="s">
        <v>1</v>
      </c>
      <c r="V1" s="553"/>
      <c r="W1" s="553" t="s">
        <v>2</v>
      </c>
      <c r="X1" s="553"/>
      <c r="Y1" s="553" t="s">
        <v>124</v>
      </c>
      <c r="Z1" s="553"/>
    </row>
    <row r="2" spans="2:29" ht="15">
      <c r="B2" s="554" t="s">
        <v>3</v>
      </c>
      <c r="C2" s="554"/>
      <c r="D2" s="554"/>
      <c r="E2" s="554"/>
      <c r="F2" s="554"/>
      <c r="G2" s="554"/>
      <c r="H2" s="554"/>
      <c r="I2" s="554"/>
      <c r="J2" s="554"/>
      <c r="K2" s="554"/>
      <c r="L2" s="554"/>
      <c r="M2" s="554"/>
      <c r="N2" s="554"/>
      <c r="O2" s="554"/>
      <c r="P2" s="4"/>
      <c r="R2" s="467"/>
      <c r="S2" s="467" t="s">
        <v>4</v>
      </c>
      <c r="T2" s="467" t="s">
        <v>5</v>
      </c>
      <c r="U2" s="467" t="s">
        <v>4</v>
      </c>
      <c r="V2" s="467" t="s">
        <v>5</v>
      </c>
      <c r="W2" s="467" t="s">
        <v>4</v>
      </c>
      <c r="X2" s="467" t="s">
        <v>5</v>
      </c>
      <c r="Y2" s="467" t="s">
        <v>4</v>
      </c>
      <c r="Z2" s="467" t="s">
        <v>5</v>
      </c>
    </row>
    <row r="3" spans="2:29" ht="14.25" customHeight="1">
      <c r="B3" s="5"/>
      <c r="R3" s="467" t="s">
        <v>6</v>
      </c>
      <c r="S3" s="468">
        <v>11.6</v>
      </c>
      <c r="T3" s="469">
        <v>12</v>
      </c>
      <c r="U3" s="9">
        <v>0</v>
      </c>
      <c r="V3" s="10">
        <v>0.118055555555556</v>
      </c>
      <c r="W3" s="10">
        <v>0.22569444444444445</v>
      </c>
      <c r="X3" s="10">
        <v>0.2638888888888889</v>
      </c>
      <c r="Y3" s="470">
        <v>0</v>
      </c>
      <c r="Z3" s="468">
        <v>60</v>
      </c>
      <c r="AB3" s="275" t="s">
        <v>135</v>
      </c>
    </row>
    <row r="4" spans="2:29" ht="30.75" customHeight="1">
      <c r="B4" s="301" t="s">
        <v>133</v>
      </c>
      <c r="C4" s="419">
        <v>46282</v>
      </c>
      <c r="J4" s="398" t="s">
        <v>153</v>
      </c>
      <c r="K4" s="398"/>
      <c r="L4" s="11"/>
      <c r="M4" s="555" t="s">
        <v>8</v>
      </c>
      <c r="N4" s="556"/>
      <c r="P4" s="12"/>
      <c r="R4" s="467" t="s">
        <v>9</v>
      </c>
      <c r="S4" s="468">
        <v>11.6</v>
      </c>
      <c r="T4" s="469">
        <v>12</v>
      </c>
      <c r="U4" s="9">
        <v>0</v>
      </c>
      <c r="V4" s="10">
        <v>0.118055555555556</v>
      </c>
      <c r="W4" s="10">
        <v>0.22569444444444445</v>
      </c>
      <c r="X4" s="10">
        <v>0.2638888888888889</v>
      </c>
      <c r="Y4" s="470">
        <v>0</v>
      </c>
      <c r="Z4" s="468">
        <v>60</v>
      </c>
      <c r="AA4" s="13"/>
      <c r="AB4" s="13"/>
      <c r="AC4" s="13"/>
    </row>
    <row r="5" spans="2:29" ht="12.75" customHeight="1" thickBot="1">
      <c r="B5" s="1"/>
      <c r="C5" s="549"/>
      <c r="D5" s="549"/>
      <c r="J5" s="403"/>
      <c r="K5" s="403"/>
      <c r="L5" s="11"/>
      <c r="M5" s="14" t="s">
        <v>10</v>
      </c>
      <c r="N5" s="14" t="s">
        <v>11</v>
      </c>
      <c r="P5" s="12"/>
      <c r="R5" s="467" t="s">
        <v>12</v>
      </c>
      <c r="S5" s="468">
        <v>17</v>
      </c>
      <c r="T5" s="469">
        <v>17.5</v>
      </c>
      <c r="U5" s="9">
        <v>0</v>
      </c>
      <c r="V5" s="10">
        <v>0.1076388888888889</v>
      </c>
      <c r="W5" s="10">
        <v>0.24652777777777779</v>
      </c>
      <c r="X5" s="10">
        <v>0.28472222222222221</v>
      </c>
      <c r="Y5" s="470">
        <v>0</v>
      </c>
      <c r="Z5" s="471">
        <v>60</v>
      </c>
      <c r="AA5" s="13"/>
      <c r="AB5" s="13"/>
      <c r="AC5" s="13"/>
    </row>
    <row r="6" spans="2:29" ht="14.25" customHeight="1">
      <c r="B6" s="15"/>
      <c r="C6" s="1"/>
      <c r="D6" s="1"/>
      <c r="J6" s="399" t="s">
        <v>168</v>
      </c>
      <c r="K6" s="400"/>
      <c r="L6" s="311" t="s">
        <v>14</v>
      </c>
      <c r="M6" s="340"/>
      <c r="N6" s="340"/>
      <c r="P6" s="16"/>
      <c r="R6" s="467" t="s">
        <v>15</v>
      </c>
      <c r="S6" s="468">
        <v>13.3</v>
      </c>
      <c r="T6" s="469">
        <v>13.5</v>
      </c>
      <c r="U6" s="9">
        <v>0</v>
      </c>
      <c r="V6" s="9">
        <v>0.12905092592592593</v>
      </c>
      <c r="W6" s="10">
        <v>0.27430555555555552</v>
      </c>
      <c r="X6" s="10">
        <v>0.30208333333333331</v>
      </c>
      <c r="Y6" s="470">
        <v>0</v>
      </c>
      <c r="Z6" s="471"/>
      <c r="AA6" s="13"/>
      <c r="AB6" s="13"/>
      <c r="AC6" s="13"/>
    </row>
    <row r="7" spans="2:29" ht="13.35" customHeight="1" thickBot="1">
      <c r="J7" s="401"/>
      <c r="K7" s="402"/>
      <c r="R7" s="467" t="s">
        <v>16</v>
      </c>
      <c r="S7" s="468">
        <v>17</v>
      </c>
      <c r="T7" s="469">
        <v>17.399999999999999</v>
      </c>
      <c r="U7" s="9">
        <v>0</v>
      </c>
      <c r="V7" s="9">
        <v>0.13605324074074074</v>
      </c>
      <c r="W7" s="10">
        <v>0.27430555555555552</v>
      </c>
      <c r="X7" s="10">
        <v>0.30902777777777779</v>
      </c>
      <c r="Y7" s="470">
        <v>0</v>
      </c>
      <c r="Z7" s="471">
        <v>85</v>
      </c>
      <c r="AA7" s="13"/>
      <c r="AB7" s="13"/>
      <c r="AC7" s="13"/>
    </row>
    <row r="8" spans="2:29" ht="25.5" customHeight="1">
      <c r="B8" s="507" t="s">
        <v>17</v>
      </c>
      <c r="C8" s="516" t="s">
        <v>18</v>
      </c>
      <c r="D8" s="516" t="s">
        <v>19</v>
      </c>
      <c r="E8" s="356" t="s">
        <v>20</v>
      </c>
      <c r="F8" s="356" t="s">
        <v>21</v>
      </c>
      <c r="G8" s="516" t="s">
        <v>22</v>
      </c>
      <c r="H8" s="551" t="s">
        <v>144</v>
      </c>
      <c r="I8" s="516" t="s">
        <v>167</v>
      </c>
      <c r="J8" s="542" t="s">
        <v>23</v>
      </c>
      <c r="K8" s="544" t="s">
        <v>142</v>
      </c>
      <c r="L8" s="546" t="s">
        <v>24</v>
      </c>
      <c r="M8" s="359" t="s">
        <v>25</v>
      </c>
      <c r="N8" s="17" t="s">
        <v>166</v>
      </c>
      <c r="O8" s="516" t="s">
        <v>155</v>
      </c>
      <c r="P8" s="548"/>
      <c r="R8" s="467" t="s">
        <v>125</v>
      </c>
      <c r="S8" s="468">
        <v>16.600000000000001</v>
      </c>
      <c r="T8" s="469">
        <v>17</v>
      </c>
      <c r="U8" s="9">
        <v>0</v>
      </c>
      <c r="V8" s="9">
        <v>0.12905092592592593</v>
      </c>
      <c r="W8" s="10">
        <v>0.27430555555555552</v>
      </c>
      <c r="X8" s="10">
        <v>0.30208333333333331</v>
      </c>
      <c r="Y8" s="470">
        <v>0</v>
      </c>
      <c r="Z8" s="471"/>
    </row>
    <row r="9" spans="2:29" ht="36" customHeight="1">
      <c r="B9" s="550"/>
      <c r="C9" s="541"/>
      <c r="D9" s="541"/>
      <c r="E9" s="357" t="s">
        <v>30</v>
      </c>
      <c r="F9" s="357" t="s">
        <v>31</v>
      </c>
      <c r="G9" s="541"/>
      <c r="H9" s="552"/>
      <c r="I9" s="541"/>
      <c r="J9" s="543"/>
      <c r="K9" s="545"/>
      <c r="L9" s="547"/>
      <c r="M9" s="20" t="s">
        <v>32</v>
      </c>
      <c r="N9" s="21" t="s">
        <v>41</v>
      </c>
      <c r="O9" s="541"/>
      <c r="P9" s="541"/>
      <c r="R9" s="467" t="s">
        <v>33</v>
      </c>
      <c r="S9" s="468">
        <v>14.2</v>
      </c>
      <c r="T9" s="469">
        <v>14.6</v>
      </c>
      <c r="U9" s="9">
        <v>0</v>
      </c>
      <c r="V9" s="9">
        <v>0.13905092592592591</v>
      </c>
      <c r="W9" s="10">
        <v>0.26041666666666669</v>
      </c>
      <c r="X9" s="10">
        <v>0.2951388888888889</v>
      </c>
      <c r="Y9" s="470">
        <v>0</v>
      </c>
      <c r="Z9" s="471">
        <v>75</v>
      </c>
    </row>
    <row r="10" spans="2:29" ht="15" customHeight="1">
      <c r="B10" s="29" t="s">
        <v>6</v>
      </c>
      <c r="C10" s="366" t="str">
        <f>[4]Brewhouse!$A762</f>
        <v>CA713</v>
      </c>
      <c r="D10" s="279">
        <f>[4]Brewhouse!$AF762</f>
        <v>49.3</v>
      </c>
      <c r="E10" s="279">
        <f>[4]Brewhouse!$AI762</f>
        <v>49.9</v>
      </c>
      <c r="F10" s="278">
        <f>[4]Brewhouse!$V762</f>
        <v>55</v>
      </c>
      <c r="G10" s="279">
        <f>[4]Brewhouse!AG762</f>
        <v>11.9</v>
      </c>
      <c r="H10" s="493">
        <v>12.2</v>
      </c>
      <c r="I10" s="368">
        <f>[4]Brewhouse!$AU762</f>
        <v>98.85722005187705</v>
      </c>
      <c r="J10" s="368">
        <f>[4]Brewhouse!$AV762</f>
        <v>99.623385102289589</v>
      </c>
      <c r="K10" s="281">
        <f>[4]Brewhouse!$Q762</f>
        <v>11.518518518518517</v>
      </c>
      <c r="L10" s="276">
        <f>[4]Brewhouse!$P762</f>
        <v>61</v>
      </c>
      <c r="M10" s="374">
        <f>[4]Brewhouse!$U762-[4]Brewhouse!$T762</f>
        <v>0.11041666666666666</v>
      </c>
      <c r="N10" s="370">
        <f>[4]Brewhouse!$Z762</f>
        <v>0.25416666666666665</v>
      </c>
      <c r="O10" s="420" t="str">
        <f>[4]Brewhouse!$AX762</f>
        <v>K. Benjamin</v>
      </c>
      <c r="P10" s="418"/>
      <c r="R10" s="277" t="str">
        <f t="shared" ref="R10:R19" si="0">B10</f>
        <v>CARIB</v>
      </c>
      <c r="S10" s="472">
        <f t="shared" ref="S10:S19" si="1">VLOOKUP($B10,$R$3:$X$9,2,FALSE)</f>
        <v>11.6</v>
      </c>
      <c r="T10" s="472">
        <f t="shared" ref="T10:T19" si="2">VLOOKUP($B10,$R$3:$X$9,3,FALSE)</f>
        <v>12</v>
      </c>
      <c r="U10" s="297">
        <f t="shared" ref="U10:U19" si="3">VLOOKUP($B10,$R$3:$X$9,4,FALSE)</f>
        <v>0</v>
      </c>
      <c r="V10" s="297">
        <f t="shared" ref="V10:V19" si="4">VLOOKUP($B10,$R$3:$X$9,5,FALSE)</f>
        <v>0.118055555555556</v>
      </c>
      <c r="W10" s="297">
        <f t="shared" ref="W10:W19" si="5">VLOOKUP($B10,$R$3:$X$9,6,FALSE)</f>
        <v>0.22569444444444445</v>
      </c>
      <c r="X10" s="297">
        <f t="shared" ref="X10:X19" si="6">VLOOKUP($B10,$R$3:$X$9,7,FALSE)</f>
        <v>0.2638888888888889</v>
      </c>
      <c r="Y10" s="297">
        <f t="shared" ref="Y10:Y19" si="7">VLOOKUP($B10,$R$3:$Z$9,8,FALSE)</f>
        <v>0</v>
      </c>
      <c r="Z10" s="472">
        <f t="shared" ref="Z10:Z19" si="8">VLOOKUP($B10,$R$3:$Z$9,9,FALSE)</f>
        <v>60</v>
      </c>
    </row>
    <row r="11" spans="2:29" ht="15" customHeight="1">
      <c r="B11" s="29" t="s">
        <v>6</v>
      </c>
      <c r="C11" s="366" t="str">
        <f>[4]Brewhouse!$A763</f>
        <v>CA714</v>
      </c>
      <c r="D11" s="279">
        <f>[4]Brewhouse!$AF763</f>
        <v>50</v>
      </c>
      <c r="E11" s="279">
        <f>[4]Brewhouse!$AI763</f>
        <v>50.7</v>
      </c>
      <c r="F11" s="278">
        <f>[4]Brewhouse!$V763</f>
        <v>56</v>
      </c>
      <c r="G11" s="279">
        <f>[4]Brewhouse!AG763</f>
        <v>11.8</v>
      </c>
      <c r="H11" s="396">
        <v>11.9</v>
      </c>
      <c r="I11" s="368">
        <f>[4]Brewhouse!$AU763</f>
        <v>97.25721435799521</v>
      </c>
      <c r="J11" s="368">
        <f>[4]Brewhouse!$AV763</f>
        <v>98.01190416376528</v>
      </c>
      <c r="K11" s="281">
        <f>[4]Brewhouse!$Q763</f>
        <v>8.5931558935361281</v>
      </c>
      <c r="L11" s="276">
        <f>[4]Brewhouse!$P763</f>
        <v>62</v>
      </c>
      <c r="M11" s="374">
        <f>[4]Brewhouse!$U763-[4]Brewhouse!$T763</f>
        <v>0.11041666666666666</v>
      </c>
      <c r="N11" s="370">
        <f>[4]Brewhouse!$Z763</f>
        <v>0.24861111111111112</v>
      </c>
      <c r="O11" s="420" t="str">
        <f>[4]Brewhouse!$AX763</f>
        <v>K. Benjamin</v>
      </c>
      <c r="P11" s="418"/>
      <c r="R11" s="277" t="str">
        <f t="shared" si="0"/>
        <v>CARIB</v>
      </c>
      <c r="S11" s="472">
        <f t="shared" si="1"/>
        <v>11.6</v>
      </c>
      <c r="T11" s="472">
        <f t="shared" si="2"/>
        <v>12</v>
      </c>
      <c r="U11" s="297">
        <f t="shared" si="3"/>
        <v>0</v>
      </c>
      <c r="V11" s="297">
        <f t="shared" si="4"/>
        <v>0.118055555555556</v>
      </c>
      <c r="W11" s="297">
        <f t="shared" si="5"/>
        <v>0.22569444444444445</v>
      </c>
      <c r="X11" s="297">
        <f t="shared" si="6"/>
        <v>0.2638888888888889</v>
      </c>
      <c r="Y11" s="297">
        <f t="shared" si="7"/>
        <v>0</v>
      </c>
      <c r="Z11" s="472">
        <f t="shared" si="8"/>
        <v>60</v>
      </c>
    </row>
    <row r="12" spans="2:29" ht="15" customHeight="1">
      <c r="B12" s="29"/>
      <c r="C12" s="366"/>
      <c r="D12" s="279"/>
      <c r="E12" s="279"/>
      <c r="F12" s="278"/>
      <c r="G12" s="279"/>
      <c r="H12" s="396"/>
      <c r="I12" s="368"/>
      <c r="J12" s="368"/>
      <c r="K12" s="281"/>
      <c r="L12" s="276"/>
      <c r="M12" s="374"/>
      <c r="N12" s="370"/>
      <c r="O12" s="420"/>
      <c r="P12" s="418"/>
      <c r="R12" s="277"/>
      <c r="S12" s="472"/>
      <c r="T12" s="472"/>
      <c r="U12" s="297"/>
      <c r="V12" s="297"/>
      <c r="W12" s="297"/>
      <c r="X12" s="297"/>
      <c r="Y12" s="297"/>
      <c r="Z12" s="472"/>
    </row>
    <row r="13" spans="2:29" ht="15" customHeight="1">
      <c r="B13" s="34" t="s">
        <v>12</v>
      </c>
      <c r="C13" s="366" t="str">
        <f>[6]Brewhouse!$A99</f>
        <v>GU077</v>
      </c>
      <c r="D13" s="279">
        <f>[6]Brewhouse!$AF99</f>
        <v>52.4</v>
      </c>
      <c r="E13" s="279">
        <f>[6]Brewhouse!$AI99</f>
        <v>50.6</v>
      </c>
      <c r="F13" s="278">
        <f>[6]Brewhouse!$V99</f>
        <v>59</v>
      </c>
      <c r="G13" s="279">
        <f>[6]Brewhouse!$AG99</f>
        <v>17.3</v>
      </c>
      <c r="H13" s="396">
        <v>17.3</v>
      </c>
      <c r="I13" s="489">
        <f>[6]Brewhouse!$AU99</f>
        <v>95.02973839984999</v>
      </c>
      <c r="J13" s="489">
        <f>[6]Brewhouse!$AV99</f>
        <v>95.666836995401127</v>
      </c>
      <c r="K13" s="490">
        <f>[6]Brewhouse!$R99</f>
        <v>8.5204991087344037</v>
      </c>
      <c r="L13" s="276">
        <f>[6]Brewhouse!$O99</f>
        <v>58</v>
      </c>
      <c r="M13" s="374">
        <f>[6]Brewhouse!$U99-[6]Brewhouse!$T99</f>
        <v>0.1243055555555555</v>
      </c>
      <c r="N13" s="370">
        <f>[6]Brewhouse!$Z99</f>
        <v>0.28611111111111109</v>
      </c>
      <c r="O13" s="420" t="str">
        <f>[6]Brewhouse!$AW99</f>
        <v>K. Benjamin</v>
      </c>
      <c r="P13" s="418"/>
      <c r="R13" s="277" t="str">
        <f t="shared" si="0"/>
        <v>GUINNESS</v>
      </c>
      <c r="S13" s="472">
        <f t="shared" si="1"/>
        <v>17</v>
      </c>
      <c r="T13" s="472">
        <f t="shared" si="2"/>
        <v>17.5</v>
      </c>
      <c r="U13" s="297">
        <f t="shared" si="3"/>
        <v>0</v>
      </c>
      <c r="V13" s="297">
        <f t="shared" si="4"/>
        <v>0.1076388888888889</v>
      </c>
      <c r="W13" s="297">
        <f t="shared" si="5"/>
        <v>0.24652777777777779</v>
      </c>
      <c r="X13" s="297">
        <f t="shared" si="6"/>
        <v>0.28472222222222221</v>
      </c>
      <c r="Y13" s="297">
        <f t="shared" si="7"/>
        <v>0</v>
      </c>
      <c r="Z13" s="472">
        <f t="shared" si="8"/>
        <v>60</v>
      </c>
    </row>
    <row r="14" spans="2:29" ht="15" customHeight="1">
      <c r="B14" s="34" t="s">
        <v>12</v>
      </c>
      <c r="C14" s="366" t="str">
        <f>[6]Brewhouse!$A100</f>
        <v>GU078</v>
      </c>
      <c r="D14" s="279">
        <f>[6]Brewhouse!$AF100</f>
        <v>51.8</v>
      </c>
      <c r="E14" s="279">
        <f>[6]Brewhouse!$AI100</f>
        <v>50.5</v>
      </c>
      <c r="F14" s="278">
        <f>[6]Brewhouse!$V100</f>
        <v>69</v>
      </c>
      <c r="G14" s="279">
        <f>[6]Brewhouse!$AG100</f>
        <v>17.5</v>
      </c>
      <c r="H14" s="396">
        <v>17.5</v>
      </c>
      <c r="I14" s="489">
        <f>[6]Brewhouse!$AU100</f>
        <v>96.659796680203456</v>
      </c>
      <c r="J14" s="489">
        <f>[6]Brewhouse!$AV100</f>
        <v>97.306811456215726</v>
      </c>
      <c r="K14" s="490">
        <f>[6]Brewhouse!$R100</f>
        <v>9.5900178253119464</v>
      </c>
      <c r="L14" s="276">
        <f>[6]Brewhouse!$O100</f>
        <v>59</v>
      </c>
      <c r="M14" s="374">
        <f>[6]Brewhouse!$U100-[6]Brewhouse!$T100</f>
        <v>0.12222222222222223</v>
      </c>
      <c r="N14" s="370">
        <f>[6]Brewhouse!$Z100</f>
        <v>0.28124999999999994</v>
      </c>
      <c r="O14" s="420" t="str">
        <f>[6]Brewhouse!$AW100</f>
        <v>R. Regis</v>
      </c>
      <c r="P14" s="418"/>
      <c r="R14" s="277" t="str">
        <f t="shared" si="0"/>
        <v>GUINNESS</v>
      </c>
      <c r="S14" s="472">
        <f t="shared" si="1"/>
        <v>17</v>
      </c>
      <c r="T14" s="472">
        <f t="shared" si="2"/>
        <v>17.5</v>
      </c>
      <c r="U14" s="297">
        <f t="shared" si="3"/>
        <v>0</v>
      </c>
      <c r="V14" s="297">
        <f t="shared" si="4"/>
        <v>0.1076388888888889</v>
      </c>
      <c r="W14" s="297">
        <f t="shared" si="5"/>
        <v>0.24652777777777779</v>
      </c>
      <c r="X14" s="297">
        <f t="shared" si="6"/>
        <v>0.28472222222222221</v>
      </c>
      <c r="Y14" s="297">
        <f t="shared" si="7"/>
        <v>0</v>
      </c>
      <c r="Z14" s="472">
        <f t="shared" si="8"/>
        <v>60</v>
      </c>
    </row>
    <row r="15" spans="2:29" ht="15" customHeight="1">
      <c r="B15" s="34" t="s">
        <v>12</v>
      </c>
      <c r="C15" s="366" t="str">
        <f>[6]Brewhouse!$A101</f>
        <v>GU079</v>
      </c>
      <c r="D15" s="279">
        <f>[6]Brewhouse!$AF101</f>
        <v>53</v>
      </c>
      <c r="E15" s="279">
        <f>[6]Brewhouse!$AI101</f>
        <v>51.8</v>
      </c>
      <c r="F15" s="278">
        <f>[6]Brewhouse!$V101</f>
        <v>67</v>
      </c>
      <c r="G15" s="279">
        <f>[6]Brewhouse!$AG101</f>
        <v>17</v>
      </c>
      <c r="H15" s="396">
        <v>17.2</v>
      </c>
      <c r="I15" s="489">
        <f>[6]Brewhouse!$AU101</f>
        <v>95.899301321002682</v>
      </c>
      <c r="J15" s="489">
        <f>[6]Brewhouse!$AV101</f>
        <v>96.541561842172811</v>
      </c>
      <c r="K15" s="490">
        <f>[6]Brewhouse!$R101</f>
        <v>8.892857142857137</v>
      </c>
      <c r="L15" s="276">
        <f>[6]Brewhouse!$O101</f>
        <v>61</v>
      </c>
      <c r="M15" s="374">
        <f>[6]Brewhouse!$U101-[6]Brewhouse!$T101</f>
        <v>0.12083333333333335</v>
      </c>
      <c r="N15" s="370">
        <f>[6]Brewhouse!$Z101</f>
        <v>0.28402777777777777</v>
      </c>
      <c r="O15" s="420" t="str">
        <f>[6]Brewhouse!$AW101</f>
        <v>R. Regis</v>
      </c>
      <c r="P15" s="418"/>
      <c r="R15" s="277" t="str">
        <f t="shared" si="0"/>
        <v>GUINNESS</v>
      </c>
      <c r="S15" s="472">
        <f t="shared" si="1"/>
        <v>17</v>
      </c>
      <c r="T15" s="472">
        <f t="shared" si="2"/>
        <v>17.5</v>
      </c>
      <c r="U15" s="297">
        <f t="shared" si="3"/>
        <v>0</v>
      </c>
      <c r="V15" s="297">
        <f t="shared" si="4"/>
        <v>0.1076388888888889</v>
      </c>
      <c r="W15" s="297">
        <f t="shared" si="5"/>
        <v>0.24652777777777779</v>
      </c>
      <c r="X15" s="297">
        <f t="shared" si="6"/>
        <v>0.28472222222222221</v>
      </c>
      <c r="Y15" s="297">
        <f t="shared" si="7"/>
        <v>0</v>
      </c>
      <c r="Z15" s="472">
        <f t="shared" si="8"/>
        <v>60</v>
      </c>
    </row>
    <row r="16" spans="2:29" ht="15" customHeight="1">
      <c r="B16" s="34" t="s">
        <v>12</v>
      </c>
      <c r="C16" s="366" t="str">
        <f>[6]Brewhouse!$A102</f>
        <v>GU080</v>
      </c>
      <c r="D16" s="279">
        <f>[6]Brewhouse!$AF102</f>
        <v>53</v>
      </c>
      <c r="E16" s="279">
        <f>[6]Brewhouse!$AI102</f>
        <v>51.6</v>
      </c>
      <c r="F16" s="278">
        <f>[6]Brewhouse!$V102</f>
        <v>65</v>
      </c>
      <c r="G16" s="279">
        <f>[6]Brewhouse!$AG102</f>
        <v>17.2</v>
      </c>
      <c r="H16" s="396">
        <v>17.2</v>
      </c>
      <c r="I16" s="489">
        <f>[6]Brewhouse!$AU102</f>
        <v>96.739594506578101</v>
      </c>
      <c r="J16" s="489">
        <f>[6]Brewhouse!$AV102</f>
        <v>97.387482671869392</v>
      </c>
      <c r="K16" s="490">
        <f>[6]Brewhouse!$R102</f>
        <v>7.4509803921568629</v>
      </c>
      <c r="L16" s="276">
        <f>[6]Brewhouse!$O102</f>
        <v>60</v>
      </c>
      <c r="M16" s="374">
        <f>[6]Brewhouse!$U102-[6]Brewhouse!$T102</f>
        <v>0.11736111111111103</v>
      </c>
      <c r="N16" s="370">
        <f>[6]Brewhouse!$Z102</f>
        <v>0.27499999999999991</v>
      </c>
      <c r="O16" s="420" t="str">
        <f>[6]Brewhouse!$AW102</f>
        <v>D. Gomaz</v>
      </c>
      <c r="P16" s="418"/>
      <c r="R16" s="277" t="str">
        <f t="shared" si="0"/>
        <v>GUINNESS</v>
      </c>
      <c r="S16" s="472">
        <f t="shared" si="1"/>
        <v>17</v>
      </c>
      <c r="T16" s="472">
        <f t="shared" si="2"/>
        <v>17.5</v>
      </c>
      <c r="U16" s="297">
        <f t="shared" si="3"/>
        <v>0</v>
      </c>
      <c r="V16" s="297">
        <f t="shared" si="4"/>
        <v>0.1076388888888889</v>
      </c>
      <c r="W16" s="297">
        <f t="shared" si="5"/>
        <v>0.24652777777777779</v>
      </c>
      <c r="X16" s="297">
        <f t="shared" si="6"/>
        <v>0.28472222222222221</v>
      </c>
      <c r="Y16" s="297">
        <f t="shared" si="7"/>
        <v>0</v>
      </c>
      <c r="Z16" s="472">
        <f t="shared" si="8"/>
        <v>60</v>
      </c>
    </row>
    <row r="17" spans="1:26" ht="15" customHeight="1">
      <c r="B17" s="34" t="s">
        <v>12</v>
      </c>
      <c r="C17" s="366" t="str">
        <f>[6]Brewhouse!$A103</f>
        <v>GU081</v>
      </c>
      <c r="D17" s="279">
        <f>[6]Brewhouse!$AF103</f>
        <v>51.9</v>
      </c>
      <c r="E17" s="279">
        <f>[6]Brewhouse!$AI103</f>
        <v>49.4</v>
      </c>
      <c r="F17" s="278">
        <f>[6]Brewhouse!$V103</f>
        <v>59</v>
      </c>
      <c r="G17" s="279">
        <f>[6]Brewhouse!$AG103</f>
        <v>17.3</v>
      </c>
      <c r="H17" s="396">
        <v>17.399999999999999</v>
      </c>
      <c r="I17" s="489">
        <f>[6]Brewhouse!$AU103</f>
        <v>93.592658671733744</v>
      </c>
      <c r="J17" s="489">
        <f>[6]Brewhouse!$AV103</f>
        <v>94.218923168122899</v>
      </c>
      <c r="K17" s="490">
        <f>[6]Brewhouse!$R103</f>
        <v>9.411764705882355</v>
      </c>
      <c r="L17" s="276">
        <f>[6]Brewhouse!$O103</f>
        <v>59</v>
      </c>
      <c r="M17" s="374">
        <f>[6]Brewhouse!$U103-[6]Brewhouse!$T103</f>
        <v>0.13402777777777775</v>
      </c>
      <c r="N17" s="370">
        <f>[6]Brewhouse!$Z103</f>
        <v>0.29374999999999996</v>
      </c>
      <c r="O17" s="420" t="str">
        <f>[6]Brewhouse!$AW103</f>
        <v>D. Gomaz</v>
      </c>
      <c r="P17" s="418"/>
      <c r="R17" s="277" t="str">
        <f t="shared" si="0"/>
        <v>GUINNESS</v>
      </c>
      <c r="S17" s="472">
        <f t="shared" si="1"/>
        <v>17</v>
      </c>
      <c r="T17" s="472">
        <f t="shared" si="2"/>
        <v>17.5</v>
      </c>
      <c r="U17" s="297">
        <f t="shared" si="3"/>
        <v>0</v>
      </c>
      <c r="V17" s="297">
        <f t="shared" si="4"/>
        <v>0.1076388888888889</v>
      </c>
      <c r="W17" s="297">
        <f t="shared" si="5"/>
        <v>0.24652777777777779</v>
      </c>
      <c r="X17" s="297">
        <f t="shared" si="6"/>
        <v>0.28472222222222221</v>
      </c>
      <c r="Y17" s="297">
        <f t="shared" si="7"/>
        <v>0</v>
      </c>
      <c r="Z17" s="472">
        <f t="shared" si="8"/>
        <v>60</v>
      </c>
    </row>
    <row r="18" spans="1:26" ht="15" customHeight="1">
      <c r="B18" s="34" t="s">
        <v>12</v>
      </c>
      <c r="C18" s="366" t="str">
        <f>[6]Brewhouse!$A104</f>
        <v>GU082</v>
      </c>
      <c r="D18" s="279">
        <f>[6]Brewhouse!$AF104</f>
        <v>54.6</v>
      </c>
      <c r="E18" s="279">
        <f>[6]Brewhouse!$AI104</f>
        <v>52.9</v>
      </c>
      <c r="F18" s="278">
        <f>[6]Brewhouse!$V104</f>
        <v>60</v>
      </c>
      <c r="G18" s="279">
        <f>[6]Brewhouse!$AG104</f>
        <v>17.2</v>
      </c>
      <c r="H18" s="396">
        <v>17.5</v>
      </c>
      <c r="I18" s="489">
        <f>[6]Brewhouse!$AU104</f>
        <v>99.414523178212718</v>
      </c>
      <c r="J18" s="489">
        <f>[6]Brewhouse!$AV104</f>
        <v>100.07997735518899</v>
      </c>
      <c r="K18" s="490">
        <f>[6]Brewhouse!$R104</f>
        <v>4.4285714285714226</v>
      </c>
      <c r="L18" s="276">
        <f>[6]Brewhouse!$O104</f>
        <v>60</v>
      </c>
      <c r="M18" s="374">
        <f>[6]Brewhouse!$U104-[6]Brewhouse!$T104</f>
        <v>0.13333333333333353</v>
      </c>
      <c r="N18" s="370">
        <f>[6]Brewhouse!$Z104</f>
        <v>0.28958333333333341</v>
      </c>
      <c r="O18" s="420" t="str">
        <f>[6]Brewhouse!$AW104</f>
        <v>K. Benjamin</v>
      </c>
      <c r="P18" s="418"/>
      <c r="R18" s="277" t="str">
        <f t="shared" si="0"/>
        <v>GUINNESS</v>
      </c>
      <c r="S18" s="472">
        <f t="shared" si="1"/>
        <v>17</v>
      </c>
      <c r="T18" s="472">
        <f t="shared" si="2"/>
        <v>17.5</v>
      </c>
      <c r="U18" s="297">
        <f t="shared" si="3"/>
        <v>0</v>
      </c>
      <c r="V18" s="297">
        <f t="shared" si="4"/>
        <v>0.1076388888888889</v>
      </c>
      <c r="W18" s="297">
        <f t="shared" si="5"/>
        <v>0.24652777777777779</v>
      </c>
      <c r="X18" s="297">
        <f t="shared" si="6"/>
        <v>0.28472222222222221</v>
      </c>
      <c r="Y18" s="297">
        <f t="shared" si="7"/>
        <v>0</v>
      </c>
      <c r="Z18" s="472">
        <f t="shared" si="8"/>
        <v>60</v>
      </c>
    </row>
    <row r="19" spans="1:26" ht="15" customHeight="1">
      <c r="B19" s="34" t="s">
        <v>12</v>
      </c>
      <c r="C19" s="366" t="str">
        <f>[6]Brewhouse!$A105</f>
        <v>GU083</v>
      </c>
      <c r="D19" s="279">
        <f>[6]Brewhouse!$AF105</f>
        <v>54.4</v>
      </c>
      <c r="E19" s="279">
        <f>[6]Brewhouse!$AI105</f>
        <v>52.1</v>
      </c>
      <c r="F19" s="278">
        <f>[6]Brewhouse!$V105</f>
        <v>64</v>
      </c>
      <c r="G19" s="279">
        <f>[6]Brewhouse!$AG105</f>
        <v>17.2</v>
      </c>
      <c r="H19" s="396">
        <v>17.399999999999999</v>
      </c>
      <c r="I19" s="489">
        <f>[6]Brewhouse!$AU105</f>
        <v>97.989371573302947</v>
      </c>
      <c r="J19" s="489">
        <f>[6]Brewhouse!$AV105</f>
        <v>98.645171259335569</v>
      </c>
      <c r="K19" s="490">
        <f>[6]Brewhouse!$R105</f>
        <v>4.7857142857142856</v>
      </c>
      <c r="L19" s="276">
        <f>[6]Brewhouse!$O105</f>
        <v>60</v>
      </c>
      <c r="M19" s="374">
        <f>[6]Brewhouse!$U105-[6]Brewhouse!$T105</f>
        <v>0.13749999999999996</v>
      </c>
      <c r="N19" s="370">
        <f>[6]Brewhouse!$Z105</f>
        <v>0.28541666666666665</v>
      </c>
      <c r="O19" s="420" t="str">
        <f>[6]Brewhouse!$AW105</f>
        <v>K. Benjamin</v>
      </c>
      <c r="P19" s="418"/>
      <c r="R19" s="277" t="str">
        <f t="shared" si="0"/>
        <v>GUINNESS</v>
      </c>
      <c r="S19" s="472">
        <f t="shared" si="1"/>
        <v>17</v>
      </c>
      <c r="T19" s="472">
        <f t="shared" si="2"/>
        <v>17.5</v>
      </c>
      <c r="U19" s="297">
        <f t="shared" si="3"/>
        <v>0</v>
      </c>
      <c r="V19" s="297">
        <f t="shared" si="4"/>
        <v>0.1076388888888889</v>
      </c>
      <c r="W19" s="297">
        <f t="shared" si="5"/>
        <v>0.24652777777777779</v>
      </c>
      <c r="X19" s="297">
        <f t="shared" si="6"/>
        <v>0.28472222222222221</v>
      </c>
      <c r="Y19" s="297">
        <f t="shared" si="7"/>
        <v>0</v>
      </c>
      <c r="Z19" s="472">
        <f t="shared" si="8"/>
        <v>60</v>
      </c>
    </row>
    <row r="20" spans="1:26" ht="15" customHeight="1">
      <c r="B20" s="29"/>
      <c r="C20" s="366"/>
      <c r="D20" s="279"/>
      <c r="E20" s="279"/>
      <c r="F20" s="278"/>
      <c r="G20" s="279"/>
      <c r="H20" s="396"/>
      <c r="I20" s="368"/>
      <c r="J20" s="368"/>
      <c r="K20" s="281"/>
      <c r="L20" s="276"/>
      <c r="M20" s="374"/>
      <c r="N20" s="370"/>
      <c r="O20" s="420"/>
      <c r="P20" s="418"/>
      <c r="R20" s="277">
        <f t="shared" ref="R20:R39" si="9">B20</f>
        <v>0</v>
      </c>
      <c r="S20" s="472" t="e">
        <f t="shared" ref="S20:S39" si="10">VLOOKUP($B20,$R$3:$X$9,2,FALSE)</f>
        <v>#N/A</v>
      </c>
      <c r="T20" s="472" t="e">
        <f t="shared" ref="T20:T39" si="11">VLOOKUP($B20,$R$3:$X$9,3,FALSE)</f>
        <v>#N/A</v>
      </c>
      <c r="U20" s="297" t="e">
        <f t="shared" ref="U20:U39" si="12">VLOOKUP($B20,$R$3:$X$9,4,FALSE)</f>
        <v>#N/A</v>
      </c>
      <c r="V20" s="297" t="e">
        <f t="shared" ref="V20:V39" si="13">VLOOKUP($B20,$R$3:$X$9,5,FALSE)</f>
        <v>#N/A</v>
      </c>
      <c r="W20" s="297" t="e">
        <f t="shared" ref="W20:W39" si="14">VLOOKUP($B20,$R$3:$X$9,6,FALSE)</f>
        <v>#N/A</v>
      </c>
      <c r="X20" s="297" t="e">
        <f t="shared" ref="X20:X39" si="15">VLOOKUP($B20,$R$3:$X$9,7,FALSE)</f>
        <v>#N/A</v>
      </c>
      <c r="Y20" s="297" t="e">
        <f t="shared" ref="Y20:Y39" si="16">VLOOKUP($B20,$R$3:$Z$9,8,FALSE)</f>
        <v>#N/A</v>
      </c>
      <c r="Z20" s="472" t="e">
        <f t="shared" ref="Z20:Z39" si="17">VLOOKUP($B20,$R$3:$Z$9,9,FALSE)</f>
        <v>#N/A</v>
      </c>
    </row>
    <row r="21" spans="1:26" ht="15" customHeight="1">
      <c r="B21" s="29"/>
      <c r="C21" s="366"/>
      <c r="D21" s="279"/>
      <c r="E21" s="279"/>
      <c r="F21" s="278"/>
      <c r="G21" s="279"/>
      <c r="H21" s="396"/>
      <c r="I21" s="368"/>
      <c r="J21" s="368"/>
      <c r="K21" s="281"/>
      <c r="L21" s="276"/>
      <c r="M21" s="374"/>
      <c r="N21" s="370"/>
      <c r="O21" s="420"/>
      <c r="P21" s="418"/>
      <c r="R21" s="277">
        <f t="shared" si="9"/>
        <v>0</v>
      </c>
      <c r="S21" s="472" t="e">
        <f t="shared" si="10"/>
        <v>#N/A</v>
      </c>
      <c r="T21" s="472" t="e">
        <f t="shared" si="11"/>
        <v>#N/A</v>
      </c>
      <c r="U21" s="297" t="e">
        <f t="shared" si="12"/>
        <v>#N/A</v>
      </c>
      <c r="V21" s="297" t="e">
        <f t="shared" si="13"/>
        <v>#N/A</v>
      </c>
      <c r="W21" s="297" t="e">
        <f t="shared" si="14"/>
        <v>#N/A</v>
      </c>
      <c r="X21" s="297" t="e">
        <f t="shared" si="15"/>
        <v>#N/A</v>
      </c>
      <c r="Y21" s="297" t="e">
        <f t="shared" si="16"/>
        <v>#N/A</v>
      </c>
      <c r="Z21" s="472" t="e">
        <f t="shared" si="17"/>
        <v>#N/A</v>
      </c>
    </row>
    <row r="22" spans="1:26" ht="15" customHeight="1">
      <c r="B22" s="29"/>
      <c r="C22" s="366"/>
      <c r="D22" s="279"/>
      <c r="E22" s="279"/>
      <c r="F22" s="278"/>
      <c r="G22" s="279"/>
      <c r="H22" s="396"/>
      <c r="I22" s="368"/>
      <c r="J22" s="368"/>
      <c r="K22" s="281"/>
      <c r="L22" s="276"/>
      <c r="M22" s="374"/>
      <c r="N22" s="370"/>
      <c r="O22" s="420"/>
      <c r="P22" s="418"/>
      <c r="R22" s="277">
        <f t="shared" si="9"/>
        <v>0</v>
      </c>
      <c r="S22" s="472" t="e">
        <f t="shared" si="10"/>
        <v>#N/A</v>
      </c>
      <c r="T22" s="472" t="e">
        <f t="shared" si="11"/>
        <v>#N/A</v>
      </c>
      <c r="U22" s="297" t="e">
        <f t="shared" si="12"/>
        <v>#N/A</v>
      </c>
      <c r="V22" s="297" t="e">
        <f t="shared" si="13"/>
        <v>#N/A</v>
      </c>
      <c r="W22" s="297" t="e">
        <f t="shared" si="14"/>
        <v>#N/A</v>
      </c>
      <c r="X22" s="297" t="e">
        <f t="shared" si="15"/>
        <v>#N/A</v>
      </c>
      <c r="Y22" s="297" t="e">
        <f t="shared" si="16"/>
        <v>#N/A</v>
      </c>
      <c r="Z22" s="472" t="e">
        <f t="shared" si="17"/>
        <v>#N/A</v>
      </c>
    </row>
    <row r="23" spans="1:26" ht="15" customHeight="1">
      <c r="B23" s="29"/>
      <c r="C23" s="366"/>
      <c r="D23" s="279"/>
      <c r="E23" s="279"/>
      <c r="F23" s="278"/>
      <c r="G23" s="279"/>
      <c r="H23" s="396"/>
      <c r="I23" s="368"/>
      <c r="J23" s="368"/>
      <c r="K23" s="281"/>
      <c r="L23" s="276"/>
      <c r="M23" s="374"/>
      <c r="N23" s="370"/>
      <c r="O23" s="420"/>
      <c r="P23" s="418"/>
      <c r="R23" s="277">
        <f t="shared" si="9"/>
        <v>0</v>
      </c>
      <c r="S23" s="472" t="e">
        <f t="shared" si="10"/>
        <v>#N/A</v>
      </c>
      <c r="T23" s="472" t="e">
        <f t="shared" si="11"/>
        <v>#N/A</v>
      </c>
      <c r="U23" s="297" t="e">
        <f t="shared" si="12"/>
        <v>#N/A</v>
      </c>
      <c r="V23" s="297" t="e">
        <f t="shared" si="13"/>
        <v>#N/A</v>
      </c>
      <c r="W23" s="297" t="e">
        <f t="shared" si="14"/>
        <v>#N/A</v>
      </c>
      <c r="X23" s="297" t="e">
        <f t="shared" si="15"/>
        <v>#N/A</v>
      </c>
      <c r="Y23" s="297" t="e">
        <f t="shared" si="16"/>
        <v>#N/A</v>
      </c>
      <c r="Z23" s="472" t="e">
        <f t="shared" si="17"/>
        <v>#N/A</v>
      </c>
    </row>
    <row r="24" spans="1:26" ht="15" customHeight="1">
      <c r="B24" s="29"/>
      <c r="C24" s="366"/>
      <c r="D24" s="279"/>
      <c r="E24" s="279"/>
      <c r="F24" s="278"/>
      <c r="G24" s="279"/>
      <c r="H24" s="396"/>
      <c r="I24" s="368"/>
      <c r="J24" s="368"/>
      <c r="K24" s="281"/>
      <c r="L24" s="276"/>
      <c r="M24" s="374"/>
      <c r="N24" s="370"/>
      <c r="O24" s="420"/>
      <c r="P24" s="418"/>
      <c r="R24" s="277">
        <f t="shared" si="9"/>
        <v>0</v>
      </c>
      <c r="S24" s="472" t="e">
        <f t="shared" si="10"/>
        <v>#N/A</v>
      </c>
      <c r="T24" s="472" t="e">
        <f t="shared" si="11"/>
        <v>#N/A</v>
      </c>
      <c r="U24" s="297" t="e">
        <f t="shared" si="12"/>
        <v>#N/A</v>
      </c>
      <c r="V24" s="297" t="e">
        <f t="shared" si="13"/>
        <v>#N/A</v>
      </c>
      <c r="W24" s="297" t="e">
        <f t="shared" si="14"/>
        <v>#N/A</v>
      </c>
      <c r="X24" s="297" t="e">
        <f t="shared" si="15"/>
        <v>#N/A</v>
      </c>
      <c r="Y24" s="297" t="e">
        <f t="shared" si="16"/>
        <v>#N/A</v>
      </c>
      <c r="Z24" s="472" t="e">
        <f t="shared" si="17"/>
        <v>#N/A</v>
      </c>
    </row>
    <row r="25" spans="1:26" ht="15" customHeight="1">
      <c r="B25" s="36"/>
      <c r="C25" s="366"/>
      <c r="D25" s="279"/>
      <c r="E25" s="279"/>
      <c r="F25" s="278"/>
      <c r="G25" s="279"/>
      <c r="H25" s="396"/>
      <c r="I25" s="489"/>
      <c r="J25" s="489"/>
      <c r="K25" s="490"/>
      <c r="L25" s="276"/>
      <c r="M25" s="374"/>
      <c r="N25" s="370"/>
      <c r="O25" s="420"/>
      <c r="P25" s="418"/>
      <c r="R25" s="277">
        <f t="shared" si="9"/>
        <v>0</v>
      </c>
      <c r="S25" s="472" t="e">
        <f t="shared" si="10"/>
        <v>#N/A</v>
      </c>
      <c r="T25" s="472" t="e">
        <f t="shared" si="11"/>
        <v>#N/A</v>
      </c>
      <c r="U25" s="297" t="e">
        <f t="shared" si="12"/>
        <v>#N/A</v>
      </c>
      <c r="V25" s="297" t="e">
        <f t="shared" si="13"/>
        <v>#N/A</v>
      </c>
      <c r="W25" s="297" t="e">
        <f t="shared" si="14"/>
        <v>#N/A</v>
      </c>
      <c r="X25" s="297" t="e">
        <f t="shared" si="15"/>
        <v>#N/A</v>
      </c>
      <c r="Y25" s="297" t="e">
        <f t="shared" si="16"/>
        <v>#N/A</v>
      </c>
      <c r="Z25" s="472" t="e">
        <f t="shared" si="17"/>
        <v>#N/A</v>
      </c>
    </row>
    <row r="26" spans="1:26" ht="17.25" customHeight="1" thickBot="1">
      <c r="B26" s="358"/>
      <c r="C26" s="358"/>
      <c r="D26" s="358"/>
      <c r="E26" s="358"/>
      <c r="F26" s="294"/>
      <c r="G26" s="294"/>
      <c r="H26" s="348"/>
      <c r="I26" s="535"/>
      <c r="J26" s="535"/>
      <c r="K26" s="535"/>
      <c r="L26" s="535"/>
      <c r="M26" s="535"/>
      <c r="N26" s="535"/>
      <c r="O26" s="1"/>
      <c r="P26" s="12"/>
      <c r="R26" s="277">
        <f t="shared" si="9"/>
        <v>0</v>
      </c>
      <c r="S26" s="472" t="e">
        <f t="shared" si="10"/>
        <v>#N/A</v>
      </c>
      <c r="T26" s="472" t="e">
        <f t="shared" si="11"/>
        <v>#N/A</v>
      </c>
      <c r="U26" s="297" t="e">
        <f t="shared" si="12"/>
        <v>#N/A</v>
      </c>
      <c r="V26" s="297" t="e">
        <f t="shared" si="13"/>
        <v>#N/A</v>
      </c>
      <c r="W26" s="297" t="e">
        <f t="shared" si="14"/>
        <v>#N/A</v>
      </c>
      <c r="X26" s="297" t="e">
        <f t="shared" si="15"/>
        <v>#N/A</v>
      </c>
      <c r="Y26" s="297" t="e">
        <f t="shared" si="16"/>
        <v>#N/A</v>
      </c>
      <c r="Z26" s="472" t="e">
        <f t="shared" si="17"/>
        <v>#N/A</v>
      </c>
    </row>
    <row r="27" spans="1:26" ht="17.25" customHeight="1" thickBot="1">
      <c r="B27" s="483" t="s">
        <v>162</v>
      </c>
      <c r="C27" s="388"/>
      <c r="D27" s="536" t="s">
        <v>35</v>
      </c>
      <c r="E27" s="537"/>
      <c r="F27" s="294"/>
      <c r="G27" s="294"/>
      <c r="H27" s="348"/>
      <c r="I27" s="24" t="s">
        <v>17</v>
      </c>
      <c r="J27" s="25"/>
      <c r="K27" s="26" t="s">
        <v>138</v>
      </c>
      <c r="L27" s="25" t="s">
        <v>37</v>
      </c>
      <c r="M27" s="25" t="s">
        <v>38</v>
      </c>
      <c r="N27" s="27" t="s">
        <v>39</v>
      </c>
      <c r="O27" s="294"/>
      <c r="P27" s="12"/>
      <c r="R27" s="277" t="str">
        <f t="shared" si="9"/>
        <v xml:space="preserve">BRAND </v>
      </c>
      <c r="S27" s="472" t="e">
        <f t="shared" si="10"/>
        <v>#N/A</v>
      </c>
      <c r="T27" s="472" t="e">
        <f t="shared" si="11"/>
        <v>#N/A</v>
      </c>
      <c r="U27" s="297" t="e">
        <f t="shared" si="12"/>
        <v>#N/A</v>
      </c>
      <c r="V27" s="297" t="e">
        <f t="shared" si="13"/>
        <v>#N/A</v>
      </c>
      <c r="W27" s="297" t="e">
        <f t="shared" si="14"/>
        <v>#N/A</v>
      </c>
      <c r="X27" s="297" t="e">
        <f t="shared" si="15"/>
        <v>#N/A</v>
      </c>
      <c r="Y27" s="297" t="e">
        <f t="shared" si="16"/>
        <v>#N/A</v>
      </c>
      <c r="Z27" s="472" t="e">
        <f t="shared" si="17"/>
        <v>#N/A</v>
      </c>
    </row>
    <row r="28" spans="1:26" ht="17.25" customHeight="1">
      <c r="A28" s="28"/>
      <c r="B28" s="538"/>
      <c r="C28" s="484"/>
      <c r="D28" s="523"/>
      <c r="E28" s="524"/>
      <c r="F28" s="294"/>
      <c r="G28" s="294"/>
      <c r="H28" s="348"/>
      <c r="I28" s="29" t="s">
        <v>6</v>
      </c>
      <c r="J28" s="323">
        <f>AVERAGE(I10:I11)</f>
        <v>98.057217204936137</v>
      </c>
      <c r="K28" s="284">
        <f>COUNTA([4]Brewhouse!$A$696:$A$763)</f>
        <v>68</v>
      </c>
      <c r="L28" s="305">
        <f>AVERAGE([4]Brewhouse!$AU$696:$AU$763)</f>
        <v>98.656376672198689</v>
      </c>
      <c r="M28" s="305">
        <f>AVERAGE([4]Brewhouse!$AU$42:$AU$123,[4]Brewhouse!$AU$125:$AU$188,[4]Brewhouse!$AU$198:$AU$290,[4]Brewhouse!$AU$292:$AU$370,[4]Brewhouse!$AU$372:$AU$439,[4]Brewhouse!$AU$441:$AU$497,[4]Brewhouse!$AU$499:$AU$519,[4]Brewhouse!$AU$521:$AU$593,[4]Brewhouse!$AU$595:$AU$694,[4]Brewhouse!$AU$696:$AU$763)</f>
        <v>98.320769975556459</v>
      </c>
      <c r="N28" s="30">
        <v>98</v>
      </c>
      <c r="O28" s="11"/>
      <c r="P28" s="31"/>
      <c r="R28" s="277">
        <f t="shared" si="9"/>
        <v>0</v>
      </c>
      <c r="S28" s="472" t="e">
        <f t="shared" si="10"/>
        <v>#N/A</v>
      </c>
      <c r="T28" s="472" t="e">
        <f t="shared" si="11"/>
        <v>#N/A</v>
      </c>
      <c r="U28" s="297" t="e">
        <f t="shared" si="12"/>
        <v>#N/A</v>
      </c>
      <c r="V28" s="297" t="e">
        <f t="shared" si="13"/>
        <v>#N/A</v>
      </c>
      <c r="W28" s="297" t="e">
        <f t="shared" si="14"/>
        <v>#N/A</v>
      </c>
      <c r="X28" s="297" t="e">
        <f t="shared" si="15"/>
        <v>#N/A</v>
      </c>
      <c r="Y28" s="297" t="e">
        <f t="shared" si="16"/>
        <v>#N/A</v>
      </c>
      <c r="Z28" s="472" t="e">
        <f t="shared" si="17"/>
        <v>#N/A</v>
      </c>
    </row>
    <row r="29" spans="1:26" ht="15" customHeight="1">
      <c r="A29" s="28"/>
      <c r="B29" s="539"/>
      <c r="C29" s="362"/>
      <c r="D29" s="525"/>
      <c r="E29" s="526"/>
      <c r="F29" s="294"/>
      <c r="G29" s="294"/>
      <c r="H29" s="348"/>
      <c r="I29" s="33" t="s">
        <v>9</v>
      </c>
      <c r="J29" s="323"/>
      <c r="K29" s="284">
        <f>COUNTA([5]Brewhouse!$A$363:$A$372)</f>
        <v>10</v>
      </c>
      <c r="L29" s="302">
        <f>AVERAGE([5]Brewhouse!$AS$363:$AS$372)</f>
        <v>100.50071873632695</v>
      </c>
      <c r="M29" s="302">
        <f>AVERAGE([5]Brewhouse!$AS$52:$AS$81,[5]Brewhouse!$AS$83:$AS$124,[5]Brewhouse!$AS$134:$AS$177,[5]Brewhouse!$AS$22:$AS$179,[5]Brewhouse!$AS$214:$AS$249,[5]Brewhouse!$AS$252:$AS$293,[5]Brewhouse!$AS$295:$AS$325,[5]Brewhouse!$AS$327:$AS$361,[5]Brewhouse!$AS$363:$AS$372)</f>
        <v>98.29248495310074</v>
      </c>
      <c r="N29" s="30">
        <v>98</v>
      </c>
      <c r="O29" s="11"/>
      <c r="P29" s="31"/>
      <c r="R29" s="277">
        <f t="shared" si="9"/>
        <v>0</v>
      </c>
      <c r="S29" s="472" t="e">
        <f t="shared" si="10"/>
        <v>#N/A</v>
      </c>
      <c r="T29" s="472" t="e">
        <f t="shared" si="11"/>
        <v>#N/A</v>
      </c>
      <c r="U29" s="297" t="e">
        <f t="shared" si="12"/>
        <v>#N/A</v>
      </c>
      <c r="V29" s="297" t="e">
        <f t="shared" si="13"/>
        <v>#N/A</v>
      </c>
      <c r="W29" s="297" t="e">
        <f t="shared" si="14"/>
        <v>#N/A</v>
      </c>
      <c r="X29" s="297" t="e">
        <f t="shared" si="15"/>
        <v>#N/A</v>
      </c>
      <c r="Y29" s="297" t="e">
        <f t="shared" si="16"/>
        <v>#N/A</v>
      </c>
      <c r="Z29" s="472" t="e">
        <f t="shared" si="17"/>
        <v>#N/A</v>
      </c>
    </row>
    <row r="30" spans="1:26" ht="14.65" customHeight="1">
      <c r="A30" s="28"/>
      <c r="B30" s="539"/>
      <c r="C30" s="362"/>
      <c r="D30" s="530"/>
      <c r="E30" s="531"/>
      <c r="F30" s="294"/>
      <c r="G30" s="294"/>
      <c r="H30" s="348"/>
      <c r="I30" s="34" t="s">
        <v>12</v>
      </c>
      <c r="J30" s="323">
        <f>AVERAGE(I13:I19)</f>
        <v>96.474997761554803</v>
      </c>
      <c r="K30" s="284">
        <f>COUNTA([6]Brewhouse!$A$99:$A$105)</f>
        <v>7</v>
      </c>
      <c r="L30" s="302">
        <f>AVERAGE([6]Brewhouse!$AU$99:$AU$105)</f>
        <v>96.474997761554803</v>
      </c>
      <c r="M30" s="302">
        <f>AVERAGE([6]Brewhouse!$AU$16:$AU$23,[6]Brewhouse!$AU$25:$AU$32,[6]Brewhouse!$AU$34:$AU$41,[6]Brewhouse!$AU$43:$AU$60,[6]Brewhouse!$AU$62:$AU$69,[6]Brewhouse!$AU$71:$AU$88,[6]Brewhouse!$AU$90:$AU$97,[6]Brewhouse!$AU$99:$AU$105)</f>
        <v>96.499879683428333</v>
      </c>
      <c r="N30" s="30">
        <v>98</v>
      </c>
      <c r="O30" s="11"/>
      <c r="P30" s="31"/>
      <c r="R30" s="277">
        <f t="shared" si="9"/>
        <v>0</v>
      </c>
      <c r="S30" s="472" t="e">
        <f t="shared" si="10"/>
        <v>#N/A</v>
      </c>
      <c r="T30" s="472" t="e">
        <f t="shared" si="11"/>
        <v>#N/A</v>
      </c>
      <c r="U30" s="297" t="e">
        <f t="shared" si="12"/>
        <v>#N/A</v>
      </c>
      <c r="V30" s="297" t="e">
        <f t="shared" si="13"/>
        <v>#N/A</v>
      </c>
      <c r="W30" s="297" t="e">
        <f t="shared" si="14"/>
        <v>#N/A</v>
      </c>
      <c r="X30" s="297" t="e">
        <f t="shared" si="15"/>
        <v>#N/A</v>
      </c>
      <c r="Y30" s="297" t="e">
        <f t="shared" si="16"/>
        <v>#N/A</v>
      </c>
      <c r="Z30" s="472" t="e">
        <f t="shared" si="17"/>
        <v>#N/A</v>
      </c>
    </row>
    <row r="31" spans="1:26" ht="14.65" customHeight="1">
      <c r="A31" s="28"/>
      <c r="B31" s="539"/>
      <c r="C31" s="362"/>
      <c r="D31" s="532"/>
      <c r="E31" s="526"/>
      <c r="F31" s="294"/>
      <c r="G31" s="294"/>
      <c r="H31" s="348"/>
      <c r="I31" s="22" t="s">
        <v>33</v>
      </c>
      <c r="J31" s="280"/>
      <c r="K31" s="284"/>
      <c r="L31" s="302"/>
      <c r="M31" s="302">
        <f>AVERAGE([7]Brewhouse!$AV$23:$AV$34,[7]Brewhouse!$AV$36,[7]Brewhouse!$AV$38:$AV$52,[7]Brewhouse!$AV$54:$AV$60,[7]Brewhouse!$AV$62:$AV$69,[7]Brewhouse!$AV$71:$AV$78,[7]Brewhouse!$AV$80:$AV$87,[7]Brewhouse!$AV$89:$AV$96)</f>
        <v>97.559547139003357</v>
      </c>
      <c r="N31" s="30">
        <v>98</v>
      </c>
      <c r="O31" s="11"/>
      <c r="P31" s="31"/>
      <c r="R31" s="277">
        <f t="shared" si="9"/>
        <v>0</v>
      </c>
      <c r="S31" s="472" t="e">
        <f t="shared" si="10"/>
        <v>#N/A</v>
      </c>
      <c r="T31" s="472" t="e">
        <f t="shared" si="11"/>
        <v>#N/A</v>
      </c>
      <c r="U31" s="297" t="e">
        <f t="shared" si="12"/>
        <v>#N/A</v>
      </c>
      <c r="V31" s="297" t="e">
        <f t="shared" si="13"/>
        <v>#N/A</v>
      </c>
      <c r="W31" s="297" t="e">
        <f t="shared" si="14"/>
        <v>#N/A</v>
      </c>
      <c r="X31" s="297" t="e">
        <f t="shared" si="15"/>
        <v>#N/A</v>
      </c>
      <c r="Y31" s="297" t="e">
        <f t="shared" si="16"/>
        <v>#N/A</v>
      </c>
      <c r="Z31" s="472" t="e">
        <f t="shared" si="17"/>
        <v>#N/A</v>
      </c>
    </row>
    <row r="32" spans="1:26" ht="14.65" customHeight="1">
      <c r="A32" s="28"/>
      <c r="B32" s="539"/>
      <c r="C32" s="362"/>
      <c r="D32" s="530"/>
      <c r="E32" s="531"/>
      <c r="F32" s="294"/>
      <c r="G32" s="294"/>
      <c r="H32" s="348"/>
      <c r="I32" s="35" t="s">
        <v>29</v>
      </c>
      <c r="J32" s="280"/>
      <c r="K32" s="284"/>
      <c r="L32" s="302"/>
      <c r="M32" s="302"/>
      <c r="N32" s="30">
        <v>98</v>
      </c>
      <c r="O32" s="11"/>
      <c r="P32" s="31"/>
      <c r="R32" s="277">
        <f t="shared" si="9"/>
        <v>0</v>
      </c>
      <c r="S32" s="472" t="e">
        <f t="shared" si="10"/>
        <v>#N/A</v>
      </c>
      <c r="T32" s="472" t="e">
        <f t="shared" si="11"/>
        <v>#N/A</v>
      </c>
      <c r="U32" s="297" t="e">
        <f t="shared" si="12"/>
        <v>#N/A</v>
      </c>
      <c r="V32" s="297" t="e">
        <f t="shared" si="13"/>
        <v>#N/A</v>
      </c>
      <c r="W32" s="297" t="e">
        <f t="shared" si="14"/>
        <v>#N/A</v>
      </c>
      <c r="X32" s="297" t="e">
        <f t="shared" si="15"/>
        <v>#N/A</v>
      </c>
      <c r="Y32" s="297" t="e">
        <f t="shared" si="16"/>
        <v>#N/A</v>
      </c>
      <c r="Z32" s="472" t="e">
        <f t="shared" si="17"/>
        <v>#N/A</v>
      </c>
    </row>
    <row r="33" spans="1:56" ht="14.65" customHeight="1">
      <c r="A33" s="28"/>
      <c r="B33" s="539"/>
      <c r="C33" s="362"/>
      <c r="D33" s="532"/>
      <c r="E33" s="526"/>
      <c r="F33" s="417"/>
      <c r="G33" s="294"/>
      <c r="H33" s="348"/>
      <c r="I33" s="36" t="s">
        <v>15</v>
      </c>
      <c r="J33" s="323"/>
      <c r="K33" s="284">
        <f>COUNTA([8]Brewhouse!$A$23:$A$30)</f>
        <v>8</v>
      </c>
      <c r="L33" s="302">
        <f>AVERAGE([8]Brewhouse!$AT$23:$AT$30)</f>
        <v>96.065914782338609</v>
      </c>
      <c r="M33" s="302">
        <f>AVERAGE([8]Brewhouse!$AT$4:$AT$11,[8]Brewhouse!$AT$13:$AT$16,[8]Brewhouse!$AT$18:$AT$30)</f>
        <v>93.22262799886262</v>
      </c>
      <c r="N33" s="30">
        <v>98</v>
      </c>
      <c r="O33" s="11"/>
      <c r="P33" s="31"/>
      <c r="R33" s="277">
        <f t="shared" si="9"/>
        <v>0</v>
      </c>
      <c r="S33" s="472" t="e">
        <f t="shared" si="10"/>
        <v>#N/A</v>
      </c>
      <c r="T33" s="472" t="e">
        <f t="shared" si="11"/>
        <v>#N/A</v>
      </c>
      <c r="U33" s="297" t="e">
        <f t="shared" si="12"/>
        <v>#N/A</v>
      </c>
      <c r="V33" s="297" t="e">
        <f t="shared" si="13"/>
        <v>#N/A</v>
      </c>
      <c r="W33" s="297" t="e">
        <f t="shared" si="14"/>
        <v>#N/A</v>
      </c>
      <c r="X33" s="297" t="e">
        <f t="shared" si="15"/>
        <v>#N/A</v>
      </c>
      <c r="Y33" s="297" t="e">
        <f t="shared" si="16"/>
        <v>#N/A</v>
      </c>
      <c r="Z33" s="472" t="e">
        <f t="shared" si="17"/>
        <v>#N/A</v>
      </c>
    </row>
    <row r="34" spans="1:56" ht="14.65" customHeight="1">
      <c r="A34" s="28"/>
      <c r="B34" s="539"/>
      <c r="C34" s="362"/>
      <c r="D34" s="530"/>
      <c r="E34" s="531"/>
      <c r="F34" s="417"/>
      <c r="G34" s="294"/>
      <c r="H34" s="348"/>
      <c r="I34" s="37" t="s">
        <v>16</v>
      </c>
      <c r="J34" s="323"/>
      <c r="K34" s="284"/>
      <c r="L34" s="302"/>
      <c r="M34" s="302">
        <f>AVERAGE([3]Brewhouse!$AY$5:$AY$14,[3]Brewhouse!$AY$16:$AY$23,[3]Brewhouse!$AY$42,[3]Brewhouse!$AY$44:$AY$51,[3]Brewhouse!$AY$53:$AY$64,[3]Brewhouse!$AY$66:$AY$73,[3]Brewhouse!$AY$75:$AY$82,[3]Brewhouse!$AY$84:$AY$101)</f>
        <v>97.784660430003186</v>
      </c>
      <c r="N34" s="30">
        <v>98</v>
      </c>
      <c r="O34" s="11"/>
      <c r="P34" s="31" t="s">
        <v>41</v>
      </c>
      <c r="R34" s="277">
        <f t="shared" si="9"/>
        <v>0</v>
      </c>
      <c r="S34" s="472" t="e">
        <f t="shared" si="10"/>
        <v>#N/A</v>
      </c>
      <c r="T34" s="472" t="e">
        <f t="shared" si="11"/>
        <v>#N/A</v>
      </c>
      <c r="U34" s="297" t="e">
        <f t="shared" si="12"/>
        <v>#N/A</v>
      </c>
      <c r="V34" s="297" t="e">
        <f t="shared" si="13"/>
        <v>#N/A</v>
      </c>
      <c r="W34" s="297" t="e">
        <f t="shared" si="14"/>
        <v>#N/A</v>
      </c>
      <c r="X34" s="297" t="e">
        <f t="shared" si="15"/>
        <v>#N/A</v>
      </c>
      <c r="Y34" s="297" t="e">
        <f t="shared" si="16"/>
        <v>#N/A</v>
      </c>
      <c r="Z34" s="472" t="e">
        <f t="shared" si="17"/>
        <v>#N/A</v>
      </c>
    </row>
    <row r="35" spans="1:56" ht="14.65" customHeight="1">
      <c r="A35" s="28"/>
      <c r="B35" s="539"/>
      <c r="C35" s="362"/>
      <c r="D35" s="532"/>
      <c r="E35" s="526"/>
      <c r="F35" s="294"/>
      <c r="G35" s="294"/>
      <c r="H35" s="348"/>
      <c r="I35" s="411" t="s">
        <v>158</v>
      </c>
      <c r="J35" s="326"/>
      <c r="K35" s="284"/>
      <c r="L35" s="305"/>
      <c r="M35" s="305"/>
      <c r="N35" s="30">
        <v>98</v>
      </c>
      <c r="O35" s="11"/>
      <c r="P35" s="31"/>
      <c r="R35" s="277">
        <f t="shared" si="9"/>
        <v>0</v>
      </c>
      <c r="S35" s="472" t="e">
        <f t="shared" si="10"/>
        <v>#N/A</v>
      </c>
      <c r="T35" s="472" t="e">
        <f t="shared" si="11"/>
        <v>#N/A</v>
      </c>
      <c r="U35" s="297" t="e">
        <f t="shared" si="12"/>
        <v>#N/A</v>
      </c>
      <c r="V35" s="297" t="e">
        <f t="shared" si="13"/>
        <v>#N/A</v>
      </c>
      <c r="W35" s="297" t="e">
        <f t="shared" si="14"/>
        <v>#N/A</v>
      </c>
      <c r="X35" s="297" t="e">
        <f t="shared" si="15"/>
        <v>#N/A</v>
      </c>
      <c r="Y35" s="297" t="e">
        <f t="shared" si="16"/>
        <v>#N/A</v>
      </c>
      <c r="Z35" s="472" t="e">
        <f t="shared" si="17"/>
        <v>#N/A</v>
      </c>
    </row>
    <row r="36" spans="1:56" ht="14.65" customHeight="1">
      <c r="A36" s="28"/>
      <c r="B36" s="539"/>
      <c r="C36" s="362"/>
      <c r="D36" s="530"/>
      <c r="E36" s="531"/>
      <c r="F36" s="294"/>
      <c r="G36" s="294"/>
      <c r="H36" s="348"/>
      <c r="I36" s="410" t="s">
        <v>157</v>
      </c>
      <c r="J36" s="326"/>
      <c r="K36" s="284"/>
      <c r="L36" s="305"/>
      <c r="M36" s="305"/>
      <c r="N36" s="30">
        <v>98</v>
      </c>
      <c r="O36" s="11"/>
      <c r="P36" s="31"/>
      <c r="R36" s="277">
        <f t="shared" si="9"/>
        <v>0</v>
      </c>
      <c r="S36" s="472" t="e">
        <f t="shared" si="10"/>
        <v>#N/A</v>
      </c>
      <c r="T36" s="472" t="e">
        <f t="shared" si="11"/>
        <v>#N/A</v>
      </c>
      <c r="U36" s="297" t="e">
        <f t="shared" si="12"/>
        <v>#N/A</v>
      </c>
      <c r="V36" s="297" t="e">
        <f t="shared" si="13"/>
        <v>#N/A</v>
      </c>
      <c r="W36" s="297" t="e">
        <f t="shared" si="14"/>
        <v>#N/A</v>
      </c>
      <c r="X36" s="297" t="e">
        <f t="shared" si="15"/>
        <v>#N/A</v>
      </c>
      <c r="Y36" s="297" t="e">
        <f t="shared" si="16"/>
        <v>#N/A</v>
      </c>
      <c r="Z36" s="472" t="e">
        <f t="shared" si="17"/>
        <v>#N/A</v>
      </c>
      <c r="AA36" s="472"/>
    </row>
    <row r="37" spans="1:56" ht="15" customHeight="1" thickBot="1">
      <c r="A37" s="28"/>
      <c r="B37" s="539"/>
      <c r="C37" s="362"/>
      <c r="D37" s="532"/>
      <c r="E37" s="526"/>
      <c r="F37" s="294"/>
      <c r="G37" s="294"/>
      <c r="H37" s="348"/>
      <c r="I37" s="406" t="s">
        <v>156</v>
      </c>
      <c r="J37" s="327"/>
      <c r="K37" s="407"/>
      <c r="L37" s="408"/>
      <c r="M37" s="408"/>
      <c r="N37" s="409">
        <v>98</v>
      </c>
      <c r="O37" s="11"/>
      <c r="P37" s="31"/>
      <c r="R37" s="277">
        <f t="shared" si="9"/>
        <v>0</v>
      </c>
      <c r="S37" s="472" t="e">
        <f t="shared" si="10"/>
        <v>#N/A</v>
      </c>
      <c r="T37" s="472" t="e">
        <f t="shared" si="11"/>
        <v>#N/A</v>
      </c>
      <c r="U37" s="297" t="e">
        <f t="shared" si="12"/>
        <v>#N/A</v>
      </c>
      <c r="V37" s="297" t="e">
        <f t="shared" si="13"/>
        <v>#N/A</v>
      </c>
      <c r="W37" s="297" t="e">
        <f t="shared" si="14"/>
        <v>#N/A</v>
      </c>
      <c r="X37" s="297" t="e">
        <f t="shared" si="15"/>
        <v>#N/A</v>
      </c>
      <c r="Y37" s="297" t="e">
        <f t="shared" si="16"/>
        <v>#N/A</v>
      </c>
      <c r="Z37" s="472" t="e">
        <f t="shared" si="17"/>
        <v>#N/A</v>
      </c>
      <c r="AA37" s="472"/>
    </row>
    <row r="38" spans="1:56" ht="15" customHeight="1" thickBot="1">
      <c r="A38" s="28"/>
      <c r="B38" s="539"/>
      <c r="C38" s="349"/>
      <c r="D38" s="523"/>
      <c r="E38" s="524"/>
      <c r="F38" s="294"/>
      <c r="G38" s="294"/>
      <c r="H38" s="348"/>
      <c r="I38" s="1"/>
      <c r="J38" s="39"/>
      <c r="K38" s="404">
        <f>SUM(K28:K37)</f>
        <v>93</v>
      </c>
      <c r="L38" s="405">
        <f>((L28*K28)+(L29*K29)+(L30*K30)+(L31*K31)+(L32*K32)+(K35*L35)+(L33*K33)+(L34*K34)+(L37*K37))/(K38)</f>
        <v>98.467667781315853</v>
      </c>
      <c r="M38" s="405">
        <f>AVERAGE('[9]Jan30th-31st'!$L$42,'[10]Feb 27th-28th'!$L$45,'[11]Mar 31st'!$L$42,'[12]Apr 30th'!$L$41,'[13]May 29th '!$L$35,'[14]June 30th'!$L$32,[15]July31st!$L$36,'[16]Aug 31st'!$L$32,L38)</f>
        <v>98.043935716556931</v>
      </c>
      <c r="N38" s="40">
        <v>98</v>
      </c>
      <c r="O38" s="11"/>
      <c r="P38" s="31"/>
      <c r="R38" s="277">
        <f t="shared" si="9"/>
        <v>0</v>
      </c>
      <c r="S38" s="472" t="e">
        <f t="shared" si="10"/>
        <v>#N/A</v>
      </c>
      <c r="T38" s="472" t="e">
        <f t="shared" si="11"/>
        <v>#N/A</v>
      </c>
      <c r="U38" s="297" t="e">
        <f t="shared" si="12"/>
        <v>#N/A</v>
      </c>
      <c r="V38" s="297" t="e">
        <f t="shared" si="13"/>
        <v>#N/A</v>
      </c>
      <c r="W38" s="297" t="e">
        <f t="shared" si="14"/>
        <v>#N/A</v>
      </c>
      <c r="X38" s="297" t="e">
        <f t="shared" si="15"/>
        <v>#N/A</v>
      </c>
      <c r="Y38" s="297" t="e">
        <f t="shared" si="16"/>
        <v>#N/A</v>
      </c>
      <c r="Z38" s="472" t="e">
        <f t="shared" si="17"/>
        <v>#N/A</v>
      </c>
      <c r="AA38" s="472"/>
    </row>
    <row r="39" spans="1:56" ht="15.75" thickBot="1">
      <c r="B39" s="540"/>
      <c r="C39" s="350"/>
      <c r="D39" s="525"/>
      <c r="E39" s="526"/>
      <c r="F39" s="294"/>
      <c r="G39" s="42"/>
      <c r="H39" s="41"/>
      <c r="I39" s="42"/>
      <c r="J39" s="42"/>
      <c r="K39" s="351"/>
      <c r="L39" s="348"/>
      <c r="M39" s="348"/>
      <c r="N39" s="11"/>
      <c r="O39" s="294"/>
      <c r="P39" s="12"/>
      <c r="R39" s="277">
        <f t="shared" si="9"/>
        <v>0</v>
      </c>
      <c r="S39" s="472" t="e">
        <f t="shared" si="10"/>
        <v>#N/A</v>
      </c>
      <c r="T39" s="472" t="e">
        <f t="shared" si="11"/>
        <v>#N/A</v>
      </c>
      <c r="U39" s="297" t="e">
        <f t="shared" si="12"/>
        <v>#N/A</v>
      </c>
      <c r="V39" s="297" t="e">
        <f t="shared" si="13"/>
        <v>#N/A</v>
      </c>
      <c r="W39" s="297" t="e">
        <f t="shared" si="14"/>
        <v>#N/A</v>
      </c>
      <c r="X39" s="297" t="e">
        <f t="shared" si="15"/>
        <v>#N/A</v>
      </c>
      <c r="Y39" s="297" t="e">
        <f t="shared" si="16"/>
        <v>#N/A</v>
      </c>
      <c r="Z39" s="472" t="e">
        <f t="shared" si="17"/>
        <v>#N/A</v>
      </c>
      <c r="AA39" s="472"/>
    </row>
    <row r="40" spans="1:56" ht="15.75" thickBot="1">
      <c r="B40" s="520"/>
      <c r="C40" s="362"/>
      <c r="D40" s="523"/>
      <c r="E40" s="524"/>
      <c r="F40" s="294"/>
      <c r="G40" s="42"/>
      <c r="H40" s="41"/>
      <c r="I40" s="42"/>
      <c r="J40" s="527" t="s">
        <v>129</v>
      </c>
      <c r="K40" s="527"/>
      <c r="L40" s="294"/>
      <c r="M40" s="294"/>
      <c r="N40" s="294"/>
      <c r="O40" s="294"/>
      <c r="P40" s="12"/>
    </row>
    <row r="41" spans="1:56" ht="15.75" thickBot="1">
      <c r="B41" s="521"/>
      <c r="C41" s="362"/>
      <c r="D41" s="525"/>
      <c r="E41" s="526"/>
      <c r="F41" s="294"/>
      <c r="G41" s="42"/>
      <c r="H41" s="42"/>
      <c r="I41" s="42"/>
      <c r="J41" s="292" t="s">
        <v>17</v>
      </c>
      <c r="K41" s="293"/>
      <c r="L41" s="528" t="s">
        <v>136</v>
      </c>
      <c r="M41" s="528"/>
      <c r="N41" s="529"/>
      <c r="O41" s="294"/>
      <c r="P41" s="12"/>
    </row>
    <row r="42" spans="1:56" ht="15" customHeight="1" thickBot="1">
      <c r="B42" s="521"/>
      <c r="C42" s="349"/>
      <c r="D42" s="530"/>
      <c r="E42" s="531"/>
      <c r="F42" s="294"/>
      <c r="G42" s="42"/>
      <c r="H42" s="42"/>
      <c r="I42" s="42"/>
      <c r="J42" s="287" t="s">
        <v>6</v>
      </c>
      <c r="K42" s="324">
        <v>2</v>
      </c>
      <c r="L42" s="473" t="s">
        <v>37</v>
      </c>
      <c r="M42" s="474" t="s">
        <v>38</v>
      </c>
      <c r="N42" s="474" t="s">
        <v>84</v>
      </c>
      <c r="O42" s="294"/>
      <c r="P42" s="12"/>
    </row>
    <row r="43" spans="1:56" ht="15.75" customHeight="1" thickBot="1">
      <c r="B43" s="521"/>
      <c r="C43" s="349"/>
      <c r="D43" s="532"/>
      <c r="E43" s="526"/>
      <c r="F43" s="294"/>
      <c r="G43" s="42"/>
      <c r="H43" s="42"/>
      <c r="I43" s="42"/>
      <c r="J43" s="345" t="s">
        <v>9</v>
      </c>
      <c r="K43" s="324"/>
      <c r="L43" s="485">
        <f>AVERAGE('Sept 1st'!K45,'Sept 2nd'!K47,'Sept 3rd'!K44,'Sept 4th'!K46,'Sept 7th'!K48,'Sept 8th'!K48,'Sept 9th'!K50,'Sept 10th'!K49,'Sept 11th '!K45,'Sept 14th'!K45,'Sept 15th'!K48,'Sept 16th'!K51,K52)</f>
        <v>7.1538461538461542</v>
      </c>
      <c r="M43" s="486">
        <f>AVERAGE('[9]Jan30th-31st'!$L$47,L43,'[10]Feb 26th '!$L$39,'[11]Mar 31st'!$L$47,'[12]Apr 30th'!$L$46,'[13]May 29th '!$L$40,'[14]June 30th'!$L$39,[15]July31st!$L$41,'[16]Aug 31st'!$L$37)</f>
        <v>6.5326610587480154</v>
      </c>
      <c r="N43" s="416">
        <v>9.1999999999999993</v>
      </c>
      <c r="O43" s="294"/>
      <c r="P43" s="12"/>
    </row>
    <row r="44" spans="1:56" ht="15" customHeight="1">
      <c r="B44" s="521"/>
      <c r="C44" s="349"/>
      <c r="D44" s="530"/>
      <c r="E44" s="531"/>
      <c r="F44" s="294"/>
      <c r="G44" s="42"/>
      <c r="H44" s="42"/>
      <c r="I44" s="42"/>
      <c r="J44" s="288" t="s">
        <v>40</v>
      </c>
      <c r="K44" s="324">
        <v>7</v>
      </c>
      <c r="L44" s="294"/>
      <c r="M44" s="294"/>
      <c r="N44" s="294"/>
      <c r="O44" s="294"/>
      <c r="P44" s="12"/>
    </row>
    <row r="45" spans="1:56" ht="15" customHeight="1">
      <c r="B45" s="521"/>
      <c r="C45" s="349"/>
      <c r="D45" s="532"/>
      <c r="E45" s="526"/>
      <c r="F45" s="294"/>
      <c r="G45" s="42"/>
      <c r="H45" s="42"/>
      <c r="I45" s="42"/>
      <c r="J45" s="289" t="s">
        <v>33</v>
      </c>
      <c r="K45" s="324"/>
      <c r="L45" s="294"/>
      <c r="M45" s="294"/>
      <c r="N45" s="294"/>
      <c r="O45" s="294"/>
      <c r="P45" s="12"/>
    </row>
    <row r="46" spans="1:56" ht="15">
      <c r="B46" s="521"/>
      <c r="C46" s="349"/>
      <c r="D46" s="530"/>
      <c r="E46" s="531"/>
      <c r="F46" s="294"/>
      <c r="G46" s="42"/>
      <c r="H46" s="42"/>
      <c r="I46" s="42"/>
      <c r="J46" s="290" t="s">
        <v>16</v>
      </c>
      <c r="K46" s="324"/>
      <c r="L46" s="294"/>
      <c r="M46" s="294"/>
      <c r="N46" s="294"/>
      <c r="O46" s="294"/>
      <c r="P46" s="12"/>
      <c r="BC46" s="44"/>
      <c r="BD46" s="44"/>
    </row>
    <row r="47" spans="1:56" ht="15">
      <c r="B47" s="521"/>
      <c r="C47" s="349"/>
      <c r="D47" s="532"/>
      <c r="E47" s="526"/>
      <c r="F47" s="294"/>
      <c r="G47" s="42"/>
      <c r="H47" s="42"/>
      <c r="I47" s="42"/>
      <c r="J47" s="291" t="s">
        <v>15</v>
      </c>
      <c r="K47" s="324"/>
      <c r="L47" s="294"/>
      <c r="M47" s="294"/>
      <c r="N47" s="294"/>
      <c r="O47" s="294"/>
      <c r="P47" s="12"/>
      <c r="BC47" s="44"/>
      <c r="BD47" s="44"/>
    </row>
    <row r="48" spans="1:56" ht="15">
      <c r="B48" s="521"/>
      <c r="C48" s="349"/>
      <c r="D48" s="530"/>
      <c r="E48" s="531"/>
      <c r="F48" s="294"/>
      <c r="G48" s="42"/>
      <c r="H48" s="42"/>
      <c r="I48" s="42"/>
      <c r="J48" s="291" t="s">
        <v>149</v>
      </c>
      <c r="K48" s="324"/>
      <c r="L48" s="294"/>
      <c r="M48" s="294"/>
      <c r="N48" s="294"/>
      <c r="O48" s="294"/>
      <c r="P48" s="12"/>
      <c r="BC48" s="44"/>
      <c r="BD48" s="44"/>
    </row>
    <row r="49" spans="2:57" ht="15.75" thickBot="1">
      <c r="B49" s="522"/>
      <c r="C49" s="350"/>
      <c r="D49" s="533"/>
      <c r="E49" s="534"/>
      <c r="F49" s="294" t="s">
        <v>165</v>
      </c>
      <c r="G49" s="42"/>
      <c r="H49" s="42"/>
      <c r="I49" s="42"/>
      <c r="J49" s="291" t="s">
        <v>148</v>
      </c>
      <c r="K49" s="324"/>
      <c r="L49" s="294"/>
      <c r="M49" s="294"/>
      <c r="N49" s="294" t="s">
        <v>41</v>
      </c>
      <c r="O49" s="294"/>
      <c r="P49" s="12"/>
      <c r="BC49" s="44"/>
      <c r="BD49" s="44"/>
    </row>
    <row r="50" spans="2:57" ht="17.649999999999999" customHeight="1" thickBot="1">
      <c r="B50" s="312" t="s">
        <v>139</v>
      </c>
      <c r="C50" s="313"/>
      <c r="D50" s="511"/>
      <c r="E50" s="512"/>
      <c r="F50" s="294"/>
      <c r="J50" s="295" t="s">
        <v>134</v>
      </c>
      <c r="K50" s="324"/>
      <c r="L50" s="294"/>
      <c r="M50" s="294"/>
      <c r="N50" s="294"/>
      <c r="O50" s="294"/>
      <c r="P50" s="12"/>
      <c r="BC50" s="44"/>
      <c r="BD50" s="44"/>
    </row>
    <row r="51" spans="2:57" ht="17.649999999999999" customHeight="1">
      <c r="B51" s="363"/>
      <c r="C51" s="364"/>
      <c r="D51" s="365"/>
      <c r="E51" s="365"/>
      <c r="F51" s="294"/>
      <c r="G51" s="42"/>
      <c r="H51" s="42"/>
      <c r="I51" s="42"/>
      <c r="J51" s="295" t="s">
        <v>131</v>
      </c>
      <c r="K51" s="324"/>
      <c r="L51" s="294"/>
      <c r="M51" s="294"/>
      <c r="N51" s="294"/>
      <c r="O51" s="294"/>
      <c r="P51" s="12"/>
      <c r="BC51" s="44"/>
      <c r="BD51" s="44"/>
    </row>
    <row r="52" spans="2:57" ht="15.6" customHeight="1">
      <c r="B52" s="45"/>
      <c r="C52" s="11"/>
      <c r="D52" s="11"/>
      <c r="E52" s="46"/>
      <c r="F52" s="294"/>
      <c r="G52" s="42"/>
      <c r="H52" s="42"/>
      <c r="I52" s="42"/>
      <c r="J52" s="346" t="s">
        <v>130</v>
      </c>
      <c r="K52" s="324">
        <f>SUM(K42:K51)</f>
        <v>9</v>
      </c>
      <c r="L52" s="294"/>
      <c r="M52" s="294"/>
      <c r="N52" s="294"/>
      <c r="O52" s="294"/>
      <c r="P52" s="12"/>
    </row>
    <row r="53" spans="2:57" ht="20.25" customHeight="1">
      <c r="B53" s="15" t="s">
        <v>42</v>
      </c>
      <c r="C53" s="1" t="s">
        <v>43</v>
      </c>
      <c r="D53" s="1"/>
      <c r="E53" s="1"/>
      <c r="F53" s="294"/>
      <c r="G53" s="42"/>
      <c r="H53" s="41"/>
      <c r="I53" s="42"/>
      <c r="L53" s="42"/>
      <c r="N53" s="315"/>
      <c r="P53" s="334"/>
    </row>
    <row r="54" spans="2:57" ht="15" customHeight="1" thickBot="1">
      <c r="B54" s="48"/>
      <c r="C54" s="48"/>
      <c r="D54" s="48"/>
      <c r="E54" s="48"/>
      <c r="F54" s="48"/>
      <c r="G54" s="48"/>
      <c r="H54" s="48"/>
      <c r="I54" s="48"/>
      <c r="J54" s="48"/>
      <c r="K54" s="48"/>
      <c r="L54" s="48"/>
      <c r="M54" s="48"/>
      <c r="N54" s="41"/>
      <c r="O54" s="48"/>
      <c r="P54" s="49"/>
    </row>
    <row r="55" spans="2:57" ht="15" customHeight="1" thickBot="1">
      <c r="B55" s="505" t="s">
        <v>17</v>
      </c>
      <c r="C55" s="505" t="s">
        <v>44</v>
      </c>
      <c r="D55" s="514" t="s">
        <v>45</v>
      </c>
      <c r="E55" s="516" t="s">
        <v>46</v>
      </c>
      <c r="F55" s="518" t="s">
        <v>47</v>
      </c>
      <c r="G55" s="503" t="s">
        <v>48</v>
      </c>
      <c r="H55" s="505" t="s">
        <v>49</v>
      </c>
      <c r="I55" s="505" t="s">
        <v>50</v>
      </c>
      <c r="J55" s="497" t="s">
        <v>28</v>
      </c>
      <c r="K55" s="507" t="s">
        <v>51</v>
      </c>
      <c r="L55" s="509" t="s">
        <v>52</v>
      </c>
      <c r="M55" s="497" t="s">
        <v>53</v>
      </c>
      <c r="N55" s="13"/>
      <c r="O55" s="13"/>
      <c r="P55" s="50"/>
    </row>
    <row r="56" spans="2:57" ht="28.5" customHeight="1" thickTop="1" thickBot="1">
      <c r="B56" s="506"/>
      <c r="C56" s="513"/>
      <c r="D56" s="515"/>
      <c r="E56" s="517"/>
      <c r="F56" s="519"/>
      <c r="G56" s="504"/>
      <c r="H56" s="506"/>
      <c r="I56" s="506"/>
      <c r="J56" s="498"/>
      <c r="K56" s="508"/>
      <c r="L56" s="510"/>
      <c r="M56" s="498"/>
      <c r="N56" s="13"/>
      <c r="O56" s="13"/>
      <c r="P56" s="50"/>
      <c r="Q56" s="355"/>
      <c r="AB56" s="475">
        <v>43474</v>
      </c>
      <c r="AC56" s="475">
        <v>43475</v>
      </c>
      <c r="AD56" s="475">
        <v>43476</v>
      </c>
      <c r="AE56" s="475">
        <v>43477</v>
      </c>
      <c r="AF56" s="475">
        <v>43478</v>
      </c>
      <c r="AG56" s="475">
        <v>43479</v>
      </c>
      <c r="AH56" s="475">
        <v>43480</v>
      </c>
      <c r="AI56" s="475">
        <v>43481</v>
      </c>
      <c r="AJ56" s="475">
        <v>43482</v>
      </c>
      <c r="AK56" s="475">
        <v>43483</v>
      </c>
      <c r="AL56" s="475">
        <v>43484</v>
      </c>
      <c r="AM56" s="475">
        <v>43485</v>
      </c>
      <c r="AN56" s="475">
        <v>43486</v>
      </c>
      <c r="AO56" s="475">
        <v>43487</v>
      </c>
      <c r="AP56" s="475">
        <v>43488</v>
      </c>
      <c r="AQ56" s="475">
        <v>43489</v>
      </c>
      <c r="AR56" s="475">
        <v>43490</v>
      </c>
      <c r="AS56" s="475">
        <v>43491</v>
      </c>
      <c r="AT56" s="475">
        <v>43492</v>
      </c>
      <c r="AU56" s="475">
        <v>43493</v>
      </c>
      <c r="AV56" s="475">
        <v>43494</v>
      </c>
      <c r="AW56" s="475">
        <v>43495</v>
      </c>
      <c r="AX56" s="475">
        <v>43496</v>
      </c>
    </row>
    <row r="57" spans="2:57" s="54" customFormat="1" ht="36.75" customHeight="1" thickBot="1">
      <c r="B57" s="456" t="str">
        <f>J42</f>
        <v>CARIB</v>
      </c>
      <c r="C57" s="479">
        <v>46282</v>
      </c>
      <c r="D57" s="445">
        <f>[18]September_2026!$T$3</f>
        <v>389.1</v>
      </c>
      <c r="E57" s="443"/>
      <c r="F57" s="444"/>
      <c r="G57" s="444">
        <f>[18]September_2026!$T$7</f>
        <v>364.2</v>
      </c>
      <c r="H57" s="458"/>
      <c r="I57" s="458"/>
      <c r="J57" s="448" t="s">
        <v>169</v>
      </c>
      <c r="K57" s="449"/>
      <c r="L57" s="457">
        <f>(((D57+E57)-G57)/(D57+E57))*100</f>
        <v>6.3993831919815047</v>
      </c>
      <c r="M57" s="455" t="s">
        <v>181</v>
      </c>
      <c r="N57" s="13"/>
      <c r="O57" s="13"/>
      <c r="P57" s="50"/>
      <c r="R57" s="275"/>
      <c r="S57" s="275"/>
      <c r="T57" s="275"/>
      <c r="U57" s="275"/>
      <c r="V57" s="275"/>
      <c r="W57" s="275"/>
      <c r="X57" s="275"/>
      <c r="Y57" s="275"/>
      <c r="Z57" s="275"/>
      <c r="AA57" s="275"/>
      <c r="AB57" s="57">
        <f>[17]January_2019!L5</f>
        <v>0</v>
      </c>
      <c r="AC57" s="57">
        <f>[17]January_2019!M5</f>
        <v>0</v>
      </c>
      <c r="AD57" s="57">
        <f>[17]January_2019!N5</f>
        <v>0</v>
      </c>
      <c r="AE57" s="57">
        <f>[17]January_2019!O5</f>
        <v>0</v>
      </c>
      <c r="AF57" s="57">
        <f>[17]January_2019!P5</f>
        <v>0</v>
      </c>
      <c r="AG57" s="57">
        <f>[17]January_2019!Q5</f>
        <v>0</v>
      </c>
      <c r="AH57" s="57">
        <f>[17]January_2019!R5</f>
        <v>0</v>
      </c>
      <c r="AI57" s="57">
        <f>[17]January_2019!S5</f>
        <v>0</v>
      </c>
      <c r="AJ57" s="57">
        <f>[17]January_2019!T5</f>
        <v>0</v>
      </c>
      <c r="AK57" s="57">
        <f>[17]January_2019!U5</f>
        <v>0</v>
      </c>
      <c r="AL57" s="57">
        <f>[17]January_2019!V5</f>
        <v>0</v>
      </c>
      <c r="AM57" s="57">
        <f>[17]January_2019!W5</f>
        <v>0</v>
      </c>
      <c r="AN57" s="57">
        <f>[17]January_2019!X5</f>
        <v>0</v>
      </c>
      <c r="AO57" s="57">
        <f>[17]January_2019!Y5</f>
        <v>0</v>
      </c>
      <c r="AP57" s="57">
        <f>[17]January_2019!Z5</f>
        <v>0</v>
      </c>
      <c r="AQ57" s="57">
        <f>[17]January_2019!AA5</f>
        <v>0</v>
      </c>
      <c r="AR57" s="57">
        <f>[17]January_2019!AB5</f>
        <v>0</v>
      </c>
      <c r="AS57" s="57">
        <f>[17]January_2019!AC5</f>
        <v>0</v>
      </c>
      <c r="AT57" s="57">
        <f>[17]January_2019!AD5</f>
        <v>0</v>
      </c>
      <c r="AU57" s="57">
        <f>[17]January_2019!AE5</f>
        <v>0</v>
      </c>
      <c r="AV57" s="57">
        <f>[17]January_2019!AF5</f>
        <v>0</v>
      </c>
      <c r="AW57" s="57">
        <f>[17]January_2019!AG5</f>
        <v>0</v>
      </c>
      <c r="AX57" s="277">
        <f>[17]January_2019!AH5</f>
        <v>0</v>
      </c>
      <c r="AY57" s="277"/>
      <c r="AZ57" s="277"/>
      <c r="BA57" s="277"/>
      <c r="BB57" s="277"/>
      <c r="BC57" s="277"/>
      <c r="BD57" s="277"/>
      <c r="BE57" s="277"/>
    </row>
    <row r="58" spans="2:57" s="54" customFormat="1" ht="14.25" customHeight="1" thickBot="1">
      <c r="B58" s="480"/>
      <c r="C58" s="479"/>
      <c r="D58" s="442"/>
      <c r="E58" s="443"/>
      <c r="F58" s="444"/>
      <c r="G58" s="445"/>
      <c r="H58" s="458"/>
      <c r="I58" s="458"/>
      <c r="J58" s="476"/>
      <c r="K58" s="449"/>
      <c r="L58" s="457"/>
      <c r="M58" s="455"/>
      <c r="N58" s="13"/>
      <c r="O58" s="13"/>
      <c r="P58" s="50"/>
      <c r="R58" s="275"/>
      <c r="S58" s="275"/>
      <c r="T58" s="275"/>
      <c r="U58" s="275"/>
      <c r="V58" s="275"/>
      <c r="W58" s="275"/>
      <c r="X58" s="275"/>
      <c r="Y58" s="275"/>
      <c r="Z58" s="275"/>
      <c r="AA58" s="275"/>
      <c r="AB58" s="57">
        <f>[17]January_2019!L6</f>
        <v>0</v>
      </c>
      <c r="AC58" s="57">
        <f>[17]January_2019!M6</f>
        <v>0</v>
      </c>
      <c r="AD58" s="57">
        <f>[17]January_2019!N6</f>
        <v>0</v>
      </c>
      <c r="AE58" s="57">
        <f>[17]January_2019!O6</f>
        <v>0</v>
      </c>
      <c r="AF58" s="57">
        <f>[17]January_2019!P6</f>
        <v>0</v>
      </c>
      <c r="AG58" s="57">
        <f>[17]January_2019!Q6</f>
        <v>0</v>
      </c>
      <c r="AH58" s="57">
        <f>[17]January_2019!R6</f>
        <v>0</v>
      </c>
      <c r="AI58" s="57">
        <f>[17]January_2019!S6</f>
        <v>0</v>
      </c>
      <c r="AJ58" s="57">
        <f>[17]January_2019!T6</f>
        <v>0</v>
      </c>
      <c r="AK58" s="57">
        <f>[17]January_2019!U6</f>
        <v>0</v>
      </c>
      <c r="AL58" s="57">
        <f>[17]January_2019!V6</f>
        <v>0</v>
      </c>
      <c r="AM58" s="57">
        <f>[17]January_2019!W6</f>
        <v>0</v>
      </c>
      <c r="AN58" s="57">
        <f>[17]January_2019!X6</f>
        <v>0</v>
      </c>
      <c r="AO58" s="57">
        <f>[17]January_2019!Y6</f>
        <v>0</v>
      </c>
      <c r="AP58" s="57">
        <f>[17]January_2019!Z6</f>
        <v>0</v>
      </c>
      <c r="AQ58" s="57">
        <f>[17]January_2019!AA6</f>
        <v>0</v>
      </c>
      <c r="AR58" s="57">
        <f>[17]January_2019!AB6</f>
        <v>0</v>
      </c>
      <c r="AS58" s="57">
        <f>[17]January_2019!AC6</f>
        <v>0</v>
      </c>
      <c r="AT58" s="57">
        <f>[17]January_2019!AD6</f>
        <v>0</v>
      </c>
      <c r="AU58" s="57">
        <f>[17]January_2019!AE6</f>
        <v>0</v>
      </c>
      <c r="AV58" s="57">
        <f>[17]January_2019!AF6</f>
        <v>0</v>
      </c>
      <c r="AW58" s="57">
        <f>[17]January_2019!AG6</f>
        <v>0</v>
      </c>
      <c r="AX58" s="277">
        <f>[17]January_2019!AH6</f>
        <v>0</v>
      </c>
      <c r="AY58" s="277"/>
      <c r="AZ58" s="277"/>
      <c r="BA58" s="277"/>
      <c r="BB58" s="277"/>
      <c r="BC58" s="277"/>
      <c r="BD58" s="277"/>
      <c r="BE58" s="277"/>
    </row>
    <row r="59" spans="2:57" s="54" customFormat="1" ht="37.15" hidden="1" customHeight="1" thickBot="1">
      <c r="B59" s="495"/>
      <c r="C59" s="479"/>
      <c r="D59" s="442"/>
      <c r="E59" s="443"/>
      <c r="F59" s="444"/>
      <c r="G59" s="444"/>
      <c r="H59" s="446"/>
      <c r="I59" s="446"/>
      <c r="J59" s="448"/>
      <c r="K59" s="449"/>
      <c r="L59" s="457"/>
      <c r="M59" s="455"/>
      <c r="N59" s="13"/>
      <c r="O59" s="13"/>
      <c r="P59" s="50"/>
      <c r="R59" s="275"/>
      <c r="S59" s="275"/>
      <c r="T59" s="275"/>
      <c r="U59" s="275"/>
      <c r="V59" s="275"/>
      <c r="W59" s="275"/>
      <c r="X59" s="275"/>
      <c r="Y59" s="275"/>
      <c r="Z59" s="275"/>
      <c r="AA59" s="275"/>
      <c r="AB59" s="57">
        <f>[17]January_2019!L7</f>
        <v>285.8</v>
      </c>
      <c r="AC59" s="57">
        <f>[17]January_2019!M7</f>
        <v>508.1</v>
      </c>
      <c r="AD59" s="57">
        <f>[17]January_2019!N7</f>
        <v>0</v>
      </c>
      <c r="AE59" s="57">
        <f>[17]January_2019!O7</f>
        <v>0</v>
      </c>
      <c r="AF59" s="57">
        <f>[17]January_2019!P7</f>
        <v>109.56666666666666</v>
      </c>
      <c r="AG59" s="57">
        <f>[17]January_2019!Q7</f>
        <v>297.64999999999998</v>
      </c>
      <c r="AH59" s="57">
        <f>[17]January_2019!R7</f>
        <v>122.3</v>
      </c>
      <c r="AI59" s="57">
        <f>[17]January_2019!S7</f>
        <v>0</v>
      </c>
      <c r="AJ59" s="57">
        <f>[17]January_2019!T7</f>
        <v>294.7</v>
      </c>
      <c r="AK59" s="57">
        <f>[17]January_2019!U7</f>
        <v>280.5</v>
      </c>
      <c r="AL59" s="57">
        <f>[17]January_2019!V7</f>
        <v>0</v>
      </c>
      <c r="AM59" s="57">
        <f>[17]January_2019!W7</f>
        <v>0</v>
      </c>
      <c r="AN59" s="57">
        <f>[17]January_2019!X7</f>
        <v>188.25</v>
      </c>
      <c r="AO59" s="57">
        <f>[17]January_2019!Y7</f>
        <v>295.7</v>
      </c>
      <c r="AP59" s="57">
        <f>[17]January_2019!Z7</f>
        <v>257.8</v>
      </c>
      <c r="AQ59" s="57">
        <f>[17]January_2019!AA7</f>
        <v>291.2</v>
      </c>
      <c r="AR59" s="57">
        <f>[17]January_2019!AB7</f>
        <v>187</v>
      </c>
      <c r="AS59" s="57">
        <f>[17]January_2019!AC7</f>
        <v>0</v>
      </c>
      <c r="AT59" s="57">
        <f>[17]January_2019!AD7</f>
        <v>0</v>
      </c>
      <c r="AU59" s="57">
        <f>[17]January_2019!AE7</f>
        <v>485.1</v>
      </c>
      <c r="AV59" s="57">
        <f>[17]January_2019!AF7</f>
        <v>171.55</v>
      </c>
      <c r="AW59" s="57">
        <f>[17]January_2019!AG7</f>
        <v>423.8</v>
      </c>
      <c r="AX59" s="277">
        <f>[17]January_2019!AH7</f>
        <v>0</v>
      </c>
      <c r="AY59" s="277"/>
      <c r="AZ59" s="277"/>
      <c r="BA59" s="277"/>
      <c r="BB59" s="277"/>
      <c r="BC59" s="277"/>
      <c r="BD59" s="277"/>
      <c r="BE59" s="277"/>
    </row>
    <row r="60" spans="2:57" s="54" customFormat="1" ht="18.600000000000001" hidden="1" customHeight="1" thickBot="1">
      <c r="B60" s="478"/>
      <c r="C60" s="430"/>
      <c r="D60" s="431"/>
      <c r="E60" s="432"/>
      <c r="F60" s="433"/>
      <c r="G60" s="434"/>
      <c r="H60" s="458"/>
      <c r="I60" s="458"/>
      <c r="J60" s="451"/>
      <c r="K60" s="436"/>
      <c r="L60" s="452"/>
      <c r="M60" s="421"/>
      <c r="N60" s="13"/>
      <c r="O60" s="13"/>
      <c r="P60" s="50"/>
      <c r="R60" s="275"/>
      <c r="S60" s="275"/>
      <c r="T60" s="275"/>
      <c r="U60" s="275"/>
      <c r="V60" s="275"/>
      <c r="W60" s="275"/>
      <c r="X60" s="275"/>
      <c r="Y60" s="275"/>
      <c r="Z60" s="275"/>
      <c r="AA60" s="275"/>
      <c r="AB60" s="57"/>
      <c r="AC60" s="57"/>
      <c r="AD60" s="57"/>
      <c r="AE60" s="57"/>
      <c r="AF60" s="57"/>
      <c r="AG60" s="57"/>
      <c r="AH60" s="57"/>
      <c r="AI60" s="57"/>
      <c r="AJ60" s="57"/>
      <c r="AK60" s="57"/>
      <c r="AL60" s="57"/>
      <c r="AM60" s="57"/>
      <c r="AN60" s="57"/>
      <c r="AO60" s="57"/>
      <c r="AP60" s="57"/>
      <c r="AQ60" s="57"/>
      <c r="AR60" s="57"/>
      <c r="AS60" s="57"/>
      <c r="AT60" s="57"/>
      <c r="AU60" s="57"/>
      <c r="AV60" s="57"/>
      <c r="AW60" s="57"/>
      <c r="AX60" s="277"/>
      <c r="AY60" s="277"/>
      <c r="AZ60" s="277"/>
      <c r="BA60" s="277"/>
      <c r="BB60" s="277"/>
      <c r="BC60" s="277"/>
      <c r="BD60" s="277"/>
      <c r="BE60" s="277"/>
    </row>
    <row r="61" spans="2:57" s="54" customFormat="1" ht="38.65" hidden="1" customHeight="1" thickBot="1">
      <c r="B61" s="487"/>
      <c r="C61" s="479"/>
      <c r="D61" s="442"/>
      <c r="E61" s="443"/>
      <c r="F61" s="444"/>
      <c r="G61" s="445"/>
      <c r="H61" s="458"/>
      <c r="I61" s="458"/>
      <c r="J61" s="448"/>
      <c r="K61" s="459"/>
      <c r="L61" s="457"/>
      <c r="M61" s="455"/>
      <c r="N61" s="13"/>
      <c r="O61" s="13"/>
      <c r="P61" s="50"/>
      <c r="R61" s="275"/>
      <c r="S61" s="275"/>
      <c r="T61" s="275"/>
      <c r="U61" s="275"/>
      <c r="V61" s="275"/>
      <c r="W61" s="275"/>
      <c r="X61" s="275"/>
      <c r="Y61" s="275"/>
      <c r="Z61" s="275"/>
      <c r="AA61" s="275"/>
      <c r="AB61" s="57"/>
      <c r="AC61" s="57"/>
      <c r="AD61" s="57"/>
      <c r="AE61" s="57"/>
      <c r="AF61" s="57"/>
      <c r="AG61" s="57"/>
      <c r="AH61" s="57"/>
      <c r="AI61" s="57"/>
      <c r="AJ61" s="57"/>
      <c r="AK61" s="57"/>
      <c r="AL61" s="57"/>
      <c r="AM61" s="57"/>
      <c r="AN61" s="57"/>
      <c r="AO61" s="57"/>
      <c r="AP61" s="57"/>
      <c r="AQ61" s="57"/>
      <c r="AR61" s="57"/>
      <c r="AS61" s="57"/>
      <c r="AT61" s="57"/>
      <c r="AU61" s="57"/>
      <c r="AV61" s="57"/>
      <c r="AW61" s="57"/>
      <c r="AX61" s="277"/>
      <c r="AY61" s="277"/>
      <c r="AZ61" s="277"/>
      <c r="BA61" s="277"/>
      <c r="BB61" s="277"/>
      <c r="BC61" s="277"/>
      <c r="BD61" s="277"/>
      <c r="BE61" s="277"/>
    </row>
    <row r="62" spans="2:57" s="54" customFormat="1" ht="15" hidden="1">
      <c r="B62" s="453"/>
      <c r="C62" s="430"/>
      <c r="D62" s="431"/>
      <c r="E62" s="432"/>
      <c r="F62" s="433"/>
      <c r="G62" s="434"/>
      <c r="H62" s="435"/>
      <c r="I62" s="450"/>
      <c r="J62" s="451"/>
      <c r="K62" s="436"/>
      <c r="L62" s="452"/>
      <c r="M62" s="421"/>
      <c r="N62" s="13"/>
      <c r="O62" s="13"/>
      <c r="P62" s="50"/>
      <c r="R62" s="275"/>
      <c r="S62" s="275"/>
      <c r="T62" s="275"/>
      <c r="U62" s="275"/>
      <c r="V62" s="275"/>
      <c r="W62" s="275"/>
      <c r="X62" s="275"/>
      <c r="Y62" s="275"/>
      <c r="Z62" s="275"/>
      <c r="AA62" s="275"/>
      <c r="AB62" s="57"/>
      <c r="AC62" s="57"/>
      <c r="AD62" s="57"/>
      <c r="AE62" s="57"/>
      <c r="AF62" s="57"/>
      <c r="AG62" s="57"/>
      <c r="AH62" s="57"/>
      <c r="AI62" s="57"/>
      <c r="AJ62" s="57"/>
      <c r="AK62" s="57"/>
      <c r="AL62" s="57"/>
      <c r="AM62" s="57"/>
      <c r="AN62" s="57"/>
      <c r="AO62" s="57"/>
      <c r="AP62" s="57"/>
      <c r="AQ62" s="57"/>
      <c r="AR62" s="57"/>
      <c r="AS62" s="57"/>
      <c r="AT62" s="57"/>
      <c r="AU62" s="57"/>
      <c r="AV62" s="57"/>
      <c r="AW62" s="57"/>
      <c r="AX62" s="277"/>
      <c r="AY62" s="277"/>
      <c r="AZ62" s="277"/>
      <c r="BA62" s="277"/>
      <c r="BB62" s="277"/>
      <c r="BC62" s="277"/>
      <c r="BD62" s="277"/>
      <c r="BE62" s="277"/>
    </row>
    <row r="63" spans="2:57" s="54" customFormat="1" ht="37.15" hidden="1" customHeight="1" thickBot="1">
      <c r="B63" s="481"/>
      <c r="C63" s="479"/>
      <c r="D63" s="442"/>
      <c r="E63" s="443"/>
      <c r="F63" s="444"/>
      <c r="G63" s="445"/>
      <c r="H63" s="446"/>
      <c r="I63" s="447"/>
      <c r="J63" s="448"/>
      <c r="K63" s="449"/>
      <c r="L63" s="457"/>
      <c r="M63" s="455"/>
      <c r="N63" s="13"/>
      <c r="O63" s="13"/>
      <c r="P63" s="50"/>
      <c r="R63" s="275"/>
      <c r="S63" s="275"/>
      <c r="T63" s="275"/>
      <c r="U63" s="275"/>
      <c r="V63" s="275"/>
      <c r="W63" s="275"/>
      <c r="X63" s="275"/>
      <c r="Y63" s="275"/>
      <c r="Z63" s="275"/>
      <c r="AA63" s="275"/>
      <c r="AB63" s="57"/>
      <c r="AC63" s="57"/>
      <c r="AD63" s="57"/>
      <c r="AE63" s="57"/>
      <c r="AF63" s="57"/>
      <c r="AG63" s="57"/>
      <c r="AH63" s="57"/>
      <c r="AI63" s="57"/>
      <c r="AJ63" s="57"/>
      <c r="AK63" s="57"/>
      <c r="AL63" s="57"/>
      <c r="AM63" s="57"/>
      <c r="AN63" s="57"/>
      <c r="AO63" s="57"/>
      <c r="AP63" s="57"/>
      <c r="AQ63" s="57"/>
      <c r="AR63" s="57"/>
      <c r="AS63" s="57"/>
      <c r="AT63" s="57"/>
      <c r="AU63" s="57"/>
      <c r="AV63" s="57"/>
      <c r="AW63" s="57"/>
      <c r="AX63" s="277"/>
      <c r="AY63" s="277"/>
      <c r="AZ63" s="277"/>
      <c r="BA63" s="277"/>
      <c r="BB63" s="277"/>
      <c r="BC63" s="277"/>
      <c r="BD63" s="277"/>
      <c r="BE63" s="277"/>
    </row>
    <row r="64" spans="2:57" s="54" customFormat="1" ht="16.5" hidden="1" customHeight="1" thickBot="1">
      <c r="B64" s="437"/>
      <c r="C64" s="423"/>
      <c r="D64" s="424"/>
      <c r="E64" s="425"/>
      <c r="F64" s="426"/>
      <c r="G64" s="427"/>
      <c r="H64" s="428"/>
      <c r="I64" s="438"/>
      <c r="J64" s="439"/>
      <c r="K64" s="429"/>
      <c r="L64" s="440"/>
      <c r="M64" s="422"/>
      <c r="N64" s="13"/>
      <c r="O64" s="13"/>
      <c r="P64" s="50"/>
      <c r="R64" s="275"/>
      <c r="S64" s="275"/>
      <c r="T64" s="275"/>
      <c r="U64" s="275"/>
      <c r="V64" s="275"/>
      <c r="W64" s="275"/>
      <c r="X64" s="275"/>
      <c r="Y64" s="275"/>
      <c r="Z64" s="275"/>
      <c r="AA64" s="275"/>
      <c r="AB64" s="415"/>
      <c r="AC64" s="415"/>
      <c r="AD64" s="415"/>
      <c r="AE64" s="415"/>
      <c r="AF64" s="415"/>
      <c r="AG64" s="415"/>
      <c r="AH64" s="415"/>
      <c r="AI64" s="415"/>
      <c r="AJ64" s="415"/>
      <c r="AK64" s="415"/>
      <c r="AL64" s="415"/>
      <c r="AM64" s="415"/>
      <c r="AN64" s="415"/>
      <c r="AO64" s="415"/>
      <c r="AP64" s="415"/>
      <c r="AQ64" s="415"/>
      <c r="AR64" s="415"/>
      <c r="AS64" s="415"/>
      <c r="AT64" s="415"/>
      <c r="AU64" s="415"/>
      <c r="AV64" s="415"/>
      <c r="AW64" s="415"/>
    </row>
    <row r="65" spans="2:57" s="54" customFormat="1" ht="37.15" hidden="1" customHeight="1" thickBot="1">
      <c r="B65" s="456"/>
      <c r="C65" s="441"/>
      <c r="D65" s="442"/>
      <c r="E65" s="443"/>
      <c r="F65" s="444"/>
      <c r="G65" s="445"/>
      <c r="H65" s="446"/>
      <c r="I65" s="447"/>
      <c r="J65" s="448"/>
      <c r="K65" s="449"/>
      <c r="L65" s="457"/>
      <c r="M65" s="454"/>
      <c r="N65" s="13"/>
      <c r="O65" s="13"/>
      <c r="P65" s="50"/>
      <c r="R65" s="275"/>
      <c r="S65" s="275"/>
      <c r="T65" s="275"/>
      <c r="U65" s="275"/>
      <c r="V65" s="275"/>
      <c r="W65" s="275"/>
      <c r="X65" s="275"/>
      <c r="Y65" s="275"/>
      <c r="Z65" s="275"/>
      <c r="AA65" s="275"/>
      <c r="AB65" s="57"/>
      <c r="AC65" s="57"/>
      <c r="AD65" s="57"/>
      <c r="AE65" s="57"/>
      <c r="AF65" s="57"/>
      <c r="AG65" s="57"/>
      <c r="AH65" s="57"/>
      <c r="AI65" s="57"/>
      <c r="AJ65" s="57"/>
      <c r="AK65" s="57"/>
      <c r="AL65" s="57"/>
      <c r="AM65" s="57"/>
      <c r="AN65" s="57"/>
      <c r="AO65" s="57"/>
      <c r="AP65" s="57"/>
      <c r="AQ65" s="57"/>
      <c r="AR65" s="57"/>
      <c r="AS65" s="57"/>
      <c r="AT65" s="57"/>
      <c r="AU65" s="57"/>
      <c r="AV65" s="57"/>
      <c r="AW65" s="57"/>
      <c r="AX65" s="277"/>
      <c r="AY65" s="277"/>
      <c r="AZ65" s="277"/>
      <c r="BA65" s="277"/>
      <c r="BB65" s="277"/>
      <c r="BC65" s="277"/>
      <c r="BD65" s="277"/>
      <c r="BE65" s="277"/>
    </row>
    <row r="66" spans="2:57" s="54" customFormat="1" ht="37.15" customHeight="1">
      <c r="B66" s="466"/>
      <c r="C66" s="430"/>
      <c r="D66" s="460"/>
      <c r="E66" s="461"/>
      <c r="F66" s="462"/>
      <c r="G66" s="460"/>
      <c r="H66" s="463"/>
      <c r="I66" s="463"/>
      <c r="J66" s="463"/>
      <c r="K66" s="464"/>
      <c r="L66" s="465"/>
      <c r="M66" s="50"/>
      <c r="N66" s="13"/>
      <c r="O66" s="13"/>
      <c r="P66" s="50"/>
      <c r="R66" s="275"/>
      <c r="S66" s="275"/>
      <c r="T66" s="275"/>
      <c r="U66" s="275"/>
      <c r="V66" s="275"/>
      <c r="W66" s="275"/>
      <c r="X66" s="275"/>
      <c r="Y66" s="275"/>
      <c r="Z66" s="275"/>
      <c r="AA66" s="275"/>
      <c r="AB66" s="57"/>
      <c r="AC66" s="57"/>
      <c r="AD66" s="57"/>
      <c r="AE66" s="57"/>
      <c r="AF66" s="57"/>
      <c r="AG66" s="57"/>
      <c r="AH66" s="57"/>
      <c r="AI66" s="57"/>
      <c r="AJ66" s="57"/>
      <c r="AK66" s="57"/>
      <c r="AL66" s="57"/>
      <c r="AM66" s="57"/>
      <c r="AN66" s="57"/>
      <c r="AO66" s="57"/>
      <c r="AP66" s="57"/>
      <c r="AQ66" s="57"/>
      <c r="AR66" s="57"/>
      <c r="AS66" s="57"/>
      <c r="AT66" s="57"/>
      <c r="AU66" s="57"/>
      <c r="AV66" s="57"/>
      <c r="AW66" s="57"/>
      <c r="AX66" s="277"/>
      <c r="AY66" s="277"/>
      <c r="AZ66" s="277"/>
      <c r="BA66" s="277"/>
      <c r="BB66" s="277"/>
      <c r="BC66" s="277"/>
      <c r="BD66" s="277"/>
      <c r="BE66" s="277"/>
    </row>
    <row r="67" spans="2:57" ht="18" customHeight="1" thickBot="1">
      <c r="B67" s="59"/>
      <c r="C67" s="309"/>
      <c r="D67" s="59"/>
      <c r="E67" s="59"/>
      <c r="F67" s="59"/>
      <c r="G67" s="59"/>
      <c r="H67" s="59"/>
      <c r="I67" s="59"/>
      <c r="J67" s="59"/>
      <c r="K67" s="59"/>
      <c r="L67" s="59"/>
      <c r="M67" s="59"/>
      <c r="N67" s="59" t="s">
        <v>41</v>
      </c>
      <c r="O67" s="56"/>
      <c r="P67" s="60"/>
    </row>
    <row r="68" spans="2:57" ht="15.75" thickBot="1">
      <c r="B68" s="499" t="s">
        <v>55</v>
      </c>
      <c r="C68" s="500"/>
      <c r="D68" s="500"/>
      <c r="E68" s="500"/>
      <c r="F68" s="501"/>
      <c r="G68" s="499" t="s">
        <v>56</v>
      </c>
      <c r="H68" s="500"/>
      <c r="I68" s="500"/>
      <c r="J68" s="501"/>
      <c r="K68" s="499" t="s">
        <v>51</v>
      </c>
      <c r="L68" s="500"/>
      <c r="M68" s="500"/>
      <c r="N68" s="502"/>
      <c r="O68" s="56"/>
      <c r="P68" s="50"/>
    </row>
    <row r="69" spans="2:57" ht="15">
      <c r="B69" s="61" t="s">
        <v>17</v>
      </c>
      <c r="C69" s="62" t="s">
        <v>36</v>
      </c>
      <c r="D69" s="62" t="s">
        <v>37</v>
      </c>
      <c r="E69" s="62" t="s">
        <v>38</v>
      </c>
      <c r="F69" s="63" t="s">
        <v>39</v>
      </c>
      <c r="G69" s="62" t="s">
        <v>36</v>
      </c>
      <c r="H69" s="62" t="s">
        <v>37</v>
      </c>
      <c r="I69" s="62" t="s">
        <v>38</v>
      </c>
      <c r="J69" s="63" t="s">
        <v>39</v>
      </c>
      <c r="K69" s="62" t="s">
        <v>36</v>
      </c>
      <c r="L69" s="62" t="s">
        <v>37</v>
      </c>
      <c r="M69" s="62" t="s">
        <v>38</v>
      </c>
      <c r="N69" s="63" t="s">
        <v>39</v>
      </c>
      <c r="O69" s="56"/>
      <c r="P69" s="64"/>
    </row>
    <row r="70" spans="2:57" ht="15">
      <c r="B70" s="29" t="s">
        <v>6</v>
      </c>
      <c r="C70" s="65">
        <f>L57</f>
        <v>6.3993831919815047</v>
      </c>
      <c r="D70" s="76">
        <v>7.2669378760384307</v>
      </c>
      <c r="E70" s="76">
        <v>6.6024208041377905</v>
      </c>
      <c r="F70" s="66">
        <v>4.8</v>
      </c>
      <c r="G70" s="65"/>
      <c r="H70" s="477">
        <v>6.4041575385468743</v>
      </c>
      <c r="I70" s="477">
        <v>6.6307190081077829</v>
      </c>
      <c r="J70" s="66">
        <v>4.8</v>
      </c>
      <c r="K70" s="67"/>
      <c r="L70" s="194">
        <v>0.60052339181286551</v>
      </c>
      <c r="M70" s="194">
        <v>0.53173259312468302</v>
      </c>
      <c r="N70" s="68">
        <v>1</v>
      </c>
      <c r="O70" s="56"/>
      <c r="P70" s="69"/>
    </row>
    <row r="71" spans="2:57" ht="15">
      <c r="B71" s="33" t="s">
        <v>9</v>
      </c>
      <c r="C71" s="65"/>
      <c r="D71" s="76">
        <v>8.1797752808988591</v>
      </c>
      <c r="E71" s="76">
        <v>5.939590940751847</v>
      </c>
      <c r="F71" s="66">
        <v>4.8</v>
      </c>
      <c r="G71" s="65"/>
      <c r="H71" s="76">
        <v>7.1493286491954091</v>
      </c>
      <c r="I71" s="76">
        <v>6.0146000548367518</v>
      </c>
      <c r="J71" s="66">
        <v>4.8</v>
      </c>
      <c r="K71" s="67"/>
      <c r="L71" s="194">
        <v>0.31847368421052635</v>
      </c>
      <c r="M71" s="194">
        <v>0.68029295501093157</v>
      </c>
      <c r="N71" s="68">
        <v>1</v>
      </c>
      <c r="P71" s="69"/>
    </row>
    <row r="72" spans="2:57" ht="15">
      <c r="B72" s="34" t="s">
        <v>40</v>
      </c>
      <c r="C72" s="65"/>
      <c r="D72" s="76"/>
      <c r="E72" s="76">
        <v>11.277593164016125</v>
      </c>
      <c r="F72" s="66">
        <v>5.5</v>
      </c>
      <c r="G72" s="65"/>
      <c r="H72" s="76"/>
      <c r="I72" s="76">
        <v>11.857907912244482</v>
      </c>
      <c r="J72" s="66">
        <v>5.5</v>
      </c>
      <c r="K72" s="67"/>
      <c r="L72" s="194"/>
      <c r="M72" s="194">
        <v>0.35370190356844494</v>
      </c>
      <c r="N72" s="68">
        <v>1</v>
      </c>
      <c r="P72" s="69"/>
    </row>
    <row r="73" spans="2:57" ht="15">
      <c r="B73" s="22" t="s">
        <v>33</v>
      </c>
      <c r="C73" s="65"/>
      <c r="D73" s="76"/>
      <c r="E73" s="76">
        <v>4.8685538193023836</v>
      </c>
      <c r="F73" s="66">
        <v>3.3</v>
      </c>
      <c r="G73" s="65"/>
      <c r="H73" s="76"/>
      <c r="I73" s="76">
        <v>4.8702525342252114</v>
      </c>
      <c r="J73" s="66">
        <v>3.3</v>
      </c>
      <c r="K73" s="67"/>
      <c r="L73" s="194"/>
      <c r="M73" s="194">
        <v>0.77919298245614044</v>
      </c>
      <c r="N73" s="68">
        <v>1</v>
      </c>
      <c r="P73" s="69"/>
    </row>
    <row r="74" spans="2:57" ht="15">
      <c r="B74" s="35" t="s">
        <v>164</v>
      </c>
      <c r="C74" s="65"/>
      <c r="D74" s="76"/>
      <c r="E74" s="76"/>
      <c r="F74" s="66">
        <v>3.3</v>
      </c>
      <c r="G74" s="282"/>
      <c r="H74" s="76"/>
      <c r="I74" s="76"/>
      <c r="J74" s="66">
        <v>3</v>
      </c>
      <c r="K74" s="67"/>
      <c r="L74" s="194"/>
      <c r="M74" s="194"/>
      <c r="N74" s="68">
        <v>1</v>
      </c>
      <c r="P74" s="69"/>
    </row>
    <row r="75" spans="2:57" ht="15">
      <c r="B75" s="36" t="s">
        <v>15</v>
      </c>
      <c r="C75" s="65"/>
      <c r="D75" s="76">
        <v>6.8855672629257718</v>
      </c>
      <c r="E75" s="76">
        <v>6.3233965672990236</v>
      </c>
      <c r="F75" s="70">
        <v>5.5</v>
      </c>
      <c r="G75" s="65"/>
      <c r="H75" s="76">
        <v>7.4264332958762713</v>
      </c>
      <c r="I75" s="76">
        <v>7.9667553186446929</v>
      </c>
      <c r="J75" s="66">
        <v>5.5</v>
      </c>
      <c r="K75" s="67"/>
      <c r="L75" s="194">
        <v>0.391812865497076</v>
      </c>
      <c r="M75" s="194">
        <v>0.5883625730994152</v>
      </c>
      <c r="N75" s="68">
        <v>1</v>
      </c>
      <c r="P75" s="69"/>
    </row>
    <row r="76" spans="2:57" ht="15">
      <c r="B76" s="37" t="s">
        <v>16</v>
      </c>
      <c r="C76" s="482"/>
      <c r="D76" s="76"/>
      <c r="E76" s="76">
        <v>3.6168923014750334</v>
      </c>
      <c r="F76" s="66">
        <v>3.3</v>
      </c>
      <c r="G76" s="282"/>
      <c r="H76" s="76"/>
      <c r="I76" s="76">
        <v>5.0091179718082053</v>
      </c>
      <c r="J76" s="66">
        <v>3.3</v>
      </c>
      <c r="K76" s="67"/>
      <c r="L76" s="194"/>
      <c r="M76" s="194">
        <v>0.92642300194931759</v>
      </c>
      <c r="N76" s="71">
        <v>1</v>
      </c>
      <c r="P76" s="69"/>
    </row>
    <row r="77" spans="2:57" ht="15.75" thickBot="1">
      <c r="B77" s="38" t="s">
        <v>163</v>
      </c>
      <c r="C77" s="65"/>
      <c r="D77" s="76"/>
      <c r="E77" s="76"/>
      <c r="F77" s="66">
        <v>7.5</v>
      </c>
      <c r="G77" s="282"/>
      <c r="H77" s="76"/>
      <c r="I77" s="76"/>
      <c r="J77" s="66">
        <v>7.5</v>
      </c>
      <c r="K77" s="67"/>
      <c r="L77" s="194"/>
      <c r="M77" s="194"/>
      <c r="N77" s="71">
        <v>1</v>
      </c>
      <c r="P77" s="69"/>
    </row>
    <row r="78" spans="2:57" ht="15.75" thickBot="1">
      <c r="B78" s="414" t="s">
        <v>161</v>
      </c>
      <c r="C78" s="65"/>
      <c r="D78" s="76"/>
      <c r="E78" s="76"/>
      <c r="F78" s="66">
        <v>4.8</v>
      </c>
      <c r="G78" s="282"/>
      <c r="H78" s="76"/>
      <c r="I78" s="76"/>
      <c r="J78" s="66">
        <v>4.8</v>
      </c>
      <c r="K78" s="67"/>
      <c r="L78" s="194"/>
      <c r="M78" s="194"/>
      <c r="N78" s="71">
        <v>1</v>
      </c>
      <c r="O78" s="74"/>
      <c r="P78" s="75"/>
    </row>
    <row r="79" spans="2:57" ht="15">
      <c r="D79" s="76">
        <v>7.4125390445745492</v>
      </c>
      <c r="E79" s="76">
        <v>6.4147316896923909</v>
      </c>
      <c r="F79" s="341">
        <v>5.5</v>
      </c>
      <c r="H79" s="76">
        <v>6.6840393045153821</v>
      </c>
      <c r="I79" s="76">
        <v>6.6928815041484677</v>
      </c>
      <c r="J79" s="341">
        <v>5.5</v>
      </c>
      <c r="L79" s="194">
        <v>0.50896716149347732</v>
      </c>
      <c r="M79" s="194">
        <v>0.59194404706036807</v>
      </c>
      <c r="N79" s="386">
        <v>1</v>
      </c>
    </row>
  </sheetData>
  <mergeCells count="51">
    <mergeCell ref="M4:N4"/>
    <mergeCell ref="S1:T1"/>
    <mergeCell ref="U1:V1"/>
    <mergeCell ref="W1:X1"/>
    <mergeCell ref="Y1:Z1"/>
    <mergeCell ref="B2:O2"/>
    <mergeCell ref="P8:P9"/>
    <mergeCell ref="C5:D5"/>
    <mergeCell ref="B8:B9"/>
    <mergeCell ref="C8:C9"/>
    <mergeCell ref="D8:D9"/>
    <mergeCell ref="G8:G9"/>
    <mergeCell ref="H8:H9"/>
    <mergeCell ref="I8:I9"/>
    <mergeCell ref="J8:J9"/>
    <mergeCell ref="K8:K9"/>
    <mergeCell ref="L8:L9"/>
    <mergeCell ref="O8:O9"/>
    <mergeCell ref="I26:N26"/>
    <mergeCell ref="D27:E27"/>
    <mergeCell ref="B28:B39"/>
    <mergeCell ref="D28:E29"/>
    <mergeCell ref="D30:E31"/>
    <mergeCell ref="D32:E33"/>
    <mergeCell ref="D34:E35"/>
    <mergeCell ref="D36:E37"/>
    <mergeCell ref="D38:E39"/>
    <mergeCell ref="B40:B49"/>
    <mergeCell ref="D40:E41"/>
    <mergeCell ref="J40:K40"/>
    <mergeCell ref="L41:N41"/>
    <mergeCell ref="D42:E43"/>
    <mergeCell ref="D44:E45"/>
    <mergeCell ref="D46:E47"/>
    <mergeCell ref="D48:E49"/>
    <mergeCell ref="D50:E50"/>
    <mergeCell ref="B55:B56"/>
    <mergeCell ref="C55:C56"/>
    <mergeCell ref="D55:D56"/>
    <mergeCell ref="E55:E56"/>
    <mergeCell ref="M55:M56"/>
    <mergeCell ref="B68:F68"/>
    <mergeCell ref="G68:J68"/>
    <mergeCell ref="K68:N68"/>
    <mergeCell ref="G55:G56"/>
    <mergeCell ref="H55:H56"/>
    <mergeCell ref="I55:I56"/>
    <mergeCell ref="J55:J56"/>
    <mergeCell ref="K55:K56"/>
    <mergeCell ref="L55:L56"/>
    <mergeCell ref="F55:F56"/>
  </mergeCells>
  <conditionalFormatting sqref="B50:B51">
    <cfRule type="cellIs" dxfId="1731" priority="114" operator="notBetween">
      <formula>#REF!</formula>
      <formula>#REF!</formula>
    </cfRule>
  </conditionalFormatting>
  <conditionalFormatting sqref="C54">
    <cfRule type="cellIs" dxfId="1730" priority="197" stopIfTrue="1" operator="greaterThan">
      <formula>100</formula>
    </cfRule>
    <cfRule type="cellIs" dxfId="1729" priority="196" stopIfTrue="1" operator="lessThan">
      <formula>96</formula>
    </cfRule>
  </conditionalFormatting>
  <conditionalFormatting sqref="C70:C71">
    <cfRule type="cellIs" dxfId="1728" priority="78" stopIfTrue="1" operator="lessThanOrEqual">
      <formula>0</formula>
    </cfRule>
    <cfRule type="cellIs" dxfId="1727" priority="77" stopIfTrue="1" operator="greaterThan">
      <formula>$F70</formula>
    </cfRule>
    <cfRule type="cellIs" dxfId="1726" priority="79" stopIfTrue="1" operator="greaterThan">
      <formula>$F70</formula>
    </cfRule>
    <cfRule type="cellIs" dxfId="1725" priority="80" stopIfTrue="1" operator="lessThanOrEqual">
      <formula>0</formula>
    </cfRule>
  </conditionalFormatting>
  <conditionalFormatting sqref="C72:C74 C76:C78">
    <cfRule type="cellIs" dxfId="1724" priority="86" stopIfTrue="1" operator="greaterThan">
      <formula>$F75</formula>
    </cfRule>
  </conditionalFormatting>
  <conditionalFormatting sqref="C72:C74">
    <cfRule type="cellIs" dxfId="1723" priority="87" stopIfTrue="1" operator="lessThanOrEqual">
      <formula>0</formula>
    </cfRule>
  </conditionalFormatting>
  <conditionalFormatting sqref="C75">
    <cfRule type="cellIs" dxfId="1722" priority="201" stopIfTrue="1" operator="lessThanOrEqual">
      <formula>0</formula>
    </cfRule>
    <cfRule type="cellIs" dxfId="1721" priority="200" stopIfTrue="1" operator="greaterThan">
      <formula>$F70</formula>
    </cfRule>
    <cfRule type="cellIs" dxfId="1720" priority="199" stopIfTrue="1" operator="lessThanOrEqual">
      <formula>0</formula>
    </cfRule>
    <cfRule type="cellIs" dxfId="1719" priority="198" stopIfTrue="1" operator="greaterThan">
      <formula>$F70</formula>
    </cfRule>
  </conditionalFormatting>
  <conditionalFormatting sqref="C76:C78">
    <cfRule type="cellIs" dxfId="1718" priority="88" stopIfTrue="1" operator="lessThanOrEqual">
      <formula>0</formula>
    </cfRule>
  </conditionalFormatting>
  <conditionalFormatting sqref="C81:C85">
    <cfRule type="cellIs" dxfId="1717" priority="188" stopIfTrue="1" operator="lessThanOrEqual">
      <formula>0</formula>
    </cfRule>
  </conditionalFormatting>
  <conditionalFormatting sqref="C82:C85">
    <cfRule type="cellIs" dxfId="1716" priority="187" stopIfTrue="1" operator="greaterThan">
      <formula>$F$81</formula>
    </cfRule>
  </conditionalFormatting>
  <conditionalFormatting sqref="C87">
    <cfRule type="cellIs" dxfId="1715" priority="189" stopIfTrue="1" operator="greaterThan">
      <formula>$F$81</formula>
    </cfRule>
    <cfRule type="cellIs" dxfId="1714" priority="190" stopIfTrue="1" operator="lessThanOrEqual">
      <formula>0</formula>
    </cfRule>
  </conditionalFormatting>
  <conditionalFormatting sqref="C75:D75">
    <cfRule type="cellIs" dxfId="1713" priority="76" stopIfTrue="1" operator="lessThanOrEqual">
      <formula>0</formula>
    </cfRule>
    <cfRule type="cellIs" dxfId="1712" priority="75" stopIfTrue="1" operator="greaterThan">
      <formula>$J75</formula>
    </cfRule>
  </conditionalFormatting>
  <conditionalFormatting sqref="C81:D81 D83:D89">
    <cfRule type="cellIs" dxfId="1711" priority="182" stopIfTrue="1" operator="greaterThan">
      <formula>4.5</formula>
    </cfRule>
  </conditionalFormatting>
  <conditionalFormatting sqref="D50:D51">
    <cfRule type="cellIs" dxfId="1710" priority="115" operator="notBetween">
      <formula>#REF!</formula>
      <formula>#REF!</formula>
    </cfRule>
  </conditionalFormatting>
  <conditionalFormatting sqref="D70:D74 D76:D77">
    <cfRule type="cellIs" dxfId="1709" priority="85" stopIfTrue="1" operator="lessThanOrEqual">
      <formula>0</formula>
    </cfRule>
  </conditionalFormatting>
  <conditionalFormatting sqref="D70:D74 D76:D79">
    <cfRule type="cellIs" dxfId="1708" priority="82" stopIfTrue="1" operator="greaterThan">
      <formula>$F70</formula>
    </cfRule>
    <cfRule type="cellIs" dxfId="1707" priority="81" stopIfTrue="1" operator="lessThanOrEqual">
      <formula>0</formula>
    </cfRule>
  </conditionalFormatting>
  <conditionalFormatting sqref="D78:D79">
    <cfRule type="cellIs" dxfId="1706" priority="83" stopIfTrue="1" operator="lessThanOrEqual">
      <formula>0</formula>
    </cfRule>
  </conditionalFormatting>
  <conditionalFormatting sqref="D79">
    <cfRule type="cellIs" dxfId="1705" priority="84" stopIfTrue="1" operator="lessThanOrEqual">
      <formula>0</formula>
    </cfRule>
  </conditionalFormatting>
  <conditionalFormatting sqref="D81 D83:D89">
    <cfRule type="cellIs" dxfId="1704" priority="183" stopIfTrue="1" operator="lessThanOrEqual">
      <formula>0</formula>
    </cfRule>
  </conditionalFormatting>
  <conditionalFormatting sqref="D82">
    <cfRule type="cellIs" dxfId="1703" priority="175" stopIfTrue="1" operator="lessThanOrEqual">
      <formula>0</formula>
    </cfRule>
    <cfRule type="cellIs" dxfId="1702" priority="174" stopIfTrue="1" operator="greaterThan">
      <formula>$F$81</formula>
    </cfRule>
  </conditionalFormatting>
  <conditionalFormatting sqref="E10:E25">
    <cfRule type="cellIs" dxfId="1701" priority="7" operator="lessThan">
      <formula>48</formula>
    </cfRule>
  </conditionalFormatting>
  <conditionalFormatting sqref="E53 E54:F54">
    <cfRule type="cellIs" dxfId="1700" priority="179" stopIfTrue="1" operator="greaterThan">
      <formula>100</formula>
    </cfRule>
  </conditionalFormatting>
  <conditionalFormatting sqref="E54">
    <cfRule type="cellIs" dxfId="1699" priority="177" stopIfTrue="1" operator="greaterThan">
      <formula>100</formula>
    </cfRule>
    <cfRule type="cellIs" dxfId="1698" priority="176" stopIfTrue="1" operator="lessThan">
      <formula>96.8</formula>
    </cfRule>
  </conditionalFormatting>
  <conditionalFormatting sqref="E70:E78">
    <cfRule type="cellIs" dxfId="1697" priority="48" stopIfTrue="1" operator="lessThanOrEqual">
      <formula>0</formula>
    </cfRule>
  </conditionalFormatting>
  <conditionalFormatting sqref="E70:E79">
    <cfRule type="cellIs" dxfId="1696" priority="49" stopIfTrue="1" operator="greaterThan">
      <formula>$F70</formula>
    </cfRule>
    <cfRule type="cellIs" dxfId="1695" priority="50" stopIfTrue="1" operator="lessThanOrEqual">
      <formula>0</formula>
    </cfRule>
  </conditionalFormatting>
  <conditionalFormatting sqref="E79">
    <cfRule type="cellIs" dxfId="1694" priority="51" stopIfTrue="1" operator="lessThanOrEqual">
      <formula>0</formula>
    </cfRule>
  </conditionalFormatting>
  <conditionalFormatting sqref="E81:E89">
    <cfRule type="cellIs" dxfId="1693" priority="169" stopIfTrue="1" operator="lessThanOrEqual">
      <formula>0</formula>
    </cfRule>
    <cfRule type="cellIs" dxfId="1692" priority="168" stopIfTrue="1" operator="greaterThan">
      <formula>4.5</formula>
    </cfRule>
  </conditionalFormatting>
  <conditionalFormatting sqref="E54:F54 E53">
    <cfRule type="cellIs" dxfId="1691" priority="178" stopIfTrue="1" operator="lessThan">
      <formula>96.5</formula>
    </cfRule>
  </conditionalFormatting>
  <conditionalFormatting sqref="F10:F25">
    <cfRule type="cellIs" dxfId="1690" priority="11" operator="greaterThan">
      <formula>60</formula>
    </cfRule>
  </conditionalFormatting>
  <conditionalFormatting sqref="F54">
    <cfRule type="cellIs" dxfId="1689" priority="194" stopIfTrue="1" operator="lessThan">
      <formula>96.8</formula>
    </cfRule>
    <cfRule type="cellIs" dxfId="1688" priority="195" stopIfTrue="1" operator="greaterThan">
      <formula>100</formula>
    </cfRule>
  </conditionalFormatting>
  <conditionalFormatting sqref="G13:G19 G25">
    <cfRule type="expression" dxfId="1687" priority="14">
      <formula>IF(+(IF(G13&lt;S13,0,IF(G13&gt;T13,0,1)))=0,1)</formula>
    </cfRule>
  </conditionalFormatting>
  <conditionalFormatting sqref="G70:G73 F79">
    <cfRule type="cellIs" dxfId="1686" priority="57" stopIfTrue="1" operator="greaterThan">
      <formula>$F70</formula>
    </cfRule>
    <cfRule type="cellIs" dxfId="1685" priority="58" stopIfTrue="1" operator="lessThanOrEqual">
      <formula>0</formula>
    </cfRule>
  </conditionalFormatting>
  <conditionalFormatting sqref="G72:G73">
    <cfRule type="cellIs" dxfId="1684" priority="43" stopIfTrue="1" operator="greaterThan">
      <formula>$F72</formula>
    </cfRule>
    <cfRule type="cellIs" dxfId="1683" priority="44" stopIfTrue="1" operator="lessThanOrEqual">
      <formula>0</formula>
    </cfRule>
  </conditionalFormatting>
  <conditionalFormatting sqref="G74:G78">
    <cfRule type="cellIs" dxfId="1682" priority="60" stopIfTrue="1" operator="lessThanOrEqual">
      <formula>0</formula>
    </cfRule>
    <cfRule type="cellIs" dxfId="1681" priority="59" stopIfTrue="1" operator="greaterThan">
      <formula>$J74</formula>
    </cfRule>
  </conditionalFormatting>
  <conditionalFormatting sqref="G75">
    <cfRule type="cellIs" dxfId="1680" priority="202" stopIfTrue="1" operator="greaterThan">
      <formula>$F70</formula>
    </cfRule>
    <cfRule type="cellIs" dxfId="1679" priority="203" stopIfTrue="1" operator="lessThanOrEqual">
      <formula>0</formula>
    </cfRule>
  </conditionalFormatting>
  <conditionalFormatting sqref="G83:G88 C86 C88">
    <cfRule type="cellIs" dxfId="1678" priority="192" stopIfTrue="1" operator="lessThanOrEqual">
      <formula>0</formula>
    </cfRule>
    <cfRule type="cellIs" dxfId="1677" priority="191" stopIfTrue="1" operator="greaterThan">
      <formula>4.5</formula>
    </cfRule>
  </conditionalFormatting>
  <conditionalFormatting sqref="G10:H12 M10:N12 G20:H22 M20:N24 G23:G24 H23:H25">
    <cfRule type="expression" dxfId="1676" priority="15">
      <formula>IF(+(IF(G10&lt;#REF!,0,IF(G10&gt;#REF!,0,1)))=0,1)</formula>
    </cfRule>
  </conditionalFormatting>
  <conditionalFormatting sqref="G82:H82">
    <cfRule type="cellIs" dxfId="1675" priority="173" stopIfTrue="1" operator="lessThanOrEqual">
      <formula>0</formula>
    </cfRule>
    <cfRule type="cellIs" dxfId="1674" priority="172" stopIfTrue="1" operator="greaterThan">
      <formula>$F$81</formula>
    </cfRule>
  </conditionalFormatting>
  <conditionalFormatting sqref="H13:H19">
    <cfRule type="expression" dxfId="1673" priority="8">
      <formula>IF(+(IF(H13&lt;#REF!,0,IF(H13&gt;#REF!,0,1)))=0,1)</formula>
    </cfRule>
  </conditionalFormatting>
  <conditionalFormatting sqref="H39:H40 H53">
    <cfRule type="cellIs" dxfId="1672" priority="170" stopIfTrue="1" operator="greaterThan">
      <formula>0</formula>
    </cfRule>
  </conditionalFormatting>
  <conditionalFormatting sqref="H57">
    <cfRule type="cellIs" dxfId="1671" priority="72" stopIfTrue="1" operator="lessThanOrEqual">
      <formula>0</formula>
    </cfRule>
    <cfRule type="cellIs" dxfId="1670" priority="71" stopIfTrue="1" operator="greaterThan">
      <formula>$F$73</formula>
    </cfRule>
    <cfRule type="cellIs" dxfId="1669" priority="62" stopIfTrue="1" operator="lessThanOrEqual">
      <formula>0</formula>
    </cfRule>
    <cfRule type="cellIs" dxfId="1668" priority="73" stopIfTrue="1" operator="greaterThan">
      <formula>$F$71</formula>
    </cfRule>
    <cfRule type="cellIs" dxfId="1667" priority="63" stopIfTrue="1" operator="greaterThan">
      <formula>$F$70</formula>
    </cfRule>
  </conditionalFormatting>
  <conditionalFormatting sqref="H57:H58">
    <cfRule type="cellIs" dxfId="1666" priority="74" stopIfTrue="1" operator="lessThanOrEqual">
      <formula>0</formula>
    </cfRule>
  </conditionalFormatting>
  <conditionalFormatting sqref="H58 H60:H61">
    <cfRule type="cellIs" dxfId="1665" priority="100" stopIfTrue="1" operator="lessThanOrEqual">
      <formula>0</formula>
    </cfRule>
  </conditionalFormatting>
  <conditionalFormatting sqref="H58">
    <cfRule type="cellIs" dxfId="1664" priority="89" stopIfTrue="1" operator="greaterThan">
      <formula>$F$70</formula>
    </cfRule>
    <cfRule type="cellIs" dxfId="1663" priority="98" stopIfTrue="1" operator="lessThanOrEqual">
      <formula>0</formula>
    </cfRule>
    <cfRule type="cellIs" dxfId="1662" priority="97" stopIfTrue="1" operator="greaterThan">
      <formula>$F$73</formula>
    </cfRule>
    <cfRule type="cellIs" dxfId="1661" priority="99" stopIfTrue="1" operator="greaterThan">
      <formula>$F$71</formula>
    </cfRule>
  </conditionalFormatting>
  <conditionalFormatting sqref="H59">
    <cfRule type="cellIs" dxfId="1660" priority="41" stopIfTrue="1" operator="lessThanOrEqual">
      <formula>0</formula>
    </cfRule>
    <cfRule type="cellIs" dxfId="1659" priority="29" stopIfTrue="1" operator="lessThanOrEqual">
      <formula>0</formula>
    </cfRule>
    <cfRule type="cellIs" dxfId="1658" priority="30" stopIfTrue="1" operator="greaterThan">
      <formula>$F$72</formula>
    </cfRule>
    <cfRule type="cellIs" dxfId="1657" priority="38" stopIfTrue="1" operator="greaterThan">
      <formula>$F$75</formula>
    </cfRule>
    <cfRule type="cellIs" dxfId="1656" priority="39" stopIfTrue="1" operator="lessThanOrEqual">
      <formula>0</formula>
    </cfRule>
    <cfRule type="cellIs" dxfId="1655" priority="40" stopIfTrue="1" operator="greaterThan">
      <formula>$F$73</formula>
    </cfRule>
  </conditionalFormatting>
  <conditionalFormatting sqref="H60:H61">
    <cfRule type="cellIs" dxfId="1654" priority="102" stopIfTrue="1" operator="greaterThan">
      <formula>$F$70</formula>
    </cfRule>
    <cfRule type="cellIs" dxfId="1653" priority="113" stopIfTrue="1" operator="lessThanOrEqual">
      <formula>0</formula>
    </cfRule>
    <cfRule type="cellIs" dxfId="1652" priority="112" stopIfTrue="1" operator="greaterThan">
      <formula>$F$71</formula>
    </cfRule>
    <cfRule type="cellIs" dxfId="1651" priority="111" stopIfTrue="1" operator="lessThanOrEqual">
      <formula>0</formula>
    </cfRule>
    <cfRule type="cellIs" dxfId="1650" priority="110" stopIfTrue="1" operator="greaterThan">
      <formula>$F$73</formula>
    </cfRule>
  </conditionalFormatting>
  <conditionalFormatting sqref="H62:H63">
    <cfRule type="cellIs" dxfId="1649" priority="138" stopIfTrue="1" operator="greaterThan">
      <formula>#REF!</formula>
    </cfRule>
    <cfRule type="cellIs" dxfId="1648" priority="137" stopIfTrue="1" operator="lessThanOrEqual">
      <formula>0</formula>
    </cfRule>
    <cfRule type="cellIs" dxfId="1647" priority="147" stopIfTrue="1" operator="lessThanOrEqual">
      <formula>0</formula>
    </cfRule>
    <cfRule type="cellIs" dxfId="1646" priority="146" stopIfTrue="1" operator="greaterThan">
      <formula>#REF!</formula>
    </cfRule>
  </conditionalFormatting>
  <conditionalFormatting sqref="H64">
    <cfRule type="cellIs" dxfId="1645" priority="160" stopIfTrue="1" operator="greaterThan">
      <formula>$F$39</formula>
    </cfRule>
    <cfRule type="cellIs" dxfId="1644" priority="159" stopIfTrue="1" operator="lessThanOrEqual">
      <formula>0</formula>
    </cfRule>
    <cfRule type="cellIs" dxfId="1643" priority="161" stopIfTrue="1" operator="lessThanOrEqual">
      <formula>0</formula>
    </cfRule>
    <cfRule type="cellIs" dxfId="1642" priority="150" stopIfTrue="1" operator="greaterThan">
      <formula>$F$38</formula>
    </cfRule>
    <cfRule type="cellIs" dxfId="1641" priority="149" stopIfTrue="1" operator="lessThanOrEqual">
      <formula>0</formula>
    </cfRule>
    <cfRule type="cellIs" dxfId="1640" priority="158" stopIfTrue="1" operator="greaterThan">
      <formula>$F$41</formula>
    </cfRule>
  </conditionalFormatting>
  <conditionalFormatting sqref="H65:H66">
    <cfRule type="cellIs" dxfId="1639" priority="134" stopIfTrue="1" operator="greaterThan">
      <formula>#REF!</formula>
    </cfRule>
    <cfRule type="cellIs" dxfId="1638" priority="126" stopIfTrue="1" operator="greaterThan">
      <formula>#REF!</formula>
    </cfRule>
    <cfRule type="cellIs" dxfId="1637" priority="135" stopIfTrue="1" operator="lessThanOrEqual">
      <formula>0</formula>
    </cfRule>
    <cfRule type="cellIs" dxfId="1636" priority="125" stopIfTrue="1" operator="lessThanOrEqual">
      <formula>0</formula>
    </cfRule>
  </conditionalFormatting>
  <conditionalFormatting sqref="H81 H83:H89">
    <cfRule type="cellIs" dxfId="1635" priority="184" stopIfTrue="1" operator="greaterThan">
      <formula>4.5</formula>
    </cfRule>
    <cfRule type="cellIs" dxfId="1634" priority="185" stopIfTrue="1" operator="lessThanOrEqual">
      <formula>0</formula>
    </cfRule>
  </conditionalFormatting>
  <conditionalFormatting sqref="H57:I57">
    <cfRule type="cellIs" dxfId="1633" priority="64" stopIfTrue="1" operator="lessThanOrEqual">
      <formula>0</formula>
    </cfRule>
  </conditionalFormatting>
  <conditionalFormatting sqref="H57:I58 H60:I61">
    <cfRule type="cellIs" dxfId="1632" priority="61" stopIfTrue="1" operator="greaterThan">
      <formula>$F$72</formula>
    </cfRule>
  </conditionalFormatting>
  <conditionalFormatting sqref="H58:I58">
    <cfRule type="cellIs" dxfId="1631" priority="90" stopIfTrue="1" operator="lessThanOrEqual">
      <formula>0</formula>
    </cfRule>
  </conditionalFormatting>
  <conditionalFormatting sqref="H59:I59">
    <cfRule type="cellIs" dxfId="1630" priority="31" stopIfTrue="1" operator="lessThanOrEqual">
      <formula>0</formula>
    </cfRule>
    <cfRule type="cellIs" dxfId="1629" priority="28" stopIfTrue="1" operator="greaterThan">
      <formula>$F$74</formula>
    </cfRule>
  </conditionalFormatting>
  <conditionalFormatting sqref="H60:I61">
    <cfRule type="cellIs" dxfId="1628" priority="103" stopIfTrue="1" operator="lessThanOrEqual">
      <formula>0</formula>
    </cfRule>
  </conditionalFormatting>
  <conditionalFormatting sqref="H62:I63">
    <cfRule type="cellIs" dxfId="1627" priority="139" stopIfTrue="1" operator="lessThanOrEqual">
      <formula>0</formula>
    </cfRule>
    <cfRule type="cellIs" dxfId="1626" priority="136" stopIfTrue="1" operator="greaterThan">
      <formula>#REF!</formula>
    </cfRule>
    <cfRule type="cellIs" dxfId="1625" priority="144" stopIfTrue="1" operator="greaterThan">
      <formula>#REF!</formula>
    </cfRule>
    <cfRule type="cellIs" dxfId="1624" priority="145" stopIfTrue="1" operator="lessThanOrEqual">
      <formula>0</formula>
    </cfRule>
  </conditionalFormatting>
  <conditionalFormatting sqref="H64:I64">
    <cfRule type="cellIs" dxfId="1623" priority="151" stopIfTrue="1" operator="lessThanOrEqual">
      <formula>0</formula>
    </cfRule>
    <cfRule type="cellIs" dxfId="1622" priority="148" stopIfTrue="1" operator="greaterThan">
      <formula>$F$40</formula>
    </cfRule>
  </conditionalFormatting>
  <conditionalFormatting sqref="H65:I66">
    <cfRule type="cellIs" dxfId="1621" priority="127" stopIfTrue="1" operator="lessThanOrEqual">
      <formula>0</formula>
    </cfRule>
    <cfRule type="cellIs" dxfId="1620" priority="133" stopIfTrue="1" operator="lessThanOrEqual">
      <formula>0</formula>
    </cfRule>
    <cfRule type="cellIs" dxfId="1619" priority="132" stopIfTrue="1" operator="greaterThan">
      <formula>#REF!</formula>
    </cfRule>
    <cfRule type="cellIs" dxfId="1618" priority="124" stopIfTrue="1" operator="greaterThan">
      <formula>#REF!</formula>
    </cfRule>
  </conditionalFormatting>
  <conditionalFormatting sqref="H70:I77">
    <cfRule type="cellIs" dxfId="1617" priority="46" stopIfTrue="1" operator="greaterThan">
      <formula>$J70</formula>
    </cfRule>
    <cfRule type="cellIs" dxfId="1616" priority="47" stopIfTrue="1" operator="lessThanOrEqual">
      <formula>0</formula>
    </cfRule>
  </conditionalFormatting>
  <conditionalFormatting sqref="H78:I78">
    <cfRule type="cellIs" dxfId="1615" priority="54" operator="greaterThan">
      <formula>5.3</formula>
    </cfRule>
  </conditionalFormatting>
  <conditionalFormatting sqref="H79:I79">
    <cfRule type="cellIs" dxfId="1614" priority="52" stopIfTrue="1" operator="greaterThan">
      <formula>$J79</formula>
    </cfRule>
    <cfRule type="cellIs" dxfId="1613" priority="53" stopIfTrue="1" operator="lessThanOrEqual">
      <formula>0</formula>
    </cfRule>
  </conditionalFormatting>
  <conditionalFormatting sqref="I57">
    <cfRule type="cellIs" dxfId="1612" priority="67" stopIfTrue="1" operator="greaterThan">
      <formula>$F$72</formula>
    </cfRule>
    <cfRule type="cellIs" dxfId="1611" priority="66" stopIfTrue="1" operator="lessThanOrEqual">
      <formula>0</formula>
    </cfRule>
    <cfRule type="cellIs" dxfId="1610" priority="65" stopIfTrue="1" operator="greaterThan">
      <formula>$F$70</formula>
    </cfRule>
    <cfRule type="cellIs" dxfId="1609" priority="70" stopIfTrue="1" operator="lessThanOrEqual">
      <formula>0</formula>
    </cfRule>
    <cfRule type="cellIs" dxfId="1608" priority="69" stopIfTrue="1" operator="greaterThan">
      <formula>$F$70</formula>
    </cfRule>
    <cfRule type="cellIs" dxfId="1607" priority="68" stopIfTrue="1" operator="lessThanOrEqual">
      <formula>0</formula>
    </cfRule>
  </conditionalFormatting>
  <conditionalFormatting sqref="I58">
    <cfRule type="cellIs" dxfId="1606" priority="92" stopIfTrue="1" operator="lessThanOrEqual">
      <formula>0</formula>
    </cfRule>
    <cfRule type="cellIs" dxfId="1605" priority="91" stopIfTrue="1" operator="greaterThan">
      <formula>$F$70</formula>
    </cfRule>
    <cfRule type="cellIs" dxfId="1604" priority="93" stopIfTrue="1" operator="greaterThan">
      <formula>$F$72</formula>
    </cfRule>
    <cfRule type="cellIs" dxfId="1603" priority="94" stopIfTrue="1" operator="lessThanOrEqual">
      <formula>0</formula>
    </cfRule>
    <cfRule type="cellIs" dxfId="1602" priority="96" stopIfTrue="1" operator="lessThanOrEqual">
      <formula>0</formula>
    </cfRule>
    <cfRule type="cellIs" dxfId="1601" priority="95" stopIfTrue="1" operator="greaterThan">
      <formula>$F$70</formula>
    </cfRule>
  </conditionalFormatting>
  <conditionalFormatting sqref="I59">
    <cfRule type="cellIs" dxfId="1600" priority="36" stopIfTrue="1" operator="greaterThan">
      <formula>$F$72</formula>
    </cfRule>
    <cfRule type="cellIs" dxfId="1599" priority="32" stopIfTrue="1" operator="greaterThan">
      <formula>$F$72</formula>
    </cfRule>
    <cfRule type="cellIs" dxfId="1598" priority="34" stopIfTrue="1" operator="greaterThan">
      <formula>$F$74</formula>
    </cfRule>
    <cfRule type="cellIs" dxfId="1597" priority="35" stopIfTrue="1" operator="lessThanOrEqual">
      <formula>0</formula>
    </cfRule>
    <cfRule type="cellIs" dxfId="1596" priority="37" stopIfTrue="1" operator="lessThanOrEqual">
      <formula>0</formula>
    </cfRule>
    <cfRule type="cellIs" dxfId="1595" priority="33" stopIfTrue="1" operator="lessThanOrEqual">
      <formula>0</formula>
    </cfRule>
  </conditionalFormatting>
  <conditionalFormatting sqref="I60:I61">
    <cfRule type="cellIs" dxfId="1594" priority="107" stopIfTrue="1" operator="lessThanOrEqual">
      <formula>0</formula>
    </cfRule>
    <cfRule type="cellIs" dxfId="1593" priority="108" stopIfTrue="1" operator="greaterThan">
      <formula>$F$70</formula>
    </cfRule>
    <cfRule type="cellIs" dxfId="1592" priority="106" stopIfTrue="1" operator="greaterThan">
      <formula>$F$72</formula>
    </cfRule>
    <cfRule type="cellIs" dxfId="1591" priority="105" stopIfTrue="1" operator="lessThanOrEqual">
      <formula>0</formula>
    </cfRule>
    <cfRule type="cellIs" dxfId="1590" priority="104" stopIfTrue="1" operator="greaterThan">
      <formula>$F$70</formula>
    </cfRule>
    <cfRule type="cellIs" dxfId="1589" priority="109" stopIfTrue="1" operator="lessThanOrEqual">
      <formula>0</formula>
    </cfRule>
  </conditionalFormatting>
  <conditionalFormatting sqref="I62:I63">
    <cfRule type="cellIs" dxfId="1588" priority="143" stopIfTrue="1" operator="lessThanOrEqual">
      <formula>0</formula>
    </cfRule>
    <cfRule type="cellIs" dxfId="1587" priority="142" stopIfTrue="1" operator="greaterThan">
      <formula>#REF!</formula>
    </cfRule>
    <cfRule type="cellIs" dxfId="1586" priority="141" stopIfTrue="1" operator="lessThanOrEqual">
      <formula>0</formula>
    </cfRule>
    <cfRule type="cellIs" dxfId="1585" priority="140" stopIfTrue="1" operator="greaterThan">
      <formula>#REF!</formula>
    </cfRule>
  </conditionalFormatting>
  <conditionalFormatting sqref="I64">
    <cfRule type="cellIs" dxfId="1584" priority="156" stopIfTrue="1" operator="greaterThan">
      <formula>$F$38</formula>
    </cfRule>
    <cfRule type="cellIs" dxfId="1583" priority="157" stopIfTrue="1" operator="lessThanOrEqual">
      <formula>0</formula>
    </cfRule>
    <cfRule type="cellIs" dxfId="1582" priority="152" stopIfTrue="1" operator="greaterThan">
      <formula>$F$38</formula>
    </cfRule>
    <cfRule type="cellIs" dxfId="1581" priority="153" stopIfTrue="1" operator="lessThanOrEqual">
      <formula>0</formula>
    </cfRule>
    <cfRule type="cellIs" dxfId="1580" priority="154" stopIfTrue="1" operator="greaterThan">
      <formula>$F$40</formula>
    </cfRule>
    <cfRule type="cellIs" dxfId="1579" priority="155" stopIfTrue="1" operator="lessThanOrEqual">
      <formula>0</formula>
    </cfRule>
  </conditionalFormatting>
  <conditionalFormatting sqref="I65:I66">
    <cfRule type="cellIs" dxfId="1578" priority="128" stopIfTrue="1" operator="greaterThan">
      <formula>#REF!</formula>
    </cfRule>
    <cfRule type="cellIs" dxfId="1577" priority="129" stopIfTrue="1" operator="lessThanOrEqual">
      <formula>0</formula>
    </cfRule>
    <cfRule type="cellIs" dxfId="1576" priority="130" stopIfTrue="1" operator="greaterThan">
      <formula>#REF!</formula>
    </cfRule>
    <cfRule type="cellIs" dxfId="1575" priority="131" stopIfTrue="1" operator="lessThanOrEqual">
      <formula>0</formula>
    </cfRule>
  </conditionalFormatting>
  <conditionalFormatting sqref="I81:I89">
    <cfRule type="cellIs" dxfId="1574" priority="180" stopIfTrue="1" operator="greaterThan">
      <formula>4.5</formula>
    </cfRule>
    <cfRule type="cellIs" dxfId="1573" priority="181" stopIfTrue="1" operator="lessThanOrEqual">
      <formula>0</formula>
    </cfRule>
  </conditionalFormatting>
  <conditionalFormatting sqref="I10:J25">
    <cfRule type="cellIs" dxfId="1572" priority="1" operator="lessThan">
      <formula>97.9</formula>
    </cfRule>
  </conditionalFormatting>
  <conditionalFormatting sqref="J28:J30">
    <cfRule type="cellIs" dxfId="1571" priority="27" operator="lessThan">
      <formula>97.95</formula>
    </cfRule>
  </conditionalFormatting>
  <conditionalFormatting sqref="J29:J32">
    <cfRule type="cellIs" dxfId="1570" priority="162" operator="lessThan">
      <formula>97.4</formula>
    </cfRule>
  </conditionalFormatting>
  <conditionalFormatting sqref="J33:J34">
    <cfRule type="cellIs" dxfId="1569" priority="163" operator="lessThan">
      <formula>98</formula>
    </cfRule>
  </conditionalFormatting>
  <conditionalFormatting sqref="J35:J36">
    <cfRule type="cellIs" dxfId="1568" priority="165" stopIfTrue="1" operator="greaterThan">
      <formula>100</formula>
    </cfRule>
    <cfRule type="cellIs" dxfId="1567" priority="164" stopIfTrue="1" operator="lessThan">
      <formula>96.8</formula>
    </cfRule>
  </conditionalFormatting>
  <conditionalFormatting sqref="J35:J37">
    <cfRule type="cellIs" dxfId="1566" priority="166" operator="lessThan">
      <formula>98</formula>
    </cfRule>
  </conditionalFormatting>
  <conditionalFormatting sqref="J66">
    <cfRule type="cellIs" dxfId="1565" priority="116" stopIfTrue="1" operator="greaterThan">
      <formula>#REF!</formula>
    </cfRule>
    <cfRule type="cellIs" dxfId="1564" priority="117" stopIfTrue="1" operator="lessThanOrEqual">
      <formula>0</formula>
    </cfRule>
    <cfRule type="cellIs" dxfId="1563" priority="118" stopIfTrue="1" operator="greaterThan">
      <formula>#REF!</formula>
    </cfRule>
    <cfRule type="cellIs" dxfId="1562" priority="119" stopIfTrue="1" operator="lessThanOrEqual">
      <formula>0</formula>
    </cfRule>
    <cfRule type="cellIs" dxfId="1561" priority="120" stopIfTrue="1" operator="greaterThan">
      <formula>#REF!</formula>
    </cfRule>
    <cfRule type="cellIs" dxfId="1560" priority="121" stopIfTrue="1" operator="lessThanOrEqual">
      <formula>0</formula>
    </cfRule>
    <cfRule type="cellIs" dxfId="1559" priority="122" stopIfTrue="1" operator="greaterThan">
      <formula>#REF!</formula>
    </cfRule>
    <cfRule type="cellIs" dxfId="1558" priority="123" stopIfTrue="1" operator="lessThanOrEqual">
      <formula>0</formula>
    </cfRule>
  </conditionalFormatting>
  <conditionalFormatting sqref="J79">
    <cfRule type="cellIs" dxfId="1557" priority="55" stopIfTrue="1" operator="greaterThan">
      <formula>$F79</formula>
    </cfRule>
    <cfRule type="cellIs" dxfId="1556" priority="56" stopIfTrue="1" operator="lessThanOrEqual">
      <formula>0</formula>
    </cfRule>
  </conditionalFormatting>
  <conditionalFormatting sqref="K10:K25">
    <cfRule type="cellIs" dxfId="1555" priority="4" operator="greaterThan">
      <formula>6.4</formula>
    </cfRule>
    <cfRule type="cellIs" dxfId="1554" priority="2" operator="greaterThan">
      <formula>6</formula>
    </cfRule>
    <cfRule type="cellIs" dxfId="1553" priority="3" operator="lessThan">
      <formula>4</formula>
    </cfRule>
  </conditionalFormatting>
  <conditionalFormatting sqref="K57:K66">
    <cfRule type="cellIs" dxfId="1552" priority="101" stopIfTrue="1" operator="lessThan">
      <formula>100%</formula>
    </cfRule>
  </conditionalFormatting>
  <conditionalFormatting sqref="K70:K78">
    <cfRule type="cellIs" dxfId="1551" priority="45" stopIfTrue="1" operator="lessThan">
      <formula>100%</formula>
    </cfRule>
  </conditionalFormatting>
  <conditionalFormatting sqref="K81:K86">
    <cfRule type="cellIs" dxfId="1550" priority="186" stopIfTrue="1" operator="lessThan">
      <formula>100%</formula>
    </cfRule>
  </conditionalFormatting>
  <conditionalFormatting sqref="K88:K89">
    <cfRule type="cellIs" dxfId="1549" priority="193" stopIfTrue="1" operator="lessThan">
      <formula>100%</formula>
    </cfRule>
  </conditionalFormatting>
  <conditionalFormatting sqref="L10:L25">
    <cfRule type="cellIs" dxfId="1548" priority="6" operator="greaterThan">
      <formula>65</formula>
    </cfRule>
    <cfRule type="cellIs" dxfId="1547" priority="5" operator="between">
      <formula>61</formula>
      <formula>65</formula>
    </cfRule>
  </conditionalFormatting>
  <conditionalFormatting sqref="L28:M39">
    <cfRule type="cellIs" dxfId="1546" priority="26" operator="lessThan">
      <formula>97.95</formula>
    </cfRule>
  </conditionalFormatting>
  <conditionalFormatting sqref="L43:N43">
    <cfRule type="cellIs" dxfId="1545" priority="16" operator="notEqual">
      <formula>#REF!</formula>
    </cfRule>
  </conditionalFormatting>
  <conditionalFormatting sqref="L70:N79">
    <cfRule type="cellIs" dxfId="1544" priority="42" stopIfTrue="1" operator="lessThan">
      <formula>100%</formula>
    </cfRule>
  </conditionalFormatting>
  <conditionalFormatting sqref="L81:N89">
    <cfRule type="cellIs" dxfId="1543" priority="171" stopIfTrue="1" operator="lessThan">
      <formula>100%</formula>
    </cfRule>
  </conditionalFormatting>
  <conditionalFormatting sqref="M13:M19 M25">
    <cfRule type="expression" dxfId="1542" priority="13">
      <formula>IF(+(IF(M13&lt;U13,0,IF(M13&gt;V13,0,1)))=0,1)</formula>
    </cfRule>
  </conditionalFormatting>
  <conditionalFormatting sqref="N10:N25">
    <cfRule type="expression" dxfId="1541" priority="19">
      <formula>IF(+(IF(N10&lt;W10,0,IF(N10&gt;X10,0,1)))=0,1)</formula>
    </cfRule>
  </conditionalFormatting>
  <conditionalFormatting sqref="P6">
    <cfRule type="cellIs" dxfId="1540" priority="167" operator="greaterThanOrEqual">
      <formula>19</formula>
    </cfRule>
  </conditionalFormatting>
  <dataValidations count="1">
    <dataValidation type="list" allowBlank="1" showInputMessage="1" showErrorMessage="1" sqref="R8" xr:uid="{D65864D6-276B-4850-A83C-E0783916EF68}">
      <formula1>ProductList</formula1>
    </dataValidation>
  </dataValidations>
  <pageMargins left="0.7" right="0.7" top="0.75" bottom="0.75" header="0.3" footer="0.3"/>
  <pageSetup scale="40" fitToWidth="0" orientation="landscape" r:id="rId1"/>
  <rowBreaks count="1" manualBreakCount="1">
    <brk id="83" max="16383" man="1"/>
  </rowBreaks>
  <colBreaks count="1" manualBreakCount="1">
    <brk id="15" max="89" man="1"/>
  </colBreaks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E3F5D8-83CC-4896-8009-35688557C8C8}">
  <sheetPr>
    <pageSetUpPr fitToPage="1"/>
  </sheetPr>
  <dimension ref="A1:BE69"/>
  <sheetViews>
    <sheetView zoomScale="85" zoomScaleNormal="85" workbookViewId="0">
      <selection activeCell="J47" sqref="J47"/>
    </sheetView>
  </sheetViews>
  <sheetFormatPr defaultColWidth="9.42578125" defaultRowHeight="14.25"/>
  <cols>
    <col min="1" max="1" width="7.28515625" style="275" customWidth="1"/>
    <col min="2" max="2" width="31.28515625" style="275" customWidth="1"/>
    <col min="3" max="3" width="22.28515625" style="275" customWidth="1"/>
    <col min="4" max="7" width="16.5703125" style="275" customWidth="1"/>
    <col min="8" max="8" width="20.7109375" style="275" customWidth="1"/>
    <col min="9" max="9" width="31.42578125" style="275" customWidth="1"/>
    <col min="10" max="10" width="35.28515625" style="275" customWidth="1"/>
    <col min="11" max="11" width="29" style="275" customWidth="1"/>
    <col min="12" max="12" width="17.28515625" style="275" bestFit="1" customWidth="1"/>
    <col min="13" max="13" width="23.28515625" style="275" customWidth="1"/>
    <col min="14" max="14" width="13.7109375" style="275" bestFit="1" customWidth="1"/>
    <col min="15" max="15" width="17.5703125" style="275" customWidth="1"/>
    <col min="16" max="16" width="109.28515625" style="6" customWidth="1"/>
    <col min="17" max="17" width="16.5703125" style="275" customWidth="1"/>
    <col min="18" max="18" width="15.7109375" style="275" bestFit="1" customWidth="1"/>
    <col min="19" max="19" width="12.42578125" style="275" customWidth="1"/>
    <col min="20" max="20" width="15" style="275" customWidth="1"/>
    <col min="21" max="21" width="12" style="275" customWidth="1"/>
    <col min="22" max="22" width="10.42578125" style="275" customWidth="1"/>
    <col min="23" max="23" width="11.42578125" style="275" customWidth="1"/>
    <col min="24" max="24" width="10.42578125" style="275" customWidth="1"/>
    <col min="25" max="25" width="8.42578125" style="275" customWidth="1"/>
    <col min="26" max="26" width="9.5703125" style="275" customWidth="1"/>
    <col min="27" max="27" width="8.42578125" style="275" customWidth="1"/>
    <col min="28" max="29" width="7.5703125" style="275" customWidth="1"/>
    <col min="30" max="51" width="9.42578125" style="275"/>
    <col min="52" max="52" width="1.5703125" style="275" customWidth="1"/>
    <col min="53" max="54" width="9.42578125" style="275"/>
    <col min="55" max="56" width="15.42578125" style="275" customWidth="1"/>
    <col min="57" max="16384" width="9.42578125" style="275"/>
  </cols>
  <sheetData>
    <row r="1" spans="2:29" ht="1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R1" s="467"/>
      <c r="S1" s="553" t="s">
        <v>0</v>
      </c>
      <c r="T1" s="553"/>
      <c r="U1" s="553" t="s">
        <v>1</v>
      </c>
      <c r="V1" s="553"/>
      <c r="W1" s="553" t="s">
        <v>2</v>
      </c>
      <c r="X1" s="553"/>
      <c r="Y1" s="553" t="s">
        <v>124</v>
      </c>
      <c r="Z1" s="553"/>
    </row>
    <row r="2" spans="2:29" ht="15">
      <c r="B2" s="554" t="s">
        <v>3</v>
      </c>
      <c r="C2" s="554"/>
      <c r="D2" s="554"/>
      <c r="E2" s="554"/>
      <c r="F2" s="554"/>
      <c r="G2" s="554"/>
      <c r="H2" s="554"/>
      <c r="I2" s="554"/>
      <c r="J2" s="554"/>
      <c r="K2" s="554"/>
      <c r="L2" s="554"/>
      <c r="M2" s="554"/>
      <c r="N2" s="554"/>
      <c r="O2" s="554"/>
      <c r="P2" s="4"/>
      <c r="R2" s="467"/>
      <c r="S2" s="467" t="s">
        <v>4</v>
      </c>
      <c r="T2" s="467" t="s">
        <v>5</v>
      </c>
      <c r="U2" s="467" t="s">
        <v>4</v>
      </c>
      <c r="V2" s="467" t="s">
        <v>5</v>
      </c>
      <c r="W2" s="467" t="s">
        <v>4</v>
      </c>
      <c r="X2" s="467" t="s">
        <v>5</v>
      </c>
      <c r="Y2" s="467" t="s">
        <v>4</v>
      </c>
      <c r="Z2" s="467" t="s">
        <v>5</v>
      </c>
    </row>
    <row r="3" spans="2:29" ht="14.25" customHeight="1">
      <c r="B3" s="5"/>
      <c r="R3" s="467" t="s">
        <v>6</v>
      </c>
      <c r="S3" s="468">
        <v>11.6</v>
      </c>
      <c r="T3" s="469">
        <v>12</v>
      </c>
      <c r="U3" s="9">
        <v>0</v>
      </c>
      <c r="V3" s="10">
        <v>0.118055555555556</v>
      </c>
      <c r="W3" s="10">
        <v>0.22569444444444445</v>
      </c>
      <c r="X3" s="10">
        <v>0.2638888888888889</v>
      </c>
      <c r="Y3" s="470">
        <v>0</v>
      </c>
      <c r="Z3" s="468">
        <v>60</v>
      </c>
      <c r="AB3" s="275" t="s">
        <v>135</v>
      </c>
    </row>
    <row r="4" spans="2:29" ht="30.75" customHeight="1">
      <c r="B4" s="301" t="s">
        <v>133</v>
      </c>
      <c r="C4" s="419">
        <v>46286</v>
      </c>
      <c r="J4" s="398" t="s">
        <v>153</v>
      </c>
      <c r="K4" s="398"/>
      <c r="L4" s="11"/>
      <c r="M4" s="555" t="s">
        <v>8</v>
      </c>
      <c r="N4" s="556"/>
      <c r="P4" s="12"/>
      <c r="R4" s="467" t="s">
        <v>9</v>
      </c>
      <c r="S4" s="468">
        <v>11.6</v>
      </c>
      <c r="T4" s="469">
        <v>12</v>
      </c>
      <c r="U4" s="9">
        <v>0</v>
      </c>
      <c r="V4" s="10">
        <v>0.118055555555556</v>
      </c>
      <c r="W4" s="10">
        <v>0.22569444444444445</v>
      </c>
      <c r="X4" s="10">
        <v>0.2638888888888889</v>
      </c>
      <c r="Y4" s="470">
        <v>0</v>
      </c>
      <c r="Z4" s="468">
        <v>60</v>
      </c>
      <c r="AA4" s="13"/>
      <c r="AB4" s="13"/>
      <c r="AC4" s="13"/>
    </row>
    <row r="5" spans="2:29" ht="12.75" customHeight="1" thickBot="1">
      <c r="B5" s="1"/>
      <c r="C5" s="549"/>
      <c r="D5" s="549"/>
      <c r="J5" s="403"/>
      <c r="K5" s="403"/>
      <c r="L5" s="11"/>
      <c r="M5" s="14" t="s">
        <v>10</v>
      </c>
      <c r="N5" s="14" t="s">
        <v>11</v>
      </c>
      <c r="P5" s="12"/>
      <c r="R5" s="467" t="s">
        <v>12</v>
      </c>
      <c r="S5" s="468">
        <v>17</v>
      </c>
      <c r="T5" s="469">
        <v>17.5</v>
      </c>
      <c r="U5" s="9">
        <v>0</v>
      </c>
      <c r="V5" s="10">
        <v>0.1076388888888889</v>
      </c>
      <c r="W5" s="10">
        <v>0.24652777777777779</v>
      </c>
      <c r="X5" s="10">
        <v>0.28472222222222221</v>
      </c>
      <c r="Y5" s="470">
        <v>0</v>
      </c>
      <c r="Z5" s="471">
        <v>60</v>
      </c>
      <c r="AA5" s="13"/>
      <c r="AB5" s="13"/>
      <c r="AC5" s="13"/>
    </row>
    <row r="6" spans="2:29" ht="14.25" customHeight="1">
      <c r="B6" s="15"/>
      <c r="C6" s="1"/>
      <c r="D6" s="1"/>
      <c r="J6" s="399" t="s">
        <v>168</v>
      </c>
      <c r="K6" s="400"/>
      <c r="L6" s="311" t="s">
        <v>14</v>
      </c>
      <c r="M6" s="340"/>
      <c r="N6" s="340"/>
      <c r="P6" s="16"/>
      <c r="R6" s="467" t="s">
        <v>15</v>
      </c>
      <c r="S6" s="468">
        <v>13.3</v>
      </c>
      <c r="T6" s="469">
        <v>13.5</v>
      </c>
      <c r="U6" s="9">
        <v>0</v>
      </c>
      <c r="V6" s="9">
        <v>0.12905092592592593</v>
      </c>
      <c r="W6" s="10">
        <v>0.27430555555555552</v>
      </c>
      <c r="X6" s="10">
        <v>0.30208333333333331</v>
      </c>
      <c r="Y6" s="470">
        <v>0</v>
      </c>
      <c r="Z6" s="471"/>
      <c r="AA6" s="13"/>
      <c r="AB6" s="13"/>
      <c r="AC6" s="13"/>
    </row>
    <row r="7" spans="2:29" ht="13.35" customHeight="1" thickBot="1">
      <c r="J7" s="401"/>
      <c r="K7" s="402"/>
      <c r="R7" s="467" t="s">
        <v>16</v>
      </c>
      <c r="S7" s="468">
        <v>17</v>
      </c>
      <c r="T7" s="469">
        <v>17.399999999999999</v>
      </c>
      <c r="U7" s="9">
        <v>0</v>
      </c>
      <c r="V7" s="9">
        <v>0.13605324074074074</v>
      </c>
      <c r="W7" s="10">
        <v>0.27430555555555552</v>
      </c>
      <c r="X7" s="10">
        <v>0.30902777777777779</v>
      </c>
      <c r="Y7" s="470">
        <v>0</v>
      </c>
      <c r="Z7" s="471">
        <v>85</v>
      </c>
      <c r="AA7" s="13"/>
      <c r="AB7" s="13"/>
      <c r="AC7" s="13"/>
    </row>
    <row r="8" spans="2:29" ht="25.5" customHeight="1">
      <c r="B8" s="507" t="s">
        <v>17</v>
      </c>
      <c r="C8" s="516" t="s">
        <v>18</v>
      </c>
      <c r="D8" s="516" t="s">
        <v>19</v>
      </c>
      <c r="E8" s="356" t="s">
        <v>20</v>
      </c>
      <c r="F8" s="356" t="s">
        <v>21</v>
      </c>
      <c r="G8" s="516" t="s">
        <v>22</v>
      </c>
      <c r="H8" s="551" t="s">
        <v>144</v>
      </c>
      <c r="I8" s="516" t="s">
        <v>167</v>
      </c>
      <c r="J8" s="542" t="s">
        <v>23</v>
      </c>
      <c r="K8" s="544" t="s">
        <v>142</v>
      </c>
      <c r="L8" s="546" t="s">
        <v>24</v>
      </c>
      <c r="M8" s="359" t="s">
        <v>25</v>
      </c>
      <c r="N8" s="17" t="s">
        <v>166</v>
      </c>
      <c r="O8" s="516" t="s">
        <v>155</v>
      </c>
      <c r="P8" s="548"/>
      <c r="R8" s="467" t="s">
        <v>125</v>
      </c>
      <c r="S8" s="468">
        <v>16.600000000000001</v>
      </c>
      <c r="T8" s="469">
        <v>17</v>
      </c>
      <c r="U8" s="9">
        <v>0</v>
      </c>
      <c r="V8" s="9">
        <v>0.12905092592592593</v>
      </c>
      <c r="W8" s="10">
        <v>0.27430555555555552</v>
      </c>
      <c r="X8" s="10">
        <v>0.30208333333333331</v>
      </c>
      <c r="Y8" s="470">
        <v>0</v>
      </c>
      <c r="Z8" s="471"/>
    </row>
    <row r="9" spans="2:29" ht="36" customHeight="1">
      <c r="B9" s="550"/>
      <c r="C9" s="541"/>
      <c r="D9" s="541"/>
      <c r="E9" s="357" t="s">
        <v>30</v>
      </c>
      <c r="F9" s="357" t="s">
        <v>31</v>
      </c>
      <c r="G9" s="541"/>
      <c r="H9" s="552"/>
      <c r="I9" s="541"/>
      <c r="J9" s="543"/>
      <c r="K9" s="545"/>
      <c r="L9" s="547"/>
      <c r="M9" s="20" t="s">
        <v>32</v>
      </c>
      <c r="N9" s="21" t="s">
        <v>41</v>
      </c>
      <c r="O9" s="541"/>
      <c r="P9" s="541"/>
      <c r="R9" s="467" t="s">
        <v>33</v>
      </c>
      <c r="S9" s="468">
        <v>14.2</v>
      </c>
      <c r="T9" s="469">
        <v>14.6</v>
      </c>
      <c r="U9" s="9">
        <v>0</v>
      </c>
      <c r="V9" s="9">
        <v>0.13905092592592591</v>
      </c>
      <c r="W9" s="10">
        <v>0.26041666666666669</v>
      </c>
      <c r="X9" s="10">
        <v>0.2951388888888889</v>
      </c>
      <c r="Y9" s="470">
        <v>0</v>
      </c>
      <c r="Z9" s="471">
        <v>75</v>
      </c>
    </row>
    <row r="10" spans="2:29" ht="15" customHeight="1">
      <c r="B10" s="34" t="s">
        <v>12</v>
      </c>
      <c r="C10" s="366" t="str">
        <f>[6]Brewhouse!$A106</f>
        <v>GU084</v>
      </c>
      <c r="D10" s="279">
        <f>[6]Brewhouse!$AF106</f>
        <v>54</v>
      </c>
      <c r="E10" s="279">
        <f>[6]Brewhouse!$AI106</f>
        <v>51.24</v>
      </c>
      <c r="F10" s="278">
        <f>[6]Brewhouse!$V106</f>
        <v>60</v>
      </c>
      <c r="G10" s="279">
        <f>[6]Brewhouse!$AG106</f>
        <v>17</v>
      </c>
      <c r="H10" s="396">
        <v>17.3</v>
      </c>
      <c r="I10" s="489">
        <f>[6]Brewhouse!$AU106</f>
        <v>96.371888664415408</v>
      </c>
      <c r="J10" s="489">
        <f>[6]Brewhouse!$AV106</f>
        <v>97.016863250064389</v>
      </c>
      <c r="K10" s="490">
        <f>[6]Brewhouse!$R106</f>
        <v>5.4999999999999973</v>
      </c>
      <c r="L10" s="276">
        <f>[6]Brewhouse!$O106</f>
        <v>59</v>
      </c>
      <c r="M10" s="374">
        <f>[6]Brewhouse!$U106-[6]Brewhouse!$T106</f>
        <v>0.12569444444444444</v>
      </c>
      <c r="N10" s="370">
        <f>[6]Brewhouse!$Z106</f>
        <v>0.28680555555555554</v>
      </c>
      <c r="O10" s="420" t="str">
        <f>[6]Brewhouse!$AW106</f>
        <v>K. Benjamin</v>
      </c>
      <c r="P10" s="418"/>
      <c r="R10" s="277" t="str">
        <f t="shared" ref="R10:R29" si="0">B10</f>
        <v>GUINNESS</v>
      </c>
      <c r="S10" s="472">
        <f t="shared" ref="S10:S29" si="1">VLOOKUP($B10,$R$3:$X$9,2,FALSE)</f>
        <v>17</v>
      </c>
      <c r="T10" s="472">
        <f t="shared" ref="T10:T29" si="2">VLOOKUP($B10,$R$3:$X$9,3,FALSE)</f>
        <v>17.5</v>
      </c>
      <c r="U10" s="297">
        <f t="shared" ref="U10:U29" si="3">VLOOKUP($B10,$R$3:$X$9,4,FALSE)</f>
        <v>0</v>
      </c>
      <c r="V10" s="297">
        <f t="shared" ref="V10:V29" si="4">VLOOKUP($B10,$R$3:$X$9,5,FALSE)</f>
        <v>0.1076388888888889</v>
      </c>
      <c r="W10" s="297">
        <f t="shared" ref="W10:W29" si="5">VLOOKUP($B10,$R$3:$X$9,6,FALSE)</f>
        <v>0.24652777777777779</v>
      </c>
      <c r="X10" s="297">
        <f t="shared" ref="X10:X29" si="6">VLOOKUP($B10,$R$3:$X$9,7,FALSE)</f>
        <v>0.28472222222222221</v>
      </c>
      <c r="Y10" s="297">
        <f t="shared" ref="Y10:Y29" si="7">VLOOKUP($B10,$R$3:$Z$9,8,FALSE)</f>
        <v>0</v>
      </c>
      <c r="Z10" s="472">
        <f t="shared" ref="Z10:Z29" si="8">VLOOKUP($B10,$R$3:$Z$9,9,FALSE)</f>
        <v>60</v>
      </c>
    </row>
    <row r="11" spans="2:29" ht="15" customHeight="1">
      <c r="B11" s="29"/>
      <c r="C11" s="366"/>
      <c r="D11" s="279"/>
      <c r="E11" s="279"/>
      <c r="F11" s="278"/>
      <c r="G11" s="279"/>
      <c r="H11" s="396"/>
      <c r="I11" s="368"/>
      <c r="J11" s="368"/>
      <c r="K11" s="281"/>
      <c r="L11" s="276"/>
      <c r="M11" s="374"/>
      <c r="N11" s="370"/>
      <c r="O11" s="420"/>
      <c r="P11" s="418"/>
      <c r="R11" s="277">
        <f t="shared" si="0"/>
        <v>0</v>
      </c>
      <c r="S11" s="472" t="e">
        <f t="shared" si="1"/>
        <v>#N/A</v>
      </c>
      <c r="T11" s="472" t="e">
        <f t="shared" si="2"/>
        <v>#N/A</v>
      </c>
      <c r="U11" s="297" t="e">
        <f t="shared" si="3"/>
        <v>#N/A</v>
      </c>
      <c r="V11" s="297" t="e">
        <f t="shared" si="4"/>
        <v>#N/A</v>
      </c>
      <c r="W11" s="297" t="e">
        <f t="shared" si="5"/>
        <v>#N/A</v>
      </c>
      <c r="X11" s="297" t="e">
        <f t="shared" si="6"/>
        <v>#N/A</v>
      </c>
      <c r="Y11" s="297" t="e">
        <f t="shared" si="7"/>
        <v>#N/A</v>
      </c>
      <c r="Z11" s="472" t="e">
        <f t="shared" si="8"/>
        <v>#N/A</v>
      </c>
    </row>
    <row r="12" spans="2:29" ht="15" customHeight="1">
      <c r="B12" s="29"/>
      <c r="C12" s="366"/>
      <c r="D12" s="279"/>
      <c r="E12" s="279"/>
      <c r="F12" s="278"/>
      <c r="G12" s="279"/>
      <c r="H12" s="396"/>
      <c r="I12" s="368"/>
      <c r="J12" s="368"/>
      <c r="K12" s="281"/>
      <c r="L12" s="276"/>
      <c r="M12" s="374"/>
      <c r="N12" s="370"/>
      <c r="O12" s="420"/>
      <c r="P12" s="418"/>
      <c r="R12" s="277">
        <f t="shared" si="0"/>
        <v>0</v>
      </c>
      <c r="S12" s="472" t="e">
        <f t="shared" si="1"/>
        <v>#N/A</v>
      </c>
      <c r="T12" s="472" t="e">
        <f t="shared" si="2"/>
        <v>#N/A</v>
      </c>
      <c r="U12" s="297" t="e">
        <f t="shared" si="3"/>
        <v>#N/A</v>
      </c>
      <c r="V12" s="297" t="e">
        <f t="shared" si="4"/>
        <v>#N/A</v>
      </c>
      <c r="W12" s="297" t="e">
        <f t="shared" si="5"/>
        <v>#N/A</v>
      </c>
      <c r="X12" s="297" t="e">
        <f t="shared" si="6"/>
        <v>#N/A</v>
      </c>
      <c r="Y12" s="297" t="e">
        <f t="shared" si="7"/>
        <v>#N/A</v>
      </c>
      <c r="Z12" s="472" t="e">
        <f t="shared" si="8"/>
        <v>#N/A</v>
      </c>
    </row>
    <row r="13" spans="2:29" ht="15" customHeight="1">
      <c r="B13" s="29"/>
      <c r="C13" s="366"/>
      <c r="D13" s="279"/>
      <c r="E13" s="279"/>
      <c r="F13" s="278"/>
      <c r="G13" s="279"/>
      <c r="H13" s="396"/>
      <c r="I13" s="368"/>
      <c r="J13" s="368"/>
      <c r="K13" s="281"/>
      <c r="L13" s="276"/>
      <c r="M13" s="374"/>
      <c r="N13" s="370"/>
      <c r="O13" s="420"/>
      <c r="P13" s="418"/>
      <c r="R13" s="277">
        <f t="shared" si="0"/>
        <v>0</v>
      </c>
      <c r="S13" s="472" t="e">
        <f t="shared" si="1"/>
        <v>#N/A</v>
      </c>
      <c r="T13" s="472" t="e">
        <f t="shared" si="2"/>
        <v>#N/A</v>
      </c>
      <c r="U13" s="297" t="e">
        <f t="shared" si="3"/>
        <v>#N/A</v>
      </c>
      <c r="V13" s="297" t="e">
        <f t="shared" si="4"/>
        <v>#N/A</v>
      </c>
      <c r="W13" s="297" t="e">
        <f t="shared" si="5"/>
        <v>#N/A</v>
      </c>
      <c r="X13" s="297" t="e">
        <f t="shared" si="6"/>
        <v>#N/A</v>
      </c>
      <c r="Y13" s="297" t="e">
        <f t="shared" si="7"/>
        <v>#N/A</v>
      </c>
      <c r="Z13" s="472" t="e">
        <f t="shared" si="8"/>
        <v>#N/A</v>
      </c>
    </row>
    <row r="14" spans="2:29" ht="15" customHeight="1">
      <c r="B14" s="29"/>
      <c r="C14" s="366"/>
      <c r="D14" s="279"/>
      <c r="E14" s="279"/>
      <c r="F14" s="278"/>
      <c r="G14" s="279"/>
      <c r="H14" s="396"/>
      <c r="I14" s="368"/>
      <c r="J14" s="368"/>
      <c r="K14" s="281"/>
      <c r="L14" s="276"/>
      <c r="M14" s="374"/>
      <c r="N14" s="370"/>
      <c r="O14" s="420"/>
      <c r="P14" s="418"/>
      <c r="R14" s="277">
        <f t="shared" si="0"/>
        <v>0</v>
      </c>
      <c r="S14" s="472" t="e">
        <f t="shared" si="1"/>
        <v>#N/A</v>
      </c>
      <c r="T14" s="472" t="e">
        <f t="shared" si="2"/>
        <v>#N/A</v>
      </c>
      <c r="U14" s="297" t="e">
        <f t="shared" si="3"/>
        <v>#N/A</v>
      </c>
      <c r="V14" s="297" t="e">
        <f t="shared" si="4"/>
        <v>#N/A</v>
      </c>
      <c r="W14" s="297" t="e">
        <f t="shared" si="5"/>
        <v>#N/A</v>
      </c>
      <c r="X14" s="297" t="e">
        <f t="shared" si="6"/>
        <v>#N/A</v>
      </c>
      <c r="Y14" s="297" t="e">
        <f t="shared" si="7"/>
        <v>#N/A</v>
      </c>
      <c r="Z14" s="472" t="e">
        <f t="shared" si="8"/>
        <v>#N/A</v>
      </c>
    </row>
    <row r="15" spans="2:29" ht="15" customHeight="1">
      <c r="B15" s="36"/>
      <c r="C15" s="366"/>
      <c r="D15" s="279"/>
      <c r="E15" s="279"/>
      <c r="F15" s="278"/>
      <c r="G15" s="279"/>
      <c r="H15" s="396"/>
      <c r="I15" s="489"/>
      <c r="J15" s="489"/>
      <c r="K15" s="490"/>
      <c r="L15" s="276"/>
      <c r="M15" s="374"/>
      <c r="N15" s="370"/>
      <c r="O15" s="420"/>
      <c r="P15" s="418"/>
      <c r="R15" s="277">
        <f t="shared" si="0"/>
        <v>0</v>
      </c>
      <c r="S15" s="472" t="e">
        <f t="shared" si="1"/>
        <v>#N/A</v>
      </c>
      <c r="T15" s="472" t="e">
        <f t="shared" si="2"/>
        <v>#N/A</v>
      </c>
      <c r="U15" s="297" t="e">
        <f t="shared" si="3"/>
        <v>#N/A</v>
      </c>
      <c r="V15" s="297" t="e">
        <f t="shared" si="4"/>
        <v>#N/A</v>
      </c>
      <c r="W15" s="297" t="e">
        <f t="shared" si="5"/>
        <v>#N/A</v>
      </c>
      <c r="X15" s="297" t="e">
        <f t="shared" si="6"/>
        <v>#N/A</v>
      </c>
      <c r="Y15" s="297" t="e">
        <f t="shared" si="7"/>
        <v>#N/A</v>
      </c>
      <c r="Z15" s="472" t="e">
        <f t="shared" si="8"/>
        <v>#N/A</v>
      </c>
    </row>
    <row r="16" spans="2:29" ht="17.25" customHeight="1" thickBot="1">
      <c r="B16" s="358"/>
      <c r="C16" s="358"/>
      <c r="D16" s="358"/>
      <c r="E16" s="358"/>
      <c r="F16" s="294"/>
      <c r="G16" s="294"/>
      <c r="H16" s="348"/>
      <c r="I16" s="535"/>
      <c r="J16" s="535"/>
      <c r="K16" s="535"/>
      <c r="L16" s="535"/>
      <c r="M16" s="535"/>
      <c r="N16" s="535"/>
      <c r="O16" s="1"/>
      <c r="P16" s="12"/>
      <c r="R16" s="277">
        <f t="shared" si="0"/>
        <v>0</v>
      </c>
      <c r="S16" s="472" t="e">
        <f t="shared" si="1"/>
        <v>#N/A</v>
      </c>
      <c r="T16" s="472" t="e">
        <f t="shared" si="2"/>
        <v>#N/A</v>
      </c>
      <c r="U16" s="297" t="e">
        <f t="shared" si="3"/>
        <v>#N/A</v>
      </c>
      <c r="V16" s="297" t="e">
        <f t="shared" si="4"/>
        <v>#N/A</v>
      </c>
      <c r="W16" s="297" t="e">
        <f t="shared" si="5"/>
        <v>#N/A</v>
      </c>
      <c r="X16" s="297" t="e">
        <f t="shared" si="6"/>
        <v>#N/A</v>
      </c>
      <c r="Y16" s="297" t="e">
        <f t="shared" si="7"/>
        <v>#N/A</v>
      </c>
      <c r="Z16" s="472" t="e">
        <f t="shared" si="8"/>
        <v>#N/A</v>
      </c>
    </row>
    <row r="17" spans="1:27" ht="17.25" customHeight="1" thickBot="1">
      <c r="B17" s="483" t="s">
        <v>162</v>
      </c>
      <c r="C17" s="388"/>
      <c r="D17" s="536" t="s">
        <v>35</v>
      </c>
      <c r="E17" s="537"/>
      <c r="F17" s="294"/>
      <c r="G17" s="294"/>
      <c r="H17" s="348"/>
      <c r="I17" s="24" t="s">
        <v>17</v>
      </c>
      <c r="J17" s="25"/>
      <c r="K17" s="26" t="s">
        <v>138</v>
      </c>
      <c r="L17" s="25" t="s">
        <v>37</v>
      </c>
      <c r="M17" s="25" t="s">
        <v>38</v>
      </c>
      <c r="N17" s="27" t="s">
        <v>39</v>
      </c>
      <c r="O17" s="294"/>
      <c r="P17" s="12"/>
      <c r="R17" s="277" t="str">
        <f t="shared" si="0"/>
        <v xml:space="preserve">BRAND </v>
      </c>
      <c r="S17" s="472" t="e">
        <f t="shared" si="1"/>
        <v>#N/A</v>
      </c>
      <c r="T17" s="472" t="e">
        <f t="shared" si="2"/>
        <v>#N/A</v>
      </c>
      <c r="U17" s="297" t="e">
        <f t="shared" si="3"/>
        <v>#N/A</v>
      </c>
      <c r="V17" s="297" t="e">
        <f t="shared" si="4"/>
        <v>#N/A</v>
      </c>
      <c r="W17" s="297" t="e">
        <f t="shared" si="5"/>
        <v>#N/A</v>
      </c>
      <c r="X17" s="297" t="e">
        <f t="shared" si="6"/>
        <v>#N/A</v>
      </c>
      <c r="Y17" s="297" t="e">
        <f t="shared" si="7"/>
        <v>#N/A</v>
      </c>
      <c r="Z17" s="472" t="e">
        <f t="shared" si="8"/>
        <v>#N/A</v>
      </c>
    </row>
    <row r="18" spans="1:27" ht="17.25" customHeight="1">
      <c r="A18" s="28"/>
      <c r="B18" s="538"/>
      <c r="C18" s="484"/>
      <c r="D18" s="523"/>
      <c r="E18" s="524"/>
      <c r="F18" s="294"/>
      <c r="G18" s="294"/>
      <c r="H18" s="348"/>
      <c r="I18" s="29" t="s">
        <v>6</v>
      </c>
      <c r="J18" s="323"/>
      <c r="K18" s="284">
        <f>COUNTA([4]Brewhouse!$A$696:$A$763)</f>
        <v>68</v>
      </c>
      <c r="L18" s="305">
        <f>AVERAGE([4]Brewhouse!$AU$696:$AU$763)</f>
        <v>98.656376672198689</v>
      </c>
      <c r="M18" s="305">
        <f>AVERAGE([4]Brewhouse!$AU$42:$AU$123,[4]Brewhouse!$AU$125:$AU$188,[4]Brewhouse!$AU$198:$AU$290,[4]Brewhouse!$AU$292:$AU$370,[4]Brewhouse!$AU$372:$AU$439,[4]Brewhouse!$AU$441:$AU$497,[4]Brewhouse!$AU$499:$AU$519,[4]Brewhouse!$AU$521:$AU$593,[4]Brewhouse!$AU$595:$AU$694,[4]Brewhouse!$AU$696:$AU$763)</f>
        <v>98.320769975556459</v>
      </c>
      <c r="N18" s="30">
        <v>98</v>
      </c>
      <c r="O18" s="11"/>
      <c r="P18" s="31"/>
      <c r="R18" s="277">
        <f t="shared" si="0"/>
        <v>0</v>
      </c>
      <c r="S18" s="472" t="e">
        <f t="shared" si="1"/>
        <v>#N/A</v>
      </c>
      <c r="T18" s="472" t="e">
        <f t="shared" si="2"/>
        <v>#N/A</v>
      </c>
      <c r="U18" s="297" t="e">
        <f t="shared" si="3"/>
        <v>#N/A</v>
      </c>
      <c r="V18" s="297" t="e">
        <f t="shared" si="4"/>
        <v>#N/A</v>
      </c>
      <c r="W18" s="297" t="e">
        <f t="shared" si="5"/>
        <v>#N/A</v>
      </c>
      <c r="X18" s="297" t="e">
        <f t="shared" si="6"/>
        <v>#N/A</v>
      </c>
      <c r="Y18" s="297" t="e">
        <f t="shared" si="7"/>
        <v>#N/A</v>
      </c>
      <c r="Z18" s="472" t="e">
        <f t="shared" si="8"/>
        <v>#N/A</v>
      </c>
    </row>
    <row r="19" spans="1:27" ht="15" customHeight="1">
      <c r="A19" s="28"/>
      <c r="B19" s="539"/>
      <c r="C19" s="362"/>
      <c r="D19" s="525"/>
      <c r="E19" s="526"/>
      <c r="F19" s="294"/>
      <c r="G19" s="294"/>
      <c r="H19" s="348"/>
      <c r="I19" s="33" t="s">
        <v>9</v>
      </c>
      <c r="J19" s="323"/>
      <c r="K19" s="284">
        <f>COUNTA([5]Brewhouse!$A$363:$A$372)</f>
        <v>10</v>
      </c>
      <c r="L19" s="302">
        <f>AVERAGE([5]Brewhouse!$AS$363:$AS$372)</f>
        <v>100.50071873632695</v>
      </c>
      <c r="M19" s="302">
        <f>AVERAGE([5]Brewhouse!$AS$52:$AS$81,[5]Brewhouse!$AS$83:$AS$124,[5]Brewhouse!$AS$134:$AS$177,[5]Brewhouse!$AS$22:$AS$179,[5]Brewhouse!$AS$214:$AS$249,[5]Brewhouse!$AS$252:$AS$293,[5]Brewhouse!$AS$295:$AS$325,[5]Brewhouse!$AS$327:$AS$361,[5]Brewhouse!$AS$363:$AS$372)</f>
        <v>98.29248495310074</v>
      </c>
      <c r="N19" s="30">
        <v>98</v>
      </c>
      <c r="O19" s="11"/>
      <c r="P19" s="31"/>
      <c r="R19" s="277">
        <f t="shared" si="0"/>
        <v>0</v>
      </c>
      <c r="S19" s="472" t="e">
        <f t="shared" si="1"/>
        <v>#N/A</v>
      </c>
      <c r="T19" s="472" t="e">
        <f t="shared" si="2"/>
        <v>#N/A</v>
      </c>
      <c r="U19" s="297" t="e">
        <f t="shared" si="3"/>
        <v>#N/A</v>
      </c>
      <c r="V19" s="297" t="e">
        <f t="shared" si="4"/>
        <v>#N/A</v>
      </c>
      <c r="W19" s="297" t="e">
        <f t="shared" si="5"/>
        <v>#N/A</v>
      </c>
      <c r="X19" s="297" t="e">
        <f t="shared" si="6"/>
        <v>#N/A</v>
      </c>
      <c r="Y19" s="297" t="e">
        <f t="shared" si="7"/>
        <v>#N/A</v>
      </c>
      <c r="Z19" s="472" t="e">
        <f t="shared" si="8"/>
        <v>#N/A</v>
      </c>
    </row>
    <row r="20" spans="1:27" ht="14.65" customHeight="1">
      <c r="A20" s="28"/>
      <c r="B20" s="539"/>
      <c r="C20" s="362"/>
      <c r="D20" s="530"/>
      <c r="E20" s="531"/>
      <c r="F20" s="294"/>
      <c r="G20" s="294"/>
      <c r="H20" s="348"/>
      <c r="I20" s="34" t="s">
        <v>12</v>
      </c>
      <c r="J20" s="323">
        <f>AVERAGE(I10)</f>
        <v>96.371888664415408</v>
      </c>
      <c r="K20" s="284">
        <f>COUNTA([6]Brewhouse!$A$99:$A$106)</f>
        <v>8</v>
      </c>
      <c r="L20" s="302">
        <f>AVERAGE([6]Brewhouse!$AU$99:$AU$106)</f>
        <v>96.462109124412379</v>
      </c>
      <c r="M20" s="302">
        <f>AVERAGE([6]Brewhouse!$AU$16:$AU$23,[6]Brewhouse!$AU$25:$AU$32,[6]Brewhouse!$AU$34:$AU$41,[6]Brewhouse!$AU$43:$AU$60,[6]Brewhouse!$AU$62:$AU$69,[6]Brewhouse!$AU$71:$AU$88,[6]Brewhouse!$AU$90:$AU$97,[6]Brewhouse!$AU$99:$AU$106)</f>
        <v>96.498355980821032</v>
      </c>
      <c r="N20" s="30">
        <v>98</v>
      </c>
      <c r="O20" s="11"/>
      <c r="P20" s="31"/>
      <c r="R20" s="277">
        <f t="shared" si="0"/>
        <v>0</v>
      </c>
      <c r="S20" s="472" t="e">
        <f t="shared" si="1"/>
        <v>#N/A</v>
      </c>
      <c r="T20" s="472" t="e">
        <f t="shared" si="2"/>
        <v>#N/A</v>
      </c>
      <c r="U20" s="297" t="e">
        <f t="shared" si="3"/>
        <v>#N/A</v>
      </c>
      <c r="V20" s="297" t="e">
        <f t="shared" si="4"/>
        <v>#N/A</v>
      </c>
      <c r="W20" s="297" t="e">
        <f t="shared" si="5"/>
        <v>#N/A</v>
      </c>
      <c r="X20" s="297" t="e">
        <f t="shared" si="6"/>
        <v>#N/A</v>
      </c>
      <c r="Y20" s="297" t="e">
        <f t="shared" si="7"/>
        <v>#N/A</v>
      </c>
      <c r="Z20" s="472" t="e">
        <f t="shared" si="8"/>
        <v>#N/A</v>
      </c>
    </row>
    <row r="21" spans="1:27" ht="14.65" customHeight="1">
      <c r="A21" s="28"/>
      <c r="B21" s="539"/>
      <c r="C21" s="362"/>
      <c r="D21" s="532"/>
      <c r="E21" s="526"/>
      <c r="F21" s="294"/>
      <c r="G21" s="294"/>
      <c r="H21" s="348"/>
      <c r="I21" s="22" t="s">
        <v>33</v>
      </c>
      <c r="J21" s="280"/>
      <c r="K21" s="284"/>
      <c r="L21" s="302"/>
      <c r="M21" s="302">
        <f>AVERAGE([7]Brewhouse!$AV$23:$AV$34,[7]Brewhouse!$AV$36,[7]Brewhouse!$AV$38:$AV$52,[7]Brewhouse!$AV$54:$AV$60,[7]Brewhouse!$AV$62:$AV$69,[7]Brewhouse!$AV$71:$AV$78,[7]Brewhouse!$AV$80:$AV$87,[7]Brewhouse!$AV$89:$AV$96)</f>
        <v>97.559547139003357</v>
      </c>
      <c r="N21" s="30">
        <v>98</v>
      </c>
      <c r="O21" s="11"/>
      <c r="P21" s="31"/>
      <c r="R21" s="277">
        <f t="shared" si="0"/>
        <v>0</v>
      </c>
      <c r="S21" s="472" t="e">
        <f t="shared" si="1"/>
        <v>#N/A</v>
      </c>
      <c r="T21" s="472" t="e">
        <f t="shared" si="2"/>
        <v>#N/A</v>
      </c>
      <c r="U21" s="297" t="e">
        <f t="shared" si="3"/>
        <v>#N/A</v>
      </c>
      <c r="V21" s="297" t="e">
        <f t="shared" si="4"/>
        <v>#N/A</v>
      </c>
      <c r="W21" s="297" t="e">
        <f t="shared" si="5"/>
        <v>#N/A</v>
      </c>
      <c r="X21" s="297" t="e">
        <f t="shared" si="6"/>
        <v>#N/A</v>
      </c>
      <c r="Y21" s="297" t="e">
        <f t="shared" si="7"/>
        <v>#N/A</v>
      </c>
      <c r="Z21" s="472" t="e">
        <f t="shared" si="8"/>
        <v>#N/A</v>
      </c>
    </row>
    <row r="22" spans="1:27" ht="14.65" customHeight="1">
      <c r="A22" s="28"/>
      <c r="B22" s="539"/>
      <c r="C22" s="362"/>
      <c r="D22" s="530"/>
      <c r="E22" s="531"/>
      <c r="F22" s="294"/>
      <c r="G22" s="294"/>
      <c r="H22" s="348"/>
      <c r="I22" s="35" t="s">
        <v>29</v>
      </c>
      <c r="J22" s="280"/>
      <c r="K22" s="284"/>
      <c r="L22" s="302"/>
      <c r="M22" s="302"/>
      <c r="N22" s="30">
        <v>98</v>
      </c>
      <c r="O22" s="11"/>
      <c r="P22" s="31"/>
      <c r="R22" s="277">
        <f t="shared" si="0"/>
        <v>0</v>
      </c>
      <c r="S22" s="472" t="e">
        <f t="shared" si="1"/>
        <v>#N/A</v>
      </c>
      <c r="T22" s="472" t="e">
        <f t="shared" si="2"/>
        <v>#N/A</v>
      </c>
      <c r="U22" s="297" t="e">
        <f t="shared" si="3"/>
        <v>#N/A</v>
      </c>
      <c r="V22" s="297" t="e">
        <f t="shared" si="4"/>
        <v>#N/A</v>
      </c>
      <c r="W22" s="297" t="e">
        <f t="shared" si="5"/>
        <v>#N/A</v>
      </c>
      <c r="X22" s="297" t="e">
        <f t="shared" si="6"/>
        <v>#N/A</v>
      </c>
      <c r="Y22" s="297" t="e">
        <f t="shared" si="7"/>
        <v>#N/A</v>
      </c>
      <c r="Z22" s="472" t="e">
        <f t="shared" si="8"/>
        <v>#N/A</v>
      </c>
    </row>
    <row r="23" spans="1:27" ht="14.65" customHeight="1">
      <c r="A23" s="28"/>
      <c r="B23" s="539"/>
      <c r="C23" s="362"/>
      <c r="D23" s="532"/>
      <c r="E23" s="526"/>
      <c r="F23" s="417"/>
      <c r="G23" s="294"/>
      <c r="H23" s="348"/>
      <c r="I23" s="36" t="s">
        <v>15</v>
      </c>
      <c r="J23" s="323"/>
      <c r="K23" s="284">
        <f>COUNTA([8]Brewhouse!$A$23:$A$30)</f>
        <v>8</v>
      </c>
      <c r="L23" s="302">
        <f>AVERAGE([8]Brewhouse!$AT$23:$AT$30)</f>
        <v>96.065914782338609</v>
      </c>
      <c r="M23" s="302">
        <f>AVERAGE([8]Brewhouse!$AT$4:$AT$11,[8]Brewhouse!$AT$13:$AT$16,[8]Brewhouse!$AT$18:$AT$30)</f>
        <v>93.22262799886262</v>
      </c>
      <c r="N23" s="30">
        <v>98</v>
      </c>
      <c r="O23" s="11"/>
      <c r="P23" s="31"/>
      <c r="R23" s="277">
        <f t="shared" si="0"/>
        <v>0</v>
      </c>
      <c r="S23" s="472" t="e">
        <f t="shared" si="1"/>
        <v>#N/A</v>
      </c>
      <c r="T23" s="472" t="e">
        <f t="shared" si="2"/>
        <v>#N/A</v>
      </c>
      <c r="U23" s="297" t="e">
        <f t="shared" si="3"/>
        <v>#N/A</v>
      </c>
      <c r="V23" s="297" t="e">
        <f t="shared" si="4"/>
        <v>#N/A</v>
      </c>
      <c r="W23" s="297" t="e">
        <f t="shared" si="5"/>
        <v>#N/A</v>
      </c>
      <c r="X23" s="297" t="e">
        <f t="shared" si="6"/>
        <v>#N/A</v>
      </c>
      <c r="Y23" s="297" t="e">
        <f t="shared" si="7"/>
        <v>#N/A</v>
      </c>
      <c r="Z23" s="472" t="e">
        <f t="shared" si="8"/>
        <v>#N/A</v>
      </c>
    </row>
    <row r="24" spans="1:27" ht="14.65" customHeight="1">
      <c r="A24" s="28"/>
      <c r="B24" s="539"/>
      <c r="C24" s="362"/>
      <c r="D24" s="530"/>
      <c r="E24" s="531"/>
      <c r="F24" s="417"/>
      <c r="G24" s="294"/>
      <c r="H24" s="348"/>
      <c r="I24" s="37" t="s">
        <v>16</v>
      </c>
      <c r="J24" s="323"/>
      <c r="K24" s="284"/>
      <c r="L24" s="302"/>
      <c r="M24" s="302">
        <f>AVERAGE([3]Brewhouse!$AY$5:$AY$14,[3]Brewhouse!$AY$16:$AY$23,[3]Brewhouse!$AY$42,[3]Brewhouse!$AY$44:$AY$51,[3]Brewhouse!$AY$53:$AY$64,[3]Brewhouse!$AY$66:$AY$73,[3]Brewhouse!$AY$75:$AY$82,[3]Brewhouse!$AY$84:$AY$101)</f>
        <v>97.784660430003186</v>
      </c>
      <c r="N24" s="30">
        <v>98</v>
      </c>
      <c r="O24" s="11"/>
      <c r="P24" s="31" t="s">
        <v>41</v>
      </c>
      <c r="R24" s="277">
        <f t="shared" si="0"/>
        <v>0</v>
      </c>
      <c r="S24" s="472" t="e">
        <f t="shared" si="1"/>
        <v>#N/A</v>
      </c>
      <c r="T24" s="472" t="e">
        <f t="shared" si="2"/>
        <v>#N/A</v>
      </c>
      <c r="U24" s="297" t="e">
        <f t="shared" si="3"/>
        <v>#N/A</v>
      </c>
      <c r="V24" s="297" t="e">
        <f t="shared" si="4"/>
        <v>#N/A</v>
      </c>
      <c r="W24" s="297" t="e">
        <f t="shared" si="5"/>
        <v>#N/A</v>
      </c>
      <c r="X24" s="297" t="e">
        <f t="shared" si="6"/>
        <v>#N/A</v>
      </c>
      <c r="Y24" s="297" t="e">
        <f t="shared" si="7"/>
        <v>#N/A</v>
      </c>
      <c r="Z24" s="472" t="e">
        <f t="shared" si="8"/>
        <v>#N/A</v>
      </c>
    </row>
    <row r="25" spans="1:27" ht="14.65" customHeight="1">
      <c r="A25" s="28"/>
      <c r="B25" s="539"/>
      <c r="C25" s="362"/>
      <c r="D25" s="532"/>
      <c r="E25" s="526"/>
      <c r="F25" s="294"/>
      <c r="G25" s="294"/>
      <c r="H25" s="348"/>
      <c r="I25" s="411" t="s">
        <v>158</v>
      </c>
      <c r="J25" s="326"/>
      <c r="K25" s="284"/>
      <c r="L25" s="305"/>
      <c r="M25" s="305"/>
      <c r="N25" s="30">
        <v>98</v>
      </c>
      <c r="O25" s="11"/>
      <c r="P25" s="31"/>
      <c r="R25" s="277">
        <f t="shared" si="0"/>
        <v>0</v>
      </c>
      <c r="S25" s="472" t="e">
        <f t="shared" si="1"/>
        <v>#N/A</v>
      </c>
      <c r="T25" s="472" t="e">
        <f t="shared" si="2"/>
        <v>#N/A</v>
      </c>
      <c r="U25" s="297" t="e">
        <f t="shared" si="3"/>
        <v>#N/A</v>
      </c>
      <c r="V25" s="297" t="e">
        <f t="shared" si="4"/>
        <v>#N/A</v>
      </c>
      <c r="W25" s="297" t="e">
        <f t="shared" si="5"/>
        <v>#N/A</v>
      </c>
      <c r="X25" s="297" t="e">
        <f t="shared" si="6"/>
        <v>#N/A</v>
      </c>
      <c r="Y25" s="297" t="e">
        <f t="shared" si="7"/>
        <v>#N/A</v>
      </c>
      <c r="Z25" s="472" t="e">
        <f t="shared" si="8"/>
        <v>#N/A</v>
      </c>
    </row>
    <row r="26" spans="1:27" ht="14.65" customHeight="1">
      <c r="A26" s="28"/>
      <c r="B26" s="539"/>
      <c r="C26" s="362"/>
      <c r="D26" s="530"/>
      <c r="E26" s="531"/>
      <c r="F26" s="294"/>
      <c r="G26" s="294"/>
      <c r="H26" s="348"/>
      <c r="I26" s="410" t="s">
        <v>157</v>
      </c>
      <c r="J26" s="326"/>
      <c r="K26" s="284"/>
      <c r="L26" s="305"/>
      <c r="M26" s="305"/>
      <c r="N26" s="30">
        <v>98</v>
      </c>
      <c r="O26" s="11"/>
      <c r="P26" s="31"/>
      <c r="R26" s="277">
        <f t="shared" si="0"/>
        <v>0</v>
      </c>
      <c r="S26" s="472" t="e">
        <f t="shared" si="1"/>
        <v>#N/A</v>
      </c>
      <c r="T26" s="472" t="e">
        <f t="shared" si="2"/>
        <v>#N/A</v>
      </c>
      <c r="U26" s="297" t="e">
        <f t="shared" si="3"/>
        <v>#N/A</v>
      </c>
      <c r="V26" s="297" t="e">
        <f t="shared" si="4"/>
        <v>#N/A</v>
      </c>
      <c r="W26" s="297" t="e">
        <f t="shared" si="5"/>
        <v>#N/A</v>
      </c>
      <c r="X26" s="297" t="e">
        <f t="shared" si="6"/>
        <v>#N/A</v>
      </c>
      <c r="Y26" s="297" t="e">
        <f t="shared" si="7"/>
        <v>#N/A</v>
      </c>
      <c r="Z26" s="472" t="e">
        <f t="shared" si="8"/>
        <v>#N/A</v>
      </c>
      <c r="AA26" s="472"/>
    </row>
    <row r="27" spans="1:27" ht="15" customHeight="1" thickBot="1">
      <c r="A27" s="28"/>
      <c r="B27" s="539"/>
      <c r="C27" s="362"/>
      <c r="D27" s="532"/>
      <c r="E27" s="526"/>
      <c r="F27" s="294"/>
      <c r="G27" s="294"/>
      <c r="H27" s="348"/>
      <c r="I27" s="406" t="s">
        <v>156</v>
      </c>
      <c r="J27" s="327"/>
      <c r="K27" s="407"/>
      <c r="L27" s="408"/>
      <c r="M27" s="408"/>
      <c r="N27" s="409">
        <v>98</v>
      </c>
      <c r="O27" s="11"/>
      <c r="P27" s="31"/>
      <c r="R27" s="277">
        <f t="shared" si="0"/>
        <v>0</v>
      </c>
      <c r="S27" s="472" t="e">
        <f t="shared" si="1"/>
        <v>#N/A</v>
      </c>
      <c r="T27" s="472" t="e">
        <f t="shared" si="2"/>
        <v>#N/A</v>
      </c>
      <c r="U27" s="297" t="e">
        <f t="shared" si="3"/>
        <v>#N/A</v>
      </c>
      <c r="V27" s="297" t="e">
        <f t="shared" si="4"/>
        <v>#N/A</v>
      </c>
      <c r="W27" s="297" t="e">
        <f t="shared" si="5"/>
        <v>#N/A</v>
      </c>
      <c r="X27" s="297" t="e">
        <f t="shared" si="6"/>
        <v>#N/A</v>
      </c>
      <c r="Y27" s="297" t="e">
        <f t="shared" si="7"/>
        <v>#N/A</v>
      </c>
      <c r="Z27" s="472" t="e">
        <f t="shared" si="8"/>
        <v>#N/A</v>
      </c>
      <c r="AA27" s="472"/>
    </row>
    <row r="28" spans="1:27" ht="15" customHeight="1" thickBot="1">
      <c r="A28" s="28"/>
      <c r="B28" s="539"/>
      <c r="C28" s="349"/>
      <c r="D28" s="523"/>
      <c r="E28" s="524"/>
      <c r="F28" s="294"/>
      <c r="G28" s="294"/>
      <c r="H28" s="348"/>
      <c r="I28" s="1"/>
      <c r="J28" s="39"/>
      <c r="K28" s="404">
        <f>SUM(K18:K27)</f>
        <v>94</v>
      </c>
      <c r="L28" s="405">
        <f>((L18*K18)+(L19*K19)+(L20*K20)+(L21*K21)+(L22*K22)+(K25*L25)+(L23*K23)+(L24*K24)+(L27*K27))/(K28)</f>
        <v>98.445372258795615</v>
      </c>
      <c r="M28" s="405">
        <f>AVERAGE('[9]Jan30th-31st'!$L$42,'[10]Feb 27th-28th'!$L$45,'[11]Mar 31st'!$L$42,'[12]Apr 30th'!$L$41,'[13]May 29th '!$L$35,'[14]June 30th'!$L$32,[15]July31st!$L$36,'[16]Aug 31st'!$L$32,L28)</f>
        <v>98.041148776241897</v>
      </c>
      <c r="N28" s="40">
        <v>98</v>
      </c>
      <c r="O28" s="11"/>
      <c r="P28" s="31"/>
      <c r="R28" s="277">
        <f t="shared" si="0"/>
        <v>0</v>
      </c>
      <c r="S28" s="472" t="e">
        <f t="shared" si="1"/>
        <v>#N/A</v>
      </c>
      <c r="T28" s="472" t="e">
        <f t="shared" si="2"/>
        <v>#N/A</v>
      </c>
      <c r="U28" s="297" t="e">
        <f t="shared" si="3"/>
        <v>#N/A</v>
      </c>
      <c r="V28" s="297" t="e">
        <f t="shared" si="4"/>
        <v>#N/A</v>
      </c>
      <c r="W28" s="297" t="e">
        <f t="shared" si="5"/>
        <v>#N/A</v>
      </c>
      <c r="X28" s="297" t="e">
        <f t="shared" si="6"/>
        <v>#N/A</v>
      </c>
      <c r="Y28" s="297" t="e">
        <f t="shared" si="7"/>
        <v>#N/A</v>
      </c>
      <c r="Z28" s="472" t="e">
        <f t="shared" si="8"/>
        <v>#N/A</v>
      </c>
      <c r="AA28" s="472"/>
    </row>
    <row r="29" spans="1:27" ht="15.75" thickBot="1">
      <c r="B29" s="540"/>
      <c r="C29" s="350"/>
      <c r="D29" s="525"/>
      <c r="E29" s="526"/>
      <c r="F29" s="294"/>
      <c r="G29" s="42"/>
      <c r="H29" s="41"/>
      <c r="I29" s="42"/>
      <c r="J29" s="42"/>
      <c r="K29" s="351"/>
      <c r="L29" s="348"/>
      <c r="M29" s="348"/>
      <c r="N29" s="11"/>
      <c r="O29" s="294"/>
      <c r="P29" s="12"/>
      <c r="R29" s="277">
        <f t="shared" si="0"/>
        <v>0</v>
      </c>
      <c r="S29" s="472" t="e">
        <f t="shared" si="1"/>
        <v>#N/A</v>
      </c>
      <c r="T29" s="472" t="e">
        <f t="shared" si="2"/>
        <v>#N/A</v>
      </c>
      <c r="U29" s="297" t="e">
        <f t="shared" si="3"/>
        <v>#N/A</v>
      </c>
      <c r="V29" s="297" t="e">
        <f t="shared" si="4"/>
        <v>#N/A</v>
      </c>
      <c r="W29" s="297" t="e">
        <f t="shared" si="5"/>
        <v>#N/A</v>
      </c>
      <c r="X29" s="297" t="e">
        <f t="shared" si="6"/>
        <v>#N/A</v>
      </c>
      <c r="Y29" s="297" t="e">
        <f t="shared" si="7"/>
        <v>#N/A</v>
      </c>
      <c r="Z29" s="472" t="e">
        <f t="shared" si="8"/>
        <v>#N/A</v>
      </c>
      <c r="AA29" s="472"/>
    </row>
    <row r="30" spans="1:27" ht="15.75" thickBot="1">
      <c r="B30" s="520"/>
      <c r="C30" s="362"/>
      <c r="D30" s="523"/>
      <c r="E30" s="524"/>
      <c r="F30" s="294"/>
      <c r="G30" s="42"/>
      <c r="H30" s="41"/>
      <c r="I30" s="42"/>
      <c r="J30" s="527" t="s">
        <v>129</v>
      </c>
      <c r="K30" s="527"/>
      <c r="L30" s="294"/>
      <c r="M30" s="294"/>
      <c r="N30" s="294"/>
      <c r="O30" s="294"/>
      <c r="P30" s="12"/>
    </row>
    <row r="31" spans="1:27" ht="15.75" thickBot="1">
      <c r="B31" s="521"/>
      <c r="C31" s="362"/>
      <c r="D31" s="525"/>
      <c r="E31" s="526"/>
      <c r="F31" s="294"/>
      <c r="G31" s="42"/>
      <c r="H31" s="42"/>
      <c r="I31" s="42"/>
      <c r="J31" s="292" t="s">
        <v>17</v>
      </c>
      <c r="K31" s="293"/>
      <c r="L31" s="528" t="s">
        <v>136</v>
      </c>
      <c r="M31" s="528"/>
      <c r="N31" s="529"/>
      <c r="O31" s="294"/>
      <c r="P31" s="12"/>
    </row>
    <row r="32" spans="1:27" ht="15" customHeight="1" thickBot="1">
      <c r="B32" s="521"/>
      <c r="C32" s="349"/>
      <c r="D32" s="530"/>
      <c r="E32" s="531"/>
      <c r="F32" s="294"/>
      <c r="G32" s="42"/>
      <c r="H32" s="42"/>
      <c r="I32" s="42"/>
      <c r="J32" s="287" t="s">
        <v>6</v>
      </c>
      <c r="K32" s="324"/>
      <c r="L32" s="473" t="s">
        <v>37</v>
      </c>
      <c r="M32" s="474" t="s">
        <v>38</v>
      </c>
      <c r="N32" s="474" t="s">
        <v>84</v>
      </c>
      <c r="O32" s="294"/>
      <c r="P32" s="12"/>
    </row>
    <row r="33" spans="2:57" ht="15.75" customHeight="1" thickBot="1">
      <c r="B33" s="521"/>
      <c r="C33" s="349"/>
      <c r="D33" s="532"/>
      <c r="E33" s="526"/>
      <c r="F33" s="294"/>
      <c r="G33" s="42"/>
      <c r="H33" s="42"/>
      <c r="I33" s="42"/>
      <c r="J33" s="345" t="s">
        <v>9</v>
      </c>
      <c r="K33" s="324"/>
      <c r="L33" s="485">
        <f>AVERAGE('Sept 1st'!K45,'Sept 2nd'!K47,'Sept 3rd'!K44,'Sept 4th'!K46,'Sept 7th'!K48,'Sept 8th'!K48,'Sept 9th'!K50,'Sept 10th'!K49,'Sept 11th '!K45,'Sept 14th'!K45,'Sept 15th'!K48,'Sept 16th'!K51,'Sept 17th '!K52,K42)</f>
        <v>6.7142857142857144</v>
      </c>
      <c r="M33" s="486">
        <f>AVERAGE('[9]Jan30th-31st'!$L$47,L33,'[10]Feb 26th '!$L$39,'[11]Mar 31st'!$L$47,'[12]Apr 30th'!$L$46,'[13]May 29th '!$L$40,'[14]June 30th'!$L$39,[15]July31st!$L$41,'[16]Aug 31st'!$L$37)</f>
        <v>6.4838210099079667</v>
      </c>
      <c r="N33" s="416">
        <v>9.1999999999999993</v>
      </c>
      <c r="O33" s="294"/>
      <c r="P33" s="12"/>
    </row>
    <row r="34" spans="2:57" ht="15" customHeight="1">
      <c r="B34" s="521"/>
      <c r="C34" s="349"/>
      <c r="D34" s="530"/>
      <c r="E34" s="531"/>
      <c r="F34" s="294"/>
      <c r="G34" s="42"/>
      <c r="H34" s="42"/>
      <c r="I34" s="42"/>
      <c r="J34" s="288" t="s">
        <v>40</v>
      </c>
      <c r="K34" s="324">
        <v>1</v>
      </c>
      <c r="L34" s="294"/>
      <c r="M34" s="294"/>
      <c r="N34" s="294"/>
      <c r="O34" s="294"/>
      <c r="P34" s="12"/>
    </row>
    <row r="35" spans="2:57" ht="15" customHeight="1">
      <c r="B35" s="521"/>
      <c r="C35" s="349"/>
      <c r="D35" s="532"/>
      <c r="E35" s="526"/>
      <c r="F35" s="294"/>
      <c r="G35" s="42"/>
      <c r="H35" s="42"/>
      <c r="I35" s="42"/>
      <c r="J35" s="289" t="s">
        <v>33</v>
      </c>
      <c r="K35" s="324"/>
      <c r="L35" s="294"/>
      <c r="M35" s="294"/>
      <c r="N35" s="294"/>
      <c r="O35" s="294"/>
      <c r="P35" s="12"/>
    </row>
    <row r="36" spans="2:57" ht="15">
      <c r="B36" s="521"/>
      <c r="C36" s="349"/>
      <c r="D36" s="530"/>
      <c r="E36" s="531"/>
      <c r="F36" s="294"/>
      <c r="G36" s="42"/>
      <c r="H36" s="42"/>
      <c r="I36" s="42"/>
      <c r="J36" s="290" t="s">
        <v>16</v>
      </c>
      <c r="K36" s="324"/>
      <c r="L36" s="294"/>
      <c r="M36" s="294"/>
      <c r="N36" s="294"/>
      <c r="O36" s="294"/>
      <c r="P36" s="12"/>
      <c r="BC36" s="44"/>
      <c r="BD36" s="44"/>
    </row>
    <row r="37" spans="2:57" ht="15">
      <c r="B37" s="521"/>
      <c r="C37" s="349"/>
      <c r="D37" s="532"/>
      <c r="E37" s="526"/>
      <c r="F37" s="294"/>
      <c r="G37" s="42"/>
      <c r="H37" s="42"/>
      <c r="I37" s="42"/>
      <c r="J37" s="291" t="s">
        <v>15</v>
      </c>
      <c r="K37" s="324"/>
      <c r="L37" s="294"/>
      <c r="M37" s="294"/>
      <c r="N37" s="294"/>
      <c r="O37" s="294"/>
      <c r="P37" s="12"/>
      <c r="BC37" s="44"/>
      <c r="BD37" s="44"/>
    </row>
    <row r="38" spans="2:57" ht="15">
      <c r="B38" s="521"/>
      <c r="C38" s="349"/>
      <c r="D38" s="530"/>
      <c r="E38" s="531"/>
      <c r="F38" s="294"/>
      <c r="G38" s="42"/>
      <c r="H38" s="42"/>
      <c r="I38" s="42"/>
      <c r="J38" s="291" t="s">
        <v>149</v>
      </c>
      <c r="K38" s="324"/>
      <c r="L38" s="294"/>
      <c r="M38" s="294"/>
      <c r="N38" s="294"/>
      <c r="O38" s="294"/>
      <c r="P38" s="12"/>
      <c r="BC38" s="44"/>
      <c r="BD38" s="44"/>
    </row>
    <row r="39" spans="2:57" ht="15.75" thickBot="1">
      <c r="B39" s="522"/>
      <c r="C39" s="350"/>
      <c r="D39" s="533"/>
      <c r="E39" s="534"/>
      <c r="F39" s="294" t="s">
        <v>165</v>
      </c>
      <c r="G39" s="42"/>
      <c r="H39" s="42"/>
      <c r="I39" s="42"/>
      <c r="J39" s="291" t="s">
        <v>148</v>
      </c>
      <c r="K39" s="324"/>
      <c r="L39" s="294"/>
      <c r="M39" s="294"/>
      <c r="N39" s="294" t="s">
        <v>41</v>
      </c>
      <c r="O39" s="294"/>
      <c r="P39" s="12"/>
      <c r="BC39" s="44"/>
      <c r="BD39" s="44"/>
    </row>
    <row r="40" spans="2:57" ht="17.649999999999999" customHeight="1" thickBot="1">
      <c r="B40" s="312" t="s">
        <v>139</v>
      </c>
      <c r="C40" s="313"/>
      <c r="D40" s="511"/>
      <c r="E40" s="512"/>
      <c r="F40" s="294"/>
      <c r="J40" s="295" t="s">
        <v>134</v>
      </c>
      <c r="K40" s="324"/>
      <c r="L40" s="294"/>
      <c r="M40" s="294"/>
      <c r="N40" s="294"/>
      <c r="O40" s="294"/>
      <c r="P40" s="12"/>
      <c r="BC40" s="44"/>
      <c r="BD40" s="44"/>
    </row>
    <row r="41" spans="2:57" ht="17.649999999999999" customHeight="1">
      <c r="B41" s="363"/>
      <c r="C41" s="364"/>
      <c r="D41" s="365"/>
      <c r="E41" s="365"/>
      <c r="F41" s="294"/>
      <c r="G41" s="42"/>
      <c r="H41" s="42"/>
      <c r="I41" s="42"/>
      <c r="J41" s="295" t="s">
        <v>131</v>
      </c>
      <c r="K41" s="324"/>
      <c r="L41" s="294"/>
      <c r="M41" s="294"/>
      <c r="N41" s="294"/>
      <c r="O41" s="294"/>
      <c r="P41" s="12"/>
      <c r="BC41" s="44"/>
      <c r="BD41" s="44"/>
    </row>
    <row r="42" spans="2:57" ht="15.6" customHeight="1">
      <c r="B42" s="45"/>
      <c r="C42" s="11"/>
      <c r="D42" s="11"/>
      <c r="E42" s="46"/>
      <c r="F42" s="294"/>
      <c r="G42" s="42"/>
      <c r="H42" s="42"/>
      <c r="I42" s="42"/>
      <c r="J42" s="346" t="s">
        <v>130</v>
      </c>
      <c r="K42" s="324">
        <f>SUM(K32:K41)</f>
        <v>1</v>
      </c>
      <c r="L42" s="294"/>
      <c r="M42" s="294"/>
      <c r="N42" s="294"/>
      <c r="O42" s="294"/>
      <c r="P42" s="12"/>
    </row>
    <row r="43" spans="2:57" ht="20.25" customHeight="1">
      <c r="B43" s="15" t="s">
        <v>42</v>
      </c>
      <c r="C43" s="1" t="s">
        <v>43</v>
      </c>
      <c r="D43" s="1"/>
      <c r="E43" s="1"/>
      <c r="F43" s="294"/>
      <c r="G43" s="42"/>
      <c r="H43" s="41"/>
      <c r="I43" s="42"/>
      <c r="L43" s="42"/>
      <c r="N43" s="315"/>
      <c r="P43" s="334"/>
    </row>
    <row r="44" spans="2:57" ht="15" customHeight="1" thickBot="1">
      <c r="B44" s="48"/>
      <c r="C44" s="48"/>
      <c r="D44" s="48"/>
      <c r="E44" s="48"/>
      <c r="F44" s="48"/>
      <c r="G44" s="48"/>
      <c r="H44" s="48"/>
      <c r="I44" s="48"/>
      <c r="J44" s="48"/>
      <c r="K44" s="48"/>
      <c r="L44" s="48"/>
      <c r="M44" s="48"/>
      <c r="N44" s="41"/>
      <c r="O44" s="48"/>
      <c r="P44" s="49"/>
    </row>
    <row r="45" spans="2:57" ht="15" customHeight="1" thickBot="1">
      <c r="B45" s="505" t="s">
        <v>17</v>
      </c>
      <c r="C45" s="505" t="s">
        <v>44</v>
      </c>
      <c r="D45" s="514" t="s">
        <v>45</v>
      </c>
      <c r="E45" s="516" t="s">
        <v>46</v>
      </c>
      <c r="F45" s="518" t="s">
        <v>47</v>
      </c>
      <c r="G45" s="503" t="s">
        <v>48</v>
      </c>
      <c r="H45" s="505" t="s">
        <v>49</v>
      </c>
      <c r="I45" s="505" t="s">
        <v>50</v>
      </c>
      <c r="J45" s="497" t="s">
        <v>28</v>
      </c>
      <c r="K45" s="507" t="s">
        <v>51</v>
      </c>
      <c r="L45" s="509" t="s">
        <v>52</v>
      </c>
      <c r="M45" s="497" t="s">
        <v>53</v>
      </c>
      <c r="N45" s="13"/>
      <c r="O45" s="13"/>
      <c r="P45" s="50"/>
    </row>
    <row r="46" spans="2:57" ht="28.5" customHeight="1" thickTop="1" thickBot="1">
      <c r="B46" s="506"/>
      <c r="C46" s="513"/>
      <c r="D46" s="515"/>
      <c r="E46" s="517"/>
      <c r="F46" s="519"/>
      <c r="G46" s="504"/>
      <c r="H46" s="506"/>
      <c r="I46" s="506"/>
      <c r="J46" s="498"/>
      <c r="K46" s="508"/>
      <c r="L46" s="510"/>
      <c r="M46" s="498"/>
      <c r="N46" s="13"/>
      <c r="O46" s="13"/>
      <c r="P46" s="50"/>
      <c r="Q46" s="355"/>
      <c r="AB46" s="475">
        <v>43474</v>
      </c>
      <c r="AC46" s="475">
        <v>43475</v>
      </c>
      <c r="AD46" s="475">
        <v>43476</v>
      </c>
      <c r="AE46" s="475">
        <v>43477</v>
      </c>
      <c r="AF46" s="475">
        <v>43478</v>
      </c>
      <c r="AG46" s="475">
        <v>43479</v>
      </c>
      <c r="AH46" s="475">
        <v>43480</v>
      </c>
      <c r="AI46" s="475">
        <v>43481</v>
      </c>
      <c r="AJ46" s="475">
        <v>43482</v>
      </c>
      <c r="AK46" s="475">
        <v>43483</v>
      </c>
      <c r="AL46" s="475">
        <v>43484</v>
      </c>
      <c r="AM46" s="475">
        <v>43485</v>
      </c>
      <c r="AN46" s="475">
        <v>43486</v>
      </c>
      <c r="AO46" s="475">
        <v>43487</v>
      </c>
      <c r="AP46" s="475">
        <v>43488</v>
      </c>
      <c r="AQ46" s="475">
        <v>43489</v>
      </c>
      <c r="AR46" s="475">
        <v>43490</v>
      </c>
      <c r="AS46" s="475">
        <v>43491</v>
      </c>
      <c r="AT46" s="475">
        <v>43492</v>
      </c>
      <c r="AU46" s="475">
        <v>43493</v>
      </c>
      <c r="AV46" s="475">
        <v>43494</v>
      </c>
      <c r="AW46" s="475">
        <v>43495</v>
      </c>
      <c r="AX46" s="475">
        <v>43496</v>
      </c>
    </row>
    <row r="47" spans="2:57" s="54" customFormat="1" ht="36.75" customHeight="1" thickBot="1">
      <c r="B47" s="456"/>
      <c r="C47" s="479"/>
      <c r="D47" s="445"/>
      <c r="E47" s="443"/>
      <c r="F47" s="444"/>
      <c r="G47" s="444"/>
      <c r="H47" s="458"/>
      <c r="I47" s="458"/>
      <c r="J47" s="448" t="s">
        <v>174</v>
      </c>
      <c r="K47" s="449"/>
      <c r="L47" s="457" t="e">
        <f>(((D47+E47)-G47)/(D47+E47))*100</f>
        <v>#DIV/0!</v>
      </c>
      <c r="M47" s="455"/>
      <c r="N47" s="13"/>
      <c r="O47" s="13"/>
      <c r="P47" s="50"/>
      <c r="R47" s="275"/>
      <c r="S47" s="275"/>
      <c r="T47" s="275"/>
      <c r="U47" s="275"/>
      <c r="V47" s="275"/>
      <c r="W47" s="275"/>
      <c r="X47" s="275"/>
      <c r="Y47" s="275"/>
      <c r="Z47" s="275"/>
      <c r="AA47" s="275"/>
      <c r="AB47" s="57">
        <f>[17]January_2019!L5</f>
        <v>0</v>
      </c>
      <c r="AC47" s="57">
        <f>[17]January_2019!M5</f>
        <v>0</v>
      </c>
      <c r="AD47" s="57">
        <f>[17]January_2019!N5</f>
        <v>0</v>
      </c>
      <c r="AE47" s="57">
        <f>[17]January_2019!O5</f>
        <v>0</v>
      </c>
      <c r="AF47" s="57">
        <f>[17]January_2019!P5</f>
        <v>0</v>
      </c>
      <c r="AG47" s="57">
        <f>[17]January_2019!Q5</f>
        <v>0</v>
      </c>
      <c r="AH47" s="57">
        <f>[17]January_2019!R5</f>
        <v>0</v>
      </c>
      <c r="AI47" s="57">
        <f>[17]January_2019!S5</f>
        <v>0</v>
      </c>
      <c r="AJ47" s="57">
        <f>[17]January_2019!T5</f>
        <v>0</v>
      </c>
      <c r="AK47" s="57">
        <f>[17]January_2019!U5</f>
        <v>0</v>
      </c>
      <c r="AL47" s="57">
        <f>[17]January_2019!V5</f>
        <v>0</v>
      </c>
      <c r="AM47" s="57">
        <f>[17]January_2019!W5</f>
        <v>0</v>
      </c>
      <c r="AN47" s="57">
        <f>[17]January_2019!X5</f>
        <v>0</v>
      </c>
      <c r="AO47" s="57">
        <f>[17]January_2019!Y5</f>
        <v>0</v>
      </c>
      <c r="AP47" s="57">
        <f>[17]January_2019!Z5</f>
        <v>0</v>
      </c>
      <c r="AQ47" s="57">
        <f>[17]January_2019!AA5</f>
        <v>0</v>
      </c>
      <c r="AR47" s="57">
        <f>[17]January_2019!AB5</f>
        <v>0</v>
      </c>
      <c r="AS47" s="57">
        <f>[17]January_2019!AC5</f>
        <v>0</v>
      </c>
      <c r="AT47" s="57">
        <f>[17]January_2019!AD5</f>
        <v>0</v>
      </c>
      <c r="AU47" s="57">
        <f>[17]January_2019!AE5</f>
        <v>0</v>
      </c>
      <c r="AV47" s="57">
        <f>[17]January_2019!AF5</f>
        <v>0</v>
      </c>
      <c r="AW47" s="57">
        <f>[17]January_2019!AG5</f>
        <v>0</v>
      </c>
      <c r="AX47" s="277">
        <f>[17]January_2019!AH5</f>
        <v>0</v>
      </c>
      <c r="AY47" s="277"/>
      <c r="AZ47" s="277"/>
      <c r="BA47" s="277"/>
      <c r="BB47" s="277"/>
      <c r="BC47" s="277"/>
      <c r="BD47" s="277"/>
      <c r="BE47" s="277"/>
    </row>
    <row r="48" spans="2:57" s="54" customFormat="1" ht="14.25" customHeight="1" thickBot="1">
      <c r="B48" s="480"/>
      <c r="C48" s="479"/>
      <c r="D48" s="442"/>
      <c r="E48" s="443"/>
      <c r="F48" s="444"/>
      <c r="G48" s="445"/>
      <c r="H48" s="458"/>
      <c r="I48" s="458"/>
      <c r="J48" s="476"/>
      <c r="K48" s="449"/>
      <c r="L48" s="457"/>
      <c r="M48" s="455"/>
      <c r="N48" s="13"/>
      <c r="O48" s="13"/>
      <c r="P48" s="50"/>
      <c r="R48" s="275"/>
      <c r="S48" s="275"/>
      <c r="T48" s="275"/>
      <c r="U48" s="275"/>
      <c r="V48" s="275"/>
      <c r="W48" s="275"/>
      <c r="X48" s="275"/>
      <c r="Y48" s="275"/>
      <c r="Z48" s="275"/>
      <c r="AA48" s="275"/>
      <c r="AB48" s="57">
        <f>[17]January_2019!L6</f>
        <v>0</v>
      </c>
      <c r="AC48" s="57">
        <f>[17]January_2019!M6</f>
        <v>0</v>
      </c>
      <c r="AD48" s="57">
        <f>[17]January_2019!N6</f>
        <v>0</v>
      </c>
      <c r="AE48" s="57">
        <f>[17]January_2019!O6</f>
        <v>0</v>
      </c>
      <c r="AF48" s="57">
        <f>[17]January_2019!P6</f>
        <v>0</v>
      </c>
      <c r="AG48" s="57">
        <f>[17]January_2019!Q6</f>
        <v>0</v>
      </c>
      <c r="AH48" s="57">
        <f>[17]January_2019!R6</f>
        <v>0</v>
      </c>
      <c r="AI48" s="57">
        <f>[17]January_2019!S6</f>
        <v>0</v>
      </c>
      <c r="AJ48" s="57">
        <f>[17]January_2019!T6</f>
        <v>0</v>
      </c>
      <c r="AK48" s="57">
        <f>[17]January_2019!U6</f>
        <v>0</v>
      </c>
      <c r="AL48" s="57">
        <f>[17]January_2019!V6</f>
        <v>0</v>
      </c>
      <c r="AM48" s="57">
        <f>[17]January_2019!W6</f>
        <v>0</v>
      </c>
      <c r="AN48" s="57">
        <f>[17]January_2019!X6</f>
        <v>0</v>
      </c>
      <c r="AO48" s="57">
        <f>[17]January_2019!Y6</f>
        <v>0</v>
      </c>
      <c r="AP48" s="57">
        <f>[17]January_2019!Z6</f>
        <v>0</v>
      </c>
      <c r="AQ48" s="57">
        <f>[17]January_2019!AA6</f>
        <v>0</v>
      </c>
      <c r="AR48" s="57">
        <f>[17]January_2019!AB6</f>
        <v>0</v>
      </c>
      <c r="AS48" s="57">
        <f>[17]January_2019!AC6</f>
        <v>0</v>
      </c>
      <c r="AT48" s="57">
        <f>[17]January_2019!AD6</f>
        <v>0</v>
      </c>
      <c r="AU48" s="57">
        <f>[17]January_2019!AE6</f>
        <v>0</v>
      </c>
      <c r="AV48" s="57">
        <f>[17]January_2019!AF6</f>
        <v>0</v>
      </c>
      <c r="AW48" s="57">
        <f>[17]January_2019!AG6</f>
        <v>0</v>
      </c>
      <c r="AX48" s="277">
        <f>[17]January_2019!AH6</f>
        <v>0</v>
      </c>
      <c r="AY48" s="277"/>
      <c r="AZ48" s="277"/>
      <c r="BA48" s="277"/>
      <c r="BB48" s="277"/>
      <c r="BC48" s="277"/>
      <c r="BD48" s="277"/>
      <c r="BE48" s="277"/>
    </row>
    <row r="49" spans="2:57" s="54" customFormat="1" ht="37.15" hidden="1" customHeight="1" thickBot="1">
      <c r="B49" s="495"/>
      <c r="C49" s="479"/>
      <c r="D49" s="442"/>
      <c r="E49" s="443"/>
      <c r="F49" s="444"/>
      <c r="G49" s="444"/>
      <c r="H49" s="446"/>
      <c r="I49" s="446"/>
      <c r="J49" s="448"/>
      <c r="K49" s="449"/>
      <c r="L49" s="457"/>
      <c r="M49" s="455"/>
      <c r="N49" s="13"/>
      <c r="O49" s="13"/>
      <c r="P49" s="50"/>
      <c r="R49" s="275"/>
      <c r="S49" s="275"/>
      <c r="T49" s="275"/>
      <c r="U49" s="275"/>
      <c r="V49" s="275"/>
      <c r="W49" s="275"/>
      <c r="X49" s="275"/>
      <c r="Y49" s="275"/>
      <c r="Z49" s="275"/>
      <c r="AA49" s="275"/>
      <c r="AB49" s="57">
        <f>[17]January_2019!L7</f>
        <v>285.8</v>
      </c>
      <c r="AC49" s="57">
        <f>[17]January_2019!M7</f>
        <v>508.1</v>
      </c>
      <c r="AD49" s="57">
        <f>[17]January_2019!N7</f>
        <v>0</v>
      </c>
      <c r="AE49" s="57">
        <f>[17]January_2019!O7</f>
        <v>0</v>
      </c>
      <c r="AF49" s="57">
        <f>[17]January_2019!P7</f>
        <v>109.56666666666666</v>
      </c>
      <c r="AG49" s="57">
        <f>[17]January_2019!Q7</f>
        <v>297.64999999999998</v>
      </c>
      <c r="AH49" s="57">
        <f>[17]January_2019!R7</f>
        <v>122.3</v>
      </c>
      <c r="AI49" s="57">
        <f>[17]January_2019!S7</f>
        <v>0</v>
      </c>
      <c r="AJ49" s="57">
        <f>[17]January_2019!T7</f>
        <v>294.7</v>
      </c>
      <c r="AK49" s="57">
        <f>[17]January_2019!U7</f>
        <v>280.5</v>
      </c>
      <c r="AL49" s="57">
        <f>[17]January_2019!V7</f>
        <v>0</v>
      </c>
      <c r="AM49" s="57">
        <f>[17]January_2019!W7</f>
        <v>0</v>
      </c>
      <c r="AN49" s="57">
        <f>[17]January_2019!X7</f>
        <v>188.25</v>
      </c>
      <c r="AO49" s="57">
        <f>[17]January_2019!Y7</f>
        <v>295.7</v>
      </c>
      <c r="AP49" s="57">
        <f>[17]January_2019!Z7</f>
        <v>257.8</v>
      </c>
      <c r="AQ49" s="57">
        <f>[17]January_2019!AA7</f>
        <v>291.2</v>
      </c>
      <c r="AR49" s="57">
        <f>[17]January_2019!AB7</f>
        <v>187</v>
      </c>
      <c r="AS49" s="57">
        <f>[17]January_2019!AC7</f>
        <v>0</v>
      </c>
      <c r="AT49" s="57">
        <f>[17]January_2019!AD7</f>
        <v>0</v>
      </c>
      <c r="AU49" s="57">
        <f>[17]January_2019!AE7</f>
        <v>485.1</v>
      </c>
      <c r="AV49" s="57">
        <f>[17]January_2019!AF7</f>
        <v>171.55</v>
      </c>
      <c r="AW49" s="57">
        <f>[17]January_2019!AG7</f>
        <v>423.8</v>
      </c>
      <c r="AX49" s="277">
        <f>[17]January_2019!AH7</f>
        <v>0</v>
      </c>
      <c r="AY49" s="277"/>
      <c r="AZ49" s="277"/>
      <c r="BA49" s="277"/>
      <c r="BB49" s="277"/>
      <c r="BC49" s="277"/>
      <c r="BD49" s="277"/>
      <c r="BE49" s="277"/>
    </row>
    <row r="50" spans="2:57" s="54" customFormat="1" ht="18.600000000000001" hidden="1" customHeight="1" thickBot="1">
      <c r="B50" s="478"/>
      <c r="C50" s="430"/>
      <c r="D50" s="431"/>
      <c r="E50" s="432"/>
      <c r="F50" s="433"/>
      <c r="G50" s="434"/>
      <c r="H50" s="458"/>
      <c r="I50" s="458"/>
      <c r="J50" s="451"/>
      <c r="K50" s="436"/>
      <c r="L50" s="452"/>
      <c r="M50" s="421"/>
      <c r="N50" s="13"/>
      <c r="O50" s="13"/>
      <c r="P50" s="50"/>
      <c r="R50" s="275"/>
      <c r="S50" s="275"/>
      <c r="T50" s="275"/>
      <c r="U50" s="275"/>
      <c r="V50" s="275"/>
      <c r="W50" s="275"/>
      <c r="X50" s="275"/>
      <c r="Y50" s="275"/>
      <c r="Z50" s="275"/>
      <c r="AA50" s="275"/>
      <c r="AB50" s="57"/>
      <c r="AC50" s="57"/>
      <c r="AD50" s="57"/>
      <c r="AE50" s="57"/>
      <c r="AF50" s="57"/>
      <c r="AG50" s="57"/>
      <c r="AH50" s="57"/>
      <c r="AI50" s="57"/>
      <c r="AJ50" s="57"/>
      <c r="AK50" s="57"/>
      <c r="AL50" s="57"/>
      <c r="AM50" s="57"/>
      <c r="AN50" s="57"/>
      <c r="AO50" s="57"/>
      <c r="AP50" s="57"/>
      <c r="AQ50" s="57"/>
      <c r="AR50" s="57"/>
      <c r="AS50" s="57"/>
      <c r="AT50" s="57"/>
      <c r="AU50" s="57"/>
      <c r="AV50" s="57"/>
      <c r="AW50" s="57"/>
      <c r="AX50" s="277"/>
      <c r="AY50" s="277"/>
      <c r="AZ50" s="277"/>
      <c r="BA50" s="277"/>
      <c r="BB50" s="277"/>
      <c r="BC50" s="277"/>
      <c r="BD50" s="277"/>
      <c r="BE50" s="277"/>
    </row>
    <row r="51" spans="2:57" s="54" customFormat="1" ht="38.65" hidden="1" customHeight="1" thickBot="1">
      <c r="B51" s="487"/>
      <c r="C51" s="479"/>
      <c r="D51" s="442"/>
      <c r="E51" s="443"/>
      <c r="F51" s="444"/>
      <c r="G51" s="445"/>
      <c r="H51" s="458"/>
      <c r="I51" s="458"/>
      <c r="J51" s="448"/>
      <c r="K51" s="459"/>
      <c r="L51" s="457"/>
      <c r="M51" s="455"/>
      <c r="N51" s="13"/>
      <c r="O51" s="13"/>
      <c r="P51" s="50"/>
      <c r="R51" s="275"/>
      <c r="S51" s="275"/>
      <c r="T51" s="275"/>
      <c r="U51" s="275"/>
      <c r="V51" s="275"/>
      <c r="W51" s="275"/>
      <c r="X51" s="275"/>
      <c r="Y51" s="275"/>
      <c r="Z51" s="275"/>
      <c r="AA51" s="275"/>
      <c r="AB51" s="57"/>
      <c r="AC51" s="57"/>
      <c r="AD51" s="57"/>
      <c r="AE51" s="57"/>
      <c r="AF51" s="57"/>
      <c r="AG51" s="57"/>
      <c r="AH51" s="57"/>
      <c r="AI51" s="57"/>
      <c r="AJ51" s="57"/>
      <c r="AK51" s="57"/>
      <c r="AL51" s="57"/>
      <c r="AM51" s="57"/>
      <c r="AN51" s="57"/>
      <c r="AO51" s="57"/>
      <c r="AP51" s="57"/>
      <c r="AQ51" s="57"/>
      <c r="AR51" s="57"/>
      <c r="AS51" s="57"/>
      <c r="AT51" s="57"/>
      <c r="AU51" s="57"/>
      <c r="AV51" s="57"/>
      <c r="AW51" s="57"/>
      <c r="AX51" s="277"/>
      <c r="AY51" s="277"/>
      <c r="AZ51" s="277"/>
      <c r="BA51" s="277"/>
      <c r="BB51" s="277"/>
      <c r="BC51" s="277"/>
      <c r="BD51" s="277"/>
      <c r="BE51" s="277"/>
    </row>
    <row r="52" spans="2:57" s="54" customFormat="1" ht="15" hidden="1">
      <c r="B52" s="453"/>
      <c r="C52" s="430"/>
      <c r="D52" s="431"/>
      <c r="E52" s="432"/>
      <c r="F52" s="433"/>
      <c r="G52" s="434"/>
      <c r="H52" s="435"/>
      <c r="I52" s="450"/>
      <c r="J52" s="451"/>
      <c r="K52" s="436"/>
      <c r="L52" s="452"/>
      <c r="M52" s="421"/>
      <c r="N52" s="13"/>
      <c r="O52" s="13"/>
      <c r="P52" s="50"/>
      <c r="R52" s="275"/>
      <c r="S52" s="275"/>
      <c r="T52" s="275"/>
      <c r="U52" s="275"/>
      <c r="V52" s="275"/>
      <c r="W52" s="275"/>
      <c r="X52" s="275"/>
      <c r="Y52" s="275"/>
      <c r="Z52" s="275"/>
      <c r="AA52" s="275"/>
      <c r="AB52" s="57"/>
      <c r="AC52" s="57"/>
      <c r="AD52" s="57"/>
      <c r="AE52" s="57"/>
      <c r="AF52" s="57"/>
      <c r="AG52" s="57"/>
      <c r="AH52" s="57"/>
      <c r="AI52" s="57"/>
      <c r="AJ52" s="57"/>
      <c r="AK52" s="57"/>
      <c r="AL52" s="57"/>
      <c r="AM52" s="57"/>
      <c r="AN52" s="57"/>
      <c r="AO52" s="57"/>
      <c r="AP52" s="57"/>
      <c r="AQ52" s="57"/>
      <c r="AR52" s="57"/>
      <c r="AS52" s="57"/>
      <c r="AT52" s="57"/>
      <c r="AU52" s="57"/>
      <c r="AV52" s="57"/>
      <c r="AW52" s="57"/>
      <c r="AX52" s="277"/>
      <c r="AY52" s="277"/>
      <c r="AZ52" s="277"/>
      <c r="BA52" s="277"/>
      <c r="BB52" s="277"/>
      <c r="BC52" s="277"/>
      <c r="BD52" s="277"/>
      <c r="BE52" s="277"/>
    </row>
    <row r="53" spans="2:57" s="54" customFormat="1" ht="37.15" hidden="1" customHeight="1" thickBot="1">
      <c r="B53" s="481"/>
      <c r="C53" s="479"/>
      <c r="D53" s="442"/>
      <c r="E53" s="443"/>
      <c r="F53" s="444"/>
      <c r="G53" s="445"/>
      <c r="H53" s="446"/>
      <c r="I53" s="447"/>
      <c r="J53" s="448"/>
      <c r="K53" s="449"/>
      <c r="L53" s="457"/>
      <c r="M53" s="455"/>
      <c r="N53" s="13"/>
      <c r="O53" s="13"/>
      <c r="P53" s="50"/>
      <c r="R53" s="275"/>
      <c r="S53" s="275"/>
      <c r="T53" s="275"/>
      <c r="U53" s="275"/>
      <c r="V53" s="275"/>
      <c r="W53" s="275"/>
      <c r="X53" s="275"/>
      <c r="Y53" s="275"/>
      <c r="Z53" s="275"/>
      <c r="AA53" s="275"/>
      <c r="AB53" s="57"/>
      <c r="AC53" s="57"/>
      <c r="AD53" s="57"/>
      <c r="AE53" s="57"/>
      <c r="AF53" s="57"/>
      <c r="AG53" s="57"/>
      <c r="AH53" s="57"/>
      <c r="AI53" s="57"/>
      <c r="AJ53" s="57"/>
      <c r="AK53" s="57"/>
      <c r="AL53" s="57"/>
      <c r="AM53" s="57"/>
      <c r="AN53" s="57"/>
      <c r="AO53" s="57"/>
      <c r="AP53" s="57"/>
      <c r="AQ53" s="57"/>
      <c r="AR53" s="57"/>
      <c r="AS53" s="57"/>
      <c r="AT53" s="57"/>
      <c r="AU53" s="57"/>
      <c r="AV53" s="57"/>
      <c r="AW53" s="57"/>
      <c r="AX53" s="277"/>
      <c r="AY53" s="277"/>
      <c r="AZ53" s="277"/>
      <c r="BA53" s="277"/>
      <c r="BB53" s="277"/>
      <c r="BC53" s="277"/>
      <c r="BD53" s="277"/>
      <c r="BE53" s="277"/>
    </row>
    <row r="54" spans="2:57" s="54" customFormat="1" ht="16.5" hidden="1" customHeight="1" thickBot="1">
      <c r="B54" s="437"/>
      <c r="C54" s="423"/>
      <c r="D54" s="424"/>
      <c r="E54" s="425"/>
      <c r="F54" s="426"/>
      <c r="G54" s="427"/>
      <c r="H54" s="428"/>
      <c r="I54" s="438"/>
      <c r="J54" s="439"/>
      <c r="K54" s="429"/>
      <c r="L54" s="440"/>
      <c r="M54" s="422"/>
      <c r="N54" s="13"/>
      <c r="O54" s="13"/>
      <c r="P54" s="50"/>
      <c r="R54" s="275"/>
      <c r="S54" s="275"/>
      <c r="T54" s="275"/>
      <c r="U54" s="275"/>
      <c r="V54" s="275"/>
      <c r="W54" s="275"/>
      <c r="X54" s="275"/>
      <c r="Y54" s="275"/>
      <c r="Z54" s="275"/>
      <c r="AA54" s="275"/>
      <c r="AB54" s="415"/>
      <c r="AC54" s="415"/>
      <c r="AD54" s="415"/>
      <c r="AE54" s="415"/>
      <c r="AF54" s="415"/>
      <c r="AG54" s="415"/>
      <c r="AH54" s="415"/>
      <c r="AI54" s="415"/>
      <c r="AJ54" s="415"/>
      <c r="AK54" s="415"/>
      <c r="AL54" s="415"/>
      <c r="AM54" s="415"/>
      <c r="AN54" s="415"/>
      <c r="AO54" s="415"/>
      <c r="AP54" s="415"/>
      <c r="AQ54" s="415"/>
      <c r="AR54" s="415"/>
      <c r="AS54" s="415"/>
      <c r="AT54" s="415"/>
      <c r="AU54" s="415"/>
      <c r="AV54" s="415"/>
      <c r="AW54" s="415"/>
    </row>
    <row r="55" spans="2:57" s="54" customFormat="1" ht="37.15" hidden="1" customHeight="1" thickBot="1">
      <c r="B55" s="456"/>
      <c r="C55" s="441"/>
      <c r="D55" s="442"/>
      <c r="E55" s="443"/>
      <c r="F55" s="444"/>
      <c r="G55" s="445"/>
      <c r="H55" s="446"/>
      <c r="I55" s="447"/>
      <c r="J55" s="448"/>
      <c r="K55" s="449"/>
      <c r="L55" s="457"/>
      <c r="M55" s="454"/>
      <c r="N55" s="13"/>
      <c r="O55" s="13"/>
      <c r="P55" s="50"/>
      <c r="R55" s="275"/>
      <c r="S55" s="275"/>
      <c r="T55" s="275"/>
      <c r="U55" s="275"/>
      <c r="V55" s="275"/>
      <c r="W55" s="275"/>
      <c r="X55" s="275"/>
      <c r="Y55" s="275"/>
      <c r="Z55" s="275"/>
      <c r="AA55" s="275"/>
      <c r="AB55" s="57"/>
      <c r="AC55" s="57"/>
      <c r="AD55" s="57"/>
      <c r="AE55" s="57"/>
      <c r="AF55" s="57"/>
      <c r="AG55" s="57"/>
      <c r="AH55" s="57"/>
      <c r="AI55" s="57"/>
      <c r="AJ55" s="57"/>
      <c r="AK55" s="57"/>
      <c r="AL55" s="57"/>
      <c r="AM55" s="57"/>
      <c r="AN55" s="57"/>
      <c r="AO55" s="57"/>
      <c r="AP55" s="57"/>
      <c r="AQ55" s="57"/>
      <c r="AR55" s="57"/>
      <c r="AS55" s="57"/>
      <c r="AT55" s="57"/>
      <c r="AU55" s="57"/>
      <c r="AV55" s="57"/>
      <c r="AW55" s="57"/>
      <c r="AX55" s="277"/>
      <c r="AY55" s="277"/>
      <c r="AZ55" s="277"/>
      <c r="BA55" s="277"/>
      <c r="BB55" s="277"/>
      <c r="BC55" s="277"/>
      <c r="BD55" s="277"/>
      <c r="BE55" s="277"/>
    </row>
    <row r="56" spans="2:57" s="54" customFormat="1" ht="37.15" customHeight="1">
      <c r="B56" s="466"/>
      <c r="C56" s="430"/>
      <c r="D56" s="460"/>
      <c r="E56" s="461"/>
      <c r="F56" s="462"/>
      <c r="G56" s="460"/>
      <c r="H56" s="463"/>
      <c r="I56" s="463"/>
      <c r="J56" s="463"/>
      <c r="K56" s="464"/>
      <c r="L56" s="465"/>
      <c r="M56" s="50"/>
      <c r="N56" s="13"/>
      <c r="O56" s="13"/>
      <c r="P56" s="50"/>
      <c r="R56" s="275"/>
      <c r="S56" s="275"/>
      <c r="T56" s="275"/>
      <c r="U56" s="275"/>
      <c r="V56" s="275"/>
      <c r="W56" s="275"/>
      <c r="X56" s="275"/>
      <c r="Y56" s="275"/>
      <c r="Z56" s="275"/>
      <c r="AA56" s="275"/>
      <c r="AB56" s="57"/>
      <c r="AC56" s="57"/>
      <c r="AD56" s="57"/>
      <c r="AE56" s="57"/>
      <c r="AF56" s="57"/>
      <c r="AG56" s="57"/>
      <c r="AH56" s="57"/>
      <c r="AI56" s="57"/>
      <c r="AJ56" s="57"/>
      <c r="AK56" s="57"/>
      <c r="AL56" s="57"/>
      <c r="AM56" s="57"/>
      <c r="AN56" s="57"/>
      <c r="AO56" s="57"/>
      <c r="AP56" s="57"/>
      <c r="AQ56" s="57"/>
      <c r="AR56" s="57"/>
      <c r="AS56" s="57"/>
      <c r="AT56" s="57"/>
      <c r="AU56" s="57"/>
      <c r="AV56" s="57"/>
      <c r="AW56" s="57"/>
      <c r="AX56" s="277"/>
      <c r="AY56" s="277"/>
      <c r="AZ56" s="277"/>
      <c r="BA56" s="277"/>
      <c r="BB56" s="277"/>
      <c r="BC56" s="277"/>
      <c r="BD56" s="277"/>
      <c r="BE56" s="277"/>
    </row>
    <row r="57" spans="2:57" ht="18" customHeight="1" thickBot="1">
      <c r="B57" s="59"/>
      <c r="C57" s="309"/>
      <c r="D57" s="59"/>
      <c r="E57" s="59"/>
      <c r="F57" s="59"/>
      <c r="G57" s="59"/>
      <c r="H57" s="59"/>
      <c r="I57" s="59"/>
      <c r="J57" s="59"/>
      <c r="K57" s="59"/>
      <c r="L57" s="59"/>
      <c r="M57" s="59"/>
      <c r="N57" s="59" t="s">
        <v>41</v>
      </c>
      <c r="O57" s="56"/>
      <c r="P57" s="60"/>
    </row>
    <row r="58" spans="2:57" ht="15.75" thickBot="1">
      <c r="B58" s="499" t="s">
        <v>55</v>
      </c>
      <c r="C58" s="500"/>
      <c r="D58" s="500"/>
      <c r="E58" s="500"/>
      <c r="F58" s="501"/>
      <c r="G58" s="499" t="s">
        <v>56</v>
      </c>
      <c r="H58" s="500"/>
      <c r="I58" s="500"/>
      <c r="J58" s="501"/>
      <c r="K58" s="499" t="s">
        <v>51</v>
      </c>
      <c r="L58" s="500"/>
      <c r="M58" s="500"/>
      <c r="N58" s="502"/>
      <c r="O58" s="56"/>
      <c r="P58" s="50"/>
    </row>
    <row r="59" spans="2:57" ht="15">
      <c r="B59" s="61" t="s">
        <v>17</v>
      </c>
      <c r="C59" s="62" t="s">
        <v>36</v>
      </c>
      <c r="D59" s="62" t="s">
        <v>37</v>
      </c>
      <c r="E59" s="62" t="s">
        <v>38</v>
      </c>
      <c r="F59" s="63" t="s">
        <v>39</v>
      </c>
      <c r="G59" s="62" t="s">
        <v>36</v>
      </c>
      <c r="H59" s="62" t="s">
        <v>37</v>
      </c>
      <c r="I59" s="62" t="s">
        <v>38</v>
      </c>
      <c r="J59" s="63" t="s">
        <v>39</v>
      </c>
      <c r="K59" s="62" t="s">
        <v>36</v>
      </c>
      <c r="L59" s="62" t="s">
        <v>37</v>
      </c>
      <c r="M59" s="62" t="s">
        <v>38</v>
      </c>
      <c r="N59" s="63" t="s">
        <v>39</v>
      </c>
      <c r="O59" s="56"/>
      <c r="P59" s="64"/>
    </row>
    <row r="60" spans="2:57" ht="15">
      <c r="B60" s="29" t="s">
        <v>6</v>
      </c>
      <c r="C60" s="65"/>
      <c r="D60" s="76">
        <v>7.2669378760384307</v>
      </c>
      <c r="E60" s="76">
        <v>6.6024208041377905</v>
      </c>
      <c r="F60" s="66">
        <v>4.8</v>
      </c>
      <c r="G60" s="65"/>
      <c r="H60" s="477">
        <v>6.4041575385468743</v>
      </c>
      <c r="I60" s="477">
        <v>6.6307190081077829</v>
      </c>
      <c r="J60" s="66">
        <v>4.8</v>
      </c>
      <c r="K60" s="67"/>
      <c r="L60" s="194">
        <v>0.60052339181286551</v>
      </c>
      <c r="M60" s="194">
        <v>0.53173259312468302</v>
      </c>
      <c r="N60" s="68">
        <v>1</v>
      </c>
      <c r="O60" s="56"/>
      <c r="P60" s="69"/>
    </row>
    <row r="61" spans="2:57" ht="15">
      <c r="B61" s="33" t="s">
        <v>9</v>
      </c>
      <c r="C61" s="65"/>
      <c r="D61" s="76">
        <v>8.1797752808988591</v>
      </c>
      <c r="E61" s="76">
        <v>5.939590940751847</v>
      </c>
      <c r="F61" s="66">
        <v>4.8</v>
      </c>
      <c r="G61" s="65"/>
      <c r="H61" s="76">
        <v>7.1493286491954091</v>
      </c>
      <c r="I61" s="76">
        <v>6.0146000548367518</v>
      </c>
      <c r="J61" s="66">
        <v>4.8</v>
      </c>
      <c r="K61" s="67"/>
      <c r="L61" s="194">
        <v>0.31847368421052635</v>
      </c>
      <c r="M61" s="194">
        <v>0.68029295501093157</v>
      </c>
      <c r="N61" s="68">
        <v>1</v>
      </c>
      <c r="P61" s="69"/>
    </row>
    <row r="62" spans="2:57" ht="15">
      <c r="B62" s="34" t="s">
        <v>40</v>
      </c>
      <c r="C62" s="65"/>
      <c r="D62" s="76"/>
      <c r="E62" s="76">
        <v>11.277593164016125</v>
      </c>
      <c r="F62" s="66">
        <v>5.5</v>
      </c>
      <c r="G62" s="65"/>
      <c r="H62" s="76"/>
      <c r="I62" s="76">
        <v>11.857907912244482</v>
      </c>
      <c r="J62" s="66">
        <v>5.5</v>
      </c>
      <c r="K62" s="67"/>
      <c r="L62" s="194"/>
      <c r="M62" s="194">
        <v>0.35370190356844494</v>
      </c>
      <c r="N62" s="68">
        <v>1</v>
      </c>
      <c r="P62" s="69"/>
    </row>
    <row r="63" spans="2:57" ht="15">
      <c r="B63" s="22" t="s">
        <v>33</v>
      </c>
      <c r="C63" s="65"/>
      <c r="D63" s="76"/>
      <c r="E63" s="76">
        <v>4.8685538193023836</v>
      </c>
      <c r="F63" s="66">
        <v>3.3</v>
      </c>
      <c r="G63" s="65"/>
      <c r="H63" s="76"/>
      <c r="I63" s="76">
        <v>4.8702525342252114</v>
      </c>
      <c r="J63" s="66">
        <v>3.3</v>
      </c>
      <c r="K63" s="67"/>
      <c r="L63" s="194"/>
      <c r="M63" s="194">
        <v>0.77919298245614044</v>
      </c>
      <c r="N63" s="68">
        <v>1</v>
      </c>
      <c r="P63" s="69"/>
    </row>
    <row r="64" spans="2:57" ht="15">
      <c r="B64" s="35" t="s">
        <v>164</v>
      </c>
      <c r="C64" s="65"/>
      <c r="D64" s="76"/>
      <c r="E64" s="76"/>
      <c r="F64" s="66">
        <v>3.3</v>
      </c>
      <c r="G64" s="282"/>
      <c r="H64" s="76"/>
      <c r="I64" s="76"/>
      <c r="J64" s="66">
        <v>3</v>
      </c>
      <c r="K64" s="67"/>
      <c r="L64" s="194"/>
      <c r="M64" s="194"/>
      <c r="N64" s="68">
        <v>1</v>
      </c>
      <c r="P64" s="69"/>
    </row>
    <row r="65" spans="2:16" ht="15">
      <c r="B65" s="36" t="s">
        <v>15</v>
      </c>
      <c r="C65" s="65"/>
      <c r="D65" s="76">
        <v>6.8855672629257718</v>
      </c>
      <c r="E65" s="76">
        <v>6.3233965672990236</v>
      </c>
      <c r="F65" s="70">
        <v>5.5</v>
      </c>
      <c r="G65" s="65"/>
      <c r="H65" s="76">
        <v>7.4264332958762713</v>
      </c>
      <c r="I65" s="76">
        <v>7.9667553186446929</v>
      </c>
      <c r="J65" s="66">
        <v>5.5</v>
      </c>
      <c r="K65" s="67"/>
      <c r="L65" s="194">
        <v>0.391812865497076</v>
      </c>
      <c r="M65" s="194">
        <v>0.5883625730994152</v>
      </c>
      <c r="N65" s="68">
        <v>1</v>
      </c>
      <c r="P65" s="69"/>
    </row>
    <row r="66" spans="2:16" ht="15">
      <c r="B66" s="37" t="s">
        <v>16</v>
      </c>
      <c r="C66" s="482"/>
      <c r="D66" s="76"/>
      <c r="E66" s="76">
        <v>3.6168923014750334</v>
      </c>
      <c r="F66" s="66">
        <v>3.3</v>
      </c>
      <c r="G66" s="282"/>
      <c r="H66" s="76"/>
      <c r="I66" s="76">
        <v>5.0091179718082053</v>
      </c>
      <c r="J66" s="66">
        <v>3.3</v>
      </c>
      <c r="K66" s="67"/>
      <c r="L66" s="194"/>
      <c r="M66" s="194">
        <v>0.92642300194931759</v>
      </c>
      <c r="N66" s="71">
        <v>1</v>
      </c>
      <c r="P66" s="69"/>
    </row>
    <row r="67" spans="2:16" ht="15.75" thickBot="1">
      <c r="B67" s="38" t="s">
        <v>163</v>
      </c>
      <c r="C67" s="65"/>
      <c r="D67" s="76"/>
      <c r="E67" s="76"/>
      <c r="F67" s="66">
        <v>7.5</v>
      </c>
      <c r="G67" s="282"/>
      <c r="H67" s="76"/>
      <c r="I67" s="76"/>
      <c r="J67" s="66">
        <v>7.5</v>
      </c>
      <c r="K67" s="67"/>
      <c r="L67" s="194"/>
      <c r="M67" s="194"/>
      <c r="N67" s="71">
        <v>1</v>
      </c>
      <c r="P67" s="69"/>
    </row>
    <row r="68" spans="2:16" ht="15.75" thickBot="1">
      <c r="B68" s="414" t="s">
        <v>161</v>
      </c>
      <c r="C68" s="65"/>
      <c r="D68" s="76"/>
      <c r="E68" s="76"/>
      <c r="F68" s="66">
        <v>4.8</v>
      </c>
      <c r="G68" s="282"/>
      <c r="H68" s="76"/>
      <c r="I68" s="76"/>
      <c r="J68" s="66">
        <v>4.8</v>
      </c>
      <c r="K68" s="67"/>
      <c r="L68" s="194"/>
      <c r="M68" s="194"/>
      <c r="N68" s="71">
        <v>1</v>
      </c>
      <c r="O68" s="74"/>
      <c r="P68" s="75"/>
    </row>
    <row r="69" spans="2:16" ht="15">
      <c r="D69" s="76">
        <v>7.4125390445745492</v>
      </c>
      <c r="E69" s="76">
        <v>6.4147316896923909</v>
      </c>
      <c r="F69" s="341">
        <v>5.5</v>
      </c>
      <c r="H69" s="76">
        <v>6.6840393045153821</v>
      </c>
      <c r="I69" s="76">
        <v>6.6928815041484677</v>
      </c>
      <c r="J69" s="341">
        <v>5.5</v>
      </c>
      <c r="L69" s="194">
        <v>0.50896716149347732</v>
      </c>
      <c r="M69" s="194">
        <v>0.59194404706036807</v>
      </c>
      <c r="N69" s="386">
        <v>1</v>
      </c>
    </row>
  </sheetData>
  <mergeCells count="51">
    <mergeCell ref="M45:M46"/>
    <mergeCell ref="B58:F58"/>
    <mergeCell ref="G58:J58"/>
    <mergeCell ref="K58:N58"/>
    <mergeCell ref="G45:G46"/>
    <mergeCell ref="H45:H46"/>
    <mergeCell ref="I45:I46"/>
    <mergeCell ref="J45:J46"/>
    <mergeCell ref="K45:K46"/>
    <mergeCell ref="L45:L46"/>
    <mergeCell ref="F45:F46"/>
    <mergeCell ref="D40:E40"/>
    <mergeCell ref="B45:B46"/>
    <mergeCell ref="C45:C46"/>
    <mergeCell ref="D45:D46"/>
    <mergeCell ref="E45:E46"/>
    <mergeCell ref="B30:B39"/>
    <mergeCell ref="D30:E31"/>
    <mergeCell ref="J30:K30"/>
    <mergeCell ref="L31:N31"/>
    <mergeCell ref="D32:E33"/>
    <mergeCell ref="D34:E35"/>
    <mergeCell ref="D36:E37"/>
    <mergeCell ref="D38:E39"/>
    <mergeCell ref="I16:N16"/>
    <mergeCell ref="D17:E17"/>
    <mergeCell ref="B18:B29"/>
    <mergeCell ref="D18:E19"/>
    <mergeCell ref="D20:E21"/>
    <mergeCell ref="D22:E23"/>
    <mergeCell ref="D24:E25"/>
    <mergeCell ref="D26:E27"/>
    <mergeCell ref="D28:E29"/>
    <mergeCell ref="P8:P9"/>
    <mergeCell ref="C5:D5"/>
    <mergeCell ref="B8:B9"/>
    <mergeCell ref="C8:C9"/>
    <mergeCell ref="D8:D9"/>
    <mergeCell ref="G8:G9"/>
    <mergeCell ref="H8:H9"/>
    <mergeCell ref="I8:I9"/>
    <mergeCell ref="J8:J9"/>
    <mergeCell ref="K8:K9"/>
    <mergeCell ref="L8:L9"/>
    <mergeCell ref="O8:O9"/>
    <mergeCell ref="M4:N4"/>
    <mergeCell ref="S1:T1"/>
    <mergeCell ref="U1:V1"/>
    <mergeCell ref="W1:X1"/>
    <mergeCell ref="Y1:Z1"/>
    <mergeCell ref="B2:O2"/>
  </mergeCells>
  <conditionalFormatting sqref="B40:B41">
    <cfRule type="cellIs" dxfId="1539" priority="103" operator="notBetween">
      <formula>#REF!</formula>
      <formula>#REF!</formula>
    </cfRule>
  </conditionalFormatting>
  <conditionalFormatting sqref="C44">
    <cfRule type="cellIs" dxfId="1538" priority="186" stopIfTrue="1" operator="greaterThan">
      <formula>100</formula>
    </cfRule>
    <cfRule type="cellIs" dxfId="1537" priority="185" stopIfTrue="1" operator="lessThan">
      <formula>96</formula>
    </cfRule>
  </conditionalFormatting>
  <conditionalFormatting sqref="C60:C61">
    <cfRule type="cellIs" dxfId="1536" priority="66" stopIfTrue="1" operator="greaterThan">
      <formula>$F60</formula>
    </cfRule>
    <cfRule type="cellIs" dxfId="1535" priority="68" stopIfTrue="1" operator="greaterThan">
      <formula>$F60</formula>
    </cfRule>
    <cfRule type="cellIs" dxfId="1534" priority="69" stopIfTrue="1" operator="lessThanOrEqual">
      <formula>0</formula>
    </cfRule>
    <cfRule type="cellIs" dxfId="1533" priority="67" stopIfTrue="1" operator="lessThanOrEqual">
      <formula>0</formula>
    </cfRule>
  </conditionalFormatting>
  <conditionalFormatting sqref="C62:C64 C66:C68">
    <cfRule type="cellIs" dxfId="1532" priority="75" stopIfTrue="1" operator="greaterThan">
      <formula>$F65</formula>
    </cfRule>
  </conditionalFormatting>
  <conditionalFormatting sqref="C62:C64">
    <cfRule type="cellIs" dxfId="1531" priority="76" stopIfTrue="1" operator="lessThanOrEqual">
      <formula>0</formula>
    </cfRule>
  </conditionalFormatting>
  <conditionalFormatting sqref="C65">
    <cfRule type="cellIs" dxfId="1530" priority="187" stopIfTrue="1" operator="greaterThan">
      <formula>$F60</formula>
    </cfRule>
    <cfRule type="cellIs" dxfId="1529" priority="190" stopIfTrue="1" operator="lessThanOrEqual">
      <formula>0</formula>
    </cfRule>
    <cfRule type="cellIs" dxfId="1528" priority="189" stopIfTrue="1" operator="greaterThan">
      <formula>$F60</formula>
    </cfRule>
    <cfRule type="cellIs" dxfId="1527" priority="188" stopIfTrue="1" operator="lessThanOrEqual">
      <formula>0</formula>
    </cfRule>
  </conditionalFormatting>
  <conditionalFormatting sqref="C66:C68">
    <cfRule type="cellIs" dxfId="1526" priority="77" stopIfTrue="1" operator="lessThanOrEqual">
      <formula>0</formula>
    </cfRule>
  </conditionalFormatting>
  <conditionalFormatting sqref="C71:C75">
    <cfRule type="cellIs" dxfId="1525" priority="177" stopIfTrue="1" operator="lessThanOrEqual">
      <formula>0</formula>
    </cfRule>
  </conditionalFormatting>
  <conditionalFormatting sqref="C72:C75">
    <cfRule type="cellIs" dxfId="1524" priority="176" stopIfTrue="1" operator="greaterThan">
      <formula>$F$71</formula>
    </cfRule>
  </conditionalFormatting>
  <conditionalFormatting sqref="C77">
    <cfRule type="cellIs" dxfId="1523" priority="178" stopIfTrue="1" operator="greaterThan">
      <formula>$F$71</formula>
    </cfRule>
    <cfRule type="cellIs" dxfId="1522" priority="179" stopIfTrue="1" operator="lessThanOrEqual">
      <formula>0</formula>
    </cfRule>
  </conditionalFormatting>
  <conditionalFormatting sqref="C65:D65">
    <cfRule type="cellIs" dxfId="1521" priority="64" stopIfTrue="1" operator="greaterThan">
      <formula>$J65</formula>
    </cfRule>
    <cfRule type="cellIs" dxfId="1520" priority="65" stopIfTrue="1" operator="lessThanOrEqual">
      <formula>0</formula>
    </cfRule>
  </conditionalFormatting>
  <conditionalFormatting sqref="C71:D71 D73:D79">
    <cfRule type="cellIs" dxfId="1519" priority="171" stopIfTrue="1" operator="greaterThan">
      <formula>4.5</formula>
    </cfRule>
  </conditionalFormatting>
  <conditionalFormatting sqref="D40:D41">
    <cfRule type="cellIs" dxfId="1518" priority="104" operator="notBetween">
      <formula>#REF!</formula>
      <formula>#REF!</formula>
    </cfRule>
  </conditionalFormatting>
  <conditionalFormatting sqref="D60:D64 D66:D67">
    <cfRule type="cellIs" dxfId="1517" priority="74" stopIfTrue="1" operator="lessThanOrEqual">
      <formula>0</formula>
    </cfRule>
  </conditionalFormatting>
  <conditionalFormatting sqref="D60:D64 D66:D69">
    <cfRule type="cellIs" dxfId="1516" priority="71" stopIfTrue="1" operator="greaterThan">
      <formula>$F60</formula>
    </cfRule>
    <cfRule type="cellIs" dxfId="1515" priority="70" stopIfTrue="1" operator="lessThanOrEqual">
      <formula>0</formula>
    </cfRule>
  </conditionalFormatting>
  <conditionalFormatting sqref="D68:D69">
    <cfRule type="cellIs" dxfId="1514" priority="72" stopIfTrue="1" operator="lessThanOrEqual">
      <formula>0</formula>
    </cfRule>
  </conditionalFormatting>
  <conditionalFormatting sqref="D69">
    <cfRule type="cellIs" dxfId="1513" priority="73" stopIfTrue="1" operator="lessThanOrEqual">
      <formula>0</formula>
    </cfRule>
  </conditionalFormatting>
  <conditionalFormatting sqref="D71 D73:D79">
    <cfRule type="cellIs" dxfId="1512" priority="172" stopIfTrue="1" operator="lessThanOrEqual">
      <formula>0</formula>
    </cfRule>
  </conditionalFormatting>
  <conditionalFormatting sqref="D72">
    <cfRule type="cellIs" dxfId="1511" priority="163" stopIfTrue="1" operator="greaterThan">
      <formula>$F$71</formula>
    </cfRule>
    <cfRule type="cellIs" dxfId="1510" priority="164" stopIfTrue="1" operator="lessThanOrEqual">
      <formula>0</formula>
    </cfRule>
  </conditionalFormatting>
  <conditionalFormatting sqref="E10:E15">
    <cfRule type="cellIs" dxfId="1509" priority="7" operator="lessThan">
      <formula>48</formula>
    </cfRule>
  </conditionalFormatting>
  <conditionalFormatting sqref="E43 E44:F44">
    <cfRule type="cellIs" dxfId="1508" priority="168" stopIfTrue="1" operator="greaterThan">
      <formula>100</formula>
    </cfRule>
  </conditionalFormatting>
  <conditionalFormatting sqref="E44">
    <cfRule type="cellIs" dxfId="1507" priority="166" stopIfTrue="1" operator="greaterThan">
      <formula>100</formula>
    </cfRule>
    <cfRule type="cellIs" dxfId="1506" priority="165" stopIfTrue="1" operator="lessThan">
      <formula>96.8</formula>
    </cfRule>
  </conditionalFormatting>
  <conditionalFormatting sqref="E60:E68">
    <cfRule type="cellIs" dxfId="1505" priority="37" stopIfTrue="1" operator="lessThanOrEqual">
      <formula>0</formula>
    </cfRule>
  </conditionalFormatting>
  <conditionalFormatting sqref="E60:E69">
    <cfRule type="cellIs" dxfId="1504" priority="38" stopIfTrue="1" operator="greaterThan">
      <formula>$F60</formula>
    </cfRule>
    <cfRule type="cellIs" dxfId="1503" priority="39" stopIfTrue="1" operator="lessThanOrEqual">
      <formula>0</formula>
    </cfRule>
  </conditionalFormatting>
  <conditionalFormatting sqref="E69">
    <cfRule type="cellIs" dxfId="1502" priority="40" stopIfTrue="1" operator="lessThanOrEqual">
      <formula>0</formula>
    </cfRule>
  </conditionalFormatting>
  <conditionalFormatting sqref="E71:E79">
    <cfRule type="cellIs" dxfId="1501" priority="157" stopIfTrue="1" operator="greaterThan">
      <formula>4.5</formula>
    </cfRule>
    <cfRule type="cellIs" dxfId="1500" priority="158" stopIfTrue="1" operator="lessThanOrEqual">
      <formula>0</formula>
    </cfRule>
  </conditionalFormatting>
  <conditionalFormatting sqref="E44:F44 E43">
    <cfRule type="cellIs" dxfId="1499" priority="167" stopIfTrue="1" operator="lessThan">
      <formula>96.5</formula>
    </cfRule>
  </conditionalFormatting>
  <conditionalFormatting sqref="F10:F15">
    <cfRule type="cellIs" dxfId="1498" priority="9" operator="greaterThan">
      <formula>60</formula>
    </cfRule>
  </conditionalFormatting>
  <conditionalFormatting sqref="F44">
    <cfRule type="cellIs" dxfId="1497" priority="183" stopIfTrue="1" operator="lessThan">
      <formula>96.8</formula>
    </cfRule>
    <cfRule type="cellIs" dxfId="1496" priority="184" stopIfTrue="1" operator="greaterThan">
      <formula>100</formula>
    </cfRule>
  </conditionalFormatting>
  <conditionalFormatting sqref="G10 G15">
    <cfRule type="expression" dxfId="1495" priority="11">
      <formula>IF(+(IF(G10&lt;S10,0,IF(G10&gt;T10,0,1)))=0,1)</formula>
    </cfRule>
  </conditionalFormatting>
  <conditionalFormatting sqref="G60:G63 F69">
    <cfRule type="cellIs" dxfId="1494" priority="46" stopIfTrue="1" operator="greaterThan">
      <formula>$F60</formula>
    </cfRule>
    <cfRule type="cellIs" dxfId="1493" priority="47" stopIfTrue="1" operator="lessThanOrEqual">
      <formula>0</formula>
    </cfRule>
  </conditionalFormatting>
  <conditionalFormatting sqref="G62:G63">
    <cfRule type="cellIs" dxfId="1492" priority="33" stopIfTrue="1" operator="lessThanOrEqual">
      <formula>0</formula>
    </cfRule>
    <cfRule type="cellIs" dxfId="1491" priority="32" stopIfTrue="1" operator="greaterThan">
      <formula>$F62</formula>
    </cfRule>
  </conditionalFormatting>
  <conditionalFormatting sqref="G64:G68">
    <cfRule type="cellIs" dxfId="1490" priority="49" stopIfTrue="1" operator="lessThanOrEqual">
      <formula>0</formula>
    </cfRule>
    <cfRule type="cellIs" dxfId="1489" priority="48" stopIfTrue="1" operator="greaterThan">
      <formula>$J64</formula>
    </cfRule>
  </conditionalFormatting>
  <conditionalFormatting sqref="G65">
    <cfRule type="cellIs" dxfId="1488" priority="191" stopIfTrue="1" operator="greaterThan">
      <formula>$F60</formula>
    </cfRule>
    <cfRule type="cellIs" dxfId="1487" priority="192" stopIfTrue="1" operator="lessThanOrEqual">
      <formula>0</formula>
    </cfRule>
  </conditionalFormatting>
  <conditionalFormatting sqref="G73:G78 C76 C78">
    <cfRule type="cellIs" dxfId="1486" priority="181" stopIfTrue="1" operator="lessThanOrEqual">
      <formula>0</formula>
    </cfRule>
    <cfRule type="cellIs" dxfId="1485" priority="180" stopIfTrue="1" operator="greaterThan">
      <formula>4.5</formula>
    </cfRule>
  </conditionalFormatting>
  <conditionalFormatting sqref="G72:H72">
    <cfRule type="cellIs" dxfId="1484" priority="162" stopIfTrue="1" operator="lessThanOrEqual">
      <formula>0</formula>
    </cfRule>
    <cfRule type="cellIs" dxfId="1483" priority="161" stopIfTrue="1" operator="greaterThan">
      <formula>$F$71</formula>
    </cfRule>
  </conditionalFormatting>
  <conditionalFormatting sqref="H10 G11:H12 M11:N14 G13:G14 H13:H15">
    <cfRule type="expression" dxfId="1482" priority="12">
      <formula>IF(+(IF(G10&lt;#REF!,0,IF(G10&gt;#REF!,0,1)))=0,1)</formula>
    </cfRule>
  </conditionalFormatting>
  <conditionalFormatting sqref="H29:H30 H43">
    <cfRule type="cellIs" dxfId="1481" priority="159" stopIfTrue="1" operator="greaterThan">
      <formula>0</formula>
    </cfRule>
  </conditionalFormatting>
  <conditionalFormatting sqref="H47">
    <cfRule type="cellIs" dxfId="1480" priority="52" stopIfTrue="1" operator="greaterThan">
      <formula>$F$60</formula>
    </cfRule>
    <cfRule type="cellIs" dxfId="1479" priority="60" stopIfTrue="1" operator="greaterThan">
      <formula>$F$63</formula>
    </cfRule>
    <cfRule type="cellIs" dxfId="1478" priority="61" stopIfTrue="1" operator="lessThanOrEqual">
      <formula>0</formula>
    </cfRule>
    <cfRule type="cellIs" dxfId="1477" priority="62" stopIfTrue="1" operator="greaterThan">
      <formula>$F$61</formula>
    </cfRule>
    <cfRule type="cellIs" dxfId="1476" priority="51" stopIfTrue="1" operator="lessThanOrEqual">
      <formula>0</formula>
    </cfRule>
  </conditionalFormatting>
  <conditionalFormatting sqref="H47:H48">
    <cfRule type="cellIs" dxfId="1475" priority="63" stopIfTrue="1" operator="lessThanOrEqual">
      <formula>0</formula>
    </cfRule>
  </conditionalFormatting>
  <conditionalFormatting sqref="H48 H50:H51">
    <cfRule type="cellIs" dxfId="1474" priority="89" stopIfTrue="1" operator="lessThanOrEqual">
      <formula>0</formula>
    </cfRule>
  </conditionalFormatting>
  <conditionalFormatting sqref="H48">
    <cfRule type="cellIs" dxfId="1473" priority="86" stopIfTrue="1" operator="greaterThan">
      <formula>$F$63</formula>
    </cfRule>
    <cfRule type="cellIs" dxfId="1472" priority="88" stopIfTrue="1" operator="greaterThan">
      <formula>$F$61</formula>
    </cfRule>
    <cfRule type="cellIs" dxfId="1471" priority="87" stopIfTrue="1" operator="lessThanOrEqual">
      <formula>0</formula>
    </cfRule>
    <cfRule type="cellIs" dxfId="1470" priority="78" stopIfTrue="1" operator="greaterThan">
      <formula>$F$60</formula>
    </cfRule>
  </conditionalFormatting>
  <conditionalFormatting sqref="H49">
    <cfRule type="cellIs" dxfId="1469" priority="18" stopIfTrue="1" operator="lessThanOrEqual">
      <formula>0</formula>
    </cfRule>
    <cfRule type="cellIs" dxfId="1468" priority="19" stopIfTrue="1" operator="greaterThan">
      <formula>$F$62</formula>
    </cfRule>
    <cfRule type="cellIs" dxfId="1467" priority="27" stopIfTrue="1" operator="greaterThan">
      <formula>$F$65</formula>
    </cfRule>
    <cfRule type="cellIs" dxfId="1466" priority="28" stopIfTrue="1" operator="lessThanOrEqual">
      <formula>0</formula>
    </cfRule>
    <cfRule type="cellIs" dxfId="1465" priority="29" stopIfTrue="1" operator="greaterThan">
      <formula>$F$63</formula>
    </cfRule>
    <cfRule type="cellIs" dxfId="1464" priority="30" stopIfTrue="1" operator="lessThanOrEqual">
      <formula>0</formula>
    </cfRule>
  </conditionalFormatting>
  <conditionalFormatting sqref="H50:H51">
    <cfRule type="cellIs" dxfId="1463" priority="101" stopIfTrue="1" operator="greaterThan">
      <formula>$F$61</formula>
    </cfRule>
    <cfRule type="cellIs" dxfId="1462" priority="100" stopIfTrue="1" operator="lessThanOrEqual">
      <formula>0</formula>
    </cfRule>
    <cfRule type="cellIs" dxfId="1461" priority="99" stopIfTrue="1" operator="greaterThan">
      <formula>$F$63</formula>
    </cfRule>
    <cfRule type="cellIs" dxfId="1460" priority="91" stopIfTrue="1" operator="greaterThan">
      <formula>$F$60</formula>
    </cfRule>
    <cfRule type="cellIs" dxfId="1459" priority="102" stopIfTrue="1" operator="lessThanOrEqual">
      <formula>0</formula>
    </cfRule>
  </conditionalFormatting>
  <conditionalFormatting sqref="H52:H53">
    <cfRule type="cellIs" dxfId="1458" priority="126" stopIfTrue="1" operator="lessThanOrEqual">
      <formula>0</formula>
    </cfRule>
    <cfRule type="cellIs" dxfId="1457" priority="135" stopIfTrue="1" operator="greaterThan">
      <formula>#REF!</formula>
    </cfRule>
    <cfRule type="cellIs" dxfId="1456" priority="136" stopIfTrue="1" operator="lessThanOrEqual">
      <formula>0</formula>
    </cfRule>
    <cfRule type="cellIs" dxfId="1455" priority="127" stopIfTrue="1" operator="greaterThan">
      <formula>#REF!</formula>
    </cfRule>
  </conditionalFormatting>
  <conditionalFormatting sqref="H54">
    <cfRule type="cellIs" dxfId="1454" priority="150" stopIfTrue="1" operator="lessThanOrEqual">
      <formula>0</formula>
    </cfRule>
    <cfRule type="cellIs" dxfId="1453" priority="138" stopIfTrue="1" operator="lessThanOrEqual">
      <formula>0</formula>
    </cfRule>
    <cfRule type="cellIs" dxfId="1452" priority="139" stopIfTrue="1" operator="greaterThan">
      <formula>$F$28</formula>
    </cfRule>
    <cfRule type="cellIs" dxfId="1451" priority="149" stopIfTrue="1" operator="greaterThan">
      <formula>$F$29</formula>
    </cfRule>
    <cfRule type="cellIs" dxfId="1450" priority="148" stopIfTrue="1" operator="lessThanOrEqual">
      <formula>0</formula>
    </cfRule>
    <cfRule type="cellIs" dxfId="1449" priority="147" stopIfTrue="1" operator="greaterThan">
      <formula>$F$31</formula>
    </cfRule>
  </conditionalFormatting>
  <conditionalFormatting sqref="H55:H56">
    <cfRule type="cellIs" dxfId="1448" priority="123" stopIfTrue="1" operator="greaterThan">
      <formula>#REF!</formula>
    </cfRule>
    <cfRule type="cellIs" dxfId="1447" priority="115" stopIfTrue="1" operator="greaterThan">
      <formula>#REF!</formula>
    </cfRule>
    <cfRule type="cellIs" dxfId="1446" priority="114" stopIfTrue="1" operator="lessThanOrEqual">
      <formula>0</formula>
    </cfRule>
    <cfRule type="cellIs" dxfId="1445" priority="124" stopIfTrue="1" operator="lessThanOrEqual">
      <formula>0</formula>
    </cfRule>
  </conditionalFormatting>
  <conditionalFormatting sqref="H71 H73:H79">
    <cfRule type="cellIs" dxfId="1444" priority="173" stopIfTrue="1" operator="greaterThan">
      <formula>4.5</formula>
    </cfRule>
    <cfRule type="cellIs" dxfId="1443" priority="174" stopIfTrue="1" operator="lessThanOrEqual">
      <formula>0</formula>
    </cfRule>
  </conditionalFormatting>
  <conditionalFormatting sqref="H47:I47">
    <cfRule type="cellIs" dxfId="1442" priority="53" stopIfTrue="1" operator="lessThanOrEqual">
      <formula>0</formula>
    </cfRule>
  </conditionalFormatting>
  <conditionalFormatting sqref="H47:I48 H50:I51">
    <cfRule type="cellIs" dxfId="1441" priority="50" stopIfTrue="1" operator="greaterThan">
      <formula>$F$62</formula>
    </cfRule>
  </conditionalFormatting>
  <conditionalFormatting sqref="H48:I48">
    <cfRule type="cellIs" dxfId="1440" priority="79" stopIfTrue="1" operator="lessThanOrEqual">
      <formula>0</formula>
    </cfRule>
  </conditionalFormatting>
  <conditionalFormatting sqref="H49:I49">
    <cfRule type="cellIs" dxfId="1439" priority="17" stopIfTrue="1" operator="greaterThan">
      <formula>$F$64</formula>
    </cfRule>
    <cfRule type="cellIs" dxfId="1438" priority="20" stopIfTrue="1" operator="lessThanOrEqual">
      <formula>0</formula>
    </cfRule>
  </conditionalFormatting>
  <conditionalFormatting sqref="H50:I51">
    <cfRule type="cellIs" dxfId="1437" priority="92" stopIfTrue="1" operator="lessThanOrEqual">
      <formula>0</formula>
    </cfRule>
  </conditionalFormatting>
  <conditionalFormatting sqref="H52:I53">
    <cfRule type="cellIs" dxfId="1436" priority="133" stopIfTrue="1" operator="greaterThan">
      <formula>#REF!</formula>
    </cfRule>
    <cfRule type="cellIs" dxfId="1435" priority="128" stopIfTrue="1" operator="lessThanOrEqual">
      <formula>0</formula>
    </cfRule>
    <cfRule type="cellIs" dxfId="1434" priority="134" stopIfTrue="1" operator="lessThanOrEqual">
      <formula>0</formula>
    </cfRule>
    <cfRule type="cellIs" dxfId="1433" priority="125" stopIfTrue="1" operator="greaterThan">
      <formula>#REF!</formula>
    </cfRule>
  </conditionalFormatting>
  <conditionalFormatting sqref="H54:I54">
    <cfRule type="cellIs" dxfId="1432" priority="137" stopIfTrue="1" operator="greaterThan">
      <formula>$F$30</formula>
    </cfRule>
    <cfRule type="cellIs" dxfId="1431" priority="140" stopIfTrue="1" operator="lessThanOrEqual">
      <formula>0</formula>
    </cfRule>
  </conditionalFormatting>
  <conditionalFormatting sqref="H55:I56">
    <cfRule type="cellIs" dxfId="1430" priority="113" stopIfTrue="1" operator="greaterThan">
      <formula>#REF!</formula>
    </cfRule>
    <cfRule type="cellIs" dxfId="1429" priority="116" stopIfTrue="1" operator="lessThanOrEqual">
      <formula>0</formula>
    </cfRule>
    <cfRule type="cellIs" dxfId="1428" priority="121" stopIfTrue="1" operator="greaterThan">
      <formula>#REF!</formula>
    </cfRule>
    <cfRule type="cellIs" dxfId="1427" priority="122" stopIfTrue="1" operator="lessThanOrEqual">
      <formula>0</formula>
    </cfRule>
  </conditionalFormatting>
  <conditionalFormatting sqref="H60:I67">
    <cfRule type="cellIs" dxfId="1426" priority="36" stopIfTrue="1" operator="lessThanOrEqual">
      <formula>0</formula>
    </cfRule>
    <cfRule type="cellIs" dxfId="1425" priority="35" stopIfTrue="1" operator="greaterThan">
      <formula>$J60</formula>
    </cfRule>
  </conditionalFormatting>
  <conditionalFormatting sqref="H68:I68">
    <cfRule type="cellIs" dxfId="1424" priority="43" operator="greaterThan">
      <formula>5.3</formula>
    </cfRule>
  </conditionalFormatting>
  <conditionalFormatting sqref="H69:I69">
    <cfRule type="cellIs" dxfId="1423" priority="42" stopIfTrue="1" operator="lessThanOrEqual">
      <formula>0</formula>
    </cfRule>
    <cfRule type="cellIs" dxfId="1422" priority="41" stopIfTrue="1" operator="greaterThan">
      <formula>$J69</formula>
    </cfRule>
  </conditionalFormatting>
  <conditionalFormatting sqref="I47">
    <cfRule type="cellIs" dxfId="1421" priority="56" stopIfTrue="1" operator="greaterThan">
      <formula>$F$62</formula>
    </cfRule>
    <cfRule type="cellIs" dxfId="1420" priority="55" stopIfTrue="1" operator="lessThanOrEqual">
      <formula>0</formula>
    </cfRule>
    <cfRule type="cellIs" dxfId="1419" priority="54" stopIfTrue="1" operator="greaterThan">
      <formula>$F$60</formula>
    </cfRule>
    <cfRule type="cellIs" dxfId="1418" priority="59" stopIfTrue="1" operator="lessThanOrEqual">
      <formula>0</formula>
    </cfRule>
    <cfRule type="cellIs" dxfId="1417" priority="58" stopIfTrue="1" operator="greaterThan">
      <formula>$F$60</formula>
    </cfRule>
    <cfRule type="cellIs" dxfId="1416" priority="57" stopIfTrue="1" operator="lessThanOrEqual">
      <formula>0</formula>
    </cfRule>
  </conditionalFormatting>
  <conditionalFormatting sqref="I48">
    <cfRule type="cellIs" dxfId="1415" priority="81" stopIfTrue="1" operator="lessThanOrEqual">
      <formula>0</formula>
    </cfRule>
    <cfRule type="cellIs" dxfId="1414" priority="80" stopIfTrue="1" operator="greaterThan">
      <formula>$F$60</formula>
    </cfRule>
    <cfRule type="cellIs" dxfId="1413" priority="85" stopIfTrue="1" operator="lessThanOrEqual">
      <formula>0</formula>
    </cfRule>
    <cfRule type="cellIs" dxfId="1412" priority="84" stopIfTrue="1" operator="greaterThan">
      <formula>$F$60</formula>
    </cfRule>
    <cfRule type="cellIs" dxfId="1411" priority="83" stopIfTrue="1" operator="lessThanOrEqual">
      <formula>0</formula>
    </cfRule>
    <cfRule type="cellIs" dxfId="1410" priority="82" stopIfTrue="1" operator="greaterThan">
      <formula>$F$62</formula>
    </cfRule>
  </conditionalFormatting>
  <conditionalFormatting sqref="I49">
    <cfRule type="cellIs" dxfId="1409" priority="25" stopIfTrue="1" operator="greaterThan">
      <formula>$F$62</formula>
    </cfRule>
    <cfRule type="cellIs" dxfId="1408" priority="24" stopIfTrue="1" operator="lessThanOrEqual">
      <formula>0</formula>
    </cfRule>
    <cfRule type="cellIs" dxfId="1407" priority="23" stopIfTrue="1" operator="greaterThan">
      <formula>$F$64</formula>
    </cfRule>
    <cfRule type="cellIs" dxfId="1406" priority="22" stopIfTrue="1" operator="lessThanOrEqual">
      <formula>0</formula>
    </cfRule>
    <cfRule type="cellIs" dxfId="1405" priority="21" stopIfTrue="1" operator="greaterThan">
      <formula>$F$62</formula>
    </cfRule>
    <cfRule type="cellIs" dxfId="1404" priority="26" stopIfTrue="1" operator="lessThanOrEqual">
      <formula>0</formula>
    </cfRule>
  </conditionalFormatting>
  <conditionalFormatting sqref="I50:I51">
    <cfRule type="cellIs" dxfId="1403" priority="96" stopIfTrue="1" operator="lessThanOrEqual">
      <formula>0</formula>
    </cfRule>
    <cfRule type="cellIs" dxfId="1402" priority="97" stopIfTrue="1" operator="greaterThan">
      <formula>$F$60</formula>
    </cfRule>
    <cfRule type="cellIs" dxfId="1401" priority="98" stopIfTrue="1" operator="lessThanOrEqual">
      <formula>0</formula>
    </cfRule>
    <cfRule type="cellIs" dxfId="1400" priority="93" stopIfTrue="1" operator="greaterThan">
      <formula>$F$60</formula>
    </cfRule>
    <cfRule type="cellIs" dxfId="1399" priority="94" stopIfTrue="1" operator="lessThanOrEqual">
      <formula>0</formula>
    </cfRule>
    <cfRule type="cellIs" dxfId="1398" priority="95" stopIfTrue="1" operator="greaterThan">
      <formula>$F$62</formula>
    </cfRule>
  </conditionalFormatting>
  <conditionalFormatting sqref="I52:I53">
    <cfRule type="cellIs" dxfId="1397" priority="129" stopIfTrue="1" operator="greaterThan">
      <formula>#REF!</formula>
    </cfRule>
    <cfRule type="cellIs" dxfId="1396" priority="132" stopIfTrue="1" operator="lessThanOrEqual">
      <formula>0</formula>
    </cfRule>
    <cfRule type="cellIs" dxfId="1395" priority="131" stopIfTrue="1" operator="greaterThan">
      <formula>#REF!</formula>
    </cfRule>
    <cfRule type="cellIs" dxfId="1394" priority="130" stopIfTrue="1" operator="lessThanOrEqual">
      <formula>0</formula>
    </cfRule>
  </conditionalFormatting>
  <conditionalFormatting sqref="I54">
    <cfRule type="cellIs" dxfId="1393" priority="144" stopIfTrue="1" operator="lessThanOrEqual">
      <formula>0</formula>
    </cfRule>
    <cfRule type="cellIs" dxfId="1392" priority="145" stopIfTrue="1" operator="greaterThan">
      <formula>$F$28</formula>
    </cfRule>
    <cfRule type="cellIs" dxfId="1391" priority="146" stopIfTrue="1" operator="lessThanOrEqual">
      <formula>0</formula>
    </cfRule>
    <cfRule type="cellIs" dxfId="1390" priority="143" stopIfTrue="1" operator="greaterThan">
      <formula>$F$30</formula>
    </cfRule>
    <cfRule type="cellIs" dxfId="1389" priority="142" stopIfTrue="1" operator="lessThanOrEqual">
      <formula>0</formula>
    </cfRule>
    <cfRule type="cellIs" dxfId="1388" priority="141" stopIfTrue="1" operator="greaterThan">
      <formula>$F$28</formula>
    </cfRule>
  </conditionalFormatting>
  <conditionalFormatting sqref="I55:I56">
    <cfRule type="cellIs" dxfId="1387" priority="117" stopIfTrue="1" operator="greaterThan">
      <formula>#REF!</formula>
    </cfRule>
    <cfRule type="cellIs" dxfId="1386" priority="118" stopIfTrue="1" operator="lessThanOrEqual">
      <formula>0</formula>
    </cfRule>
    <cfRule type="cellIs" dxfId="1385" priority="119" stopIfTrue="1" operator="greaterThan">
      <formula>#REF!</formula>
    </cfRule>
    <cfRule type="cellIs" dxfId="1384" priority="120" stopIfTrue="1" operator="lessThanOrEqual">
      <formula>0</formula>
    </cfRule>
  </conditionalFormatting>
  <conditionalFormatting sqref="I71:I79">
    <cfRule type="cellIs" dxfId="1383" priority="170" stopIfTrue="1" operator="lessThanOrEqual">
      <formula>0</formula>
    </cfRule>
    <cfRule type="cellIs" dxfId="1382" priority="169" stopIfTrue="1" operator="greaterThan">
      <formula>4.5</formula>
    </cfRule>
  </conditionalFormatting>
  <conditionalFormatting sqref="I10:J15">
    <cfRule type="cellIs" dxfId="1381" priority="1" operator="lessThan">
      <formula>97.9</formula>
    </cfRule>
  </conditionalFormatting>
  <conditionalFormatting sqref="J18:J20">
    <cfRule type="cellIs" dxfId="1380" priority="16" operator="lessThan">
      <formula>97.95</formula>
    </cfRule>
  </conditionalFormatting>
  <conditionalFormatting sqref="J19:J22">
    <cfRule type="cellIs" dxfId="1379" priority="151" operator="lessThan">
      <formula>97.4</formula>
    </cfRule>
  </conditionalFormatting>
  <conditionalFormatting sqref="J23:J24">
    <cfRule type="cellIs" dxfId="1378" priority="152" operator="lessThan">
      <formula>98</formula>
    </cfRule>
  </conditionalFormatting>
  <conditionalFormatting sqref="J25:J26">
    <cfRule type="cellIs" dxfId="1377" priority="153" stopIfTrue="1" operator="lessThan">
      <formula>96.8</formula>
    </cfRule>
    <cfRule type="cellIs" dxfId="1376" priority="154" stopIfTrue="1" operator="greaterThan">
      <formula>100</formula>
    </cfRule>
  </conditionalFormatting>
  <conditionalFormatting sqref="J25:J27">
    <cfRule type="cellIs" dxfId="1375" priority="155" operator="lessThan">
      <formula>98</formula>
    </cfRule>
  </conditionalFormatting>
  <conditionalFormatting sqref="J56">
    <cfRule type="cellIs" dxfId="1374" priority="109" stopIfTrue="1" operator="greaterThan">
      <formula>#REF!</formula>
    </cfRule>
    <cfRule type="cellIs" dxfId="1373" priority="110" stopIfTrue="1" operator="lessThanOrEqual">
      <formula>0</formula>
    </cfRule>
    <cfRule type="cellIs" dxfId="1372" priority="111" stopIfTrue="1" operator="greaterThan">
      <formula>#REF!</formula>
    </cfRule>
    <cfRule type="cellIs" dxfId="1371" priority="112" stopIfTrue="1" operator="lessThanOrEqual">
      <formula>0</formula>
    </cfRule>
    <cfRule type="cellIs" dxfId="1370" priority="105" stopIfTrue="1" operator="greaterThan">
      <formula>#REF!</formula>
    </cfRule>
    <cfRule type="cellIs" dxfId="1369" priority="106" stopIfTrue="1" operator="lessThanOrEqual">
      <formula>0</formula>
    </cfRule>
    <cfRule type="cellIs" dxfId="1368" priority="107" stopIfTrue="1" operator="greaterThan">
      <formula>#REF!</formula>
    </cfRule>
    <cfRule type="cellIs" dxfId="1367" priority="108" stopIfTrue="1" operator="lessThanOrEqual">
      <formula>0</formula>
    </cfRule>
  </conditionalFormatting>
  <conditionalFormatting sqref="J69">
    <cfRule type="cellIs" dxfId="1366" priority="44" stopIfTrue="1" operator="greaterThan">
      <formula>$F69</formula>
    </cfRule>
    <cfRule type="cellIs" dxfId="1365" priority="45" stopIfTrue="1" operator="lessThanOrEqual">
      <formula>0</formula>
    </cfRule>
  </conditionalFormatting>
  <conditionalFormatting sqref="K10:K15">
    <cfRule type="cellIs" dxfId="1364" priority="3" operator="lessThan">
      <formula>4</formula>
    </cfRule>
    <cfRule type="cellIs" dxfId="1363" priority="2" operator="greaterThan">
      <formula>6</formula>
    </cfRule>
    <cfRule type="cellIs" dxfId="1362" priority="4" operator="greaterThan">
      <formula>6.4</formula>
    </cfRule>
  </conditionalFormatting>
  <conditionalFormatting sqref="K47:K56">
    <cfRule type="cellIs" dxfId="1361" priority="90" stopIfTrue="1" operator="lessThan">
      <formula>100%</formula>
    </cfRule>
  </conditionalFormatting>
  <conditionalFormatting sqref="K60:K68">
    <cfRule type="cellIs" dxfId="1360" priority="34" stopIfTrue="1" operator="lessThan">
      <formula>100%</formula>
    </cfRule>
  </conditionalFormatting>
  <conditionalFormatting sqref="K71:K76">
    <cfRule type="cellIs" dxfId="1359" priority="175" stopIfTrue="1" operator="lessThan">
      <formula>100%</formula>
    </cfRule>
  </conditionalFormatting>
  <conditionalFormatting sqref="K78:K79">
    <cfRule type="cellIs" dxfId="1358" priority="182" stopIfTrue="1" operator="lessThan">
      <formula>100%</formula>
    </cfRule>
  </conditionalFormatting>
  <conditionalFormatting sqref="L10:L15">
    <cfRule type="cellIs" dxfId="1357" priority="5" operator="between">
      <formula>61</formula>
      <formula>65</formula>
    </cfRule>
    <cfRule type="cellIs" dxfId="1356" priority="6" operator="greaterThan">
      <formula>65</formula>
    </cfRule>
  </conditionalFormatting>
  <conditionalFormatting sqref="L18:M29">
    <cfRule type="cellIs" dxfId="1355" priority="15" operator="lessThan">
      <formula>97.95</formula>
    </cfRule>
  </conditionalFormatting>
  <conditionalFormatting sqref="L33:N33">
    <cfRule type="cellIs" dxfId="1354" priority="13" operator="notEqual">
      <formula>#REF!</formula>
    </cfRule>
  </conditionalFormatting>
  <conditionalFormatting sqref="L60:N69">
    <cfRule type="cellIs" dxfId="1353" priority="31" stopIfTrue="1" operator="lessThan">
      <formula>100%</formula>
    </cfRule>
  </conditionalFormatting>
  <conditionalFormatting sqref="L71:N79">
    <cfRule type="cellIs" dxfId="1352" priority="160" stopIfTrue="1" operator="lessThan">
      <formula>100%</formula>
    </cfRule>
  </conditionalFormatting>
  <conditionalFormatting sqref="M10 M15">
    <cfRule type="expression" dxfId="1351" priority="10">
      <formula>IF(+(IF(M10&lt;U10,0,IF(M10&gt;V10,0,1)))=0,1)</formula>
    </cfRule>
  </conditionalFormatting>
  <conditionalFormatting sqref="N10:N15">
    <cfRule type="expression" dxfId="1350" priority="14">
      <formula>IF(+(IF(N10&lt;W10,0,IF(N10&gt;X10,0,1)))=0,1)</formula>
    </cfRule>
  </conditionalFormatting>
  <conditionalFormatting sqref="P6">
    <cfRule type="cellIs" dxfId="1349" priority="156" operator="greaterThanOrEqual">
      <formula>19</formula>
    </cfRule>
  </conditionalFormatting>
  <dataValidations count="1">
    <dataValidation type="list" allowBlank="1" showInputMessage="1" showErrorMessage="1" sqref="R8" xr:uid="{48AB8927-34BE-4341-9B7E-6D283583C745}">
      <formula1>ProductList</formula1>
    </dataValidation>
  </dataValidations>
  <pageMargins left="0.7" right="0.7" top="0.75" bottom="0.75" header="0.3" footer="0.3"/>
  <pageSetup scale="40" fitToWidth="0" orientation="landscape" r:id="rId1"/>
  <rowBreaks count="1" manualBreakCount="1">
    <brk id="73" max="16383" man="1"/>
  </rowBreaks>
  <colBreaks count="1" manualBreakCount="1">
    <brk id="15" max="89" man="1"/>
  </colBreaks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C90231-3D62-40D7-A1E5-1B23CEBCFC54}">
  <sheetPr>
    <pageSetUpPr fitToPage="1"/>
  </sheetPr>
  <dimension ref="A1:BE75"/>
  <sheetViews>
    <sheetView topLeftCell="A40" zoomScale="85" zoomScaleNormal="85" workbookViewId="0">
      <selection activeCell="R24" sqref="R10:Z24"/>
    </sheetView>
  </sheetViews>
  <sheetFormatPr defaultColWidth="9.42578125" defaultRowHeight="14.25"/>
  <cols>
    <col min="1" max="1" width="7.28515625" style="275" customWidth="1"/>
    <col min="2" max="2" width="31.28515625" style="275" customWidth="1"/>
    <col min="3" max="3" width="22.28515625" style="275" customWidth="1"/>
    <col min="4" max="7" width="16.5703125" style="275" customWidth="1"/>
    <col min="8" max="8" width="20.7109375" style="275" customWidth="1"/>
    <col min="9" max="9" width="31.42578125" style="275" customWidth="1"/>
    <col min="10" max="10" width="35.28515625" style="275" customWidth="1"/>
    <col min="11" max="11" width="29" style="275" customWidth="1"/>
    <col min="12" max="12" width="17.28515625" style="275" bestFit="1" customWidth="1"/>
    <col min="13" max="13" width="23.28515625" style="275" customWidth="1"/>
    <col min="14" max="14" width="13.7109375" style="275" bestFit="1" customWidth="1"/>
    <col min="15" max="15" width="17.5703125" style="275" customWidth="1"/>
    <col min="16" max="16" width="109.28515625" style="6" customWidth="1"/>
    <col min="17" max="17" width="16.5703125" style="275" customWidth="1"/>
    <col min="18" max="18" width="15.7109375" style="275" bestFit="1" customWidth="1"/>
    <col min="19" max="19" width="12.42578125" style="275" customWidth="1"/>
    <col min="20" max="20" width="15" style="275" customWidth="1"/>
    <col min="21" max="21" width="12" style="275" customWidth="1"/>
    <col min="22" max="22" width="10.42578125" style="275" customWidth="1"/>
    <col min="23" max="23" width="11.42578125" style="275" customWidth="1"/>
    <col min="24" max="24" width="10.42578125" style="275" customWidth="1"/>
    <col min="25" max="25" width="8.42578125" style="275" customWidth="1"/>
    <col min="26" max="26" width="9.5703125" style="275" customWidth="1"/>
    <col min="27" max="27" width="8.42578125" style="275" customWidth="1"/>
    <col min="28" max="29" width="7.5703125" style="275" customWidth="1"/>
    <col min="30" max="51" width="9.42578125" style="275"/>
    <col min="52" max="52" width="1.5703125" style="275" customWidth="1"/>
    <col min="53" max="54" width="9.42578125" style="275"/>
    <col min="55" max="56" width="15.42578125" style="275" customWidth="1"/>
    <col min="57" max="16384" width="9.42578125" style="275"/>
  </cols>
  <sheetData>
    <row r="1" spans="2:29" ht="1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R1" s="467"/>
      <c r="S1" s="553" t="s">
        <v>0</v>
      </c>
      <c r="T1" s="553"/>
      <c r="U1" s="553" t="s">
        <v>1</v>
      </c>
      <c r="V1" s="553"/>
      <c r="W1" s="553" t="s">
        <v>2</v>
      </c>
      <c r="X1" s="553"/>
      <c r="Y1" s="553" t="s">
        <v>124</v>
      </c>
      <c r="Z1" s="553"/>
    </row>
    <row r="2" spans="2:29" ht="15">
      <c r="B2" s="554" t="s">
        <v>3</v>
      </c>
      <c r="C2" s="554"/>
      <c r="D2" s="554"/>
      <c r="E2" s="554"/>
      <c r="F2" s="554"/>
      <c r="G2" s="554"/>
      <c r="H2" s="554"/>
      <c r="I2" s="554"/>
      <c r="J2" s="554"/>
      <c r="K2" s="554"/>
      <c r="L2" s="554"/>
      <c r="M2" s="554"/>
      <c r="N2" s="554"/>
      <c r="O2" s="554"/>
      <c r="P2" s="4"/>
      <c r="R2" s="467"/>
      <c r="S2" s="467" t="s">
        <v>4</v>
      </c>
      <c r="T2" s="467" t="s">
        <v>5</v>
      </c>
      <c r="U2" s="467" t="s">
        <v>4</v>
      </c>
      <c r="V2" s="467" t="s">
        <v>5</v>
      </c>
      <c r="W2" s="467" t="s">
        <v>4</v>
      </c>
      <c r="X2" s="467" t="s">
        <v>5</v>
      </c>
      <c r="Y2" s="467" t="s">
        <v>4</v>
      </c>
      <c r="Z2" s="467" t="s">
        <v>5</v>
      </c>
    </row>
    <row r="3" spans="2:29" ht="14.25" customHeight="1">
      <c r="B3" s="5"/>
      <c r="R3" s="467" t="s">
        <v>6</v>
      </c>
      <c r="S3" s="468">
        <v>11.6</v>
      </c>
      <c r="T3" s="469">
        <v>12</v>
      </c>
      <c r="U3" s="9">
        <v>0</v>
      </c>
      <c r="V3" s="10">
        <v>0.118055555555556</v>
      </c>
      <c r="W3" s="10">
        <v>0.22569444444444445</v>
      </c>
      <c r="X3" s="10">
        <v>0.2638888888888889</v>
      </c>
      <c r="Y3" s="470">
        <v>0</v>
      </c>
      <c r="Z3" s="468">
        <v>60</v>
      </c>
      <c r="AB3" s="275" t="s">
        <v>135</v>
      </c>
    </row>
    <row r="4" spans="2:29" ht="30.75" customHeight="1">
      <c r="B4" s="301" t="s">
        <v>133</v>
      </c>
      <c r="C4" s="419">
        <v>46287</v>
      </c>
      <c r="J4" s="398" t="s">
        <v>153</v>
      </c>
      <c r="K4" s="398"/>
      <c r="L4" s="11"/>
      <c r="M4" s="555" t="s">
        <v>8</v>
      </c>
      <c r="N4" s="556"/>
      <c r="P4" s="12"/>
      <c r="R4" s="467" t="s">
        <v>9</v>
      </c>
      <c r="S4" s="468">
        <v>11.6</v>
      </c>
      <c r="T4" s="469">
        <v>12</v>
      </c>
      <c r="U4" s="9">
        <v>0</v>
      </c>
      <c r="V4" s="10">
        <v>0.118055555555556</v>
      </c>
      <c r="W4" s="10">
        <v>0.22569444444444445</v>
      </c>
      <c r="X4" s="10">
        <v>0.2638888888888889</v>
      </c>
      <c r="Y4" s="470">
        <v>0</v>
      </c>
      <c r="Z4" s="468">
        <v>60</v>
      </c>
      <c r="AA4" s="13"/>
      <c r="AB4" s="13"/>
      <c r="AC4" s="13"/>
    </row>
    <row r="5" spans="2:29" ht="12.75" customHeight="1" thickBot="1">
      <c r="B5" s="1"/>
      <c r="C5" s="549"/>
      <c r="D5" s="549"/>
      <c r="J5" s="403"/>
      <c r="K5" s="403"/>
      <c r="L5" s="11"/>
      <c r="M5" s="14" t="s">
        <v>10</v>
      </c>
      <c r="N5" s="14" t="s">
        <v>11</v>
      </c>
      <c r="P5" s="12"/>
      <c r="R5" s="467" t="s">
        <v>12</v>
      </c>
      <c r="S5" s="468">
        <v>17</v>
      </c>
      <c r="T5" s="469">
        <v>17.5</v>
      </c>
      <c r="U5" s="9">
        <v>0</v>
      </c>
      <c r="V5" s="10">
        <v>0.1076388888888889</v>
      </c>
      <c r="W5" s="10">
        <v>0.24652777777777779</v>
      </c>
      <c r="X5" s="10">
        <v>0.28472222222222221</v>
      </c>
      <c r="Y5" s="470">
        <v>0</v>
      </c>
      <c r="Z5" s="471">
        <v>60</v>
      </c>
      <c r="AA5" s="13"/>
      <c r="AB5" s="13"/>
      <c r="AC5" s="13"/>
    </row>
    <row r="6" spans="2:29" ht="14.25" customHeight="1">
      <c r="B6" s="15"/>
      <c r="C6" s="1"/>
      <c r="D6" s="1"/>
      <c r="J6" s="399" t="s">
        <v>168</v>
      </c>
      <c r="K6" s="400"/>
      <c r="L6" s="311" t="s">
        <v>14</v>
      </c>
      <c r="M6" s="340"/>
      <c r="N6" s="340"/>
      <c r="P6" s="16"/>
      <c r="R6" s="467" t="s">
        <v>15</v>
      </c>
      <c r="S6" s="468">
        <v>13.3</v>
      </c>
      <c r="T6" s="469">
        <v>13.5</v>
      </c>
      <c r="U6" s="9">
        <v>0</v>
      </c>
      <c r="V6" s="9">
        <v>0.12905092592592593</v>
      </c>
      <c r="W6" s="10">
        <v>0.27430555555555552</v>
      </c>
      <c r="X6" s="10">
        <v>0.30208333333333331</v>
      </c>
      <c r="Y6" s="470">
        <v>0</v>
      </c>
      <c r="Z6" s="471"/>
      <c r="AA6" s="13"/>
      <c r="AB6" s="13"/>
      <c r="AC6" s="13"/>
    </row>
    <row r="7" spans="2:29" ht="13.35" customHeight="1" thickBot="1">
      <c r="J7" s="401"/>
      <c r="K7" s="402"/>
      <c r="R7" s="467" t="s">
        <v>16</v>
      </c>
      <c r="S7" s="468">
        <v>17</v>
      </c>
      <c r="T7" s="469">
        <v>17.399999999999999</v>
      </c>
      <c r="U7" s="9">
        <v>0</v>
      </c>
      <c r="V7" s="9">
        <v>0.13605324074074074</v>
      </c>
      <c r="W7" s="10">
        <v>0.27430555555555552</v>
      </c>
      <c r="X7" s="10">
        <v>0.30902777777777779</v>
      </c>
      <c r="Y7" s="470">
        <v>0</v>
      </c>
      <c r="Z7" s="471">
        <v>85</v>
      </c>
      <c r="AA7" s="13"/>
      <c r="AB7" s="13"/>
      <c r="AC7" s="13"/>
    </row>
    <row r="8" spans="2:29" ht="25.5" customHeight="1">
      <c r="B8" s="507" t="s">
        <v>17</v>
      </c>
      <c r="C8" s="516" t="s">
        <v>18</v>
      </c>
      <c r="D8" s="516" t="s">
        <v>19</v>
      </c>
      <c r="E8" s="356" t="s">
        <v>20</v>
      </c>
      <c r="F8" s="356" t="s">
        <v>21</v>
      </c>
      <c r="G8" s="516" t="s">
        <v>22</v>
      </c>
      <c r="H8" s="551" t="s">
        <v>144</v>
      </c>
      <c r="I8" s="516" t="s">
        <v>167</v>
      </c>
      <c r="J8" s="542" t="s">
        <v>23</v>
      </c>
      <c r="K8" s="544" t="s">
        <v>142</v>
      </c>
      <c r="L8" s="546" t="s">
        <v>24</v>
      </c>
      <c r="M8" s="359" t="s">
        <v>25</v>
      </c>
      <c r="N8" s="17" t="s">
        <v>166</v>
      </c>
      <c r="O8" s="516" t="s">
        <v>155</v>
      </c>
      <c r="P8" s="548"/>
      <c r="R8" s="467" t="s">
        <v>125</v>
      </c>
      <c r="S8" s="468">
        <v>16.600000000000001</v>
      </c>
      <c r="T8" s="469">
        <v>17</v>
      </c>
      <c r="U8" s="9">
        <v>0</v>
      </c>
      <c r="V8" s="9">
        <v>0.12905092592592593</v>
      </c>
      <c r="W8" s="10">
        <v>0.27430555555555552</v>
      </c>
      <c r="X8" s="10">
        <v>0.30208333333333331</v>
      </c>
      <c r="Y8" s="470">
        <v>0</v>
      </c>
      <c r="Z8" s="471"/>
    </row>
    <row r="9" spans="2:29" ht="36" customHeight="1">
      <c r="B9" s="550"/>
      <c r="C9" s="541"/>
      <c r="D9" s="541"/>
      <c r="E9" s="357" t="s">
        <v>30</v>
      </c>
      <c r="F9" s="357" t="s">
        <v>31</v>
      </c>
      <c r="G9" s="541"/>
      <c r="H9" s="552"/>
      <c r="I9" s="541"/>
      <c r="J9" s="543"/>
      <c r="K9" s="545"/>
      <c r="L9" s="547"/>
      <c r="M9" s="20" t="s">
        <v>32</v>
      </c>
      <c r="N9" s="21" t="s">
        <v>41</v>
      </c>
      <c r="O9" s="541"/>
      <c r="P9" s="541"/>
      <c r="R9" s="467" t="s">
        <v>33</v>
      </c>
      <c r="S9" s="468">
        <v>14.2</v>
      </c>
      <c r="T9" s="469">
        <v>14.6</v>
      </c>
      <c r="U9" s="9">
        <v>0</v>
      </c>
      <c r="V9" s="9">
        <v>0.13905092592592591</v>
      </c>
      <c r="W9" s="10">
        <v>0.26041666666666669</v>
      </c>
      <c r="X9" s="10">
        <v>0.2951388888888889</v>
      </c>
      <c r="Y9" s="470">
        <v>0</v>
      </c>
      <c r="Z9" s="471">
        <v>75</v>
      </c>
    </row>
    <row r="10" spans="2:29" ht="15" customHeight="1">
      <c r="B10" s="33" t="s">
        <v>9</v>
      </c>
      <c r="C10" s="366" t="str">
        <f>[5]Brewhouse!$A373</f>
        <v>ST315</v>
      </c>
      <c r="D10" s="279">
        <f>[5]Brewhouse!$AB373</f>
        <v>53.1</v>
      </c>
      <c r="E10" s="279">
        <f>[5]Brewhouse!$AG373</f>
        <v>46.3</v>
      </c>
      <c r="F10" s="278">
        <f>[5]Brewhouse!$V373</f>
        <v>54</v>
      </c>
      <c r="G10" s="279">
        <f>[5]Brewhouse!$AE373</f>
        <v>11.9</v>
      </c>
      <c r="H10" s="493">
        <v>12.2</v>
      </c>
      <c r="I10" s="368">
        <f>[5]Brewhouse!$AS373</f>
        <v>92.207251912768385</v>
      </c>
      <c r="J10" s="368">
        <f>[5]Brewhouse!$AT373</f>
        <v>93.431660349012503</v>
      </c>
      <c r="K10" s="281">
        <f>[5]Brewhouse!$Q373</f>
        <v>12.947269303201505</v>
      </c>
      <c r="L10" s="276">
        <f>[5]Brewhouse!$P373</f>
        <v>74</v>
      </c>
      <c r="M10" s="374">
        <f>[5]Brewhouse!$U373-[5]Brewhouse!$T373</f>
        <v>0.12083333333333335</v>
      </c>
      <c r="N10" s="370">
        <f>[5]Brewhouse!$AW373</f>
        <v>0.27013888888888887</v>
      </c>
      <c r="O10" s="420" t="str">
        <f>[5]Brewhouse!$AV373</f>
        <v>R.Sookram</v>
      </c>
      <c r="P10" s="418"/>
      <c r="R10" s="277" t="str">
        <f t="shared" ref="R10:R23" si="0">B10</f>
        <v>STAG</v>
      </c>
      <c r="S10" s="472">
        <f t="shared" ref="S10:S23" si="1">VLOOKUP($B10,$R$3:$X$9,2,FALSE)</f>
        <v>11.6</v>
      </c>
      <c r="T10" s="472">
        <f t="shared" ref="T10:T23" si="2">VLOOKUP($B10,$R$3:$X$9,3,FALSE)</f>
        <v>12</v>
      </c>
      <c r="U10" s="297">
        <f t="shared" ref="U10:U23" si="3">VLOOKUP($B10,$R$3:$X$9,4,FALSE)</f>
        <v>0</v>
      </c>
      <c r="V10" s="297">
        <f t="shared" ref="V10:V23" si="4">VLOOKUP($B10,$R$3:$X$9,5,FALSE)</f>
        <v>0.118055555555556</v>
      </c>
      <c r="W10" s="297">
        <f t="shared" ref="W10:W23" si="5">VLOOKUP($B10,$R$3:$X$9,6,FALSE)</f>
        <v>0.22569444444444445</v>
      </c>
      <c r="X10" s="297">
        <f t="shared" ref="X10:X23" si="6">VLOOKUP($B10,$R$3:$X$9,7,FALSE)</f>
        <v>0.2638888888888889</v>
      </c>
      <c r="Y10" s="297">
        <f t="shared" ref="Y10:Y23" si="7">VLOOKUP($B10,$R$3:$Z$9,8,FALSE)</f>
        <v>0</v>
      </c>
      <c r="Z10" s="472">
        <f t="shared" ref="Z10:Z23" si="8">VLOOKUP($B10,$R$3:$Z$9,9,FALSE)</f>
        <v>60</v>
      </c>
    </row>
    <row r="11" spans="2:29" ht="15" customHeight="1">
      <c r="B11" s="33" t="s">
        <v>9</v>
      </c>
      <c r="C11" s="366" t="str">
        <f>[5]Brewhouse!$A374</f>
        <v>ST316</v>
      </c>
      <c r="D11" s="279">
        <f>[5]Brewhouse!$AB374</f>
        <v>53</v>
      </c>
      <c r="E11" s="279">
        <f>[5]Brewhouse!$AG374</f>
        <v>50.1</v>
      </c>
      <c r="F11" s="278">
        <f>[5]Brewhouse!$V374</f>
        <v>53</v>
      </c>
      <c r="G11" s="279">
        <f>[5]Brewhouse!$AE374</f>
        <v>11.8</v>
      </c>
      <c r="H11" s="396">
        <v>12</v>
      </c>
      <c r="I11" s="368">
        <f>[5]Brewhouse!$AS374</f>
        <v>98.768973008259692</v>
      </c>
      <c r="J11" s="368">
        <f>[5]Brewhouse!$AT374</f>
        <v>100.08094746806538</v>
      </c>
      <c r="K11" s="281">
        <f>[5]Brewhouse!$Q374</f>
        <v>9.5754716981131995</v>
      </c>
      <c r="L11" s="276">
        <f>[5]Brewhouse!$P374</f>
        <v>58</v>
      </c>
      <c r="M11" s="374">
        <f>[5]Brewhouse!$U374-[5]Brewhouse!$T374</f>
        <v>0.10694444444444445</v>
      </c>
      <c r="N11" s="370">
        <f>[5]Brewhouse!$AW374</f>
        <v>0.28749999999999998</v>
      </c>
      <c r="O11" s="420" t="str">
        <f>[5]Brewhouse!$AV374</f>
        <v>R.Sookram</v>
      </c>
      <c r="P11" s="418"/>
      <c r="R11" s="277" t="str">
        <f t="shared" si="0"/>
        <v>STAG</v>
      </c>
      <c r="S11" s="472">
        <f t="shared" si="1"/>
        <v>11.6</v>
      </c>
      <c r="T11" s="472">
        <f t="shared" si="2"/>
        <v>12</v>
      </c>
      <c r="U11" s="297">
        <f t="shared" si="3"/>
        <v>0</v>
      </c>
      <c r="V11" s="297">
        <f t="shared" si="4"/>
        <v>0.118055555555556</v>
      </c>
      <c r="W11" s="297">
        <f t="shared" si="5"/>
        <v>0.22569444444444445</v>
      </c>
      <c r="X11" s="297">
        <f t="shared" si="6"/>
        <v>0.2638888888888889</v>
      </c>
      <c r="Y11" s="297">
        <f t="shared" si="7"/>
        <v>0</v>
      </c>
      <c r="Z11" s="472">
        <f t="shared" si="8"/>
        <v>60</v>
      </c>
    </row>
    <row r="12" spans="2:29" ht="15" customHeight="1">
      <c r="B12" s="33" t="s">
        <v>9</v>
      </c>
      <c r="C12" s="366" t="str">
        <f>[5]Brewhouse!$A375</f>
        <v>ST317</v>
      </c>
      <c r="D12" s="279">
        <f>[5]Brewhouse!$AB375</f>
        <v>53</v>
      </c>
      <c r="E12" s="279">
        <f>[5]Brewhouse!$AG375</f>
        <v>49.5</v>
      </c>
      <c r="F12" s="278">
        <f>[5]Brewhouse!$V375</f>
        <v>58</v>
      </c>
      <c r="G12" s="279">
        <f>[5]Brewhouse!$AE375</f>
        <v>11.9</v>
      </c>
      <c r="H12" s="493">
        <v>12.3</v>
      </c>
      <c r="I12" s="368">
        <f>[5]Brewhouse!$AS375</f>
        <v>99.2105296845954</v>
      </c>
      <c r="J12" s="368">
        <f>[5]Brewhouse!$AT375</f>
        <v>100.14072593288208</v>
      </c>
      <c r="K12" s="281">
        <f>[5]Brewhouse!$Q375</f>
        <v>8.2547169811320753</v>
      </c>
      <c r="L12" s="276">
        <f>[5]Brewhouse!$P375</f>
        <v>62</v>
      </c>
      <c r="M12" s="374">
        <f>[5]Brewhouse!$U375-[5]Brewhouse!$T375</f>
        <v>0.13541666666666663</v>
      </c>
      <c r="N12" s="370">
        <f>[5]Brewhouse!$AW375</f>
        <v>0.29166666666666663</v>
      </c>
      <c r="O12" s="420" t="str">
        <f>[5]Brewhouse!$AV375</f>
        <v>R.Sookram</v>
      </c>
      <c r="P12" s="418"/>
      <c r="R12" s="277" t="str">
        <f t="shared" si="0"/>
        <v>STAG</v>
      </c>
      <c r="S12" s="472">
        <f t="shared" si="1"/>
        <v>11.6</v>
      </c>
      <c r="T12" s="472">
        <f t="shared" si="2"/>
        <v>12</v>
      </c>
      <c r="U12" s="297">
        <f t="shared" si="3"/>
        <v>0</v>
      </c>
      <c r="V12" s="297">
        <f t="shared" si="4"/>
        <v>0.118055555555556</v>
      </c>
      <c r="W12" s="297">
        <f t="shared" si="5"/>
        <v>0.22569444444444445</v>
      </c>
      <c r="X12" s="297">
        <f t="shared" si="6"/>
        <v>0.2638888888888889</v>
      </c>
      <c r="Y12" s="297">
        <f t="shared" si="7"/>
        <v>0</v>
      </c>
      <c r="Z12" s="472">
        <f t="shared" si="8"/>
        <v>60</v>
      </c>
    </row>
    <row r="13" spans="2:29" ht="15" customHeight="1">
      <c r="B13" s="33" t="s">
        <v>9</v>
      </c>
      <c r="C13" s="366" t="str">
        <f>[5]Brewhouse!$A376</f>
        <v>ST318</v>
      </c>
      <c r="D13" s="279">
        <f>[5]Brewhouse!$AB376</f>
        <v>53</v>
      </c>
      <c r="E13" s="279">
        <f>[5]Brewhouse!$AG376</f>
        <v>49.6</v>
      </c>
      <c r="F13" s="278">
        <f>[5]Brewhouse!$V376</f>
        <v>60</v>
      </c>
      <c r="G13" s="279">
        <f>[5]Brewhouse!$AE376</f>
        <v>11.9</v>
      </c>
      <c r="H13" s="396">
        <v>12</v>
      </c>
      <c r="I13" s="368">
        <f>[5]Brewhouse!$AS376</f>
        <v>99.662586818553194</v>
      </c>
      <c r="J13" s="368">
        <f>[5]Brewhouse!$AT376</f>
        <v>100.59639758292359</v>
      </c>
      <c r="K13" s="281">
        <f>[5]Brewhouse!$Q376</f>
        <v>9.7641509433962206</v>
      </c>
      <c r="L13" s="276">
        <f>[5]Brewhouse!$P376</f>
        <v>60</v>
      </c>
      <c r="M13" s="374">
        <f>[5]Brewhouse!$U376-[5]Brewhouse!$T376</f>
        <v>0.11527777777777781</v>
      </c>
      <c r="N13" s="370">
        <f>[5]Brewhouse!$AW376</f>
        <v>0.26805555555555555</v>
      </c>
      <c r="O13" s="420" t="str">
        <f>[5]Brewhouse!$AV376</f>
        <v>K. Benjamin</v>
      </c>
      <c r="P13" s="418"/>
      <c r="R13" s="277" t="str">
        <f t="shared" si="0"/>
        <v>STAG</v>
      </c>
      <c r="S13" s="472">
        <f t="shared" si="1"/>
        <v>11.6</v>
      </c>
      <c r="T13" s="472">
        <f t="shared" si="2"/>
        <v>12</v>
      </c>
      <c r="U13" s="297">
        <f t="shared" si="3"/>
        <v>0</v>
      </c>
      <c r="V13" s="297">
        <f t="shared" si="4"/>
        <v>0.118055555555556</v>
      </c>
      <c r="W13" s="297">
        <f t="shared" si="5"/>
        <v>0.22569444444444445</v>
      </c>
      <c r="X13" s="297">
        <f t="shared" si="6"/>
        <v>0.2638888888888889</v>
      </c>
      <c r="Y13" s="297">
        <f t="shared" si="7"/>
        <v>0</v>
      </c>
      <c r="Z13" s="472">
        <f t="shared" si="8"/>
        <v>60</v>
      </c>
    </row>
    <row r="14" spans="2:29" ht="15" customHeight="1">
      <c r="B14" s="33" t="s">
        <v>9</v>
      </c>
      <c r="C14" s="366" t="str">
        <f>[5]Brewhouse!$A377</f>
        <v>ST319</v>
      </c>
      <c r="D14" s="279">
        <f>[5]Brewhouse!$AB377</f>
        <v>53</v>
      </c>
      <c r="E14" s="279">
        <f>[5]Brewhouse!$AG377</f>
        <v>50.3</v>
      </c>
      <c r="F14" s="278">
        <f>[5]Brewhouse!$V377</f>
        <v>62</v>
      </c>
      <c r="G14" s="279">
        <f>[5]Brewhouse!$AE377</f>
        <v>12</v>
      </c>
      <c r="H14" s="396">
        <v>12</v>
      </c>
      <c r="I14" s="368">
        <f>[5]Brewhouse!$AS377</f>
        <v>99.814541571057831</v>
      </c>
      <c r="J14" s="368">
        <f>[5]Brewhouse!$AT377</f>
        <v>100.75498941078087</v>
      </c>
      <c r="K14" s="281">
        <f>[5]Brewhouse!$Q377</f>
        <v>8.2547169811320753</v>
      </c>
      <c r="L14" s="276">
        <f>[5]Brewhouse!$P377</f>
        <v>61</v>
      </c>
      <c r="M14" s="374">
        <f>[5]Brewhouse!$U377-[5]Brewhouse!$T377</f>
        <v>0.11944444444444446</v>
      </c>
      <c r="N14" s="370">
        <f>[5]Brewhouse!$AW377</f>
        <v>0.26944444444444443</v>
      </c>
      <c r="O14" s="420" t="str">
        <f>[5]Brewhouse!$AV377</f>
        <v>K. Benjamin</v>
      </c>
      <c r="P14" s="418"/>
      <c r="R14" s="277" t="str">
        <f t="shared" si="0"/>
        <v>STAG</v>
      </c>
      <c r="S14" s="472">
        <f t="shared" si="1"/>
        <v>11.6</v>
      </c>
      <c r="T14" s="472">
        <f t="shared" si="2"/>
        <v>12</v>
      </c>
      <c r="U14" s="297">
        <f t="shared" si="3"/>
        <v>0</v>
      </c>
      <c r="V14" s="297">
        <f t="shared" si="4"/>
        <v>0.118055555555556</v>
      </c>
      <c r="W14" s="297">
        <f t="shared" si="5"/>
        <v>0.22569444444444445</v>
      </c>
      <c r="X14" s="297">
        <f t="shared" si="6"/>
        <v>0.2638888888888889</v>
      </c>
      <c r="Y14" s="297">
        <f t="shared" si="7"/>
        <v>0</v>
      </c>
      <c r="Z14" s="472">
        <f t="shared" si="8"/>
        <v>60</v>
      </c>
    </row>
    <row r="15" spans="2:29" ht="15" customHeight="1">
      <c r="B15" s="33" t="s">
        <v>9</v>
      </c>
      <c r="C15" s="366" t="str">
        <f>[5]Brewhouse!$A378</f>
        <v>ST320</v>
      </c>
      <c r="D15" s="279">
        <f>[5]Brewhouse!$AB378</f>
        <v>53.1</v>
      </c>
      <c r="E15" s="279">
        <f>[5]Brewhouse!$AG378</f>
        <v>50.8</v>
      </c>
      <c r="F15" s="278">
        <f>[5]Brewhouse!$V378</f>
        <v>63</v>
      </c>
      <c r="G15" s="279">
        <f>[5]Brewhouse!$AE378</f>
        <v>11.8</v>
      </c>
      <c r="H15" s="396">
        <v>11.8</v>
      </c>
      <c r="I15" s="368">
        <f>[5]Brewhouse!$AS378</f>
        <v>100.1578324034637</v>
      </c>
      <c r="J15" s="368">
        <f>[5]Brewhouse!$AT378</f>
        <v>101.09877292959364</v>
      </c>
      <c r="K15" s="281">
        <f>[5]Brewhouse!$Q378</f>
        <v>6.1676082862523511</v>
      </c>
      <c r="L15" s="276">
        <f>[5]Brewhouse!$P378</f>
        <v>59</v>
      </c>
      <c r="M15" s="374">
        <f>[5]Brewhouse!$U378-[5]Brewhouse!$T378</f>
        <v>0.11458333333333326</v>
      </c>
      <c r="N15" s="370">
        <f>[5]Brewhouse!$AW378</f>
        <v>0.26597222222222217</v>
      </c>
      <c r="O15" s="420" t="str">
        <f>[5]Brewhouse!$AV378</f>
        <v>K. Benjamin</v>
      </c>
      <c r="P15" s="418"/>
      <c r="R15" s="277" t="str">
        <f t="shared" si="0"/>
        <v>STAG</v>
      </c>
      <c r="S15" s="472">
        <f t="shared" si="1"/>
        <v>11.6</v>
      </c>
      <c r="T15" s="472">
        <f t="shared" si="2"/>
        <v>12</v>
      </c>
      <c r="U15" s="297">
        <f t="shared" si="3"/>
        <v>0</v>
      </c>
      <c r="V15" s="297">
        <f t="shared" si="4"/>
        <v>0.118055555555556</v>
      </c>
      <c r="W15" s="297">
        <f t="shared" si="5"/>
        <v>0.22569444444444445</v>
      </c>
      <c r="X15" s="297">
        <f t="shared" si="6"/>
        <v>0.2638888888888889</v>
      </c>
      <c r="Y15" s="297">
        <f t="shared" si="7"/>
        <v>0</v>
      </c>
      <c r="Z15" s="472">
        <f t="shared" si="8"/>
        <v>60</v>
      </c>
    </row>
    <row r="16" spans="2:29" ht="15" customHeight="1">
      <c r="B16" s="33" t="s">
        <v>9</v>
      </c>
      <c r="C16" s="366" t="str">
        <f>[5]Brewhouse!$A379</f>
        <v>ST321</v>
      </c>
      <c r="D16" s="279">
        <f>[5]Brewhouse!$AB379</f>
        <v>53.1</v>
      </c>
      <c r="E16" s="279">
        <f>[5]Brewhouse!$AG379</f>
        <v>46.6</v>
      </c>
      <c r="F16" s="278">
        <f>[5]Brewhouse!$V379</f>
        <v>57</v>
      </c>
      <c r="G16" s="279">
        <f>[5]Brewhouse!$AE379</f>
        <v>11.9</v>
      </c>
      <c r="H16" s="396">
        <v>11.9</v>
      </c>
      <c r="I16" s="368">
        <f>[5]Brewhouse!$AS379</f>
        <v>92.812355369132575</v>
      </c>
      <c r="J16" s="368">
        <f>[5]Brewhouse!$AT379</f>
        <v>93.68400240820057</v>
      </c>
      <c r="K16" s="281">
        <f>[5]Brewhouse!$Q379</f>
        <v>7.6741996233521705</v>
      </c>
      <c r="L16" s="276">
        <f>[5]Brewhouse!$P379</f>
        <v>62</v>
      </c>
      <c r="M16" s="374">
        <f>[5]Brewhouse!$U379-[5]Brewhouse!$T379</f>
        <v>0.1166666666666667</v>
      </c>
      <c r="N16" s="370">
        <f>[5]Brewhouse!$AW379</f>
        <v>0.25486111111111109</v>
      </c>
      <c r="O16" s="420" t="str">
        <f>[5]Brewhouse!$AV379</f>
        <v>R. Regis</v>
      </c>
      <c r="P16" s="418"/>
      <c r="R16" s="277" t="str">
        <f t="shared" si="0"/>
        <v>STAG</v>
      </c>
      <c r="S16" s="472">
        <f t="shared" si="1"/>
        <v>11.6</v>
      </c>
      <c r="T16" s="472">
        <f t="shared" si="2"/>
        <v>12</v>
      </c>
      <c r="U16" s="297">
        <f t="shared" si="3"/>
        <v>0</v>
      </c>
      <c r="V16" s="297">
        <f t="shared" si="4"/>
        <v>0.118055555555556</v>
      </c>
      <c r="W16" s="297">
        <f t="shared" si="5"/>
        <v>0.22569444444444445</v>
      </c>
      <c r="X16" s="297">
        <f t="shared" si="6"/>
        <v>0.2638888888888889</v>
      </c>
      <c r="Y16" s="297">
        <f t="shared" si="7"/>
        <v>0</v>
      </c>
      <c r="Z16" s="472">
        <f t="shared" si="8"/>
        <v>60</v>
      </c>
    </row>
    <row r="17" spans="1:27" ht="15" customHeight="1">
      <c r="B17" s="33" t="s">
        <v>9</v>
      </c>
      <c r="C17" s="366" t="str">
        <f>[5]Brewhouse!$A380</f>
        <v>ST322</v>
      </c>
      <c r="D17" s="279">
        <f>[5]Brewhouse!$AB380</f>
        <v>53.1</v>
      </c>
      <c r="E17" s="279">
        <f>[5]Brewhouse!$AG380</f>
        <v>49.9</v>
      </c>
      <c r="F17" s="278">
        <f>[5]Brewhouse!$V380</f>
        <v>57</v>
      </c>
      <c r="G17" s="279">
        <f>[5]Brewhouse!$AE380</f>
        <v>11.8</v>
      </c>
      <c r="H17" s="396">
        <v>11.9</v>
      </c>
      <c r="I17" s="368">
        <f>[5]Brewhouse!$AS380</f>
        <v>98.630536608448594</v>
      </c>
      <c r="J17" s="368">
        <f>[5]Brewhouse!$AT380</f>
        <v>99.556520571666411</v>
      </c>
      <c r="K17" s="281">
        <f>[5]Brewhouse!$Q380</f>
        <v>8.0508474576271158</v>
      </c>
      <c r="L17" s="276">
        <f>[5]Brewhouse!$P380</f>
        <v>61</v>
      </c>
      <c r="M17" s="374">
        <f>[5]Brewhouse!$U380-[5]Brewhouse!$T380</f>
        <v>0.11388888888888893</v>
      </c>
      <c r="N17" s="370">
        <f>[5]Brewhouse!$AW380</f>
        <v>0.2548611111111112</v>
      </c>
      <c r="O17" s="420" t="str">
        <f>[5]Brewhouse!$AV380</f>
        <v>R. Regis</v>
      </c>
      <c r="P17" s="418"/>
      <c r="R17" s="277" t="str">
        <f t="shared" si="0"/>
        <v>STAG</v>
      </c>
      <c r="S17" s="472">
        <f t="shared" si="1"/>
        <v>11.6</v>
      </c>
      <c r="T17" s="472">
        <f t="shared" si="2"/>
        <v>12</v>
      </c>
      <c r="U17" s="297">
        <f t="shared" si="3"/>
        <v>0</v>
      </c>
      <c r="V17" s="297">
        <f t="shared" si="4"/>
        <v>0.118055555555556</v>
      </c>
      <c r="W17" s="297">
        <f t="shared" si="5"/>
        <v>0.22569444444444445</v>
      </c>
      <c r="X17" s="297">
        <f t="shared" si="6"/>
        <v>0.2638888888888889</v>
      </c>
      <c r="Y17" s="297">
        <f t="shared" si="7"/>
        <v>0</v>
      </c>
      <c r="Z17" s="472">
        <f t="shared" si="8"/>
        <v>60</v>
      </c>
    </row>
    <row r="18" spans="1:27" ht="15" customHeight="1">
      <c r="B18" s="33"/>
      <c r="C18" s="366"/>
      <c r="D18" s="279"/>
      <c r="E18" s="279"/>
      <c r="F18" s="278"/>
      <c r="G18" s="279"/>
      <c r="H18" s="396"/>
      <c r="I18" s="368"/>
      <c r="J18" s="368"/>
      <c r="K18" s="281"/>
      <c r="L18" s="276"/>
      <c r="M18" s="374"/>
      <c r="N18" s="370"/>
      <c r="O18" s="420"/>
      <c r="P18" s="418"/>
      <c r="R18" s="277">
        <f t="shared" si="0"/>
        <v>0</v>
      </c>
      <c r="S18" s="472" t="e">
        <f t="shared" si="1"/>
        <v>#N/A</v>
      </c>
      <c r="T18" s="472" t="e">
        <f t="shared" si="2"/>
        <v>#N/A</v>
      </c>
      <c r="U18" s="297" t="e">
        <f t="shared" si="3"/>
        <v>#N/A</v>
      </c>
      <c r="V18" s="297" t="e">
        <f t="shared" si="4"/>
        <v>#N/A</v>
      </c>
      <c r="W18" s="297" t="e">
        <f t="shared" si="5"/>
        <v>#N/A</v>
      </c>
      <c r="X18" s="297" t="e">
        <f t="shared" si="6"/>
        <v>#N/A</v>
      </c>
      <c r="Y18" s="297" t="e">
        <f t="shared" si="7"/>
        <v>#N/A</v>
      </c>
      <c r="Z18" s="472" t="e">
        <f t="shared" si="8"/>
        <v>#N/A</v>
      </c>
    </row>
    <row r="19" spans="1:27" ht="15" customHeight="1">
      <c r="B19" s="29"/>
      <c r="C19" s="366"/>
      <c r="D19" s="279"/>
      <c r="E19" s="279"/>
      <c r="F19" s="278"/>
      <c r="G19" s="279"/>
      <c r="H19" s="396"/>
      <c r="I19" s="368"/>
      <c r="J19" s="368"/>
      <c r="K19" s="281"/>
      <c r="L19" s="276"/>
      <c r="M19" s="374"/>
      <c r="N19" s="370"/>
      <c r="O19" s="420"/>
      <c r="P19" s="418"/>
      <c r="R19" s="277">
        <f t="shared" si="0"/>
        <v>0</v>
      </c>
      <c r="S19" s="472" t="e">
        <f t="shared" si="1"/>
        <v>#N/A</v>
      </c>
      <c r="T19" s="472" t="e">
        <f t="shared" si="2"/>
        <v>#N/A</v>
      </c>
      <c r="U19" s="297" t="e">
        <f t="shared" si="3"/>
        <v>#N/A</v>
      </c>
      <c r="V19" s="297" t="e">
        <f t="shared" si="4"/>
        <v>#N/A</v>
      </c>
      <c r="W19" s="297" t="e">
        <f t="shared" si="5"/>
        <v>#N/A</v>
      </c>
      <c r="X19" s="297" t="e">
        <f t="shared" si="6"/>
        <v>#N/A</v>
      </c>
      <c r="Y19" s="297" t="e">
        <f t="shared" si="7"/>
        <v>#N/A</v>
      </c>
      <c r="Z19" s="472" t="e">
        <f t="shared" si="8"/>
        <v>#N/A</v>
      </c>
    </row>
    <row r="20" spans="1:27" ht="15" customHeight="1">
      <c r="B20" s="29"/>
      <c r="C20" s="366"/>
      <c r="D20" s="279"/>
      <c r="E20" s="279"/>
      <c r="F20" s="278"/>
      <c r="G20" s="279"/>
      <c r="H20" s="396"/>
      <c r="I20" s="368"/>
      <c r="J20" s="368"/>
      <c r="K20" s="281"/>
      <c r="L20" s="276"/>
      <c r="M20" s="374"/>
      <c r="N20" s="370"/>
      <c r="O20" s="420"/>
      <c r="P20" s="418"/>
      <c r="R20" s="277">
        <f t="shared" si="0"/>
        <v>0</v>
      </c>
      <c r="S20" s="472" t="e">
        <f t="shared" si="1"/>
        <v>#N/A</v>
      </c>
      <c r="T20" s="472" t="e">
        <f t="shared" si="2"/>
        <v>#N/A</v>
      </c>
      <c r="U20" s="297" t="e">
        <f t="shared" si="3"/>
        <v>#N/A</v>
      </c>
      <c r="V20" s="297" t="e">
        <f t="shared" si="4"/>
        <v>#N/A</v>
      </c>
      <c r="W20" s="297" t="e">
        <f t="shared" si="5"/>
        <v>#N/A</v>
      </c>
      <c r="X20" s="297" t="e">
        <f t="shared" si="6"/>
        <v>#N/A</v>
      </c>
      <c r="Y20" s="297" t="e">
        <f t="shared" si="7"/>
        <v>#N/A</v>
      </c>
      <c r="Z20" s="472" t="e">
        <f t="shared" si="8"/>
        <v>#N/A</v>
      </c>
    </row>
    <row r="21" spans="1:27" ht="15" customHeight="1">
      <c r="B21" s="36"/>
      <c r="C21" s="366"/>
      <c r="D21" s="279"/>
      <c r="E21" s="279"/>
      <c r="F21" s="278"/>
      <c r="G21" s="279"/>
      <c r="H21" s="396"/>
      <c r="I21" s="489"/>
      <c r="J21" s="489"/>
      <c r="K21" s="490"/>
      <c r="L21" s="276"/>
      <c r="M21" s="374"/>
      <c r="N21" s="370"/>
      <c r="O21" s="420"/>
      <c r="P21" s="418"/>
      <c r="R21" s="277">
        <f t="shared" si="0"/>
        <v>0</v>
      </c>
      <c r="S21" s="472" t="e">
        <f t="shared" si="1"/>
        <v>#N/A</v>
      </c>
      <c r="T21" s="472" t="e">
        <f t="shared" si="2"/>
        <v>#N/A</v>
      </c>
      <c r="U21" s="297" t="e">
        <f t="shared" si="3"/>
        <v>#N/A</v>
      </c>
      <c r="V21" s="297" t="e">
        <f t="shared" si="4"/>
        <v>#N/A</v>
      </c>
      <c r="W21" s="297" t="e">
        <f t="shared" si="5"/>
        <v>#N/A</v>
      </c>
      <c r="X21" s="297" t="e">
        <f t="shared" si="6"/>
        <v>#N/A</v>
      </c>
      <c r="Y21" s="297" t="e">
        <f t="shared" si="7"/>
        <v>#N/A</v>
      </c>
      <c r="Z21" s="472" t="e">
        <f t="shared" si="8"/>
        <v>#N/A</v>
      </c>
    </row>
    <row r="22" spans="1:27" ht="17.25" customHeight="1" thickBot="1">
      <c r="B22" s="358"/>
      <c r="C22" s="358"/>
      <c r="D22" s="358"/>
      <c r="E22" s="358"/>
      <c r="F22" s="294"/>
      <c r="G22" s="294"/>
      <c r="H22" s="348"/>
      <c r="I22" s="535"/>
      <c r="J22" s="535"/>
      <c r="K22" s="535"/>
      <c r="L22" s="535"/>
      <c r="M22" s="535"/>
      <c r="N22" s="535"/>
      <c r="O22" s="1"/>
      <c r="P22" s="12"/>
      <c r="R22" s="277">
        <f t="shared" si="0"/>
        <v>0</v>
      </c>
      <c r="S22" s="472" t="e">
        <f t="shared" si="1"/>
        <v>#N/A</v>
      </c>
      <c r="T22" s="472" t="e">
        <f t="shared" si="2"/>
        <v>#N/A</v>
      </c>
      <c r="U22" s="297" t="e">
        <f t="shared" si="3"/>
        <v>#N/A</v>
      </c>
      <c r="V22" s="297" t="e">
        <f t="shared" si="4"/>
        <v>#N/A</v>
      </c>
      <c r="W22" s="297" t="e">
        <f t="shared" si="5"/>
        <v>#N/A</v>
      </c>
      <c r="X22" s="297" t="e">
        <f t="shared" si="6"/>
        <v>#N/A</v>
      </c>
      <c r="Y22" s="297" t="e">
        <f t="shared" si="7"/>
        <v>#N/A</v>
      </c>
      <c r="Z22" s="472" t="e">
        <f t="shared" si="8"/>
        <v>#N/A</v>
      </c>
    </row>
    <row r="23" spans="1:27" ht="17.25" customHeight="1" thickBot="1">
      <c r="B23" s="483" t="s">
        <v>162</v>
      </c>
      <c r="C23" s="388"/>
      <c r="D23" s="536" t="s">
        <v>35</v>
      </c>
      <c r="E23" s="537"/>
      <c r="F23" s="294"/>
      <c r="G23" s="294"/>
      <c r="H23" s="348"/>
      <c r="I23" s="24" t="s">
        <v>17</v>
      </c>
      <c r="J23" s="25"/>
      <c r="K23" s="26" t="s">
        <v>138</v>
      </c>
      <c r="L23" s="25" t="s">
        <v>37</v>
      </c>
      <c r="M23" s="25" t="s">
        <v>38</v>
      </c>
      <c r="N23" s="27" t="s">
        <v>39</v>
      </c>
      <c r="O23" s="294"/>
      <c r="P23" s="12"/>
      <c r="R23" s="277" t="str">
        <f t="shared" si="0"/>
        <v xml:space="preserve">BRAND </v>
      </c>
      <c r="S23" s="472" t="e">
        <f t="shared" si="1"/>
        <v>#N/A</v>
      </c>
      <c r="T23" s="472" t="e">
        <f t="shared" si="2"/>
        <v>#N/A</v>
      </c>
      <c r="U23" s="297" t="e">
        <f t="shared" si="3"/>
        <v>#N/A</v>
      </c>
      <c r="V23" s="297" t="e">
        <f t="shared" si="4"/>
        <v>#N/A</v>
      </c>
      <c r="W23" s="297" t="e">
        <f t="shared" si="5"/>
        <v>#N/A</v>
      </c>
      <c r="X23" s="297" t="e">
        <f t="shared" si="6"/>
        <v>#N/A</v>
      </c>
      <c r="Y23" s="297" t="e">
        <f t="shared" si="7"/>
        <v>#N/A</v>
      </c>
      <c r="Z23" s="472" t="e">
        <f t="shared" si="8"/>
        <v>#N/A</v>
      </c>
    </row>
    <row r="24" spans="1:27" ht="17.25" customHeight="1">
      <c r="A24" s="28"/>
      <c r="B24" s="538"/>
      <c r="C24" s="484"/>
      <c r="D24" s="523"/>
      <c r="E24" s="524"/>
      <c r="F24" s="294"/>
      <c r="G24" s="294"/>
      <c r="H24" s="348"/>
      <c r="I24" s="29" t="s">
        <v>6</v>
      </c>
      <c r="J24" s="323"/>
      <c r="K24" s="284">
        <f>COUNTA([4]Brewhouse!$A$696:$A$763)</f>
        <v>68</v>
      </c>
      <c r="L24" s="305">
        <f>AVERAGE([4]Brewhouse!$AU$696:$AU$763)</f>
        <v>98.656376672198689</v>
      </c>
      <c r="M24" s="305">
        <f>AVERAGE([4]Brewhouse!$AU$42:$AU$123,[4]Brewhouse!$AU$125:$AU$188,[4]Brewhouse!$AU$198:$AU$290,[4]Brewhouse!$AU$292:$AU$370,[4]Brewhouse!$AU$372:$AU$439,[4]Brewhouse!$AU$441:$AU$497,[4]Brewhouse!$AU$499:$AU$519,[4]Brewhouse!$AU$521:$AU$593,[4]Brewhouse!$AU$595:$AU$694,[4]Brewhouse!$AU$696:$AU$763)</f>
        <v>98.320769975556459</v>
      </c>
      <c r="N24" s="30">
        <v>98</v>
      </c>
      <c r="O24" s="11"/>
      <c r="P24" s="31"/>
      <c r="R24" s="277">
        <f t="shared" ref="R24:R35" si="9">B24</f>
        <v>0</v>
      </c>
      <c r="S24" s="472" t="e">
        <f t="shared" ref="S24:S35" si="10">VLOOKUP($B24,$R$3:$X$9,2,FALSE)</f>
        <v>#N/A</v>
      </c>
      <c r="T24" s="472" t="e">
        <f t="shared" ref="T24:T35" si="11">VLOOKUP($B24,$R$3:$X$9,3,FALSE)</f>
        <v>#N/A</v>
      </c>
      <c r="U24" s="297" t="e">
        <f t="shared" ref="U24:U35" si="12">VLOOKUP($B24,$R$3:$X$9,4,FALSE)</f>
        <v>#N/A</v>
      </c>
      <c r="V24" s="297" t="e">
        <f t="shared" ref="V24:V35" si="13">VLOOKUP($B24,$R$3:$X$9,5,FALSE)</f>
        <v>#N/A</v>
      </c>
      <c r="W24" s="297" t="e">
        <f t="shared" ref="W24:W35" si="14">VLOOKUP($B24,$R$3:$X$9,6,FALSE)</f>
        <v>#N/A</v>
      </c>
      <c r="X24" s="297" t="e">
        <f t="shared" ref="X24:X35" si="15">VLOOKUP($B24,$R$3:$X$9,7,FALSE)</f>
        <v>#N/A</v>
      </c>
      <c r="Y24" s="297" t="e">
        <f t="shared" ref="Y24:Y35" si="16">VLOOKUP($B24,$R$3:$Z$9,8,FALSE)</f>
        <v>#N/A</v>
      </c>
      <c r="Z24" s="472" t="e">
        <f t="shared" ref="Z24:Z35" si="17">VLOOKUP($B24,$R$3:$Z$9,9,FALSE)</f>
        <v>#N/A</v>
      </c>
    </row>
    <row r="25" spans="1:27" ht="15" customHeight="1">
      <c r="A25" s="28"/>
      <c r="B25" s="539"/>
      <c r="C25" s="362"/>
      <c r="D25" s="525"/>
      <c r="E25" s="526"/>
      <c r="F25" s="294"/>
      <c r="G25" s="294"/>
      <c r="H25" s="348"/>
      <c r="I25" s="33" t="s">
        <v>9</v>
      </c>
      <c r="J25" s="323">
        <f>AVERAGE(I10:I17)</f>
        <v>97.658075922034911</v>
      </c>
      <c r="K25" s="284">
        <f>COUNTA([5]Brewhouse!$A$363:$A$380)</f>
        <v>18</v>
      </c>
      <c r="L25" s="302">
        <f>AVERAGE([5]Brewhouse!$AS$363:$AS$380)</f>
        <v>99.237321929974939</v>
      </c>
      <c r="M25" s="302">
        <f>AVERAGE([5]Brewhouse!$AS$52:$AS$81,[5]Brewhouse!$AS$83:$AS$124,[5]Brewhouse!$AS$134:$AS$177,[5]Brewhouse!$AS$22:$AS$179,[5]Brewhouse!$AS$214:$AS$249,[5]Brewhouse!$AS$252:$AS$293,[5]Brewhouse!$AS$295:$AS$325,[5]Brewhouse!$AS$327:$AS$361,[5]Brewhouse!$AS$363:$AS$380)</f>
        <v>98.280844420420635</v>
      </c>
      <c r="N25" s="30">
        <v>98</v>
      </c>
      <c r="O25" s="11"/>
      <c r="P25" s="31"/>
      <c r="R25" s="277">
        <f t="shared" si="9"/>
        <v>0</v>
      </c>
      <c r="S25" s="472" t="e">
        <f t="shared" si="10"/>
        <v>#N/A</v>
      </c>
      <c r="T25" s="472" t="e">
        <f t="shared" si="11"/>
        <v>#N/A</v>
      </c>
      <c r="U25" s="297" t="e">
        <f t="shared" si="12"/>
        <v>#N/A</v>
      </c>
      <c r="V25" s="297" t="e">
        <f t="shared" si="13"/>
        <v>#N/A</v>
      </c>
      <c r="W25" s="297" t="e">
        <f t="shared" si="14"/>
        <v>#N/A</v>
      </c>
      <c r="X25" s="297" t="e">
        <f t="shared" si="15"/>
        <v>#N/A</v>
      </c>
      <c r="Y25" s="297" t="e">
        <f t="shared" si="16"/>
        <v>#N/A</v>
      </c>
      <c r="Z25" s="472" t="e">
        <f t="shared" si="17"/>
        <v>#N/A</v>
      </c>
    </row>
    <row r="26" spans="1:27" ht="14.65" customHeight="1">
      <c r="A26" s="28"/>
      <c r="B26" s="539"/>
      <c r="C26" s="362"/>
      <c r="D26" s="530"/>
      <c r="E26" s="531"/>
      <c r="F26" s="294"/>
      <c r="G26" s="294"/>
      <c r="H26" s="348"/>
      <c r="I26" s="34" t="s">
        <v>12</v>
      </c>
      <c r="J26" s="323"/>
      <c r="K26" s="284">
        <f>COUNTA([6]Brewhouse!$A$99:$A$106)</f>
        <v>8</v>
      </c>
      <c r="L26" s="302">
        <f>AVERAGE([6]Brewhouse!$AU$99:$AU$106)</f>
        <v>96.462109124412379</v>
      </c>
      <c r="M26" s="302">
        <f>AVERAGE([6]Brewhouse!$AU$16:$AU$23,[6]Brewhouse!$AU$25:$AU$32,[6]Brewhouse!$AU$34:$AU$41,[6]Brewhouse!$AU$43:$AU$60,[6]Brewhouse!$AU$62:$AU$69,[6]Brewhouse!$AU$71:$AU$88,[6]Brewhouse!$AU$90:$AU$97,[6]Brewhouse!$AU$99:$AU$106)</f>
        <v>96.498355980821032</v>
      </c>
      <c r="N26" s="30">
        <v>98</v>
      </c>
      <c r="O26" s="11"/>
      <c r="P26" s="31"/>
      <c r="R26" s="277">
        <f t="shared" si="9"/>
        <v>0</v>
      </c>
      <c r="S26" s="472" t="e">
        <f t="shared" si="10"/>
        <v>#N/A</v>
      </c>
      <c r="T26" s="472" t="e">
        <f t="shared" si="11"/>
        <v>#N/A</v>
      </c>
      <c r="U26" s="297" t="e">
        <f t="shared" si="12"/>
        <v>#N/A</v>
      </c>
      <c r="V26" s="297" t="e">
        <f t="shared" si="13"/>
        <v>#N/A</v>
      </c>
      <c r="W26" s="297" t="e">
        <f t="shared" si="14"/>
        <v>#N/A</v>
      </c>
      <c r="X26" s="297" t="e">
        <f t="shared" si="15"/>
        <v>#N/A</v>
      </c>
      <c r="Y26" s="297" t="e">
        <f t="shared" si="16"/>
        <v>#N/A</v>
      </c>
      <c r="Z26" s="472" t="e">
        <f t="shared" si="17"/>
        <v>#N/A</v>
      </c>
    </row>
    <row r="27" spans="1:27" ht="14.65" customHeight="1">
      <c r="A27" s="28"/>
      <c r="B27" s="539"/>
      <c r="C27" s="362"/>
      <c r="D27" s="532"/>
      <c r="E27" s="526"/>
      <c r="F27" s="294"/>
      <c r="G27" s="294"/>
      <c r="H27" s="348"/>
      <c r="I27" s="22" t="s">
        <v>33</v>
      </c>
      <c r="J27" s="280"/>
      <c r="K27" s="284"/>
      <c r="L27" s="302"/>
      <c r="M27" s="302">
        <f>AVERAGE([7]Brewhouse!$AV$23:$AV$34,[7]Brewhouse!$AV$36,[7]Brewhouse!$AV$38:$AV$52,[7]Brewhouse!$AV$54:$AV$60,[7]Brewhouse!$AV$62:$AV$69,[7]Brewhouse!$AV$71:$AV$78,[7]Brewhouse!$AV$80:$AV$87,[7]Brewhouse!$AV$89:$AV$96)</f>
        <v>97.559547139003357</v>
      </c>
      <c r="N27" s="30">
        <v>98</v>
      </c>
      <c r="O27" s="11"/>
      <c r="P27" s="31"/>
      <c r="R27" s="277">
        <f t="shared" si="9"/>
        <v>0</v>
      </c>
      <c r="S27" s="472" t="e">
        <f t="shared" si="10"/>
        <v>#N/A</v>
      </c>
      <c r="T27" s="472" t="e">
        <f t="shared" si="11"/>
        <v>#N/A</v>
      </c>
      <c r="U27" s="297" t="e">
        <f t="shared" si="12"/>
        <v>#N/A</v>
      </c>
      <c r="V27" s="297" t="e">
        <f t="shared" si="13"/>
        <v>#N/A</v>
      </c>
      <c r="W27" s="297" t="e">
        <f t="shared" si="14"/>
        <v>#N/A</v>
      </c>
      <c r="X27" s="297" t="e">
        <f t="shared" si="15"/>
        <v>#N/A</v>
      </c>
      <c r="Y27" s="297" t="e">
        <f t="shared" si="16"/>
        <v>#N/A</v>
      </c>
      <c r="Z27" s="472" t="e">
        <f t="shared" si="17"/>
        <v>#N/A</v>
      </c>
    </row>
    <row r="28" spans="1:27" ht="14.65" customHeight="1">
      <c r="A28" s="28"/>
      <c r="B28" s="539"/>
      <c r="C28" s="362"/>
      <c r="D28" s="530"/>
      <c r="E28" s="531"/>
      <c r="F28" s="294"/>
      <c r="G28" s="294"/>
      <c r="H28" s="348"/>
      <c r="I28" s="35" t="s">
        <v>29</v>
      </c>
      <c r="J28" s="280"/>
      <c r="K28" s="284"/>
      <c r="L28" s="302"/>
      <c r="M28" s="302"/>
      <c r="N28" s="30">
        <v>98</v>
      </c>
      <c r="O28" s="11"/>
      <c r="P28" s="31"/>
      <c r="R28" s="277">
        <f t="shared" si="9"/>
        <v>0</v>
      </c>
      <c r="S28" s="472" t="e">
        <f t="shared" si="10"/>
        <v>#N/A</v>
      </c>
      <c r="T28" s="472" t="e">
        <f t="shared" si="11"/>
        <v>#N/A</v>
      </c>
      <c r="U28" s="297" t="e">
        <f t="shared" si="12"/>
        <v>#N/A</v>
      </c>
      <c r="V28" s="297" t="e">
        <f t="shared" si="13"/>
        <v>#N/A</v>
      </c>
      <c r="W28" s="297" t="e">
        <f t="shared" si="14"/>
        <v>#N/A</v>
      </c>
      <c r="X28" s="297" t="e">
        <f t="shared" si="15"/>
        <v>#N/A</v>
      </c>
      <c r="Y28" s="297" t="e">
        <f t="shared" si="16"/>
        <v>#N/A</v>
      </c>
      <c r="Z28" s="472" t="e">
        <f t="shared" si="17"/>
        <v>#N/A</v>
      </c>
    </row>
    <row r="29" spans="1:27" ht="14.65" customHeight="1">
      <c r="A29" s="28"/>
      <c r="B29" s="539"/>
      <c r="C29" s="362"/>
      <c r="D29" s="532"/>
      <c r="E29" s="526"/>
      <c r="F29" s="417"/>
      <c r="G29" s="294"/>
      <c r="H29" s="348"/>
      <c r="I29" s="36" t="s">
        <v>15</v>
      </c>
      <c r="J29" s="323"/>
      <c r="K29" s="284">
        <f>COUNTA([8]Brewhouse!$A$23:$A$30)</f>
        <v>8</v>
      </c>
      <c r="L29" s="302">
        <f>AVERAGE([8]Brewhouse!$AT$23:$AT$30)</f>
        <v>96.065914782338609</v>
      </c>
      <c r="M29" s="302">
        <f>AVERAGE([8]Brewhouse!$AT$4:$AT$11,[8]Brewhouse!$AT$13:$AT$16,[8]Brewhouse!$AT$18:$AT$30)</f>
        <v>93.22262799886262</v>
      </c>
      <c r="N29" s="30">
        <v>98</v>
      </c>
      <c r="O29" s="11"/>
      <c r="P29" s="31"/>
      <c r="R29" s="277">
        <f t="shared" si="9"/>
        <v>0</v>
      </c>
      <c r="S29" s="472" t="e">
        <f t="shared" si="10"/>
        <v>#N/A</v>
      </c>
      <c r="T29" s="472" t="e">
        <f t="shared" si="11"/>
        <v>#N/A</v>
      </c>
      <c r="U29" s="297" t="e">
        <f t="shared" si="12"/>
        <v>#N/A</v>
      </c>
      <c r="V29" s="297" t="e">
        <f t="shared" si="13"/>
        <v>#N/A</v>
      </c>
      <c r="W29" s="297" t="e">
        <f t="shared" si="14"/>
        <v>#N/A</v>
      </c>
      <c r="X29" s="297" t="e">
        <f t="shared" si="15"/>
        <v>#N/A</v>
      </c>
      <c r="Y29" s="297" t="e">
        <f t="shared" si="16"/>
        <v>#N/A</v>
      </c>
      <c r="Z29" s="472" t="e">
        <f t="shared" si="17"/>
        <v>#N/A</v>
      </c>
    </row>
    <row r="30" spans="1:27" ht="14.65" customHeight="1">
      <c r="A30" s="28"/>
      <c r="B30" s="539"/>
      <c r="C30" s="362"/>
      <c r="D30" s="530"/>
      <c r="E30" s="531"/>
      <c r="F30" s="417"/>
      <c r="G30" s="294"/>
      <c r="H30" s="348"/>
      <c r="I30" s="37" t="s">
        <v>16</v>
      </c>
      <c r="J30" s="323"/>
      <c r="K30" s="284"/>
      <c r="L30" s="302"/>
      <c r="M30" s="302">
        <f>AVERAGE([3]Brewhouse!$AY$5:$AY$14,[3]Brewhouse!$AY$16:$AY$23,[3]Brewhouse!$AY$42,[3]Brewhouse!$AY$44:$AY$51,[3]Brewhouse!$AY$53:$AY$64,[3]Brewhouse!$AY$66:$AY$73,[3]Brewhouse!$AY$75:$AY$82,[3]Brewhouse!$AY$84:$AY$101)</f>
        <v>97.784660430003186</v>
      </c>
      <c r="N30" s="30">
        <v>98</v>
      </c>
      <c r="O30" s="11"/>
      <c r="P30" s="31" t="s">
        <v>41</v>
      </c>
      <c r="R30" s="277">
        <f t="shared" si="9"/>
        <v>0</v>
      </c>
      <c r="S30" s="472" t="e">
        <f t="shared" si="10"/>
        <v>#N/A</v>
      </c>
      <c r="T30" s="472" t="e">
        <f t="shared" si="11"/>
        <v>#N/A</v>
      </c>
      <c r="U30" s="297" t="e">
        <f t="shared" si="12"/>
        <v>#N/A</v>
      </c>
      <c r="V30" s="297" t="e">
        <f t="shared" si="13"/>
        <v>#N/A</v>
      </c>
      <c r="W30" s="297" t="e">
        <f t="shared" si="14"/>
        <v>#N/A</v>
      </c>
      <c r="X30" s="297" t="e">
        <f t="shared" si="15"/>
        <v>#N/A</v>
      </c>
      <c r="Y30" s="297" t="e">
        <f t="shared" si="16"/>
        <v>#N/A</v>
      </c>
      <c r="Z30" s="472" t="e">
        <f t="shared" si="17"/>
        <v>#N/A</v>
      </c>
    </row>
    <row r="31" spans="1:27" ht="14.65" customHeight="1">
      <c r="A31" s="28"/>
      <c r="B31" s="539"/>
      <c r="C31" s="362"/>
      <c r="D31" s="532"/>
      <c r="E31" s="526"/>
      <c r="F31" s="294"/>
      <c r="G31" s="294"/>
      <c r="H31" s="348"/>
      <c r="I31" s="411" t="s">
        <v>158</v>
      </c>
      <c r="J31" s="326"/>
      <c r="K31" s="284"/>
      <c r="L31" s="305"/>
      <c r="M31" s="305"/>
      <c r="N31" s="30">
        <v>98</v>
      </c>
      <c r="O31" s="11"/>
      <c r="P31" s="31"/>
      <c r="R31" s="277">
        <f t="shared" si="9"/>
        <v>0</v>
      </c>
      <c r="S31" s="472" t="e">
        <f t="shared" si="10"/>
        <v>#N/A</v>
      </c>
      <c r="T31" s="472" t="e">
        <f t="shared" si="11"/>
        <v>#N/A</v>
      </c>
      <c r="U31" s="297" t="e">
        <f t="shared" si="12"/>
        <v>#N/A</v>
      </c>
      <c r="V31" s="297" t="e">
        <f t="shared" si="13"/>
        <v>#N/A</v>
      </c>
      <c r="W31" s="297" t="e">
        <f t="shared" si="14"/>
        <v>#N/A</v>
      </c>
      <c r="X31" s="297" t="e">
        <f t="shared" si="15"/>
        <v>#N/A</v>
      </c>
      <c r="Y31" s="297" t="e">
        <f t="shared" si="16"/>
        <v>#N/A</v>
      </c>
      <c r="Z31" s="472" t="e">
        <f t="shared" si="17"/>
        <v>#N/A</v>
      </c>
    </row>
    <row r="32" spans="1:27" ht="14.65" customHeight="1">
      <c r="A32" s="28"/>
      <c r="B32" s="539"/>
      <c r="C32" s="362"/>
      <c r="D32" s="530"/>
      <c r="E32" s="531"/>
      <c r="F32" s="294"/>
      <c r="G32" s="294"/>
      <c r="H32" s="348"/>
      <c r="I32" s="410" t="s">
        <v>157</v>
      </c>
      <c r="J32" s="326"/>
      <c r="K32" s="284"/>
      <c r="L32" s="305"/>
      <c r="M32" s="305"/>
      <c r="N32" s="30">
        <v>98</v>
      </c>
      <c r="O32" s="11"/>
      <c r="P32" s="31"/>
      <c r="R32" s="277">
        <f t="shared" si="9"/>
        <v>0</v>
      </c>
      <c r="S32" s="472" t="e">
        <f t="shared" si="10"/>
        <v>#N/A</v>
      </c>
      <c r="T32" s="472" t="e">
        <f t="shared" si="11"/>
        <v>#N/A</v>
      </c>
      <c r="U32" s="297" t="e">
        <f t="shared" si="12"/>
        <v>#N/A</v>
      </c>
      <c r="V32" s="297" t="e">
        <f t="shared" si="13"/>
        <v>#N/A</v>
      </c>
      <c r="W32" s="297" t="e">
        <f t="shared" si="14"/>
        <v>#N/A</v>
      </c>
      <c r="X32" s="297" t="e">
        <f t="shared" si="15"/>
        <v>#N/A</v>
      </c>
      <c r="Y32" s="297" t="e">
        <f t="shared" si="16"/>
        <v>#N/A</v>
      </c>
      <c r="Z32" s="472" t="e">
        <f t="shared" si="17"/>
        <v>#N/A</v>
      </c>
      <c r="AA32" s="472"/>
    </row>
    <row r="33" spans="1:56" ht="15" customHeight="1" thickBot="1">
      <c r="A33" s="28"/>
      <c r="B33" s="539"/>
      <c r="C33" s="362"/>
      <c r="D33" s="532"/>
      <c r="E33" s="526"/>
      <c r="F33" s="294"/>
      <c r="G33" s="294"/>
      <c r="H33" s="348"/>
      <c r="I33" s="406" t="s">
        <v>156</v>
      </c>
      <c r="J33" s="327"/>
      <c r="K33" s="407"/>
      <c r="L33" s="408"/>
      <c r="M33" s="408"/>
      <c r="N33" s="409">
        <v>98</v>
      </c>
      <c r="O33" s="11"/>
      <c r="P33" s="31"/>
      <c r="R33" s="277">
        <f t="shared" si="9"/>
        <v>0</v>
      </c>
      <c r="S33" s="472" t="e">
        <f t="shared" si="10"/>
        <v>#N/A</v>
      </c>
      <c r="T33" s="472" t="e">
        <f t="shared" si="11"/>
        <v>#N/A</v>
      </c>
      <c r="U33" s="297" t="e">
        <f t="shared" si="12"/>
        <v>#N/A</v>
      </c>
      <c r="V33" s="297" t="e">
        <f t="shared" si="13"/>
        <v>#N/A</v>
      </c>
      <c r="W33" s="297" t="e">
        <f t="shared" si="14"/>
        <v>#N/A</v>
      </c>
      <c r="X33" s="297" t="e">
        <f t="shared" si="15"/>
        <v>#N/A</v>
      </c>
      <c r="Y33" s="297" t="e">
        <f t="shared" si="16"/>
        <v>#N/A</v>
      </c>
      <c r="Z33" s="472" t="e">
        <f t="shared" si="17"/>
        <v>#N/A</v>
      </c>
      <c r="AA33" s="472"/>
    </row>
    <row r="34" spans="1:56" ht="15" customHeight="1" thickBot="1">
      <c r="A34" s="28"/>
      <c r="B34" s="539"/>
      <c r="C34" s="349"/>
      <c r="D34" s="523"/>
      <c r="E34" s="524"/>
      <c r="F34" s="294"/>
      <c r="G34" s="294"/>
      <c r="H34" s="348"/>
      <c r="I34" s="1"/>
      <c r="J34" s="39"/>
      <c r="K34" s="404">
        <f>SUM(K24:K33)</f>
        <v>102</v>
      </c>
      <c r="L34" s="405">
        <f>((L24*K24)+(L25*K25)+(L26*K26)+(L27*K27)+(L28*K28)+(K31*L31)+(L29*K29)+(L30*K30)+(L33*K33))/(K34)</f>
        <v>98.383623526500671</v>
      </c>
      <c r="M34" s="405">
        <f>AVERAGE('[9]Jan30th-31st'!$L$42,'[10]Feb 27th-28th'!$L$45,'[11]Mar 31st'!$L$42,'[12]Apr 30th'!$L$41,'[13]May 29th '!$L$35,'[14]June 30th'!$L$32,[15]July31st!$L$36,'[16]Aug 31st'!$L$32,L34)</f>
        <v>98.033430184705026</v>
      </c>
      <c r="N34" s="40">
        <v>98</v>
      </c>
      <c r="O34" s="11"/>
      <c r="P34" s="31"/>
      <c r="R34" s="277">
        <f t="shared" si="9"/>
        <v>0</v>
      </c>
      <c r="S34" s="472" t="e">
        <f t="shared" si="10"/>
        <v>#N/A</v>
      </c>
      <c r="T34" s="472" t="e">
        <f t="shared" si="11"/>
        <v>#N/A</v>
      </c>
      <c r="U34" s="297" t="e">
        <f t="shared" si="12"/>
        <v>#N/A</v>
      </c>
      <c r="V34" s="297" t="e">
        <f t="shared" si="13"/>
        <v>#N/A</v>
      </c>
      <c r="W34" s="297" t="e">
        <f t="shared" si="14"/>
        <v>#N/A</v>
      </c>
      <c r="X34" s="297" t="e">
        <f t="shared" si="15"/>
        <v>#N/A</v>
      </c>
      <c r="Y34" s="297" t="e">
        <f t="shared" si="16"/>
        <v>#N/A</v>
      </c>
      <c r="Z34" s="472" t="e">
        <f t="shared" si="17"/>
        <v>#N/A</v>
      </c>
      <c r="AA34" s="472"/>
    </row>
    <row r="35" spans="1:56" ht="15.75" thickBot="1">
      <c r="B35" s="540"/>
      <c r="C35" s="350"/>
      <c r="D35" s="525"/>
      <c r="E35" s="526"/>
      <c r="F35" s="294"/>
      <c r="G35" s="42"/>
      <c r="H35" s="41"/>
      <c r="I35" s="42"/>
      <c r="J35" s="42"/>
      <c r="K35" s="351"/>
      <c r="L35" s="348"/>
      <c r="M35" s="348"/>
      <c r="N35" s="11"/>
      <c r="O35" s="294"/>
      <c r="P35" s="12"/>
      <c r="R35" s="277">
        <f t="shared" si="9"/>
        <v>0</v>
      </c>
      <c r="S35" s="472" t="e">
        <f t="shared" si="10"/>
        <v>#N/A</v>
      </c>
      <c r="T35" s="472" t="e">
        <f t="shared" si="11"/>
        <v>#N/A</v>
      </c>
      <c r="U35" s="297" t="e">
        <f t="shared" si="12"/>
        <v>#N/A</v>
      </c>
      <c r="V35" s="297" t="e">
        <f t="shared" si="13"/>
        <v>#N/A</v>
      </c>
      <c r="W35" s="297" t="e">
        <f t="shared" si="14"/>
        <v>#N/A</v>
      </c>
      <c r="X35" s="297" t="e">
        <f t="shared" si="15"/>
        <v>#N/A</v>
      </c>
      <c r="Y35" s="297" t="e">
        <f t="shared" si="16"/>
        <v>#N/A</v>
      </c>
      <c r="Z35" s="472" t="e">
        <f t="shared" si="17"/>
        <v>#N/A</v>
      </c>
      <c r="AA35" s="472"/>
    </row>
    <row r="36" spans="1:56" ht="15.75" thickBot="1">
      <c r="B36" s="520"/>
      <c r="C36" s="362"/>
      <c r="D36" s="523"/>
      <c r="E36" s="524"/>
      <c r="F36" s="294"/>
      <c r="G36" s="42"/>
      <c r="H36" s="41"/>
      <c r="I36" s="42"/>
      <c r="J36" s="527" t="s">
        <v>129</v>
      </c>
      <c r="K36" s="527"/>
      <c r="L36" s="294"/>
      <c r="M36" s="294"/>
      <c r="N36" s="294"/>
      <c r="O36" s="294"/>
      <c r="P36" s="12"/>
    </row>
    <row r="37" spans="1:56" ht="15.75" thickBot="1">
      <c r="B37" s="521"/>
      <c r="C37" s="362"/>
      <c r="D37" s="525"/>
      <c r="E37" s="526"/>
      <c r="F37" s="294"/>
      <c r="G37" s="42"/>
      <c r="H37" s="42"/>
      <c r="I37" s="42"/>
      <c r="J37" s="292" t="s">
        <v>17</v>
      </c>
      <c r="K37" s="293"/>
      <c r="L37" s="528" t="s">
        <v>136</v>
      </c>
      <c r="M37" s="528"/>
      <c r="N37" s="529"/>
      <c r="O37" s="294"/>
      <c r="P37" s="12"/>
    </row>
    <row r="38" spans="1:56" ht="15" customHeight="1" thickBot="1">
      <c r="B38" s="521"/>
      <c r="C38" s="349"/>
      <c r="D38" s="530"/>
      <c r="E38" s="531"/>
      <c r="F38" s="294"/>
      <c r="G38" s="42"/>
      <c r="H38" s="42"/>
      <c r="I38" s="42"/>
      <c r="J38" s="287" t="s">
        <v>6</v>
      </c>
      <c r="K38" s="324"/>
      <c r="L38" s="473" t="s">
        <v>37</v>
      </c>
      <c r="M38" s="474" t="s">
        <v>38</v>
      </c>
      <c r="N38" s="474" t="s">
        <v>84</v>
      </c>
      <c r="O38" s="294"/>
      <c r="P38" s="12"/>
    </row>
    <row r="39" spans="1:56" ht="15.75" customHeight="1" thickBot="1">
      <c r="B39" s="521"/>
      <c r="C39" s="349"/>
      <c r="D39" s="532"/>
      <c r="E39" s="526"/>
      <c r="F39" s="294"/>
      <c r="G39" s="42"/>
      <c r="H39" s="42"/>
      <c r="I39" s="42"/>
      <c r="J39" s="345" t="s">
        <v>9</v>
      </c>
      <c r="K39" s="324">
        <v>8</v>
      </c>
      <c r="L39" s="485">
        <f>AVERAGE('Sept 1st'!K45,'Sept 2nd'!K47,'Sept 3rd'!K44,'Sept 4th'!K46,'Sept 7th'!K48,'Sept 8th'!K48,'Sept 9th'!K50,'Sept 10th'!K49,'Sept 11th '!K45,'Sept 14th'!K45,'Sept 15th'!K48,'Sept 16th'!K51,'Sept 17th '!K52,'Sept 18th'!K42,K48)</f>
        <v>6.8</v>
      </c>
      <c r="M39" s="486">
        <f>AVERAGE('[9]Jan30th-31st'!$L$47,L39,'[10]Feb 26th '!$L$39,'[11]Mar 31st'!$L$47,'[12]Apr 30th'!$L$46,'[13]May 29th '!$L$40,'[14]June 30th'!$L$39,[15]July31st!$L$41,'[16]Aug 31st'!$L$37)</f>
        <v>6.4933448194317762</v>
      </c>
      <c r="N39" s="416">
        <v>9.1999999999999993</v>
      </c>
      <c r="O39" s="294"/>
      <c r="P39" s="12"/>
    </row>
    <row r="40" spans="1:56" ht="15" customHeight="1">
      <c r="B40" s="521"/>
      <c r="C40" s="349"/>
      <c r="D40" s="530"/>
      <c r="E40" s="531"/>
      <c r="F40" s="294"/>
      <c r="G40" s="42"/>
      <c r="H40" s="42"/>
      <c r="I40" s="42"/>
      <c r="J40" s="288" t="s">
        <v>40</v>
      </c>
      <c r="K40" s="324"/>
      <c r="L40" s="294"/>
      <c r="M40" s="294"/>
      <c r="N40" s="294"/>
      <c r="O40" s="294"/>
      <c r="P40" s="12"/>
    </row>
    <row r="41" spans="1:56" ht="15" customHeight="1">
      <c r="B41" s="521"/>
      <c r="C41" s="349"/>
      <c r="D41" s="532"/>
      <c r="E41" s="526"/>
      <c r="F41" s="294"/>
      <c r="G41" s="42"/>
      <c r="H41" s="42"/>
      <c r="I41" s="42"/>
      <c r="J41" s="289" t="s">
        <v>33</v>
      </c>
      <c r="K41" s="324"/>
      <c r="L41" s="294"/>
      <c r="M41" s="294"/>
      <c r="N41" s="294"/>
      <c r="O41" s="294"/>
      <c r="P41" s="12"/>
    </row>
    <row r="42" spans="1:56" ht="15">
      <c r="B42" s="521"/>
      <c r="C42" s="349"/>
      <c r="D42" s="530"/>
      <c r="E42" s="531"/>
      <c r="F42" s="294"/>
      <c r="G42" s="42"/>
      <c r="H42" s="42"/>
      <c r="I42" s="42"/>
      <c r="J42" s="290" t="s">
        <v>16</v>
      </c>
      <c r="K42" s="324"/>
      <c r="L42" s="294"/>
      <c r="M42" s="294"/>
      <c r="N42" s="294"/>
      <c r="O42" s="294"/>
      <c r="P42" s="12"/>
      <c r="BC42" s="44"/>
      <c r="BD42" s="44"/>
    </row>
    <row r="43" spans="1:56" ht="15">
      <c r="B43" s="521"/>
      <c r="C43" s="349"/>
      <c r="D43" s="532"/>
      <c r="E43" s="526"/>
      <c r="F43" s="294"/>
      <c r="G43" s="42"/>
      <c r="H43" s="42"/>
      <c r="I43" s="42"/>
      <c r="J43" s="291" t="s">
        <v>15</v>
      </c>
      <c r="K43" s="324"/>
      <c r="L43" s="294"/>
      <c r="M43" s="294"/>
      <c r="N43" s="294"/>
      <c r="O43" s="294"/>
      <c r="P43" s="12"/>
      <c r="BC43" s="44"/>
      <c r="BD43" s="44"/>
    </row>
    <row r="44" spans="1:56" ht="15">
      <c r="B44" s="521"/>
      <c r="C44" s="349"/>
      <c r="D44" s="530"/>
      <c r="E44" s="531"/>
      <c r="F44" s="294"/>
      <c r="G44" s="42"/>
      <c r="H44" s="42"/>
      <c r="I44" s="42"/>
      <c r="J44" s="291" t="s">
        <v>149</v>
      </c>
      <c r="K44" s="324"/>
      <c r="L44" s="294"/>
      <c r="M44" s="294"/>
      <c r="N44" s="294"/>
      <c r="O44" s="294"/>
      <c r="P44" s="12"/>
      <c r="BC44" s="44"/>
      <c r="BD44" s="44"/>
    </row>
    <row r="45" spans="1:56" ht="15.75" thickBot="1">
      <c r="B45" s="522"/>
      <c r="C45" s="350"/>
      <c r="D45" s="533"/>
      <c r="E45" s="534"/>
      <c r="F45" s="294" t="s">
        <v>165</v>
      </c>
      <c r="G45" s="42"/>
      <c r="H45" s="42"/>
      <c r="I45" s="42"/>
      <c r="J45" s="291" t="s">
        <v>148</v>
      </c>
      <c r="K45" s="324"/>
      <c r="L45" s="294"/>
      <c r="M45" s="294"/>
      <c r="N45" s="294" t="s">
        <v>41</v>
      </c>
      <c r="O45" s="294"/>
      <c r="P45" s="12"/>
      <c r="BC45" s="44"/>
      <c r="BD45" s="44"/>
    </row>
    <row r="46" spans="1:56" ht="17.649999999999999" customHeight="1" thickBot="1">
      <c r="B46" s="312" t="s">
        <v>139</v>
      </c>
      <c r="C46" s="313"/>
      <c r="D46" s="511"/>
      <c r="E46" s="512"/>
      <c r="F46" s="294"/>
      <c r="J46" s="295" t="s">
        <v>134</v>
      </c>
      <c r="K46" s="324"/>
      <c r="L46" s="294"/>
      <c r="M46" s="294"/>
      <c r="N46" s="294"/>
      <c r="O46" s="294"/>
      <c r="P46" s="12"/>
      <c r="BC46" s="44"/>
      <c r="BD46" s="44"/>
    </row>
    <row r="47" spans="1:56" ht="17.649999999999999" customHeight="1">
      <c r="B47" s="363"/>
      <c r="C47" s="364"/>
      <c r="D47" s="365"/>
      <c r="E47" s="365"/>
      <c r="F47" s="294"/>
      <c r="G47" s="42"/>
      <c r="H47" s="42"/>
      <c r="I47" s="42"/>
      <c r="J47" s="295" t="s">
        <v>131</v>
      </c>
      <c r="K47" s="324"/>
      <c r="L47" s="294"/>
      <c r="M47" s="294"/>
      <c r="N47" s="294"/>
      <c r="O47" s="294"/>
      <c r="P47" s="12"/>
      <c r="BC47" s="44"/>
      <c r="BD47" s="44"/>
    </row>
    <row r="48" spans="1:56" ht="15.6" customHeight="1">
      <c r="B48" s="45"/>
      <c r="C48" s="11"/>
      <c r="D48" s="11"/>
      <c r="E48" s="46"/>
      <c r="F48" s="294"/>
      <c r="G48" s="42"/>
      <c r="H48" s="42"/>
      <c r="I48" s="42"/>
      <c r="J48" s="346" t="s">
        <v>130</v>
      </c>
      <c r="K48" s="324">
        <f>SUM(K38:K47)</f>
        <v>8</v>
      </c>
      <c r="L48" s="294"/>
      <c r="M48" s="294"/>
      <c r="N48" s="294"/>
      <c r="O48" s="294"/>
      <c r="P48" s="12"/>
    </row>
    <row r="49" spans="2:57" ht="20.25" customHeight="1">
      <c r="B49" s="15" t="s">
        <v>42</v>
      </c>
      <c r="C49" s="1" t="s">
        <v>43</v>
      </c>
      <c r="D49" s="1"/>
      <c r="E49" s="1"/>
      <c r="F49" s="294"/>
      <c r="G49" s="42"/>
      <c r="H49" s="41"/>
      <c r="I49" s="42"/>
      <c r="L49" s="42"/>
      <c r="N49" s="315"/>
      <c r="P49" s="334"/>
    </row>
    <row r="50" spans="2:57" ht="15" customHeight="1" thickBot="1">
      <c r="B50" s="48"/>
      <c r="C50" s="48"/>
      <c r="D50" s="48"/>
      <c r="E50" s="48"/>
      <c r="F50" s="48"/>
      <c r="G50" s="48"/>
      <c r="H50" s="48"/>
      <c r="I50" s="48"/>
      <c r="J50" s="48"/>
      <c r="K50" s="48"/>
      <c r="L50" s="48"/>
      <c r="M50" s="48"/>
      <c r="N50" s="41"/>
      <c r="O50" s="48"/>
      <c r="P50" s="49"/>
    </row>
    <row r="51" spans="2:57" ht="15" customHeight="1" thickBot="1">
      <c r="B51" s="505" t="s">
        <v>17</v>
      </c>
      <c r="C51" s="505" t="s">
        <v>44</v>
      </c>
      <c r="D51" s="514" t="s">
        <v>45</v>
      </c>
      <c r="E51" s="516" t="s">
        <v>46</v>
      </c>
      <c r="F51" s="518" t="s">
        <v>47</v>
      </c>
      <c r="G51" s="503" t="s">
        <v>48</v>
      </c>
      <c r="H51" s="505" t="s">
        <v>49</v>
      </c>
      <c r="I51" s="505" t="s">
        <v>50</v>
      </c>
      <c r="J51" s="497" t="s">
        <v>28</v>
      </c>
      <c r="K51" s="507" t="s">
        <v>51</v>
      </c>
      <c r="L51" s="509" t="s">
        <v>52</v>
      </c>
      <c r="M51" s="497" t="s">
        <v>53</v>
      </c>
      <c r="N51" s="13"/>
      <c r="O51" s="13"/>
      <c r="P51" s="50"/>
    </row>
    <row r="52" spans="2:57" ht="28.5" customHeight="1" thickTop="1" thickBot="1">
      <c r="B52" s="506"/>
      <c r="C52" s="513"/>
      <c r="D52" s="515"/>
      <c r="E52" s="517"/>
      <c r="F52" s="519"/>
      <c r="G52" s="504"/>
      <c r="H52" s="506"/>
      <c r="I52" s="506"/>
      <c r="J52" s="498"/>
      <c r="K52" s="508"/>
      <c r="L52" s="510"/>
      <c r="M52" s="498"/>
      <c r="N52" s="13"/>
      <c r="O52" s="13"/>
      <c r="P52" s="50"/>
      <c r="Q52" s="355"/>
      <c r="AB52" s="475">
        <v>43474</v>
      </c>
      <c r="AC52" s="475">
        <v>43475</v>
      </c>
      <c r="AD52" s="475">
        <v>43476</v>
      </c>
      <c r="AE52" s="475">
        <v>43477</v>
      </c>
      <c r="AF52" s="475">
        <v>43478</v>
      </c>
      <c r="AG52" s="475">
        <v>43479</v>
      </c>
      <c r="AH52" s="475">
        <v>43480</v>
      </c>
      <c r="AI52" s="475">
        <v>43481</v>
      </c>
      <c r="AJ52" s="475">
        <v>43482</v>
      </c>
      <c r="AK52" s="475">
        <v>43483</v>
      </c>
      <c r="AL52" s="475">
        <v>43484</v>
      </c>
      <c r="AM52" s="475">
        <v>43485</v>
      </c>
      <c r="AN52" s="475">
        <v>43486</v>
      </c>
      <c r="AO52" s="475">
        <v>43487</v>
      </c>
      <c r="AP52" s="475">
        <v>43488</v>
      </c>
      <c r="AQ52" s="475">
        <v>43489</v>
      </c>
      <c r="AR52" s="475">
        <v>43490</v>
      </c>
      <c r="AS52" s="475">
        <v>43491</v>
      </c>
      <c r="AT52" s="475">
        <v>43492</v>
      </c>
      <c r="AU52" s="475">
        <v>43493</v>
      </c>
      <c r="AV52" s="475">
        <v>43494</v>
      </c>
      <c r="AW52" s="475">
        <v>43495</v>
      </c>
      <c r="AX52" s="475">
        <v>43496</v>
      </c>
    </row>
    <row r="53" spans="2:57" s="54" customFormat="1" ht="36.75" customHeight="1" thickBot="1">
      <c r="B53" s="456" t="str">
        <f>J38</f>
        <v>CARIB</v>
      </c>
      <c r="C53" s="479">
        <v>46286</v>
      </c>
      <c r="D53" s="445">
        <f>[18]September_2026!$X$3</f>
        <v>93.5</v>
      </c>
      <c r="E53" s="443"/>
      <c r="F53" s="444"/>
      <c r="G53" s="444">
        <f>[18]September_2026!$X$7</f>
        <v>91.5</v>
      </c>
      <c r="H53" s="458"/>
      <c r="I53" s="458"/>
      <c r="J53" s="448" t="s">
        <v>174</v>
      </c>
      <c r="K53" s="449">
        <f>[19]September_2026!$X$18</f>
        <v>0.32105263157894737</v>
      </c>
      <c r="L53" s="476">
        <f>(((D53+E53)-G53)/(D53+E53))*100</f>
        <v>2.1390374331550799</v>
      </c>
      <c r="M53" s="455" t="s">
        <v>181</v>
      </c>
      <c r="N53" s="13"/>
      <c r="O53" s="13"/>
      <c r="P53" s="50"/>
      <c r="R53" s="275"/>
      <c r="S53" s="275"/>
      <c r="T53" s="275"/>
      <c r="U53" s="275"/>
      <c r="V53" s="275"/>
      <c r="W53" s="275"/>
      <c r="X53" s="275"/>
      <c r="Y53" s="275"/>
      <c r="Z53" s="275"/>
      <c r="AA53" s="275"/>
      <c r="AB53" s="57">
        <f>[17]January_2019!L5</f>
        <v>0</v>
      </c>
      <c r="AC53" s="57">
        <f>[17]January_2019!M5</f>
        <v>0</v>
      </c>
      <c r="AD53" s="57">
        <f>[17]January_2019!N5</f>
        <v>0</v>
      </c>
      <c r="AE53" s="57">
        <f>[17]January_2019!O5</f>
        <v>0</v>
      </c>
      <c r="AF53" s="57">
        <f>[17]January_2019!P5</f>
        <v>0</v>
      </c>
      <c r="AG53" s="57">
        <f>[17]January_2019!Q5</f>
        <v>0</v>
      </c>
      <c r="AH53" s="57">
        <f>[17]January_2019!R5</f>
        <v>0</v>
      </c>
      <c r="AI53" s="57">
        <f>[17]January_2019!S5</f>
        <v>0</v>
      </c>
      <c r="AJ53" s="57">
        <f>[17]January_2019!T5</f>
        <v>0</v>
      </c>
      <c r="AK53" s="57">
        <f>[17]January_2019!U5</f>
        <v>0</v>
      </c>
      <c r="AL53" s="57">
        <f>[17]January_2019!V5</f>
        <v>0</v>
      </c>
      <c r="AM53" s="57">
        <f>[17]January_2019!W5</f>
        <v>0</v>
      </c>
      <c r="AN53" s="57">
        <f>[17]January_2019!X5</f>
        <v>0</v>
      </c>
      <c r="AO53" s="57">
        <f>[17]January_2019!Y5</f>
        <v>0</v>
      </c>
      <c r="AP53" s="57">
        <f>[17]January_2019!Z5</f>
        <v>0</v>
      </c>
      <c r="AQ53" s="57">
        <f>[17]January_2019!AA5</f>
        <v>0</v>
      </c>
      <c r="AR53" s="57">
        <f>[17]January_2019!AB5</f>
        <v>0</v>
      </c>
      <c r="AS53" s="57">
        <f>[17]January_2019!AC5</f>
        <v>0</v>
      </c>
      <c r="AT53" s="57">
        <f>[17]January_2019!AD5</f>
        <v>0</v>
      </c>
      <c r="AU53" s="57">
        <f>[17]January_2019!AE5</f>
        <v>0</v>
      </c>
      <c r="AV53" s="57">
        <f>[17]January_2019!AF5</f>
        <v>0</v>
      </c>
      <c r="AW53" s="57">
        <f>[17]January_2019!AG5</f>
        <v>0</v>
      </c>
      <c r="AX53" s="277">
        <f>[17]January_2019!AH5</f>
        <v>0</v>
      </c>
      <c r="AY53" s="277"/>
      <c r="AZ53" s="277"/>
      <c r="BA53" s="277"/>
      <c r="BB53" s="277"/>
      <c r="BC53" s="277"/>
      <c r="BD53" s="277"/>
      <c r="BE53" s="277"/>
    </row>
    <row r="54" spans="2:57" s="54" customFormat="1" ht="14.25" customHeight="1" thickBot="1">
      <c r="B54" s="480"/>
      <c r="C54" s="479"/>
      <c r="D54" s="442"/>
      <c r="E54" s="443"/>
      <c r="F54" s="444"/>
      <c r="G54" s="445"/>
      <c r="H54" s="458"/>
      <c r="I54" s="458"/>
      <c r="J54" s="476"/>
      <c r="K54" s="449"/>
      <c r="L54" s="457"/>
      <c r="M54" s="455"/>
      <c r="N54" s="13"/>
      <c r="O54" s="13"/>
      <c r="P54" s="50"/>
      <c r="R54" s="275"/>
      <c r="S54" s="275"/>
      <c r="T54" s="275"/>
      <c r="U54" s="275"/>
      <c r="V54" s="275"/>
      <c r="W54" s="275"/>
      <c r="X54" s="275"/>
      <c r="Y54" s="275"/>
      <c r="Z54" s="275"/>
      <c r="AA54" s="275"/>
      <c r="AB54" s="57">
        <f>[17]January_2019!L6</f>
        <v>0</v>
      </c>
      <c r="AC54" s="57">
        <f>[17]January_2019!M6</f>
        <v>0</v>
      </c>
      <c r="AD54" s="57">
        <f>[17]January_2019!N6</f>
        <v>0</v>
      </c>
      <c r="AE54" s="57">
        <f>[17]January_2019!O6</f>
        <v>0</v>
      </c>
      <c r="AF54" s="57">
        <f>[17]January_2019!P6</f>
        <v>0</v>
      </c>
      <c r="AG54" s="57">
        <f>[17]January_2019!Q6</f>
        <v>0</v>
      </c>
      <c r="AH54" s="57">
        <f>[17]January_2019!R6</f>
        <v>0</v>
      </c>
      <c r="AI54" s="57">
        <f>[17]January_2019!S6</f>
        <v>0</v>
      </c>
      <c r="AJ54" s="57">
        <f>[17]January_2019!T6</f>
        <v>0</v>
      </c>
      <c r="AK54" s="57">
        <f>[17]January_2019!U6</f>
        <v>0</v>
      </c>
      <c r="AL54" s="57">
        <f>[17]January_2019!V6</f>
        <v>0</v>
      </c>
      <c r="AM54" s="57">
        <f>[17]January_2019!W6</f>
        <v>0</v>
      </c>
      <c r="AN54" s="57">
        <f>[17]January_2019!X6</f>
        <v>0</v>
      </c>
      <c r="AO54" s="57">
        <f>[17]January_2019!Y6</f>
        <v>0</v>
      </c>
      <c r="AP54" s="57">
        <f>[17]January_2019!Z6</f>
        <v>0</v>
      </c>
      <c r="AQ54" s="57">
        <f>[17]January_2019!AA6</f>
        <v>0</v>
      </c>
      <c r="AR54" s="57">
        <f>[17]January_2019!AB6</f>
        <v>0</v>
      </c>
      <c r="AS54" s="57">
        <f>[17]January_2019!AC6</f>
        <v>0</v>
      </c>
      <c r="AT54" s="57">
        <f>[17]January_2019!AD6</f>
        <v>0</v>
      </c>
      <c r="AU54" s="57">
        <f>[17]January_2019!AE6</f>
        <v>0</v>
      </c>
      <c r="AV54" s="57">
        <f>[17]January_2019!AF6</f>
        <v>0</v>
      </c>
      <c r="AW54" s="57">
        <f>[17]January_2019!AG6</f>
        <v>0</v>
      </c>
      <c r="AX54" s="277">
        <f>[17]January_2019!AH6</f>
        <v>0</v>
      </c>
      <c r="AY54" s="277"/>
      <c r="AZ54" s="277"/>
      <c r="BA54" s="277"/>
      <c r="BB54" s="277"/>
      <c r="BC54" s="277"/>
      <c r="BD54" s="277"/>
      <c r="BE54" s="277"/>
    </row>
    <row r="55" spans="2:57" s="54" customFormat="1" ht="37.15" customHeight="1" thickBot="1">
      <c r="B55" s="491" t="str">
        <f>J39</f>
        <v>STAG</v>
      </c>
      <c r="C55" s="479">
        <v>46286</v>
      </c>
      <c r="D55" s="442">
        <f>[18]September_2026!$X$13</f>
        <v>312</v>
      </c>
      <c r="E55" s="443"/>
      <c r="F55" s="444"/>
      <c r="G55" s="444">
        <f>[18]September_2026!$X$17</f>
        <v>297.60000000000002</v>
      </c>
      <c r="H55" s="446"/>
      <c r="I55" s="446"/>
      <c r="J55" s="448" t="s">
        <v>174</v>
      </c>
      <c r="K55" s="449">
        <f>[19]September_2026!$X$25</f>
        <v>1.0442105263157895</v>
      </c>
      <c r="L55" s="457">
        <f>(((D55+E55)-G55)/(D55+E55))*100</f>
        <v>4.6153846153846079</v>
      </c>
      <c r="M55" s="455" t="s">
        <v>176</v>
      </c>
      <c r="N55" s="13"/>
      <c r="O55" s="13"/>
      <c r="P55" s="50"/>
      <c r="R55" s="275"/>
      <c r="S55" s="275"/>
      <c r="T55" s="275"/>
      <c r="U55" s="275"/>
      <c r="V55" s="275"/>
      <c r="W55" s="275"/>
      <c r="X55" s="275"/>
      <c r="Y55" s="275"/>
      <c r="Z55" s="275"/>
      <c r="AA55" s="275"/>
      <c r="AB55" s="57">
        <f>[17]January_2019!L7</f>
        <v>285.8</v>
      </c>
      <c r="AC55" s="57">
        <f>[17]January_2019!M7</f>
        <v>508.1</v>
      </c>
      <c r="AD55" s="57">
        <f>[17]January_2019!N7</f>
        <v>0</v>
      </c>
      <c r="AE55" s="57">
        <f>[17]January_2019!O7</f>
        <v>0</v>
      </c>
      <c r="AF55" s="57">
        <f>[17]January_2019!P7</f>
        <v>109.56666666666666</v>
      </c>
      <c r="AG55" s="57">
        <f>[17]January_2019!Q7</f>
        <v>297.64999999999998</v>
      </c>
      <c r="AH55" s="57">
        <f>[17]January_2019!R7</f>
        <v>122.3</v>
      </c>
      <c r="AI55" s="57">
        <f>[17]January_2019!S7</f>
        <v>0</v>
      </c>
      <c r="AJ55" s="57">
        <f>[17]January_2019!T7</f>
        <v>294.7</v>
      </c>
      <c r="AK55" s="57">
        <f>[17]January_2019!U7</f>
        <v>280.5</v>
      </c>
      <c r="AL55" s="57">
        <f>[17]January_2019!V7</f>
        <v>0</v>
      </c>
      <c r="AM55" s="57">
        <f>[17]January_2019!W7</f>
        <v>0</v>
      </c>
      <c r="AN55" s="57">
        <f>[17]January_2019!X7</f>
        <v>188.25</v>
      </c>
      <c r="AO55" s="57">
        <f>[17]January_2019!Y7</f>
        <v>295.7</v>
      </c>
      <c r="AP55" s="57">
        <f>[17]January_2019!Z7</f>
        <v>257.8</v>
      </c>
      <c r="AQ55" s="57">
        <f>[17]January_2019!AA7</f>
        <v>291.2</v>
      </c>
      <c r="AR55" s="57">
        <f>[17]January_2019!AB7</f>
        <v>187</v>
      </c>
      <c r="AS55" s="57">
        <f>[17]January_2019!AC7</f>
        <v>0</v>
      </c>
      <c r="AT55" s="57">
        <f>[17]January_2019!AD7</f>
        <v>0</v>
      </c>
      <c r="AU55" s="57">
        <f>[17]January_2019!AE7</f>
        <v>485.1</v>
      </c>
      <c r="AV55" s="57">
        <f>[17]January_2019!AF7</f>
        <v>171.55</v>
      </c>
      <c r="AW55" s="57">
        <f>[17]January_2019!AG7</f>
        <v>423.8</v>
      </c>
      <c r="AX55" s="277">
        <f>[17]January_2019!AH7</f>
        <v>0</v>
      </c>
      <c r="AY55" s="277"/>
      <c r="AZ55" s="277"/>
      <c r="BA55" s="277"/>
      <c r="BB55" s="277"/>
      <c r="BC55" s="277"/>
      <c r="BD55" s="277"/>
      <c r="BE55" s="277"/>
    </row>
    <row r="56" spans="2:57" s="54" customFormat="1" ht="18.600000000000001" hidden="1" customHeight="1" thickBot="1">
      <c r="B56" s="478"/>
      <c r="C56" s="430"/>
      <c r="D56" s="431"/>
      <c r="E56" s="432"/>
      <c r="F56" s="433"/>
      <c r="G56" s="434"/>
      <c r="H56" s="458"/>
      <c r="I56" s="458"/>
      <c r="J56" s="451"/>
      <c r="K56" s="436"/>
      <c r="L56" s="452"/>
      <c r="M56" s="421"/>
      <c r="N56" s="13"/>
      <c r="O56" s="13"/>
      <c r="P56" s="50"/>
      <c r="R56" s="275"/>
      <c r="S56" s="275"/>
      <c r="T56" s="275"/>
      <c r="U56" s="275"/>
      <c r="V56" s="275"/>
      <c r="W56" s="275"/>
      <c r="X56" s="275"/>
      <c r="Y56" s="275"/>
      <c r="Z56" s="275"/>
      <c r="AA56" s="275"/>
      <c r="AB56" s="57"/>
      <c r="AC56" s="57"/>
      <c r="AD56" s="57"/>
      <c r="AE56" s="57"/>
      <c r="AF56" s="57"/>
      <c r="AG56" s="57"/>
      <c r="AH56" s="57"/>
      <c r="AI56" s="57"/>
      <c r="AJ56" s="57"/>
      <c r="AK56" s="57"/>
      <c r="AL56" s="57"/>
      <c r="AM56" s="57"/>
      <c r="AN56" s="57"/>
      <c r="AO56" s="57"/>
      <c r="AP56" s="57"/>
      <c r="AQ56" s="57"/>
      <c r="AR56" s="57"/>
      <c r="AS56" s="57"/>
      <c r="AT56" s="57"/>
      <c r="AU56" s="57"/>
      <c r="AV56" s="57"/>
      <c r="AW56" s="57"/>
      <c r="AX56" s="277"/>
      <c r="AY56" s="277"/>
      <c r="AZ56" s="277"/>
      <c r="BA56" s="277"/>
      <c r="BB56" s="277"/>
      <c r="BC56" s="277"/>
      <c r="BD56" s="277"/>
      <c r="BE56" s="277"/>
    </row>
    <row r="57" spans="2:57" s="54" customFormat="1" ht="38.65" hidden="1" customHeight="1" thickBot="1">
      <c r="B57" s="487"/>
      <c r="C57" s="479"/>
      <c r="D57" s="442"/>
      <c r="E57" s="443"/>
      <c r="F57" s="444"/>
      <c r="G57" s="445"/>
      <c r="H57" s="458"/>
      <c r="I57" s="458"/>
      <c r="J57" s="448"/>
      <c r="K57" s="459"/>
      <c r="L57" s="457"/>
      <c r="M57" s="455"/>
      <c r="N57" s="13"/>
      <c r="O57" s="13"/>
      <c r="P57" s="50"/>
      <c r="R57" s="275"/>
      <c r="S57" s="275"/>
      <c r="T57" s="275"/>
      <c r="U57" s="275"/>
      <c r="V57" s="275"/>
      <c r="W57" s="275"/>
      <c r="X57" s="275"/>
      <c r="Y57" s="275"/>
      <c r="Z57" s="275"/>
      <c r="AA57" s="275"/>
      <c r="AB57" s="57"/>
      <c r="AC57" s="57"/>
      <c r="AD57" s="57"/>
      <c r="AE57" s="57"/>
      <c r="AF57" s="57"/>
      <c r="AG57" s="57"/>
      <c r="AH57" s="57"/>
      <c r="AI57" s="57"/>
      <c r="AJ57" s="57"/>
      <c r="AK57" s="57"/>
      <c r="AL57" s="57"/>
      <c r="AM57" s="57"/>
      <c r="AN57" s="57"/>
      <c r="AO57" s="57"/>
      <c r="AP57" s="57"/>
      <c r="AQ57" s="57"/>
      <c r="AR57" s="57"/>
      <c r="AS57" s="57"/>
      <c r="AT57" s="57"/>
      <c r="AU57" s="57"/>
      <c r="AV57" s="57"/>
      <c r="AW57" s="57"/>
      <c r="AX57" s="277"/>
      <c r="AY57" s="277"/>
      <c r="AZ57" s="277"/>
      <c r="BA57" s="277"/>
      <c r="BB57" s="277"/>
      <c r="BC57" s="277"/>
      <c r="BD57" s="277"/>
      <c r="BE57" s="277"/>
    </row>
    <row r="58" spans="2:57" s="54" customFormat="1" ht="15.75" hidden="1" thickBot="1">
      <c r="B58" s="453"/>
      <c r="C58" s="430"/>
      <c r="D58" s="431"/>
      <c r="E58" s="432"/>
      <c r="F58" s="433"/>
      <c r="G58" s="434"/>
      <c r="H58" s="435"/>
      <c r="I58" s="450"/>
      <c r="J58" s="451"/>
      <c r="K58" s="436"/>
      <c r="L58" s="452"/>
      <c r="M58" s="421"/>
      <c r="N58" s="13"/>
      <c r="O58" s="13"/>
      <c r="P58" s="50"/>
      <c r="R58" s="275"/>
      <c r="S58" s="275"/>
      <c r="T58" s="275"/>
      <c r="U58" s="275"/>
      <c r="V58" s="275"/>
      <c r="W58" s="275"/>
      <c r="X58" s="275"/>
      <c r="Y58" s="275"/>
      <c r="Z58" s="275"/>
      <c r="AA58" s="275"/>
      <c r="AB58" s="57"/>
      <c r="AC58" s="57"/>
      <c r="AD58" s="57"/>
      <c r="AE58" s="57"/>
      <c r="AF58" s="57"/>
      <c r="AG58" s="57"/>
      <c r="AH58" s="57"/>
      <c r="AI58" s="57"/>
      <c r="AJ58" s="57"/>
      <c r="AK58" s="57"/>
      <c r="AL58" s="57"/>
      <c r="AM58" s="57"/>
      <c r="AN58" s="57"/>
      <c r="AO58" s="57"/>
      <c r="AP58" s="57"/>
      <c r="AQ58" s="57"/>
      <c r="AR58" s="57"/>
      <c r="AS58" s="57"/>
      <c r="AT58" s="57"/>
      <c r="AU58" s="57"/>
      <c r="AV58" s="57"/>
      <c r="AW58" s="57"/>
      <c r="AX58" s="277"/>
      <c r="AY58" s="277"/>
      <c r="AZ58" s="277"/>
      <c r="BA58" s="277"/>
      <c r="BB58" s="277"/>
      <c r="BC58" s="277"/>
      <c r="BD58" s="277"/>
      <c r="BE58" s="277"/>
    </row>
    <row r="59" spans="2:57" s="54" customFormat="1" ht="37.15" hidden="1" customHeight="1" thickBot="1">
      <c r="B59" s="481"/>
      <c r="C59" s="479"/>
      <c r="D59" s="442"/>
      <c r="E59" s="443"/>
      <c r="F59" s="444"/>
      <c r="G59" s="445"/>
      <c r="H59" s="446"/>
      <c r="I59" s="447"/>
      <c r="J59" s="448"/>
      <c r="K59" s="449"/>
      <c r="L59" s="457"/>
      <c r="M59" s="455"/>
      <c r="N59" s="13"/>
      <c r="O59" s="13"/>
      <c r="P59" s="50"/>
      <c r="R59" s="275"/>
      <c r="S59" s="275"/>
      <c r="T59" s="275"/>
      <c r="U59" s="275"/>
      <c r="V59" s="275"/>
      <c r="W59" s="275"/>
      <c r="X59" s="275"/>
      <c r="Y59" s="275"/>
      <c r="Z59" s="275"/>
      <c r="AA59" s="275"/>
      <c r="AB59" s="57"/>
      <c r="AC59" s="57"/>
      <c r="AD59" s="57"/>
      <c r="AE59" s="57"/>
      <c r="AF59" s="57"/>
      <c r="AG59" s="57"/>
      <c r="AH59" s="57"/>
      <c r="AI59" s="57"/>
      <c r="AJ59" s="57"/>
      <c r="AK59" s="57"/>
      <c r="AL59" s="57"/>
      <c r="AM59" s="57"/>
      <c r="AN59" s="57"/>
      <c r="AO59" s="57"/>
      <c r="AP59" s="57"/>
      <c r="AQ59" s="57"/>
      <c r="AR59" s="57"/>
      <c r="AS59" s="57"/>
      <c r="AT59" s="57"/>
      <c r="AU59" s="57"/>
      <c r="AV59" s="57"/>
      <c r="AW59" s="57"/>
      <c r="AX59" s="277"/>
      <c r="AY59" s="277"/>
      <c r="AZ59" s="277"/>
      <c r="BA59" s="277"/>
      <c r="BB59" s="277"/>
      <c r="BC59" s="277"/>
      <c r="BD59" s="277"/>
      <c r="BE59" s="277"/>
    </row>
    <row r="60" spans="2:57" s="54" customFormat="1" ht="16.5" hidden="1" customHeight="1" thickBot="1">
      <c r="B60" s="437"/>
      <c r="C60" s="423"/>
      <c r="D60" s="424"/>
      <c r="E60" s="425"/>
      <c r="F60" s="426"/>
      <c r="G60" s="427"/>
      <c r="H60" s="428"/>
      <c r="I60" s="438"/>
      <c r="J60" s="439"/>
      <c r="K60" s="429"/>
      <c r="L60" s="440"/>
      <c r="M60" s="422"/>
      <c r="N60" s="13"/>
      <c r="O60" s="13"/>
      <c r="P60" s="50"/>
      <c r="R60" s="275"/>
      <c r="S60" s="275"/>
      <c r="T60" s="275"/>
      <c r="U60" s="275"/>
      <c r="V60" s="275"/>
      <c r="W60" s="275"/>
      <c r="X60" s="275"/>
      <c r="Y60" s="275"/>
      <c r="Z60" s="275"/>
      <c r="AA60" s="275"/>
      <c r="AB60" s="415"/>
      <c r="AC60" s="415"/>
      <c r="AD60" s="415"/>
      <c r="AE60" s="415"/>
      <c r="AF60" s="415"/>
      <c r="AG60" s="415"/>
      <c r="AH60" s="415"/>
      <c r="AI60" s="415"/>
      <c r="AJ60" s="415"/>
      <c r="AK60" s="415"/>
      <c r="AL60" s="415"/>
      <c r="AM60" s="415"/>
      <c r="AN60" s="415"/>
      <c r="AO60" s="415"/>
      <c r="AP60" s="415"/>
      <c r="AQ60" s="415"/>
      <c r="AR60" s="415"/>
      <c r="AS60" s="415"/>
      <c r="AT60" s="415"/>
      <c r="AU60" s="415"/>
      <c r="AV60" s="415"/>
      <c r="AW60" s="415"/>
    </row>
    <row r="61" spans="2:57" s="54" customFormat="1" ht="37.15" hidden="1" customHeight="1" thickBot="1">
      <c r="B61" s="456"/>
      <c r="C61" s="441"/>
      <c r="D61" s="442"/>
      <c r="E61" s="443"/>
      <c r="F61" s="444"/>
      <c r="G61" s="445"/>
      <c r="H61" s="446"/>
      <c r="I61" s="447"/>
      <c r="J61" s="448"/>
      <c r="K61" s="449"/>
      <c r="L61" s="457"/>
      <c r="M61" s="454"/>
      <c r="N61" s="13"/>
      <c r="O61" s="13"/>
      <c r="P61" s="50"/>
      <c r="R61" s="275"/>
      <c r="S61" s="275"/>
      <c r="T61" s="275"/>
      <c r="U61" s="275"/>
      <c r="V61" s="275"/>
      <c r="W61" s="275"/>
      <c r="X61" s="275"/>
      <c r="Y61" s="275"/>
      <c r="Z61" s="275"/>
      <c r="AA61" s="275"/>
      <c r="AB61" s="57"/>
      <c r="AC61" s="57"/>
      <c r="AD61" s="57"/>
      <c r="AE61" s="57"/>
      <c r="AF61" s="57"/>
      <c r="AG61" s="57"/>
      <c r="AH61" s="57"/>
      <c r="AI61" s="57"/>
      <c r="AJ61" s="57"/>
      <c r="AK61" s="57"/>
      <c r="AL61" s="57"/>
      <c r="AM61" s="57"/>
      <c r="AN61" s="57"/>
      <c r="AO61" s="57"/>
      <c r="AP61" s="57"/>
      <c r="AQ61" s="57"/>
      <c r="AR61" s="57"/>
      <c r="AS61" s="57"/>
      <c r="AT61" s="57"/>
      <c r="AU61" s="57"/>
      <c r="AV61" s="57"/>
      <c r="AW61" s="57"/>
      <c r="AX61" s="277"/>
      <c r="AY61" s="277"/>
      <c r="AZ61" s="277"/>
      <c r="BA61" s="277"/>
      <c r="BB61" s="277"/>
      <c r="BC61" s="277"/>
      <c r="BD61" s="277"/>
      <c r="BE61" s="277"/>
    </row>
    <row r="62" spans="2:57" s="54" customFormat="1" ht="37.15" customHeight="1">
      <c r="B62" s="466"/>
      <c r="C62" s="430"/>
      <c r="D62" s="460"/>
      <c r="E62" s="461"/>
      <c r="F62" s="462"/>
      <c r="G62" s="460"/>
      <c r="H62" s="463"/>
      <c r="I62" s="463"/>
      <c r="J62" s="463"/>
      <c r="K62" s="464"/>
      <c r="L62" s="465"/>
      <c r="M62" s="50"/>
      <c r="N62" s="13"/>
      <c r="O62" s="13"/>
      <c r="P62" s="50"/>
      <c r="R62" s="275"/>
      <c r="S62" s="275"/>
      <c r="T62" s="275"/>
      <c r="U62" s="275"/>
      <c r="V62" s="275"/>
      <c r="W62" s="275"/>
      <c r="X62" s="275"/>
      <c r="Y62" s="275"/>
      <c r="Z62" s="275"/>
      <c r="AA62" s="275"/>
      <c r="AB62" s="57"/>
      <c r="AC62" s="57"/>
      <c r="AD62" s="57"/>
      <c r="AE62" s="57"/>
      <c r="AF62" s="57"/>
      <c r="AG62" s="57"/>
      <c r="AH62" s="57"/>
      <c r="AI62" s="57"/>
      <c r="AJ62" s="57"/>
      <c r="AK62" s="57"/>
      <c r="AL62" s="57"/>
      <c r="AM62" s="57"/>
      <c r="AN62" s="57"/>
      <c r="AO62" s="57"/>
      <c r="AP62" s="57"/>
      <c r="AQ62" s="57"/>
      <c r="AR62" s="57"/>
      <c r="AS62" s="57"/>
      <c r="AT62" s="57"/>
      <c r="AU62" s="57"/>
      <c r="AV62" s="57"/>
      <c r="AW62" s="57"/>
      <c r="AX62" s="277"/>
      <c r="AY62" s="277"/>
      <c r="AZ62" s="277"/>
      <c r="BA62" s="277"/>
      <c r="BB62" s="277"/>
      <c r="BC62" s="277"/>
      <c r="BD62" s="277"/>
      <c r="BE62" s="277"/>
    </row>
    <row r="63" spans="2:57" ht="18" customHeight="1" thickBot="1">
      <c r="B63" s="59"/>
      <c r="C63" s="309"/>
      <c r="D63" s="59"/>
      <c r="E63" s="59"/>
      <c r="F63" s="59"/>
      <c r="G63" s="59"/>
      <c r="H63" s="59"/>
      <c r="I63" s="59"/>
      <c r="J63" s="59"/>
      <c r="K63" s="59"/>
      <c r="L63" s="59"/>
      <c r="M63" s="59"/>
      <c r="N63" s="59" t="s">
        <v>41</v>
      </c>
      <c r="O63" s="56"/>
      <c r="P63" s="60"/>
    </row>
    <row r="64" spans="2:57" ht="15.75" thickBot="1">
      <c r="B64" s="499" t="s">
        <v>55</v>
      </c>
      <c r="C64" s="500"/>
      <c r="D64" s="500"/>
      <c r="E64" s="500"/>
      <c r="F64" s="501"/>
      <c r="G64" s="499" t="s">
        <v>56</v>
      </c>
      <c r="H64" s="500"/>
      <c r="I64" s="500"/>
      <c r="J64" s="501"/>
      <c r="K64" s="499" t="s">
        <v>51</v>
      </c>
      <c r="L64" s="500"/>
      <c r="M64" s="500"/>
      <c r="N64" s="502"/>
      <c r="O64" s="56"/>
      <c r="P64" s="50"/>
    </row>
    <row r="65" spans="2:16" ht="15">
      <c r="B65" s="61" t="s">
        <v>17</v>
      </c>
      <c r="C65" s="62" t="s">
        <v>36</v>
      </c>
      <c r="D65" s="62" t="s">
        <v>37</v>
      </c>
      <c r="E65" s="62" t="s">
        <v>38</v>
      </c>
      <c r="F65" s="63" t="s">
        <v>39</v>
      </c>
      <c r="G65" s="62" t="s">
        <v>36</v>
      </c>
      <c r="H65" s="62" t="s">
        <v>37</v>
      </c>
      <c r="I65" s="62" t="s">
        <v>38</v>
      </c>
      <c r="J65" s="63" t="s">
        <v>39</v>
      </c>
      <c r="K65" s="62" t="s">
        <v>36</v>
      </c>
      <c r="L65" s="62" t="s">
        <v>37</v>
      </c>
      <c r="M65" s="62" t="s">
        <v>38</v>
      </c>
      <c r="N65" s="63" t="s">
        <v>39</v>
      </c>
      <c r="O65" s="56"/>
      <c r="P65" s="64"/>
    </row>
    <row r="66" spans="2:16" ht="15">
      <c r="B66" s="29" t="s">
        <v>6</v>
      </c>
      <c r="C66" s="65">
        <f>L53</f>
        <v>2.1390374331550799</v>
      </c>
      <c r="D66" s="76">
        <v>7.2669378760384307</v>
      </c>
      <c r="E66" s="76">
        <v>6.6024208041377905</v>
      </c>
      <c r="F66" s="66">
        <v>4.8</v>
      </c>
      <c r="G66" s="65">
        <f>[18]September_2026!$X$11</f>
        <v>1.6693048128342238</v>
      </c>
      <c r="H66" s="477">
        <v>6.5160801722722619</v>
      </c>
      <c r="I66" s="477">
        <v>6.6384808531425268</v>
      </c>
      <c r="J66" s="66">
        <v>4.8</v>
      </c>
      <c r="K66" s="67">
        <f>K53</f>
        <v>0.32105263157894737</v>
      </c>
      <c r="L66" s="194">
        <v>0.54583684210526329</v>
      </c>
      <c r="M66" s="194">
        <v>0.52770661335828817</v>
      </c>
      <c r="N66" s="68">
        <v>1</v>
      </c>
      <c r="O66" s="56"/>
      <c r="P66" s="69"/>
    </row>
    <row r="67" spans="2:16" ht="15">
      <c r="B67" s="33" t="s">
        <v>9</v>
      </c>
      <c r="C67" s="65">
        <f>L55</f>
        <v>4.6153846153846079</v>
      </c>
      <c r="D67" s="76">
        <v>7.3316708229426295</v>
      </c>
      <c r="E67" s="76">
        <v>5.9176241386194413</v>
      </c>
      <c r="F67" s="66">
        <v>4.8</v>
      </c>
      <c r="G67" s="65">
        <f>[18]September_2026!$X$21</f>
        <v>3.6145775128825988</v>
      </c>
      <c r="H67" s="76">
        <v>6.310098886396319</v>
      </c>
      <c r="I67" s="76">
        <v>5.9747974627164657</v>
      </c>
      <c r="J67" s="66">
        <v>4.8</v>
      </c>
      <c r="K67" s="67">
        <f>K55</f>
        <v>1.0442105263157895</v>
      </c>
      <c r="L67" s="194">
        <v>0.56038596491228077</v>
      </c>
      <c r="M67" s="194">
        <v>0.68932508225459388</v>
      </c>
      <c r="N67" s="68">
        <v>1</v>
      </c>
      <c r="P67" s="69"/>
    </row>
    <row r="68" spans="2:16" ht="15">
      <c r="B68" s="34" t="s">
        <v>40</v>
      </c>
      <c r="C68" s="65"/>
      <c r="D68" s="76"/>
      <c r="E68" s="76">
        <v>11.277593164016125</v>
      </c>
      <c r="F68" s="66">
        <v>5.5</v>
      </c>
      <c r="G68" s="65"/>
      <c r="H68" s="76"/>
      <c r="I68" s="76">
        <v>11.857907912244482</v>
      </c>
      <c r="J68" s="66">
        <v>5.5</v>
      </c>
      <c r="K68" s="67"/>
      <c r="L68" s="194"/>
      <c r="M68" s="194">
        <v>0.35370190356844494</v>
      </c>
      <c r="N68" s="68">
        <v>1</v>
      </c>
      <c r="P68" s="69"/>
    </row>
    <row r="69" spans="2:16" ht="15">
      <c r="B69" s="22" t="s">
        <v>33</v>
      </c>
      <c r="C69" s="65"/>
      <c r="D69" s="76"/>
      <c r="E69" s="76">
        <v>4.8685538193023836</v>
      </c>
      <c r="F69" s="66">
        <v>3.3</v>
      </c>
      <c r="G69" s="65"/>
      <c r="H69" s="76"/>
      <c r="I69" s="76">
        <v>4.8702525342252114</v>
      </c>
      <c r="J69" s="66">
        <v>3.3</v>
      </c>
      <c r="K69" s="67"/>
      <c r="L69" s="194"/>
      <c r="M69" s="194">
        <v>0.77919298245614044</v>
      </c>
      <c r="N69" s="68">
        <v>1</v>
      </c>
      <c r="P69" s="69"/>
    </row>
    <row r="70" spans="2:16" ht="15">
      <c r="B70" s="35" t="s">
        <v>164</v>
      </c>
      <c r="C70" s="65"/>
      <c r="D70" s="76"/>
      <c r="E70" s="76"/>
      <c r="F70" s="66">
        <v>3.3</v>
      </c>
      <c r="G70" s="282"/>
      <c r="H70" s="76"/>
      <c r="I70" s="76"/>
      <c r="J70" s="66">
        <v>3</v>
      </c>
      <c r="K70" s="67"/>
      <c r="L70" s="194"/>
      <c r="M70" s="194"/>
      <c r="N70" s="68">
        <v>1</v>
      </c>
      <c r="P70" s="69"/>
    </row>
    <row r="71" spans="2:16" ht="15">
      <c r="B71" s="36" t="s">
        <v>15</v>
      </c>
      <c r="C71" s="65"/>
      <c r="D71" s="76">
        <v>6.8855672629257718</v>
      </c>
      <c r="E71" s="76">
        <v>6.3233965672990236</v>
      </c>
      <c r="F71" s="70">
        <v>5.5</v>
      </c>
      <c r="G71" s="65"/>
      <c r="H71" s="76">
        <v>7.4264332958762713</v>
      </c>
      <c r="I71" s="76">
        <v>7.9667553186446929</v>
      </c>
      <c r="J71" s="66">
        <v>5.5</v>
      </c>
      <c r="K71" s="67"/>
      <c r="L71" s="194">
        <v>0.391812865497076</v>
      </c>
      <c r="M71" s="194">
        <v>0.5883625730994152</v>
      </c>
      <c r="N71" s="68">
        <v>1</v>
      </c>
      <c r="P71" s="69"/>
    </row>
    <row r="72" spans="2:16" ht="15">
      <c r="B72" s="37" t="s">
        <v>16</v>
      </c>
      <c r="C72" s="482"/>
      <c r="D72" s="76"/>
      <c r="E72" s="76">
        <v>3.6168923014750334</v>
      </c>
      <c r="F72" s="66">
        <v>3.3</v>
      </c>
      <c r="G72" s="282"/>
      <c r="H72" s="76"/>
      <c r="I72" s="76">
        <v>5.0091179718082053</v>
      </c>
      <c r="J72" s="66">
        <v>3.3</v>
      </c>
      <c r="K72" s="67"/>
      <c r="L72" s="194"/>
      <c r="M72" s="194">
        <v>0.92642300194931759</v>
      </c>
      <c r="N72" s="71">
        <v>1</v>
      </c>
      <c r="P72" s="69"/>
    </row>
    <row r="73" spans="2:16" ht="15.75" thickBot="1">
      <c r="B73" s="38" t="s">
        <v>163</v>
      </c>
      <c r="C73" s="65"/>
      <c r="D73" s="76"/>
      <c r="E73" s="76"/>
      <c r="F73" s="66">
        <v>7.5</v>
      </c>
      <c r="G73" s="282"/>
      <c r="H73" s="76"/>
      <c r="I73" s="76"/>
      <c r="J73" s="66">
        <v>7.5</v>
      </c>
      <c r="K73" s="67"/>
      <c r="L73" s="194"/>
      <c r="M73" s="194"/>
      <c r="N73" s="71">
        <v>1</v>
      </c>
      <c r="P73" s="69"/>
    </row>
    <row r="74" spans="2:16" ht="15.75" thickBot="1">
      <c r="B74" s="414" t="s">
        <v>161</v>
      </c>
      <c r="C74" s="65"/>
      <c r="D74" s="76"/>
      <c r="E74" s="76"/>
      <c r="F74" s="66">
        <v>4.8</v>
      </c>
      <c r="G74" s="282"/>
      <c r="H74" s="76"/>
      <c r="I74" s="76"/>
      <c r="J74" s="66">
        <v>4.8</v>
      </c>
      <c r="K74" s="67"/>
      <c r="L74" s="194"/>
      <c r="M74" s="194"/>
      <c r="N74" s="71">
        <v>1</v>
      </c>
      <c r="O74" s="74"/>
      <c r="P74" s="75"/>
    </row>
    <row r="75" spans="2:16" ht="15">
      <c r="D75" s="76">
        <v>7.2508172898523311</v>
      </c>
      <c r="E75" s="76">
        <v>6.4061488343608515</v>
      </c>
      <c r="F75" s="341">
        <v>5.5</v>
      </c>
      <c r="H75" s="76">
        <v>6.5577606760145137</v>
      </c>
      <c r="I75" s="76">
        <v>6.683635413763378</v>
      </c>
      <c r="J75" s="341">
        <v>5.5</v>
      </c>
      <c r="L75" s="194">
        <v>0.5196853070175439</v>
      </c>
      <c r="M75" s="194">
        <v>0.59152306623793738</v>
      </c>
      <c r="N75" s="386">
        <v>1</v>
      </c>
    </row>
  </sheetData>
  <mergeCells count="51">
    <mergeCell ref="M4:N4"/>
    <mergeCell ref="S1:T1"/>
    <mergeCell ref="U1:V1"/>
    <mergeCell ref="W1:X1"/>
    <mergeCell ref="Y1:Z1"/>
    <mergeCell ref="B2:O2"/>
    <mergeCell ref="P8:P9"/>
    <mergeCell ref="C5:D5"/>
    <mergeCell ref="B8:B9"/>
    <mergeCell ref="C8:C9"/>
    <mergeCell ref="D8:D9"/>
    <mergeCell ref="G8:G9"/>
    <mergeCell ref="H8:H9"/>
    <mergeCell ref="I8:I9"/>
    <mergeCell ref="J8:J9"/>
    <mergeCell ref="K8:K9"/>
    <mergeCell ref="L8:L9"/>
    <mergeCell ref="O8:O9"/>
    <mergeCell ref="I22:N22"/>
    <mergeCell ref="D23:E23"/>
    <mergeCell ref="B24:B35"/>
    <mergeCell ref="D24:E25"/>
    <mergeCell ref="D26:E27"/>
    <mergeCell ref="D28:E29"/>
    <mergeCell ref="D30:E31"/>
    <mergeCell ref="D32:E33"/>
    <mergeCell ref="D34:E35"/>
    <mergeCell ref="B36:B45"/>
    <mergeCell ref="D36:E37"/>
    <mergeCell ref="J36:K36"/>
    <mergeCell ref="L37:N37"/>
    <mergeCell ref="D38:E39"/>
    <mergeCell ref="D40:E41"/>
    <mergeCell ref="D42:E43"/>
    <mergeCell ref="D44:E45"/>
    <mergeCell ref="D46:E46"/>
    <mergeCell ref="B51:B52"/>
    <mergeCell ref="C51:C52"/>
    <mergeCell ref="D51:D52"/>
    <mergeCell ref="E51:E52"/>
    <mergeCell ref="M51:M52"/>
    <mergeCell ref="B64:F64"/>
    <mergeCell ref="G64:J64"/>
    <mergeCell ref="K64:N64"/>
    <mergeCell ref="G51:G52"/>
    <mergeCell ref="H51:H52"/>
    <mergeCell ref="I51:I52"/>
    <mergeCell ref="J51:J52"/>
    <mergeCell ref="K51:K52"/>
    <mergeCell ref="L51:L52"/>
    <mergeCell ref="F51:F52"/>
  </mergeCells>
  <conditionalFormatting sqref="B46:B47">
    <cfRule type="cellIs" dxfId="1348" priority="113" operator="notBetween">
      <formula>#REF!</formula>
      <formula>#REF!</formula>
    </cfRule>
  </conditionalFormatting>
  <conditionalFormatting sqref="C50">
    <cfRule type="cellIs" dxfId="1347" priority="196" stopIfTrue="1" operator="greaterThan">
      <formula>100</formula>
    </cfRule>
    <cfRule type="cellIs" dxfId="1346" priority="195" stopIfTrue="1" operator="lessThan">
      <formula>96</formula>
    </cfRule>
  </conditionalFormatting>
  <conditionalFormatting sqref="C66:C67">
    <cfRule type="cellIs" dxfId="1345" priority="77" stopIfTrue="1" operator="lessThanOrEqual">
      <formula>0</formula>
    </cfRule>
    <cfRule type="cellIs" dxfId="1344" priority="76" stopIfTrue="1" operator="greaterThan">
      <formula>$F66</formula>
    </cfRule>
    <cfRule type="cellIs" dxfId="1343" priority="79" stopIfTrue="1" operator="lessThanOrEqual">
      <formula>0</formula>
    </cfRule>
    <cfRule type="cellIs" dxfId="1342" priority="78" stopIfTrue="1" operator="greaterThan">
      <formula>$F66</formula>
    </cfRule>
  </conditionalFormatting>
  <conditionalFormatting sqref="C68:C70 C72:C74">
    <cfRule type="cellIs" dxfId="1341" priority="85" stopIfTrue="1" operator="greaterThan">
      <formula>$F71</formula>
    </cfRule>
  </conditionalFormatting>
  <conditionalFormatting sqref="C68:C70">
    <cfRule type="cellIs" dxfId="1340" priority="86" stopIfTrue="1" operator="lessThanOrEqual">
      <formula>0</formula>
    </cfRule>
  </conditionalFormatting>
  <conditionalFormatting sqref="C71">
    <cfRule type="cellIs" dxfId="1339" priority="200" stopIfTrue="1" operator="lessThanOrEqual">
      <formula>0</formula>
    </cfRule>
    <cfRule type="cellIs" dxfId="1338" priority="199" stopIfTrue="1" operator="greaterThan">
      <formula>$F66</formula>
    </cfRule>
    <cfRule type="cellIs" dxfId="1337" priority="198" stopIfTrue="1" operator="lessThanOrEqual">
      <formula>0</formula>
    </cfRule>
    <cfRule type="cellIs" dxfId="1336" priority="197" stopIfTrue="1" operator="greaterThan">
      <formula>$F66</formula>
    </cfRule>
  </conditionalFormatting>
  <conditionalFormatting sqref="C72:C74">
    <cfRule type="cellIs" dxfId="1335" priority="87" stopIfTrue="1" operator="lessThanOrEqual">
      <formula>0</formula>
    </cfRule>
  </conditionalFormatting>
  <conditionalFormatting sqref="C77:C81">
    <cfRule type="cellIs" dxfId="1334" priority="187" stopIfTrue="1" operator="lessThanOrEqual">
      <formula>0</formula>
    </cfRule>
  </conditionalFormatting>
  <conditionalFormatting sqref="C78:C81">
    <cfRule type="cellIs" dxfId="1333" priority="186" stopIfTrue="1" operator="greaterThan">
      <formula>$F$77</formula>
    </cfRule>
  </conditionalFormatting>
  <conditionalFormatting sqref="C83">
    <cfRule type="cellIs" dxfId="1332" priority="189" stopIfTrue="1" operator="lessThanOrEqual">
      <formula>0</formula>
    </cfRule>
    <cfRule type="cellIs" dxfId="1331" priority="188" stopIfTrue="1" operator="greaterThan">
      <formula>$F$77</formula>
    </cfRule>
  </conditionalFormatting>
  <conditionalFormatting sqref="C71:D71">
    <cfRule type="cellIs" dxfId="1330" priority="74" stopIfTrue="1" operator="greaterThan">
      <formula>$J71</formula>
    </cfRule>
    <cfRule type="cellIs" dxfId="1329" priority="75" stopIfTrue="1" operator="lessThanOrEqual">
      <formula>0</formula>
    </cfRule>
  </conditionalFormatting>
  <conditionalFormatting sqref="C77:D77 D79:D85">
    <cfRule type="cellIs" dxfId="1328" priority="181" stopIfTrue="1" operator="greaterThan">
      <formula>4.5</formula>
    </cfRule>
  </conditionalFormatting>
  <conditionalFormatting sqref="D46:D47">
    <cfRule type="cellIs" dxfId="1327" priority="114" operator="notBetween">
      <formula>#REF!</formula>
      <formula>#REF!</formula>
    </cfRule>
  </conditionalFormatting>
  <conditionalFormatting sqref="D66:D70 D72:D73">
    <cfRule type="cellIs" dxfId="1326" priority="84" stopIfTrue="1" operator="lessThanOrEqual">
      <formula>0</formula>
    </cfRule>
  </conditionalFormatting>
  <conditionalFormatting sqref="D66:D70 D72:D75">
    <cfRule type="cellIs" dxfId="1325" priority="80" stopIfTrue="1" operator="lessThanOrEqual">
      <formula>0</formula>
    </cfRule>
    <cfRule type="cellIs" dxfId="1324" priority="81" stopIfTrue="1" operator="greaterThan">
      <formula>$F66</formula>
    </cfRule>
  </conditionalFormatting>
  <conditionalFormatting sqref="D74:D75">
    <cfRule type="cellIs" dxfId="1323" priority="82" stopIfTrue="1" operator="lessThanOrEqual">
      <formula>0</formula>
    </cfRule>
  </conditionalFormatting>
  <conditionalFormatting sqref="D75">
    <cfRule type="cellIs" dxfId="1322" priority="83" stopIfTrue="1" operator="lessThanOrEqual">
      <formula>0</formula>
    </cfRule>
  </conditionalFormatting>
  <conditionalFormatting sqref="D77 D79:D85">
    <cfRule type="cellIs" dxfId="1321" priority="182" stopIfTrue="1" operator="lessThanOrEqual">
      <formula>0</formula>
    </cfRule>
  </conditionalFormatting>
  <conditionalFormatting sqref="D78">
    <cfRule type="cellIs" dxfId="1320" priority="173" stopIfTrue="1" operator="greaterThan">
      <formula>$F$77</formula>
    </cfRule>
    <cfRule type="cellIs" dxfId="1319" priority="174" stopIfTrue="1" operator="lessThanOrEqual">
      <formula>0</formula>
    </cfRule>
  </conditionalFormatting>
  <conditionalFormatting sqref="E10:E21">
    <cfRule type="cellIs" dxfId="1318" priority="18" operator="lessThan">
      <formula>48</formula>
    </cfRule>
  </conditionalFormatting>
  <conditionalFormatting sqref="E49 E50:F50">
    <cfRule type="cellIs" dxfId="1317" priority="178" stopIfTrue="1" operator="greaterThan">
      <formula>100</formula>
    </cfRule>
  </conditionalFormatting>
  <conditionalFormatting sqref="E50">
    <cfRule type="cellIs" dxfId="1316" priority="176" stopIfTrue="1" operator="greaterThan">
      <formula>100</formula>
    </cfRule>
    <cfRule type="cellIs" dxfId="1315" priority="175" stopIfTrue="1" operator="lessThan">
      <formula>96.8</formula>
    </cfRule>
  </conditionalFormatting>
  <conditionalFormatting sqref="E66:E74">
    <cfRule type="cellIs" dxfId="1314" priority="47" stopIfTrue="1" operator="lessThanOrEqual">
      <formula>0</formula>
    </cfRule>
  </conditionalFormatting>
  <conditionalFormatting sqref="E66:E75">
    <cfRule type="cellIs" dxfId="1313" priority="49" stopIfTrue="1" operator="lessThanOrEqual">
      <formula>0</formula>
    </cfRule>
    <cfRule type="cellIs" dxfId="1312" priority="48" stopIfTrue="1" operator="greaterThan">
      <formula>$F66</formula>
    </cfRule>
  </conditionalFormatting>
  <conditionalFormatting sqref="E75">
    <cfRule type="cellIs" dxfId="1311" priority="50" stopIfTrue="1" operator="lessThanOrEqual">
      <formula>0</formula>
    </cfRule>
  </conditionalFormatting>
  <conditionalFormatting sqref="E77:E85">
    <cfRule type="cellIs" dxfId="1310" priority="167" stopIfTrue="1" operator="greaterThan">
      <formula>4.5</formula>
    </cfRule>
    <cfRule type="cellIs" dxfId="1309" priority="168" stopIfTrue="1" operator="lessThanOrEqual">
      <formula>0</formula>
    </cfRule>
  </conditionalFormatting>
  <conditionalFormatting sqref="E50:F50 E49">
    <cfRule type="cellIs" dxfId="1308" priority="177" stopIfTrue="1" operator="lessThan">
      <formula>96.5</formula>
    </cfRule>
  </conditionalFormatting>
  <conditionalFormatting sqref="F10:F21">
    <cfRule type="cellIs" dxfId="1307" priority="19" operator="greaterThan">
      <formula>60</formula>
    </cfRule>
  </conditionalFormatting>
  <conditionalFormatting sqref="F50">
    <cfRule type="cellIs" dxfId="1306" priority="194" stopIfTrue="1" operator="greaterThan">
      <formula>100</formula>
    </cfRule>
    <cfRule type="cellIs" dxfId="1305" priority="193" stopIfTrue="1" operator="lessThan">
      <formula>96.8</formula>
    </cfRule>
  </conditionalFormatting>
  <conditionalFormatting sqref="G18 G21">
    <cfRule type="expression" dxfId="1304" priority="21">
      <formula>IF(+(IF(G18&lt;S18,0,IF(G18&gt;T18,0,1)))=0,1)</formula>
    </cfRule>
  </conditionalFormatting>
  <conditionalFormatting sqref="G66:G69 F75">
    <cfRule type="cellIs" dxfId="1303" priority="56" stopIfTrue="1" operator="greaterThan">
      <formula>$F66</formula>
    </cfRule>
    <cfRule type="cellIs" dxfId="1302" priority="57" stopIfTrue="1" operator="lessThanOrEqual">
      <formula>0</formula>
    </cfRule>
  </conditionalFormatting>
  <conditionalFormatting sqref="G68:G69">
    <cfRule type="cellIs" dxfId="1301" priority="43" stopIfTrue="1" operator="lessThanOrEqual">
      <formula>0</formula>
    </cfRule>
    <cfRule type="cellIs" dxfId="1300" priority="42" stopIfTrue="1" operator="greaterThan">
      <formula>$F68</formula>
    </cfRule>
  </conditionalFormatting>
  <conditionalFormatting sqref="G70:G74">
    <cfRule type="cellIs" dxfId="1299" priority="58" stopIfTrue="1" operator="greaterThan">
      <formula>$J70</formula>
    </cfRule>
    <cfRule type="cellIs" dxfId="1298" priority="59" stopIfTrue="1" operator="lessThanOrEqual">
      <formula>0</formula>
    </cfRule>
  </conditionalFormatting>
  <conditionalFormatting sqref="G71">
    <cfRule type="cellIs" dxfId="1297" priority="202" stopIfTrue="1" operator="lessThanOrEqual">
      <formula>0</formula>
    </cfRule>
    <cfRule type="cellIs" dxfId="1296" priority="201" stopIfTrue="1" operator="greaterThan">
      <formula>$F66</formula>
    </cfRule>
  </conditionalFormatting>
  <conditionalFormatting sqref="G79:G84 C82 C84">
    <cfRule type="cellIs" dxfId="1295" priority="190" stopIfTrue="1" operator="greaterThan">
      <formula>4.5</formula>
    </cfRule>
    <cfRule type="cellIs" dxfId="1294" priority="191" stopIfTrue="1" operator="lessThanOrEqual">
      <formula>0</formula>
    </cfRule>
  </conditionalFormatting>
  <conditionalFormatting sqref="G78:H78">
    <cfRule type="cellIs" dxfId="1293" priority="172" stopIfTrue="1" operator="lessThanOrEqual">
      <formula>0</formula>
    </cfRule>
    <cfRule type="cellIs" dxfId="1292" priority="171" stopIfTrue="1" operator="greaterThan">
      <formula>$F$77</formula>
    </cfRule>
  </conditionalFormatting>
  <conditionalFormatting sqref="H35:H36 H49">
    <cfRule type="cellIs" dxfId="1291" priority="169" stopIfTrue="1" operator="greaterThan">
      <formula>0</formula>
    </cfRule>
  </conditionalFormatting>
  <conditionalFormatting sqref="H53">
    <cfRule type="cellIs" dxfId="1290" priority="62" stopIfTrue="1" operator="greaterThan">
      <formula>$F$66</formula>
    </cfRule>
    <cfRule type="cellIs" dxfId="1289" priority="70" stopIfTrue="1" operator="greaterThan">
      <formula>$F$69</formula>
    </cfRule>
    <cfRule type="cellIs" dxfId="1288" priority="71" stopIfTrue="1" operator="lessThanOrEqual">
      <formula>0</formula>
    </cfRule>
    <cfRule type="cellIs" dxfId="1287" priority="72" stopIfTrue="1" operator="greaterThan">
      <formula>$F$67</formula>
    </cfRule>
    <cfRule type="cellIs" dxfId="1286" priority="61" stopIfTrue="1" operator="lessThanOrEqual">
      <formula>0</formula>
    </cfRule>
  </conditionalFormatting>
  <conditionalFormatting sqref="H53:H54">
    <cfRule type="cellIs" dxfId="1285" priority="73" stopIfTrue="1" operator="lessThanOrEqual">
      <formula>0</formula>
    </cfRule>
  </conditionalFormatting>
  <conditionalFormatting sqref="H54 H56:H57">
    <cfRule type="cellIs" dxfId="1284" priority="99" stopIfTrue="1" operator="lessThanOrEqual">
      <formula>0</formula>
    </cfRule>
  </conditionalFormatting>
  <conditionalFormatting sqref="H54">
    <cfRule type="cellIs" dxfId="1283" priority="98" stopIfTrue="1" operator="greaterThan">
      <formula>$F$67</formula>
    </cfRule>
    <cfRule type="cellIs" dxfId="1282" priority="97" stopIfTrue="1" operator="lessThanOrEqual">
      <formula>0</formula>
    </cfRule>
    <cfRule type="cellIs" dxfId="1281" priority="88" stopIfTrue="1" operator="greaterThan">
      <formula>$F$66</formula>
    </cfRule>
    <cfRule type="cellIs" dxfId="1280" priority="96" stopIfTrue="1" operator="greaterThan">
      <formula>$F$69</formula>
    </cfRule>
  </conditionalFormatting>
  <conditionalFormatting sqref="H55">
    <cfRule type="cellIs" dxfId="1279" priority="38" stopIfTrue="1" operator="lessThanOrEqual">
      <formula>0</formula>
    </cfRule>
    <cfRule type="cellIs" dxfId="1278" priority="39" stopIfTrue="1" operator="greaterThan">
      <formula>$F$69</formula>
    </cfRule>
    <cfRule type="cellIs" dxfId="1277" priority="40" stopIfTrue="1" operator="lessThanOrEqual">
      <formula>0</formula>
    </cfRule>
    <cfRule type="cellIs" dxfId="1276" priority="37" stopIfTrue="1" operator="greaterThan">
      <formula>$F$71</formula>
    </cfRule>
    <cfRule type="cellIs" dxfId="1275" priority="28" stopIfTrue="1" operator="lessThanOrEqual">
      <formula>0</formula>
    </cfRule>
    <cfRule type="cellIs" dxfId="1274" priority="29" stopIfTrue="1" operator="greaterThan">
      <formula>$F$68</formula>
    </cfRule>
  </conditionalFormatting>
  <conditionalFormatting sqref="H56:H57">
    <cfRule type="cellIs" dxfId="1273" priority="112" stopIfTrue="1" operator="lessThanOrEqual">
      <formula>0</formula>
    </cfRule>
    <cfRule type="cellIs" dxfId="1272" priority="101" stopIfTrue="1" operator="greaterThan">
      <formula>$F$66</formula>
    </cfRule>
    <cfRule type="cellIs" dxfId="1271" priority="109" stopIfTrue="1" operator="greaterThan">
      <formula>$F$69</formula>
    </cfRule>
    <cfRule type="cellIs" dxfId="1270" priority="111" stopIfTrue="1" operator="greaterThan">
      <formula>$F$67</formula>
    </cfRule>
    <cfRule type="cellIs" dxfId="1269" priority="110" stopIfTrue="1" operator="lessThanOrEqual">
      <formula>0</formula>
    </cfRule>
  </conditionalFormatting>
  <conditionalFormatting sqref="H58:H59">
    <cfRule type="cellIs" dxfId="1268" priority="137" stopIfTrue="1" operator="greaterThan">
      <formula>#REF!</formula>
    </cfRule>
    <cfRule type="cellIs" dxfId="1267" priority="145" stopIfTrue="1" operator="greaterThan">
      <formula>#REF!</formula>
    </cfRule>
    <cfRule type="cellIs" dxfId="1266" priority="146" stopIfTrue="1" operator="lessThanOrEqual">
      <formula>0</formula>
    </cfRule>
    <cfRule type="cellIs" dxfId="1265" priority="136" stopIfTrue="1" operator="lessThanOrEqual">
      <formula>0</formula>
    </cfRule>
  </conditionalFormatting>
  <conditionalFormatting sqref="H60">
    <cfRule type="cellIs" dxfId="1264" priority="160" stopIfTrue="1" operator="lessThanOrEqual">
      <formula>0</formula>
    </cfRule>
    <cfRule type="cellIs" dxfId="1263" priority="158" stopIfTrue="1" operator="lessThanOrEqual">
      <formula>0</formula>
    </cfRule>
    <cfRule type="cellIs" dxfId="1262" priority="148" stopIfTrue="1" operator="lessThanOrEqual">
      <formula>0</formula>
    </cfRule>
    <cfRule type="cellIs" dxfId="1261" priority="149" stopIfTrue="1" operator="greaterThan">
      <formula>$F$34</formula>
    </cfRule>
    <cfRule type="cellIs" dxfId="1260" priority="157" stopIfTrue="1" operator="greaterThan">
      <formula>$F$37</formula>
    </cfRule>
    <cfRule type="cellIs" dxfId="1259" priority="159" stopIfTrue="1" operator="greaterThan">
      <formula>$F$35</formula>
    </cfRule>
  </conditionalFormatting>
  <conditionalFormatting sqref="H61:H62">
    <cfRule type="cellIs" dxfId="1258" priority="133" stopIfTrue="1" operator="greaterThan">
      <formula>#REF!</formula>
    </cfRule>
    <cfRule type="cellIs" dxfId="1257" priority="134" stopIfTrue="1" operator="lessThanOrEqual">
      <formula>0</formula>
    </cfRule>
    <cfRule type="cellIs" dxfId="1256" priority="124" stopIfTrue="1" operator="lessThanOrEqual">
      <formula>0</formula>
    </cfRule>
    <cfRule type="cellIs" dxfId="1255" priority="125" stopIfTrue="1" operator="greaterThan">
      <formula>#REF!</formula>
    </cfRule>
  </conditionalFormatting>
  <conditionalFormatting sqref="H77 H79:H85">
    <cfRule type="cellIs" dxfId="1254" priority="183" stopIfTrue="1" operator="greaterThan">
      <formula>4.5</formula>
    </cfRule>
    <cfRule type="cellIs" dxfId="1253" priority="184" stopIfTrue="1" operator="lessThanOrEqual">
      <formula>0</formula>
    </cfRule>
  </conditionalFormatting>
  <conditionalFormatting sqref="H53:I53">
    <cfRule type="cellIs" dxfId="1252" priority="63" stopIfTrue="1" operator="lessThanOrEqual">
      <formula>0</formula>
    </cfRule>
  </conditionalFormatting>
  <conditionalFormatting sqref="H53:I54 H56:I57">
    <cfRule type="cellIs" dxfId="1251" priority="60" stopIfTrue="1" operator="greaterThan">
      <formula>$F$68</formula>
    </cfRule>
  </conditionalFormatting>
  <conditionalFormatting sqref="H54:I54">
    <cfRule type="cellIs" dxfId="1250" priority="89" stopIfTrue="1" operator="lessThanOrEqual">
      <formula>0</formula>
    </cfRule>
  </conditionalFormatting>
  <conditionalFormatting sqref="H55:I55">
    <cfRule type="cellIs" dxfId="1249" priority="30" stopIfTrue="1" operator="lessThanOrEqual">
      <formula>0</formula>
    </cfRule>
    <cfRule type="cellIs" dxfId="1248" priority="27" stopIfTrue="1" operator="greaterThan">
      <formula>$F$70</formula>
    </cfRule>
  </conditionalFormatting>
  <conditionalFormatting sqref="H56:I57">
    <cfRule type="cellIs" dxfId="1247" priority="102" stopIfTrue="1" operator="lessThanOrEqual">
      <formula>0</formula>
    </cfRule>
  </conditionalFormatting>
  <conditionalFormatting sqref="H58:I59">
    <cfRule type="cellIs" dxfId="1246" priority="138" stopIfTrue="1" operator="lessThanOrEqual">
      <formula>0</formula>
    </cfRule>
    <cfRule type="cellIs" dxfId="1245" priority="143" stopIfTrue="1" operator="greaterThan">
      <formula>#REF!</formula>
    </cfRule>
    <cfRule type="cellIs" dxfId="1244" priority="144" stopIfTrue="1" operator="lessThanOrEqual">
      <formula>0</formula>
    </cfRule>
    <cfRule type="cellIs" dxfId="1243" priority="135" stopIfTrue="1" operator="greaterThan">
      <formula>#REF!</formula>
    </cfRule>
  </conditionalFormatting>
  <conditionalFormatting sqref="H60:I60">
    <cfRule type="cellIs" dxfId="1242" priority="147" stopIfTrue="1" operator="greaterThan">
      <formula>$F$36</formula>
    </cfRule>
    <cfRule type="cellIs" dxfId="1241" priority="150" stopIfTrue="1" operator="lessThanOrEqual">
      <formula>0</formula>
    </cfRule>
  </conditionalFormatting>
  <conditionalFormatting sqref="H61:I62">
    <cfRule type="cellIs" dxfId="1240" priority="123" stopIfTrue="1" operator="greaterThan">
      <formula>#REF!</formula>
    </cfRule>
    <cfRule type="cellIs" dxfId="1239" priority="126" stopIfTrue="1" operator="lessThanOrEqual">
      <formula>0</formula>
    </cfRule>
    <cfRule type="cellIs" dxfId="1238" priority="131" stopIfTrue="1" operator="greaterThan">
      <formula>#REF!</formula>
    </cfRule>
    <cfRule type="cellIs" dxfId="1237" priority="132" stopIfTrue="1" operator="lessThanOrEqual">
      <formula>0</formula>
    </cfRule>
  </conditionalFormatting>
  <conditionalFormatting sqref="H66:I73">
    <cfRule type="cellIs" dxfId="1236" priority="46" stopIfTrue="1" operator="lessThanOrEqual">
      <formula>0</formula>
    </cfRule>
    <cfRule type="cellIs" dxfId="1235" priority="45" stopIfTrue="1" operator="greaterThan">
      <formula>$J66</formula>
    </cfRule>
  </conditionalFormatting>
  <conditionalFormatting sqref="H74:I74">
    <cfRule type="cellIs" dxfId="1234" priority="53" operator="greaterThan">
      <formula>5.3</formula>
    </cfRule>
  </conditionalFormatting>
  <conditionalFormatting sqref="H75:I75">
    <cfRule type="cellIs" dxfId="1233" priority="52" stopIfTrue="1" operator="lessThanOrEqual">
      <formula>0</formula>
    </cfRule>
    <cfRule type="cellIs" dxfId="1232" priority="51" stopIfTrue="1" operator="greaterThan">
      <formula>$J75</formula>
    </cfRule>
  </conditionalFormatting>
  <conditionalFormatting sqref="I53">
    <cfRule type="cellIs" dxfId="1231" priority="66" stopIfTrue="1" operator="greaterThan">
      <formula>$F$68</formula>
    </cfRule>
    <cfRule type="cellIs" dxfId="1230" priority="64" stopIfTrue="1" operator="greaterThan">
      <formula>$F$66</formula>
    </cfRule>
    <cfRule type="cellIs" dxfId="1229" priority="67" stopIfTrue="1" operator="lessThanOrEqual">
      <formula>0</formula>
    </cfRule>
    <cfRule type="cellIs" dxfId="1228" priority="68" stopIfTrue="1" operator="greaterThan">
      <formula>$F$66</formula>
    </cfRule>
    <cfRule type="cellIs" dxfId="1227" priority="69" stopIfTrue="1" operator="lessThanOrEqual">
      <formula>0</formula>
    </cfRule>
    <cfRule type="cellIs" dxfId="1226" priority="65" stopIfTrue="1" operator="lessThanOrEqual">
      <formula>0</formula>
    </cfRule>
  </conditionalFormatting>
  <conditionalFormatting sqref="I54">
    <cfRule type="cellIs" dxfId="1225" priority="90" stopIfTrue="1" operator="greaterThan">
      <formula>$F$66</formula>
    </cfRule>
    <cfRule type="cellIs" dxfId="1224" priority="91" stopIfTrue="1" operator="lessThanOrEqual">
      <formula>0</formula>
    </cfRule>
    <cfRule type="cellIs" dxfId="1223" priority="93" stopIfTrue="1" operator="lessThanOrEqual">
      <formula>0</formula>
    </cfRule>
    <cfRule type="cellIs" dxfId="1222" priority="94" stopIfTrue="1" operator="greaterThan">
      <formula>$F$66</formula>
    </cfRule>
    <cfRule type="cellIs" dxfId="1221" priority="95" stopIfTrue="1" operator="lessThanOrEqual">
      <formula>0</formula>
    </cfRule>
    <cfRule type="cellIs" dxfId="1220" priority="92" stopIfTrue="1" operator="greaterThan">
      <formula>$F$68</formula>
    </cfRule>
  </conditionalFormatting>
  <conditionalFormatting sqref="I55">
    <cfRule type="cellIs" dxfId="1219" priority="31" stopIfTrue="1" operator="greaterThan">
      <formula>$F$68</formula>
    </cfRule>
    <cfRule type="cellIs" dxfId="1218" priority="33" stopIfTrue="1" operator="greaterThan">
      <formula>$F$70</formula>
    </cfRule>
    <cfRule type="cellIs" dxfId="1217" priority="32" stopIfTrue="1" operator="lessThanOrEqual">
      <formula>0</formula>
    </cfRule>
    <cfRule type="cellIs" dxfId="1216" priority="36" stopIfTrue="1" operator="lessThanOrEqual">
      <formula>0</formula>
    </cfRule>
    <cfRule type="cellIs" dxfId="1215" priority="35" stopIfTrue="1" operator="greaterThan">
      <formula>$F$68</formula>
    </cfRule>
    <cfRule type="cellIs" dxfId="1214" priority="34" stopIfTrue="1" operator="lessThanOrEqual">
      <formula>0</formula>
    </cfRule>
  </conditionalFormatting>
  <conditionalFormatting sqref="I56:I57">
    <cfRule type="cellIs" dxfId="1213" priority="105" stopIfTrue="1" operator="greaterThan">
      <formula>$F$68</formula>
    </cfRule>
    <cfRule type="cellIs" dxfId="1212" priority="106" stopIfTrue="1" operator="lessThanOrEqual">
      <formula>0</formula>
    </cfRule>
    <cfRule type="cellIs" dxfId="1211" priority="107" stopIfTrue="1" operator="greaterThan">
      <formula>$F$66</formula>
    </cfRule>
    <cfRule type="cellIs" dxfId="1210" priority="108" stopIfTrue="1" operator="lessThanOrEqual">
      <formula>0</formula>
    </cfRule>
    <cfRule type="cellIs" dxfId="1209" priority="103" stopIfTrue="1" operator="greaterThan">
      <formula>$F$66</formula>
    </cfRule>
    <cfRule type="cellIs" dxfId="1208" priority="104" stopIfTrue="1" operator="lessThanOrEqual">
      <formula>0</formula>
    </cfRule>
  </conditionalFormatting>
  <conditionalFormatting sqref="I58:I59">
    <cfRule type="cellIs" dxfId="1207" priority="142" stopIfTrue="1" operator="lessThanOrEqual">
      <formula>0</formula>
    </cfRule>
    <cfRule type="cellIs" dxfId="1206" priority="141" stopIfTrue="1" operator="greaterThan">
      <formula>#REF!</formula>
    </cfRule>
    <cfRule type="cellIs" dxfId="1205" priority="140" stopIfTrue="1" operator="lessThanOrEqual">
      <formula>0</formula>
    </cfRule>
    <cfRule type="cellIs" dxfId="1204" priority="139" stopIfTrue="1" operator="greaterThan">
      <formula>#REF!</formula>
    </cfRule>
  </conditionalFormatting>
  <conditionalFormatting sqref="I60">
    <cfRule type="cellIs" dxfId="1203" priority="153" stopIfTrue="1" operator="greaterThan">
      <formula>$F$36</formula>
    </cfRule>
    <cfRule type="cellIs" dxfId="1202" priority="154" stopIfTrue="1" operator="lessThanOrEqual">
      <formula>0</formula>
    </cfRule>
    <cfRule type="cellIs" dxfId="1201" priority="155" stopIfTrue="1" operator="greaterThan">
      <formula>$F$34</formula>
    </cfRule>
    <cfRule type="cellIs" dxfId="1200" priority="156" stopIfTrue="1" operator="lessThanOrEqual">
      <formula>0</formula>
    </cfRule>
    <cfRule type="cellIs" dxfId="1199" priority="152" stopIfTrue="1" operator="lessThanOrEqual">
      <formula>0</formula>
    </cfRule>
    <cfRule type="cellIs" dxfId="1198" priority="151" stopIfTrue="1" operator="greaterThan">
      <formula>$F$34</formula>
    </cfRule>
  </conditionalFormatting>
  <conditionalFormatting sqref="I61:I62">
    <cfRule type="cellIs" dxfId="1197" priority="130" stopIfTrue="1" operator="lessThanOrEqual">
      <formula>0</formula>
    </cfRule>
    <cfRule type="cellIs" dxfId="1196" priority="127" stopIfTrue="1" operator="greaterThan">
      <formula>#REF!</formula>
    </cfRule>
    <cfRule type="cellIs" dxfId="1195" priority="128" stopIfTrue="1" operator="lessThanOrEqual">
      <formula>0</formula>
    </cfRule>
    <cfRule type="cellIs" dxfId="1194" priority="129" stopIfTrue="1" operator="greaterThan">
      <formula>#REF!</formula>
    </cfRule>
  </conditionalFormatting>
  <conditionalFormatting sqref="I77:I85">
    <cfRule type="cellIs" dxfId="1193" priority="180" stopIfTrue="1" operator="lessThanOrEqual">
      <formula>0</formula>
    </cfRule>
    <cfRule type="cellIs" dxfId="1192" priority="179" stopIfTrue="1" operator="greaterThan">
      <formula>4.5</formula>
    </cfRule>
  </conditionalFormatting>
  <conditionalFormatting sqref="I10:J21">
    <cfRule type="cellIs" dxfId="1191" priority="12" operator="lessThan">
      <formula>97.9</formula>
    </cfRule>
  </conditionalFormatting>
  <conditionalFormatting sqref="J24:J26">
    <cfRule type="cellIs" dxfId="1190" priority="26" operator="lessThan">
      <formula>97.95</formula>
    </cfRule>
  </conditionalFormatting>
  <conditionalFormatting sqref="J25:J28">
    <cfRule type="cellIs" dxfId="1189" priority="161" operator="lessThan">
      <formula>97.4</formula>
    </cfRule>
  </conditionalFormatting>
  <conditionalFormatting sqref="J29:J30">
    <cfRule type="cellIs" dxfId="1188" priority="162" operator="lessThan">
      <formula>98</formula>
    </cfRule>
  </conditionalFormatting>
  <conditionalFormatting sqref="J31:J32">
    <cfRule type="cellIs" dxfId="1187" priority="163" stopIfTrue="1" operator="lessThan">
      <formula>96.8</formula>
    </cfRule>
    <cfRule type="cellIs" dxfId="1186" priority="164" stopIfTrue="1" operator="greaterThan">
      <formula>100</formula>
    </cfRule>
  </conditionalFormatting>
  <conditionalFormatting sqref="J31:J33">
    <cfRule type="cellIs" dxfId="1185" priority="165" operator="lessThan">
      <formula>98</formula>
    </cfRule>
  </conditionalFormatting>
  <conditionalFormatting sqref="J62">
    <cfRule type="cellIs" dxfId="1184" priority="118" stopIfTrue="1" operator="lessThanOrEqual">
      <formula>0</formula>
    </cfRule>
    <cfRule type="cellIs" dxfId="1183" priority="119" stopIfTrue="1" operator="greaterThan">
      <formula>#REF!</formula>
    </cfRule>
    <cfRule type="cellIs" dxfId="1182" priority="120" stopIfTrue="1" operator="lessThanOrEqual">
      <formula>0</formula>
    </cfRule>
    <cfRule type="cellIs" dxfId="1181" priority="115" stopIfTrue="1" operator="greaterThan">
      <formula>#REF!</formula>
    </cfRule>
    <cfRule type="cellIs" dxfId="1180" priority="116" stopIfTrue="1" operator="lessThanOrEqual">
      <formula>0</formula>
    </cfRule>
    <cfRule type="cellIs" dxfId="1179" priority="117" stopIfTrue="1" operator="greaterThan">
      <formula>#REF!</formula>
    </cfRule>
    <cfRule type="cellIs" dxfId="1178" priority="121" stopIfTrue="1" operator="greaterThan">
      <formula>#REF!</formula>
    </cfRule>
    <cfRule type="cellIs" dxfId="1177" priority="122" stopIfTrue="1" operator="lessThanOrEqual">
      <formula>0</formula>
    </cfRule>
  </conditionalFormatting>
  <conditionalFormatting sqref="J75">
    <cfRule type="cellIs" dxfId="1176" priority="55" stopIfTrue="1" operator="lessThanOrEqual">
      <formula>0</formula>
    </cfRule>
    <cfRule type="cellIs" dxfId="1175" priority="54" stopIfTrue="1" operator="greaterThan">
      <formula>$F75</formula>
    </cfRule>
  </conditionalFormatting>
  <conditionalFormatting sqref="K10:K21">
    <cfRule type="cellIs" dxfId="1174" priority="15" operator="greaterThan">
      <formula>6.4</formula>
    </cfRule>
    <cfRule type="cellIs" dxfId="1173" priority="14" operator="lessThan">
      <formula>4</formula>
    </cfRule>
    <cfRule type="cellIs" dxfId="1172" priority="13" operator="greaterThan">
      <formula>6</formula>
    </cfRule>
  </conditionalFormatting>
  <conditionalFormatting sqref="K53:K62">
    <cfRule type="cellIs" dxfId="1171" priority="100" stopIfTrue="1" operator="lessThan">
      <formula>100%</formula>
    </cfRule>
  </conditionalFormatting>
  <conditionalFormatting sqref="K66:K74">
    <cfRule type="cellIs" dxfId="1170" priority="44" stopIfTrue="1" operator="lessThan">
      <formula>100%</formula>
    </cfRule>
  </conditionalFormatting>
  <conditionalFormatting sqref="K77:K82">
    <cfRule type="cellIs" dxfId="1169" priority="185" stopIfTrue="1" operator="lessThan">
      <formula>100%</formula>
    </cfRule>
  </conditionalFormatting>
  <conditionalFormatting sqref="K84:K85">
    <cfRule type="cellIs" dxfId="1168" priority="192" stopIfTrue="1" operator="lessThan">
      <formula>100%</formula>
    </cfRule>
  </conditionalFormatting>
  <conditionalFormatting sqref="L10:L21">
    <cfRule type="cellIs" dxfId="1167" priority="16" operator="between">
      <formula>61</formula>
      <formula>65</formula>
    </cfRule>
    <cfRule type="cellIs" dxfId="1166" priority="17" operator="greaterThan">
      <formula>65</formula>
    </cfRule>
  </conditionalFormatting>
  <conditionalFormatting sqref="L24:M35">
    <cfRule type="cellIs" dxfId="1165" priority="25" operator="lessThan">
      <formula>97.95</formula>
    </cfRule>
  </conditionalFormatting>
  <conditionalFormatting sqref="L39:N39">
    <cfRule type="cellIs" dxfId="1164" priority="23" operator="notEqual">
      <formula>#REF!</formula>
    </cfRule>
  </conditionalFormatting>
  <conditionalFormatting sqref="L66:N75">
    <cfRule type="cellIs" dxfId="1163" priority="41" stopIfTrue="1" operator="lessThan">
      <formula>100%</formula>
    </cfRule>
  </conditionalFormatting>
  <conditionalFormatting sqref="L77:N85">
    <cfRule type="cellIs" dxfId="1162" priority="170" stopIfTrue="1" operator="lessThan">
      <formula>100%</formula>
    </cfRule>
  </conditionalFormatting>
  <conditionalFormatting sqref="M21">
    <cfRule type="expression" dxfId="1161" priority="20">
      <formula>IF(+(IF(M21&lt;U21,0,IF(M21&gt;V21,0,1)))=0,1)</formula>
    </cfRule>
  </conditionalFormatting>
  <conditionalFormatting sqref="M10:N20 H10:H21 G18:G20">
    <cfRule type="expression" dxfId="1160" priority="22">
      <formula>IF(+(IF(G10&lt;#REF!,0,IF(G10&gt;#REF!,0,1)))=0,1)</formula>
    </cfRule>
  </conditionalFormatting>
  <conditionalFormatting sqref="N10:N21">
    <cfRule type="expression" dxfId="1159" priority="24">
      <formula>IF(+(IF(N10&lt;W10,0,IF(N10&gt;X10,0,1)))=0,1)</formula>
    </cfRule>
  </conditionalFormatting>
  <conditionalFormatting sqref="P6">
    <cfRule type="cellIs" dxfId="1158" priority="166" operator="greaterThanOrEqual">
      <formula>19</formula>
    </cfRule>
  </conditionalFormatting>
  <dataValidations disablePrompts="1" count="1">
    <dataValidation type="list" allowBlank="1" showInputMessage="1" showErrorMessage="1" sqref="R8" xr:uid="{955879FF-085C-4EB4-849C-1AD8A548D2FB}">
      <formula1>ProductList</formula1>
    </dataValidation>
  </dataValidations>
  <pageMargins left="0.7" right="0.7" top="0.75" bottom="0.75" header="0.3" footer="0.3"/>
  <pageSetup scale="40" fitToWidth="0" orientation="landscape" r:id="rId1"/>
  <rowBreaks count="1" manualBreakCount="1">
    <brk id="79" max="16383" man="1"/>
  </rowBreaks>
  <colBreaks count="1" manualBreakCount="1">
    <brk id="15" max="89" man="1"/>
  </colBreaks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99B050-61F2-4270-BC4E-E0511F2336FF}">
  <sheetPr>
    <pageSetUpPr fitToPage="1"/>
  </sheetPr>
  <dimension ref="A1:BE73"/>
  <sheetViews>
    <sheetView topLeftCell="A7" zoomScale="85" zoomScaleNormal="85" workbookViewId="0">
      <selection activeCell="H17" sqref="A17:XFD19"/>
    </sheetView>
  </sheetViews>
  <sheetFormatPr defaultColWidth="9.42578125" defaultRowHeight="14.25"/>
  <cols>
    <col min="1" max="1" width="7.28515625" style="275" customWidth="1"/>
    <col min="2" max="2" width="31.28515625" style="275" customWidth="1"/>
    <col min="3" max="3" width="22.28515625" style="275" customWidth="1"/>
    <col min="4" max="7" width="16.5703125" style="275" customWidth="1"/>
    <col min="8" max="8" width="20.7109375" style="275" customWidth="1"/>
    <col min="9" max="9" width="31.42578125" style="275" customWidth="1"/>
    <col min="10" max="10" width="35.28515625" style="275" customWidth="1"/>
    <col min="11" max="11" width="29" style="275" customWidth="1"/>
    <col min="12" max="12" width="17.28515625" style="275" bestFit="1" customWidth="1"/>
    <col min="13" max="13" width="23.28515625" style="275" customWidth="1"/>
    <col min="14" max="14" width="13.7109375" style="275" bestFit="1" customWidth="1"/>
    <col min="15" max="15" width="17.5703125" style="275" customWidth="1"/>
    <col min="16" max="16" width="109.28515625" style="6" customWidth="1"/>
    <col min="17" max="17" width="16.5703125" style="275" customWidth="1"/>
    <col min="18" max="18" width="15.7109375" style="275" bestFit="1" customWidth="1"/>
    <col min="19" max="19" width="12.42578125" style="275" customWidth="1"/>
    <col min="20" max="20" width="15" style="275" customWidth="1"/>
    <col min="21" max="21" width="12" style="275" customWidth="1"/>
    <col min="22" max="22" width="10.42578125" style="275" customWidth="1"/>
    <col min="23" max="23" width="11.42578125" style="275" customWidth="1"/>
    <col min="24" max="24" width="10.42578125" style="275" customWidth="1"/>
    <col min="25" max="25" width="8.42578125" style="275" customWidth="1"/>
    <col min="26" max="26" width="9.5703125" style="275" customWidth="1"/>
    <col min="27" max="27" width="8.42578125" style="275" customWidth="1"/>
    <col min="28" max="29" width="7.5703125" style="275" customWidth="1"/>
    <col min="30" max="51" width="9.42578125" style="275"/>
    <col min="52" max="52" width="1.5703125" style="275" customWidth="1"/>
    <col min="53" max="54" width="9.42578125" style="275"/>
    <col min="55" max="56" width="15.42578125" style="275" customWidth="1"/>
    <col min="57" max="16384" width="9.42578125" style="275"/>
  </cols>
  <sheetData>
    <row r="1" spans="2:29" ht="1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R1" s="467"/>
      <c r="S1" s="553" t="s">
        <v>0</v>
      </c>
      <c r="T1" s="553"/>
      <c r="U1" s="553" t="s">
        <v>1</v>
      </c>
      <c r="V1" s="553"/>
      <c r="W1" s="553" t="s">
        <v>2</v>
      </c>
      <c r="X1" s="553"/>
      <c r="Y1" s="553" t="s">
        <v>124</v>
      </c>
      <c r="Z1" s="553"/>
    </row>
    <row r="2" spans="2:29" ht="15">
      <c r="B2" s="554" t="s">
        <v>3</v>
      </c>
      <c r="C2" s="554"/>
      <c r="D2" s="554"/>
      <c r="E2" s="554"/>
      <c r="F2" s="554"/>
      <c r="G2" s="554"/>
      <c r="H2" s="554"/>
      <c r="I2" s="554"/>
      <c r="J2" s="554"/>
      <c r="K2" s="554"/>
      <c r="L2" s="554"/>
      <c r="M2" s="554"/>
      <c r="N2" s="554"/>
      <c r="O2" s="554"/>
      <c r="P2" s="4"/>
      <c r="R2" s="467"/>
      <c r="S2" s="467" t="s">
        <v>4</v>
      </c>
      <c r="T2" s="467" t="s">
        <v>5</v>
      </c>
      <c r="U2" s="467" t="s">
        <v>4</v>
      </c>
      <c r="V2" s="467" t="s">
        <v>5</v>
      </c>
      <c r="W2" s="467" t="s">
        <v>4</v>
      </c>
      <c r="X2" s="467" t="s">
        <v>5</v>
      </c>
      <c r="Y2" s="467" t="s">
        <v>4</v>
      </c>
      <c r="Z2" s="467" t="s">
        <v>5</v>
      </c>
    </row>
    <row r="3" spans="2:29" ht="14.25" customHeight="1">
      <c r="B3" s="5"/>
      <c r="R3" s="467" t="s">
        <v>6</v>
      </c>
      <c r="S3" s="468">
        <v>11.6</v>
      </c>
      <c r="T3" s="469">
        <v>12</v>
      </c>
      <c r="U3" s="9">
        <v>0</v>
      </c>
      <c r="V3" s="10">
        <v>0.118055555555556</v>
      </c>
      <c r="W3" s="10">
        <v>0.22569444444444445</v>
      </c>
      <c r="X3" s="10">
        <v>0.2638888888888889</v>
      </c>
      <c r="Y3" s="470">
        <v>0</v>
      </c>
      <c r="Z3" s="468">
        <v>60</v>
      </c>
      <c r="AB3" s="275" t="s">
        <v>135</v>
      </c>
    </row>
    <row r="4" spans="2:29" ht="30.75" customHeight="1">
      <c r="B4" s="301" t="s">
        <v>133</v>
      </c>
      <c r="C4" s="419">
        <v>46288</v>
      </c>
      <c r="J4" s="398" t="s">
        <v>153</v>
      </c>
      <c r="K4" s="398"/>
      <c r="L4" s="11"/>
      <c r="M4" s="555" t="s">
        <v>8</v>
      </c>
      <c r="N4" s="556"/>
      <c r="P4" s="12"/>
      <c r="R4" s="467" t="s">
        <v>9</v>
      </c>
      <c r="S4" s="468">
        <v>11.6</v>
      </c>
      <c r="T4" s="469">
        <v>12</v>
      </c>
      <c r="U4" s="9">
        <v>0</v>
      </c>
      <c r="V4" s="10">
        <v>0.118055555555556</v>
      </c>
      <c r="W4" s="10">
        <v>0.22569444444444445</v>
      </c>
      <c r="X4" s="10">
        <v>0.2638888888888889</v>
      </c>
      <c r="Y4" s="470">
        <v>0</v>
      </c>
      <c r="Z4" s="468">
        <v>60</v>
      </c>
      <c r="AA4" s="13"/>
      <c r="AB4" s="13"/>
      <c r="AC4" s="13"/>
    </row>
    <row r="5" spans="2:29" ht="12.75" customHeight="1" thickBot="1">
      <c r="B5" s="1"/>
      <c r="C5" s="549"/>
      <c r="D5" s="549"/>
      <c r="J5" s="403"/>
      <c r="K5" s="403"/>
      <c r="L5" s="11"/>
      <c r="M5" s="14" t="s">
        <v>10</v>
      </c>
      <c r="N5" s="14" t="s">
        <v>11</v>
      </c>
      <c r="P5" s="12"/>
      <c r="R5" s="467" t="s">
        <v>12</v>
      </c>
      <c r="S5" s="468">
        <v>17</v>
      </c>
      <c r="T5" s="469">
        <v>17.5</v>
      </c>
      <c r="U5" s="9">
        <v>0</v>
      </c>
      <c r="V5" s="10">
        <v>0.1076388888888889</v>
      </c>
      <c r="W5" s="10">
        <v>0.24652777777777779</v>
      </c>
      <c r="X5" s="10">
        <v>0.28472222222222221</v>
      </c>
      <c r="Y5" s="470">
        <v>0</v>
      </c>
      <c r="Z5" s="471">
        <v>60</v>
      </c>
      <c r="AA5" s="13"/>
      <c r="AB5" s="13"/>
      <c r="AC5" s="13"/>
    </row>
    <row r="6" spans="2:29" ht="14.25" customHeight="1">
      <c r="B6" s="15"/>
      <c r="C6" s="1"/>
      <c r="D6" s="1"/>
      <c r="J6" s="399" t="s">
        <v>168</v>
      </c>
      <c r="K6" s="400"/>
      <c r="L6" s="311" t="s">
        <v>14</v>
      </c>
      <c r="M6" s="340"/>
      <c r="N6" s="340"/>
      <c r="P6" s="16"/>
      <c r="R6" s="467" t="s">
        <v>15</v>
      </c>
      <c r="S6" s="468">
        <v>13.3</v>
      </c>
      <c r="T6" s="469">
        <v>13.5</v>
      </c>
      <c r="U6" s="9">
        <v>0</v>
      </c>
      <c r="V6" s="9">
        <v>0.12905092592592593</v>
      </c>
      <c r="W6" s="10">
        <v>0.27430555555555552</v>
      </c>
      <c r="X6" s="10">
        <v>0.30208333333333331</v>
      </c>
      <c r="Y6" s="470">
        <v>0</v>
      </c>
      <c r="Z6" s="471"/>
      <c r="AA6" s="13"/>
      <c r="AB6" s="13"/>
      <c r="AC6" s="13"/>
    </row>
    <row r="7" spans="2:29" ht="13.35" customHeight="1" thickBot="1">
      <c r="J7" s="401"/>
      <c r="K7" s="402"/>
      <c r="R7" s="467" t="s">
        <v>16</v>
      </c>
      <c r="S7" s="468">
        <v>17</v>
      </c>
      <c r="T7" s="469">
        <v>17.399999999999999</v>
      </c>
      <c r="U7" s="9">
        <v>0</v>
      </c>
      <c r="V7" s="9">
        <v>0.13605324074074074</v>
      </c>
      <c r="W7" s="10">
        <v>0.27430555555555552</v>
      </c>
      <c r="X7" s="10">
        <v>0.30902777777777779</v>
      </c>
      <c r="Y7" s="470">
        <v>0</v>
      </c>
      <c r="Z7" s="471">
        <v>85</v>
      </c>
      <c r="AA7" s="13"/>
      <c r="AB7" s="13"/>
      <c r="AC7" s="13"/>
    </row>
    <row r="8" spans="2:29" ht="25.5" customHeight="1">
      <c r="B8" s="507" t="s">
        <v>17</v>
      </c>
      <c r="C8" s="516" t="s">
        <v>18</v>
      </c>
      <c r="D8" s="516" t="s">
        <v>19</v>
      </c>
      <c r="E8" s="356" t="s">
        <v>20</v>
      </c>
      <c r="F8" s="356" t="s">
        <v>21</v>
      </c>
      <c r="G8" s="516" t="s">
        <v>22</v>
      </c>
      <c r="H8" s="551" t="s">
        <v>144</v>
      </c>
      <c r="I8" s="516" t="s">
        <v>167</v>
      </c>
      <c r="J8" s="542" t="s">
        <v>23</v>
      </c>
      <c r="K8" s="544" t="s">
        <v>142</v>
      </c>
      <c r="L8" s="546" t="s">
        <v>24</v>
      </c>
      <c r="M8" s="359" t="s">
        <v>25</v>
      </c>
      <c r="N8" s="17" t="s">
        <v>166</v>
      </c>
      <c r="O8" s="516" t="s">
        <v>155</v>
      </c>
      <c r="P8" s="548"/>
      <c r="R8" s="467" t="s">
        <v>125</v>
      </c>
      <c r="S8" s="468">
        <v>16.600000000000001</v>
      </c>
      <c r="T8" s="469">
        <v>17</v>
      </c>
      <c r="U8" s="9">
        <v>0</v>
      </c>
      <c r="V8" s="9">
        <v>0.12905092592592593</v>
      </c>
      <c r="W8" s="10">
        <v>0.27430555555555552</v>
      </c>
      <c r="X8" s="10">
        <v>0.30208333333333331</v>
      </c>
      <c r="Y8" s="470">
        <v>0</v>
      </c>
      <c r="Z8" s="471"/>
    </row>
    <row r="9" spans="2:29" ht="36" customHeight="1">
      <c r="B9" s="550"/>
      <c r="C9" s="541"/>
      <c r="D9" s="541"/>
      <c r="E9" s="357" t="s">
        <v>30</v>
      </c>
      <c r="F9" s="357" t="s">
        <v>31</v>
      </c>
      <c r="G9" s="541"/>
      <c r="H9" s="552"/>
      <c r="I9" s="541"/>
      <c r="J9" s="543"/>
      <c r="K9" s="545"/>
      <c r="L9" s="547"/>
      <c r="M9" s="20" t="s">
        <v>32</v>
      </c>
      <c r="N9" s="21" t="s">
        <v>41</v>
      </c>
      <c r="O9" s="541"/>
      <c r="P9" s="541"/>
      <c r="R9" s="467" t="s">
        <v>33</v>
      </c>
      <c r="S9" s="468">
        <v>14.2</v>
      </c>
      <c r="T9" s="469">
        <v>14.6</v>
      </c>
      <c r="U9" s="9">
        <v>0</v>
      </c>
      <c r="V9" s="9">
        <v>0.13905092592592591</v>
      </c>
      <c r="W9" s="10">
        <v>0.26041666666666669</v>
      </c>
      <c r="X9" s="10">
        <v>0.2951388888888889</v>
      </c>
      <c r="Y9" s="470">
        <v>0</v>
      </c>
      <c r="Z9" s="471">
        <v>75</v>
      </c>
    </row>
    <row r="10" spans="2:29" ht="15" customHeight="1">
      <c r="B10" s="29" t="s">
        <v>6</v>
      </c>
      <c r="C10" s="366" t="str">
        <f>[4]Brewhouse!$A764</f>
        <v>CA715</v>
      </c>
      <c r="D10" s="279">
        <f>[4]Brewhouse!$AF764</f>
        <v>49.1</v>
      </c>
      <c r="E10" s="279">
        <f>[4]Brewhouse!$AI764</f>
        <v>49.4</v>
      </c>
      <c r="F10" s="278">
        <f>[4]Brewhouse!$V764</f>
        <v>60</v>
      </c>
      <c r="G10" s="279">
        <f>[4]Brewhouse!AG764</f>
        <v>11.8</v>
      </c>
      <c r="H10" s="396">
        <v>11.8</v>
      </c>
      <c r="I10" s="368">
        <f>[4]Brewhouse!$AU764</f>
        <v>96.785999739603284</v>
      </c>
      <c r="J10" s="368">
        <f>[4]Brewhouse!$AV764</f>
        <v>97.875405153209854</v>
      </c>
      <c r="K10" s="281">
        <f>[4]Brewhouse!$Q764</f>
        <v>12.05175600739372</v>
      </c>
      <c r="L10" s="276">
        <f>[4]Brewhouse!$P764</f>
        <v>60</v>
      </c>
      <c r="M10" s="374">
        <f>[4]Brewhouse!$U764-[4]Brewhouse!$T764</f>
        <v>0.12222222222222223</v>
      </c>
      <c r="N10" s="370">
        <f>[4]Brewhouse!$Z764</f>
        <v>0.2583333333333333</v>
      </c>
      <c r="O10" s="420" t="str">
        <f>[4]Brewhouse!$AX764</f>
        <v>K. Benjamin</v>
      </c>
      <c r="P10" s="418"/>
      <c r="R10" s="277" t="str">
        <f t="shared" ref="R10:R33" si="0">B10</f>
        <v>CARIB</v>
      </c>
      <c r="S10" s="472">
        <f t="shared" ref="S10:S33" si="1">VLOOKUP($B10,$R$3:$X$9,2,FALSE)</f>
        <v>11.6</v>
      </c>
      <c r="T10" s="472">
        <f t="shared" ref="T10:T33" si="2">VLOOKUP($B10,$R$3:$X$9,3,FALSE)</f>
        <v>12</v>
      </c>
      <c r="U10" s="297">
        <f t="shared" ref="U10:U33" si="3">VLOOKUP($B10,$R$3:$X$9,4,FALSE)</f>
        <v>0</v>
      </c>
      <c r="V10" s="297">
        <f t="shared" ref="V10:V33" si="4">VLOOKUP($B10,$R$3:$X$9,5,FALSE)</f>
        <v>0.118055555555556</v>
      </c>
      <c r="W10" s="297">
        <f t="shared" ref="W10:W33" si="5">VLOOKUP($B10,$R$3:$X$9,6,FALSE)</f>
        <v>0.22569444444444445</v>
      </c>
      <c r="X10" s="297">
        <f t="shared" ref="X10:X33" si="6">VLOOKUP($B10,$R$3:$X$9,7,FALSE)</f>
        <v>0.2638888888888889</v>
      </c>
      <c r="Y10" s="297">
        <f t="shared" ref="Y10:Y33" si="7">VLOOKUP($B10,$R$3:$Z$9,8,FALSE)</f>
        <v>0</v>
      </c>
      <c r="Z10" s="472">
        <f t="shared" ref="Z10:Z33" si="8">VLOOKUP($B10,$R$3:$Z$9,9,FALSE)</f>
        <v>60</v>
      </c>
    </row>
    <row r="11" spans="2:29" ht="15" customHeight="1">
      <c r="B11" s="29" t="s">
        <v>6</v>
      </c>
      <c r="C11" s="366" t="str">
        <f>[4]Brewhouse!$A765</f>
        <v>CA716</v>
      </c>
      <c r="D11" s="279">
        <f>[4]Brewhouse!$AF765</f>
        <v>49.5</v>
      </c>
      <c r="E11" s="279">
        <f>[4]Brewhouse!$AI765</f>
        <v>50.2</v>
      </c>
      <c r="F11" s="278">
        <f>[4]Brewhouse!$V765</f>
        <v>59</v>
      </c>
      <c r="G11" s="279">
        <f>[4]Brewhouse!AG765</f>
        <v>12</v>
      </c>
      <c r="H11" s="396">
        <v>12</v>
      </c>
      <c r="I11" s="368">
        <f>[4]Brewhouse!$AU765</f>
        <v>99.364558642314563</v>
      </c>
      <c r="J11" s="368">
        <f>[4]Brewhouse!$AV765</f>
        <v>100.48342940736923</v>
      </c>
      <c r="K11" s="281">
        <f>[4]Brewhouse!$Q765</f>
        <v>11.312384473197778</v>
      </c>
      <c r="L11" s="276">
        <f>[4]Brewhouse!$P765</f>
        <v>61</v>
      </c>
      <c r="M11" s="374">
        <f>[4]Brewhouse!$U765-[4]Brewhouse!$T765</f>
        <v>0.1069444444444444</v>
      </c>
      <c r="N11" s="370">
        <f>[4]Brewhouse!$Z765</f>
        <v>0.2451388888888888</v>
      </c>
      <c r="O11" s="420" t="str">
        <f>[4]Brewhouse!$AX765</f>
        <v>R. Regis</v>
      </c>
      <c r="P11" s="418"/>
      <c r="R11" s="277" t="str">
        <f t="shared" si="0"/>
        <v>CARIB</v>
      </c>
      <c r="S11" s="472">
        <f t="shared" si="1"/>
        <v>11.6</v>
      </c>
      <c r="T11" s="472">
        <f t="shared" si="2"/>
        <v>12</v>
      </c>
      <c r="U11" s="297">
        <f t="shared" si="3"/>
        <v>0</v>
      </c>
      <c r="V11" s="297">
        <f t="shared" si="4"/>
        <v>0.118055555555556</v>
      </c>
      <c r="W11" s="297">
        <f t="shared" si="5"/>
        <v>0.22569444444444445</v>
      </c>
      <c r="X11" s="297">
        <f t="shared" si="6"/>
        <v>0.2638888888888889</v>
      </c>
      <c r="Y11" s="297">
        <f t="shared" si="7"/>
        <v>0</v>
      </c>
      <c r="Z11" s="472">
        <f t="shared" si="8"/>
        <v>60</v>
      </c>
    </row>
    <row r="12" spans="2:29" ht="15" customHeight="1">
      <c r="B12" s="29" t="s">
        <v>6</v>
      </c>
      <c r="C12" s="366" t="str">
        <f>[4]Brewhouse!$A766</f>
        <v>CA717</v>
      </c>
      <c r="D12" s="279">
        <f>[4]Brewhouse!$AF766</f>
        <v>49.5</v>
      </c>
      <c r="E12" s="279">
        <f>[4]Brewhouse!$AI766</f>
        <v>49.9</v>
      </c>
      <c r="F12" s="278">
        <f>[4]Brewhouse!$V766</f>
        <v>59</v>
      </c>
      <c r="G12" s="279">
        <f>[4]Brewhouse!AG766</f>
        <v>11.9</v>
      </c>
      <c r="H12" s="396">
        <v>11.9</v>
      </c>
      <c r="I12" s="368">
        <f>[4]Brewhouse!$AU766</f>
        <v>98.321101532359165</v>
      </c>
      <c r="J12" s="368">
        <f>[4]Brewhouse!$AV766</f>
        <v>98.886025614777864</v>
      </c>
      <c r="K12" s="281">
        <f>[4]Brewhouse!$Q766</f>
        <v>10.573012939001845</v>
      </c>
      <c r="L12" s="276">
        <f>[4]Brewhouse!$P766</f>
        <v>60</v>
      </c>
      <c r="M12" s="374">
        <f>[4]Brewhouse!$U766-[4]Brewhouse!$T766</f>
        <v>0.11111111111111116</v>
      </c>
      <c r="N12" s="370">
        <f>[4]Brewhouse!$Z766</f>
        <v>0.25347222222222221</v>
      </c>
      <c r="O12" s="420" t="str">
        <f>[4]Brewhouse!$AX766</f>
        <v>R. Regis</v>
      </c>
      <c r="P12" s="418"/>
      <c r="R12" s="277" t="str">
        <f t="shared" si="0"/>
        <v>CARIB</v>
      </c>
      <c r="S12" s="472">
        <f t="shared" si="1"/>
        <v>11.6</v>
      </c>
      <c r="T12" s="472">
        <f t="shared" si="2"/>
        <v>12</v>
      </c>
      <c r="U12" s="297">
        <f t="shared" si="3"/>
        <v>0</v>
      </c>
      <c r="V12" s="297">
        <f t="shared" si="4"/>
        <v>0.118055555555556</v>
      </c>
      <c r="W12" s="297">
        <f t="shared" si="5"/>
        <v>0.22569444444444445</v>
      </c>
      <c r="X12" s="297">
        <f t="shared" si="6"/>
        <v>0.2638888888888889</v>
      </c>
      <c r="Y12" s="297">
        <f t="shared" si="7"/>
        <v>0</v>
      </c>
      <c r="Z12" s="472">
        <f t="shared" si="8"/>
        <v>60</v>
      </c>
    </row>
    <row r="13" spans="2:29" ht="15" customHeight="1">
      <c r="B13" s="29" t="s">
        <v>6</v>
      </c>
      <c r="C13" s="366" t="str">
        <f>[4]Brewhouse!$A767</f>
        <v>CA718</v>
      </c>
      <c r="D13" s="279">
        <f>[4]Brewhouse!$AF767</f>
        <v>50.6</v>
      </c>
      <c r="E13" s="279">
        <f>[4]Brewhouse!$AI767</f>
        <v>50.2</v>
      </c>
      <c r="F13" s="278">
        <f>[4]Brewhouse!$V767</f>
        <v>59</v>
      </c>
      <c r="G13" s="279">
        <f>[4]Brewhouse!AG767</f>
        <v>11.9</v>
      </c>
      <c r="H13" s="367"/>
      <c r="I13" s="368">
        <f>[4]Brewhouse!$AU767</f>
        <v>98.372755741557143</v>
      </c>
      <c r="J13" s="368">
        <f>[4]Brewhouse!$AV767</f>
        <v>99.480530778794559</v>
      </c>
      <c r="K13" s="281">
        <f>[4]Brewhouse!$Q767</f>
        <v>10.757855822550832</v>
      </c>
      <c r="L13" s="276">
        <f>[4]Brewhouse!$P767</f>
        <v>60</v>
      </c>
      <c r="M13" s="374">
        <f>[4]Brewhouse!$U767-[4]Brewhouse!$T767</f>
        <v>0.11180555555555549</v>
      </c>
      <c r="N13" s="370">
        <f>[4]Brewhouse!$Z767</f>
        <v>0.24444444444444435</v>
      </c>
      <c r="O13" s="420" t="str">
        <f>[4]Brewhouse!$AX767</f>
        <v>R. Regis</v>
      </c>
      <c r="P13" s="418"/>
      <c r="R13" s="277" t="str">
        <f t="shared" si="0"/>
        <v>CARIB</v>
      </c>
      <c r="S13" s="472">
        <f t="shared" si="1"/>
        <v>11.6</v>
      </c>
      <c r="T13" s="472">
        <f t="shared" si="2"/>
        <v>12</v>
      </c>
      <c r="U13" s="297">
        <f t="shared" si="3"/>
        <v>0</v>
      </c>
      <c r="V13" s="297">
        <f t="shared" si="4"/>
        <v>0.118055555555556</v>
      </c>
      <c r="W13" s="297">
        <f t="shared" si="5"/>
        <v>0.22569444444444445</v>
      </c>
      <c r="X13" s="297">
        <f t="shared" si="6"/>
        <v>0.2638888888888889</v>
      </c>
      <c r="Y13" s="297">
        <f t="shared" si="7"/>
        <v>0</v>
      </c>
      <c r="Z13" s="472">
        <f t="shared" si="8"/>
        <v>60</v>
      </c>
    </row>
    <row r="14" spans="2:29" ht="15" customHeight="1">
      <c r="B14" s="29" t="s">
        <v>6</v>
      </c>
      <c r="C14" s="366" t="str">
        <f>[4]Brewhouse!$A768</f>
        <v>CA719</v>
      </c>
      <c r="D14" s="279">
        <f>[4]Brewhouse!$AF768</f>
        <v>50.8</v>
      </c>
      <c r="E14" s="279">
        <f>[4]Brewhouse!$AI768</f>
        <v>51.2</v>
      </c>
      <c r="F14" s="278">
        <f>[4]Brewhouse!$V768</f>
        <v>55</v>
      </c>
      <c r="G14" s="279">
        <f>[4]Brewhouse!AG768</f>
        <v>11.9</v>
      </c>
      <c r="H14" s="396">
        <v>11.9</v>
      </c>
      <c r="I14" s="368">
        <f>[4]Brewhouse!$AU768</f>
        <v>99.594791192420629</v>
      </c>
      <c r="J14" s="368">
        <f>[4]Brewhouse!$AV768</f>
        <v>100.71676257090054</v>
      </c>
      <c r="K14" s="281">
        <f>[4]Brewhouse!$Q768</f>
        <v>12.606284658040664</v>
      </c>
      <c r="L14" s="276">
        <f>[4]Brewhouse!$P768</f>
        <v>57</v>
      </c>
      <c r="M14" s="374">
        <f>[4]Brewhouse!$U768-[4]Brewhouse!$T768</f>
        <v>0.1055555555555554</v>
      </c>
      <c r="N14" s="370">
        <f>[4]Brewhouse!$Z768</f>
        <v>0.2763888888888888</v>
      </c>
      <c r="O14" s="420" t="str">
        <f>[4]Brewhouse!$AX768</f>
        <v>R. Sookram</v>
      </c>
      <c r="P14" s="418"/>
      <c r="R14" s="277" t="str">
        <f t="shared" si="0"/>
        <v>CARIB</v>
      </c>
      <c r="S14" s="472">
        <f t="shared" si="1"/>
        <v>11.6</v>
      </c>
      <c r="T14" s="472">
        <f t="shared" si="2"/>
        <v>12</v>
      </c>
      <c r="U14" s="297">
        <f t="shared" si="3"/>
        <v>0</v>
      </c>
      <c r="V14" s="297">
        <f t="shared" si="4"/>
        <v>0.118055555555556</v>
      </c>
      <c r="W14" s="297">
        <f t="shared" si="5"/>
        <v>0.22569444444444445</v>
      </c>
      <c r="X14" s="297">
        <f t="shared" si="6"/>
        <v>0.2638888888888889</v>
      </c>
      <c r="Y14" s="297">
        <f t="shared" si="7"/>
        <v>0</v>
      </c>
      <c r="Z14" s="472">
        <f t="shared" si="8"/>
        <v>60</v>
      </c>
    </row>
    <row r="15" spans="2:29" ht="15" customHeight="1">
      <c r="B15" s="29"/>
      <c r="C15" s="366"/>
      <c r="D15" s="279"/>
      <c r="E15" s="279"/>
      <c r="F15" s="278"/>
      <c r="G15" s="279"/>
      <c r="H15" s="396"/>
      <c r="I15" s="368"/>
      <c r="J15" s="368"/>
      <c r="K15" s="281"/>
      <c r="L15" s="276"/>
      <c r="M15" s="374"/>
      <c r="N15" s="370"/>
      <c r="O15" s="420"/>
      <c r="P15" s="418"/>
      <c r="R15" s="277">
        <f t="shared" si="0"/>
        <v>0</v>
      </c>
      <c r="S15" s="472" t="e">
        <f t="shared" si="1"/>
        <v>#N/A</v>
      </c>
      <c r="T15" s="472" t="e">
        <f t="shared" si="2"/>
        <v>#N/A</v>
      </c>
      <c r="U15" s="297" t="e">
        <f t="shared" si="3"/>
        <v>#N/A</v>
      </c>
      <c r="V15" s="297" t="e">
        <f t="shared" si="4"/>
        <v>#N/A</v>
      </c>
      <c r="W15" s="297" t="e">
        <f t="shared" si="5"/>
        <v>#N/A</v>
      </c>
      <c r="X15" s="297" t="e">
        <f t="shared" si="6"/>
        <v>#N/A</v>
      </c>
      <c r="Y15" s="297" t="e">
        <f t="shared" si="7"/>
        <v>#N/A</v>
      </c>
      <c r="Z15" s="472" t="e">
        <f t="shared" si="8"/>
        <v>#N/A</v>
      </c>
    </row>
    <row r="16" spans="2:29" ht="15" customHeight="1">
      <c r="B16" s="29"/>
      <c r="C16" s="366"/>
      <c r="D16" s="279"/>
      <c r="E16" s="279"/>
      <c r="F16" s="278"/>
      <c r="G16" s="279"/>
      <c r="H16" s="396"/>
      <c r="I16" s="368"/>
      <c r="J16" s="368"/>
      <c r="K16" s="281"/>
      <c r="L16" s="276"/>
      <c r="M16" s="374"/>
      <c r="N16" s="370"/>
      <c r="O16" s="420"/>
      <c r="P16" s="418"/>
      <c r="R16" s="277">
        <f t="shared" si="0"/>
        <v>0</v>
      </c>
      <c r="S16" s="472" t="e">
        <f t="shared" si="1"/>
        <v>#N/A</v>
      </c>
      <c r="T16" s="472" t="e">
        <f t="shared" si="2"/>
        <v>#N/A</v>
      </c>
      <c r="U16" s="297" t="e">
        <f t="shared" si="3"/>
        <v>#N/A</v>
      </c>
      <c r="V16" s="297" t="e">
        <f t="shared" si="4"/>
        <v>#N/A</v>
      </c>
      <c r="W16" s="297" t="e">
        <f t="shared" si="5"/>
        <v>#N/A</v>
      </c>
      <c r="X16" s="297" t="e">
        <f t="shared" si="6"/>
        <v>#N/A</v>
      </c>
      <c r="Y16" s="297" t="e">
        <f t="shared" si="7"/>
        <v>#N/A</v>
      </c>
      <c r="Z16" s="472" t="e">
        <f t="shared" si="8"/>
        <v>#N/A</v>
      </c>
    </row>
    <row r="17" spans="1:27" ht="15" hidden="1" customHeight="1">
      <c r="B17" s="29"/>
      <c r="C17" s="366"/>
      <c r="D17" s="279"/>
      <c r="E17" s="279"/>
      <c r="F17" s="278"/>
      <c r="G17" s="279"/>
      <c r="H17" s="396"/>
      <c r="I17" s="368"/>
      <c r="J17" s="368"/>
      <c r="K17" s="281"/>
      <c r="L17" s="276"/>
      <c r="M17" s="374"/>
      <c r="N17" s="370"/>
      <c r="O17" s="420"/>
      <c r="P17" s="418"/>
      <c r="R17" s="277">
        <f t="shared" si="0"/>
        <v>0</v>
      </c>
      <c r="S17" s="472" t="e">
        <f t="shared" si="1"/>
        <v>#N/A</v>
      </c>
      <c r="T17" s="472" t="e">
        <f t="shared" si="2"/>
        <v>#N/A</v>
      </c>
      <c r="U17" s="297" t="e">
        <f t="shared" si="3"/>
        <v>#N/A</v>
      </c>
      <c r="V17" s="297" t="e">
        <f t="shared" si="4"/>
        <v>#N/A</v>
      </c>
      <c r="W17" s="297" t="e">
        <f t="shared" si="5"/>
        <v>#N/A</v>
      </c>
      <c r="X17" s="297" t="e">
        <f t="shared" si="6"/>
        <v>#N/A</v>
      </c>
      <c r="Y17" s="297" t="e">
        <f t="shared" si="7"/>
        <v>#N/A</v>
      </c>
      <c r="Z17" s="472" t="e">
        <f t="shared" si="8"/>
        <v>#N/A</v>
      </c>
    </row>
    <row r="18" spans="1:27" ht="15" hidden="1" customHeight="1">
      <c r="B18" s="29"/>
      <c r="C18" s="366"/>
      <c r="D18" s="279"/>
      <c r="E18" s="279"/>
      <c r="F18" s="278"/>
      <c r="G18" s="279"/>
      <c r="H18" s="396"/>
      <c r="I18" s="368"/>
      <c r="J18" s="368"/>
      <c r="K18" s="281"/>
      <c r="L18" s="276"/>
      <c r="M18" s="374"/>
      <c r="N18" s="370"/>
      <c r="O18" s="420"/>
      <c r="P18" s="418"/>
      <c r="R18" s="277">
        <f t="shared" si="0"/>
        <v>0</v>
      </c>
      <c r="S18" s="472" t="e">
        <f t="shared" si="1"/>
        <v>#N/A</v>
      </c>
      <c r="T18" s="472" t="e">
        <f t="shared" si="2"/>
        <v>#N/A</v>
      </c>
      <c r="U18" s="297" t="e">
        <f t="shared" si="3"/>
        <v>#N/A</v>
      </c>
      <c r="V18" s="297" t="e">
        <f t="shared" si="4"/>
        <v>#N/A</v>
      </c>
      <c r="W18" s="297" t="e">
        <f t="shared" si="5"/>
        <v>#N/A</v>
      </c>
      <c r="X18" s="297" t="e">
        <f t="shared" si="6"/>
        <v>#N/A</v>
      </c>
      <c r="Y18" s="297" t="e">
        <f t="shared" si="7"/>
        <v>#N/A</v>
      </c>
      <c r="Z18" s="472" t="e">
        <f t="shared" si="8"/>
        <v>#N/A</v>
      </c>
    </row>
    <row r="19" spans="1:27" ht="15" hidden="1" customHeight="1">
      <c r="B19" s="36"/>
      <c r="C19" s="366"/>
      <c r="D19" s="279"/>
      <c r="E19" s="279"/>
      <c r="F19" s="278"/>
      <c r="G19" s="279"/>
      <c r="H19" s="396"/>
      <c r="I19" s="489"/>
      <c r="J19" s="489"/>
      <c r="K19" s="490"/>
      <c r="L19" s="276"/>
      <c r="M19" s="374"/>
      <c r="N19" s="370"/>
      <c r="O19" s="420"/>
      <c r="P19" s="418"/>
      <c r="R19" s="277">
        <f t="shared" si="0"/>
        <v>0</v>
      </c>
      <c r="S19" s="472" t="e">
        <f t="shared" si="1"/>
        <v>#N/A</v>
      </c>
      <c r="T19" s="472" t="e">
        <f t="shared" si="2"/>
        <v>#N/A</v>
      </c>
      <c r="U19" s="297" t="e">
        <f t="shared" si="3"/>
        <v>#N/A</v>
      </c>
      <c r="V19" s="297" t="e">
        <f t="shared" si="4"/>
        <v>#N/A</v>
      </c>
      <c r="W19" s="297" t="e">
        <f t="shared" si="5"/>
        <v>#N/A</v>
      </c>
      <c r="X19" s="297" t="e">
        <f t="shared" si="6"/>
        <v>#N/A</v>
      </c>
      <c r="Y19" s="297" t="e">
        <f t="shared" si="7"/>
        <v>#N/A</v>
      </c>
      <c r="Z19" s="472" t="e">
        <f t="shared" si="8"/>
        <v>#N/A</v>
      </c>
    </row>
    <row r="20" spans="1:27" ht="17.25" customHeight="1" thickBot="1">
      <c r="B20" s="358"/>
      <c r="C20" s="358"/>
      <c r="D20" s="358"/>
      <c r="E20" s="358"/>
      <c r="F20" s="294"/>
      <c r="G20" s="294"/>
      <c r="H20" s="348"/>
      <c r="I20" s="535"/>
      <c r="J20" s="535"/>
      <c r="K20" s="535"/>
      <c r="L20" s="535"/>
      <c r="M20" s="535"/>
      <c r="N20" s="535"/>
      <c r="O20" s="1"/>
      <c r="P20" s="12"/>
      <c r="R20" s="277">
        <f t="shared" si="0"/>
        <v>0</v>
      </c>
      <c r="S20" s="472" t="e">
        <f t="shared" si="1"/>
        <v>#N/A</v>
      </c>
      <c r="T20" s="472" t="e">
        <f t="shared" si="2"/>
        <v>#N/A</v>
      </c>
      <c r="U20" s="297" t="e">
        <f t="shared" si="3"/>
        <v>#N/A</v>
      </c>
      <c r="V20" s="297" t="e">
        <f t="shared" si="4"/>
        <v>#N/A</v>
      </c>
      <c r="W20" s="297" t="e">
        <f t="shared" si="5"/>
        <v>#N/A</v>
      </c>
      <c r="X20" s="297" t="e">
        <f t="shared" si="6"/>
        <v>#N/A</v>
      </c>
      <c r="Y20" s="297" t="e">
        <f t="shared" si="7"/>
        <v>#N/A</v>
      </c>
      <c r="Z20" s="472" t="e">
        <f t="shared" si="8"/>
        <v>#N/A</v>
      </c>
    </row>
    <row r="21" spans="1:27" ht="17.25" customHeight="1" thickBot="1">
      <c r="B21" s="483" t="s">
        <v>162</v>
      </c>
      <c r="C21" s="388"/>
      <c r="D21" s="536" t="s">
        <v>35</v>
      </c>
      <c r="E21" s="537"/>
      <c r="F21" s="294"/>
      <c r="G21" s="294"/>
      <c r="H21" s="348"/>
      <c r="I21" s="24" t="s">
        <v>17</v>
      </c>
      <c r="J21" s="25"/>
      <c r="K21" s="26" t="s">
        <v>138</v>
      </c>
      <c r="L21" s="25" t="s">
        <v>37</v>
      </c>
      <c r="M21" s="25" t="s">
        <v>38</v>
      </c>
      <c r="N21" s="27" t="s">
        <v>39</v>
      </c>
      <c r="O21" s="294"/>
      <c r="P21" s="12"/>
      <c r="R21" s="277" t="str">
        <f t="shared" si="0"/>
        <v xml:space="preserve">BRAND </v>
      </c>
      <c r="S21" s="472" t="e">
        <f t="shared" si="1"/>
        <v>#N/A</v>
      </c>
      <c r="T21" s="472" t="e">
        <f t="shared" si="2"/>
        <v>#N/A</v>
      </c>
      <c r="U21" s="297" t="e">
        <f t="shared" si="3"/>
        <v>#N/A</v>
      </c>
      <c r="V21" s="297" t="e">
        <f t="shared" si="4"/>
        <v>#N/A</v>
      </c>
      <c r="W21" s="297" t="e">
        <f t="shared" si="5"/>
        <v>#N/A</v>
      </c>
      <c r="X21" s="297" t="e">
        <f t="shared" si="6"/>
        <v>#N/A</v>
      </c>
      <c r="Y21" s="297" t="e">
        <f t="shared" si="7"/>
        <v>#N/A</v>
      </c>
      <c r="Z21" s="472" t="e">
        <f t="shared" si="8"/>
        <v>#N/A</v>
      </c>
    </row>
    <row r="22" spans="1:27" ht="17.25" customHeight="1">
      <c r="A22" s="28"/>
      <c r="B22" s="538"/>
      <c r="C22" s="484"/>
      <c r="D22" s="523"/>
      <c r="E22" s="524"/>
      <c r="F22" s="294"/>
      <c r="G22" s="294"/>
      <c r="H22" s="348"/>
      <c r="I22" s="29" t="s">
        <v>6</v>
      </c>
      <c r="J22" s="323">
        <f>AVERAGE(I10:I14)</f>
        <v>98.487841369650965</v>
      </c>
      <c r="K22" s="284">
        <f>COUNTA([4]Brewhouse!$A$696:$A$768)</f>
        <v>73</v>
      </c>
      <c r="L22" s="305">
        <f>AVERAGE([4]Brewhouse!$AU$696:$AU$768)</f>
        <v>98.644833158325554</v>
      </c>
      <c r="M22" s="305">
        <f>AVERAGE([4]Brewhouse!$AU$42:$AU$123,[4]Brewhouse!$AU$125:$AU$188,[4]Brewhouse!$AU$198:$AU$290,[4]Brewhouse!$AU$292:$AU$370,[4]Brewhouse!$AU$372:$AU$439,[4]Brewhouse!$AU$441:$AU$497,[4]Brewhouse!$AU$499:$AU$519,[4]Brewhouse!$AU$521:$AU$593,[4]Brewhouse!$AU$595:$AU$694,[4]Brewhouse!$AU$696:$AU$768)</f>
        <v>98.32194819413256</v>
      </c>
      <c r="N22" s="30">
        <v>98</v>
      </c>
      <c r="O22" s="11"/>
      <c r="P22" s="31"/>
      <c r="R22" s="277">
        <f t="shared" si="0"/>
        <v>0</v>
      </c>
      <c r="S22" s="472" t="e">
        <f t="shared" si="1"/>
        <v>#N/A</v>
      </c>
      <c r="T22" s="472" t="e">
        <f t="shared" si="2"/>
        <v>#N/A</v>
      </c>
      <c r="U22" s="297" t="e">
        <f t="shared" si="3"/>
        <v>#N/A</v>
      </c>
      <c r="V22" s="297" t="e">
        <f t="shared" si="4"/>
        <v>#N/A</v>
      </c>
      <c r="W22" s="297" t="e">
        <f t="shared" si="5"/>
        <v>#N/A</v>
      </c>
      <c r="X22" s="297" t="e">
        <f t="shared" si="6"/>
        <v>#N/A</v>
      </c>
      <c r="Y22" s="297" t="e">
        <f t="shared" si="7"/>
        <v>#N/A</v>
      </c>
      <c r="Z22" s="472" t="e">
        <f t="shared" si="8"/>
        <v>#N/A</v>
      </c>
    </row>
    <row r="23" spans="1:27" ht="15" customHeight="1">
      <c r="A23" s="28"/>
      <c r="B23" s="539"/>
      <c r="C23" s="362"/>
      <c r="D23" s="525"/>
      <c r="E23" s="526"/>
      <c r="F23" s="294"/>
      <c r="G23" s="294"/>
      <c r="H23" s="348"/>
      <c r="I23" s="33" t="s">
        <v>9</v>
      </c>
      <c r="J23" s="323"/>
      <c r="K23" s="284">
        <f>COUNTA([5]Brewhouse!$A$363:$A$380)</f>
        <v>18</v>
      </c>
      <c r="L23" s="302">
        <f>AVERAGE([5]Brewhouse!$AS$363:$AS$380)</f>
        <v>99.237321929974939</v>
      </c>
      <c r="M23" s="302">
        <f>AVERAGE([5]Brewhouse!$AS$52:$AS$81,[5]Brewhouse!$AS$83:$AS$124,[5]Brewhouse!$AS$134:$AS$177,[5]Brewhouse!$AS$22:$AS$179,[5]Brewhouse!$AS$214:$AS$249,[5]Brewhouse!$AS$252:$AS$293,[5]Brewhouse!$AS$295:$AS$325,[5]Brewhouse!$AS$327:$AS$361,[5]Brewhouse!$AS$363:$AS$380)</f>
        <v>98.280844420420635</v>
      </c>
      <c r="N23" s="30">
        <v>98</v>
      </c>
      <c r="O23" s="11"/>
      <c r="P23" s="31"/>
      <c r="R23" s="277">
        <f t="shared" si="0"/>
        <v>0</v>
      </c>
      <c r="S23" s="472" t="e">
        <f t="shared" si="1"/>
        <v>#N/A</v>
      </c>
      <c r="T23" s="472" t="e">
        <f t="shared" si="2"/>
        <v>#N/A</v>
      </c>
      <c r="U23" s="297" t="e">
        <f t="shared" si="3"/>
        <v>#N/A</v>
      </c>
      <c r="V23" s="297" t="e">
        <f t="shared" si="4"/>
        <v>#N/A</v>
      </c>
      <c r="W23" s="297" t="e">
        <f t="shared" si="5"/>
        <v>#N/A</v>
      </c>
      <c r="X23" s="297" t="e">
        <f t="shared" si="6"/>
        <v>#N/A</v>
      </c>
      <c r="Y23" s="297" t="e">
        <f t="shared" si="7"/>
        <v>#N/A</v>
      </c>
      <c r="Z23" s="472" t="e">
        <f t="shared" si="8"/>
        <v>#N/A</v>
      </c>
    </row>
    <row r="24" spans="1:27" ht="14.65" customHeight="1">
      <c r="A24" s="28"/>
      <c r="B24" s="539"/>
      <c r="C24" s="362"/>
      <c r="D24" s="530"/>
      <c r="E24" s="531"/>
      <c r="F24" s="294"/>
      <c r="G24" s="294"/>
      <c r="H24" s="348"/>
      <c r="I24" s="34" t="s">
        <v>12</v>
      </c>
      <c r="J24" s="323"/>
      <c r="K24" s="284">
        <f>COUNTA([6]Brewhouse!$A$99:$A$106)</f>
        <v>8</v>
      </c>
      <c r="L24" s="302">
        <f>AVERAGE([6]Brewhouse!$AU$99:$AU$106)</f>
        <v>96.462109124412379</v>
      </c>
      <c r="M24" s="302">
        <f>AVERAGE([6]Brewhouse!$AU$16:$AU$23,[6]Brewhouse!$AU$25:$AU$32,[6]Brewhouse!$AU$34:$AU$41,[6]Brewhouse!$AU$43:$AU$60,[6]Brewhouse!$AU$62:$AU$69,[6]Brewhouse!$AU$71:$AU$88,[6]Brewhouse!$AU$90:$AU$97,[6]Brewhouse!$AU$99:$AU$106)</f>
        <v>96.498355980821032</v>
      </c>
      <c r="N24" s="30">
        <v>98</v>
      </c>
      <c r="O24" s="11"/>
      <c r="P24" s="31"/>
      <c r="R24" s="277">
        <f t="shared" si="0"/>
        <v>0</v>
      </c>
      <c r="S24" s="472" t="e">
        <f t="shared" si="1"/>
        <v>#N/A</v>
      </c>
      <c r="T24" s="472" t="e">
        <f t="shared" si="2"/>
        <v>#N/A</v>
      </c>
      <c r="U24" s="297" t="e">
        <f t="shared" si="3"/>
        <v>#N/A</v>
      </c>
      <c r="V24" s="297" t="e">
        <f t="shared" si="4"/>
        <v>#N/A</v>
      </c>
      <c r="W24" s="297" t="e">
        <f t="shared" si="5"/>
        <v>#N/A</v>
      </c>
      <c r="X24" s="297" t="e">
        <f t="shared" si="6"/>
        <v>#N/A</v>
      </c>
      <c r="Y24" s="297" t="e">
        <f t="shared" si="7"/>
        <v>#N/A</v>
      </c>
      <c r="Z24" s="472" t="e">
        <f t="shared" si="8"/>
        <v>#N/A</v>
      </c>
    </row>
    <row r="25" spans="1:27" ht="14.65" customHeight="1">
      <c r="A25" s="28"/>
      <c r="B25" s="539"/>
      <c r="C25" s="362"/>
      <c r="D25" s="532"/>
      <c r="E25" s="526"/>
      <c r="F25" s="294"/>
      <c r="G25" s="294"/>
      <c r="H25" s="348"/>
      <c r="I25" s="22" t="s">
        <v>33</v>
      </c>
      <c r="J25" s="280"/>
      <c r="K25" s="284"/>
      <c r="L25" s="302"/>
      <c r="M25" s="302">
        <f>AVERAGE([7]Brewhouse!$AV$23:$AV$34,[7]Brewhouse!$AV$36,[7]Brewhouse!$AV$38:$AV$52,[7]Brewhouse!$AV$54:$AV$60,[7]Brewhouse!$AV$62:$AV$69,[7]Brewhouse!$AV$71:$AV$78,[7]Brewhouse!$AV$80:$AV$87,[7]Brewhouse!$AV$89:$AV$96)</f>
        <v>97.559547139003357</v>
      </c>
      <c r="N25" s="30">
        <v>98</v>
      </c>
      <c r="O25" s="11"/>
      <c r="P25" s="31"/>
      <c r="R25" s="277">
        <f t="shared" si="0"/>
        <v>0</v>
      </c>
      <c r="S25" s="472" t="e">
        <f t="shared" si="1"/>
        <v>#N/A</v>
      </c>
      <c r="T25" s="472" t="e">
        <f t="shared" si="2"/>
        <v>#N/A</v>
      </c>
      <c r="U25" s="297" t="e">
        <f t="shared" si="3"/>
        <v>#N/A</v>
      </c>
      <c r="V25" s="297" t="e">
        <f t="shared" si="4"/>
        <v>#N/A</v>
      </c>
      <c r="W25" s="297" t="e">
        <f t="shared" si="5"/>
        <v>#N/A</v>
      </c>
      <c r="X25" s="297" t="e">
        <f t="shared" si="6"/>
        <v>#N/A</v>
      </c>
      <c r="Y25" s="297" t="e">
        <f t="shared" si="7"/>
        <v>#N/A</v>
      </c>
      <c r="Z25" s="472" t="e">
        <f t="shared" si="8"/>
        <v>#N/A</v>
      </c>
    </row>
    <row r="26" spans="1:27" ht="14.65" customHeight="1">
      <c r="A26" s="28"/>
      <c r="B26" s="539"/>
      <c r="C26" s="362"/>
      <c r="D26" s="530"/>
      <c r="E26" s="531"/>
      <c r="F26" s="294"/>
      <c r="G26" s="294"/>
      <c r="H26" s="348"/>
      <c r="I26" s="35" t="s">
        <v>29</v>
      </c>
      <c r="J26" s="280"/>
      <c r="K26" s="284"/>
      <c r="L26" s="302"/>
      <c r="M26" s="302"/>
      <c r="N26" s="30">
        <v>98</v>
      </c>
      <c r="O26" s="11"/>
      <c r="P26" s="31"/>
      <c r="R26" s="277">
        <f t="shared" si="0"/>
        <v>0</v>
      </c>
      <c r="S26" s="472" t="e">
        <f t="shared" si="1"/>
        <v>#N/A</v>
      </c>
      <c r="T26" s="472" t="e">
        <f t="shared" si="2"/>
        <v>#N/A</v>
      </c>
      <c r="U26" s="297" t="e">
        <f t="shared" si="3"/>
        <v>#N/A</v>
      </c>
      <c r="V26" s="297" t="e">
        <f t="shared" si="4"/>
        <v>#N/A</v>
      </c>
      <c r="W26" s="297" t="e">
        <f t="shared" si="5"/>
        <v>#N/A</v>
      </c>
      <c r="X26" s="297" t="e">
        <f t="shared" si="6"/>
        <v>#N/A</v>
      </c>
      <c r="Y26" s="297" t="e">
        <f t="shared" si="7"/>
        <v>#N/A</v>
      </c>
      <c r="Z26" s="472" t="e">
        <f t="shared" si="8"/>
        <v>#N/A</v>
      </c>
    </row>
    <row r="27" spans="1:27" ht="14.65" customHeight="1">
      <c r="A27" s="28"/>
      <c r="B27" s="539"/>
      <c r="C27" s="362"/>
      <c r="D27" s="532"/>
      <c r="E27" s="526"/>
      <c r="F27" s="417"/>
      <c r="G27" s="294"/>
      <c r="H27" s="348"/>
      <c r="I27" s="36" t="s">
        <v>15</v>
      </c>
      <c r="J27" s="323"/>
      <c r="K27" s="284">
        <f>COUNTA([8]Brewhouse!$A$23:$A$30)</f>
        <v>8</v>
      </c>
      <c r="L27" s="302">
        <f>AVERAGE([8]Brewhouse!$AT$23:$AT$30)</f>
        <v>96.065914782338609</v>
      </c>
      <c r="M27" s="302">
        <f>AVERAGE([8]Brewhouse!$AT$4:$AT$11,[8]Brewhouse!$AT$13:$AT$16,[8]Brewhouse!$AT$18:$AT$30)</f>
        <v>93.22262799886262</v>
      </c>
      <c r="N27" s="30">
        <v>98</v>
      </c>
      <c r="O27" s="11"/>
      <c r="P27" s="31"/>
      <c r="R27" s="277">
        <f t="shared" si="0"/>
        <v>0</v>
      </c>
      <c r="S27" s="472" t="e">
        <f t="shared" si="1"/>
        <v>#N/A</v>
      </c>
      <c r="T27" s="472" t="e">
        <f t="shared" si="2"/>
        <v>#N/A</v>
      </c>
      <c r="U27" s="297" t="e">
        <f t="shared" si="3"/>
        <v>#N/A</v>
      </c>
      <c r="V27" s="297" t="e">
        <f t="shared" si="4"/>
        <v>#N/A</v>
      </c>
      <c r="W27" s="297" t="e">
        <f t="shared" si="5"/>
        <v>#N/A</v>
      </c>
      <c r="X27" s="297" t="e">
        <f t="shared" si="6"/>
        <v>#N/A</v>
      </c>
      <c r="Y27" s="297" t="e">
        <f t="shared" si="7"/>
        <v>#N/A</v>
      </c>
      <c r="Z27" s="472" t="e">
        <f t="shared" si="8"/>
        <v>#N/A</v>
      </c>
    </row>
    <row r="28" spans="1:27" ht="14.65" customHeight="1">
      <c r="A28" s="28"/>
      <c r="B28" s="539"/>
      <c r="C28" s="362"/>
      <c r="D28" s="530"/>
      <c r="E28" s="531"/>
      <c r="F28" s="417"/>
      <c r="G28" s="294"/>
      <c r="H28" s="348"/>
      <c r="I28" s="37" t="s">
        <v>16</v>
      </c>
      <c r="J28" s="323"/>
      <c r="K28" s="284"/>
      <c r="L28" s="302"/>
      <c r="M28" s="302">
        <f>AVERAGE([3]Brewhouse!$AY$5:$AY$14,[3]Brewhouse!$AY$16:$AY$23,[3]Brewhouse!$AY$42,[3]Brewhouse!$AY$44:$AY$51,[3]Brewhouse!$AY$53:$AY$64,[3]Brewhouse!$AY$66:$AY$73,[3]Brewhouse!$AY$75:$AY$82,[3]Brewhouse!$AY$84:$AY$101)</f>
        <v>97.784660430003186</v>
      </c>
      <c r="N28" s="30">
        <v>98</v>
      </c>
      <c r="O28" s="11"/>
      <c r="P28" s="31" t="s">
        <v>41</v>
      </c>
      <c r="R28" s="277">
        <f t="shared" si="0"/>
        <v>0</v>
      </c>
      <c r="S28" s="472" t="e">
        <f t="shared" si="1"/>
        <v>#N/A</v>
      </c>
      <c r="T28" s="472" t="e">
        <f t="shared" si="2"/>
        <v>#N/A</v>
      </c>
      <c r="U28" s="297" t="e">
        <f t="shared" si="3"/>
        <v>#N/A</v>
      </c>
      <c r="V28" s="297" t="e">
        <f t="shared" si="4"/>
        <v>#N/A</v>
      </c>
      <c r="W28" s="297" t="e">
        <f t="shared" si="5"/>
        <v>#N/A</v>
      </c>
      <c r="X28" s="297" t="e">
        <f t="shared" si="6"/>
        <v>#N/A</v>
      </c>
      <c r="Y28" s="297" t="e">
        <f t="shared" si="7"/>
        <v>#N/A</v>
      </c>
      <c r="Z28" s="472" t="e">
        <f t="shared" si="8"/>
        <v>#N/A</v>
      </c>
    </row>
    <row r="29" spans="1:27" ht="14.65" customHeight="1">
      <c r="A29" s="28"/>
      <c r="B29" s="539"/>
      <c r="C29" s="362"/>
      <c r="D29" s="532"/>
      <c r="E29" s="526"/>
      <c r="F29" s="294"/>
      <c r="G29" s="294"/>
      <c r="H29" s="348"/>
      <c r="I29" s="411" t="s">
        <v>158</v>
      </c>
      <c r="J29" s="326"/>
      <c r="K29" s="284"/>
      <c r="L29" s="305"/>
      <c r="M29" s="305"/>
      <c r="N29" s="30">
        <v>98</v>
      </c>
      <c r="O29" s="11"/>
      <c r="P29" s="31"/>
      <c r="R29" s="277">
        <f t="shared" si="0"/>
        <v>0</v>
      </c>
      <c r="S29" s="472" t="e">
        <f t="shared" si="1"/>
        <v>#N/A</v>
      </c>
      <c r="T29" s="472" t="e">
        <f t="shared" si="2"/>
        <v>#N/A</v>
      </c>
      <c r="U29" s="297" t="e">
        <f t="shared" si="3"/>
        <v>#N/A</v>
      </c>
      <c r="V29" s="297" t="e">
        <f t="shared" si="4"/>
        <v>#N/A</v>
      </c>
      <c r="W29" s="297" t="e">
        <f t="shared" si="5"/>
        <v>#N/A</v>
      </c>
      <c r="X29" s="297" t="e">
        <f t="shared" si="6"/>
        <v>#N/A</v>
      </c>
      <c r="Y29" s="297" t="e">
        <f t="shared" si="7"/>
        <v>#N/A</v>
      </c>
      <c r="Z29" s="472" t="e">
        <f t="shared" si="8"/>
        <v>#N/A</v>
      </c>
    </row>
    <row r="30" spans="1:27" ht="14.65" customHeight="1">
      <c r="A30" s="28"/>
      <c r="B30" s="539"/>
      <c r="C30" s="362"/>
      <c r="D30" s="530"/>
      <c r="E30" s="531"/>
      <c r="F30" s="294"/>
      <c r="G30" s="294"/>
      <c r="H30" s="348"/>
      <c r="I30" s="410" t="s">
        <v>157</v>
      </c>
      <c r="J30" s="326"/>
      <c r="K30" s="284"/>
      <c r="L30" s="305"/>
      <c r="M30" s="305"/>
      <c r="N30" s="30">
        <v>98</v>
      </c>
      <c r="O30" s="11"/>
      <c r="P30" s="31"/>
      <c r="R30" s="277">
        <f t="shared" si="0"/>
        <v>0</v>
      </c>
      <c r="S30" s="472" t="e">
        <f t="shared" si="1"/>
        <v>#N/A</v>
      </c>
      <c r="T30" s="472" t="e">
        <f t="shared" si="2"/>
        <v>#N/A</v>
      </c>
      <c r="U30" s="297" t="e">
        <f t="shared" si="3"/>
        <v>#N/A</v>
      </c>
      <c r="V30" s="297" t="e">
        <f t="shared" si="4"/>
        <v>#N/A</v>
      </c>
      <c r="W30" s="297" t="e">
        <f t="shared" si="5"/>
        <v>#N/A</v>
      </c>
      <c r="X30" s="297" t="e">
        <f t="shared" si="6"/>
        <v>#N/A</v>
      </c>
      <c r="Y30" s="297" t="e">
        <f t="shared" si="7"/>
        <v>#N/A</v>
      </c>
      <c r="Z30" s="472" t="e">
        <f t="shared" si="8"/>
        <v>#N/A</v>
      </c>
      <c r="AA30" s="472"/>
    </row>
    <row r="31" spans="1:27" ht="15" customHeight="1" thickBot="1">
      <c r="A31" s="28"/>
      <c r="B31" s="539"/>
      <c r="C31" s="362"/>
      <c r="D31" s="532"/>
      <c r="E31" s="526"/>
      <c r="F31" s="294"/>
      <c r="G31" s="294"/>
      <c r="H31" s="348"/>
      <c r="I31" s="406" t="s">
        <v>156</v>
      </c>
      <c r="J31" s="327"/>
      <c r="K31" s="407"/>
      <c r="L31" s="408"/>
      <c r="M31" s="408"/>
      <c r="N31" s="409">
        <v>98</v>
      </c>
      <c r="O31" s="11"/>
      <c r="P31" s="31"/>
      <c r="R31" s="277">
        <f t="shared" si="0"/>
        <v>0</v>
      </c>
      <c r="S31" s="472" t="e">
        <f t="shared" si="1"/>
        <v>#N/A</v>
      </c>
      <c r="T31" s="472" t="e">
        <f t="shared" si="2"/>
        <v>#N/A</v>
      </c>
      <c r="U31" s="297" t="e">
        <f t="shared" si="3"/>
        <v>#N/A</v>
      </c>
      <c r="V31" s="297" t="e">
        <f t="shared" si="4"/>
        <v>#N/A</v>
      </c>
      <c r="W31" s="297" t="e">
        <f t="shared" si="5"/>
        <v>#N/A</v>
      </c>
      <c r="X31" s="297" t="e">
        <f t="shared" si="6"/>
        <v>#N/A</v>
      </c>
      <c r="Y31" s="297" t="e">
        <f t="shared" si="7"/>
        <v>#N/A</v>
      </c>
      <c r="Z31" s="472" t="e">
        <f t="shared" si="8"/>
        <v>#N/A</v>
      </c>
      <c r="AA31" s="472"/>
    </row>
    <row r="32" spans="1:27" ht="15" customHeight="1" thickBot="1">
      <c r="A32" s="28"/>
      <c r="B32" s="539"/>
      <c r="C32" s="349"/>
      <c r="D32" s="523"/>
      <c r="E32" s="524"/>
      <c r="F32" s="294"/>
      <c r="G32" s="294"/>
      <c r="H32" s="348"/>
      <c r="I32" s="1"/>
      <c r="J32" s="39"/>
      <c r="K32" s="404">
        <f>SUM(K22:K31)</f>
        <v>107</v>
      </c>
      <c r="L32" s="405">
        <f>((L22*K22)+(L23*K23)+(L24*K24)+(L25*K25)+(L26*K26)+(K29*L29)+(L27*K27)+(L28*K28)+(L31*K31))/(K32)</f>
        <v>98.38849351917122</v>
      </c>
      <c r="M32" s="405">
        <f>AVERAGE('[9]Jan30th-31st'!$L$42,'[10]Feb 27th-28th'!$L$45,'[11]Mar 31st'!$L$42,'[12]Apr 30th'!$L$41,'[13]May 29th '!$L$35,'[14]June 30th'!$L$32,[15]July31st!$L$36,'[16]Aug 31st'!$L$32,L32)</f>
        <v>98.03403893378885</v>
      </c>
      <c r="N32" s="40">
        <v>98</v>
      </c>
      <c r="O32" s="11"/>
      <c r="P32" s="31"/>
      <c r="R32" s="277">
        <f t="shared" si="0"/>
        <v>0</v>
      </c>
      <c r="S32" s="472" t="e">
        <f t="shared" si="1"/>
        <v>#N/A</v>
      </c>
      <c r="T32" s="472" t="e">
        <f t="shared" si="2"/>
        <v>#N/A</v>
      </c>
      <c r="U32" s="297" t="e">
        <f t="shared" si="3"/>
        <v>#N/A</v>
      </c>
      <c r="V32" s="297" t="e">
        <f t="shared" si="4"/>
        <v>#N/A</v>
      </c>
      <c r="W32" s="297" t="e">
        <f t="shared" si="5"/>
        <v>#N/A</v>
      </c>
      <c r="X32" s="297" t="e">
        <f t="shared" si="6"/>
        <v>#N/A</v>
      </c>
      <c r="Y32" s="297" t="e">
        <f t="shared" si="7"/>
        <v>#N/A</v>
      </c>
      <c r="Z32" s="472" t="e">
        <f t="shared" si="8"/>
        <v>#N/A</v>
      </c>
      <c r="AA32" s="472"/>
    </row>
    <row r="33" spans="2:56" ht="15.75" thickBot="1">
      <c r="B33" s="540"/>
      <c r="C33" s="350"/>
      <c r="D33" s="525"/>
      <c r="E33" s="526"/>
      <c r="F33" s="294"/>
      <c r="G33" s="42"/>
      <c r="H33" s="41"/>
      <c r="I33" s="42"/>
      <c r="J33" s="42"/>
      <c r="K33" s="351"/>
      <c r="L33" s="348"/>
      <c r="M33" s="348"/>
      <c r="N33" s="11"/>
      <c r="O33" s="294"/>
      <c r="P33" s="12"/>
      <c r="R33" s="277">
        <f t="shared" si="0"/>
        <v>0</v>
      </c>
      <c r="S33" s="472" t="e">
        <f t="shared" si="1"/>
        <v>#N/A</v>
      </c>
      <c r="T33" s="472" t="e">
        <f t="shared" si="2"/>
        <v>#N/A</v>
      </c>
      <c r="U33" s="297" t="e">
        <f t="shared" si="3"/>
        <v>#N/A</v>
      </c>
      <c r="V33" s="297" t="e">
        <f t="shared" si="4"/>
        <v>#N/A</v>
      </c>
      <c r="W33" s="297" t="e">
        <f t="shared" si="5"/>
        <v>#N/A</v>
      </c>
      <c r="X33" s="297" t="e">
        <f t="shared" si="6"/>
        <v>#N/A</v>
      </c>
      <c r="Y33" s="297" t="e">
        <f t="shared" si="7"/>
        <v>#N/A</v>
      </c>
      <c r="Z33" s="472" t="e">
        <f t="shared" si="8"/>
        <v>#N/A</v>
      </c>
      <c r="AA33" s="472"/>
    </row>
    <row r="34" spans="2:56" ht="15.75" thickBot="1">
      <c r="B34" s="520"/>
      <c r="C34" s="362"/>
      <c r="D34" s="523"/>
      <c r="E34" s="524"/>
      <c r="F34" s="294"/>
      <c r="G34" s="42"/>
      <c r="H34" s="41"/>
      <c r="I34" s="42"/>
      <c r="J34" s="527" t="s">
        <v>129</v>
      </c>
      <c r="K34" s="527"/>
      <c r="L34" s="294"/>
      <c r="M34" s="294"/>
      <c r="N34" s="294"/>
      <c r="O34" s="294"/>
      <c r="P34" s="12"/>
    </row>
    <row r="35" spans="2:56" ht="15.75" thickBot="1">
      <c r="B35" s="521"/>
      <c r="C35" s="362"/>
      <c r="D35" s="525"/>
      <c r="E35" s="526"/>
      <c r="F35" s="294"/>
      <c r="G35" s="42"/>
      <c r="H35" s="42"/>
      <c r="I35" s="42"/>
      <c r="J35" s="292" t="s">
        <v>17</v>
      </c>
      <c r="K35" s="293"/>
      <c r="L35" s="528" t="s">
        <v>136</v>
      </c>
      <c r="M35" s="528"/>
      <c r="N35" s="529"/>
      <c r="O35" s="294"/>
      <c r="P35" s="12"/>
    </row>
    <row r="36" spans="2:56" ht="15" customHeight="1" thickBot="1">
      <c r="B36" s="521"/>
      <c r="C36" s="349"/>
      <c r="D36" s="530"/>
      <c r="E36" s="531"/>
      <c r="F36" s="294"/>
      <c r="G36" s="42"/>
      <c r="H36" s="42"/>
      <c r="I36" s="42"/>
      <c r="J36" s="287" t="s">
        <v>6</v>
      </c>
      <c r="K36" s="324">
        <v>5</v>
      </c>
      <c r="L36" s="473" t="s">
        <v>37</v>
      </c>
      <c r="M36" s="474" t="s">
        <v>38</v>
      </c>
      <c r="N36" s="474" t="s">
        <v>84</v>
      </c>
      <c r="O36" s="294"/>
      <c r="P36" s="12"/>
    </row>
    <row r="37" spans="2:56" ht="15.75" customHeight="1" thickBot="1">
      <c r="B37" s="521"/>
      <c r="C37" s="349"/>
      <c r="D37" s="532"/>
      <c r="E37" s="526"/>
      <c r="F37" s="294"/>
      <c r="G37" s="42"/>
      <c r="H37" s="42"/>
      <c r="I37" s="42"/>
      <c r="J37" s="345" t="s">
        <v>9</v>
      </c>
      <c r="K37" s="324"/>
      <c r="L37" s="485">
        <f>AVERAGE('Sept 1st'!K45,'Sept 2nd'!K47,'Sept 3rd'!K44,'Sept 4th'!K46,'Sept 7th'!K48,'Sept 8th'!K48,'Sept 9th'!K50,'Sept 10th'!K49,'Sept 11th '!K45,'Sept 14th'!K45,'Sept 15th'!K48,'Sept 16th'!K51,'Sept 17th '!K52,'Sept 18th'!K42,'Sept 21st'!K48,K46)</f>
        <v>6.6875</v>
      </c>
      <c r="M37" s="486">
        <f>AVERAGE('[9]Jan30th-31st'!$L$47,L37,'[10]Feb 26th '!$L$39,'[11]Mar 31st'!$L$47,'[12]Apr 30th'!$L$46,'[13]May 29th '!$L$40,'[14]June 30th'!$L$39,[15]July31st!$L$41,'[16]Aug 31st'!$L$37)</f>
        <v>6.480844819431776</v>
      </c>
      <c r="N37" s="416">
        <v>9.1999999999999993</v>
      </c>
      <c r="O37" s="294"/>
      <c r="P37" s="12"/>
    </row>
    <row r="38" spans="2:56" ht="15" customHeight="1">
      <c r="B38" s="521"/>
      <c r="C38" s="349"/>
      <c r="D38" s="530"/>
      <c r="E38" s="531"/>
      <c r="F38" s="294"/>
      <c r="G38" s="42"/>
      <c r="H38" s="42"/>
      <c r="I38" s="42"/>
      <c r="J38" s="288" t="s">
        <v>40</v>
      </c>
      <c r="K38" s="324"/>
      <c r="L38" s="294"/>
      <c r="M38" s="294"/>
      <c r="N38" s="294"/>
      <c r="O38" s="294"/>
      <c r="P38" s="12"/>
    </row>
    <row r="39" spans="2:56" ht="15" customHeight="1">
      <c r="B39" s="521"/>
      <c r="C39" s="349"/>
      <c r="D39" s="532"/>
      <c r="E39" s="526"/>
      <c r="F39" s="294"/>
      <c r="G39" s="42"/>
      <c r="H39" s="42"/>
      <c r="I39" s="42"/>
      <c r="J39" s="289" t="s">
        <v>33</v>
      </c>
      <c r="K39" s="324"/>
      <c r="L39" s="294"/>
      <c r="M39" s="294"/>
      <c r="N39" s="294"/>
      <c r="O39" s="294"/>
      <c r="P39" s="12"/>
    </row>
    <row r="40" spans="2:56" ht="15">
      <c r="B40" s="521"/>
      <c r="C40" s="349"/>
      <c r="D40" s="530"/>
      <c r="E40" s="531"/>
      <c r="F40" s="294"/>
      <c r="G40" s="42"/>
      <c r="H40" s="42"/>
      <c r="I40" s="42"/>
      <c r="J40" s="290" t="s">
        <v>16</v>
      </c>
      <c r="K40" s="324"/>
      <c r="L40" s="294"/>
      <c r="M40" s="294"/>
      <c r="N40" s="294"/>
      <c r="O40" s="294"/>
      <c r="P40" s="12"/>
      <c r="BC40" s="44"/>
      <c r="BD40" s="44"/>
    </row>
    <row r="41" spans="2:56" ht="15">
      <c r="B41" s="521"/>
      <c r="C41" s="349"/>
      <c r="D41" s="532"/>
      <c r="E41" s="526"/>
      <c r="F41" s="294"/>
      <c r="G41" s="42"/>
      <c r="H41" s="42"/>
      <c r="I41" s="42"/>
      <c r="J41" s="291" t="s">
        <v>15</v>
      </c>
      <c r="K41" s="324"/>
      <c r="L41" s="294"/>
      <c r="M41" s="294"/>
      <c r="N41" s="294"/>
      <c r="O41" s="294"/>
      <c r="P41" s="12"/>
      <c r="BC41" s="44"/>
      <c r="BD41" s="44"/>
    </row>
    <row r="42" spans="2:56" ht="15">
      <c r="B42" s="521"/>
      <c r="C42" s="349"/>
      <c r="D42" s="530"/>
      <c r="E42" s="531"/>
      <c r="F42" s="294"/>
      <c r="G42" s="42"/>
      <c r="H42" s="42"/>
      <c r="I42" s="42"/>
      <c r="J42" s="291" t="s">
        <v>149</v>
      </c>
      <c r="K42" s="324"/>
      <c r="L42" s="294"/>
      <c r="M42" s="294"/>
      <c r="N42" s="294"/>
      <c r="O42" s="294"/>
      <c r="P42" s="12"/>
      <c r="BC42" s="44"/>
      <c r="BD42" s="44"/>
    </row>
    <row r="43" spans="2:56" ht="15.75" thickBot="1">
      <c r="B43" s="522"/>
      <c r="C43" s="350"/>
      <c r="D43" s="533"/>
      <c r="E43" s="534"/>
      <c r="F43" s="294" t="s">
        <v>165</v>
      </c>
      <c r="G43" s="42"/>
      <c r="H43" s="42"/>
      <c r="I43" s="42"/>
      <c r="J43" s="291" t="s">
        <v>148</v>
      </c>
      <c r="K43" s="324"/>
      <c r="L43" s="294"/>
      <c r="M43" s="294"/>
      <c r="N43" s="294" t="s">
        <v>41</v>
      </c>
      <c r="O43" s="294"/>
      <c r="P43" s="12"/>
      <c r="BC43" s="44"/>
      <c r="BD43" s="44"/>
    </row>
    <row r="44" spans="2:56" ht="17.649999999999999" customHeight="1" thickBot="1">
      <c r="B44" s="312" t="s">
        <v>139</v>
      </c>
      <c r="C44" s="313"/>
      <c r="D44" s="511"/>
      <c r="E44" s="512"/>
      <c r="F44" s="294"/>
      <c r="J44" s="295" t="s">
        <v>134</v>
      </c>
      <c r="K44" s="324"/>
      <c r="L44" s="294"/>
      <c r="M44" s="294"/>
      <c r="N44" s="294"/>
      <c r="O44" s="294"/>
      <c r="P44" s="12"/>
      <c r="BC44" s="44"/>
      <c r="BD44" s="44"/>
    </row>
    <row r="45" spans="2:56" ht="17.649999999999999" customHeight="1">
      <c r="B45" s="363"/>
      <c r="C45" s="364"/>
      <c r="D45" s="365"/>
      <c r="E45" s="365"/>
      <c r="F45" s="294"/>
      <c r="G45" s="42"/>
      <c r="H45" s="42"/>
      <c r="I45" s="42"/>
      <c r="J45" s="295" t="s">
        <v>131</v>
      </c>
      <c r="K45" s="324"/>
      <c r="L45" s="294"/>
      <c r="M45" s="294"/>
      <c r="N45" s="294"/>
      <c r="O45" s="294"/>
      <c r="P45" s="12"/>
      <c r="BC45" s="44"/>
      <c r="BD45" s="44"/>
    </row>
    <row r="46" spans="2:56" ht="15.6" customHeight="1">
      <c r="B46" s="45"/>
      <c r="C46" s="11"/>
      <c r="D46" s="11"/>
      <c r="E46" s="46"/>
      <c r="F46" s="294"/>
      <c r="G46" s="42"/>
      <c r="H46" s="42"/>
      <c r="I46" s="42"/>
      <c r="J46" s="346" t="s">
        <v>130</v>
      </c>
      <c r="K46" s="324">
        <f>SUM(K36:K45)</f>
        <v>5</v>
      </c>
      <c r="L46" s="294"/>
      <c r="M46" s="294"/>
      <c r="N46" s="294"/>
      <c r="O46" s="294"/>
      <c r="P46" s="12"/>
    </row>
    <row r="47" spans="2:56" ht="20.25" customHeight="1">
      <c r="B47" s="15" t="s">
        <v>42</v>
      </c>
      <c r="C47" s="1" t="s">
        <v>43</v>
      </c>
      <c r="D47" s="1"/>
      <c r="E47" s="1"/>
      <c r="F47" s="294"/>
      <c r="G47" s="42"/>
      <c r="H47" s="41"/>
      <c r="I47" s="42"/>
      <c r="L47" s="42"/>
      <c r="N47" s="315"/>
      <c r="P47" s="334"/>
    </row>
    <row r="48" spans="2:56" ht="15" customHeight="1" thickBot="1">
      <c r="B48" s="48"/>
      <c r="C48" s="48"/>
      <c r="D48" s="48"/>
      <c r="E48" s="48"/>
      <c r="F48" s="48"/>
      <c r="G48" s="48"/>
      <c r="H48" s="48"/>
      <c r="I48" s="48"/>
      <c r="J48" s="48"/>
      <c r="K48" s="48"/>
      <c r="L48" s="48"/>
      <c r="M48" s="48"/>
      <c r="N48" s="41"/>
      <c r="O48" s="48"/>
      <c r="P48" s="49"/>
    </row>
    <row r="49" spans="2:57" ht="15" customHeight="1" thickBot="1">
      <c r="B49" s="505" t="s">
        <v>17</v>
      </c>
      <c r="C49" s="505" t="s">
        <v>44</v>
      </c>
      <c r="D49" s="514" t="s">
        <v>45</v>
      </c>
      <c r="E49" s="516" t="s">
        <v>46</v>
      </c>
      <c r="F49" s="518" t="s">
        <v>47</v>
      </c>
      <c r="G49" s="503" t="s">
        <v>48</v>
      </c>
      <c r="H49" s="505" t="s">
        <v>49</v>
      </c>
      <c r="I49" s="505" t="s">
        <v>50</v>
      </c>
      <c r="J49" s="497" t="s">
        <v>28</v>
      </c>
      <c r="K49" s="507" t="s">
        <v>51</v>
      </c>
      <c r="L49" s="509" t="s">
        <v>52</v>
      </c>
      <c r="M49" s="497" t="s">
        <v>53</v>
      </c>
      <c r="N49" s="13"/>
      <c r="O49" s="13"/>
      <c r="P49" s="50"/>
    </row>
    <row r="50" spans="2:57" ht="28.5" customHeight="1" thickTop="1" thickBot="1">
      <c r="B50" s="506"/>
      <c r="C50" s="513"/>
      <c r="D50" s="515"/>
      <c r="E50" s="517"/>
      <c r="F50" s="519"/>
      <c r="G50" s="504"/>
      <c r="H50" s="506"/>
      <c r="I50" s="506"/>
      <c r="J50" s="498"/>
      <c r="K50" s="508"/>
      <c r="L50" s="510"/>
      <c r="M50" s="498"/>
      <c r="N50" s="13"/>
      <c r="O50" s="13"/>
      <c r="P50" s="50"/>
      <c r="Q50" s="355"/>
      <c r="AB50" s="475">
        <v>43474</v>
      </c>
      <c r="AC50" s="475">
        <v>43475</v>
      </c>
      <c r="AD50" s="475">
        <v>43476</v>
      </c>
      <c r="AE50" s="475">
        <v>43477</v>
      </c>
      <c r="AF50" s="475">
        <v>43478</v>
      </c>
      <c r="AG50" s="475">
        <v>43479</v>
      </c>
      <c r="AH50" s="475">
        <v>43480</v>
      </c>
      <c r="AI50" s="475">
        <v>43481</v>
      </c>
      <c r="AJ50" s="475">
        <v>43482</v>
      </c>
      <c r="AK50" s="475">
        <v>43483</v>
      </c>
      <c r="AL50" s="475">
        <v>43484</v>
      </c>
      <c r="AM50" s="475">
        <v>43485</v>
      </c>
      <c r="AN50" s="475">
        <v>43486</v>
      </c>
      <c r="AO50" s="475">
        <v>43487</v>
      </c>
      <c r="AP50" s="475">
        <v>43488</v>
      </c>
      <c r="AQ50" s="475">
        <v>43489</v>
      </c>
      <c r="AR50" s="475">
        <v>43490</v>
      </c>
      <c r="AS50" s="475">
        <v>43491</v>
      </c>
      <c r="AT50" s="475">
        <v>43492</v>
      </c>
      <c r="AU50" s="475">
        <v>43493</v>
      </c>
      <c r="AV50" s="475">
        <v>43494</v>
      </c>
      <c r="AW50" s="475">
        <v>43495</v>
      </c>
      <c r="AX50" s="475">
        <v>43496</v>
      </c>
    </row>
    <row r="51" spans="2:57" s="54" customFormat="1" ht="36.75" hidden="1" customHeight="1" thickBot="1">
      <c r="B51" s="456" t="str">
        <f>J36</f>
        <v>CARIB</v>
      </c>
      <c r="C51" s="479">
        <v>46286</v>
      </c>
      <c r="D51" s="445">
        <f>[18]September_2026!$X$3</f>
        <v>93.5</v>
      </c>
      <c r="E51" s="443"/>
      <c r="F51" s="444"/>
      <c r="G51" s="444">
        <f>[18]September_2026!$X$7</f>
        <v>91.5</v>
      </c>
      <c r="H51" s="458"/>
      <c r="I51" s="458"/>
      <c r="J51" s="448" t="s">
        <v>174</v>
      </c>
      <c r="K51" s="449">
        <f>[19]September_2026!$X$18</f>
        <v>0.32105263157894737</v>
      </c>
      <c r="L51" s="476">
        <f>(((D51+E51)-G51)/(D51+E51))*100</f>
        <v>2.1390374331550799</v>
      </c>
      <c r="M51" s="455" t="s">
        <v>181</v>
      </c>
      <c r="N51" s="13"/>
      <c r="O51" s="13"/>
      <c r="P51" s="50"/>
      <c r="R51" s="275"/>
      <c r="S51" s="275"/>
      <c r="T51" s="275"/>
      <c r="U51" s="275"/>
      <c r="V51" s="275"/>
      <c r="W51" s="275"/>
      <c r="X51" s="275"/>
      <c r="Y51" s="275"/>
      <c r="Z51" s="275"/>
      <c r="AA51" s="275"/>
      <c r="AB51" s="57">
        <f>[17]January_2019!L5</f>
        <v>0</v>
      </c>
      <c r="AC51" s="57">
        <f>[17]January_2019!M5</f>
        <v>0</v>
      </c>
      <c r="AD51" s="57">
        <f>[17]January_2019!N5</f>
        <v>0</v>
      </c>
      <c r="AE51" s="57">
        <f>[17]January_2019!O5</f>
        <v>0</v>
      </c>
      <c r="AF51" s="57">
        <f>[17]January_2019!P5</f>
        <v>0</v>
      </c>
      <c r="AG51" s="57">
        <f>[17]January_2019!Q5</f>
        <v>0</v>
      </c>
      <c r="AH51" s="57">
        <f>[17]January_2019!R5</f>
        <v>0</v>
      </c>
      <c r="AI51" s="57">
        <f>[17]January_2019!S5</f>
        <v>0</v>
      </c>
      <c r="AJ51" s="57">
        <f>[17]January_2019!T5</f>
        <v>0</v>
      </c>
      <c r="AK51" s="57">
        <f>[17]January_2019!U5</f>
        <v>0</v>
      </c>
      <c r="AL51" s="57">
        <f>[17]January_2019!V5</f>
        <v>0</v>
      </c>
      <c r="AM51" s="57">
        <f>[17]January_2019!W5</f>
        <v>0</v>
      </c>
      <c r="AN51" s="57">
        <f>[17]January_2019!X5</f>
        <v>0</v>
      </c>
      <c r="AO51" s="57">
        <f>[17]January_2019!Y5</f>
        <v>0</v>
      </c>
      <c r="AP51" s="57">
        <f>[17]January_2019!Z5</f>
        <v>0</v>
      </c>
      <c r="AQ51" s="57">
        <f>[17]January_2019!AA5</f>
        <v>0</v>
      </c>
      <c r="AR51" s="57">
        <f>[17]January_2019!AB5</f>
        <v>0</v>
      </c>
      <c r="AS51" s="57">
        <f>[17]January_2019!AC5</f>
        <v>0</v>
      </c>
      <c r="AT51" s="57">
        <f>[17]January_2019!AD5</f>
        <v>0</v>
      </c>
      <c r="AU51" s="57">
        <f>[17]January_2019!AE5</f>
        <v>0</v>
      </c>
      <c r="AV51" s="57">
        <f>[17]January_2019!AF5</f>
        <v>0</v>
      </c>
      <c r="AW51" s="57">
        <f>[17]January_2019!AG5</f>
        <v>0</v>
      </c>
      <c r="AX51" s="277">
        <f>[17]January_2019!AH5</f>
        <v>0</v>
      </c>
      <c r="AY51" s="277"/>
      <c r="AZ51" s="277"/>
      <c r="BA51" s="277"/>
      <c r="BB51" s="277"/>
      <c r="BC51" s="277"/>
      <c r="BD51" s="277"/>
      <c r="BE51" s="277"/>
    </row>
    <row r="52" spans="2:57" s="54" customFormat="1" ht="14.25" hidden="1" customHeight="1" thickBot="1">
      <c r="B52" s="480"/>
      <c r="C52" s="479"/>
      <c r="D52" s="442"/>
      <c r="E52" s="443"/>
      <c r="F52" s="444"/>
      <c r="G52" s="445"/>
      <c r="H52" s="458"/>
      <c r="I52" s="458"/>
      <c r="J52" s="476"/>
      <c r="K52" s="449"/>
      <c r="L52" s="457"/>
      <c r="M52" s="455"/>
      <c r="N52" s="13"/>
      <c r="O52" s="13"/>
      <c r="P52" s="50"/>
      <c r="R52" s="275"/>
      <c r="S52" s="275"/>
      <c r="T52" s="275"/>
      <c r="U52" s="275"/>
      <c r="V52" s="275"/>
      <c r="W52" s="275"/>
      <c r="X52" s="275"/>
      <c r="Y52" s="275"/>
      <c r="Z52" s="275"/>
      <c r="AA52" s="275"/>
      <c r="AB52" s="57">
        <f>[17]January_2019!L6</f>
        <v>0</v>
      </c>
      <c r="AC52" s="57">
        <f>[17]January_2019!M6</f>
        <v>0</v>
      </c>
      <c r="AD52" s="57">
        <f>[17]January_2019!N6</f>
        <v>0</v>
      </c>
      <c r="AE52" s="57">
        <f>[17]January_2019!O6</f>
        <v>0</v>
      </c>
      <c r="AF52" s="57">
        <f>[17]January_2019!P6</f>
        <v>0</v>
      </c>
      <c r="AG52" s="57">
        <f>[17]January_2019!Q6</f>
        <v>0</v>
      </c>
      <c r="AH52" s="57">
        <f>[17]January_2019!R6</f>
        <v>0</v>
      </c>
      <c r="AI52" s="57">
        <f>[17]January_2019!S6</f>
        <v>0</v>
      </c>
      <c r="AJ52" s="57">
        <f>[17]January_2019!T6</f>
        <v>0</v>
      </c>
      <c r="AK52" s="57">
        <f>[17]January_2019!U6</f>
        <v>0</v>
      </c>
      <c r="AL52" s="57">
        <f>[17]January_2019!V6</f>
        <v>0</v>
      </c>
      <c r="AM52" s="57">
        <f>[17]January_2019!W6</f>
        <v>0</v>
      </c>
      <c r="AN52" s="57">
        <f>[17]January_2019!X6</f>
        <v>0</v>
      </c>
      <c r="AO52" s="57">
        <f>[17]January_2019!Y6</f>
        <v>0</v>
      </c>
      <c r="AP52" s="57">
        <f>[17]January_2019!Z6</f>
        <v>0</v>
      </c>
      <c r="AQ52" s="57">
        <f>[17]January_2019!AA6</f>
        <v>0</v>
      </c>
      <c r="AR52" s="57">
        <f>[17]January_2019!AB6</f>
        <v>0</v>
      </c>
      <c r="AS52" s="57">
        <f>[17]January_2019!AC6</f>
        <v>0</v>
      </c>
      <c r="AT52" s="57">
        <f>[17]January_2019!AD6</f>
        <v>0</v>
      </c>
      <c r="AU52" s="57">
        <f>[17]January_2019!AE6</f>
        <v>0</v>
      </c>
      <c r="AV52" s="57">
        <f>[17]January_2019!AF6</f>
        <v>0</v>
      </c>
      <c r="AW52" s="57">
        <f>[17]January_2019!AG6</f>
        <v>0</v>
      </c>
      <c r="AX52" s="277">
        <f>[17]January_2019!AH6</f>
        <v>0</v>
      </c>
      <c r="AY52" s="277"/>
      <c r="AZ52" s="277"/>
      <c r="BA52" s="277"/>
      <c r="BB52" s="277"/>
      <c r="BC52" s="277"/>
      <c r="BD52" s="277"/>
      <c r="BE52" s="277"/>
    </row>
    <row r="53" spans="2:57" s="54" customFormat="1" ht="37.15" customHeight="1" thickBot="1">
      <c r="B53" s="491" t="str">
        <f>J37</f>
        <v>STAG</v>
      </c>
      <c r="C53" s="479">
        <v>46287</v>
      </c>
      <c r="D53" s="442">
        <f>[18]September_2026!$Y$13</f>
        <v>190.70000000000002</v>
      </c>
      <c r="E53" s="443"/>
      <c r="F53" s="444"/>
      <c r="G53" s="444">
        <f>[18]September_2026!$Y$17</f>
        <v>184.3</v>
      </c>
      <c r="H53" s="446"/>
      <c r="I53" s="446"/>
      <c r="J53" s="448" t="s">
        <v>174</v>
      </c>
      <c r="K53" s="449">
        <f>[19]September_2026!$Y$25</f>
        <v>0.64666666666666672</v>
      </c>
      <c r="L53" s="457">
        <f>(((D53+E53)-G53)/(D53+E53))*100</f>
        <v>3.3560566334556925</v>
      </c>
      <c r="M53" s="455" t="s">
        <v>176</v>
      </c>
      <c r="N53" s="13"/>
      <c r="O53" s="13"/>
      <c r="P53" s="50"/>
      <c r="R53" s="275"/>
      <c r="S53" s="275"/>
      <c r="T53" s="275"/>
      <c r="U53" s="275"/>
      <c r="V53" s="275"/>
      <c r="W53" s="275"/>
      <c r="X53" s="275"/>
      <c r="Y53" s="275"/>
      <c r="Z53" s="275"/>
      <c r="AA53" s="275"/>
      <c r="AB53" s="57">
        <f>[17]January_2019!L7</f>
        <v>285.8</v>
      </c>
      <c r="AC53" s="57">
        <f>[17]January_2019!M7</f>
        <v>508.1</v>
      </c>
      <c r="AD53" s="57">
        <f>[17]January_2019!N7</f>
        <v>0</v>
      </c>
      <c r="AE53" s="57">
        <f>[17]January_2019!O7</f>
        <v>0</v>
      </c>
      <c r="AF53" s="57">
        <f>[17]January_2019!P7</f>
        <v>109.56666666666666</v>
      </c>
      <c r="AG53" s="57">
        <f>[17]January_2019!Q7</f>
        <v>297.64999999999998</v>
      </c>
      <c r="AH53" s="57">
        <f>[17]January_2019!R7</f>
        <v>122.3</v>
      </c>
      <c r="AI53" s="57">
        <f>[17]January_2019!S7</f>
        <v>0</v>
      </c>
      <c r="AJ53" s="57">
        <f>[17]January_2019!T7</f>
        <v>294.7</v>
      </c>
      <c r="AK53" s="57">
        <f>[17]January_2019!U7</f>
        <v>280.5</v>
      </c>
      <c r="AL53" s="57">
        <f>[17]January_2019!V7</f>
        <v>0</v>
      </c>
      <c r="AM53" s="57">
        <f>[17]January_2019!W7</f>
        <v>0</v>
      </c>
      <c r="AN53" s="57">
        <f>[17]January_2019!X7</f>
        <v>188.25</v>
      </c>
      <c r="AO53" s="57">
        <f>[17]January_2019!Y7</f>
        <v>295.7</v>
      </c>
      <c r="AP53" s="57">
        <f>[17]January_2019!Z7</f>
        <v>257.8</v>
      </c>
      <c r="AQ53" s="57">
        <f>[17]January_2019!AA7</f>
        <v>291.2</v>
      </c>
      <c r="AR53" s="57">
        <f>[17]January_2019!AB7</f>
        <v>187</v>
      </c>
      <c r="AS53" s="57">
        <f>[17]January_2019!AC7</f>
        <v>0</v>
      </c>
      <c r="AT53" s="57">
        <f>[17]January_2019!AD7</f>
        <v>0</v>
      </c>
      <c r="AU53" s="57">
        <f>[17]January_2019!AE7</f>
        <v>485.1</v>
      </c>
      <c r="AV53" s="57">
        <f>[17]January_2019!AF7</f>
        <v>171.55</v>
      </c>
      <c r="AW53" s="57">
        <f>[17]January_2019!AG7</f>
        <v>423.8</v>
      </c>
      <c r="AX53" s="277">
        <f>[17]January_2019!AH7</f>
        <v>0</v>
      </c>
      <c r="AY53" s="277"/>
      <c r="AZ53" s="277"/>
      <c r="BA53" s="277"/>
      <c r="BB53" s="277"/>
      <c r="BC53" s="277"/>
      <c r="BD53" s="277"/>
      <c r="BE53" s="277"/>
    </row>
    <row r="54" spans="2:57" s="54" customFormat="1" ht="18.600000000000001" hidden="1" customHeight="1" thickBot="1">
      <c r="B54" s="478"/>
      <c r="C54" s="430"/>
      <c r="D54" s="431"/>
      <c r="E54" s="432"/>
      <c r="F54" s="433"/>
      <c r="G54" s="434"/>
      <c r="H54" s="458"/>
      <c r="I54" s="458"/>
      <c r="J54" s="451"/>
      <c r="K54" s="436"/>
      <c r="L54" s="452"/>
      <c r="M54" s="421"/>
      <c r="N54" s="13"/>
      <c r="O54" s="13"/>
      <c r="P54" s="50"/>
      <c r="R54" s="275"/>
      <c r="S54" s="275"/>
      <c r="T54" s="275"/>
      <c r="U54" s="275"/>
      <c r="V54" s="275"/>
      <c r="W54" s="275"/>
      <c r="X54" s="275"/>
      <c r="Y54" s="275"/>
      <c r="Z54" s="275"/>
      <c r="AA54" s="275"/>
      <c r="AB54" s="57"/>
      <c r="AC54" s="57"/>
      <c r="AD54" s="57"/>
      <c r="AE54" s="57"/>
      <c r="AF54" s="57"/>
      <c r="AG54" s="57"/>
      <c r="AH54" s="57"/>
      <c r="AI54" s="57"/>
      <c r="AJ54" s="57"/>
      <c r="AK54" s="57"/>
      <c r="AL54" s="57"/>
      <c r="AM54" s="57"/>
      <c r="AN54" s="57"/>
      <c r="AO54" s="57"/>
      <c r="AP54" s="57"/>
      <c r="AQ54" s="57"/>
      <c r="AR54" s="57"/>
      <c r="AS54" s="57"/>
      <c r="AT54" s="57"/>
      <c r="AU54" s="57"/>
      <c r="AV54" s="57"/>
      <c r="AW54" s="57"/>
      <c r="AX54" s="277"/>
      <c r="AY54" s="277"/>
      <c r="AZ54" s="277"/>
      <c r="BA54" s="277"/>
      <c r="BB54" s="277"/>
      <c r="BC54" s="277"/>
      <c r="BD54" s="277"/>
      <c r="BE54" s="277"/>
    </row>
    <row r="55" spans="2:57" s="54" customFormat="1" ht="38.65" hidden="1" customHeight="1" thickBot="1">
      <c r="B55" s="487"/>
      <c r="C55" s="479"/>
      <c r="D55" s="442"/>
      <c r="E55" s="443"/>
      <c r="F55" s="444"/>
      <c r="G55" s="445"/>
      <c r="H55" s="458"/>
      <c r="I55" s="458"/>
      <c r="J55" s="448"/>
      <c r="K55" s="459"/>
      <c r="L55" s="457"/>
      <c r="M55" s="455"/>
      <c r="N55" s="13"/>
      <c r="O55" s="13"/>
      <c r="P55" s="50"/>
      <c r="R55" s="275"/>
      <c r="S55" s="275"/>
      <c r="T55" s="275"/>
      <c r="U55" s="275"/>
      <c r="V55" s="275"/>
      <c r="W55" s="275"/>
      <c r="X55" s="275"/>
      <c r="Y55" s="275"/>
      <c r="Z55" s="275"/>
      <c r="AA55" s="275"/>
      <c r="AB55" s="57"/>
      <c r="AC55" s="57"/>
      <c r="AD55" s="57"/>
      <c r="AE55" s="57"/>
      <c r="AF55" s="57"/>
      <c r="AG55" s="57"/>
      <c r="AH55" s="57"/>
      <c r="AI55" s="57"/>
      <c r="AJ55" s="57"/>
      <c r="AK55" s="57"/>
      <c r="AL55" s="57"/>
      <c r="AM55" s="57"/>
      <c r="AN55" s="57"/>
      <c r="AO55" s="57"/>
      <c r="AP55" s="57"/>
      <c r="AQ55" s="57"/>
      <c r="AR55" s="57"/>
      <c r="AS55" s="57"/>
      <c r="AT55" s="57"/>
      <c r="AU55" s="57"/>
      <c r="AV55" s="57"/>
      <c r="AW55" s="57"/>
      <c r="AX55" s="277"/>
      <c r="AY55" s="277"/>
      <c r="AZ55" s="277"/>
      <c r="BA55" s="277"/>
      <c r="BB55" s="277"/>
      <c r="BC55" s="277"/>
      <c r="BD55" s="277"/>
      <c r="BE55" s="277"/>
    </row>
    <row r="56" spans="2:57" s="54" customFormat="1" ht="15" hidden="1">
      <c r="B56" s="453"/>
      <c r="C56" s="430"/>
      <c r="D56" s="431"/>
      <c r="E56" s="432"/>
      <c r="F56" s="433"/>
      <c r="G56" s="434"/>
      <c r="H56" s="435"/>
      <c r="I56" s="450"/>
      <c r="J56" s="451"/>
      <c r="K56" s="436"/>
      <c r="L56" s="452"/>
      <c r="M56" s="421"/>
      <c r="N56" s="13"/>
      <c r="O56" s="13"/>
      <c r="P56" s="50"/>
      <c r="R56" s="275"/>
      <c r="S56" s="275"/>
      <c r="T56" s="275"/>
      <c r="U56" s="275"/>
      <c r="V56" s="275"/>
      <c r="W56" s="275"/>
      <c r="X56" s="275"/>
      <c r="Y56" s="275"/>
      <c r="Z56" s="275"/>
      <c r="AA56" s="275"/>
      <c r="AB56" s="57"/>
      <c r="AC56" s="57"/>
      <c r="AD56" s="57"/>
      <c r="AE56" s="57"/>
      <c r="AF56" s="57"/>
      <c r="AG56" s="57"/>
      <c r="AH56" s="57"/>
      <c r="AI56" s="57"/>
      <c r="AJ56" s="57"/>
      <c r="AK56" s="57"/>
      <c r="AL56" s="57"/>
      <c r="AM56" s="57"/>
      <c r="AN56" s="57"/>
      <c r="AO56" s="57"/>
      <c r="AP56" s="57"/>
      <c r="AQ56" s="57"/>
      <c r="AR56" s="57"/>
      <c r="AS56" s="57"/>
      <c r="AT56" s="57"/>
      <c r="AU56" s="57"/>
      <c r="AV56" s="57"/>
      <c r="AW56" s="57"/>
      <c r="AX56" s="277"/>
      <c r="AY56" s="277"/>
      <c r="AZ56" s="277"/>
      <c r="BA56" s="277"/>
      <c r="BB56" s="277"/>
      <c r="BC56" s="277"/>
      <c r="BD56" s="277"/>
      <c r="BE56" s="277"/>
    </row>
    <row r="57" spans="2:57" s="54" customFormat="1" ht="37.15" hidden="1" customHeight="1" thickBot="1">
      <c r="B57" s="481"/>
      <c r="C57" s="479"/>
      <c r="D57" s="442"/>
      <c r="E57" s="443"/>
      <c r="F57" s="444"/>
      <c r="G57" s="445"/>
      <c r="H57" s="446"/>
      <c r="I57" s="447"/>
      <c r="J57" s="448"/>
      <c r="K57" s="449"/>
      <c r="L57" s="457"/>
      <c r="M57" s="455"/>
      <c r="N57" s="13"/>
      <c r="O57" s="13"/>
      <c r="P57" s="50"/>
      <c r="R57" s="275"/>
      <c r="S57" s="275"/>
      <c r="T57" s="275"/>
      <c r="U57" s="275"/>
      <c r="V57" s="275"/>
      <c r="W57" s="275"/>
      <c r="X57" s="275"/>
      <c r="Y57" s="275"/>
      <c r="Z57" s="275"/>
      <c r="AA57" s="275"/>
      <c r="AB57" s="57"/>
      <c r="AC57" s="57"/>
      <c r="AD57" s="57"/>
      <c r="AE57" s="57"/>
      <c r="AF57" s="57"/>
      <c r="AG57" s="57"/>
      <c r="AH57" s="57"/>
      <c r="AI57" s="57"/>
      <c r="AJ57" s="57"/>
      <c r="AK57" s="57"/>
      <c r="AL57" s="57"/>
      <c r="AM57" s="57"/>
      <c r="AN57" s="57"/>
      <c r="AO57" s="57"/>
      <c r="AP57" s="57"/>
      <c r="AQ57" s="57"/>
      <c r="AR57" s="57"/>
      <c r="AS57" s="57"/>
      <c r="AT57" s="57"/>
      <c r="AU57" s="57"/>
      <c r="AV57" s="57"/>
      <c r="AW57" s="57"/>
      <c r="AX57" s="277"/>
      <c r="AY57" s="277"/>
      <c r="AZ57" s="277"/>
      <c r="BA57" s="277"/>
      <c r="BB57" s="277"/>
      <c r="BC57" s="277"/>
      <c r="BD57" s="277"/>
      <c r="BE57" s="277"/>
    </row>
    <row r="58" spans="2:57" s="54" customFormat="1" ht="16.5" hidden="1" customHeight="1" thickBot="1">
      <c r="B58" s="437"/>
      <c r="C58" s="423"/>
      <c r="D58" s="424"/>
      <c r="E58" s="425"/>
      <c r="F58" s="426"/>
      <c r="G58" s="427"/>
      <c r="H58" s="428"/>
      <c r="I58" s="438"/>
      <c r="J58" s="439"/>
      <c r="K58" s="429"/>
      <c r="L58" s="440"/>
      <c r="M58" s="422"/>
      <c r="N58" s="13"/>
      <c r="O58" s="13"/>
      <c r="P58" s="50"/>
      <c r="R58" s="275"/>
      <c r="S58" s="275"/>
      <c r="T58" s="275"/>
      <c r="U58" s="275"/>
      <c r="V58" s="275"/>
      <c r="W58" s="275"/>
      <c r="X58" s="275"/>
      <c r="Y58" s="275"/>
      <c r="Z58" s="275"/>
      <c r="AA58" s="275"/>
      <c r="AB58" s="415"/>
      <c r="AC58" s="415"/>
      <c r="AD58" s="415"/>
      <c r="AE58" s="415"/>
      <c r="AF58" s="415"/>
      <c r="AG58" s="415"/>
      <c r="AH58" s="415"/>
      <c r="AI58" s="415"/>
      <c r="AJ58" s="415"/>
      <c r="AK58" s="415"/>
      <c r="AL58" s="415"/>
      <c r="AM58" s="415"/>
      <c r="AN58" s="415"/>
      <c r="AO58" s="415"/>
      <c r="AP58" s="415"/>
      <c r="AQ58" s="415"/>
      <c r="AR58" s="415"/>
      <c r="AS58" s="415"/>
      <c r="AT58" s="415"/>
      <c r="AU58" s="415"/>
      <c r="AV58" s="415"/>
      <c r="AW58" s="415"/>
    </row>
    <row r="59" spans="2:57" s="54" customFormat="1" ht="37.15" hidden="1" customHeight="1" thickBot="1">
      <c r="B59" s="456"/>
      <c r="C59" s="441"/>
      <c r="D59" s="442"/>
      <c r="E59" s="443"/>
      <c r="F59" s="444"/>
      <c r="G59" s="445"/>
      <c r="H59" s="446"/>
      <c r="I59" s="447"/>
      <c r="J59" s="448"/>
      <c r="K59" s="449"/>
      <c r="L59" s="457"/>
      <c r="M59" s="454"/>
      <c r="N59" s="13"/>
      <c r="O59" s="13"/>
      <c r="P59" s="50"/>
      <c r="R59" s="275"/>
      <c r="S59" s="275"/>
      <c r="T59" s="275"/>
      <c r="U59" s="275"/>
      <c r="V59" s="275"/>
      <c r="W59" s="275"/>
      <c r="X59" s="275"/>
      <c r="Y59" s="275"/>
      <c r="Z59" s="275"/>
      <c r="AA59" s="275"/>
      <c r="AB59" s="57"/>
      <c r="AC59" s="57"/>
      <c r="AD59" s="57"/>
      <c r="AE59" s="57"/>
      <c r="AF59" s="57"/>
      <c r="AG59" s="57"/>
      <c r="AH59" s="57"/>
      <c r="AI59" s="57"/>
      <c r="AJ59" s="57"/>
      <c r="AK59" s="57"/>
      <c r="AL59" s="57"/>
      <c r="AM59" s="57"/>
      <c r="AN59" s="57"/>
      <c r="AO59" s="57"/>
      <c r="AP59" s="57"/>
      <c r="AQ59" s="57"/>
      <c r="AR59" s="57"/>
      <c r="AS59" s="57"/>
      <c r="AT59" s="57"/>
      <c r="AU59" s="57"/>
      <c r="AV59" s="57"/>
      <c r="AW59" s="57"/>
      <c r="AX59" s="277"/>
      <c r="AY59" s="277"/>
      <c r="AZ59" s="277"/>
      <c r="BA59" s="277"/>
      <c r="BB59" s="277"/>
      <c r="BC59" s="277"/>
      <c r="BD59" s="277"/>
      <c r="BE59" s="277"/>
    </row>
    <row r="60" spans="2:57" s="54" customFormat="1" ht="37.15" customHeight="1">
      <c r="B60" s="466"/>
      <c r="C60" s="430"/>
      <c r="D60" s="460"/>
      <c r="E60" s="461"/>
      <c r="F60" s="462"/>
      <c r="G60" s="460"/>
      <c r="H60" s="463"/>
      <c r="I60" s="463"/>
      <c r="J60" s="463"/>
      <c r="K60" s="464"/>
      <c r="L60" s="465"/>
      <c r="M60" s="50"/>
      <c r="N60" s="13"/>
      <c r="O60" s="13"/>
      <c r="P60" s="50"/>
      <c r="R60" s="275"/>
      <c r="S60" s="275"/>
      <c r="T60" s="275"/>
      <c r="U60" s="275"/>
      <c r="V60" s="275"/>
      <c r="W60" s="275"/>
      <c r="X60" s="275"/>
      <c r="Y60" s="275"/>
      <c r="Z60" s="275"/>
      <c r="AA60" s="275"/>
      <c r="AB60" s="57"/>
      <c r="AC60" s="57"/>
      <c r="AD60" s="57"/>
      <c r="AE60" s="57"/>
      <c r="AF60" s="57"/>
      <c r="AG60" s="57"/>
      <c r="AH60" s="57"/>
      <c r="AI60" s="57"/>
      <c r="AJ60" s="57"/>
      <c r="AK60" s="57"/>
      <c r="AL60" s="57"/>
      <c r="AM60" s="57"/>
      <c r="AN60" s="57"/>
      <c r="AO60" s="57"/>
      <c r="AP60" s="57"/>
      <c r="AQ60" s="57"/>
      <c r="AR60" s="57"/>
      <c r="AS60" s="57"/>
      <c r="AT60" s="57"/>
      <c r="AU60" s="57"/>
      <c r="AV60" s="57"/>
      <c r="AW60" s="57"/>
      <c r="AX60" s="277"/>
      <c r="AY60" s="277"/>
      <c r="AZ60" s="277"/>
      <c r="BA60" s="277"/>
      <c r="BB60" s="277"/>
      <c r="BC60" s="277"/>
      <c r="BD60" s="277"/>
      <c r="BE60" s="277"/>
    </row>
    <row r="61" spans="2:57" ht="18" customHeight="1" thickBot="1">
      <c r="B61" s="59"/>
      <c r="C61" s="309"/>
      <c r="D61" s="59"/>
      <c r="E61" s="59"/>
      <c r="F61" s="59"/>
      <c r="G61" s="59"/>
      <c r="H61" s="59"/>
      <c r="I61" s="59"/>
      <c r="J61" s="59"/>
      <c r="K61" s="59"/>
      <c r="L61" s="59"/>
      <c r="M61" s="59"/>
      <c r="N61" s="59" t="s">
        <v>41</v>
      </c>
      <c r="O61" s="56"/>
      <c r="P61" s="60"/>
    </row>
    <row r="62" spans="2:57" ht="15.75" thickBot="1">
      <c r="B62" s="499" t="s">
        <v>55</v>
      </c>
      <c r="C62" s="500"/>
      <c r="D62" s="500"/>
      <c r="E62" s="500"/>
      <c r="F62" s="501"/>
      <c r="G62" s="499" t="s">
        <v>56</v>
      </c>
      <c r="H62" s="500"/>
      <c r="I62" s="500"/>
      <c r="J62" s="501"/>
      <c r="K62" s="499" t="s">
        <v>51</v>
      </c>
      <c r="L62" s="500"/>
      <c r="M62" s="500"/>
      <c r="N62" s="502"/>
      <c r="O62" s="56"/>
      <c r="P62" s="50"/>
    </row>
    <row r="63" spans="2:57" ht="15">
      <c r="B63" s="61" t="s">
        <v>17</v>
      </c>
      <c r="C63" s="62" t="s">
        <v>36</v>
      </c>
      <c r="D63" s="62" t="s">
        <v>37</v>
      </c>
      <c r="E63" s="62" t="s">
        <v>38</v>
      </c>
      <c r="F63" s="63" t="s">
        <v>39</v>
      </c>
      <c r="G63" s="62" t="s">
        <v>36</v>
      </c>
      <c r="H63" s="62" t="s">
        <v>37</v>
      </c>
      <c r="I63" s="62" t="s">
        <v>38</v>
      </c>
      <c r="J63" s="63" t="s">
        <v>39</v>
      </c>
      <c r="K63" s="62" t="s">
        <v>36</v>
      </c>
      <c r="L63" s="62" t="s">
        <v>37</v>
      </c>
      <c r="M63" s="62" t="s">
        <v>38</v>
      </c>
      <c r="N63" s="63" t="s">
        <v>39</v>
      </c>
      <c r="O63" s="56"/>
      <c r="P63" s="64"/>
    </row>
    <row r="64" spans="2:57" ht="15">
      <c r="B64" s="29" t="s">
        <v>6</v>
      </c>
      <c r="C64" s="65"/>
      <c r="D64" s="76">
        <v>7.2669378760384307</v>
      </c>
      <c r="E64" s="76">
        <v>6.6024208041377905</v>
      </c>
      <c r="F64" s="66">
        <v>4.8</v>
      </c>
      <c r="G64" s="65"/>
      <c r="H64" s="477">
        <v>6.5160801722722619</v>
      </c>
      <c r="I64" s="477">
        <v>6.6384808531425268</v>
      </c>
      <c r="J64" s="66">
        <v>4.8</v>
      </c>
      <c r="K64" s="67"/>
      <c r="L64" s="194">
        <v>0.54583684210526329</v>
      </c>
      <c r="M64" s="194">
        <v>0.52770661335828817</v>
      </c>
      <c r="N64" s="68">
        <v>1</v>
      </c>
      <c r="O64" s="56"/>
      <c r="P64" s="69"/>
    </row>
    <row r="65" spans="2:16" ht="15">
      <c r="B65" s="33" t="s">
        <v>9</v>
      </c>
      <c r="C65" s="65">
        <f>L53</f>
        <v>3.3560566334556925</v>
      </c>
      <c r="D65" s="76">
        <v>8.2429812594241234</v>
      </c>
      <c r="E65" s="76">
        <v>6.0220986966389685</v>
      </c>
      <c r="F65" s="66">
        <v>4.8</v>
      </c>
      <c r="G65" s="65">
        <f>[18]September_2026!$Y$21</f>
        <v>2.340396759757176</v>
      </c>
      <c r="H65" s="76">
        <v>7.2366264511789016</v>
      </c>
      <c r="I65" s="76">
        <v>6.0561650445262645</v>
      </c>
      <c r="J65" s="66">
        <v>4.8</v>
      </c>
      <c r="K65" s="67">
        <f>K53</f>
        <v>0.64666666666666672</v>
      </c>
      <c r="L65" s="194">
        <v>0.563359649122807</v>
      </c>
      <c r="M65" s="194">
        <v>0.68649049157936914</v>
      </c>
      <c r="N65" s="68">
        <v>1</v>
      </c>
      <c r="P65" s="69"/>
    </row>
    <row r="66" spans="2:16" ht="15">
      <c r="B66" s="34" t="s">
        <v>40</v>
      </c>
      <c r="C66" s="65"/>
      <c r="D66" s="76"/>
      <c r="E66" s="76">
        <v>11.277593164016125</v>
      </c>
      <c r="F66" s="66">
        <v>5.5</v>
      </c>
      <c r="G66" s="65"/>
      <c r="H66" s="76"/>
      <c r="I66" s="76">
        <v>11.857907912244482</v>
      </c>
      <c r="J66" s="66">
        <v>5.5</v>
      </c>
      <c r="K66" s="67"/>
      <c r="L66" s="194"/>
      <c r="M66" s="194">
        <v>0.35370190356844494</v>
      </c>
      <c r="N66" s="68">
        <v>1</v>
      </c>
      <c r="P66" s="69"/>
    </row>
    <row r="67" spans="2:16" ht="15">
      <c r="B67" s="22" t="s">
        <v>33</v>
      </c>
      <c r="C67" s="65"/>
      <c r="D67" s="76"/>
      <c r="E67" s="76">
        <v>4.8685538193023836</v>
      </c>
      <c r="F67" s="66">
        <v>3.3</v>
      </c>
      <c r="G67" s="65"/>
      <c r="H67" s="76"/>
      <c r="I67" s="76">
        <v>4.8702525342252114</v>
      </c>
      <c r="J67" s="66">
        <v>3.3</v>
      </c>
      <c r="K67" s="67"/>
      <c r="L67" s="194"/>
      <c r="M67" s="194">
        <v>0.77919298245614044</v>
      </c>
      <c r="N67" s="68">
        <v>1</v>
      </c>
      <c r="P67" s="69"/>
    </row>
    <row r="68" spans="2:16" ht="15">
      <c r="B68" s="35" t="s">
        <v>164</v>
      </c>
      <c r="C68" s="65"/>
      <c r="D68" s="76"/>
      <c r="E68" s="76"/>
      <c r="F68" s="66">
        <v>3.3</v>
      </c>
      <c r="G68" s="282"/>
      <c r="H68" s="76"/>
      <c r="I68" s="76"/>
      <c r="J68" s="66">
        <v>3</v>
      </c>
      <c r="K68" s="67"/>
      <c r="L68" s="194"/>
      <c r="M68" s="194"/>
      <c r="N68" s="68">
        <v>1</v>
      </c>
      <c r="P68" s="69"/>
    </row>
    <row r="69" spans="2:16" ht="15">
      <c r="B69" s="36" t="s">
        <v>15</v>
      </c>
      <c r="C69" s="65"/>
      <c r="D69" s="76">
        <v>6.8855672629257718</v>
      </c>
      <c r="E69" s="76">
        <v>6.3233965672990236</v>
      </c>
      <c r="F69" s="70">
        <v>5.5</v>
      </c>
      <c r="G69" s="65"/>
      <c r="H69" s="76">
        <v>7.4264332958762713</v>
      </c>
      <c r="I69" s="76">
        <v>7.9667553186446929</v>
      </c>
      <c r="J69" s="66">
        <v>5.5</v>
      </c>
      <c r="K69" s="67"/>
      <c r="L69" s="194">
        <v>0.391812865497076</v>
      </c>
      <c r="M69" s="194">
        <v>0.5883625730994152</v>
      </c>
      <c r="N69" s="68">
        <v>1</v>
      </c>
      <c r="P69" s="69"/>
    </row>
    <row r="70" spans="2:16" ht="15">
      <c r="B70" s="37" t="s">
        <v>16</v>
      </c>
      <c r="C70" s="482"/>
      <c r="D70" s="76"/>
      <c r="E70" s="76">
        <v>3.6168923014750334</v>
      </c>
      <c r="F70" s="66">
        <v>3.3</v>
      </c>
      <c r="G70" s="282"/>
      <c r="H70" s="76"/>
      <c r="I70" s="76">
        <v>5.0091179718082053</v>
      </c>
      <c r="J70" s="66">
        <v>3.3</v>
      </c>
      <c r="K70" s="67"/>
      <c r="L70" s="194"/>
      <c r="M70" s="194">
        <v>0.92642300194931759</v>
      </c>
      <c r="N70" s="71">
        <v>1</v>
      </c>
      <c r="P70" s="69"/>
    </row>
    <row r="71" spans="2:16" ht="15.75" thickBot="1">
      <c r="B71" s="38" t="s">
        <v>163</v>
      </c>
      <c r="C71" s="65"/>
      <c r="D71" s="76"/>
      <c r="E71" s="76"/>
      <c r="F71" s="66">
        <v>7.5</v>
      </c>
      <c r="G71" s="282"/>
      <c r="H71" s="76"/>
      <c r="I71" s="76"/>
      <c r="J71" s="66">
        <v>7.5</v>
      </c>
      <c r="K71" s="67"/>
      <c r="L71" s="194"/>
      <c r="M71" s="194"/>
      <c r="N71" s="71">
        <v>1</v>
      </c>
      <c r="P71" s="69"/>
    </row>
    <row r="72" spans="2:16" ht="15.75" thickBot="1">
      <c r="B72" s="414" t="s">
        <v>161</v>
      </c>
      <c r="C72" s="65"/>
      <c r="D72" s="76"/>
      <c r="E72" s="76"/>
      <c r="F72" s="66">
        <v>4.8</v>
      </c>
      <c r="G72" s="282"/>
      <c r="H72" s="76"/>
      <c r="I72" s="76"/>
      <c r="J72" s="66">
        <v>4.8</v>
      </c>
      <c r="K72" s="67"/>
      <c r="L72" s="194"/>
      <c r="M72" s="194"/>
      <c r="N72" s="71">
        <v>1</v>
      </c>
      <c r="O72" s="74"/>
      <c r="P72" s="75"/>
    </row>
    <row r="73" spans="2:16" ht="15">
      <c r="D73" s="76">
        <v>7.5070259316215786</v>
      </c>
      <c r="E73" s="76">
        <v>6.4325635675223651</v>
      </c>
      <c r="F73" s="341">
        <v>5.5</v>
      </c>
      <c r="H73" s="76">
        <v>6.7975185597866208</v>
      </c>
      <c r="I73" s="76">
        <v>6.7012608609515691</v>
      </c>
      <c r="J73" s="341">
        <v>5.5</v>
      </c>
      <c r="L73" s="194">
        <v>0.52277915376676987</v>
      </c>
      <c r="M73" s="194">
        <v>0.59141902654845002</v>
      </c>
      <c r="N73" s="386">
        <v>1</v>
      </c>
    </row>
  </sheetData>
  <mergeCells count="51">
    <mergeCell ref="M4:N4"/>
    <mergeCell ref="S1:T1"/>
    <mergeCell ref="U1:V1"/>
    <mergeCell ref="W1:X1"/>
    <mergeCell ref="Y1:Z1"/>
    <mergeCell ref="B2:O2"/>
    <mergeCell ref="P8:P9"/>
    <mergeCell ref="C5:D5"/>
    <mergeCell ref="B8:B9"/>
    <mergeCell ref="C8:C9"/>
    <mergeCell ref="D8:D9"/>
    <mergeCell ref="G8:G9"/>
    <mergeCell ref="H8:H9"/>
    <mergeCell ref="I8:I9"/>
    <mergeCell ref="J8:J9"/>
    <mergeCell ref="K8:K9"/>
    <mergeCell ref="L8:L9"/>
    <mergeCell ref="O8:O9"/>
    <mergeCell ref="I20:N20"/>
    <mergeCell ref="D21:E21"/>
    <mergeCell ref="B22:B33"/>
    <mergeCell ref="D22:E23"/>
    <mergeCell ref="D24:E25"/>
    <mergeCell ref="D26:E27"/>
    <mergeCell ref="D28:E29"/>
    <mergeCell ref="D30:E31"/>
    <mergeCell ref="D32:E33"/>
    <mergeCell ref="B34:B43"/>
    <mergeCell ref="D34:E35"/>
    <mergeCell ref="J34:K34"/>
    <mergeCell ref="L35:N35"/>
    <mergeCell ref="D36:E37"/>
    <mergeCell ref="D38:E39"/>
    <mergeCell ref="D40:E41"/>
    <mergeCell ref="D42:E43"/>
    <mergeCell ref="D44:E44"/>
    <mergeCell ref="B49:B50"/>
    <mergeCell ref="C49:C50"/>
    <mergeCell ref="D49:D50"/>
    <mergeCell ref="E49:E50"/>
    <mergeCell ref="M49:M50"/>
    <mergeCell ref="B62:F62"/>
    <mergeCell ref="G62:J62"/>
    <mergeCell ref="K62:N62"/>
    <mergeCell ref="G49:G50"/>
    <mergeCell ref="H49:H50"/>
    <mergeCell ref="I49:I50"/>
    <mergeCell ref="J49:J50"/>
    <mergeCell ref="K49:K50"/>
    <mergeCell ref="L49:L50"/>
    <mergeCell ref="F49:F50"/>
  </mergeCells>
  <conditionalFormatting sqref="B44:B45">
    <cfRule type="cellIs" dxfId="1157" priority="112" operator="notBetween">
      <formula>#REF!</formula>
      <formula>#REF!</formula>
    </cfRule>
  </conditionalFormatting>
  <conditionalFormatting sqref="C48">
    <cfRule type="cellIs" dxfId="1156" priority="195" stopIfTrue="1" operator="greaterThan">
      <formula>100</formula>
    </cfRule>
    <cfRule type="cellIs" dxfId="1155" priority="194" stopIfTrue="1" operator="lessThan">
      <formula>96</formula>
    </cfRule>
  </conditionalFormatting>
  <conditionalFormatting sqref="C64:C65">
    <cfRule type="cellIs" dxfId="1154" priority="75" stopIfTrue="1" operator="greaterThan">
      <formula>$F64</formula>
    </cfRule>
    <cfRule type="cellIs" dxfId="1153" priority="77" stopIfTrue="1" operator="greaterThan">
      <formula>$F64</formula>
    </cfRule>
    <cfRule type="cellIs" dxfId="1152" priority="78" stopIfTrue="1" operator="lessThanOrEqual">
      <formula>0</formula>
    </cfRule>
    <cfRule type="cellIs" dxfId="1151" priority="76" stopIfTrue="1" operator="lessThanOrEqual">
      <formula>0</formula>
    </cfRule>
  </conditionalFormatting>
  <conditionalFormatting sqref="C66:C68 C70:C72">
    <cfRule type="cellIs" dxfId="1150" priority="84" stopIfTrue="1" operator="greaterThan">
      <formula>$F69</formula>
    </cfRule>
  </conditionalFormatting>
  <conditionalFormatting sqref="C66:C68">
    <cfRule type="cellIs" dxfId="1149" priority="85" stopIfTrue="1" operator="lessThanOrEqual">
      <formula>0</formula>
    </cfRule>
  </conditionalFormatting>
  <conditionalFormatting sqref="C69">
    <cfRule type="cellIs" dxfId="1148" priority="196" stopIfTrue="1" operator="greaterThan">
      <formula>$F64</formula>
    </cfRule>
    <cfRule type="cellIs" dxfId="1147" priority="199" stopIfTrue="1" operator="lessThanOrEqual">
      <formula>0</formula>
    </cfRule>
    <cfRule type="cellIs" dxfId="1146" priority="198" stopIfTrue="1" operator="greaterThan">
      <formula>$F64</formula>
    </cfRule>
    <cfRule type="cellIs" dxfId="1145" priority="197" stopIfTrue="1" operator="lessThanOrEqual">
      <formula>0</formula>
    </cfRule>
  </conditionalFormatting>
  <conditionalFormatting sqref="C70:C72">
    <cfRule type="cellIs" dxfId="1144" priority="86" stopIfTrue="1" operator="lessThanOrEqual">
      <formula>0</formula>
    </cfRule>
  </conditionalFormatting>
  <conditionalFormatting sqref="C75:C79">
    <cfRule type="cellIs" dxfId="1143" priority="186" stopIfTrue="1" operator="lessThanOrEqual">
      <formula>0</formula>
    </cfRule>
  </conditionalFormatting>
  <conditionalFormatting sqref="C76:C79">
    <cfRule type="cellIs" dxfId="1142" priority="185" stopIfTrue="1" operator="greaterThan">
      <formula>$F$75</formula>
    </cfRule>
  </conditionalFormatting>
  <conditionalFormatting sqref="C81">
    <cfRule type="cellIs" dxfId="1141" priority="187" stopIfTrue="1" operator="greaterThan">
      <formula>$F$75</formula>
    </cfRule>
    <cfRule type="cellIs" dxfId="1140" priority="188" stopIfTrue="1" operator="lessThanOrEqual">
      <formula>0</formula>
    </cfRule>
  </conditionalFormatting>
  <conditionalFormatting sqref="C69:D69">
    <cfRule type="cellIs" dxfId="1139" priority="73" stopIfTrue="1" operator="greaterThan">
      <formula>$J69</formula>
    </cfRule>
    <cfRule type="cellIs" dxfId="1138" priority="74" stopIfTrue="1" operator="lessThanOrEqual">
      <formula>0</formula>
    </cfRule>
  </conditionalFormatting>
  <conditionalFormatting sqref="C75:D75 D77:D83">
    <cfRule type="cellIs" dxfId="1137" priority="180" stopIfTrue="1" operator="greaterThan">
      <formula>4.5</formula>
    </cfRule>
  </conditionalFormatting>
  <conditionalFormatting sqref="D44:D45">
    <cfRule type="cellIs" dxfId="1136" priority="113" operator="notBetween">
      <formula>#REF!</formula>
      <formula>#REF!</formula>
    </cfRule>
  </conditionalFormatting>
  <conditionalFormatting sqref="D64:D68 D70:D71">
    <cfRule type="cellIs" dxfId="1135" priority="83" stopIfTrue="1" operator="lessThanOrEqual">
      <formula>0</formula>
    </cfRule>
  </conditionalFormatting>
  <conditionalFormatting sqref="D64:D68 D70:D73">
    <cfRule type="cellIs" dxfId="1134" priority="80" stopIfTrue="1" operator="greaterThan">
      <formula>$F64</formula>
    </cfRule>
    <cfRule type="cellIs" dxfId="1133" priority="79" stopIfTrue="1" operator="lessThanOrEqual">
      <formula>0</formula>
    </cfRule>
  </conditionalFormatting>
  <conditionalFormatting sqref="D72:D73">
    <cfRule type="cellIs" dxfId="1132" priority="81" stopIfTrue="1" operator="lessThanOrEqual">
      <formula>0</formula>
    </cfRule>
  </conditionalFormatting>
  <conditionalFormatting sqref="D73">
    <cfRule type="cellIs" dxfId="1131" priority="82" stopIfTrue="1" operator="lessThanOrEqual">
      <formula>0</formula>
    </cfRule>
  </conditionalFormatting>
  <conditionalFormatting sqref="D75 D77:D83">
    <cfRule type="cellIs" dxfId="1130" priority="181" stopIfTrue="1" operator="lessThanOrEqual">
      <formula>0</formula>
    </cfRule>
  </conditionalFormatting>
  <conditionalFormatting sqref="D76">
    <cfRule type="cellIs" dxfId="1129" priority="172" stopIfTrue="1" operator="greaterThan">
      <formula>$F$75</formula>
    </cfRule>
    <cfRule type="cellIs" dxfId="1128" priority="173" stopIfTrue="1" operator="lessThanOrEqual">
      <formula>0</formula>
    </cfRule>
  </conditionalFormatting>
  <conditionalFormatting sqref="E10:E19">
    <cfRule type="cellIs" dxfId="1127" priority="17" operator="lessThan">
      <formula>48</formula>
    </cfRule>
  </conditionalFormatting>
  <conditionalFormatting sqref="E47 E48:F48">
    <cfRule type="cellIs" dxfId="1126" priority="177" stopIfTrue="1" operator="greaterThan">
      <formula>100</formula>
    </cfRule>
  </conditionalFormatting>
  <conditionalFormatting sqref="E48">
    <cfRule type="cellIs" dxfId="1125" priority="175" stopIfTrue="1" operator="greaterThan">
      <formula>100</formula>
    </cfRule>
    <cfRule type="cellIs" dxfId="1124" priority="174" stopIfTrue="1" operator="lessThan">
      <formula>96.8</formula>
    </cfRule>
  </conditionalFormatting>
  <conditionalFormatting sqref="E64:E72">
    <cfRule type="cellIs" dxfId="1123" priority="46" stopIfTrue="1" operator="lessThanOrEqual">
      <formula>0</formula>
    </cfRule>
  </conditionalFormatting>
  <conditionalFormatting sqref="E64:E73">
    <cfRule type="cellIs" dxfId="1122" priority="47" stopIfTrue="1" operator="greaterThan">
      <formula>$F64</formula>
    </cfRule>
    <cfRule type="cellIs" dxfId="1121" priority="48" stopIfTrue="1" operator="lessThanOrEqual">
      <formula>0</formula>
    </cfRule>
  </conditionalFormatting>
  <conditionalFormatting sqref="E73">
    <cfRule type="cellIs" dxfId="1120" priority="49" stopIfTrue="1" operator="lessThanOrEqual">
      <formula>0</formula>
    </cfRule>
  </conditionalFormatting>
  <conditionalFormatting sqref="E75:E83">
    <cfRule type="cellIs" dxfId="1119" priority="166" stopIfTrue="1" operator="greaterThan">
      <formula>4.5</formula>
    </cfRule>
    <cfRule type="cellIs" dxfId="1118" priority="167" stopIfTrue="1" operator="lessThanOrEqual">
      <formula>0</formula>
    </cfRule>
  </conditionalFormatting>
  <conditionalFormatting sqref="E48:F48 E47">
    <cfRule type="cellIs" dxfId="1117" priority="176" stopIfTrue="1" operator="lessThan">
      <formula>96.5</formula>
    </cfRule>
  </conditionalFormatting>
  <conditionalFormatting sqref="F10:F19">
    <cfRule type="cellIs" dxfId="1116" priority="18" operator="greaterThan">
      <formula>60</formula>
    </cfRule>
  </conditionalFormatting>
  <conditionalFormatting sqref="F48">
    <cfRule type="cellIs" dxfId="1115" priority="192" stopIfTrue="1" operator="lessThan">
      <formula>96.8</formula>
    </cfRule>
    <cfRule type="cellIs" dxfId="1114" priority="193" stopIfTrue="1" operator="greaterThan">
      <formula>100</formula>
    </cfRule>
  </conditionalFormatting>
  <conditionalFormatting sqref="G10:G18 M10:N18 H10:H19">
    <cfRule type="expression" dxfId="1113" priority="21">
      <formula>IF(+(IF(G10&lt;#REF!,0,IF(G10&gt;#REF!,0,1)))=0,1)</formula>
    </cfRule>
  </conditionalFormatting>
  <conditionalFormatting sqref="G19">
    <cfRule type="expression" dxfId="1112" priority="20">
      <formula>IF(+(IF(G19&lt;S19,0,IF(G19&gt;T19,0,1)))=0,1)</formula>
    </cfRule>
  </conditionalFormatting>
  <conditionalFormatting sqref="G64:G67 F73">
    <cfRule type="cellIs" dxfId="1111" priority="55" stopIfTrue="1" operator="greaterThan">
      <formula>$F64</formula>
    </cfRule>
    <cfRule type="cellIs" dxfId="1110" priority="56" stopIfTrue="1" operator="lessThanOrEqual">
      <formula>0</formula>
    </cfRule>
  </conditionalFormatting>
  <conditionalFormatting sqref="G66:G67">
    <cfRule type="cellIs" dxfId="1109" priority="42" stopIfTrue="1" operator="lessThanOrEqual">
      <formula>0</formula>
    </cfRule>
    <cfRule type="cellIs" dxfId="1108" priority="41" stopIfTrue="1" operator="greaterThan">
      <formula>$F66</formula>
    </cfRule>
  </conditionalFormatting>
  <conditionalFormatting sqref="G68:G72">
    <cfRule type="cellIs" dxfId="1107" priority="58" stopIfTrue="1" operator="lessThanOrEqual">
      <formula>0</formula>
    </cfRule>
    <cfRule type="cellIs" dxfId="1106" priority="57" stopIfTrue="1" operator="greaterThan">
      <formula>$J68</formula>
    </cfRule>
  </conditionalFormatting>
  <conditionalFormatting sqref="G69">
    <cfRule type="cellIs" dxfId="1105" priority="200" stopIfTrue="1" operator="greaterThan">
      <formula>$F64</formula>
    </cfRule>
    <cfRule type="cellIs" dxfId="1104" priority="201" stopIfTrue="1" operator="lessThanOrEqual">
      <formula>0</formula>
    </cfRule>
  </conditionalFormatting>
  <conditionalFormatting sqref="G77:G82 C80 C82">
    <cfRule type="cellIs" dxfId="1103" priority="190" stopIfTrue="1" operator="lessThanOrEqual">
      <formula>0</formula>
    </cfRule>
    <cfRule type="cellIs" dxfId="1102" priority="189" stopIfTrue="1" operator="greaterThan">
      <formula>4.5</formula>
    </cfRule>
  </conditionalFormatting>
  <conditionalFormatting sqref="G76:H76">
    <cfRule type="cellIs" dxfId="1101" priority="171" stopIfTrue="1" operator="lessThanOrEqual">
      <formula>0</formula>
    </cfRule>
    <cfRule type="cellIs" dxfId="1100" priority="170" stopIfTrue="1" operator="greaterThan">
      <formula>$F$75</formula>
    </cfRule>
  </conditionalFormatting>
  <conditionalFormatting sqref="H33:H34 H47">
    <cfRule type="cellIs" dxfId="1099" priority="168" stopIfTrue="1" operator="greaterThan">
      <formula>0</formula>
    </cfRule>
  </conditionalFormatting>
  <conditionalFormatting sqref="H51">
    <cfRule type="cellIs" dxfId="1098" priority="61" stopIfTrue="1" operator="greaterThan">
      <formula>$F$64</formula>
    </cfRule>
    <cfRule type="cellIs" dxfId="1097" priority="69" stopIfTrue="1" operator="greaterThan">
      <formula>$F$67</formula>
    </cfRule>
    <cfRule type="cellIs" dxfId="1096" priority="70" stopIfTrue="1" operator="lessThanOrEqual">
      <formula>0</formula>
    </cfRule>
    <cfRule type="cellIs" dxfId="1095" priority="71" stopIfTrue="1" operator="greaterThan">
      <formula>$F$65</formula>
    </cfRule>
    <cfRule type="cellIs" dxfId="1094" priority="60" stopIfTrue="1" operator="lessThanOrEqual">
      <formula>0</formula>
    </cfRule>
  </conditionalFormatting>
  <conditionalFormatting sqref="H51:H52">
    <cfRule type="cellIs" dxfId="1093" priority="72" stopIfTrue="1" operator="lessThanOrEqual">
      <formula>0</formula>
    </cfRule>
  </conditionalFormatting>
  <conditionalFormatting sqref="H52 H54:H55">
    <cfRule type="cellIs" dxfId="1092" priority="98" stopIfTrue="1" operator="lessThanOrEqual">
      <formula>0</formula>
    </cfRule>
  </conditionalFormatting>
  <conditionalFormatting sqref="H52">
    <cfRule type="cellIs" dxfId="1091" priority="95" stopIfTrue="1" operator="greaterThan">
      <formula>$F$67</formula>
    </cfRule>
    <cfRule type="cellIs" dxfId="1090" priority="97" stopIfTrue="1" operator="greaterThan">
      <formula>$F$65</formula>
    </cfRule>
    <cfRule type="cellIs" dxfId="1089" priority="96" stopIfTrue="1" operator="lessThanOrEqual">
      <formula>0</formula>
    </cfRule>
    <cfRule type="cellIs" dxfId="1088" priority="87" stopIfTrue="1" operator="greaterThan">
      <formula>$F$64</formula>
    </cfRule>
  </conditionalFormatting>
  <conditionalFormatting sqref="H53">
    <cfRule type="cellIs" dxfId="1087" priority="27" stopIfTrue="1" operator="lessThanOrEqual">
      <formula>0</formula>
    </cfRule>
    <cfRule type="cellIs" dxfId="1086" priority="28" stopIfTrue="1" operator="greaterThan">
      <formula>$F$66</formula>
    </cfRule>
    <cfRule type="cellIs" dxfId="1085" priority="36" stopIfTrue="1" operator="greaterThan">
      <formula>$F$69</formula>
    </cfRule>
    <cfRule type="cellIs" dxfId="1084" priority="37" stopIfTrue="1" operator="lessThanOrEqual">
      <formula>0</formula>
    </cfRule>
    <cfRule type="cellIs" dxfId="1083" priority="38" stopIfTrue="1" operator="greaterThan">
      <formula>$F$67</formula>
    </cfRule>
    <cfRule type="cellIs" dxfId="1082" priority="39" stopIfTrue="1" operator="lessThanOrEqual">
      <formula>0</formula>
    </cfRule>
  </conditionalFormatting>
  <conditionalFormatting sqref="H54:H55">
    <cfRule type="cellIs" dxfId="1081" priority="110" stopIfTrue="1" operator="greaterThan">
      <formula>$F$65</formula>
    </cfRule>
    <cfRule type="cellIs" dxfId="1080" priority="109" stopIfTrue="1" operator="lessThanOrEqual">
      <formula>0</formula>
    </cfRule>
    <cfRule type="cellIs" dxfId="1079" priority="108" stopIfTrue="1" operator="greaterThan">
      <formula>$F$67</formula>
    </cfRule>
    <cfRule type="cellIs" dxfId="1078" priority="100" stopIfTrue="1" operator="greaterThan">
      <formula>$F$64</formula>
    </cfRule>
    <cfRule type="cellIs" dxfId="1077" priority="111" stopIfTrue="1" operator="lessThanOrEqual">
      <formula>0</formula>
    </cfRule>
  </conditionalFormatting>
  <conditionalFormatting sqref="H56:H57">
    <cfRule type="cellIs" dxfId="1076" priority="135" stopIfTrue="1" operator="lessThanOrEqual">
      <formula>0</formula>
    </cfRule>
    <cfRule type="cellIs" dxfId="1075" priority="144" stopIfTrue="1" operator="greaterThan">
      <formula>#REF!</formula>
    </cfRule>
    <cfRule type="cellIs" dxfId="1074" priority="145" stopIfTrue="1" operator="lessThanOrEqual">
      <formula>0</formula>
    </cfRule>
    <cfRule type="cellIs" dxfId="1073" priority="136" stopIfTrue="1" operator="greaterThan">
      <formula>#REF!</formula>
    </cfRule>
  </conditionalFormatting>
  <conditionalFormatting sqref="H58">
    <cfRule type="cellIs" dxfId="1072" priority="159" stopIfTrue="1" operator="lessThanOrEqual">
      <formula>0</formula>
    </cfRule>
    <cfRule type="cellIs" dxfId="1071" priority="147" stopIfTrue="1" operator="lessThanOrEqual">
      <formula>0</formula>
    </cfRule>
    <cfRule type="cellIs" dxfId="1070" priority="148" stopIfTrue="1" operator="greaterThan">
      <formula>$F$32</formula>
    </cfRule>
    <cfRule type="cellIs" dxfId="1069" priority="158" stopIfTrue="1" operator="greaterThan">
      <formula>$F$33</formula>
    </cfRule>
    <cfRule type="cellIs" dxfId="1068" priority="157" stopIfTrue="1" operator="lessThanOrEqual">
      <formula>0</formula>
    </cfRule>
    <cfRule type="cellIs" dxfId="1067" priority="156" stopIfTrue="1" operator="greaterThan">
      <formula>$F$35</formula>
    </cfRule>
  </conditionalFormatting>
  <conditionalFormatting sqref="H59:H60">
    <cfRule type="cellIs" dxfId="1066" priority="132" stopIfTrue="1" operator="greaterThan">
      <formula>#REF!</formula>
    </cfRule>
    <cfRule type="cellIs" dxfId="1065" priority="124" stopIfTrue="1" operator="greaterThan">
      <formula>#REF!</formula>
    </cfRule>
    <cfRule type="cellIs" dxfId="1064" priority="123" stopIfTrue="1" operator="lessThanOrEqual">
      <formula>0</formula>
    </cfRule>
    <cfRule type="cellIs" dxfId="1063" priority="133" stopIfTrue="1" operator="lessThanOrEqual">
      <formula>0</formula>
    </cfRule>
  </conditionalFormatting>
  <conditionalFormatting sqref="H75 H77:H83">
    <cfRule type="cellIs" dxfId="1062" priority="182" stopIfTrue="1" operator="greaterThan">
      <formula>4.5</formula>
    </cfRule>
    <cfRule type="cellIs" dxfId="1061" priority="183" stopIfTrue="1" operator="lessThanOrEqual">
      <formula>0</formula>
    </cfRule>
  </conditionalFormatting>
  <conditionalFormatting sqref="H51:I51">
    <cfRule type="cellIs" dxfId="1060" priority="62" stopIfTrue="1" operator="lessThanOrEqual">
      <formula>0</formula>
    </cfRule>
  </conditionalFormatting>
  <conditionalFormatting sqref="H51:I52 H54:I55">
    <cfRule type="cellIs" dxfId="1059" priority="59" stopIfTrue="1" operator="greaterThan">
      <formula>$F$66</formula>
    </cfRule>
  </conditionalFormatting>
  <conditionalFormatting sqref="H52:I52">
    <cfRule type="cellIs" dxfId="1058" priority="88" stopIfTrue="1" operator="lessThanOrEqual">
      <formula>0</formula>
    </cfRule>
  </conditionalFormatting>
  <conditionalFormatting sqref="H53:I53">
    <cfRule type="cellIs" dxfId="1057" priority="26" stopIfTrue="1" operator="greaterThan">
      <formula>$F$68</formula>
    </cfRule>
    <cfRule type="cellIs" dxfId="1056" priority="29" stopIfTrue="1" operator="lessThanOrEqual">
      <formula>0</formula>
    </cfRule>
  </conditionalFormatting>
  <conditionalFormatting sqref="H54:I55">
    <cfRule type="cellIs" dxfId="1055" priority="101" stopIfTrue="1" operator="lessThanOrEqual">
      <formula>0</formula>
    </cfRule>
  </conditionalFormatting>
  <conditionalFormatting sqref="H56:I57">
    <cfRule type="cellIs" dxfId="1054" priority="142" stopIfTrue="1" operator="greaterThan">
      <formula>#REF!</formula>
    </cfRule>
    <cfRule type="cellIs" dxfId="1053" priority="137" stopIfTrue="1" operator="lessThanOrEqual">
      <formula>0</formula>
    </cfRule>
    <cfRule type="cellIs" dxfId="1052" priority="143" stopIfTrue="1" operator="lessThanOrEqual">
      <formula>0</formula>
    </cfRule>
    <cfRule type="cellIs" dxfId="1051" priority="134" stopIfTrue="1" operator="greaterThan">
      <formula>#REF!</formula>
    </cfRule>
  </conditionalFormatting>
  <conditionalFormatting sqref="H58:I58">
    <cfRule type="cellIs" dxfId="1050" priority="146" stopIfTrue="1" operator="greaterThan">
      <formula>$F$34</formula>
    </cfRule>
    <cfRule type="cellIs" dxfId="1049" priority="149" stopIfTrue="1" operator="lessThanOrEqual">
      <formula>0</formula>
    </cfRule>
  </conditionalFormatting>
  <conditionalFormatting sqref="H59:I60">
    <cfRule type="cellIs" dxfId="1048" priority="122" stopIfTrue="1" operator="greaterThan">
      <formula>#REF!</formula>
    </cfRule>
    <cfRule type="cellIs" dxfId="1047" priority="125" stopIfTrue="1" operator="lessThanOrEqual">
      <formula>0</formula>
    </cfRule>
    <cfRule type="cellIs" dxfId="1046" priority="130" stopIfTrue="1" operator="greaterThan">
      <formula>#REF!</formula>
    </cfRule>
    <cfRule type="cellIs" dxfId="1045" priority="131" stopIfTrue="1" operator="lessThanOrEqual">
      <formula>0</formula>
    </cfRule>
  </conditionalFormatting>
  <conditionalFormatting sqref="H64:I71">
    <cfRule type="cellIs" dxfId="1044" priority="45" stopIfTrue="1" operator="lessThanOrEqual">
      <formula>0</formula>
    </cfRule>
    <cfRule type="cellIs" dxfId="1043" priority="44" stopIfTrue="1" operator="greaterThan">
      <formula>$J64</formula>
    </cfRule>
  </conditionalFormatting>
  <conditionalFormatting sqref="H72:I72">
    <cfRule type="cellIs" dxfId="1042" priority="52" operator="greaterThan">
      <formula>5.3</formula>
    </cfRule>
  </conditionalFormatting>
  <conditionalFormatting sqref="H73:I73">
    <cfRule type="cellIs" dxfId="1041" priority="51" stopIfTrue="1" operator="lessThanOrEqual">
      <formula>0</formula>
    </cfRule>
    <cfRule type="cellIs" dxfId="1040" priority="50" stopIfTrue="1" operator="greaterThan">
      <formula>$J73</formula>
    </cfRule>
  </conditionalFormatting>
  <conditionalFormatting sqref="I51">
    <cfRule type="cellIs" dxfId="1039" priority="65" stopIfTrue="1" operator="greaterThan">
      <formula>$F$66</formula>
    </cfRule>
    <cfRule type="cellIs" dxfId="1038" priority="64" stopIfTrue="1" operator="lessThanOrEqual">
      <formula>0</formula>
    </cfRule>
    <cfRule type="cellIs" dxfId="1037" priority="63" stopIfTrue="1" operator="greaterThan">
      <formula>$F$64</formula>
    </cfRule>
    <cfRule type="cellIs" dxfId="1036" priority="68" stopIfTrue="1" operator="lessThanOrEqual">
      <formula>0</formula>
    </cfRule>
    <cfRule type="cellIs" dxfId="1035" priority="67" stopIfTrue="1" operator="greaterThan">
      <formula>$F$64</formula>
    </cfRule>
    <cfRule type="cellIs" dxfId="1034" priority="66" stopIfTrue="1" operator="lessThanOrEqual">
      <formula>0</formula>
    </cfRule>
  </conditionalFormatting>
  <conditionalFormatting sqref="I52">
    <cfRule type="cellIs" dxfId="1033" priority="90" stopIfTrue="1" operator="lessThanOrEqual">
      <formula>0</formula>
    </cfRule>
    <cfRule type="cellIs" dxfId="1032" priority="89" stopIfTrue="1" operator="greaterThan">
      <formula>$F$64</formula>
    </cfRule>
    <cfRule type="cellIs" dxfId="1031" priority="94" stopIfTrue="1" operator="lessThanOrEqual">
      <formula>0</formula>
    </cfRule>
    <cfRule type="cellIs" dxfId="1030" priority="93" stopIfTrue="1" operator="greaterThan">
      <formula>$F$64</formula>
    </cfRule>
    <cfRule type="cellIs" dxfId="1029" priority="92" stopIfTrue="1" operator="lessThanOrEqual">
      <formula>0</formula>
    </cfRule>
    <cfRule type="cellIs" dxfId="1028" priority="91" stopIfTrue="1" operator="greaterThan">
      <formula>$F$66</formula>
    </cfRule>
  </conditionalFormatting>
  <conditionalFormatting sqref="I53">
    <cfRule type="cellIs" dxfId="1027" priority="34" stopIfTrue="1" operator="greaterThan">
      <formula>$F$66</formula>
    </cfRule>
    <cfRule type="cellIs" dxfId="1026" priority="33" stopIfTrue="1" operator="lessThanOrEqual">
      <formula>0</formula>
    </cfRule>
    <cfRule type="cellIs" dxfId="1025" priority="32" stopIfTrue="1" operator="greaterThan">
      <formula>$F$68</formula>
    </cfRule>
    <cfRule type="cellIs" dxfId="1024" priority="31" stopIfTrue="1" operator="lessThanOrEqual">
      <formula>0</formula>
    </cfRule>
    <cfRule type="cellIs" dxfId="1023" priority="30" stopIfTrue="1" operator="greaterThan">
      <formula>$F$66</formula>
    </cfRule>
    <cfRule type="cellIs" dxfId="1022" priority="35" stopIfTrue="1" operator="lessThanOrEqual">
      <formula>0</formula>
    </cfRule>
  </conditionalFormatting>
  <conditionalFormatting sqref="I54:I55">
    <cfRule type="cellIs" dxfId="1021" priority="105" stopIfTrue="1" operator="lessThanOrEqual">
      <formula>0</formula>
    </cfRule>
    <cfRule type="cellIs" dxfId="1020" priority="106" stopIfTrue="1" operator="greaterThan">
      <formula>$F$64</formula>
    </cfRule>
    <cfRule type="cellIs" dxfId="1019" priority="107" stopIfTrue="1" operator="lessThanOrEqual">
      <formula>0</formula>
    </cfRule>
    <cfRule type="cellIs" dxfId="1018" priority="102" stopIfTrue="1" operator="greaterThan">
      <formula>$F$64</formula>
    </cfRule>
    <cfRule type="cellIs" dxfId="1017" priority="103" stopIfTrue="1" operator="lessThanOrEqual">
      <formula>0</formula>
    </cfRule>
    <cfRule type="cellIs" dxfId="1016" priority="104" stopIfTrue="1" operator="greaterThan">
      <formula>$F$66</formula>
    </cfRule>
  </conditionalFormatting>
  <conditionalFormatting sqref="I56:I57">
    <cfRule type="cellIs" dxfId="1015" priority="138" stopIfTrue="1" operator="greaterThan">
      <formula>#REF!</formula>
    </cfRule>
    <cfRule type="cellIs" dxfId="1014" priority="141" stopIfTrue="1" operator="lessThanOrEqual">
      <formula>0</formula>
    </cfRule>
    <cfRule type="cellIs" dxfId="1013" priority="140" stopIfTrue="1" operator="greaterThan">
      <formula>#REF!</formula>
    </cfRule>
    <cfRule type="cellIs" dxfId="1012" priority="139" stopIfTrue="1" operator="lessThanOrEqual">
      <formula>0</formula>
    </cfRule>
  </conditionalFormatting>
  <conditionalFormatting sqref="I58">
    <cfRule type="cellIs" dxfId="1011" priority="153" stopIfTrue="1" operator="lessThanOrEqual">
      <formula>0</formula>
    </cfRule>
    <cfRule type="cellIs" dxfId="1010" priority="154" stopIfTrue="1" operator="greaterThan">
      <formula>$F$32</formula>
    </cfRule>
    <cfRule type="cellIs" dxfId="1009" priority="155" stopIfTrue="1" operator="lessThanOrEqual">
      <formula>0</formula>
    </cfRule>
    <cfRule type="cellIs" dxfId="1008" priority="152" stopIfTrue="1" operator="greaterThan">
      <formula>$F$34</formula>
    </cfRule>
    <cfRule type="cellIs" dxfId="1007" priority="151" stopIfTrue="1" operator="lessThanOrEqual">
      <formula>0</formula>
    </cfRule>
    <cfRule type="cellIs" dxfId="1006" priority="150" stopIfTrue="1" operator="greaterThan">
      <formula>$F$32</formula>
    </cfRule>
  </conditionalFormatting>
  <conditionalFormatting sqref="I59:I60">
    <cfRule type="cellIs" dxfId="1005" priority="126" stopIfTrue="1" operator="greaterThan">
      <formula>#REF!</formula>
    </cfRule>
    <cfRule type="cellIs" dxfId="1004" priority="127" stopIfTrue="1" operator="lessThanOrEqual">
      <formula>0</formula>
    </cfRule>
    <cfRule type="cellIs" dxfId="1003" priority="128" stopIfTrue="1" operator="greaterThan">
      <formula>#REF!</formula>
    </cfRule>
    <cfRule type="cellIs" dxfId="1002" priority="129" stopIfTrue="1" operator="lessThanOrEqual">
      <formula>0</formula>
    </cfRule>
  </conditionalFormatting>
  <conditionalFormatting sqref="I75:I83">
    <cfRule type="cellIs" dxfId="1001" priority="179" stopIfTrue="1" operator="lessThanOrEqual">
      <formula>0</formula>
    </cfRule>
    <cfRule type="cellIs" dxfId="1000" priority="178" stopIfTrue="1" operator="greaterThan">
      <formula>4.5</formula>
    </cfRule>
  </conditionalFormatting>
  <conditionalFormatting sqref="I10:J19">
    <cfRule type="cellIs" dxfId="999" priority="11" operator="lessThan">
      <formula>97.9</formula>
    </cfRule>
  </conditionalFormatting>
  <conditionalFormatting sqref="J22:J24">
    <cfRule type="cellIs" dxfId="998" priority="25" operator="lessThan">
      <formula>97.95</formula>
    </cfRule>
  </conditionalFormatting>
  <conditionalFormatting sqref="J23:J26">
    <cfRule type="cellIs" dxfId="997" priority="160" operator="lessThan">
      <formula>97.4</formula>
    </cfRule>
  </conditionalFormatting>
  <conditionalFormatting sqref="J27:J28">
    <cfRule type="cellIs" dxfId="996" priority="161" operator="lessThan">
      <formula>98</formula>
    </cfRule>
  </conditionalFormatting>
  <conditionalFormatting sqref="J29:J30">
    <cfRule type="cellIs" dxfId="995" priority="162" stopIfTrue="1" operator="lessThan">
      <formula>96.8</formula>
    </cfRule>
    <cfRule type="cellIs" dxfId="994" priority="163" stopIfTrue="1" operator="greaterThan">
      <formula>100</formula>
    </cfRule>
  </conditionalFormatting>
  <conditionalFormatting sqref="J29:J31">
    <cfRule type="cellIs" dxfId="993" priority="164" operator="lessThan">
      <formula>98</formula>
    </cfRule>
  </conditionalFormatting>
  <conditionalFormatting sqref="J60">
    <cfRule type="cellIs" dxfId="992" priority="118" stopIfTrue="1" operator="greaterThan">
      <formula>#REF!</formula>
    </cfRule>
    <cfRule type="cellIs" dxfId="991" priority="119" stopIfTrue="1" operator="lessThanOrEqual">
      <formula>0</formula>
    </cfRule>
    <cfRule type="cellIs" dxfId="990" priority="120" stopIfTrue="1" operator="greaterThan">
      <formula>#REF!</formula>
    </cfRule>
    <cfRule type="cellIs" dxfId="989" priority="121" stopIfTrue="1" operator="lessThanOrEqual">
      <formula>0</formula>
    </cfRule>
    <cfRule type="cellIs" dxfId="988" priority="114" stopIfTrue="1" operator="greaterThan">
      <formula>#REF!</formula>
    </cfRule>
    <cfRule type="cellIs" dxfId="987" priority="115" stopIfTrue="1" operator="lessThanOrEqual">
      <formula>0</formula>
    </cfRule>
    <cfRule type="cellIs" dxfId="986" priority="116" stopIfTrue="1" operator="greaterThan">
      <formula>#REF!</formula>
    </cfRule>
    <cfRule type="cellIs" dxfId="985" priority="117" stopIfTrue="1" operator="lessThanOrEqual">
      <formula>0</formula>
    </cfRule>
  </conditionalFormatting>
  <conditionalFormatting sqref="J73">
    <cfRule type="cellIs" dxfId="984" priority="53" stopIfTrue="1" operator="greaterThan">
      <formula>$F73</formula>
    </cfRule>
    <cfRule type="cellIs" dxfId="983" priority="54" stopIfTrue="1" operator="lessThanOrEqual">
      <formula>0</formula>
    </cfRule>
  </conditionalFormatting>
  <conditionalFormatting sqref="K10:K19">
    <cfRule type="cellIs" dxfId="982" priority="13" operator="lessThan">
      <formula>4</formula>
    </cfRule>
    <cfRule type="cellIs" dxfId="981" priority="12" operator="greaterThan">
      <formula>6</formula>
    </cfRule>
    <cfRule type="cellIs" dxfId="980" priority="14" operator="greaterThan">
      <formula>6.4</formula>
    </cfRule>
  </conditionalFormatting>
  <conditionalFormatting sqref="K51:K60">
    <cfRule type="cellIs" dxfId="979" priority="99" stopIfTrue="1" operator="lessThan">
      <formula>100%</formula>
    </cfRule>
  </conditionalFormatting>
  <conditionalFormatting sqref="K64:K72">
    <cfRule type="cellIs" dxfId="978" priority="43" stopIfTrue="1" operator="lessThan">
      <formula>100%</formula>
    </cfRule>
  </conditionalFormatting>
  <conditionalFormatting sqref="K75:K80">
    <cfRule type="cellIs" dxfId="977" priority="184" stopIfTrue="1" operator="lessThan">
      <formula>100%</formula>
    </cfRule>
  </conditionalFormatting>
  <conditionalFormatting sqref="K82:K83">
    <cfRule type="cellIs" dxfId="976" priority="191" stopIfTrue="1" operator="lessThan">
      <formula>100%</formula>
    </cfRule>
  </conditionalFormatting>
  <conditionalFormatting sqref="L10:L19">
    <cfRule type="cellIs" dxfId="975" priority="15" operator="between">
      <formula>61</formula>
      <formula>65</formula>
    </cfRule>
    <cfRule type="cellIs" dxfId="974" priority="16" operator="greaterThan">
      <formula>65</formula>
    </cfRule>
  </conditionalFormatting>
  <conditionalFormatting sqref="L22:M33">
    <cfRule type="cellIs" dxfId="973" priority="24" operator="lessThan">
      <formula>97.95</formula>
    </cfRule>
  </conditionalFormatting>
  <conditionalFormatting sqref="L37:N37">
    <cfRule type="cellIs" dxfId="972" priority="22" operator="notEqual">
      <formula>#REF!</formula>
    </cfRule>
  </conditionalFormatting>
  <conditionalFormatting sqref="L64:N73">
    <cfRule type="cellIs" dxfId="971" priority="40" stopIfTrue="1" operator="lessThan">
      <formula>100%</formula>
    </cfRule>
  </conditionalFormatting>
  <conditionalFormatting sqref="L75:N83">
    <cfRule type="cellIs" dxfId="970" priority="169" stopIfTrue="1" operator="lessThan">
      <formula>100%</formula>
    </cfRule>
  </conditionalFormatting>
  <conditionalFormatting sqref="M19">
    <cfRule type="expression" dxfId="969" priority="19">
      <formula>IF(+(IF(M19&lt;U19,0,IF(M19&gt;V19,0,1)))=0,1)</formula>
    </cfRule>
  </conditionalFormatting>
  <conditionalFormatting sqref="N10:N19">
    <cfRule type="expression" dxfId="968" priority="23">
      <formula>IF(+(IF(N10&lt;W10,0,IF(N10&gt;X10,0,1)))=0,1)</formula>
    </cfRule>
  </conditionalFormatting>
  <conditionalFormatting sqref="P6">
    <cfRule type="cellIs" dxfId="967" priority="165" operator="greaterThanOrEqual">
      <formula>19</formula>
    </cfRule>
  </conditionalFormatting>
  <dataValidations count="1">
    <dataValidation type="list" allowBlank="1" showInputMessage="1" showErrorMessage="1" sqref="R8" xr:uid="{1F484ADC-9E53-4919-A3D5-733399EB16AF}">
      <formula1>ProductList</formula1>
    </dataValidation>
  </dataValidations>
  <pageMargins left="0.7" right="0.7" top="0.75" bottom="0.75" header="0.3" footer="0.3"/>
  <pageSetup scale="40" fitToWidth="0" orientation="landscape" r:id="rId1"/>
  <rowBreaks count="1" manualBreakCount="1">
    <brk id="77" max="16383" man="1"/>
  </rowBreaks>
  <colBreaks count="1" manualBreakCount="1">
    <brk id="15" max="89" man="1"/>
  </colBreaks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0F0909-350A-4AD5-817B-F9494AD15391}">
  <sheetPr>
    <pageSetUpPr fitToPage="1"/>
  </sheetPr>
  <dimension ref="A1:BE78"/>
  <sheetViews>
    <sheetView topLeftCell="A6" zoomScale="85" zoomScaleNormal="85" workbookViewId="0">
      <selection activeCell="H17" sqref="H17"/>
    </sheetView>
  </sheetViews>
  <sheetFormatPr defaultColWidth="9.42578125" defaultRowHeight="14.25"/>
  <cols>
    <col min="1" max="1" width="7.28515625" style="275" customWidth="1"/>
    <col min="2" max="2" width="31.28515625" style="275" customWidth="1"/>
    <col min="3" max="3" width="22.28515625" style="275" customWidth="1"/>
    <col min="4" max="7" width="16.5703125" style="275" customWidth="1"/>
    <col min="8" max="8" width="20.7109375" style="275" customWidth="1"/>
    <col min="9" max="9" width="31.42578125" style="275" customWidth="1"/>
    <col min="10" max="10" width="35.28515625" style="275" customWidth="1"/>
    <col min="11" max="11" width="29" style="275" customWidth="1"/>
    <col min="12" max="12" width="17.28515625" style="275" bestFit="1" customWidth="1"/>
    <col min="13" max="13" width="23.28515625" style="275" customWidth="1"/>
    <col min="14" max="14" width="13.7109375" style="275" bestFit="1" customWidth="1"/>
    <col min="15" max="15" width="17.5703125" style="275" customWidth="1"/>
    <col min="16" max="16" width="109.28515625" style="6" customWidth="1"/>
    <col min="17" max="17" width="16.5703125" style="275" customWidth="1"/>
    <col min="18" max="18" width="15.7109375" style="275" bestFit="1" customWidth="1"/>
    <col min="19" max="19" width="12.42578125" style="275" customWidth="1"/>
    <col min="20" max="20" width="15" style="275" customWidth="1"/>
    <col min="21" max="21" width="12" style="275" customWidth="1"/>
    <col min="22" max="22" width="10.42578125" style="275" customWidth="1"/>
    <col min="23" max="23" width="11.42578125" style="275" customWidth="1"/>
    <col min="24" max="24" width="10.42578125" style="275" customWidth="1"/>
    <col min="25" max="25" width="8.42578125" style="275" customWidth="1"/>
    <col min="26" max="26" width="9.5703125" style="275" customWidth="1"/>
    <col min="27" max="27" width="8.42578125" style="275" customWidth="1"/>
    <col min="28" max="29" width="7.5703125" style="275" customWidth="1"/>
    <col min="30" max="51" width="9.42578125" style="275"/>
    <col min="52" max="52" width="1.5703125" style="275" customWidth="1"/>
    <col min="53" max="54" width="9.42578125" style="275"/>
    <col min="55" max="56" width="15.42578125" style="275" customWidth="1"/>
    <col min="57" max="16384" width="9.42578125" style="275"/>
  </cols>
  <sheetData>
    <row r="1" spans="2:29" ht="1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R1" s="467"/>
      <c r="S1" s="553" t="s">
        <v>0</v>
      </c>
      <c r="T1" s="553"/>
      <c r="U1" s="553" t="s">
        <v>1</v>
      </c>
      <c r="V1" s="553"/>
      <c r="W1" s="553" t="s">
        <v>2</v>
      </c>
      <c r="X1" s="553"/>
      <c r="Y1" s="553" t="s">
        <v>124</v>
      </c>
      <c r="Z1" s="553"/>
    </row>
    <row r="2" spans="2:29" ht="15">
      <c r="B2" s="554" t="s">
        <v>3</v>
      </c>
      <c r="C2" s="554"/>
      <c r="D2" s="554"/>
      <c r="E2" s="554"/>
      <c r="F2" s="554"/>
      <c r="G2" s="554"/>
      <c r="H2" s="554"/>
      <c r="I2" s="554"/>
      <c r="J2" s="554"/>
      <c r="K2" s="554"/>
      <c r="L2" s="554"/>
      <c r="M2" s="554"/>
      <c r="N2" s="554"/>
      <c r="O2" s="554"/>
      <c r="P2" s="4"/>
      <c r="R2" s="467"/>
      <c r="S2" s="467" t="s">
        <v>4</v>
      </c>
      <c r="T2" s="467" t="s">
        <v>5</v>
      </c>
      <c r="U2" s="467" t="s">
        <v>4</v>
      </c>
      <c r="V2" s="467" t="s">
        <v>5</v>
      </c>
      <c r="W2" s="467" t="s">
        <v>4</v>
      </c>
      <c r="X2" s="467" t="s">
        <v>5</v>
      </c>
      <c r="Y2" s="467" t="s">
        <v>4</v>
      </c>
      <c r="Z2" s="467" t="s">
        <v>5</v>
      </c>
    </row>
    <row r="3" spans="2:29" ht="14.25" customHeight="1">
      <c r="B3" s="5"/>
      <c r="R3" s="467" t="s">
        <v>6</v>
      </c>
      <c r="S3" s="468">
        <v>11.6</v>
      </c>
      <c r="T3" s="469">
        <v>12</v>
      </c>
      <c r="U3" s="9">
        <v>0</v>
      </c>
      <c r="V3" s="10">
        <v>0.118055555555556</v>
      </c>
      <c r="W3" s="10">
        <v>0.22569444444444445</v>
      </c>
      <c r="X3" s="10">
        <v>0.2638888888888889</v>
      </c>
      <c r="Y3" s="470">
        <v>0</v>
      </c>
      <c r="Z3" s="468">
        <v>60</v>
      </c>
      <c r="AB3" s="275" t="s">
        <v>135</v>
      </c>
    </row>
    <row r="4" spans="2:29" ht="30.75" customHeight="1">
      <c r="B4" s="301" t="s">
        <v>133</v>
      </c>
      <c r="C4" s="419">
        <v>46289</v>
      </c>
      <c r="J4" s="398" t="s">
        <v>153</v>
      </c>
      <c r="K4" s="398"/>
      <c r="L4" s="11"/>
      <c r="M4" s="555" t="s">
        <v>8</v>
      </c>
      <c r="N4" s="556"/>
      <c r="P4" s="12"/>
      <c r="R4" s="467" t="s">
        <v>9</v>
      </c>
      <c r="S4" s="468">
        <v>11.6</v>
      </c>
      <c r="T4" s="469">
        <v>12</v>
      </c>
      <c r="U4" s="9">
        <v>0</v>
      </c>
      <c r="V4" s="10">
        <v>0.118055555555556</v>
      </c>
      <c r="W4" s="10">
        <v>0.22569444444444445</v>
      </c>
      <c r="X4" s="10">
        <v>0.2638888888888889</v>
      </c>
      <c r="Y4" s="470">
        <v>0</v>
      </c>
      <c r="Z4" s="468">
        <v>60</v>
      </c>
      <c r="AA4" s="13"/>
      <c r="AB4" s="13"/>
      <c r="AC4" s="13"/>
    </row>
    <row r="5" spans="2:29" ht="12.75" customHeight="1" thickBot="1">
      <c r="B5" s="1"/>
      <c r="C5" s="549"/>
      <c r="D5" s="549"/>
      <c r="J5" s="403"/>
      <c r="K5" s="403"/>
      <c r="L5" s="11"/>
      <c r="M5" s="14" t="s">
        <v>10</v>
      </c>
      <c r="N5" s="14" t="s">
        <v>11</v>
      </c>
      <c r="P5" s="12"/>
      <c r="R5" s="467" t="s">
        <v>12</v>
      </c>
      <c r="S5" s="468">
        <v>17</v>
      </c>
      <c r="T5" s="469">
        <v>17.5</v>
      </c>
      <c r="U5" s="9">
        <v>0</v>
      </c>
      <c r="V5" s="10">
        <v>0.1076388888888889</v>
      </c>
      <c r="W5" s="10">
        <v>0.24652777777777779</v>
      </c>
      <c r="X5" s="10">
        <v>0.28472222222222221</v>
      </c>
      <c r="Y5" s="470">
        <v>0</v>
      </c>
      <c r="Z5" s="471">
        <v>60</v>
      </c>
      <c r="AA5" s="13"/>
      <c r="AB5" s="13"/>
      <c r="AC5" s="13"/>
    </row>
    <row r="6" spans="2:29" ht="14.25" customHeight="1">
      <c r="B6" s="15"/>
      <c r="C6" s="1"/>
      <c r="D6" s="1"/>
      <c r="J6" s="399" t="s">
        <v>168</v>
      </c>
      <c r="K6" s="400"/>
      <c r="L6" s="311" t="s">
        <v>14</v>
      </c>
      <c r="M6" s="340"/>
      <c r="N6" s="340"/>
      <c r="P6" s="16"/>
      <c r="R6" s="467" t="s">
        <v>15</v>
      </c>
      <c r="S6" s="468">
        <v>13.3</v>
      </c>
      <c r="T6" s="469">
        <v>13.5</v>
      </c>
      <c r="U6" s="9">
        <v>0</v>
      </c>
      <c r="V6" s="9">
        <v>0.12905092592592593</v>
      </c>
      <c r="W6" s="10">
        <v>0.27430555555555552</v>
      </c>
      <c r="X6" s="10">
        <v>0.30208333333333331</v>
      </c>
      <c r="Y6" s="470">
        <v>0</v>
      </c>
      <c r="Z6" s="471"/>
      <c r="AA6" s="13"/>
      <c r="AB6" s="13"/>
      <c r="AC6" s="13"/>
    </row>
    <row r="7" spans="2:29" ht="13.35" customHeight="1" thickBot="1">
      <c r="J7" s="401"/>
      <c r="K7" s="402"/>
      <c r="R7" s="467" t="s">
        <v>16</v>
      </c>
      <c r="S7" s="468">
        <v>17</v>
      </c>
      <c r="T7" s="469">
        <v>17.399999999999999</v>
      </c>
      <c r="U7" s="9">
        <v>0</v>
      </c>
      <c r="V7" s="9">
        <v>0.13605324074074074</v>
      </c>
      <c r="W7" s="10">
        <v>0.27430555555555552</v>
      </c>
      <c r="X7" s="10">
        <v>0.30902777777777779</v>
      </c>
      <c r="Y7" s="470">
        <v>0</v>
      </c>
      <c r="Z7" s="471">
        <v>85</v>
      </c>
      <c r="AA7" s="13"/>
      <c r="AB7" s="13"/>
      <c r="AC7" s="13"/>
    </row>
    <row r="8" spans="2:29" ht="25.5" customHeight="1">
      <c r="B8" s="507" t="s">
        <v>17</v>
      </c>
      <c r="C8" s="516" t="s">
        <v>18</v>
      </c>
      <c r="D8" s="516" t="s">
        <v>19</v>
      </c>
      <c r="E8" s="356" t="s">
        <v>20</v>
      </c>
      <c r="F8" s="356" t="s">
        <v>21</v>
      </c>
      <c r="G8" s="516" t="s">
        <v>22</v>
      </c>
      <c r="H8" s="551" t="s">
        <v>144</v>
      </c>
      <c r="I8" s="516" t="s">
        <v>167</v>
      </c>
      <c r="J8" s="542" t="s">
        <v>23</v>
      </c>
      <c r="K8" s="544" t="s">
        <v>142</v>
      </c>
      <c r="L8" s="546" t="s">
        <v>24</v>
      </c>
      <c r="M8" s="359" t="s">
        <v>25</v>
      </c>
      <c r="N8" s="17" t="s">
        <v>166</v>
      </c>
      <c r="O8" s="516" t="s">
        <v>155</v>
      </c>
      <c r="P8" s="548"/>
      <c r="R8" s="467" t="s">
        <v>125</v>
      </c>
      <c r="S8" s="468">
        <v>16.600000000000001</v>
      </c>
      <c r="T8" s="469">
        <v>17</v>
      </c>
      <c r="U8" s="9">
        <v>0</v>
      </c>
      <c r="V8" s="9">
        <v>0.12905092592592593</v>
      </c>
      <c r="W8" s="10">
        <v>0.27430555555555552</v>
      </c>
      <c r="X8" s="10">
        <v>0.30208333333333331</v>
      </c>
      <c r="Y8" s="470">
        <v>0</v>
      </c>
      <c r="Z8" s="471"/>
    </row>
    <row r="9" spans="2:29" ht="36" customHeight="1">
      <c r="B9" s="550"/>
      <c r="C9" s="541"/>
      <c r="D9" s="541"/>
      <c r="E9" s="357" t="s">
        <v>30</v>
      </c>
      <c r="F9" s="357" t="s">
        <v>31</v>
      </c>
      <c r="G9" s="541"/>
      <c r="H9" s="552"/>
      <c r="I9" s="541"/>
      <c r="J9" s="543"/>
      <c r="K9" s="545"/>
      <c r="L9" s="547"/>
      <c r="M9" s="20" t="s">
        <v>32</v>
      </c>
      <c r="N9" s="21" t="s">
        <v>41</v>
      </c>
      <c r="O9" s="541"/>
      <c r="P9" s="541"/>
      <c r="R9" s="467" t="s">
        <v>33</v>
      </c>
      <c r="S9" s="468">
        <v>14.2</v>
      </c>
      <c r="T9" s="469">
        <v>14.6</v>
      </c>
      <c r="U9" s="9">
        <v>0</v>
      </c>
      <c r="V9" s="9">
        <v>0.13905092592592591</v>
      </c>
      <c r="W9" s="10">
        <v>0.26041666666666669</v>
      </c>
      <c r="X9" s="10">
        <v>0.2951388888888889</v>
      </c>
      <c r="Y9" s="470">
        <v>0</v>
      </c>
      <c r="Z9" s="471">
        <v>75</v>
      </c>
    </row>
    <row r="10" spans="2:29" ht="15" customHeight="1">
      <c r="B10" s="29" t="s">
        <v>6</v>
      </c>
      <c r="C10" s="366" t="str">
        <f>[4]Brewhouse!$A769</f>
        <v>CA720</v>
      </c>
      <c r="D10" s="279">
        <f>[4]Brewhouse!$AF769</f>
        <v>49.5</v>
      </c>
      <c r="E10" s="279">
        <f>[4]Brewhouse!$AI769</f>
        <v>50</v>
      </c>
      <c r="F10" s="278">
        <f>[4]Brewhouse!$V769</f>
        <v>56</v>
      </c>
      <c r="G10" s="279">
        <f>[4]Brewhouse!AG769</f>
        <v>11.9</v>
      </c>
      <c r="H10" s="396">
        <v>11.9</v>
      </c>
      <c r="I10" s="368">
        <f>[4]Brewhouse!$AU769</f>
        <v>98.344995127617665</v>
      </c>
      <c r="J10" s="368">
        <f>[4]Brewhouse!$AV769</f>
        <v>99.452240385302474</v>
      </c>
      <c r="K10" s="281">
        <f>[4]Brewhouse!$Q769</f>
        <v>9.8336414048059151</v>
      </c>
      <c r="L10" s="276">
        <f>[4]Brewhouse!$P769</f>
        <v>57</v>
      </c>
      <c r="M10" s="374">
        <f>[4]Brewhouse!$U769-[4]Brewhouse!$T769</f>
        <v>0.10625000000000001</v>
      </c>
      <c r="N10" s="370">
        <f>[4]Brewhouse!$Z769</f>
        <v>0.27152777777777781</v>
      </c>
      <c r="O10" s="420" t="str">
        <f>[4]Brewhouse!$AX769</f>
        <v>R. Sookram</v>
      </c>
      <c r="P10" s="418"/>
      <c r="R10" s="277" t="str">
        <f t="shared" ref="R10:R19" si="0">B10</f>
        <v>CARIB</v>
      </c>
      <c r="S10" s="472">
        <f t="shared" ref="S10:S19" si="1">VLOOKUP($B10,$R$3:$X$9,2,FALSE)</f>
        <v>11.6</v>
      </c>
      <c r="T10" s="472">
        <f t="shared" ref="T10:T19" si="2">VLOOKUP($B10,$R$3:$X$9,3,FALSE)</f>
        <v>12</v>
      </c>
      <c r="U10" s="297">
        <f t="shared" ref="U10:U19" si="3">VLOOKUP($B10,$R$3:$X$9,4,FALSE)</f>
        <v>0</v>
      </c>
      <c r="V10" s="297">
        <f t="shared" ref="V10:V19" si="4">VLOOKUP($B10,$R$3:$X$9,5,FALSE)</f>
        <v>0.118055555555556</v>
      </c>
      <c r="W10" s="297">
        <f t="shared" ref="W10:W19" si="5">VLOOKUP($B10,$R$3:$X$9,6,FALSE)</f>
        <v>0.22569444444444445</v>
      </c>
      <c r="X10" s="297">
        <f t="shared" ref="X10:X19" si="6">VLOOKUP($B10,$R$3:$X$9,7,FALSE)</f>
        <v>0.2638888888888889</v>
      </c>
      <c r="Y10" s="297">
        <f t="shared" ref="Y10:Y19" si="7">VLOOKUP($B10,$R$3:$Z$9,8,FALSE)</f>
        <v>0</v>
      </c>
      <c r="Z10" s="472">
        <f t="shared" ref="Z10:Z19" si="8">VLOOKUP($B10,$R$3:$Z$9,9,FALSE)</f>
        <v>60</v>
      </c>
    </row>
    <row r="11" spans="2:29" ht="15" customHeight="1">
      <c r="B11" s="29" t="s">
        <v>6</v>
      </c>
      <c r="C11" s="366" t="str">
        <f>[4]Brewhouse!$A770</f>
        <v>CA721</v>
      </c>
      <c r="D11" s="279">
        <f>[4]Brewhouse!$AF770</f>
        <v>49.9</v>
      </c>
      <c r="E11" s="279">
        <f>[4]Brewhouse!$AI770</f>
        <v>50.5</v>
      </c>
      <c r="F11" s="278">
        <f>[4]Brewhouse!$V770</f>
        <v>68</v>
      </c>
      <c r="G11" s="279">
        <f>[4]Brewhouse!AG770</f>
        <v>11.9</v>
      </c>
      <c r="H11" s="493">
        <v>12.3</v>
      </c>
      <c r="I11" s="368">
        <f>[4]Brewhouse!$AU770</f>
        <v>99.451654839471487</v>
      </c>
      <c r="J11" s="368">
        <f>[4]Brewhouse!$AV770</f>
        <v>100.57128617533446</v>
      </c>
      <c r="K11" s="281">
        <f>[4]Brewhouse!$Q770</f>
        <v>9.6666666666666643</v>
      </c>
      <c r="L11" s="276">
        <f>[4]Brewhouse!$P770</f>
        <v>61</v>
      </c>
      <c r="M11" s="374">
        <f>[4]Brewhouse!$U770-[4]Brewhouse!$T770</f>
        <v>0.11736111111111108</v>
      </c>
      <c r="N11" s="370">
        <f>[4]Brewhouse!$Z770</f>
        <v>0.25902777777777775</v>
      </c>
      <c r="O11" s="420" t="str">
        <f>[4]Brewhouse!$AX770</f>
        <v>R. Sookram</v>
      </c>
      <c r="P11" s="418"/>
      <c r="R11" s="277" t="str">
        <f t="shared" si="0"/>
        <v>CARIB</v>
      </c>
      <c r="S11" s="472">
        <f t="shared" si="1"/>
        <v>11.6</v>
      </c>
      <c r="T11" s="472">
        <f t="shared" si="2"/>
        <v>12</v>
      </c>
      <c r="U11" s="297">
        <f t="shared" si="3"/>
        <v>0</v>
      </c>
      <c r="V11" s="297">
        <f t="shared" si="4"/>
        <v>0.118055555555556</v>
      </c>
      <c r="W11" s="297">
        <f t="shared" si="5"/>
        <v>0.22569444444444445</v>
      </c>
      <c r="X11" s="297">
        <f t="shared" si="6"/>
        <v>0.2638888888888889</v>
      </c>
      <c r="Y11" s="297">
        <f t="shared" si="7"/>
        <v>0</v>
      </c>
      <c r="Z11" s="472">
        <f t="shared" si="8"/>
        <v>60</v>
      </c>
    </row>
    <row r="12" spans="2:29" ht="15" customHeight="1">
      <c r="B12" s="29" t="s">
        <v>6</v>
      </c>
      <c r="C12" s="366" t="str">
        <f>[4]Brewhouse!$A771</f>
        <v>CA722</v>
      </c>
      <c r="D12" s="279">
        <f>[4]Brewhouse!$AF771</f>
        <v>50.4</v>
      </c>
      <c r="E12" s="279">
        <f>[4]Brewhouse!$AI771</f>
        <v>51</v>
      </c>
      <c r="F12" s="278">
        <f>[4]Brewhouse!$V771</f>
        <v>59</v>
      </c>
      <c r="G12" s="279">
        <f>[4]Brewhouse!AG771</f>
        <v>11.9</v>
      </c>
      <c r="H12" s="493">
        <v>12.2</v>
      </c>
      <c r="I12" s="368">
        <f>[4]Brewhouse!$AU771</f>
        <v>100.31189503016999</v>
      </c>
      <c r="J12" s="368">
        <f>[4]Brewhouse!$AV771</f>
        <v>101.4412851930085</v>
      </c>
      <c r="K12" s="281">
        <f>[4]Brewhouse!$Q771</f>
        <v>9.4814814814814774</v>
      </c>
      <c r="L12" s="276">
        <f>[4]Brewhouse!$P771</f>
        <v>60</v>
      </c>
      <c r="M12" s="374">
        <f>[4]Brewhouse!$U771-[4]Brewhouse!$T771</f>
        <v>0.11041666666666661</v>
      </c>
      <c r="N12" s="370">
        <f>[4]Brewhouse!$Z771</f>
        <v>0.2493055555555555</v>
      </c>
      <c r="O12" s="420" t="str">
        <f>[4]Brewhouse!$AX771</f>
        <v>R. Sookram</v>
      </c>
      <c r="P12" s="418"/>
      <c r="R12" s="277" t="str">
        <f t="shared" si="0"/>
        <v>CARIB</v>
      </c>
      <c r="S12" s="472">
        <f t="shared" si="1"/>
        <v>11.6</v>
      </c>
      <c r="T12" s="472">
        <f t="shared" si="2"/>
        <v>12</v>
      </c>
      <c r="U12" s="297">
        <f t="shared" si="3"/>
        <v>0</v>
      </c>
      <c r="V12" s="297">
        <f t="shared" si="4"/>
        <v>0.118055555555556</v>
      </c>
      <c r="W12" s="297">
        <f t="shared" si="5"/>
        <v>0.22569444444444445</v>
      </c>
      <c r="X12" s="297">
        <f t="shared" si="6"/>
        <v>0.2638888888888889</v>
      </c>
      <c r="Y12" s="297">
        <f t="shared" si="7"/>
        <v>0</v>
      </c>
      <c r="Z12" s="472">
        <f t="shared" si="8"/>
        <v>60</v>
      </c>
    </row>
    <row r="13" spans="2:29" ht="15" customHeight="1">
      <c r="B13" s="29" t="s">
        <v>6</v>
      </c>
      <c r="C13" s="366" t="str">
        <f>[4]Brewhouse!$A772</f>
        <v>CA723</v>
      </c>
      <c r="D13" s="279">
        <f>[4]Brewhouse!$AF772</f>
        <v>48.6</v>
      </c>
      <c r="E13" s="279">
        <f>[4]Brewhouse!$AI772</f>
        <v>48.7</v>
      </c>
      <c r="F13" s="278">
        <f>[4]Brewhouse!$V772</f>
        <v>59</v>
      </c>
      <c r="G13" s="279">
        <f>[4]Brewhouse!AG772</f>
        <v>11.9</v>
      </c>
      <c r="H13" s="396">
        <v>11.9</v>
      </c>
      <c r="I13" s="368">
        <f>[4]Brewhouse!$AU772</f>
        <v>96.86810648616374</v>
      </c>
      <c r="J13" s="368">
        <f>[4]Brewhouse!$AV772</f>
        <v>97.958072410159915</v>
      </c>
      <c r="K13" s="281">
        <f>[4]Brewhouse!$Q772</f>
        <v>12.975970425138639</v>
      </c>
      <c r="L13" s="276">
        <f>[4]Brewhouse!$P772</f>
        <v>59</v>
      </c>
      <c r="M13" s="374">
        <f>[4]Brewhouse!$U772-[4]Brewhouse!$T772</f>
        <v>0.11388888888888893</v>
      </c>
      <c r="N13" s="370">
        <f>[4]Brewhouse!$Z772</f>
        <v>0.25138888888888888</v>
      </c>
      <c r="O13" s="420" t="str">
        <f>[4]Brewhouse!$AX772</f>
        <v>K. Benjamin</v>
      </c>
      <c r="P13" s="418"/>
      <c r="R13" s="277" t="str">
        <f t="shared" si="0"/>
        <v>CARIB</v>
      </c>
      <c r="S13" s="472">
        <f t="shared" si="1"/>
        <v>11.6</v>
      </c>
      <c r="T13" s="472">
        <f t="shared" si="2"/>
        <v>12</v>
      </c>
      <c r="U13" s="297">
        <f t="shared" si="3"/>
        <v>0</v>
      </c>
      <c r="V13" s="297">
        <f t="shared" si="4"/>
        <v>0.118055555555556</v>
      </c>
      <c r="W13" s="297">
        <f t="shared" si="5"/>
        <v>0.22569444444444445</v>
      </c>
      <c r="X13" s="297">
        <f t="shared" si="6"/>
        <v>0.2638888888888889</v>
      </c>
      <c r="Y13" s="297">
        <f t="shared" si="7"/>
        <v>0</v>
      </c>
      <c r="Z13" s="472">
        <f t="shared" si="8"/>
        <v>60</v>
      </c>
    </row>
    <row r="14" spans="2:29" ht="15" customHeight="1">
      <c r="B14" s="29" t="s">
        <v>6</v>
      </c>
      <c r="C14" s="366" t="str">
        <f>[4]Brewhouse!$A773</f>
        <v>CA724</v>
      </c>
      <c r="D14" s="279">
        <f>[4]Brewhouse!$AF773</f>
        <v>50.9</v>
      </c>
      <c r="E14" s="279">
        <f>[4]Brewhouse!$AI773</f>
        <v>51.5</v>
      </c>
      <c r="F14" s="278">
        <f>[4]Brewhouse!$V773</f>
        <v>60</v>
      </c>
      <c r="G14" s="279">
        <f>[4]Brewhouse!AG773</f>
        <v>12</v>
      </c>
      <c r="H14" s="396">
        <v>11.9</v>
      </c>
      <c r="I14" s="368">
        <f>[4]Brewhouse!$AU773</f>
        <v>99.961185685422222</v>
      </c>
      <c r="J14" s="368">
        <f>[4]Brewhouse!$AV773</f>
        <v>101.08792764347305</v>
      </c>
      <c r="K14" s="281">
        <f>[4]Brewhouse!$Q773</f>
        <v>11.682070240295749</v>
      </c>
      <c r="L14" s="276">
        <f>[4]Brewhouse!$P773</f>
        <v>61</v>
      </c>
      <c r="M14" s="374">
        <f>[4]Brewhouse!$U773-[4]Brewhouse!$T773</f>
        <v>0.11319444444444438</v>
      </c>
      <c r="N14" s="370">
        <f>[4]Brewhouse!$Z773</f>
        <v>0.25069444444444444</v>
      </c>
      <c r="O14" s="420" t="str">
        <f>[4]Brewhouse!$AX773</f>
        <v>R. Regis</v>
      </c>
      <c r="P14" s="418"/>
      <c r="R14" s="277" t="str">
        <f t="shared" si="0"/>
        <v>CARIB</v>
      </c>
      <c r="S14" s="472">
        <f t="shared" si="1"/>
        <v>11.6</v>
      </c>
      <c r="T14" s="472">
        <f t="shared" si="2"/>
        <v>12</v>
      </c>
      <c r="U14" s="297">
        <f t="shared" si="3"/>
        <v>0</v>
      </c>
      <c r="V14" s="297">
        <f t="shared" si="4"/>
        <v>0.118055555555556</v>
      </c>
      <c r="W14" s="297">
        <f t="shared" si="5"/>
        <v>0.22569444444444445</v>
      </c>
      <c r="X14" s="297">
        <f t="shared" si="6"/>
        <v>0.2638888888888889</v>
      </c>
      <c r="Y14" s="297">
        <f t="shared" si="7"/>
        <v>0</v>
      </c>
      <c r="Z14" s="472">
        <f t="shared" si="8"/>
        <v>60</v>
      </c>
    </row>
    <row r="15" spans="2:29" ht="15" customHeight="1">
      <c r="B15" s="29" t="s">
        <v>6</v>
      </c>
      <c r="C15" s="366" t="str">
        <f>[4]Brewhouse!$A774</f>
        <v>CA725</v>
      </c>
      <c r="D15" s="279">
        <f>[4]Brewhouse!$AF774</f>
        <v>50.6</v>
      </c>
      <c r="E15" s="279">
        <f>[4]Brewhouse!$AI774</f>
        <v>51.2</v>
      </c>
      <c r="F15" s="278">
        <f>[4]Brewhouse!$V774</f>
        <v>56</v>
      </c>
      <c r="G15" s="279">
        <f>[4]Brewhouse!AG774</f>
        <v>11.8</v>
      </c>
      <c r="H15" s="396">
        <v>11.8</v>
      </c>
      <c r="I15" s="368">
        <f>[4]Brewhouse!$AU774</f>
        <v>99.939323457500208</v>
      </c>
      <c r="J15" s="368">
        <f>[4]Brewhouse!$AV774</f>
        <v>101.06444498924922</v>
      </c>
      <c r="K15" s="281">
        <f>[4]Brewhouse!$Q774</f>
        <v>10.757855822550832</v>
      </c>
      <c r="L15" s="276">
        <f>[4]Brewhouse!$P774</f>
        <v>60</v>
      </c>
      <c r="M15" s="374">
        <f>[4]Brewhouse!$U774-[4]Brewhouse!$T774</f>
        <v>0.11041666666666661</v>
      </c>
      <c r="N15" s="370">
        <f>[4]Brewhouse!$Z774</f>
        <v>0.24513888888888891</v>
      </c>
      <c r="O15" s="420" t="str">
        <f>[4]Brewhouse!$AX774</f>
        <v>R. Regis</v>
      </c>
      <c r="P15" s="418"/>
      <c r="R15" s="277" t="str">
        <f t="shared" si="0"/>
        <v>CARIB</v>
      </c>
      <c r="S15" s="472">
        <f t="shared" si="1"/>
        <v>11.6</v>
      </c>
      <c r="T15" s="472">
        <f t="shared" si="2"/>
        <v>12</v>
      </c>
      <c r="U15" s="297">
        <f t="shared" si="3"/>
        <v>0</v>
      </c>
      <c r="V15" s="297">
        <f t="shared" si="4"/>
        <v>0.118055555555556</v>
      </c>
      <c r="W15" s="297">
        <f t="shared" si="5"/>
        <v>0.22569444444444445</v>
      </c>
      <c r="X15" s="297">
        <f t="shared" si="6"/>
        <v>0.2638888888888889</v>
      </c>
      <c r="Y15" s="297">
        <f t="shared" si="7"/>
        <v>0</v>
      </c>
      <c r="Z15" s="472">
        <f t="shared" si="8"/>
        <v>60</v>
      </c>
    </row>
    <row r="16" spans="2:29" ht="15" customHeight="1">
      <c r="B16" s="29" t="s">
        <v>6</v>
      </c>
      <c r="C16" s="366" t="str">
        <f>[4]Brewhouse!$A775</f>
        <v>CA726</v>
      </c>
      <c r="D16" s="279">
        <f>[4]Brewhouse!$AF775</f>
        <v>49.6</v>
      </c>
      <c r="E16" s="279">
        <f>[4]Brewhouse!$AI775</f>
        <v>50.9</v>
      </c>
      <c r="F16" s="278">
        <f>[4]Brewhouse!$V775</f>
        <v>55</v>
      </c>
      <c r="G16" s="279">
        <f>[4]Brewhouse!AG775</f>
        <v>11.9</v>
      </c>
      <c r="H16" s="396">
        <v>11.9</v>
      </c>
      <c r="I16" s="368">
        <f>[4]Brewhouse!$AU775</f>
        <v>99.86775451447069</v>
      </c>
      <c r="J16" s="368">
        <f>[4]Brewhouse!$AV775</f>
        <v>100.99229139587653</v>
      </c>
      <c r="K16" s="281">
        <f>[4]Brewhouse!$Q775</f>
        <v>11.127541589648803</v>
      </c>
      <c r="L16" s="276">
        <f>[4]Brewhouse!$P775</f>
        <v>62</v>
      </c>
      <c r="M16" s="374">
        <f>[4]Brewhouse!$U775-[4]Brewhouse!$T775</f>
        <v>0.1069444444444444</v>
      </c>
      <c r="N16" s="370">
        <f>[4]Brewhouse!$Z775</f>
        <v>0.23958333333333326</v>
      </c>
      <c r="O16" s="420" t="str">
        <f>[4]Brewhouse!$AX775</f>
        <v>R. Regis</v>
      </c>
      <c r="P16" s="418"/>
      <c r="R16" s="277" t="str">
        <f t="shared" si="0"/>
        <v>CARIB</v>
      </c>
      <c r="S16" s="472">
        <f t="shared" si="1"/>
        <v>11.6</v>
      </c>
      <c r="T16" s="472">
        <f t="shared" si="2"/>
        <v>12</v>
      </c>
      <c r="U16" s="297">
        <f t="shared" si="3"/>
        <v>0</v>
      </c>
      <c r="V16" s="297">
        <f t="shared" si="4"/>
        <v>0.118055555555556</v>
      </c>
      <c r="W16" s="297">
        <f t="shared" si="5"/>
        <v>0.22569444444444445</v>
      </c>
      <c r="X16" s="297">
        <f t="shared" si="6"/>
        <v>0.2638888888888889</v>
      </c>
      <c r="Y16" s="297">
        <f t="shared" si="7"/>
        <v>0</v>
      </c>
      <c r="Z16" s="472">
        <f t="shared" si="8"/>
        <v>60</v>
      </c>
    </row>
    <row r="17" spans="1:26" ht="15" customHeight="1">
      <c r="B17" s="29" t="s">
        <v>6</v>
      </c>
      <c r="C17" s="366" t="str">
        <f>[4]Brewhouse!$A776</f>
        <v>CA727</v>
      </c>
      <c r="D17" s="279">
        <f>[4]Brewhouse!$AF776</f>
        <v>50.2</v>
      </c>
      <c r="E17" s="279">
        <f>[4]Brewhouse!$AI776</f>
        <v>50.8</v>
      </c>
      <c r="F17" s="278">
        <f>[4]Brewhouse!$V776</f>
        <v>58</v>
      </c>
      <c r="G17" s="279">
        <f>[4]Brewhouse!AG776</f>
        <v>11.8</v>
      </c>
      <c r="H17" s="396">
        <v>11.8</v>
      </c>
      <c r="I17" s="368">
        <f>[4]Brewhouse!$AU776</f>
        <v>98.790918499925468</v>
      </c>
      <c r="J17" s="368">
        <f>[4]Brewhouse!$AV776</f>
        <v>99.903329927830626</v>
      </c>
      <c r="K17" s="281">
        <f>[4]Brewhouse!$Q776</f>
        <v>11.497227356746762</v>
      </c>
      <c r="L17" s="276">
        <f>[4]Brewhouse!$P776</f>
        <v>58</v>
      </c>
      <c r="M17" s="374">
        <f>[4]Brewhouse!$U776-[4]Brewhouse!$T776</f>
        <v>0.12291666666666656</v>
      </c>
      <c r="N17" s="370">
        <f>[4]Brewhouse!$Z776</f>
        <v>0.25902777777777775</v>
      </c>
      <c r="O17" s="420" t="str">
        <f>[4]Brewhouse!$AX776</f>
        <v>R. Regis</v>
      </c>
      <c r="P17" s="418"/>
      <c r="R17" s="277" t="str">
        <f t="shared" si="0"/>
        <v>CARIB</v>
      </c>
      <c r="S17" s="472">
        <f t="shared" si="1"/>
        <v>11.6</v>
      </c>
      <c r="T17" s="472">
        <f t="shared" si="2"/>
        <v>12</v>
      </c>
      <c r="U17" s="297">
        <f t="shared" si="3"/>
        <v>0</v>
      </c>
      <c r="V17" s="297">
        <f t="shared" si="4"/>
        <v>0.118055555555556</v>
      </c>
      <c r="W17" s="297">
        <f t="shared" si="5"/>
        <v>0.22569444444444445</v>
      </c>
      <c r="X17" s="297">
        <f t="shared" si="6"/>
        <v>0.2638888888888889</v>
      </c>
      <c r="Y17" s="297">
        <f t="shared" si="7"/>
        <v>0</v>
      </c>
      <c r="Z17" s="472">
        <f t="shared" si="8"/>
        <v>60</v>
      </c>
    </row>
    <row r="18" spans="1:26" ht="15" customHeight="1">
      <c r="B18" s="29"/>
      <c r="C18" s="366"/>
      <c r="D18" s="279"/>
      <c r="E18" s="279"/>
      <c r="F18" s="278"/>
      <c r="G18" s="279"/>
      <c r="H18" s="396"/>
      <c r="I18" s="368"/>
      <c r="J18" s="368"/>
      <c r="K18" s="281"/>
      <c r="L18" s="276"/>
      <c r="M18" s="374"/>
      <c r="N18" s="370"/>
      <c r="O18" s="420"/>
      <c r="P18" s="418"/>
      <c r="R18" s="277">
        <f t="shared" si="0"/>
        <v>0</v>
      </c>
      <c r="S18" s="472" t="e">
        <f t="shared" si="1"/>
        <v>#N/A</v>
      </c>
      <c r="T18" s="472" t="e">
        <f t="shared" si="2"/>
        <v>#N/A</v>
      </c>
      <c r="U18" s="297" t="e">
        <f t="shared" si="3"/>
        <v>#N/A</v>
      </c>
      <c r="V18" s="297" t="e">
        <f t="shared" si="4"/>
        <v>#N/A</v>
      </c>
      <c r="W18" s="297" t="e">
        <f t="shared" si="5"/>
        <v>#N/A</v>
      </c>
      <c r="X18" s="297" t="e">
        <f t="shared" si="6"/>
        <v>#N/A</v>
      </c>
      <c r="Y18" s="297" t="e">
        <f t="shared" si="7"/>
        <v>#N/A</v>
      </c>
      <c r="Z18" s="472" t="e">
        <f t="shared" si="8"/>
        <v>#N/A</v>
      </c>
    </row>
    <row r="19" spans="1:26" ht="15" customHeight="1">
      <c r="B19" s="29"/>
      <c r="C19" s="366"/>
      <c r="D19" s="279"/>
      <c r="E19" s="279"/>
      <c r="F19" s="278"/>
      <c r="G19" s="279"/>
      <c r="H19" s="396"/>
      <c r="I19" s="368"/>
      <c r="J19" s="368"/>
      <c r="K19" s="281"/>
      <c r="L19" s="276"/>
      <c r="M19" s="374"/>
      <c r="N19" s="370"/>
      <c r="O19" s="420"/>
      <c r="P19" s="418"/>
      <c r="R19" s="277">
        <f t="shared" si="0"/>
        <v>0</v>
      </c>
      <c r="S19" s="472" t="e">
        <f t="shared" si="1"/>
        <v>#N/A</v>
      </c>
      <c r="T19" s="472" t="e">
        <f t="shared" si="2"/>
        <v>#N/A</v>
      </c>
      <c r="U19" s="297" t="e">
        <f t="shared" si="3"/>
        <v>#N/A</v>
      </c>
      <c r="V19" s="297" t="e">
        <f t="shared" si="4"/>
        <v>#N/A</v>
      </c>
      <c r="W19" s="297" t="e">
        <f t="shared" si="5"/>
        <v>#N/A</v>
      </c>
      <c r="X19" s="297" t="e">
        <f t="shared" si="6"/>
        <v>#N/A</v>
      </c>
      <c r="Y19" s="297" t="e">
        <f t="shared" si="7"/>
        <v>#N/A</v>
      </c>
      <c r="Z19" s="472" t="e">
        <f t="shared" si="8"/>
        <v>#N/A</v>
      </c>
    </row>
    <row r="20" spans="1:26" ht="15" hidden="1" customHeight="1">
      <c r="B20" s="29"/>
      <c r="C20" s="366"/>
      <c r="D20" s="279"/>
      <c r="E20" s="279"/>
      <c r="F20" s="278"/>
      <c r="G20" s="279"/>
      <c r="H20" s="396"/>
      <c r="I20" s="368"/>
      <c r="J20" s="368"/>
      <c r="K20" s="281"/>
      <c r="L20" s="276"/>
      <c r="M20" s="374"/>
      <c r="N20" s="370"/>
      <c r="O20" s="420"/>
      <c r="P20" s="418"/>
      <c r="R20" s="277">
        <f t="shared" ref="R20:R38" si="9">B20</f>
        <v>0</v>
      </c>
      <c r="S20" s="472" t="e">
        <f t="shared" ref="S20:S38" si="10">VLOOKUP($B20,$R$3:$X$9,2,FALSE)</f>
        <v>#N/A</v>
      </c>
      <c r="T20" s="472" t="e">
        <f t="shared" ref="T20:T38" si="11">VLOOKUP($B20,$R$3:$X$9,3,FALSE)</f>
        <v>#N/A</v>
      </c>
      <c r="U20" s="297" t="e">
        <f t="shared" ref="U20:U38" si="12">VLOOKUP($B20,$R$3:$X$9,4,FALSE)</f>
        <v>#N/A</v>
      </c>
      <c r="V20" s="297" t="e">
        <f t="shared" ref="V20:V38" si="13">VLOOKUP($B20,$R$3:$X$9,5,FALSE)</f>
        <v>#N/A</v>
      </c>
      <c r="W20" s="297" t="e">
        <f t="shared" ref="W20:W38" si="14">VLOOKUP($B20,$R$3:$X$9,6,FALSE)</f>
        <v>#N/A</v>
      </c>
      <c r="X20" s="297" t="e">
        <f t="shared" ref="X20:X38" si="15">VLOOKUP($B20,$R$3:$X$9,7,FALSE)</f>
        <v>#N/A</v>
      </c>
      <c r="Y20" s="297" t="e">
        <f t="shared" ref="Y20:Y38" si="16">VLOOKUP($B20,$R$3:$Z$9,8,FALSE)</f>
        <v>#N/A</v>
      </c>
      <c r="Z20" s="472" t="e">
        <f t="shared" ref="Z20:Z38" si="17">VLOOKUP($B20,$R$3:$Z$9,9,FALSE)</f>
        <v>#N/A</v>
      </c>
    </row>
    <row r="21" spans="1:26" ht="15" hidden="1" customHeight="1">
      <c r="B21" s="29"/>
      <c r="C21" s="366"/>
      <c r="D21" s="279"/>
      <c r="E21" s="279"/>
      <c r="F21" s="278"/>
      <c r="G21" s="279"/>
      <c r="H21" s="396"/>
      <c r="I21" s="368"/>
      <c r="J21" s="368"/>
      <c r="K21" s="281"/>
      <c r="L21" s="276"/>
      <c r="M21" s="374"/>
      <c r="N21" s="370"/>
      <c r="O21" s="420"/>
      <c r="P21" s="418"/>
      <c r="R21" s="277">
        <f t="shared" si="9"/>
        <v>0</v>
      </c>
      <c r="S21" s="472" t="e">
        <f t="shared" si="10"/>
        <v>#N/A</v>
      </c>
      <c r="T21" s="472" t="e">
        <f t="shared" si="11"/>
        <v>#N/A</v>
      </c>
      <c r="U21" s="297" t="e">
        <f t="shared" si="12"/>
        <v>#N/A</v>
      </c>
      <c r="V21" s="297" t="e">
        <f t="shared" si="13"/>
        <v>#N/A</v>
      </c>
      <c r="W21" s="297" t="e">
        <f t="shared" si="14"/>
        <v>#N/A</v>
      </c>
      <c r="X21" s="297" t="e">
        <f t="shared" si="15"/>
        <v>#N/A</v>
      </c>
      <c r="Y21" s="297" t="e">
        <f t="shared" si="16"/>
        <v>#N/A</v>
      </c>
      <c r="Z21" s="472" t="e">
        <f t="shared" si="17"/>
        <v>#N/A</v>
      </c>
    </row>
    <row r="22" spans="1:26" ht="15" hidden="1" customHeight="1">
      <c r="B22" s="29"/>
      <c r="C22" s="366"/>
      <c r="D22" s="279"/>
      <c r="E22" s="279"/>
      <c r="F22" s="278"/>
      <c r="G22" s="279"/>
      <c r="H22" s="396"/>
      <c r="I22" s="368"/>
      <c r="J22" s="368"/>
      <c r="K22" s="281"/>
      <c r="L22" s="276"/>
      <c r="M22" s="374"/>
      <c r="N22" s="370"/>
      <c r="O22" s="420"/>
      <c r="P22" s="418"/>
      <c r="R22" s="277">
        <f t="shared" si="9"/>
        <v>0</v>
      </c>
      <c r="S22" s="472" t="e">
        <f t="shared" si="10"/>
        <v>#N/A</v>
      </c>
      <c r="T22" s="472" t="e">
        <f t="shared" si="11"/>
        <v>#N/A</v>
      </c>
      <c r="U22" s="297" t="e">
        <f t="shared" si="12"/>
        <v>#N/A</v>
      </c>
      <c r="V22" s="297" t="e">
        <f t="shared" si="13"/>
        <v>#N/A</v>
      </c>
      <c r="W22" s="297" t="e">
        <f t="shared" si="14"/>
        <v>#N/A</v>
      </c>
      <c r="X22" s="297" t="e">
        <f t="shared" si="15"/>
        <v>#N/A</v>
      </c>
      <c r="Y22" s="297" t="e">
        <f t="shared" si="16"/>
        <v>#N/A</v>
      </c>
      <c r="Z22" s="472" t="e">
        <f t="shared" si="17"/>
        <v>#N/A</v>
      </c>
    </row>
    <row r="23" spans="1:26" ht="15" hidden="1" customHeight="1">
      <c r="B23" s="29"/>
      <c r="C23" s="366"/>
      <c r="D23" s="279"/>
      <c r="E23" s="279"/>
      <c r="F23" s="278"/>
      <c r="G23" s="279"/>
      <c r="H23" s="396"/>
      <c r="I23" s="368"/>
      <c r="J23" s="368"/>
      <c r="K23" s="281"/>
      <c r="L23" s="276"/>
      <c r="M23" s="374"/>
      <c r="N23" s="370"/>
      <c r="O23" s="420"/>
      <c r="P23" s="418"/>
      <c r="R23" s="277">
        <f t="shared" si="9"/>
        <v>0</v>
      </c>
      <c r="S23" s="472" t="e">
        <f t="shared" si="10"/>
        <v>#N/A</v>
      </c>
      <c r="T23" s="472" t="e">
        <f t="shared" si="11"/>
        <v>#N/A</v>
      </c>
      <c r="U23" s="297" t="e">
        <f t="shared" si="12"/>
        <v>#N/A</v>
      </c>
      <c r="V23" s="297" t="e">
        <f t="shared" si="13"/>
        <v>#N/A</v>
      </c>
      <c r="W23" s="297" t="e">
        <f t="shared" si="14"/>
        <v>#N/A</v>
      </c>
      <c r="X23" s="297" t="e">
        <f t="shared" si="15"/>
        <v>#N/A</v>
      </c>
      <c r="Y23" s="297" t="e">
        <f t="shared" si="16"/>
        <v>#N/A</v>
      </c>
      <c r="Z23" s="472" t="e">
        <f t="shared" si="17"/>
        <v>#N/A</v>
      </c>
    </row>
    <row r="24" spans="1:26" ht="15" hidden="1" customHeight="1">
      <c r="B24" s="36"/>
      <c r="C24" s="366"/>
      <c r="D24" s="279"/>
      <c r="E24" s="279"/>
      <c r="F24" s="278"/>
      <c r="G24" s="279"/>
      <c r="H24" s="396"/>
      <c r="I24" s="489"/>
      <c r="J24" s="489"/>
      <c r="K24" s="490"/>
      <c r="L24" s="276"/>
      <c r="M24" s="374"/>
      <c r="N24" s="370"/>
      <c r="O24" s="420"/>
      <c r="P24" s="418"/>
      <c r="R24" s="277">
        <f t="shared" si="9"/>
        <v>0</v>
      </c>
      <c r="S24" s="472" t="e">
        <f t="shared" si="10"/>
        <v>#N/A</v>
      </c>
      <c r="T24" s="472" t="e">
        <f t="shared" si="11"/>
        <v>#N/A</v>
      </c>
      <c r="U24" s="297" t="e">
        <f t="shared" si="12"/>
        <v>#N/A</v>
      </c>
      <c r="V24" s="297" t="e">
        <f t="shared" si="13"/>
        <v>#N/A</v>
      </c>
      <c r="W24" s="297" t="e">
        <f t="shared" si="14"/>
        <v>#N/A</v>
      </c>
      <c r="X24" s="297" t="e">
        <f t="shared" si="15"/>
        <v>#N/A</v>
      </c>
      <c r="Y24" s="297" t="e">
        <f t="shared" si="16"/>
        <v>#N/A</v>
      </c>
      <c r="Z24" s="472" t="e">
        <f t="shared" si="17"/>
        <v>#N/A</v>
      </c>
    </row>
    <row r="25" spans="1:26" ht="17.25" customHeight="1" thickBot="1">
      <c r="B25" s="358"/>
      <c r="C25" s="358"/>
      <c r="D25" s="358"/>
      <c r="E25" s="358"/>
      <c r="F25" s="294"/>
      <c r="G25" s="294"/>
      <c r="H25" s="348"/>
      <c r="I25" s="535"/>
      <c r="J25" s="535"/>
      <c r="K25" s="535"/>
      <c r="L25" s="535"/>
      <c r="M25" s="535"/>
      <c r="N25" s="535"/>
      <c r="O25" s="1"/>
      <c r="P25" s="12"/>
      <c r="R25" s="277">
        <f t="shared" si="9"/>
        <v>0</v>
      </c>
      <c r="S25" s="472" t="e">
        <f t="shared" si="10"/>
        <v>#N/A</v>
      </c>
      <c r="T25" s="472" t="e">
        <f t="shared" si="11"/>
        <v>#N/A</v>
      </c>
      <c r="U25" s="297" t="e">
        <f t="shared" si="12"/>
        <v>#N/A</v>
      </c>
      <c r="V25" s="297" t="e">
        <f t="shared" si="13"/>
        <v>#N/A</v>
      </c>
      <c r="W25" s="297" t="e">
        <f t="shared" si="14"/>
        <v>#N/A</v>
      </c>
      <c r="X25" s="297" t="e">
        <f t="shared" si="15"/>
        <v>#N/A</v>
      </c>
      <c r="Y25" s="297" t="e">
        <f t="shared" si="16"/>
        <v>#N/A</v>
      </c>
      <c r="Z25" s="472" t="e">
        <f t="shared" si="17"/>
        <v>#N/A</v>
      </c>
    </row>
    <row r="26" spans="1:26" ht="17.25" customHeight="1" thickBot="1">
      <c r="B26" s="483" t="s">
        <v>162</v>
      </c>
      <c r="C26" s="388"/>
      <c r="D26" s="536" t="s">
        <v>35</v>
      </c>
      <c r="E26" s="537"/>
      <c r="F26" s="294"/>
      <c r="G26" s="294"/>
      <c r="H26" s="348"/>
      <c r="I26" s="24" t="s">
        <v>17</v>
      </c>
      <c r="J26" s="25"/>
      <c r="K26" s="26" t="s">
        <v>138</v>
      </c>
      <c r="L26" s="25" t="s">
        <v>37</v>
      </c>
      <c r="M26" s="25" t="s">
        <v>38</v>
      </c>
      <c r="N26" s="27" t="s">
        <v>39</v>
      </c>
      <c r="O26" s="294"/>
      <c r="P26" s="12"/>
      <c r="R26" s="277" t="str">
        <f t="shared" si="9"/>
        <v xml:space="preserve">BRAND </v>
      </c>
      <c r="S26" s="472" t="e">
        <f t="shared" si="10"/>
        <v>#N/A</v>
      </c>
      <c r="T26" s="472" t="e">
        <f t="shared" si="11"/>
        <v>#N/A</v>
      </c>
      <c r="U26" s="297" t="e">
        <f t="shared" si="12"/>
        <v>#N/A</v>
      </c>
      <c r="V26" s="297" t="e">
        <f t="shared" si="13"/>
        <v>#N/A</v>
      </c>
      <c r="W26" s="297" t="e">
        <f t="shared" si="14"/>
        <v>#N/A</v>
      </c>
      <c r="X26" s="297" t="e">
        <f t="shared" si="15"/>
        <v>#N/A</v>
      </c>
      <c r="Y26" s="297" t="e">
        <f t="shared" si="16"/>
        <v>#N/A</v>
      </c>
      <c r="Z26" s="472" t="e">
        <f t="shared" si="17"/>
        <v>#N/A</v>
      </c>
    </row>
    <row r="27" spans="1:26" ht="17.25" customHeight="1">
      <c r="A27" s="28"/>
      <c r="B27" s="538"/>
      <c r="C27" s="484"/>
      <c r="D27" s="523"/>
      <c r="E27" s="524"/>
      <c r="F27" s="294"/>
      <c r="G27" s="294"/>
      <c r="H27" s="348"/>
      <c r="I27" s="29" t="s">
        <v>6</v>
      </c>
      <c r="J27" s="323">
        <f>AVERAGE(I10:I18)</f>
        <v>99.191979205092679</v>
      </c>
      <c r="K27" s="284">
        <f>COUNTA([4]Brewhouse!$A$696:$A$777)</f>
        <v>82</v>
      </c>
      <c r="L27" s="305">
        <f>AVERAGE([4]Brewhouse!$AU$696:$AU$777)</f>
        <v>98.708609088551611</v>
      </c>
      <c r="M27" s="305">
        <f>AVERAGE([4]Brewhouse!$AU$42:$AU$123,[4]Brewhouse!$AU$125:$AU$188,[4]Brewhouse!$AU$198:$AU$290,[4]Brewhouse!$AU$292:$AU$370,[4]Brewhouse!$AU$372:$AU$439,[4]Brewhouse!$AU$441:$AU$497,[4]Brewhouse!$AU$499:$AU$519,[4]Brewhouse!$AU$521:$AU$593,[4]Brewhouse!$AU$595:$AU$694,[4]Brewhouse!$AU$696:$AU$777)</f>
        <v>98.333279100756897</v>
      </c>
      <c r="N27" s="30">
        <v>98</v>
      </c>
      <c r="O27" s="11"/>
      <c r="P27" s="31"/>
      <c r="R27" s="277">
        <f t="shared" si="9"/>
        <v>0</v>
      </c>
      <c r="S27" s="472" t="e">
        <f t="shared" si="10"/>
        <v>#N/A</v>
      </c>
      <c r="T27" s="472" t="e">
        <f t="shared" si="11"/>
        <v>#N/A</v>
      </c>
      <c r="U27" s="297" t="e">
        <f t="shared" si="12"/>
        <v>#N/A</v>
      </c>
      <c r="V27" s="297" t="e">
        <f t="shared" si="13"/>
        <v>#N/A</v>
      </c>
      <c r="W27" s="297" t="e">
        <f t="shared" si="14"/>
        <v>#N/A</v>
      </c>
      <c r="X27" s="297" t="e">
        <f t="shared" si="15"/>
        <v>#N/A</v>
      </c>
      <c r="Y27" s="297" t="e">
        <f t="shared" si="16"/>
        <v>#N/A</v>
      </c>
      <c r="Z27" s="472" t="e">
        <f t="shared" si="17"/>
        <v>#N/A</v>
      </c>
    </row>
    <row r="28" spans="1:26" ht="15" customHeight="1">
      <c r="A28" s="28"/>
      <c r="B28" s="539"/>
      <c r="C28" s="362"/>
      <c r="D28" s="525"/>
      <c r="E28" s="526"/>
      <c r="F28" s="294"/>
      <c r="G28" s="294"/>
      <c r="H28" s="348"/>
      <c r="I28" s="33" t="s">
        <v>9</v>
      </c>
      <c r="J28" s="323"/>
      <c r="K28" s="284">
        <f>COUNTA([5]Brewhouse!$A$363:$A$380)</f>
        <v>18</v>
      </c>
      <c r="L28" s="302">
        <f>AVERAGE([5]Brewhouse!$AS$363:$AS$380)</f>
        <v>99.237321929974939</v>
      </c>
      <c r="M28" s="302">
        <f>AVERAGE([5]Brewhouse!$AS$52:$AS$81,[5]Brewhouse!$AS$83:$AS$124,[5]Brewhouse!$AS$134:$AS$177,[5]Brewhouse!$AS$22:$AS$179,[5]Brewhouse!$AS$214:$AS$249,[5]Brewhouse!$AS$252:$AS$293,[5]Brewhouse!$AS$295:$AS$325,[5]Brewhouse!$AS$327:$AS$361,[5]Brewhouse!$AS$363:$AS$380)</f>
        <v>98.280844420420635</v>
      </c>
      <c r="N28" s="30">
        <v>98</v>
      </c>
      <c r="O28" s="11"/>
      <c r="P28" s="31"/>
      <c r="R28" s="277">
        <f t="shared" si="9"/>
        <v>0</v>
      </c>
      <c r="S28" s="472" t="e">
        <f t="shared" si="10"/>
        <v>#N/A</v>
      </c>
      <c r="T28" s="472" t="e">
        <f t="shared" si="11"/>
        <v>#N/A</v>
      </c>
      <c r="U28" s="297" t="e">
        <f t="shared" si="12"/>
        <v>#N/A</v>
      </c>
      <c r="V28" s="297" t="e">
        <f t="shared" si="13"/>
        <v>#N/A</v>
      </c>
      <c r="W28" s="297" t="e">
        <f t="shared" si="14"/>
        <v>#N/A</v>
      </c>
      <c r="X28" s="297" t="e">
        <f t="shared" si="15"/>
        <v>#N/A</v>
      </c>
      <c r="Y28" s="297" t="e">
        <f t="shared" si="16"/>
        <v>#N/A</v>
      </c>
      <c r="Z28" s="472" t="e">
        <f t="shared" si="17"/>
        <v>#N/A</v>
      </c>
    </row>
    <row r="29" spans="1:26" ht="14.65" customHeight="1">
      <c r="A29" s="28"/>
      <c r="B29" s="539"/>
      <c r="C29" s="362"/>
      <c r="D29" s="530"/>
      <c r="E29" s="531"/>
      <c r="F29" s="294"/>
      <c r="G29" s="294"/>
      <c r="H29" s="348"/>
      <c r="I29" s="34" t="s">
        <v>12</v>
      </c>
      <c r="J29" s="323"/>
      <c r="K29" s="284">
        <f>COUNTA([6]Brewhouse!$A$99:$A$106)</f>
        <v>8</v>
      </c>
      <c r="L29" s="302">
        <f>AVERAGE([6]Brewhouse!$AU$99:$AU$106)</f>
        <v>96.462109124412379</v>
      </c>
      <c r="M29" s="302">
        <f>AVERAGE([6]Brewhouse!$AU$16:$AU$23,[6]Brewhouse!$AU$25:$AU$32,[6]Brewhouse!$AU$34:$AU$41,[6]Brewhouse!$AU$43:$AU$60,[6]Brewhouse!$AU$62:$AU$69,[6]Brewhouse!$AU$71:$AU$88,[6]Brewhouse!$AU$90:$AU$97,[6]Brewhouse!$AU$99:$AU$106)</f>
        <v>96.498355980821032</v>
      </c>
      <c r="N29" s="30">
        <v>98</v>
      </c>
      <c r="O29" s="11"/>
      <c r="P29" s="31"/>
      <c r="R29" s="277">
        <f t="shared" si="9"/>
        <v>0</v>
      </c>
      <c r="S29" s="472" t="e">
        <f t="shared" si="10"/>
        <v>#N/A</v>
      </c>
      <c r="T29" s="472" t="e">
        <f t="shared" si="11"/>
        <v>#N/A</v>
      </c>
      <c r="U29" s="297" t="e">
        <f t="shared" si="12"/>
        <v>#N/A</v>
      </c>
      <c r="V29" s="297" t="e">
        <f t="shared" si="13"/>
        <v>#N/A</v>
      </c>
      <c r="W29" s="297" t="e">
        <f t="shared" si="14"/>
        <v>#N/A</v>
      </c>
      <c r="X29" s="297" t="e">
        <f t="shared" si="15"/>
        <v>#N/A</v>
      </c>
      <c r="Y29" s="297" t="e">
        <f t="shared" si="16"/>
        <v>#N/A</v>
      </c>
      <c r="Z29" s="472" t="e">
        <f t="shared" si="17"/>
        <v>#N/A</v>
      </c>
    </row>
    <row r="30" spans="1:26" ht="14.65" customHeight="1">
      <c r="A30" s="28"/>
      <c r="B30" s="539"/>
      <c r="C30" s="362"/>
      <c r="D30" s="532"/>
      <c r="E30" s="526"/>
      <c r="F30" s="294"/>
      <c r="G30" s="294"/>
      <c r="H30" s="348"/>
      <c r="I30" s="22" t="s">
        <v>33</v>
      </c>
      <c r="J30" s="280"/>
      <c r="K30" s="284"/>
      <c r="L30" s="302"/>
      <c r="M30" s="302">
        <f>AVERAGE([7]Brewhouse!$AV$23:$AV$34,[7]Brewhouse!$AV$36,[7]Brewhouse!$AV$38:$AV$52,[7]Brewhouse!$AV$54:$AV$60,[7]Brewhouse!$AV$62:$AV$69,[7]Brewhouse!$AV$71:$AV$78,[7]Brewhouse!$AV$80:$AV$87,[7]Brewhouse!$AV$89:$AV$96)</f>
        <v>97.559547139003357</v>
      </c>
      <c r="N30" s="30">
        <v>98</v>
      </c>
      <c r="O30" s="11"/>
      <c r="P30" s="31"/>
      <c r="R30" s="277">
        <f t="shared" si="9"/>
        <v>0</v>
      </c>
      <c r="S30" s="472" t="e">
        <f t="shared" si="10"/>
        <v>#N/A</v>
      </c>
      <c r="T30" s="472" t="e">
        <f t="shared" si="11"/>
        <v>#N/A</v>
      </c>
      <c r="U30" s="297" t="e">
        <f t="shared" si="12"/>
        <v>#N/A</v>
      </c>
      <c r="V30" s="297" t="e">
        <f t="shared" si="13"/>
        <v>#N/A</v>
      </c>
      <c r="W30" s="297" t="e">
        <f t="shared" si="14"/>
        <v>#N/A</v>
      </c>
      <c r="X30" s="297" t="e">
        <f t="shared" si="15"/>
        <v>#N/A</v>
      </c>
      <c r="Y30" s="297" t="e">
        <f t="shared" si="16"/>
        <v>#N/A</v>
      </c>
      <c r="Z30" s="472" t="e">
        <f t="shared" si="17"/>
        <v>#N/A</v>
      </c>
    </row>
    <row r="31" spans="1:26" ht="14.65" customHeight="1">
      <c r="A31" s="28"/>
      <c r="B31" s="539"/>
      <c r="C31" s="362"/>
      <c r="D31" s="530"/>
      <c r="E31" s="531"/>
      <c r="F31" s="294"/>
      <c r="G31" s="294"/>
      <c r="H31" s="348"/>
      <c r="I31" s="35" t="s">
        <v>29</v>
      </c>
      <c r="J31" s="280"/>
      <c r="K31" s="284"/>
      <c r="L31" s="302"/>
      <c r="M31" s="302"/>
      <c r="N31" s="30">
        <v>98</v>
      </c>
      <c r="O31" s="11"/>
      <c r="P31" s="31"/>
      <c r="R31" s="277">
        <f t="shared" si="9"/>
        <v>0</v>
      </c>
      <c r="S31" s="472" t="e">
        <f t="shared" si="10"/>
        <v>#N/A</v>
      </c>
      <c r="T31" s="472" t="e">
        <f t="shared" si="11"/>
        <v>#N/A</v>
      </c>
      <c r="U31" s="297" t="e">
        <f t="shared" si="12"/>
        <v>#N/A</v>
      </c>
      <c r="V31" s="297" t="e">
        <f t="shared" si="13"/>
        <v>#N/A</v>
      </c>
      <c r="W31" s="297" t="e">
        <f t="shared" si="14"/>
        <v>#N/A</v>
      </c>
      <c r="X31" s="297" t="e">
        <f t="shared" si="15"/>
        <v>#N/A</v>
      </c>
      <c r="Y31" s="297" t="e">
        <f t="shared" si="16"/>
        <v>#N/A</v>
      </c>
      <c r="Z31" s="472" t="e">
        <f t="shared" si="17"/>
        <v>#N/A</v>
      </c>
    </row>
    <row r="32" spans="1:26" ht="14.65" customHeight="1">
      <c r="A32" s="28"/>
      <c r="B32" s="539"/>
      <c r="C32" s="362"/>
      <c r="D32" s="532"/>
      <c r="E32" s="526"/>
      <c r="F32" s="417"/>
      <c r="G32" s="294"/>
      <c r="H32" s="348"/>
      <c r="I32" s="36" t="s">
        <v>15</v>
      </c>
      <c r="J32" s="323"/>
      <c r="K32" s="284">
        <f>COUNTA([8]Brewhouse!$A$23:$A$30)</f>
        <v>8</v>
      </c>
      <c r="L32" s="302">
        <f>AVERAGE([8]Brewhouse!$AT$23:$AT$30)</f>
        <v>96.065914782338609</v>
      </c>
      <c r="M32" s="302">
        <f>AVERAGE([8]Brewhouse!$AT$4:$AT$11,[8]Brewhouse!$AT$13:$AT$16,[8]Brewhouse!$AT$18:$AT$30)</f>
        <v>93.22262799886262</v>
      </c>
      <c r="N32" s="30">
        <v>98</v>
      </c>
      <c r="O32" s="11"/>
      <c r="P32" s="31"/>
      <c r="R32" s="277">
        <f t="shared" si="9"/>
        <v>0</v>
      </c>
      <c r="S32" s="472" t="e">
        <f t="shared" si="10"/>
        <v>#N/A</v>
      </c>
      <c r="T32" s="472" t="e">
        <f t="shared" si="11"/>
        <v>#N/A</v>
      </c>
      <c r="U32" s="297" t="e">
        <f t="shared" si="12"/>
        <v>#N/A</v>
      </c>
      <c r="V32" s="297" t="e">
        <f t="shared" si="13"/>
        <v>#N/A</v>
      </c>
      <c r="W32" s="297" t="e">
        <f t="shared" si="14"/>
        <v>#N/A</v>
      </c>
      <c r="X32" s="297" t="e">
        <f t="shared" si="15"/>
        <v>#N/A</v>
      </c>
      <c r="Y32" s="297" t="e">
        <f t="shared" si="16"/>
        <v>#N/A</v>
      </c>
      <c r="Z32" s="472" t="e">
        <f t="shared" si="17"/>
        <v>#N/A</v>
      </c>
    </row>
    <row r="33" spans="1:56" ht="14.65" customHeight="1">
      <c r="A33" s="28"/>
      <c r="B33" s="539"/>
      <c r="C33" s="362"/>
      <c r="D33" s="530"/>
      <c r="E33" s="531"/>
      <c r="F33" s="417"/>
      <c r="G33" s="294"/>
      <c r="H33" s="348"/>
      <c r="I33" s="37" t="s">
        <v>16</v>
      </c>
      <c r="J33" s="323"/>
      <c r="K33" s="284"/>
      <c r="L33" s="302"/>
      <c r="M33" s="302">
        <f>AVERAGE([3]Brewhouse!$AY$5:$AY$14,[3]Brewhouse!$AY$16:$AY$23,[3]Brewhouse!$AY$42,[3]Brewhouse!$AY$44:$AY$51,[3]Brewhouse!$AY$53:$AY$64,[3]Brewhouse!$AY$66:$AY$73,[3]Brewhouse!$AY$75:$AY$82,[3]Brewhouse!$AY$84:$AY$101)</f>
        <v>97.784660430003186</v>
      </c>
      <c r="N33" s="30">
        <v>98</v>
      </c>
      <c r="O33" s="11"/>
      <c r="P33" s="31" t="s">
        <v>41</v>
      </c>
      <c r="R33" s="277">
        <f t="shared" si="9"/>
        <v>0</v>
      </c>
      <c r="S33" s="472" t="e">
        <f t="shared" si="10"/>
        <v>#N/A</v>
      </c>
      <c r="T33" s="472" t="e">
        <f t="shared" si="11"/>
        <v>#N/A</v>
      </c>
      <c r="U33" s="297" t="e">
        <f t="shared" si="12"/>
        <v>#N/A</v>
      </c>
      <c r="V33" s="297" t="e">
        <f t="shared" si="13"/>
        <v>#N/A</v>
      </c>
      <c r="W33" s="297" t="e">
        <f t="shared" si="14"/>
        <v>#N/A</v>
      </c>
      <c r="X33" s="297" t="e">
        <f t="shared" si="15"/>
        <v>#N/A</v>
      </c>
      <c r="Y33" s="297" t="e">
        <f t="shared" si="16"/>
        <v>#N/A</v>
      </c>
      <c r="Z33" s="472" t="e">
        <f t="shared" si="17"/>
        <v>#N/A</v>
      </c>
    </row>
    <row r="34" spans="1:56" ht="14.65" customHeight="1">
      <c r="A34" s="28"/>
      <c r="B34" s="539"/>
      <c r="C34" s="362"/>
      <c r="D34" s="532"/>
      <c r="E34" s="526"/>
      <c r="F34" s="294"/>
      <c r="G34" s="294"/>
      <c r="H34" s="348"/>
      <c r="I34" s="411" t="s">
        <v>158</v>
      </c>
      <c r="J34" s="326"/>
      <c r="K34" s="284"/>
      <c r="L34" s="305"/>
      <c r="M34" s="305"/>
      <c r="N34" s="30">
        <v>98</v>
      </c>
      <c r="O34" s="11"/>
      <c r="P34" s="31"/>
      <c r="R34" s="277">
        <f t="shared" si="9"/>
        <v>0</v>
      </c>
      <c r="S34" s="472" t="e">
        <f t="shared" si="10"/>
        <v>#N/A</v>
      </c>
      <c r="T34" s="472" t="e">
        <f t="shared" si="11"/>
        <v>#N/A</v>
      </c>
      <c r="U34" s="297" t="e">
        <f t="shared" si="12"/>
        <v>#N/A</v>
      </c>
      <c r="V34" s="297" t="e">
        <f t="shared" si="13"/>
        <v>#N/A</v>
      </c>
      <c r="W34" s="297" t="e">
        <f t="shared" si="14"/>
        <v>#N/A</v>
      </c>
      <c r="X34" s="297" t="e">
        <f t="shared" si="15"/>
        <v>#N/A</v>
      </c>
      <c r="Y34" s="297" t="e">
        <f t="shared" si="16"/>
        <v>#N/A</v>
      </c>
      <c r="Z34" s="472" t="e">
        <f t="shared" si="17"/>
        <v>#N/A</v>
      </c>
    </row>
    <row r="35" spans="1:56" ht="14.65" customHeight="1">
      <c r="A35" s="28"/>
      <c r="B35" s="539"/>
      <c r="C35" s="362"/>
      <c r="D35" s="530"/>
      <c r="E35" s="531"/>
      <c r="F35" s="294"/>
      <c r="G35" s="294"/>
      <c r="H35" s="348"/>
      <c r="I35" s="410" t="s">
        <v>157</v>
      </c>
      <c r="J35" s="326"/>
      <c r="K35" s="284"/>
      <c r="L35" s="305"/>
      <c r="M35" s="305"/>
      <c r="N35" s="30">
        <v>98</v>
      </c>
      <c r="O35" s="11"/>
      <c r="P35" s="31"/>
      <c r="R35" s="277">
        <f t="shared" si="9"/>
        <v>0</v>
      </c>
      <c r="S35" s="472" t="e">
        <f t="shared" si="10"/>
        <v>#N/A</v>
      </c>
      <c r="T35" s="472" t="e">
        <f t="shared" si="11"/>
        <v>#N/A</v>
      </c>
      <c r="U35" s="297" t="e">
        <f t="shared" si="12"/>
        <v>#N/A</v>
      </c>
      <c r="V35" s="297" t="e">
        <f t="shared" si="13"/>
        <v>#N/A</v>
      </c>
      <c r="W35" s="297" t="e">
        <f t="shared" si="14"/>
        <v>#N/A</v>
      </c>
      <c r="X35" s="297" t="e">
        <f t="shared" si="15"/>
        <v>#N/A</v>
      </c>
      <c r="Y35" s="297" t="e">
        <f t="shared" si="16"/>
        <v>#N/A</v>
      </c>
      <c r="Z35" s="472" t="e">
        <f t="shared" si="17"/>
        <v>#N/A</v>
      </c>
      <c r="AA35" s="472"/>
    </row>
    <row r="36" spans="1:56" ht="15" customHeight="1" thickBot="1">
      <c r="A36" s="28"/>
      <c r="B36" s="539"/>
      <c r="C36" s="362"/>
      <c r="D36" s="532"/>
      <c r="E36" s="526"/>
      <c r="F36" s="294"/>
      <c r="G36" s="294"/>
      <c r="H36" s="348"/>
      <c r="I36" s="406" t="s">
        <v>156</v>
      </c>
      <c r="J36" s="327"/>
      <c r="K36" s="407"/>
      <c r="L36" s="408"/>
      <c r="M36" s="408"/>
      <c r="N36" s="409">
        <v>98</v>
      </c>
      <c r="O36" s="11"/>
      <c r="P36" s="31"/>
      <c r="R36" s="277">
        <f t="shared" si="9"/>
        <v>0</v>
      </c>
      <c r="S36" s="472" t="e">
        <f t="shared" si="10"/>
        <v>#N/A</v>
      </c>
      <c r="T36" s="472" t="e">
        <f t="shared" si="11"/>
        <v>#N/A</v>
      </c>
      <c r="U36" s="297" t="e">
        <f t="shared" si="12"/>
        <v>#N/A</v>
      </c>
      <c r="V36" s="297" t="e">
        <f t="shared" si="13"/>
        <v>#N/A</v>
      </c>
      <c r="W36" s="297" t="e">
        <f t="shared" si="14"/>
        <v>#N/A</v>
      </c>
      <c r="X36" s="297" t="e">
        <f t="shared" si="15"/>
        <v>#N/A</v>
      </c>
      <c r="Y36" s="297" t="e">
        <f t="shared" si="16"/>
        <v>#N/A</v>
      </c>
      <c r="Z36" s="472" t="e">
        <f t="shared" si="17"/>
        <v>#N/A</v>
      </c>
      <c r="AA36" s="472"/>
    </row>
    <row r="37" spans="1:56" ht="15" customHeight="1" thickBot="1">
      <c r="A37" s="28"/>
      <c r="B37" s="539"/>
      <c r="C37" s="349"/>
      <c r="D37" s="523"/>
      <c r="E37" s="524"/>
      <c r="F37" s="294"/>
      <c r="G37" s="294"/>
      <c r="H37" s="348"/>
      <c r="I37" s="1"/>
      <c r="J37" s="39"/>
      <c r="K37" s="404">
        <f>SUM(K27:K36)</f>
        <v>116</v>
      </c>
      <c r="L37" s="405">
        <f>((L27*K27)+(L28*K28)+(L29*K29)+(L30*K30)+(L31*K31)+(K34*L34)+(L32*K32)+(L33*K33)+(L36*K36))/(K37)</f>
        <v>98.45346492461023</v>
      </c>
      <c r="M37" s="405">
        <f>AVERAGE('[9]Jan30th-31st'!$L$42,'[10]Feb 27th-28th'!$L$45,'[11]Mar 31st'!$L$42,'[12]Apr 30th'!$L$41,'[13]May 29th '!$L$35,'[14]June 30th'!$L$32,[15]July31st!$L$36,'[16]Aug 31st'!$L$32,L37)</f>
        <v>98.042160359468724</v>
      </c>
      <c r="N37" s="40">
        <v>98</v>
      </c>
      <c r="O37" s="11"/>
      <c r="P37" s="31"/>
      <c r="R37" s="277">
        <f t="shared" si="9"/>
        <v>0</v>
      </c>
      <c r="S37" s="472" t="e">
        <f t="shared" si="10"/>
        <v>#N/A</v>
      </c>
      <c r="T37" s="472" t="e">
        <f t="shared" si="11"/>
        <v>#N/A</v>
      </c>
      <c r="U37" s="297" t="e">
        <f t="shared" si="12"/>
        <v>#N/A</v>
      </c>
      <c r="V37" s="297" t="e">
        <f t="shared" si="13"/>
        <v>#N/A</v>
      </c>
      <c r="W37" s="297" t="e">
        <f t="shared" si="14"/>
        <v>#N/A</v>
      </c>
      <c r="X37" s="297" t="e">
        <f t="shared" si="15"/>
        <v>#N/A</v>
      </c>
      <c r="Y37" s="297" t="e">
        <f t="shared" si="16"/>
        <v>#N/A</v>
      </c>
      <c r="Z37" s="472" t="e">
        <f t="shared" si="17"/>
        <v>#N/A</v>
      </c>
      <c r="AA37" s="472"/>
    </row>
    <row r="38" spans="1:56" ht="15.75" thickBot="1">
      <c r="B38" s="540"/>
      <c r="C38" s="350"/>
      <c r="D38" s="525"/>
      <c r="E38" s="526"/>
      <c r="F38" s="294"/>
      <c r="G38" s="42"/>
      <c r="H38" s="41"/>
      <c r="I38" s="42"/>
      <c r="J38" s="42"/>
      <c r="K38" s="351"/>
      <c r="L38" s="348"/>
      <c r="M38" s="348"/>
      <c r="N38" s="11"/>
      <c r="O38" s="294"/>
      <c r="P38" s="12"/>
      <c r="R38" s="277">
        <f t="shared" si="9"/>
        <v>0</v>
      </c>
      <c r="S38" s="472" t="e">
        <f t="shared" si="10"/>
        <v>#N/A</v>
      </c>
      <c r="T38" s="472" t="e">
        <f t="shared" si="11"/>
        <v>#N/A</v>
      </c>
      <c r="U38" s="297" t="e">
        <f t="shared" si="12"/>
        <v>#N/A</v>
      </c>
      <c r="V38" s="297" t="e">
        <f t="shared" si="13"/>
        <v>#N/A</v>
      </c>
      <c r="W38" s="297" t="e">
        <f t="shared" si="14"/>
        <v>#N/A</v>
      </c>
      <c r="X38" s="297" t="e">
        <f t="shared" si="15"/>
        <v>#N/A</v>
      </c>
      <c r="Y38" s="297" t="e">
        <f t="shared" si="16"/>
        <v>#N/A</v>
      </c>
      <c r="Z38" s="472" t="e">
        <f t="shared" si="17"/>
        <v>#N/A</v>
      </c>
      <c r="AA38" s="472"/>
    </row>
    <row r="39" spans="1:56" ht="15.75" thickBot="1">
      <c r="B39" s="520"/>
      <c r="C39" s="362"/>
      <c r="D39" s="523"/>
      <c r="E39" s="524"/>
      <c r="F39" s="294"/>
      <c r="G39" s="42"/>
      <c r="H39" s="41"/>
      <c r="I39" s="42"/>
      <c r="J39" s="527" t="s">
        <v>129</v>
      </c>
      <c r="K39" s="527"/>
      <c r="L39" s="294"/>
      <c r="M39" s="294"/>
      <c r="N39" s="294"/>
      <c r="O39" s="294"/>
      <c r="P39" s="12"/>
    </row>
    <row r="40" spans="1:56" ht="15.75" thickBot="1">
      <c r="B40" s="521"/>
      <c r="C40" s="362"/>
      <c r="D40" s="525"/>
      <c r="E40" s="526"/>
      <c r="F40" s="294"/>
      <c r="G40" s="42"/>
      <c r="H40" s="42"/>
      <c r="I40" s="42"/>
      <c r="J40" s="292" t="s">
        <v>17</v>
      </c>
      <c r="K40" s="293"/>
      <c r="L40" s="528" t="s">
        <v>136</v>
      </c>
      <c r="M40" s="528"/>
      <c r="N40" s="529"/>
      <c r="O40" s="294"/>
      <c r="P40" s="12"/>
    </row>
    <row r="41" spans="1:56" ht="15" customHeight="1" thickBot="1">
      <c r="B41" s="521"/>
      <c r="C41" s="349"/>
      <c r="D41" s="530"/>
      <c r="E41" s="531"/>
      <c r="F41" s="294"/>
      <c r="G41" s="42"/>
      <c r="H41" s="42"/>
      <c r="I41" s="42"/>
      <c r="J41" s="287" t="s">
        <v>6</v>
      </c>
      <c r="K41" s="324">
        <v>8</v>
      </c>
      <c r="L41" s="473" t="s">
        <v>37</v>
      </c>
      <c r="M41" s="474" t="s">
        <v>38</v>
      </c>
      <c r="N41" s="474" t="s">
        <v>84</v>
      </c>
      <c r="O41" s="294"/>
      <c r="P41" s="12"/>
    </row>
    <row r="42" spans="1:56" ht="15.75" customHeight="1" thickBot="1">
      <c r="B42" s="521"/>
      <c r="C42" s="349"/>
      <c r="D42" s="532"/>
      <c r="E42" s="526"/>
      <c r="F42" s="294"/>
      <c r="G42" s="42"/>
      <c r="H42" s="42"/>
      <c r="I42" s="42"/>
      <c r="J42" s="345" t="s">
        <v>9</v>
      </c>
      <c r="K42" s="324"/>
      <c r="L42" s="485">
        <f>AVERAGE('Sept 1st'!K45,'Sept 2nd'!K47,'Sept 3rd'!K44,'Sept 4th'!K46,'Sept 7th'!K48,'Sept 8th'!K48,'Sept 9th'!K50,'Sept 10th'!K49,'Sept 11th '!K45,'Sept 14th'!K45,'Sept 15th'!K48,'Sept 16th'!K51,'Sept 17th '!K52,'Sept 18th'!K42,'Sept 21st'!K48,'Sept 22nd'!K46,K51)</f>
        <v>6.7647058823529411</v>
      </c>
      <c r="M42" s="486">
        <f>AVERAGE('[9]Jan30th-31st'!$L$47,L42,'[10]Feb 26th '!$L$39,'[11]Mar 31st'!$L$47,'[12]Apr 30th'!$L$46,'[13]May 29th '!$L$40,'[14]June 30th'!$L$39,[15]July31st!$L$41,'[16]Aug 31st'!$L$37)</f>
        <v>6.4894232508043252</v>
      </c>
      <c r="N42" s="416">
        <v>9.1999999999999993</v>
      </c>
      <c r="O42" s="294"/>
      <c r="P42" s="12"/>
    </row>
    <row r="43" spans="1:56" ht="15" customHeight="1">
      <c r="B43" s="521"/>
      <c r="C43" s="349"/>
      <c r="D43" s="530"/>
      <c r="E43" s="531"/>
      <c r="F43" s="294"/>
      <c r="G43" s="42"/>
      <c r="H43" s="42"/>
      <c r="I43" s="42"/>
      <c r="J43" s="288" t="s">
        <v>40</v>
      </c>
      <c r="K43" s="324"/>
      <c r="L43" s="294"/>
      <c r="M43" s="294"/>
      <c r="N43" s="294"/>
      <c r="O43" s="294"/>
      <c r="P43" s="12"/>
    </row>
    <row r="44" spans="1:56" ht="15" customHeight="1">
      <c r="B44" s="521"/>
      <c r="C44" s="349"/>
      <c r="D44" s="532"/>
      <c r="E44" s="526"/>
      <c r="F44" s="294"/>
      <c r="G44" s="42"/>
      <c r="H44" s="42"/>
      <c r="I44" s="42"/>
      <c r="J44" s="289" t="s">
        <v>33</v>
      </c>
      <c r="K44" s="324"/>
      <c r="L44" s="294"/>
      <c r="M44" s="294"/>
      <c r="N44" s="294"/>
      <c r="O44" s="294"/>
      <c r="P44" s="12"/>
    </row>
    <row r="45" spans="1:56" ht="15">
      <c r="B45" s="521"/>
      <c r="C45" s="349"/>
      <c r="D45" s="530"/>
      <c r="E45" s="531"/>
      <c r="F45" s="294"/>
      <c r="G45" s="42"/>
      <c r="H45" s="42"/>
      <c r="I45" s="42"/>
      <c r="J45" s="290" t="s">
        <v>16</v>
      </c>
      <c r="K45" s="324"/>
      <c r="L45" s="294"/>
      <c r="M45" s="294"/>
      <c r="N45" s="294"/>
      <c r="O45" s="294"/>
      <c r="P45" s="12"/>
      <c r="BC45" s="44"/>
      <c r="BD45" s="44"/>
    </row>
    <row r="46" spans="1:56" ht="15">
      <c r="B46" s="521"/>
      <c r="C46" s="349"/>
      <c r="D46" s="532"/>
      <c r="E46" s="526"/>
      <c r="F46" s="294"/>
      <c r="G46" s="42"/>
      <c r="H46" s="42"/>
      <c r="I46" s="42"/>
      <c r="J46" s="291" t="s">
        <v>15</v>
      </c>
      <c r="K46" s="324"/>
      <c r="L46" s="294"/>
      <c r="M46" s="294"/>
      <c r="N46" s="294"/>
      <c r="O46" s="294"/>
      <c r="P46" s="12"/>
      <c r="BC46" s="44"/>
      <c r="BD46" s="44"/>
    </row>
    <row r="47" spans="1:56" ht="15">
      <c r="B47" s="521"/>
      <c r="C47" s="349"/>
      <c r="D47" s="530"/>
      <c r="E47" s="531"/>
      <c r="F47" s="294"/>
      <c r="G47" s="42"/>
      <c r="H47" s="42"/>
      <c r="I47" s="42"/>
      <c r="J47" s="291" t="s">
        <v>149</v>
      </c>
      <c r="K47" s="324"/>
      <c r="L47" s="294"/>
      <c r="M47" s="294"/>
      <c r="N47" s="294"/>
      <c r="O47" s="294"/>
      <c r="P47" s="12"/>
      <c r="BC47" s="44"/>
      <c r="BD47" s="44"/>
    </row>
    <row r="48" spans="1:56" ht="15.75" thickBot="1">
      <c r="B48" s="522"/>
      <c r="C48" s="350"/>
      <c r="D48" s="533"/>
      <c r="E48" s="534"/>
      <c r="F48" s="294" t="s">
        <v>165</v>
      </c>
      <c r="G48" s="42"/>
      <c r="H48" s="42"/>
      <c r="I48" s="42"/>
      <c r="J48" s="291" t="s">
        <v>148</v>
      </c>
      <c r="K48" s="324"/>
      <c r="L48" s="294"/>
      <c r="M48" s="294"/>
      <c r="N48" s="294" t="s">
        <v>41</v>
      </c>
      <c r="O48" s="294"/>
      <c r="P48" s="12"/>
      <c r="BC48" s="44"/>
      <c r="BD48" s="44"/>
    </row>
    <row r="49" spans="2:57" ht="17.649999999999999" customHeight="1" thickBot="1">
      <c r="B49" s="312" t="s">
        <v>139</v>
      </c>
      <c r="C49" s="313"/>
      <c r="D49" s="511"/>
      <c r="E49" s="512"/>
      <c r="F49" s="294"/>
      <c r="J49" s="295" t="s">
        <v>134</v>
      </c>
      <c r="K49" s="324"/>
      <c r="L49" s="294"/>
      <c r="M49" s="294"/>
      <c r="N49" s="294"/>
      <c r="O49" s="294"/>
      <c r="P49" s="12"/>
      <c r="BC49" s="44"/>
      <c r="BD49" s="44"/>
    </row>
    <row r="50" spans="2:57" ht="17.649999999999999" customHeight="1">
      <c r="B50" s="363"/>
      <c r="C50" s="364"/>
      <c r="D50" s="365"/>
      <c r="E50" s="365"/>
      <c r="F50" s="294"/>
      <c r="G50" s="42"/>
      <c r="H50" s="42"/>
      <c r="I50" s="42"/>
      <c r="J50" s="295" t="s">
        <v>131</v>
      </c>
      <c r="K50" s="324"/>
      <c r="L50" s="294"/>
      <c r="M50" s="294"/>
      <c r="N50" s="294"/>
      <c r="O50" s="294"/>
      <c r="P50" s="12"/>
      <c r="BC50" s="44"/>
      <c r="BD50" s="44"/>
    </row>
    <row r="51" spans="2:57" ht="15.6" customHeight="1">
      <c r="B51" s="45"/>
      <c r="C51" s="11"/>
      <c r="D51" s="11"/>
      <c r="E51" s="46"/>
      <c r="F51" s="294"/>
      <c r="G51" s="42"/>
      <c r="H51" s="42"/>
      <c r="I51" s="42"/>
      <c r="J51" s="346" t="s">
        <v>130</v>
      </c>
      <c r="K51" s="324">
        <f>SUM(K41:K50)</f>
        <v>8</v>
      </c>
      <c r="L51" s="294"/>
      <c r="M51" s="294"/>
      <c r="N51" s="294"/>
      <c r="O51" s="294"/>
      <c r="P51" s="12"/>
    </row>
    <row r="52" spans="2:57" ht="20.25" customHeight="1">
      <c r="B52" s="15" t="s">
        <v>42</v>
      </c>
      <c r="C52" s="1" t="s">
        <v>43</v>
      </c>
      <c r="D52" s="1"/>
      <c r="E52" s="1"/>
      <c r="F52" s="294"/>
      <c r="G52" s="42"/>
      <c r="H52" s="41"/>
      <c r="I52" s="42"/>
      <c r="L52" s="42"/>
      <c r="N52" s="315"/>
      <c r="P52" s="334"/>
    </row>
    <row r="53" spans="2:57" ht="15" customHeight="1" thickBot="1">
      <c r="B53" s="48"/>
      <c r="C53" s="48"/>
      <c r="D53" s="48"/>
      <c r="E53" s="48"/>
      <c r="F53" s="48"/>
      <c r="G53" s="48"/>
      <c r="H53" s="48"/>
      <c r="I53" s="48"/>
      <c r="J53" s="48"/>
      <c r="K53" s="48"/>
      <c r="L53" s="48"/>
      <c r="M53" s="48"/>
      <c r="N53" s="41"/>
      <c r="O53" s="48"/>
      <c r="P53" s="49"/>
    </row>
    <row r="54" spans="2:57" ht="15" customHeight="1" thickBot="1">
      <c r="B54" s="505" t="s">
        <v>17</v>
      </c>
      <c r="C54" s="505" t="s">
        <v>44</v>
      </c>
      <c r="D54" s="514" t="s">
        <v>45</v>
      </c>
      <c r="E54" s="516" t="s">
        <v>46</v>
      </c>
      <c r="F54" s="518" t="s">
        <v>47</v>
      </c>
      <c r="G54" s="503" t="s">
        <v>48</v>
      </c>
      <c r="H54" s="505" t="s">
        <v>49</v>
      </c>
      <c r="I54" s="505" t="s">
        <v>50</v>
      </c>
      <c r="J54" s="497" t="s">
        <v>28</v>
      </c>
      <c r="K54" s="507" t="s">
        <v>51</v>
      </c>
      <c r="L54" s="509" t="s">
        <v>52</v>
      </c>
      <c r="M54" s="497" t="s">
        <v>53</v>
      </c>
      <c r="N54" s="13"/>
      <c r="O54" s="13"/>
      <c r="P54" s="50"/>
    </row>
    <row r="55" spans="2:57" ht="28.5" customHeight="1" thickTop="1" thickBot="1">
      <c r="B55" s="506"/>
      <c r="C55" s="513"/>
      <c r="D55" s="515"/>
      <c r="E55" s="517"/>
      <c r="F55" s="519"/>
      <c r="G55" s="504"/>
      <c r="H55" s="506"/>
      <c r="I55" s="506"/>
      <c r="J55" s="498"/>
      <c r="K55" s="508"/>
      <c r="L55" s="510"/>
      <c r="M55" s="498"/>
      <c r="N55" s="13"/>
      <c r="O55" s="13"/>
      <c r="P55" s="50"/>
      <c r="Q55" s="355"/>
      <c r="AB55" s="475">
        <v>43474</v>
      </c>
      <c r="AC55" s="475">
        <v>43475</v>
      </c>
      <c r="AD55" s="475">
        <v>43476</v>
      </c>
      <c r="AE55" s="475">
        <v>43477</v>
      </c>
      <c r="AF55" s="475">
        <v>43478</v>
      </c>
      <c r="AG55" s="475">
        <v>43479</v>
      </c>
      <c r="AH55" s="475">
        <v>43480</v>
      </c>
      <c r="AI55" s="475">
        <v>43481</v>
      </c>
      <c r="AJ55" s="475">
        <v>43482</v>
      </c>
      <c r="AK55" s="475">
        <v>43483</v>
      </c>
      <c r="AL55" s="475">
        <v>43484</v>
      </c>
      <c r="AM55" s="475">
        <v>43485</v>
      </c>
      <c r="AN55" s="475">
        <v>43486</v>
      </c>
      <c r="AO55" s="475">
        <v>43487</v>
      </c>
      <c r="AP55" s="475">
        <v>43488</v>
      </c>
      <c r="AQ55" s="475">
        <v>43489</v>
      </c>
      <c r="AR55" s="475">
        <v>43490</v>
      </c>
      <c r="AS55" s="475">
        <v>43491</v>
      </c>
      <c r="AT55" s="475">
        <v>43492</v>
      </c>
      <c r="AU55" s="475">
        <v>43493</v>
      </c>
      <c r="AV55" s="475">
        <v>43494</v>
      </c>
      <c r="AW55" s="475">
        <v>43495</v>
      </c>
      <c r="AX55" s="475">
        <v>43496</v>
      </c>
    </row>
    <row r="56" spans="2:57" s="54" customFormat="1" ht="36.75" customHeight="1" thickBot="1">
      <c r="B56" s="456" t="str">
        <f>J41</f>
        <v>CARIB</v>
      </c>
      <c r="C56" s="479">
        <v>46288</v>
      </c>
      <c r="D56" s="445">
        <f>[18]September_2026!$Z$3</f>
        <v>397.45</v>
      </c>
      <c r="E56" s="443"/>
      <c r="F56" s="444"/>
      <c r="G56" s="444">
        <f>[18]September_2026!$Z$7</f>
        <v>378</v>
      </c>
      <c r="H56" s="458"/>
      <c r="I56" s="458"/>
      <c r="J56" s="448" t="s">
        <v>177</v>
      </c>
      <c r="K56" s="449">
        <f>[19]September_2026!$Z$18</f>
        <v>1.3263157894736841</v>
      </c>
      <c r="L56" s="457">
        <f>(((D56+E56)-G56)/(D56+E56))*100</f>
        <v>4.8936973204176599</v>
      </c>
      <c r="M56" s="455" t="s">
        <v>176</v>
      </c>
      <c r="N56" s="13"/>
      <c r="O56" s="13"/>
      <c r="P56" s="50"/>
      <c r="R56" s="275"/>
      <c r="S56" s="275"/>
      <c r="T56" s="275"/>
      <c r="U56" s="275"/>
      <c r="V56" s="275"/>
      <c r="W56" s="275"/>
      <c r="X56" s="275"/>
      <c r="Y56" s="275"/>
      <c r="Z56" s="275"/>
      <c r="AA56" s="275"/>
      <c r="AB56" s="57">
        <f>[17]January_2019!L5</f>
        <v>0</v>
      </c>
      <c r="AC56" s="57">
        <f>[17]January_2019!M5</f>
        <v>0</v>
      </c>
      <c r="AD56" s="57">
        <f>[17]January_2019!N5</f>
        <v>0</v>
      </c>
      <c r="AE56" s="57">
        <f>[17]January_2019!O5</f>
        <v>0</v>
      </c>
      <c r="AF56" s="57">
        <f>[17]January_2019!P5</f>
        <v>0</v>
      </c>
      <c r="AG56" s="57">
        <f>[17]January_2019!Q5</f>
        <v>0</v>
      </c>
      <c r="AH56" s="57">
        <f>[17]January_2019!R5</f>
        <v>0</v>
      </c>
      <c r="AI56" s="57">
        <f>[17]January_2019!S5</f>
        <v>0</v>
      </c>
      <c r="AJ56" s="57">
        <f>[17]January_2019!T5</f>
        <v>0</v>
      </c>
      <c r="AK56" s="57">
        <f>[17]January_2019!U5</f>
        <v>0</v>
      </c>
      <c r="AL56" s="57">
        <f>[17]January_2019!V5</f>
        <v>0</v>
      </c>
      <c r="AM56" s="57">
        <f>[17]January_2019!W5</f>
        <v>0</v>
      </c>
      <c r="AN56" s="57">
        <f>[17]January_2019!X5</f>
        <v>0</v>
      </c>
      <c r="AO56" s="57">
        <f>[17]January_2019!Y5</f>
        <v>0</v>
      </c>
      <c r="AP56" s="57">
        <f>[17]January_2019!Z5</f>
        <v>0</v>
      </c>
      <c r="AQ56" s="57">
        <f>[17]January_2019!AA5</f>
        <v>0</v>
      </c>
      <c r="AR56" s="57">
        <f>[17]January_2019!AB5</f>
        <v>0</v>
      </c>
      <c r="AS56" s="57">
        <f>[17]January_2019!AC5</f>
        <v>0</v>
      </c>
      <c r="AT56" s="57">
        <f>[17]January_2019!AD5</f>
        <v>0</v>
      </c>
      <c r="AU56" s="57">
        <f>[17]January_2019!AE5</f>
        <v>0</v>
      </c>
      <c r="AV56" s="57">
        <f>[17]January_2019!AF5</f>
        <v>0</v>
      </c>
      <c r="AW56" s="57">
        <f>[17]January_2019!AG5</f>
        <v>0</v>
      </c>
      <c r="AX56" s="277">
        <f>[17]January_2019!AH5</f>
        <v>0</v>
      </c>
      <c r="AY56" s="277"/>
      <c r="AZ56" s="277"/>
      <c r="BA56" s="277"/>
      <c r="BB56" s="277"/>
      <c r="BC56" s="277"/>
      <c r="BD56" s="277"/>
      <c r="BE56" s="277"/>
    </row>
    <row r="57" spans="2:57" s="54" customFormat="1" ht="14.25" hidden="1" customHeight="1" thickBot="1">
      <c r="B57" s="480"/>
      <c r="C57" s="479"/>
      <c r="D57" s="442"/>
      <c r="E57" s="443"/>
      <c r="F57" s="444"/>
      <c r="G57" s="445"/>
      <c r="H57" s="458"/>
      <c r="I57" s="458"/>
      <c r="J57" s="476"/>
      <c r="K57" s="449"/>
      <c r="L57" s="457"/>
      <c r="M57" s="455"/>
      <c r="N57" s="13"/>
      <c r="O57" s="13"/>
      <c r="P57" s="50"/>
      <c r="R57" s="275"/>
      <c r="S57" s="275"/>
      <c r="T57" s="275"/>
      <c r="U57" s="275"/>
      <c r="V57" s="275"/>
      <c r="W57" s="275"/>
      <c r="X57" s="275"/>
      <c r="Y57" s="275"/>
      <c r="Z57" s="275"/>
      <c r="AA57" s="275"/>
      <c r="AB57" s="57">
        <f>[17]January_2019!L6</f>
        <v>0</v>
      </c>
      <c r="AC57" s="57">
        <f>[17]January_2019!M6</f>
        <v>0</v>
      </c>
      <c r="AD57" s="57">
        <f>[17]January_2019!N6</f>
        <v>0</v>
      </c>
      <c r="AE57" s="57">
        <f>[17]January_2019!O6</f>
        <v>0</v>
      </c>
      <c r="AF57" s="57">
        <f>[17]January_2019!P6</f>
        <v>0</v>
      </c>
      <c r="AG57" s="57">
        <f>[17]January_2019!Q6</f>
        <v>0</v>
      </c>
      <c r="AH57" s="57">
        <f>[17]January_2019!R6</f>
        <v>0</v>
      </c>
      <c r="AI57" s="57">
        <f>[17]January_2019!S6</f>
        <v>0</v>
      </c>
      <c r="AJ57" s="57">
        <f>[17]January_2019!T6</f>
        <v>0</v>
      </c>
      <c r="AK57" s="57">
        <f>[17]January_2019!U6</f>
        <v>0</v>
      </c>
      <c r="AL57" s="57">
        <f>[17]January_2019!V6</f>
        <v>0</v>
      </c>
      <c r="AM57" s="57">
        <f>[17]January_2019!W6</f>
        <v>0</v>
      </c>
      <c r="AN57" s="57">
        <f>[17]January_2019!X6</f>
        <v>0</v>
      </c>
      <c r="AO57" s="57">
        <f>[17]January_2019!Y6</f>
        <v>0</v>
      </c>
      <c r="AP57" s="57">
        <f>[17]January_2019!Z6</f>
        <v>0</v>
      </c>
      <c r="AQ57" s="57">
        <f>[17]January_2019!AA6</f>
        <v>0</v>
      </c>
      <c r="AR57" s="57">
        <f>[17]January_2019!AB6</f>
        <v>0</v>
      </c>
      <c r="AS57" s="57">
        <f>[17]January_2019!AC6</f>
        <v>0</v>
      </c>
      <c r="AT57" s="57">
        <f>[17]January_2019!AD6</f>
        <v>0</v>
      </c>
      <c r="AU57" s="57">
        <f>[17]January_2019!AE6</f>
        <v>0</v>
      </c>
      <c r="AV57" s="57">
        <f>[17]January_2019!AF6</f>
        <v>0</v>
      </c>
      <c r="AW57" s="57">
        <f>[17]January_2019!AG6</f>
        <v>0</v>
      </c>
      <c r="AX57" s="277">
        <f>[17]January_2019!AH6</f>
        <v>0</v>
      </c>
      <c r="AY57" s="277"/>
      <c r="AZ57" s="277"/>
      <c r="BA57" s="277"/>
      <c r="BB57" s="277"/>
      <c r="BC57" s="277"/>
      <c r="BD57" s="277"/>
      <c r="BE57" s="277"/>
    </row>
    <row r="58" spans="2:57" s="54" customFormat="1" ht="37.15" hidden="1" customHeight="1" thickBot="1">
      <c r="B58" s="491" t="str">
        <f>J42</f>
        <v>STAG</v>
      </c>
      <c r="C58" s="479">
        <v>46287</v>
      </c>
      <c r="D58" s="442">
        <f>[18]September_2026!$Y$13</f>
        <v>190.70000000000002</v>
      </c>
      <c r="E58" s="443"/>
      <c r="F58" s="444"/>
      <c r="G58" s="444">
        <f>[18]September_2026!$Y$17</f>
        <v>184.3</v>
      </c>
      <c r="H58" s="446"/>
      <c r="I58" s="446"/>
      <c r="J58" s="448" t="s">
        <v>174</v>
      </c>
      <c r="K58" s="449">
        <f>[19]September_2026!$Y$25</f>
        <v>0.64666666666666672</v>
      </c>
      <c r="L58" s="457">
        <f>(((D58+E58)-G58)/(D58+E58))*100</f>
        <v>3.3560566334556925</v>
      </c>
      <c r="M58" s="455" t="s">
        <v>176</v>
      </c>
      <c r="N58" s="13"/>
      <c r="O58" s="13"/>
      <c r="P58" s="50"/>
      <c r="R58" s="275"/>
      <c r="S58" s="275"/>
      <c r="T58" s="275"/>
      <c r="U58" s="275"/>
      <c r="V58" s="275"/>
      <c r="W58" s="275"/>
      <c r="X58" s="275"/>
      <c r="Y58" s="275"/>
      <c r="Z58" s="275"/>
      <c r="AA58" s="275"/>
      <c r="AB58" s="57">
        <f>[17]January_2019!L7</f>
        <v>285.8</v>
      </c>
      <c r="AC58" s="57">
        <f>[17]January_2019!M7</f>
        <v>508.1</v>
      </c>
      <c r="AD58" s="57">
        <f>[17]January_2019!N7</f>
        <v>0</v>
      </c>
      <c r="AE58" s="57">
        <f>[17]January_2019!O7</f>
        <v>0</v>
      </c>
      <c r="AF58" s="57">
        <f>[17]January_2019!P7</f>
        <v>109.56666666666666</v>
      </c>
      <c r="AG58" s="57">
        <f>[17]January_2019!Q7</f>
        <v>297.64999999999998</v>
      </c>
      <c r="AH58" s="57">
        <f>[17]January_2019!R7</f>
        <v>122.3</v>
      </c>
      <c r="AI58" s="57">
        <f>[17]January_2019!S7</f>
        <v>0</v>
      </c>
      <c r="AJ58" s="57">
        <f>[17]January_2019!T7</f>
        <v>294.7</v>
      </c>
      <c r="AK58" s="57">
        <f>[17]January_2019!U7</f>
        <v>280.5</v>
      </c>
      <c r="AL58" s="57">
        <f>[17]January_2019!V7</f>
        <v>0</v>
      </c>
      <c r="AM58" s="57">
        <f>[17]January_2019!W7</f>
        <v>0</v>
      </c>
      <c r="AN58" s="57">
        <f>[17]January_2019!X7</f>
        <v>188.25</v>
      </c>
      <c r="AO58" s="57">
        <f>[17]January_2019!Y7</f>
        <v>295.7</v>
      </c>
      <c r="AP58" s="57">
        <f>[17]January_2019!Z7</f>
        <v>257.8</v>
      </c>
      <c r="AQ58" s="57">
        <f>[17]January_2019!AA7</f>
        <v>291.2</v>
      </c>
      <c r="AR58" s="57">
        <f>[17]January_2019!AB7</f>
        <v>187</v>
      </c>
      <c r="AS58" s="57">
        <f>[17]January_2019!AC7</f>
        <v>0</v>
      </c>
      <c r="AT58" s="57">
        <f>[17]January_2019!AD7</f>
        <v>0</v>
      </c>
      <c r="AU58" s="57">
        <f>[17]January_2019!AE7</f>
        <v>485.1</v>
      </c>
      <c r="AV58" s="57">
        <f>[17]January_2019!AF7</f>
        <v>171.55</v>
      </c>
      <c r="AW58" s="57">
        <f>[17]January_2019!AG7</f>
        <v>423.8</v>
      </c>
      <c r="AX58" s="277">
        <f>[17]January_2019!AH7</f>
        <v>0</v>
      </c>
      <c r="AY58" s="277"/>
      <c r="AZ58" s="277"/>
      <c r="BA58" s="277"/>
      <c r="BB58" s="277"/>
      <c r="BC58" s="277"/>
      <c r="BD58" s="277"/>
      <c r="BE58" s="277"/>
    </row>
    <row r="59" spans="2:57" s="54" customFormat="1" ht="18.600000000000001" hidden="1" customHeight="1" thickBot="1">
      <c r="B59" s="478"/>
      <c r="C59" s="430"/>
      <c r="D59" s="431"/>
      <c r="E59" s="432"/>
      <c r="F59" s="433"/>
      <c r="G59" s="434"/>
      <c r="H59" s="458"/>
      <c r="I59" s="458"/>
      <c r="J59" s="451"/>
      <c r="K59" s="436"/>
      <c r="L59" s="452"/>
      <c r="M59" s="421"/>
      <c r="N59" s="13"/>
      <c r="O59" s="13"/>
      <c r="P59" s="50"/>
      <c r="R59" s="275"/>
      <c r="S59" s="275"/>
      <c r="T59" s="275"/>
      <c r="U59" s="275"/>
      <c r="V59" s="275"/>
      <c r="W59" s="275"/>
      <c r="X59" s="275"/>
      <c r="Y59" s="275"/>
      <c r="Z59" s="275"/>
      <c r="AA59" s="275"/>
      <c r="AB59" s="57"/>
      <c r="AC59" s="57"/>
      <c r="AD59" s="57"/>
      <c r="AE59" s="57"/>
      <c r="AF59" s="57"/>
      <c r="AG59" s="57"/>
      <c r="AH59" s="57"/>
      <c r="AI59" s="57"/>
      <c r="AJ59" s="57"/>
      <c r="AK59" s="57"/>
      <c r="AL59" s="57"/>
      <c r="AM59" s="57"/>
      <c r="AN59" s="57"/>
      <c r="AO59" s="57"/>
      <c r="AP59" s="57"/>
      <c r="AQ59" s="57"/>
      <c r="AR59" s="57"/>
      <c r="AS59" s="57"/>
      <c r="AT59" s="57"/>
      <c r="AU59" s="57"/>
      <c r="AV59" s="57"/>
      <c r="AW59" s="57"/>
      <c r="AX59" s="277"/>
      <c r="AY59" s="277"/>
      <c r="AZ59" s="277"/>
      <c r="BA59" s="277"/>
      <c r="BB59" s="277"/>
      <c r="BC59" s="277"/>
      <c r="BD59" s="277"/>
      <c r="BE59" s="277"/>
    </row>
    <row r="60" spans="2:57" s="54" customFormat="1" ht="38.65" hidden="1" customHeight="1" thickBot="1">
      <c r="B60" s="487"/>
      <c r="C60" s="479"/>
      <c r="D60" s="442"/>
      <c r="E60" s="443"/>
      <c r="F60" s="444"/>
      <c r="G60" s="445"/>
      <c r="H60" s="458"/>
      <c r="I60" s="458"/>
      <c r="J60" s="448"/>
      <c r="K60" s="459"/>
      <c r="L60" s="457"/>
      <c r="M60" s="455"/>
      <c r="N60" s="13"/>
      <c r="O60" s="13"/>
      <c r="P60" s="50"/>
      <c r="R60" s="275"/>
      <c r="S60" s="275"/>
      <c r="T60" s="275"/>
      <c r="U60" s="275"/>
      <c r="V60" s="275"/>
      <c r="W60" s="275"/>
      <c r="X60" s="275"/>
      <c r="Y60" s="275"/>
      <c r="Z60" s="275"/>
      <c r="AA60" s="275"/>
      <c r="AB60" s="57"/>
      <c r="AC60" s="57"/>
      <c r="AD60" s="57"/>
      <c r="AE60" s="57"/>
      <c r="AF60" s="57"/>
      <c r="AG60" s="57"/>
      <c r="AH60" s="57"/>
      <c r="AI60" s="57"/>
      <c r="AJ60" s="57"/>
      <c r="AK60" s="57"/>
      <c r="AL60" s="57"/>
      <c r="AM60" s="57"/>
      <c r="AN60" s="57"/>
      <c r="AO60" s="57"/>
      <c r="AP60" s="57"/>
      <c r="AQ60" s="57"/>
      <c r="AR60" s="57"/>
      <c r="AS60" s="57"/>
      <c r="AT60" s="57"/>
      <c r="AU60" s="57"/>
      <c r="AV60" s="57"/>
      <c r="AW60" s="57"/>
      <c r="AX60" s="277"/>
      <c r="AY60" s="277"/>
      <c r="AZ60" s="277"/>
      <c r="BA60" s="277"/>
      <c r="BB60" s="277"/>
      <c r="BC60" s="277"/>
      <c r="BD60" s="277"/>
      <c r="BE60" s="277"/>
    </row>
    <row r="61" spans="2:57" s="54" customFormat="1" ht="15" hidden="1">
      <c r="B61" s="453"/>
      <c r="C61" s="430"/>
      <c r="D61" s="431"/>
      <c r="E61" s="432"/>
      <c r="F61" s="433"/>
      <c r="G61" s="434"/>
      <c r="H61" s="435"/>
      <c r="I61" s="450"/>
      <c r="J61" s="451"/>
      <c r="K61" s="436"/>
      <c r="L61" s="452"/>
      <c r="M61" s="421"/>
      <c r="N61" s="13"/>
      <c r="O61" s="13"/>
      <c r="P61" s="50"/>
      <c r="R61" s="275"/>
      <c r="S61" s="275"/>
      <c r="T61" s="275"/>
      <c r="U61" s="275"/>
      <c r="V61" s="275"/>
      <c r="W61" s="275"/>
      <c r="X61" s="275"/>
      <c r="Y61" s="275"/>
      <c r="Z61" s="275"/>
      <c r="AA61" s="275"/>
      <c r="AB61" s="57"/>
      <c r="AC61" s="57"/>
      <c r="AD61" s="57"/>
      <c r="AE61" s="57"/>
      <c r="AF61" s="57"/>
      <c r="AG61" s="57"/>
      <c r="AH61" s="57"/>
      <c r="AI61" s="57"/>
      <c r="AJ61" s="57"/>
      <c r="AK61" s="57"/>
      <c r="AL61" s="57"/>
      <c r="AM61" s="57"/>
      <c r="AN61" s="57"/>
      <c r="AO61" s="57"/>
      <c r="AP61" s="57"/>
      <c r="AQ61" s="57"/>
      <c r="AR61" s="57"/>
      <c r="AS61" s="57"/>
      <c r="AT61" s="57"/>
      <c r="AU61" s="57"/>
      <c r="AV61" s="57"/>
      <c r="AW61" s="57"/>
      <c r="AX61" s="277"/>
      <c r="AY61" s="277"/>
      <c r="AZ61" s="277"/>
      <c r="BA61" s="277"/>
      <c r="BB61" s="277"/>
      <c r="BC61" s="277"/>
      <c r="BD61" s="277"/>
      <c r="BE61" s="277"/>
    </row>
    <row r="62" spans="2:57" s="54" customFormat="1" ht="37.15" hidden="1" customHeight="1" thickBot="1">
      <c r="B62" s="481"/>
      <c r="C62" s="479"/>
      <c r="D62" s="442"/>
      <c r="E62" s="443"/>
      <c r="F62" s="444"/>
      <c r="G62" s="445"/>
      <c r="H62" s="446"/>
      <c r="I62" s="447"/>
      <c r="J62" s="448"/>
      <c r="K62" s="449"/>
      <c r="L62" s="457"/>
      <c r="M62" s="455"/>
      <c r="N62" s="13"/>
      <c r="O62" s="13"/>
      <c r="P62" s="50"/>
      <c r="R62" s="275"/>
      <c r="S62" s="275"/>
      <c r="T62" s="275"/>
      <c r="U62" s="275"/>
      <c r="V62" s="275"/>
      <c r="W62" s="275"/>
      <c r="X62" s="275"/>
      <c r="Y62" s="275"/>
      <c r="Z62" s="275"/>
      <c r="AA62" s="275"/>
      <c r="AB62" s="57"/>
      <c r="AC62" s="57"/>
      <c r="AD62" s="57"/>
      <c r="AE62" s="57"/>
      <c r="AF62" s="57"/>
      <c r="AG62" s="57"/>
      <c r="AH62" s="57"/>
      <c r="AI62" s="57"/>
      <c r="AJ62" s="57"/>
      <c r="AK62" s="57"/>
      <c r="AL62" s="57"/>
      <c r="AM62" s="57"/>
      <c r="AN62" s="57"/>
      <c r="AO62" s="57"/>
      <c r="AP62" s="57"/>
      <c r="AQ62" s="57"/>
      <c r="AR62" s="57"/>
      <c r="AS62" s="57"/>
      <c r="AT62" s="57"/>
      <c r="AU62" s="57"/>
      <c r="AV62" s="57"/>
      <c r="AW62" s="57"/>
      <c r="AX62" s="277"/>
      <c r="AY62" s="277"/>
      <c r="AZ62" s="277"/>
      <c r="BA62" s="277"/>
      <c r="BB62" s="277"/>
      <c r="BC62" s="277"/>
      <c r="BD62" s="277"/>
      <c r="BE62" s="277"/>
    </row>
    <row r="63" spans="2:57" s="54" customFormat="1" ht="16.5" hidden="1" customHeight="1" thickBot="1">
      <c r="B63" s="437"/>
      <c r="C63" s="423"/>
      <c r="D63" s="424"/>
      <c r="E63" s="425"/>
      <c r="F63" s="426"/>
      <c r="G63" s="427"/>
      <c r="H63" s="428"/>
      <c r="I63" s="438"/>
      <c r="J63" s="439"/>
      <c r="K63" s="429"/>
      <c r="L63" s="440"/>
      <c r="M63" s="422"/>
      <c r="N63" s="13"/>
      <c r="O63" s="13"/>
      <c r="P63" s="50"/>
      <c r="R63" s="275"/>
      <c r="S63" s="275"/>
      <c r="T63" s="275"/>
      <c r="U63" s="275"/>
      <c r="V63" s="275"/>
      <c r="W63" s="275"/>
      <c r="X63" s="275"/>
      <c r="Y63" s="275"/>
      <c r="Z63" s="275"/>
      <c r="AA63" s="275"/>
      <c r="AB63" s="415"/>
      <c r="AC63" s="415"/>
      <c r="AD63" s="415"/>
      <c r="AE63" s="415"/>
      <c r="AF63" s="415"/>
      <c r="AG63" s="415"/>
      <c r="AH63" s="415"/>
      <c r="AI63" s="415"/>
      <c r="AJ63" s="415"/>
      <c r="AK63" s="415"/>
      <c r="AL63" s="415"/>
      <c r="AM63" s="415"/>
      <c r="AN63" s="415"/>
      <c r="AO63" s="415"/>
      <c r="AP63" s="415"/>
      <c r="AQ63" s="415"/>
      <c r="AR63" s="415"/>
      <c r="AS63" s="415"/>
      <c r="AT63" s="415"/>
      <c r="AU63" s="415"/>
      <c r="AV63" s="415"/>
      <c r="AW63" s="415"/>
    </row>
    <row r="64" spans="2:57" s="54" customFormat="1" ht="37.15" hidden="1" customHeight="1" thickBot="1">
      <c r="B64" s="456"/>
      <c r="C64" s="441"/>
      <c r="D64" s="442"/>
      <c r="E64" s="443"/>
      <c r="F64" s="444"/>
      <c r="G64" s="445"/>
      <c r="H64" s="446"/>
      <c r="I64" s="447"/>
      <c r="J64" s="448"/>
      <c r="K64" s="449"/>
      <c r="L64" s="457"/>
      <c r="M64" s="454"/>
      <c r="N64" s="13"/>
      <c r="O64" s="13"/>
      <c r="P64" s="50"/>
      <c r="R64" s="275"/>
      <c r="S64" s="275"/>
      <c r="T64" s="275"/>
      <c r="U64" s="275"/>
      <c r="V64" s="275"/>
      <c r="W64" s="275"/>
      <c r="X64" s="275"/>
      <c r="Y64" s="275"/>
      <c r="Z64" s="275"/>
      <c r="AA64" s="275"/>
      <c r="AB64" s="57"/>
      <c r="AC64" s="57"/>
      <c r="AD64" s="57"/>
      <c r="AE64" s="57"/>
      <c r="AF64" s="57"/>
      <c r="AG64" s="57"/>
      <c r="AH64" s="57"/>
      <c r="AI64" s="57"/>
      <c r="AJ64" s="57"/>
      <c r="AK64" s="57"/>
      <c r="AL64" s="57"/>
      <c r="AM64" s="57"/>
      <c r="AN64" s="57"/>
      <c r="AO64" s="57"/>
      <c r="AP64" s="57"/>
      <c r="AQ64" s="57"/>
      <c r="AR64" s="57"/>
      <c r="AS64" s="57"/>
      <c r="AT64" s="57"/>
      <c r="AU64" s="57"/>
      <c r="AV64" s="57"/>
      <c r="AW64" s="57"/>
      <c r="AX64" s="277"/>
      <c r="AY64" s="277"/>
      <c r="AZ64" s="277"/>
      <c r="BA64" s="277"/>
      <c r="BB64" s="277"/>
      <c r="BC64" s="277"/>
      <c r="BD64" s="277"/>
      <c r="BE64" s="277"/>
    </row>
    <row r="65" spans="2:57" s="54" customFormat="1" ht="37.15" customHeight="1">
      <c r="B65" s="466"/>
      <c r="C65" s="430"/>
      <c r="D65" s="460"/>
      <c r="E65" s="461"/>
      <c r="F65" s="462"/>
      <c r="G65" s="460"/>
      <c r="H65" s="463"/>
      <c r="I65" s="463"/>
      <c r="J65" s="463"/>
      <c r="K65" s="464"/>
      <c r="L65" s="465"/>
      <c r="M65" s="50"/>
      <c r="N65" s="13"/>
      <c r="O65" s="13"/>
      <c r="P65" s="50"/>
      <c r="R65" s="275"/>
      <c r="S65" s="275"/>
      <c r="T65" s="275"/>
      <c r="U65" s="275"/>
      <c r="V65" s="275"/>
      <c r="W65" s="275"/>
      <c r="X65" s="275"/>
      <c r="Y65" s="275"/>
      <c r="Z65" s="275"/>
      <c r="AA65" s="275"/>
      <c r="AB65" s="57"/>
      <c r="AC65" s="57"/>
      <c r="AD65" s="57"/>
      <c r="AE65" s="57"/>
      <c r="AF65" s="57"/>
      <c r="AG65" s="57"/>
      <c r="AH65" s="57"/>
      <c r="AI65" s="57"/>
      <c r="AJ65" s="57"/>
      <c r="AK65" s="57"/>
      <c r="AL65" s="57"/>
      <c r="AM65" s="57"/>
      <c r="AN65" s="57"/>
      <c r="AO65" s="57"/>
      <c r="AP65" s="57"/>
      <c r="AQ65" s="57"/>
      <c r="AR65" s="57"/>
      <c r="AS65" s="57"/>
      <c r="AT65" s="57"/>
      <c r="AU65" s="57"/>
      <c r="AV65" s="57"/>
      <c r="AW65" s="57"/>
      <c r="AX65" s="277"/>
      <c r="AY65" s="277"/>
      <c r="AZ65" s="277"/>
      <c r="BA65" s="277"/>
      <c r="BB65" s="277"/>
      <c r="BC65" s="277"/>
      <c r="BD65" s="277"/>
      <c r="BE65" s="277"/>
    </row>
    <row r="66" spans="2:57" ht="18" customHeight="1" thickBot="1">
      <c r="B66" s="59"/>
      <c r="C66" s="309"/>
      <c r="D66" s="59"/>
      <c r="E66" s="59"/>
      <c r="F66" s="59"/>
      <c r="G66" s="59"/>
      <c r="H66" s="59"/>
      <c r="I66" s="59"/>
      <c r="J66" s="59"/>
      <c r="K66" s="59"/>
      <c r="L66" s="59"/>
      <c r="M66" s="59"/>
      <c r="N66" s="59" t="s">
        <v>41</v>
      </c>
      <c r="O66" s="56"/>
      <c r="P66" s="60"/>
    </row>
    <row r="67" spans="2:57" ht="15.75" thickBot="1">
      <c r="B67" s="499" t="s">
        <v>55</v>
      </c>
      <c r="C67" s="500"/>
      <c r="D67" s="500"/>
      <c r="E67" s="500"/>
      <c r="F67" s="501"/>
      <c r="G67" s="499" t="s">
        <v>56</v>
      </c>
      <c r="H67" s="500"/>
      <c r="I67" s="500"/>
      <c r="J67" s="501"/>
      <c r="K67" s="499" t="s">
        <v>51</v>
      </c>
      <c r="L67" s="500"/>
      <c r="M67" s="500"/>
      <c r="N67" s="502"/>
      <c r="O67" s="56"/>
      <c r="P67" s="50"/>
    </row>
    <row r="68" spans="2:57" ht="15">
      <c r="B68" s="61" t="s">
        <v>17</v>
      </c>
      <c r="C68" s="62" t="s">
        <v>36</v>
      </c>
      <c r="D68" s="62" t="s">
        <v>37</v>
      </c>
      <c r="E68" s="62" t="s">
        <v>38</v>
      </c>
      <c r="F68" s="63" t="s">
        <v>39</v>
      </c>
      <c r="G68" s="62" t="s">
        <v>36</v>
      </c>
      <c r="H68" s="62" t="s">
        <v>37</v>
      </c>
      <c r="I68" s="62" t="s">
        <v>38</v>
      </c>
      <c r="J68" s="63" t="s">
        <v>39</v>
      </c>
      <c r="K68" s="62" t="s">
        <v>36</v>
      </c>
      <c r="L68" s="62" t="s">
        <v>37</v>
      </c>
      <c r="M68" s="62" t="s">
        <v>38</v>
      </c>
      <c r="N68" s="63" t="s">
        <v>39</v>
      </c>
      <c r="O68" s="56"/>
      <c r="P68" s="64"/>
    </row>
    <row r="69" spans="2:57" ht="15">
      <c r="B69" s="29" t="s">
        <v>6</v>
      </c>
      <c r="C69" s="65">
        <f>L56</f>
        <v>4.8936973204176599</v>
      </c>
      <c r="D69" s="76">
        <v>6.9098095968377651</v>
      </c>
      <c r="E69" s="76" t="s">
        <v>41</v>
      </c>
      <c r="F69" s="66">
        <v>4.8</v>
      </c>
      <c r="G69" s="65"/>
      <c r="H69" s="477">
        <v>6.5160801722722619</v>
      </c>
      <c r="I69" s="477">
        <v>6.6384808531425268</v>
      </c>
      <c r="J69" s="66">
        <v>4.8</v>
      </c>
      <c r="K69" s="67">
        <f>K56</f>
        <v>1.3263157894736841</v>
      </c>
      <c r="L69" s="194">
        <v>0.61678947368421055</v>
      </c>
      <c r="M69" s="194">
        <v>0.53548572666777772</v>
      </c>
      <c r="N69" s="68">
        <v>1</v>
      </c>
      <c r="O69" s="56"/>
      <c r="P69" s="69"/>
    </row>
    <row r="70" spans="2:57" ht="15">
      <c r="B70" s="33" t="s">
        <v>9</v>
      </c>
      <c r="C70" s="65"/>
      <c r="D70" s="76">
        <v>6.720758239391091</v>
      </c>
      <c r="E70" s="76">
        <v>5.8780358526209691</v>
      </c>
      <c r="F70" s="66">
        <v>4.8</v>
      </c>
      <c r="G70" s="65"/>
      <c r="H70" s="76">
        <v>7.2366264511789016</v>
      </c>
      <c r="I70" s="76">
        <v>6.0561650445262645</v>
      </c>
      <c r="J70" s="66">
        <v>4.8</v>
      </c>
      <c r="K70" s="67"/>
      <c r="L70" s="194">
        <v>0.58195614035087728</v>
      </c>
      <c r="M70" s="194">
        <v>0.68829197714926005</v>
      </c>
      <c r="N70" s="68">
        <v>1</v>
      </c>
      <c r="P70" s="69"/>
    </row>
    <row r="71" spans="2:57" ht="15">
      <c r="B71" s="34" t="s">
        <v>40</v>
      </c>
      <c r="C71" s="65"/>
      <c r="D71" s="76"/>
      <c r="E71" s="76">
        <v>11.277593164016125</v>
      </c>
      <c r="F71" s="66">
        <v>5.5</v>
      </c>
      <c r="G71" s="65"/>
      <c r="H71" s="76"/>
      <c r="I71" s="76">
        <v>11.857907912244482</v>
      </c>
      <c r="J71" s="66">
        <v>5.5</v>
      </c>
      <c r="K71" s="67"/>
      <c r="L71" s="194"/>
      <c r="M71" s="194">
        <v>0.35370190356844494</v>
      </c>
      <c r="N71" s="68">
        <v>1</v>
      </c>
      <c r="P71" s="69"/>
    </row>
    <row r="72" spans="2:57" ht="15">
      <c r="B72" s="22" t="s">
        <v>33</v>
      </c>
      <c r="C72" s="65"/>
      <c r="D72" s="76"/>
      <c r="E72" s="76">
        <v>4.8685538193023836</v>
      </c>
      <c r="F72" s="66">
        <v>3.3</v>
      </c>
      <c r="G72" s="65"/>
      <c r="H72" s="76"/>
      <c r="I72" s="76">
        <v>4.8702525342252114</v>
      </c>
      <c r="J72" s="66">
        <v>3.3</v>
      </c>
      <c r="K72" s="67"/>
      <c r="L72" s="194"/>
      <c r="M72" s="194">
        <v>0.77919298245614044</v>
      </c>
      <c r="N72" s="68">
        <v>1</v>
      </c>
      <c r="P72" s="69"/>
    </row>
    <row r="73" spans="2:57" ht="15">
      <c r="B73" s="35" t="s">
        <v>164</v>
      </c>
      <c r="C73" s="65"/>
      <c r="D73" s="76"/>
      <c r="E73" s="76"/>
      <c r="F73" s="66">
        <v>3.3</v>
      </c>
      <c r="G73" s="282"/>
      <c r="H73" s="76"/>
      <c r="I73" s="76"/>
      <c r="J73" s="66">
        <v>3</v>
      </c>
      <c r="K73" s="67"/>
      <c r="L73" s="194"/>
      <c r="M73" s="194"/>
      <c r="N73" s="68">
        <v>1</v>
      </c>
      <c r="P73" s="69"/>
    </row>
    <row r="74" spans="2:57" ht="15">
      <c r="B74" s="36" t="s">
        <v>15</v>
      </c>
      <c r="C74" s="65"/>
      <c r="D74" s="76">
        <v>6.8855672629257718</v>
      </c>
      <c r="E74" s="76">
        <v>6.3233965672990236</v>
      </c>
      <c r="F74" s="70">
        <v>5.5</v>
      </c>
      <c r="G74" s="65"/>
      <c r="H74" s="76">
        <v>7.4264332958762713</v>
      </c>
      <c r="I74" s="76">
        <v>7.9667553186446929</v>
      </c>
      <c r="J74" s="66">
        <v>5.5</v>
      </c>
      <c r="K74" s="67"/>
      <c r="L74" s="194">
        <v>0.391812865497076</v>
      </c>
      <c r="M74" s="194">
        <v>0.5883625730994152</v>
      </c>
      <c r="N74" s="68">
        <v>1</v>
      </c>
      <c r="P74" s="69"/>
    </row>
    <row r="75" spans="2:57" ht="15">
      <c r="B75" s="37" t="s">
        <v>16</v>
      </c>
      <c r="C75" s="482"/>
      <c r="D75" s="76"/>
      <c r="E75" s="76">
        <v>3.6168923014750334</v>
      </c>
      <c r="F75" s="66">
        <v>3.3</v>
      </c>
      <c r="G75" s="282"/>
      <c r="H75" s="76"/>
      <c r="I75" s="76">
        <v>5.0091179718082053</v>
      </c>
      <c r="J75" s="66">
        <v>3.3</v>
      </c>
      <c r="K75" s="67"/>
      <c r="L75" s="194"/>
      <c r="M75" s="194">
        <v>0.92642300194931759</v>
      </c>
      <c r="N75" s="71">
        <v>1</v>
      </c>
      <c r="P75" s="69"/>
    </row>
    <row r="76" spans="2:57" ht="15.75" thickBot="1">
      <c r="B76" s="38" t="s">
        <v>163</v>
      </c>
      <c r="C76" s="65"/>
      <c r="D76" s="76"/>
      <c r="E76" s="76"/>
      <c r="F76" s="66">
        <v>7.5</v>
      </c>
      <c r="G76" s="282"/>
      <c r="H76" s="76"/>
      <c r="I76" s="76"/>
      <c r="J76" s="66">
        <v>7.5</v>
      </c>
      <c r="K76" s="67"/>
      <c r="L76" s="194"/>
      <c r="M76" s="194"/>
      <c r="N76" s="71">
        <v>1</v>
      </c>
      <c r="P76" s="69"/>
    </row>
    <row r="77" spans="2:57" ht="15.75" thickBot="1">
      <c r="B77" s="414" t="s">
        <v>161</v>
      </c>
      <c r="C77" s="65"/>
      <c r="D77" s="76"/>
      <c r="E77" s="76"/>
      <c r="F77" s="66">
        <v>4.8</v>
      </c>
      <c r="G77" s="282"/>
      <c r="H77" s="76"/>
      <c r="I77" s="76"/>
      <c r="J77" s="66">
        <v>4.8</v>
      </c>
      <c r="K77" s="67"/>
      <c r="L77" s="194"/>
      <c r="M77" s="194"/>
      <c r="N77" s="71">
        <v>1</v>
      </c>
      <c r="O77" s="74"/>
      <c r="P77" s="75"/>
    </row>
    <row r="78" spans="2:57" ht="15">
      <c r="D78" s="76">
        <v>6.8601803608670515</v>
      </c>
      <c r="E78" s="76">
        <v>6.3776027009778096</v>
      </c>
      <c r="F78" s="341">
        <v>5.5</v>
      </c>
      <c r="H78" s="76">
        <v>6.7975185597866208</v>
      </c>
      <c r="I78" s="76">
        <v>6.7012608609515691</v>
      </c>
      <c r="J78" s="341">
        <v>5.5</v>
      </c>
      <c r="L78" s="194">
        <v>0.57155263157894742</v>
      </c>
      <c r="M78" s="194">
        <v>0.59577112851833436</v>
      </c>
      <c r="N78" s="386">
        <v>1</v>
      </c>
    </row>
  </sheetData>
  <mergeCells count="51">
    <mergeCell ref="M54:M55"/>
    <mergeCell ref="B67:F67"/>
    <mergeCell ref="G67:J67"/>
    <mergeCell ref="K67:N67"/>
    <mergeCell ref="G54:G55"/>
    <mergeCell ref="H54:H55"/>
    <mergeCell ref="I54:I55"/>
    <mergeCell ref="J54:J55"/>
    <mergeCell ref="K54:K55"/>
    <mergeCell ref="L54:L55"/>
    <mergeCell ref="F54:F55"/>
    <mergeCell ref="D49:E49"/>
    <mergeCell ref="B54:B55"/>
    <mergeCell ref="C54:C55"/>
    <mergeCell ref="D54:D55"/>
    <mergeCell ref="E54:E55"/>
    <mergeCell ref="B39:B48"/>
    <mergeCell ref="D39:E40"/>
    <mergeCell ref="J39:K39"/>
    <mergeCell ref="L40:N40"/>
    <mergeCell ref="D41:E42"/>
    <mergeCell ref="D43:E44"/>
    <mergeCell ref="D45:E46"/>
    <mergeCell ref="D47:E48"/>
    <mergeCell ref="I25:N25"/>
    <mergeCell ref="D26:E26"/>
    <mergeCell ref="B27:B38"/>
    <mergeCell ref="D27:E28"/>
    <mergeCell ref="D29:E30"/>
    <mergeCell ref="D31:E32"/>
    <mergeCell ref="D33:E34"/>
    <mergeCell ref="D35:E36"/>
    <mergeCell ref="D37:E38"/>
    <mergeCell ref="P8:P9"/>
    <mergeCell ref="C5:D5"/>
    <mergeCell ref="B8:B9"/>
    <mergeCell ref="C8:C9"/>
    <mergeCell ref="D8:D9"/>
    <mergeCell ref="G8:G9"/>
    <mergeCell ref="H8:H9"/>
    <mergeCell ref="I8:I9"/>
    <mergeCell ref="J8:J9"/>
    <mergeCell ref="K8:K9"/>
    <mergeCell ref="L8:L9"/>
    <mergeCell ref="O8:O9"/>
    <mergeCell ref="M4:N4"/>
    <mergeCell ref="S1:T1"/>
    <mergeCell ref="U1:V1"/>
    <mergeCell ref="W1:X1"/>
    <mergeCell ref="Y1:Z1"/>
    <mergeCell ref="B2:O2"/>
  </mergeCells>
  <conditionalFormatting sqref="B49:B50">
    <cfRule type="cellIs" dxfId="966" priority="102" operator="notBetween">
      <formula>#REF!</formula>
      <formula>#REF!</formula>
    </cfRule>
  </conditionalFormatting>
  <conditionalFormatting sqref="C53">
    <cfRule type="cellIs" dxfId="965" priority="185" stopIfTrue="1" operator="greaterThan">
      <formula>100</formula>
    </cfRule>
    <cfRule type="cellIs" dxfId="964" priority="184" stopIfTrue="1" operator="lessThan">
      <formula>96</formula>
    </cfRule>
  </conditionalFormatting>
  <conditionalFormatting sqref="C69:C70">
    <cfRule type="cellIs" dxfId="963" priority="65" stopIfTrue="1" operator="greaterThan">
      <formula>$F69</formula>
    </cfRule>
    <cfRule type="cellIs" dxfId="962" priority="67" stopIfTrue="1" operator="greaterThan">
      <formula>$F69</formula>
    </cfRule>
    <cfRule type="cellIs" dxfId="961" priority="68" stopIfTrue="1" operator="lessThanOrEqual">
      <formula>0</formula>
    </cfRule>
    <cfRule type="cellIs" dxfId="960" priority="66" stopIfTrue="1" operator="lessThanOrEqual">
      <formula>0</formula>
    </cfRule>
  </conditionalFormatting>
  <conditionalFormatting sqref="C71:C73 C75:C77">
    <cfRule type="cellIs" dxfId="959" priority="74" stopIfTrue="1" operator="greaterThan">
      <formula>$F74</formula>
    </cfRule>
  </conditionalFormatting>
  <conditionalFormatting sqref="C71:C73">
    <cfRule type="cellIs" dxfId="958" priority="75" stopIfTrue="1" operator="lessThanOrEqual">
      <formula>0</formula>
    </cfRule>
  </conditionalFormatting>
  <conditionalFormatting sqref="C74">
    <cfRule type="cellIs" dxfId="957" priority="186" stopIfTrue="1" operator="greaterThan">
      <formula>$F69</formula>
    </cfRule>
    <cfRule type="cellIs" dxfId="956" priority="189" stopIfTrue="1" operator="lessThanOrEqual">
      <formula>0</formula>
    </cfRule>
    <cfRule type="cellIs" dxfId="955" priority="188" stopIfTrue="1" operator="greaterThan">
      <formula>$F69</formula>
    </cfRule>
    <cfRule type="cellIs" dxfId="954" priority="187" stopIfTrue="1" operator="lessThanOrEqual">
      <formula>0</formula>
    </cfRule>
  </conditionalFormatting>
  <conditionalFormatting sqref="C75:C77">
    <cfRule type="cellIs" dxfId="953" priority="76" stopIfTrue="1" operator="lessThanOrEqual">
      <formula>0</formula>
    </cfRule>
  </conditionalFormatting>
  <conditionalFormatting sqref="C80:C84">
    <cfRule type="cellIs" dxfId="952" priority="176" stopIfTrue="1" operator="lessThanOrEqual">
      <formula>0</formula>
    </cfRule>
  </conditionalFormatting>
  <conditionalFormatting sqref="C81:C84">
    <cfRule type="cellIs" dxfId="951" priority="175" stopIfTrue="1" operator="greaterThan">
      <formula>$F$80</formula>
    </cfRule>
  </conditionalFormatting>
  <conditionalFormatting sqref="C86">
    <cfRule type="cellIs" dxfId="950" priority="177" stopIfTrue="1" operator="greaterThan">
      <formula>$F$80</formula>
    </cfRule>
    <cfRule type="cellIs" dxfId="949" priority="178" stopIfTrue="1" operator="lessThanOrEqual">
      <formula>0</formula>
    </cfRule>
  </conditionalFormatting>
  <conditionalFormatting sqref="C74:D74">
    <cfRule type="cellIs" dxfId="948" priority="63" stopIfTrue="1" operator="greaterThan">
      <formula>$J74</formula>
    </cfRule>
    <cfRule type="cellIs" dxfId="947" priority="64" stopIfTrue="1" operator="lessThanOrEqual">
      <formula>0</formula>
    </cfRule>
  </conditionalFormatting>
  <conditionalFormatting sqref="C80:D80 D82:D88">
    <cfRule type="cellIs" dxfId="946" priority="170" stopIfTrue="1" operator="greaterThan">
      <formula>4.5</formula>
    </cfRule>
  </conditionalFormatting>
  <conditionalFormatting sqref="D49:D50">
    <cfRule type="cellIs" dxfId="945" priority="103" operator="notBetween">
      <formula>#REF!</formula>
      <formula>#REF!</formula>
    </cfRule>
  </conditionalFormatting>
  <conditionalFormatting sqref="D69:D73 D75:D76">
    <cfRule type="cellIs" dxfId="944" priority="73" stopIfTrue="1" operator="lessThanOrEqual">
      <formula>0</formula>
    </cfRule>
  </conditionalFormatting>
  <conditionalFormatting sqref="D69:D73 D75:D78">
    <cfRule type="cellIs" dxfId="943" priority="70" stopIfTrue="1" operator="greaterThan">
      <formula>$F69</formula>
    </cfRule>
    <cfRule type="cellIs" dxfId="942" priority="69" stopIfTrue="1" operator="lessThanOrEqual">
      <formula>0</formula>
    </cfRule>
  </conditionalFormatting>
  <conditionalFormatting sqref="D77:D78">
    <cfRule type="cellIs" dxfId="941" priority="71" stopIfTrue="1" operator="lessThanOrEqual">
      <formula>0</formula>
    </cfRule>
  </conditionalFormatting>
  <conditionalFormatting sqref="D78">
    <cfRule type="cellIs" dxfId="940" priority="72" stopIfTrue="1" operator="lessThanOrEqual">
      <formula>0</formula>
    </cfRule>
  </conditionalFormatting>
  <conditionalFormatting sqref="D80 D82:D88">
    <cfRule type="cellIs" dxfId="939" priority="171" stopIfTrue="1" operator="lessThanOrEqual">
      <formula>0</formula>
    </cfRule>
  </conditionalFormatting>
  <conditionalFormatting sqref="D81">
    <cfRule type="cellIs" dxfId="938" priority="162" stopIfTrue="1" operator="greaterThan">
      <formula>$F$80</formula>
    </cfRule>
    <cfRule type="cellIs" dxfId="937" priority="163" stopIfTrue="1" operator="lessThanOrEqual">
      <formula>0</formula>
    </cfRule>
  </conditionalFormatting>
  <conditionalFormatting sqref="E10:E24">
    <cfRule type="cellIs" dxfId="936" priority="7" operator="lessThan">
      <formula>48</formula>
    </cfRule>
  </conditionalFormatting>
  <conditionalFormatting sqref="E52 E53:F53">
    <cfRule type="cellIs" dxfId="935" priority="167" stopIfTrue="1" operator="greaterThan">
      <formula>100</formula>
    </cfRule>
  </conditionalFormatting>
  <conditionalFormatting sqref="E53">
    <cfRule type="cellIs" dxfId="934" priority="165" stopIfTrue="1" operator="greaterThan">
      <formula>100</formula>
    </cfRule>
    <cfRule type="cellIs" dxfId="933" priority="164" stopIfTrue="1" operator="lessThan">
      <formula>96.8</formula>
    </cfRule>
  </conditionalFormatting>
  <conditionalFormatting sqref="E69:E77">
    <cfRule type="cellIs" dxfId="932" priority="36" stopIfTrue="1" operator="lessThanOrEqual">
      <formula>0</formula>
    </cfRule>
  </conditionalFormatting>
  <conditionalFormatting sqref="E69:E78">
    <cfRule type="cellIs" dxfId="931" priority="37" stopIfTrue="1" operator="greaterThan">
      <formula>$F69</formula>
    </cfRule>
    <cfRule type="cellIs" dxfId="930" priority="38" stopIfTrue="1" operator="lessThanOrEqual">
      <formula>0</formula>
    </cfRule>
  </conditionalFormatting>
  <conditionalFormatting sqref="E78">
    <cfRule type="cellIs" dxfId="929" priority="39" stopIfTrue="1" operator="lessThanOrEqual">
      <formula>0</formula>
    </cfRule>
  </conditionalFormatting>
  <conditionalFormatting sqref="E80:E88">
    <cfRule type="cellIs" dxfId="928" priority="156" stopIfTrue="1" operator="greaterThan">
      <formula>4.5</formula>
    </cfRule>
    <cfRule type="cellIs" dxfId="927" priority="157" stopIfTrue="1" operator="lessThanOrEqual">
      <formula>0</formula>
    </cfRule>
  </conditionalFormatting>
  <conditionalFormatting sqref="E53:F53 E52">
    <cfRule type="cellIs" dxfId="926" priority="166" stopIfTrue="1" operator="lessThan">
      <formula>96.5</formula>
    </cfRule>
  </conditionalFormatting>
  <conditionalFormatting sqref="F10:F24">
    <cfRule type="cellIs" dxfId="925" priority="8" operator="greaterThan">
      <formula>60</formula>
    </cfRule>
  </conditionalFormatting>
  <conditionalFormatting sqref="F53">
    <cfRule type="cellIs" dxfId="924" priority="182" stopIfTrue="1" operator="lessThan">
      <formula>96.8</formula>
    </cfRule>
    <cfRule type="cellIs" dxfId="923" priority="183" stopIfTrue="1" operator="greaterThan">
      <formula>100</formula>
    </cfRule>
  </conditionalFormatting>
  <conditionalFormatting sqref="G10:G23 M10:N23 H10:H24">
    <cfRule type="expression" dxfId="922" priority="11">
      <formula>IF(+(IF(G10&lt;#REF!,0,IF(G10&gt;#REF!,0,1)))=0,1)</formula>
    </cfRule>
  </conditionalFormatting>
  <conditionalFormatting sqref="G24">
    <cfRule type="expression" dxfId="921" priority="10">
      <formula>IF(+(IF(G24&lt;S24,0,IF(G24&gt;T24,0,1)))=0,1)</formula>
    </cfRule>
  </conditionalFormatting>
  <conditionalFormatting sqref="G69:G72 F78">
    <cfRule type="cellIs" dxfId="920" priority="45" stopIfTrue="1" operator="greaterThan">
      <formula>$F69</formula>
    </cfRule>
    <cfRule type="cellIs" dxfId="919" priority="46" stopIfTrue="1" operator="lessThanOrEqual">
      <formula>0</formula>
    </cfRule>
  </conditionalFormatting>
  <conditionalFormatting sqref="G71:G72">
    <cfRule type="cellIs" dxfId="918" priority="32" stopIfTrue="1" operator="lessThanOrEqual">
      <formula>0</formula>
    </cfRule>
    <cfRule type="cellIs" dxfId="917" priority="31" stopIfTrue="1" operator="greaterThan">
      <formula>$F71</formula>
    </cfRule>
  </conditionalFormatting>
  <conditionalFormatting sqref="G73:G77">
    <cfRule type="cellIs" dxfId="916" priority="48" stopIfTrue="1" operator="lessThanOrEqual">
      <formula>0</formula>
    </cfRule>
    <cfRule type="cellIs" dxfId="915" priority="47" stopIfTrue="1" operator="greaterThan">
      <formula>$J73</formula>
    </cfRule>
  </conditionalFormatting>
  <conditionalFormatting sqref="G74">
    <cfRule type="cellIs" dxfId="914" priority="190" stopIfTrue="1" operator="greaterThan">
      <formula>$F69</formula>
    </cfRule>
    <cfRule type="cellIs" dxfId="913" priority="191" stopIfTrue="1" operator="lessThanOrEqual">
      <formula>0</formula>
    </cfRule>
  </conditionalFormatting>
  <conditionalFormatting sqref="G82:G87 C85 C87">
    <cfRule type="cellIs" dxfId="912" priority="180" stopIfTrue="1" operator="lessThanOrEqual">
      <formula>0</formula>
    </cfRule>
    <cfRule type="cellIs" dxfId="911" priority="179" stopIfTrue="1" operator="greaterThan">
      <formula>4.5</formula>
    </cfRule>
  </conditionalFormatting>
  <conditionalFormatting sqref="G81:H81">
    <cfRule type="cellIs" dxfId="910" priority="161" stopIfTrue="1" operator="lessThanOrEqual">
      <formula>0</formula>
    </cfRule>
    <cfRule type="cellIs" dxfId="909" priority="160" stopIfTrue="1" operator="greaterThan">
      <formula>$F$80</formula>
    </cfRule>
  </conditionalFormatting>
  <conditionalFormatting sqref="H38:H39 H52">
    <cfRule type="cellIs" dxfId="908" priority="158" stopIfTrue="1" operator="greaterThan">
      <formula>0</formula>
    </cfRule>
  </conditionalFormatting>
  <conditionalFormatting sqref="H56">
    <cfRule type="cellIs" dxfId="907" priority="51" stopIfTrue="1" operator="greaterThan">
      <formula>$F$69</formula>
    </cfRule>
    <cfRule type="cellIs" dxfId="906" priority="59" stopIfTrue="1" operator="greaterThan">
      <formula>$F$72</formula>
    </cfRule>
    <cfRule type="cellIs" dxfId="905" priority="60" stopIfTrue="1" operator="lessThanOrEqual">
      <formula>0</formula>
    </cfRule>
    <cfRule type="cellIs" dxfId="904" priority="61" stopIfTrue="1" operator="greaterThan">
      <formula>$F$70</formula>
    </cfRule>
    <cfRule type="cellIs" dxfId="903" priority="50" stopIfTrue="1" operator="lessThanOrEqual">
      <formula>0</formula>
    </cfRule>
  </conditionalFormatting>
  <conditionalFormatting sqref="H56:H57">
    <cfRule type="cellIs" dxfId="902" priority="62" stopIfTrue="1" operator="lessThanOrEqual">
      <formula>0</formula>
    </cfRule>
  </conditionalFormatting>
  <conditionalFormatting sqref="H57 H59:H60">
    <cfRule type="cellIs" dxfId="901" priority="88" stopIfTrue="1" operator="lessThanOrEqual">
      <formula>0</formula>
    </cfRule>
  </conditionalFormatting>
  <conditionalFormatting sqref="H57">
    <cfRule type="cellIs" dxfId="900" priority="85" stopIfTrue="1" operator="greaterThan">
      <formula>$F$72</formula>
    </cfRule>
    <cfRule type="cellIs" dxfId="899" priority="87" stopIfTrue="1" operator="greaterThan">
      <formula>$F$70</formula>
    </cfRule>
    <cfRule type="cellIs" dxfId="898" priority="86" stopIfTrue="1" operator="lessThanOrEqual">
      <formula>0</formula>
    </cfRule>
    <cfRule type="cellIs" dxfId="897" priority="77" stopIfTrue="1" operator="greaterThan">
      <formula>$F$69</formula>
    </cfRule>
  </conditionalFormatting>
  <conditionalFormatting sqref="H58">
    <cfRule type="cellIs" dxfId="896" priority="17" stopIfTrue="1" operator="lessThanOrEqual">
      <formula>0</formula>
    </cfRule>
    <cfRule type="cellIs" dxfId="895" priority="18" stopIfTrue="1" operator="greaterThan">
      <formula>$F$71</formula>
    </cfRule>
    <cfRule type="cellIs" dxfId="894" priority="26" stopIfTrue="1" operator="greaterThan">
      <formula>$F$74</formula>
    </cfRule>
    <cfRule type="cellIs" dxfId="893" priority="27" stopIfTrue="1" operator="lessThanOrEqual">
      <formula>0</formula>
    </cfRule>
    <cfRule type="cellIs" dxfId="892" priority="28" stopIfTrue="1" operator="greaterThan">
      <formula>$F$72</formula>
    </cfRule>
    <cfRule type="cellIs" dxfId="891" priority="29" stopIfTrue="1" operator="lessThanOrEqual">
      <formula>0</formula>
    </cfRule>
  </conditionalFormatting>
  <conditionalFormatting sqref="H59:H60">
    <cfRule type="cellIs" dxfId="890" priority="100" stopIfTrue="1" operator="greaterThan">
      <formula>$F$70</formula>
    </cfRule>
    <cfRule type="cellIs" dxfId="889" priority="99" stopIfTrue="1" operator="lessThanOrEqual">
      <formula>0</formula>
    </cfRule>
    <cfRule type="cellIs" dxfId="888" priority="98" stopIfTrue="1" operator="greaterThan">
      <formula>$F$72</formula>
    </cfRule>
    <cfRule type="cellIs" dxfId="887" priority="90" stopIfTrue="1" operator="greaterThan">
      <formula>$F$69</formula>
    </cfRule>
    <cfRule type="cellIs" dxfId="886" priority="101" stopIfTrue="1" operator="lessThanOrEqual">
      <formula>0</formula>
    </cfRule>
  </conditionalFormatting>
  <conditionalFormatting sqref="H61:H62">
    <cfRule type="cellIs" dxfId="885" priority="125" stopIfTrue="1" operator="lessThanOrEqual">
      <formula>0</formula>
    </cfRule>
    <cfRule type="cellIs" dxfId="884" priority="134" stopIfTrue="1" operator="greaterThan">
      <formula>#REF!</formula>
    </cfRule>
    <cfRule type="cellIs" dxfId="883" priority="135" stopIfTrue="1" operator="lessThanOrEqual">
      <formula>0</formula>
    </cfRule>
    <cfRule type="cellIs" dxfId="882" priority="126" stopIfTrue="1" operator="greaterThan">
      <formula>#REF!</formula>
    </cfRule>
  </conditionalFormatting>
  <conditionalFormatting sqref="H63">
    <cfRule type="cellIs" dxfId="881" priority="149" stopIfTrue="1" operator="lessThanOrEqual">
      <formula>0</formula>
    </cfRule>
    <cfRule type="cellIs" dxfId="880" priority="137" stopIfTrue="1" operator="lessThanOrEqual">
      <formula>0</formula>
    </cfRule>
    <cfRule type="cellIs" dxfId="879" priority="138" stopIfTrue="1" operator="greaterThan">
      <formula>$F$37</formula>
    </cfRule>
    <cfRule type="cellIs" dxfId="878" priority="148" stopIfTrue="1" operator="greaterThan">
      <formula>$F$38</formula>
    </cfRule>
    <cfRule type="cellIs" dxfId="877" priority="147" stopIfTrue="1" operator="lessThanOrEqual">
      <formula>0</formula>
    </cfRule>
    <cfRule type="cellIs" dxfId="876" priority="146" stopIfTrue="1" operator="greaterThan">
      <formula>$F$40</formula>
    </cfRule>
  </conditionalFormatting>
  <conditionalFormatting sqref="H64:H65">
    <cfRule type="cellIs" dxfId="875" priority="122" stopIfTrue="1" operator="greaterThan">
      <formula>#REF!</formula>
    </cfRule>
    <cfRule type="cellIs" dxfId="874" priority="114" stopIfTrue="1" operator="greaterThan">
      <formula>#REF!</formula>
    </cfRule>
    <cfRule type="cellIs" dxfId="873" priority="113" stopIfTrue="1" operator="lessThanOrEqual">
      <formula>0</formula>
    </cfRule>
    <cfRule type="cellIs" dxfId="872" priority="123" stopIfTrue="1" operator="lessThanOrEqual">
      <formula>0</formula>
    </cfRule>
  </conditionalFormatting>
  <conditionalFormatting sqref="H80 H82:H88">
    <cfRule type="cellIs" dxfId="871" priority="172" stopIfTrue="1" operator="greaterThan">
      <formula>4.5</formula>
    </cfRule>
    <cfRule type="cellIs" dxfId="870" priority="173" stopIfTrue="1" operator="lessThanOrEqual">
      <formula>0</formula>
    </cfRule>
  </conditionalFormatting>
  <conditionalFormatting sqref="H56:I56">
    <cfRule type="cellIs" dxfId="869" priority="52" stopIfTrue="1" operator="lessThanOrEqual">
      <formula>0</formula>
    </cfRule>
  </conditionalFormatting>
  <conditionalFormatting sqref="H56:I57 H59:I60">
    <cfRule type="cellIs" dxfId="868" priority="49" stopIfTrue="1" operator="greaterThan">
      <formula>$F$71</formula>
    </cfRule>
  </conditionalFormatting>
  <conditionalFormatting sqref="H57:I57">
    <cfRule type="cellIs" dxfId="867" priority="78" stopIfTrue="1" operator="lessThanOrEqual">
      <formula>0</formula>
    </cfRule>
  </conditionalFormatting>
  <conditionalFormatting sqref="H58:I58">
    <cfRule type="cellIs" dxfId="866" priority="16" stopIfTrue="1" operator="greaterThan">
      <formula>$F$73</formula>
    </cfRule>
    <cfRule type="cellIs" dxfId="865" priority="19" stopIfTrue="1" operator="lessThanOrEqual">
      <formula>0</formula>
    </cfRule>
  </conditionalFormatting>
  <conditionalFormatting sqref="H59:I60">
    <cfRule type="cellIs" dxfId="864" priority="91" stopIfTrue="1" operator="lessThanOrEqual">
      <formula>0</formula>
    </cfRule>
  </conditionalFormatting>
  <conditionalFormatting sqref="H61:I62">
    <cfRule type="cellIs" dxfId="863" priority="132" stopIfTrue="1" operator="greaterThan">
      <formula>#REF!</formula>
    </cfRule>
    <cfRule type="cellIs" dxfId="862" priority="127" stopIfTrue="1" operator="lessThanOrEqual">
      <formula>0</formula>
    </cfRule>
    <cfRule type="cellIs" dxfId="861" priority="133" stopIfTrue="1" operator="lessThanOrEqual">
      <formula>0</formula>
    </cfRule>
    <cfRule type="cellIs" dxfId="860" priority="124" stopIfTrue="1" operator="greaterThan">
      <formula>#REF!</formula>
    </cfRule>
  </conditionalFormatting>
  <conditionalFormatting sqref="H63:I63">
    <cfRule type="cellIs" dxfId="859" priority="136" stopIfTrue="1" operator="greaterThan">
      <formula>$F$39</formula>
    </cfRule>
    <cfRule type="cellIs" dxfId="858" priority="139" stopIfTrue="1" operator="lessThanOrEqual">
      <formula>0</formula>
    </cfRule>
  </conditionalFormatting>
  <conditionalFormatting sqref="H64:I65">
    <cfRule type="cellIs" dxfId="857" priority="112" stopIfTrue="1" operator="greaterThan">
      <formula>#REF!</formula>
    </cfRule>
    <cfRule type="cellIs" dxfId="856" priority="115" stopIfTrue="1" operator="lessThanOrEqual">
      <formula>0</formula>
    </cfRule>
    <cfRule type="cellIs" dxfId="855" priority="120" stopIfTrue="1" operator="greaterThan">
      <formula>#REF!</formula>
    </cfRule>
    <cfRule type="cellIs" dxfId="854" priority="121" stopIfTrue="1" operator="lessThanOrEqual">
      <formula>0</formula>
    </cfRule>
  </conditionalFormatting>
  <conditionalFormatting sqref="H69:I76">
    <cfRule type="cellIs" dxfId="853" priority="35" stopIfTrue="1" operator="lessThanOrEqual">
      <formula>0</formula>
    </cfRule>
    <cfRule type="cellIs" dxfId="852" priority="34" stopIfTrue="1" operator="greaterThan">
      <formula>$J69</formula>
    </cfRule>
  </conditionalFormatting>
  <conditionalFormatting sqref="H77:I77">
    <cfRule type="cellIs" dxfId="851" priority="42" operator="greaterThan">
      <formula>5.3</formula>
    </cfRule>
  </conditionalFormatting>
  <conditionalFormatting sqref="H78:I78">
    <cfRule type="cellIs" dxfId="850" priority="41" stopIfTrue="1" operator="lessThanOrEqual">
      <formula>0</formula>
    </cfRule>
    <cfRule type="cellIs" dxfId="849" priority="40" stopIfTrue="1" operator="greaterThan">
      <formula>$J78</formula>
    </cfRule>
  </conditionalFormatting>
  <conditionalFormatting sqref="I56">
    <cfRule type="cellIs" dxfId="848" priority="55" stopIfTrue="1" operator="greaterThan">
      <formula>$F$71</formula>
    </cfRule>
    <cfRule type="cellIs" dxfId="847" priority="54" stopIfTrue="1" operator="lessThanOrEqual">
      <formula>0</formula>
    </cfRule>
    <cfRule type="cellIs" dxfId="846" priority="53" stopIfTrue="1" operator="greaterThan">
      <formula>$F$69</formula>
    </cfRule>
    <cfRule type="cellIs" dxfId="845" priority="58" stopIfTrue="1" operator="lessThanOrEqual">
      <formula>0</formula>
    </cfRule>
    <cfRule type="cellIs" dxfId="844" priority="57" stopIfTrue="1" operator="greaterThan">
      <formula>$F$69</formula>
    </cfRule>
    <cfRule type="cellIs" dxfId="843" priority="56" stopIfTrue="1" operator="lessThanOrEqual">
      <formula>0</formula>
    </cfRule>
  </conditionalFormatting>
  <conditionalFormatting sqref="I57">
    <cfRule type="cellIs" dxfId="842" priority="80" stopIfTrue="1" operator="lessThanOrEqual">
      <formula>0</formula>
    </cfRule>
    <cfRule type="cellIs" dxfId="841" priority="79" stopIfTrue="1" operator="greaterThan">
      <formula>$F$69</formula>
    </cfRule>
    <cfRule type="cellIs" dxfId="840" priority="84" stopIfTrue="1" operator="lessThanOrEqual">
      <formula>0</formula>
    </cfRule>
    <cfRule type="cellIs" dxfId="839" priority="83" stopIfTrue="1" operator="greaterThan">
      <formula>$F$69</formula>
    </cfRule>
    <cfRule type="cellIs" dxfId="838" priority="82" stopIfTrue="1" operator="lessThanOrEqual">
      <formula>0</formula>
    </cfRule>
    <cfRule type="cellIs" dxfId="837" priority="81" stopIfTrue="1" operator="greaterThan">
      <formula>$F$71</formula>
    </cfRule>
  </conditionalFormatting>
  <conditionalFormatting sqref="I58">
    <cfRule type="cellIs" dxfId="836" priority="24" stopIfTrue="1" operator="greaterThan">
      <formula>$F$71</formula>
    </cfRule>
    <cfRule type="cellIs" dxfId="835" priority="23" stopIfTrue="1" operator="lessThanOrEqual">
      <formula>0</formula>
    </cfRule>
    <cfRule type="cellIs" dxfId="834" priority="22" stopIfTrue="1" operator="greaterThan">
      <formula>$F$73</formula>
    </cfRule>
    <cfRule type="cellIs" dxfId="833" priority="21" stopIfTrue="1" operator="lessThanOrEqual">
      <formula>0</formula>
    </cfRule>
    <cfRule type="cellIs" dxfId="832" priority="20" stopIfTrue="1" operator="greaterThan">
      <formula>$F$71</formula>
    </cfRule>
    <cfRule type="cellIs" dxfId="831" priority="25" stopIfTrue="1" operator="lessThanOrEqual">
      <formula>0</formula>
    </cfRule>
  </conditionalFormatting>
  <conditionalFormatting sqref="I59:I60">
    <cfRule type="cellIs" dxfId="830" priority="95" stopIfTrue="1" operator="lessThanOrEqual">
      <formula>0</formula>
    </cfRule>
    <cfRule type="cellIs" dxfId="829" priority="96" stopIfTrue="1" operator="greaterThan">
      <formula>$F$69</formula>
    </cfRule>
    <cfRule type="cellIs" dxfId="828" priority="97" stopIfTrue="1" operator="lessThanOrEqual">
      <formula>0</formula>
    </cfRule>
    <cfRule type="cellIs" dxfId="827" priority="92" stopIfTrue="1" operator="greaterThan">
      <formula>$F$69</formula>
    </cfRule>
    <cfRule type="cellIs" dxfId="826" priority="93" stopIfTrue="1" operator="lessThanOrEqual">
      <formula>0</formula>
    </cfRule>
    <cfRule type="cellIs" dxfId="825" priority="94" stopIfTrue="1" operator="greaterThan">
      <formula>$F$71</formula>
    </cfRule>
  </conditionalFormatting>
  <conditionalFormatting sqref="I61:I62">
    <cfRule type="cellIs" dxfId="824" priority="128" stopIfTrue="1" operator="greaterThan">
      <formula>#REF!</formula>
    </cfRule>
    <cfRule type="cellIs" dxfId="823" priority="131" stopIfTrue="1" operator="lessThanOrEqual">
      <formula>0</formula>
    </cfRule>
    <cfRule type="cellIs" dxfId="822" priority="130" stopIfTrue="1" operator="greaterThan">
      <formula>#REF!</formula>
    </cfRule>
    <cfRule type="cellIs" dxfId="821" priority="129" stopIfTrue="1" operator="lessThanOrEqual">
      <formula>0</formula>
    </cfRule>
  </conditionalFormatting>
  <conditionalFormatting sqref="I63">
    <cfRule type="cellIs" dxfId="820" priority="143" stopIfTrue="1" operator="lessThanOrEqual">
      <formula>0</formula>
    </cfRule>
    <cfRule type="cellIs" dxfId="819" priority="144" stopIfTrue="1" operator="greaterThan">
      <formula>$F$37</formula>
    </cfRule>
    <cfRule type="cellIs" dxfId="818" priority="145" stopIfTrue="1" operator="lessThanOrEqual">
      <formula>0</formula>
    </cfRule>
    <cfRule type="cellIs" dxfId="817" priority="142" stopIfTrue="1" operator="greaterThan">
      <formula>$F$39</formula>
    </cfRule>
    <cfRule type="cellIs" dxfId="816" priority="141" stopIfTrue="1" operator="lessThanOrEqual">
      <formula>0</formula>
    </cfRule>
    <cfRule type="cellIs" dxfId="815" priority="140" stopIfTrue="1" operator="greaterThan">
      <formula>$F$37</formula>
    </cfRule>
  </conditionalFormatting>
  <conditionalFormatting sqref="I64:I65">
    <cfRule type="cellIs" dxfId="814" priority="116" stopIfTrue="1" operator="greaterThan">
      <formula>#REF!</formula>
    </cfRule>
    <cfRule type="cellIs" dxfId="813" priority="117" stopIfTrue="1" operator="lessThanOrEqual">
      <formula>0</formula>
    </cfRule>
    <cfRule type="cellIs" dxfId="812" priority="118" stopIfTrue="1" operator="greaterThan">
      <formula>#REF!</formula>
    </cfRule>
    <cfRule type="cellIs" dxfId="811" priority="119" stopIfTrue="1" operator="lessThanOrEqual">
      <formula>0</formula>
    </cfRule>
  </conditionalFormatting>
  <conditionalFormatting sqref="I80:I88">
    <cfRule type="cellIs" dxfId="810" priority="169" stopIfTrue="1" operator="lessThanOrEqual">
      <formula>0</formula>
    </cfRule>
    <cfRule type="cellIs" dxfId="809" priority="168" stopIfTrue="1" operator="greaterThan">
      <formula>4.5</formula>
    </cfRule>
  </conditionalFormatting>
  <conditionalFormatting sqref="I10:J24">
    <cfRule type="cellIs" dxfId="808" priority="1" operator="lessThan">
      <formula>97.9</formula>
    </cfRule>
  </conditionalFormatting>
  <conditionalFormatting sqref="J27:J29">
    <cfRule type="cellIs" dxfId="807" priority="15" operator="lessThan">
      <formula>97.95</formula>
    </cfRule>
  </conditionalFormatting>
  <conditionalFormatting sqref="J28:J31">
    <cfRule type="cellIs" dxfId="806" priority="150" operator="lessThan">
      <formula>97.4</formula>
    </cfRule>
  </conditionalFormatting>
  <conditionalFormatting sqref="J32:J33">
    <cfRule type="cellIs" dxfId="805" priority="151" operator="lessThan">
      <formula>98</formula>
    </cfRule>
  </conditionalFormatting>
  <conditionalFormatting sqref="J34:J35">
    <cfRule type="cellIs" dxfId="804" priority="152" stopIfTrue="1" operator="lessThan">
      <formula>96.8</formula>
    </cfRule>
    <cfRule type="cellIs" dxfId="803" priority="153" stopIfTrue="1" operator="greaterThan">
      <formula>100</formula>
    </cfRule>
  </conditionalFormatting>
  <conditionalFormatting sqref="J34:J36">
    <cfRule type="cellIs" dxfId="802" priority="154" operator="lessThan">
      <formula>98</formula>
    </cfRule>
  </conditionalFormatting>
  <conditionalFormatting sqref="J65">
    <cfRule type="cellIs" dxfId="801" priority="108" stopIfTrue="1" operator="greaterThan">
      <formula>#REF!</formula>
    </cfRule>
    <cfRule type="cellIs" dxfId="800" priority="109" stopIfTrue="1" operator="lessThanOrEqual">
      <formula>0</formula>
    </cfRule>
    <cfRule type="cellIs" dxfId="799" priority="110" stopIfTrue="1" operator="greaterThan">
      <formula>#REF!</formula>
    </cfRule>
    <cfRule type="cellIs" dxfId="798" priority="111" stopIfTrue="1" operator="lessThanOrEqual">
      <formula>0</formula>
    </cfRule>
    <cfRule type="cellIs" dxfId="797" priority="104" stopIfTrue="1" operator="greaterThan">
      <formula>#REF!</formula>
    </cfRule>
    <cfRule type="cellIs" dxfId="796" priority="105" stopIfTrue="1" operator="lessThanOrEqual">
      <formula>0</formula>
    </cfRule>
    <cfRule type="cellIs" dxfId="795" priority="106" stopIfTrue="1" operator="greaterThan">
      <formula>#REF!</formula>
    </cfRule>
    <cfRule type="cellIs" dxfId="794" priority="107" stopIfTrue="1" operator="lessThanOrEqual">
      <formula>0</formula>
    </cfRule>
  </conditionalFormatting>
  <conditionalFormatting sqref="J78">
    <cfRule type="cellIs" dxfId="793" priority="43" stopIfTrue="1" operator="greaterThan">
      <formula>$F78</formula>
    </cfRule>
    <cfRule type="cellIs" dxfId="792" priority="44" stopIfTrue="1" operator="lessThanOrEqual">
      <formula>0</formula>
    </cfRule>
  </conditionalFormatting>
  <conditionalFormatting sqref="K10:K24">
    <cfRule type="cellIs" dxfId="791" priority="3" operator="lessThan">
      <formula>4</formula>
    </cfRule>
    <cfRule type="cellIs" dxfId="790" priority="2" operator="greaterThan">
      <formula>6</formula>
    </cfRule>
    <cfRule type="cellIs" dxfId="789" priority="4" operator="greaterThan">
      <formula>6.4</formula>
    </cfRule>
  </conditionalFormatting>
  <conditionalFormatting sqref="K56:K65">
    <cfRule type="cellIs" dxfId="788" priority="89" stopIfTrue="1" operator="lessThan">
      <formula>100%</formula>
    </cfRule>
  </conditionalFormatting>
  <conditionalFormatting sqref="K69:K77">
    <cfRule type="cellIs" dxfId="787" priority="33" stopIfTrue="1" operator="lessThan">
      <formula>100%</formula>
    </cfRule>
  </conditionalFormatting>
  <conditionalFormatting sqref="K80:K85">
    <cfRule type="cellIs" dxfId="786" priority="174" stopIfTrue="1" operator="lessThan">
      <formula>100%</formula>
    </cfRule>
  </conditionalFormatting>
  <conditionalFormatting sqref="K87:K88">
    <cfRule type="cellIs" dxfId="785" priority="181" stopIfTrue="1" operator="lessThan">
      <formula>100%</formula>
    </cfRule>
  </conditionalFormatting>
  <conditionalFormatting sqref="L10:L24">
    <cfRule type="cellIs" dxfId="784" priority="5" operator="between">
      <formula>61</formula>
      <formula>65</formula>
    </cfRule>
    <cfRule type="cellIs" dxfId="783" priority="6" operator="greaterThan">
      <formula>65</formula>
    </cfRule>
  </conditionalFormatting>
  <conditionalFormatting sqref="L27:M38">
    <cfRule type="cellIs" dxfId="782" priority="14" operator="lessThan">
      <formula>97.95</formula>
    </cfRule>
  </conditionalFormatting>
  <conditionalFormatting sqref="L42:N42">
    <cfRule type="cellIs" dxfId="781" priority="12" operator="notEqual">
      <formula>#REF!</formula>
    </cfRule>
  </conditionalFormatting>
  <conditionalFormatting sqref="L69:N78">
    <cfRule type="cellIs" dxfId="780" priority="30" stopIfTrue="1" operator="lessThan">
      <formula>100%</formula>
    </cfRule>
  </conditionalFormatting>
  <conditionalFormatting sqref="L80:N88">
    <cfRule type="cellIs" dxfId="779" priority="159" stopIfTrue="1" operator="lessThan">
      <formula>100%</formula>
    </cfRule>
  </conditionalFormatting>
  <conditionalFormatting sqref="M24">
    <cfRule type="expression" dxfId="778" priority="9">
      <formula>IF(+(IF(M24&lt;U24,0,IF(M24&gt;V24,0,1)))=0,1)</formula>
    </cfRule>
  </conditionalFormatting>
  <conditionalFormatting sqref="N10:N24">
    <cfRule type="expression" dxfId="777" priority="13">
      <formula>IF(+(IF(N10&lt;W10,0,IF(N10&gt;X10,0,1)))=0,1)</formula>
    </cfRule>
  </conditionalFormatting>
  <conditionalFormatting sqref="P6">
    <cfRule type="cellIs" dxfId="776" priority="155" operator="greaterThanOrEqual">
      <formula>19</formula>
    </cfRule>
  </conditionalFormatting>
  <dataValidations count="1">
    <dataValidation type="list" allowBlank="1" showInputMessage="1" showErrorMessage="1" sqref="R8" xr:uid="{23C79FEE-C93C-4D05-B7BC-2EC12462AFA2}">
      <formula1>ProductList</formula1>
    </dataValidation>
  </dataValidations>
  <pageMargins left="0.7" right="0.7" top="0.75" bottom="0.75" header="0.3" footer="0.3"/>
  <pageSetup scale="40" fitToWidth="0" orientation="landscape" r:id="rId1"/>
  <rowBreaks count="1" manualBreakCount="1">
    <brk id="82" max="16383" man="1"/>
  </rowBreaks>
  <colBreaks count="1" manualBreakCount="1">
    <brk id="15" max="89" man="1"/>
  </colBreaks>
  <legacy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B45AB6-4F7F-4F7D-82C8-24834CFFCD53}">
  <sheetPr>
    <pageSetUpPr fitToPage="1"/>
  </sheetPr>
  <dimension ref="A1:BE76"/>
  <sheetViews>
    <sheetView topLeftCell="A34" zoomScale="85" zoomScaleNormal="85" workbookViewId="0">
      <selection activeCell="L54" sqref="L54"/>
    </sheetView>
  </sheetViews>
  <sheetFormatPr defaultColWidth="9.42578125" defaultRowHeight="14.25"/>
  <cols>
    <col min="1" max="1" width="7.28515625" style="275" customWidth="1"/>
    <col min="2" max="2" width="31.28515625" style="275" customWidth="1"/>
    <col min="3" max="3" width="22.28515625" style="275" customWidth="1"/>
    <col min="4" max="7" width="16.5703125" style="275" customWidth="1"/>
    <col min="8" max="8" width="20.7109375" style="275" customWidth="1"/>
    <col min="9" max="9" width="31.42578125" style="275" customWidth="1"/>
    <col min="10" max="10" width="35.28515625" style="275" customWidth="1"/>
    <col min="11" max="11" width="29" style="275" customWidth="1"/>
    <col min="12" max="12" width="17.28515625" style="275" bestFit="1" customWidth="1"/>
    <col min="13" max="13" width="23.28515625" style="275" customWidth="1"/>
    <col min="14" max="14" width="13.7109375" style="275" bestFit="1" customWidth="1"/>
    <col min="15" max="15" width="17.5703125" style="275" customWidth="1"/>
    <col min="16" max="16" width="109.28515625" style="6" customWidth="1"/>
    <col min="17" max="17" width="16.5703125" style="275" customWidth="1"/>
    <col min="18" max="18" width="15.7109375" style="275" bestFit="1" customWidth="1"/>
    <col min="19" max="19" width="12.42578125" style="275" customWidth="1"/>
    <col min="20" max="20" width="15" style="275" customWidth="1"/>
    <col min="21" max="21" width="12" style="275" customWidth="1"/>
    <col min="22" max="22" width="10.42578125" style="275" customWidth="1"/>
    <col min="23" max="23" width="11.42578125" style="275" customWidth="1"/>
    <col min="24" max="24" width="10.42578125" style="275" customWidth="1"/>
    <col min="25" max="25" width="8.42578125" style="275" customWidth="1"/>
    <col min="26" max="26" width="9.5703125" style="275" customWidth="1"/>
    <col min="27" max="27" width="8.42578125" style="275" customWidth="1"/>
    <col min="28" max="29" width="7.5703125" style="275" customWidth="1"/>
    <col min="30" max="51" width="9.42578125" style="275"/>
    <col min="52" max="52" width="1.5703125" style="275" customWidth="1"/>
    <col min="53" max="54" width="9.42578125" style="275"/>
    <col min="55" max="56" width="15.42578125" style="275" customWidth="1"/>
    <col min="57" max="16384" width="9.42578125" style="275"/>
  </cols>
  <sheetData>
    <row r="1" spans="2:29" ht="1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R1" s="467"/>
      <c r="S1" s="553" t="s">
        <v>0</v>
      </c>
      <c r="T1" s="553"/>
      <c r="U1" s="553" t="s">
        <v>1</v>
      </c>
      <c r="V1" s="553"/>
      <c r="W1" s="553" t="s">
        <v>2</v>
      </c>
      <c r="X1" s="553"/>
      <c r="Y1" s="553" t="s">
        <v>124</v>
      </c>
      <c r="Z1" s="553"/>
    </row>
    <row r="2" spans="2:29" ht="15">
      <c r="B2" s="554" t="s">
        <v>3</v>
      </c>
      <c r="C2" s="554"/>
      <c r="D2" s="554"/>
      <c r="E2" s="554"/>
      <c r="F2" s="554"/>
      <c r="G2" s="554"/>
      <c r="H2" s="554"/>
      <c r="I2" s="554"/>
      <c r="J2" s="554"/>
      <c r="K2" s="554"/>
      <c r="L2" s="554"/>
      <c r="M2" s="554"/>
      <c r="N2" s="554"/>
      <c r="O2" s="554"/>
      <c r="P2" s="4"/>
      <c r="R2" s="467"/>
      <c r="S2" s="467" t="s">
        <v>4</v>
      </c>
      <c r="T2" s="467" t="s">
        <v>5</v>
      </c>
      <c r="U2" s="467" t="s">
        <v>4</v>
      </c>
      <c r="V2" s="467" t="s">
        <v>5</v>
      </c>
      <c r="W2" s="467" t="s">
        <v>4</v>
      </c>
      <c r="X2" s="467" t="s">
        <v>5</v>
      </c>
      <c r="Y2" s="467" t="s">
        <v>4</v>
      </c>
      <c r="Z2" s="467" t="s">
        <v>5</v>
      </c>
    </row>
    <row r="3" spans="2:29" ht="14.25" customHeight="1">
      <c r="B3" s="5"/>
      <c r="R3" s="467" t="s">
        <v>6</v>
      </c>
      <c r="S3" s="468">
        <v>11.6</v>
      </c>
      <c r="T3" s="469">
        <v>12</v>
      </c>
      <c r="U3" s="9">
        <v>0</v>
      </c>
      <c r="V3" s="10">
        <v>0.118055555555556</v>
      </c>
      <c r="W3" s="10">
        <v>0.22569444444444445</v>
      </c>
      <c r="X3" s="10">
        <v>0.2638888888888889</v>
      </c>
      <c r="Y3" s="470">
        <v>0</v>
      </c>
      <c r="Z3" s="468">
        <v>60</v>
      </c>
      <c r="AB3" s="275" t="s">
        <v>135</v>
      </c>
    </row>
    <row r="4" spans="2:29" ht="30.75" customHeight="1">
      <c r="B4" s="301" t="s">
        <v>133</v>
      </c>
      <c r="C4" s="419">
        <v>46290</v>
      </c>
      <c r="J4" s="398" t="s">
        <v>153</v>
      </c>
      <c r="K4" s="398"/>
      <c r="L4" s="11"/>
      <c r="M4" s="555" t="s">
        <v>8</v>
      </c>
      <c r="N4" s="556"/>
      <c r="P4" s="12"/>
      <c r="R4" s="467" t="s">
        <v>9</v>
      </c>
      <c r="S4" s="468">
        <v>11.6</v>
      </c>
      <c r="T4" s="469">
        <v>12</v>
      </c>
      <c r="U4" s="9">
        <v>0</v>
      </c>
      <c r="V4" s="10">
        <v>0.118055555555556</v>
      </c>
      <c r="W4" s="10">
        <v>0.22569444444444445</v>
      </c>
      <c r="X4" s="10">
        <v>0.2638888888888889</v>
      </c>
      <c r="Y4" s="470">
        <v>0</v>
      </c>
      <c r="Z4" s="468">
        <v>60</v>
      </c>
      <c r="AA4" s="13"/>
      <c r="AB4" s="13"/>
      <c r="AC4" s="13"/>
    </row>
    <row r="5" spans="2:29" ht="12.75" customHeight="1" thickBot="1">
      <c r="B5" s="1"/>
      <c r="C5" s="549"/>
      <c r="D5" s="549"/>
      <c r="J5" s="403"/>
      <c r="K5" s="403"/>
      <c r="L5" s="11"/>
      <c r="M5" s="14" t="s">
        <v>10</v>
      </c>
      <c r="N5" s="14" t="s">
        <v>11</v>
      </c>
      <c r="P5" s="12"/>
      <c r="R5" s="467" t="s">
        <v>12</v>
      </c>
      <c r="S5" s="468">
        <v>17</v>
      </c>
      <c r="T5" s="469">
        <v>17.5</v>
      </c>
      <c r="U5" s="9">
        <v>0</v>
      </c>
      <c r="V5" s="10">
        <v>0.1076388888888889</v>
      </c>
      <c r="W5" s="10">
        <v>0.24652777777777779</v>
      </c>
      <c r="X5" s="10">
        <v>0.28472222222222221</v>
      </c>
      <c r="Y5" s="470">
        <v>0</v>
      </c>
      <c r="Z5" s="471">
        <v>60</v>
      </c>
      <c r="AA5" s="13"/>
      <c r="AB5" s="13"/>
      <c r="AC5" s="13"/>
    </row>
    <row r="6" spans="2:29" ht="14.25" customHeight="1">
      <c r="B6" s="15"/>
      <c r="C6" s="1"/>
      <c r="D6" s="1"/>
      <c r="J6" s="399" t="s">
        <v>168</v>
      </c>
      <c r="K6" s="400"/>
      <c r="L6" s="311" t="s">
        <v>14</v>
      </c>
      <c r="M6" s="340"/>
      <c r="N6" s="340"/>
      <c r="P6" s="16"/>
      <c r="R6" s="467" t="s">
        <v>15</v>
      </c>
      <c r="S6" s="468">
        <v>13.3</v>
      </c>
      <c r="T6" s="469">
        <v>13.5</v>
      </c>
      <c r="U6" s="9">
        <v>0</v>
      </c>
      <c r="V6" s="9">
        <v>0.12905092592592593</v>
      </c>
      <c r="W6" s="10">
        <v>0.27430555555555552</v>
      </c>
      <c r="X6" s="10">
        <v>0.30208333333333331</v>
      </c>
      <c r="Y6" s="470">
        <v>0</v>
      </c>
      <c r="Z6" s="471"/>
      <c r="AA6" s="13"/>
      <c r="AB6" s="13"/>
      <c r="AC6" s="13"/>
    </row>
    <row r="7" spans="2:29" ht="13.35" customHeight="1" thickBot="1">
      <c r="J7" s="401"/>
      <c r="K7" s="402"/>
      <c r="R7" s="467" t="s">
        <v>16</v>
      </c>
      <c r="S7" s="468">
        <v>17</v>
      </c>
      <c r="T7" s="469">
        <v>17.399999999999999</v>
      </c>
      <c r="U7" s="9">
        <v>0</v>
      </c>
      <c r="V7" s="9">
        <v>0.13605324074074074</v>
      </c>
      <c r="W7" s="10">
        <v>0.27430555555555552</v>
      </c>
      <c r="X7" s="10">
        <v>0.30902777777777779</v>
      </c>
      <c r="Y7" s="470">
        <v>0</v>
      </c>
      <c r="Z7" s="471">
        <v>85</v>
      </c>
      <c r="AA7" s="13"/>
      <c r="AB7" s="13"/>
      <c r="AC7" s="13"/>
    </row>
    <row r="8" spans="2:29" ht="25.5" customHeight="1">
      <c r="B8" s="507" t="s">
        <v>17</v>
      </c>
      <c r="C8" s="516" t="s">
        <v>18</v>
      </c>
      <c r="D8" s="516" t="s">
        <v>19</v>
      </c>
      <c r="E8" s="356" t="s">
        <v>20</v>
      </c>
      <c r="F8" s="356" t="s">
        <v>21</v>
      </c>
      <c r="G8" s="516" t="s">
        <v>22</v>
      </c>
      <c r="H8" s="551" t="s">
        <v>144</v>
      </c>
      <c r="I8" s="516" t="s">
        <v>167</v>
      </c>
      <c r="J8" s="542" t="s">
        <v>23</v>
      </c>
      <c r="K8" s="544" t="s">
        <v>142</v>
      </c>
      <c r="L8" s="546" t="s">
        <v>24</v>
      </c>
      <c r="M8" s="359" t="s">
        <v>25</v>
      </c>
      <c r="N8" s="17" t="s">
        <v>166</v>
      </c>
      <c r="O8" s="516" t="s">
        <v>155</v>
      </c>
      <c r="P8" s="548"/>
      <c r="R8" s="467" t="s">
        <v>125</v>
      </c>
      <c r="S8" s="468">
        <v>16.600000000000001</v>
      </c>
      <c r="T8" s="469">
        <v>17</v>
      </c>
      <c r="U8" s="9">
        <v>0</v>
      </c>
      <c r="V8" s="9">
        <v>0.12905092592592593</v>
      </c>
      <c r="W8" s="10">
        <v>0.27430555555555552</v>
      </c>
      <c r="X8" s="10">
        <v>0.30208333333333331</v>
      </c>
      <c r="Y8" s="470">
        <v>0</v>
      </c>
      <c r="Z8" s="471"/>
    </row>
    <row r="9" spans="2:29" ht="36" customHeight="1">
      <c r="B9" s="550"/>
      <c r="C9" s="541"/>
      <c r="D9" s="541"/>
      <c r="E9" s="357" t="s">
        <v>30</v>
      </c>
      <c r="F9" s="357" t="s">
        <v>31</v>
      </c>
      <c r="G9" s="541"/>
      <c r="H9" s="552"/>
      <c r="I9" s="541"/>
      <c r="J9" s="543"/>
      <c r="K9" s="545"/>
      <c r="L9" s="547"/>
      <c r="M9" s="20" t="s">
        <v>32</v>
      </c>
      <c r="N9" s="21" t="s">
        <v>41</v>
      </c>
      <c r="O9" s="541"/>
      <c r="P9" s="541"/>
      <c r="R9" s="467" t="s">
        <v>33</v>
      </c>
      <c r="S9" s="468">
        <v>14.2</v>
      </c>
      <c r="T9" s="469">
        <v>14.6</v>
      </c>
      <c r="U9" s="9">
        <v>0</v>
      </c>
      <c r="V9" s="9">
        <v>0.13905092592592591</v>
      </c>
      <c r="W9" s="10">
        <v>0.26041666666666669</v>
      </c>
      <c r="X9" s="10">
        <v>0.2951388888888889</v>
      </c>
      <c r="Y9" s="470">
        <v>0</v>
      </c>
      <c r="Z9" s="471">
        <v>75</v>
      </c>
    </row>
    <row r="10" spans="2:29" ht="15" customHeight="1">
      <c r="B10" s="29" t="s">
        <v>6</v>
      </c>
      <c r="C10" s="366" t="str">
        <f>[4]Brewhouse!$A777</f>
        <v>CA728</v>
      </c>
      <c r="D10" s="279">
        <f>[4]Brewhouse!$AF777</f>
        <v>50.5</v>
      </c>
      <c r="E10" s="279">
        <f>[4]Brewhouse!$AI777</f>
        <v>51.1</v>
      </c>
      <c r="F10" s="278">
        <f>[4]Brewhouse!$V777</f>
        <v>58</v>
      </c>
      <c r="G10" s="279">
        <f>[4]Brewhouse!AG777</f>
        <v>11.8</v>
      </c>
      <c r="H10" s="396">
        <v>11.9</v>
      </c>
      <c r="I10" s="368">
        <f>[4]Brewhouse!$AU777</f>
        <v>99.497291062726106</v>
      </c>
      <c r="J10" s="368">
        <f>[4]Brewhouse!$AV777</f>
        <v>100.61758319224801</v>
      </c>
      <c r="K10" s="281">
        <f>[4]Brewhouse!$Q777</f>
        <v>10.203327171903888</v>
      </c>
      <c r="L10" s="276">
        <f>[4]Brewhouse!$P777</f>
        <v>60</v>
      </c>
      <c r="M10" s="374">
        <f>[4]Brewhouse!$U777-[4]Brewhouse!$T777</f>
        <v>0.10902777777777795</v>
      </c>
      <c r="N10" s="370">
        <f>[4]Brewhouse!$Z777</f>
        <v>0.25763888888888897</v>
      </c>
      <c r="O10" s="420" t="str">
        <f>[4]Brewhouse!$AX777</f>
        <v>R. Sookram</v>
      </c>
      <c r="P10" s="418"/>
      <c r="R10" s="277" t="str">
        <f t="shared" ref="R10:R15" si="0">B10</f>
        <v>CARIB</v>
      </c>
      <c r="S10" s="472">
        <f t="shared" ref="S10:S15" si="1">VLOOKUP($B10,$R$3:$X$9,2,FALSE)</f>
        <v>11.6</v>
      </c>
      <c r="T10" s="472">
        <f t="shared" ref="T10:T15" si="2">VLOOKUP($B10,$R$3:$X$9,3,FALSE)</f>
        <v>12</v>
      </c>
      <c r="U10" s="297">
        <f t="shared" ref="U10:U15" si="3">VLOOKUP($B10,$R$3:$X$9,4,FALSE)</f>
        <v>0</v>
      </c>
      <c r="V10" s="297">
        <f t="shared" ref="V10:V15" si="4">VLOOKUP($B10,$R$3:$X$9,5,FALSE)</f>
        <v>0.118055555555556</v>
      </c>
      <c r="W10" s="297">
        <f t="shared" ref="W10:W15" si="5">VLOOKUP($B10,$R$3:$X$9,6,FALSE)</f>
        <v>0.22569444444444445</v>
      </c>
      <c r="X10" s="297">
        <f t="shared" ref="X10:X15" si="6">VLOOKUP($B10,$R$3:$X$9,7,FALSE)</f>
        <v>0.2638888888888889</v>
      </c>
      <c r="Y10" s="297">
        <f t="shared" ref="Y10:Y15" si="7">VLOOKUP($B10,$R$3:$Z$9,8,FALSE)</f>
        <v>0</v>
      </c>
      <c r="Z10" s="472">
        <f t="shared" ref="Z10:Z15" si="8">VLOOKUP($B10,$R$3:$Z$9,9,FALSE)</f>
        <v>60</v>
      </c>
    </row>
    <row r="11" spans="2:29" ht="15" customHeight="1">
      <c r="B11" s="29" t="s">
        <v>6</v>
      </c>
      <c r="C11" s="366" t="str">
        <f>[4]Brewhouse!$A778</f>
        <v>CA729</v>
      </c>
      <c r="D11" s="279">
        <f>[4]Brewhouse!$AF778</f>
        <v>49.7</v>
      </c>
      <c r="E11" s="279">
        <f>[4]Brewhouse!$AI778</f>
        <v>50.3</v>
      </c>
      <c r="F11" s="278">
        <f>[4]Brewhouse!$V778</f>
        <v>58</v>
      </c>
      <c r="G11" s="279">
        <f>[4]Brewhouse!AG778</f>
        <v>11.9</v>
      </c>
      <c r="H11" s="493">
        <v>12.2</v>
      </c>
      <c r="I11" s="368">
        <f>[4]Brewhouse!$AU778</f>
        <v>99.057786899513189</v>
      </c>
      <c r="J11" s="368">
        <f>[4]Brewhouse!$AV778</f>
        <v>100.17298405186779</v>
      </c>
      <c r="K11" s="281">
        <f>[4]Brewhouse!$Q778</f>
        <v>10.942698706099819</v>
      </c>
      <c r="L11" s="276">
        <f>[4]Brewhouse!$P778</f>
        <v>58</v>
      </c>
      <c r="M11" s="374">
        <f>[4]Brewhouse!$U778-[4]Brewhouse!$T778</f>
        <v>0.11180555555555555</v>
      </c>
      <c r="N11" s="370">
        <f>[4]Brewhouse!$Z778</f>
        <v>0.28263888888888888</v>
      </c>
      <c r="O11" s="420" t="str">
        <f>[4]Brewhouse!$AX778</f>
        <v>K. Benjamin</v>
      </c>
      <c r="P11" s="418"/>
      <c r="R11" s="277" t="str">
        <f t="shared" si="0"/>
        <v>CARIB</v>
      </c>
      <c r="S11" s="472">
        <f t="shared" si="1"/>
        <v>11.6</v>
      </c>
      <c r="T11" s="472">
        <f t="shared" si="2"/>
        <v>12</v>
      </c>
      <c r="U11" s="297">
        <f t="shared" si="3"/>
        <v>0</v>
      </c>
      <c r="V11" s="297">
        <f t="shared" si="4"/>
        <v>0.118055555555556</v>
      </c>
      <c r="W11" s="297">
        <f t="shared" si="5"/>
        <v>0.22569444444444445</v>
      </c>
      <c r="X11" s="297">
        <f t="shared" si="6"/>
        <v>0.2638888888888889</v>
      </c>
      <c r="Y11" s="297">
        <f t="shared" si="7"/>
        <v>0</v>
      </c>
      <c r="Z11" s="472">
        <f t="shared" si="8"/>
        <v>60</v>
      </c>
    </row>
    <row r="12" spans="2:29" ht="15" customHeight="1">
      <c r="B12" s="29" t="s">
        <v>6</v>
      </c>
      <c r="C12" s="366" t="str">
        <f>[4]Brewhouse!$A779</f>
        <v>CA730</v>
      </c>
      <c r="D12" s="279">
        <f>[4]Brewhouse!$AF779</f>
        <v>50.6</v>
      </c>
      <c r="E12" s="279">
        <f>[4]Brewhouse!$AI779</f>
        <v>51.2</v>
      </c>
      <c r="F12" s="278">
        <f>[4]Brewhouse!$V779</f>
        <v>53</v>
      </c>
      <c r="G12" s="279">
        <f>[4]Brewhouse!AG779</f>
        <v>11.8</v>
      </c>
      <c r="H12" s="493">
        <v>12.1</v>
      </c>
      <c r="I12" s="368">
        <f>[4]Brewhouse!$AU779</f>
        <v>99.939323457500208</v>
      </c>
      <c r="J12" s="368">
        <f>[4]Brewhouse!$AV779</f>
        <v>101.06444498924922</v>
      </c>
      <c r="K12" s="281">
        <f>[4]Brewhouse!$Q779</f>
        <v>9.1111111111111143</v>
      </c>
      <c r="L12" s="276">
        <f>[4]Brewhouse!$P779</f>
        <v>62</v>
      </c>
      <c r="M12" s="374">
        <f>[4]Brewhouse!$U779-[4]Brewhouse!$T779</f>
        <v>0.10833333333333334</v>
      </c>
      <c r="N12" s="370">
        <f>[4]Brewhouse!$Z779</f>
        <v>0.27777777777777779</v>
      </c>
      <c r="O12" s="420" t="str">
        <f>[4]Brewhouse!$AX779</f>
        <v>R. Sookram</v>
      </c>
      <c r="P12" s="418"/>
      <c r="R12" s="277" t="str">
        <f t="shared" si="0"/>
        <v>CARIB</v>
      </c>
      <c r="S12" s="472">
        <f t="shared" si="1"/>
        <v>11.6</v>
      </c>
      <c r="T12" s="472">
        <f t="shared" si="2"/>
        <v>12</v>
      </c>
      <c r="U12" s="297">
        <f t="shared" si="3"/>
        <v>0</v>
      </c>
      <c r="V12" s="297">
        <f t="shared" si="4"/>
        <v>0.118055555555556</v>
      </c>
      <c r="W12" s="297">
        <f t="shared" si="5"/>
        <v>0.22569444444444445</v>
      </c>
      <c r="X12" s="297">
        <f t="shared" si="6"/>
        <v>0.2638888888888889</v>
      </c>
      <c r="Y12" s="297">
        <f t="shared" si="7"/>
        <v>0</v>
      </c>
      <c r="Z12" s="472">
        <f t="shared" si="8"/>
        <v>60</v>
      </c>
    </row>
    <row r="13" spans="2:29" ht="15" customHeight="1">
      <c r="B13" s="29" t="s">
        <v>6</v>
      </c>
      <c r="C13" s="366" t="str">
        <f>[4]Brewhouse!$A780</f>
        <v>CA731</v>
      </c>
      <c r="D13" s="279">
        <f>[4]Brewhouse!$AF780</f>
        <v>47.8</v>
      </c>
      <c r="E13" s="279">
        <f>[4]Brewhouse!$AI780</f>
        <v>48</v>
      </c>
      <c r="F13" s="278">
        <f>[4]Brewhouse!$V780</f>
        <v>55</v>
      </c>
      <c r="G13" s="279">
        <f>[4]Brewhouse!AG780</f>
        <v>11.8</v>
      </c>
      <c r="H13" s="493">
        <v>12.1</v>
      </c>
      <c r="I13" s="368">
        <f>[4]Brewhouse!$AU780</f>
        <v>93.69311574140643</v>
      </c>
      <c r="J13" s="368">
        <f>[4]Brewhouse!$AV780</f>
        <v>94.747917177421144</v>
      </c>
      <c r="K13" s="281">
        <f>[4]Brewhouse!$Q780</f>
        <v>13.555555555555557</v>
      </c>
      <c r="L13" s="276">
        <f>[4]Brewhouse!$P780</f>
        <v>63</v>
      </c>
      <c r="M13" s="374">
        <f>[4]Brewhouse!$U780-[4]Brewhouse!$T780</f>
        <v>0.1333333333333333</v>
      </c>
      <c r="N13" s="370">
        <f>[4]Brewhouse!$Z780</f>
        <v>0.27291666666666664</v>
      </c>
      <c r="O13" s="420" t="str">
        <f>[4]Brewhouse!$AX780</f>
        <v>R. Sookram</v>
      </c>
      <c r="P13" s="418"/>
      <c r="R13" s="277" t="str">
        <f t="shared" si="0"/>
        <v>CARIB</v>
      </c>
      <c r="S13" s="472">
        <f t="shared" si="1"/>
        <v>11.6</v>
      </c>
      <c r="T13" s="472">
        <f t="shared" si="2"/>
        <v>12</v>
      </c>
      <c r="U13" s="297">
        <f t="shared" si="3"/>
        <v>0</v>
      </c>
      <c r="V13" s="297">
        <f t="shared" si="4"/>
        <v>0.118055555555556</v>
      </c>
      <c r="W13" s="297">
        <f t="shared" si="5"/>
        <v>0.22569444444444445</v>
      </c>
      <c r="X13" s="297">
        <f t="shared" si="6"/>
        <v>0.2638888888888889</v>
      </c>
      <c r="Y13" s="297">
        <f t="shared" si="7"/>
        <v>0</v>
      </c>
      <c r="Z13" s="472">
        <f t="shared" si="8"/>
        <v>60</v>
      </c>
    </row>
    <row r="14" spans="2:29" ht="15" customHeight="1">
      <c r="B14" s="29" t="s">
        <v>6</v>
      </c>
      <c r="C14" s="366" t="str">
        <f>[4]Brewhouse!$A781</f>
        <v>CA732</v>
      </c>
      <c r="D14" s="279">
        <f>[4]Brewhouse!$AF781</f>
        <v>8.8000000000000007</v>
      </c>
      <c r="E14" s="279">
        <f>[4]Brewhouse!$AI781</f>
        <v>49.5</v>
      </c>
      <c r="F14" s="278">
        <f>[4]Brewhouse!$V781</f>
        <v>54</v>
      </c>
      <c r="G14" s="279">
        <f>[4]Brewhouse!AG781</f>
        <v>11.9</v>
      </c>
      <c r="H14" s="396">
        <v>11.9</v>
      </c>
      <c r="I14" s="368">
        <f>[4]Brewhouse!$AU781</f>
        <v>95.585249587972541</v>
      </c>
      <c r="J14" s="368">
        <f>[4]Brewhouse!$AV781</f>
        <v>96.662463433034347</v>
      </c>
      <c r="K14" s="281">
        <f>[4]Brewhouse!$Q781</f>
        <v>13.92592592592592</v>
      </c>
      <c r="L14" s="276">
        <f>[4]Brewhouse!$P781</f>
        <v>63</v>
      </c>
      <c r="M14" s="374">
        <f>[4]Brewhouse!$U781-[4]Brewhouse!$T781</f>
        <v>0.10763888888888895</v>
      </c>
      <c r="N14" s="370">
        <f>[4]Brewhouse!$Z781</f>
        <v>0.28611111111111109</v>
      </c>
      <c r="O14" s="420" t="str">
        <f>[4]Brewhouse!$AX781</f>
        <v>K. Benjamin</v>
      </c>
      <c r="P14" s="418" t="s">
        <v>182</v>
      </c>
      <c r="R14" s="277" t="str">
        <f t="shared" si="0"/>
        <v>CARIB</v>
      </c>
      <c r="S14" s="472">
        <f t="shared" si="1"/>
        <v>11.6</v>
      </c>
      <c r="T14" s="472">
        <f t="shared" si="2"/>
        <v>12</v>
      </c>
      <c r="U14" s="297">
        <f t="shared" si="3"/>
        <v>0</v>
      </c>
      <c r="V14" s="297">
        <f t="shared" si="4"/>
        <v>0.118055555555556</v>
      </c>
      <c r="W14" s="297">
        <f t="shared" si="5"/>
        <v>0.22569444444444445</v>
      </c>
      <c r="X14" s="297">
        <f t="shared" si="6"/>
        <v>0.2638888888888889</v>
      </c>
      <c r="Y14" s="297">
        <f t="shared" si="7"/>
        <v>0</v>
      </c>
      <c r="Z14" s="472">
        <f t="shared" si="8"/>
        <v>60</v>
      </c>
    </row>
    <row r="15" spans="2:29" ht="15" customHeight="1">
      <c r="B15" s="29" t="s">
        <v>6</v>
      </c>
      <c r="C15" s="366" t="str">
        <f>[4]Brewhouse!$A782</f>
        <v>CA733</v>
      </c>
      <c r="D15" s="279">
        <f>[4]Brewhouse!$AF782</f>
        <v>50</v>
      </c>
      <c r="E15" s="279">
        <f>[4]Brewhouse!$AI782</f>
        <v>50.6</v>
      </c>
      <c r="F15" s="278">
        <f>[4]Brewhouse!$V782</f>
        <v>55</v>
      </c>
      <c r="G15" s="279">
        <f>[4]Brewhouse!AG782</f>
        <v>11.9</v>
      </c>
      <c r="H15" s="396">
        <v>11.8</v>
      </c>
      <c r="I15" s="368">
        <f>[4]Brewhouse!$AU782</f>
        <v>98.669450209068287</v>
      </c>
      <c r="J15" s="368">
        <f>[4]Brewhouse!$AV782</f>
        <v>99.78085433660894</v>
      </c>
      <c r="K15" s="281">
        <f>[4]Brewhouse!$Q782</f>
        <v>10.962962962962965</v>
      </c>
      <c r="L15" s="276">
        <f>[4]Brewhouse!$P782</f>
        <v>61</v>
      </c>
      <c r="M15" s="374">
        <f>[4]Brewhouse!$U782-[4]Brewhouse!$T782</f>
        <v>0.11319444444444449</v>
      </c>
      <c r="N15" s="370">
        <f>[4]Brewhouse!$Z782</f>
        <v>0.28472222222222221</v>
      </c>
      <c r="O15" s="420" t="str">
        <f>[4]Brewhouse!$AX782</f>
        <v>K. Benjamin</v>
      </c>
      <c r="P15" s="418" t="s">
        <v>183</v>
      </c>
      <c r="R15" s="277" t="str">
        <f t="shared" si="0"/>
        <v>CARIB</v>
      </c>
      <c r="S15" s="472">
        <f t="shared" si="1"/>
        <v>11.6</v>
      </c>
      <c r="T15" s="472">
        <f t="shared" si="2"/>
        <v>12</v>
      </c>
      <c r="U15" s="297">
        <f t="shared" si="3"/>
        <v>0</v>
      </c>
      <c r="V15" s="297">
        <f t="shared" si="4"/>
        <v>0.118055555555556</v>
      </c>
      <c r="W15" s="297">
        <f t="shared" si="5"/>
        <v>0.22569444444444445</v>
      </c>
      <c r="X15" s="297">
        <f t="shared" si="6"/>
        <v>0.2638888888888889</v>
      </c>
      <c r="Y15" s="297">
        <f t="shared" si="7"/>
        <v>0</v>
      </c>
      <c r="Z15" s="472">
        <f t="shared" si="8"/>
        <v>60</v>
      </c>
    </row>
    <row r="16" spans="2:29" ht="15" customHeight="1">
      <c r="B16" s="29" t="s">
        <v>6</v>
      </c>
      <c r="C16" s="366" t="str">
        <f>[4]Brewhouse!$A783</f>
        <v>CA734</v>
      </c>
      <c r="D16" s="279">
        <f>[4]Brewhouse!$AF783</f>
        <v>49.7</v>
      </c>
      <c r="E16" s="279">
        <f>[4]Brewhouse!$AI783</f>
        <v>50.4</v>
      </c>
      <c r="F16" s="278">
        <f>[4]Brewhouse!$V783</f>
        <v>61</v>
      </c>
      <c r="G16" s="279">
        <f>[4]Brewhouse!AG783</f>
        <v>11.7</v>
      </c>
      <c r="H16" s="396">
        <v>11.8</v>
      </c>
      <c r="I16" s="368">
        <f>[4]Brewhouse!$AU783</f>
        <v>97.139339188871205</v>
      </c>
      <c r="J16" s="368">
        <f>[4]Brewhouse!$AV783</f>
        <v>98.233153404323986</v>
      </c>
      <c r="K16" s="281">
        <f>[4]Brewhouse!$Q783</f>
        <v>10.777777777777779</v>
      </c>
      <c r="L16" s="276">
        <f>[4]Brewhouse!$P783</f>
        <v>62</v>
      </c>
      <c r="M16" s="374">
        <f>[4]Brewhouse!$U783-[4]Brewhouse!$T783</f>
        <v>0.1118055555555556</v>
      </c>
      <c r="N16" s="370">
        <f>[4]Brewhouse!$Z783</f>
        <v>0.24861111111111112</v>
      </c>
      <c r="O16" s="420" t="str">
        <f>[4]Brewhouse!$AX783</f>
        <v>K. Benjamin</v>
      </c>
      <c r="P16" s="418"/>
      <c r="R16" s="277" t="str">
        <f t="shared" ref="R16:R36" si="9">B16</f>
        <v>CARIB</v>
      </c>
      <c r="S16" s="472">
        <f t="shared" ref="S16:S36" si="10">VLOOKUP($B16,$R$3:$X$9,2,FALSE)</f>
        <v>11.6</v>
      </c>
      <c r="T16" s="472">
        <f t="shared" ref="T16:T36" si="11">VLOOKUP($B16,$R$3:$X$9,3,FALSE)</f>
        <v>12</v>
      </c>
      <c r="U16" s="297">
        <f t="shared" ref="U16:U36" si="12">VLOOKUP($B16,$R$3:$X$9,4,FALSE)</f>
        <v>0</v>
      </c>
      <c r="V16" s="297">
        <f t="shared" ref="V16:V36" si="13">VLOOKUP($B16,$R$3:$X$9,5,FALSE)</f>
        <v>0.118055555555556</v>
      </c>
      <c r="W16" s="297">
        <f t="shared" ref="W16:W36" si="14">VLOOKUP($B16,$R$3:$X$9,6,FALSE)</f>
        <v>0.22569444444444445</v>
      </c>
      <c r="X16" s="297">
        <f t="shared" ref="X16:X36" si="15">VLOOKUP($B16,$R$3:$X$9,7,FALSE)</f>
        <v>0.2638888888888889</v>
      </c>
      <c r="Y16" s="297">
        <f t="shared" ref="Y16:Y36" si="16">VLOOKUP($B16,$R$3:$Z$9,8,FALSE)</f>
        <v>0</v>
      </c>
      <c r="Z16" s="472">
        <f t="shared" ref="Z16:Z36" si="17">VLOOKUP($B16,$R$3:$Z$9,9,FALSE)</f>
        <v>60</v>
      </c>
    </row>
    <row r="17" spans="1:26" ht="15" customHeight="1">
      <c r="B17" s="29" t="s">
        <v>6</v>
      </c>
      <c r="C17" s="366" t="str">
        <f>[4]Brewhouse!$A784</f>
        <v>CA735</v>
      </c>
      <c r="D17" s="279">
        <f>[4]Brewhouse!$AF784</f>
        <v>49.7</v>
      </c>
      <c r="E17" s="279">
        <f>[4]Brewhouse!$AI784</f>
        <v>50.5</v>
      </c>
      <c r="F17" s="278">
        <f>[4]Brewhouse!$V784</f>
        <v>55</v>
      </c>
      <c r="G17" s="279">
        <f>[4]Brewhouse!AG784</f>
        <v>11.8</v>
      </c>
      <c r="H17" s="396">
        <v>11.7</v>
      </c>
      <c r="I17" s="368">
        <f>[4]Brewhouse!$AU784</f>
        <v>98.695390021115415</v>
      </c>
      <c r="J17" s="368">
        <f>[4]Brewhouse!$AV784</f>
        <v>99.806434104088353</v>
      </c>
      <c r="K17" s="281">
        <f>[4]Brewhouse!$Q784</f>
        <v>10.777777777777779</v>
      </c>
      <c r="L17" s="276">
        <f>[4]Brewhouse!$P784</f>
        <v>61</v>
      </c>
      <c r="M17" s="374">
        <f>[4]Brewhouse!$U784-[4]Brewhouse!$T784</f>
        <v>0.10277777777777786</v>
      </c>
      <c r="N17" s="370">
        <f>[4]Brewhouse!$Z784</f>
        <v>0.24027777777777781</v>
      </c>
      <c r="O17" s="420" t="str">
        <f>[4]Brewhouse!$AX784</f>
        <v>K. Benjamin</v>
      </c>
      <c r="P17" s="418"/>
      <c r="R17" s="277" t="str">
        <f t="shared" si="9"/>
        <v>CARIB</v>
      </c>
      <c r="S17" s="472">
        <f t="shared" si="10"/>
        <v>11.6</v>
      </c>
      <c r="T17" s="472">
        <f t="shared" si="11"/>
        <v>12</v>
      </c>
      <c r="U17" s="297">
        <f t="shared" si="12"/>
        <v>0</v>
      </c>
      <c r="V17" s="297">
        <f t="shared" si="13"/>
        <v>0.118055555555556</v>
      </c>
      <c r="W17" s="297">
        <f t="shared" si="14"/>
        <v>0.22569444444444445</v>
      </c>
      <c r="X17" s="297">
        <f t="shared" si="15"/>
        <v>0.2638888888888889</v>
      </c>
      <c r="Y17" s="297">
        <f t="shared" si="16"/>
        <v>0</v>
      </c>
      <c r="Z17" s="472">
        <f t="shared" si="17"/>
        <v>60</v>
      </c>
    </row>
    <row r="18" spans="1:26" ht="15" customHeight="1">
      <c r="B18" s="29" t="s">
        <v>6</v>
      </c>
      <c r="C18" s="366" t="str">
        <f>[4]Brewhouse!$A785</f>
        <v>CA736</v>
      </c>
      <c r="D18" s="279">
        <f>[4]Brewhouse!$AF785</f>
        <v>50.8</v>
      </c>
      <c r="E18" s="279">
        <f>[4]Brewhouse!$AI785</f>
        <v>51.4</v>
      </c>
      <c r="F18" s="278">
        <f>[4]Brewhouse!$V785</f>
        <v>58</v>
      </c>
      <c r="G18" s="279">
        <f>[4]Brewhouse!AG785</f>
        <v>11.8</v>
      </c>
      <c r="H18" s="396">
        <v>11.8</v>
      </c>
      <c r="I18" s="368">
        <f>[4]Brewhouse!$AU785</f>
        <v>99.343880186051692</v>
      </c>
      <c r="J18" s="368">
        <f>[4]Brewhouse!$AV785</f>
        <v>100.46288103434603</v>
      </c>
      <c r="K18" s="281">
        <f>[4]Brewhouse!$Q785</f>
        <v>10.388170055452859</v>
      </c>
      <c r="L18" s="276">
        <f>[4]Brewhouse!$P785</f>
        <v>58</v>
      </c>
      <c r="M18" s="374">
        <f>[4]Brewhouse!$U785-[4]Brewhouse!$T785</f>
        <v>0.10763888888888884</v>
      </c>
      <c r="N18" s="370">
        <f>[4]Brewhouse!$Z785</f>
        <v>0.24652777777777779</v>
      </c>
      <c r="O18" s="420" t="str">
        <f>[4]Brewhouse!$AX785</f>
        <v>K. Benjamin</v>
      </c>
      <c r="P18" s="418"/>
      <c r="R18" s="277" t="str">
        <f t="shared" si="9"/>
        <v>CARIB</v>
      </c>
      <c r="S18" s="472">
        <f t="shared" si="10"/>
        <v>11.6</v>
      </c>
      <c r="T18" s="472">
        <f t="shared" si="11"/>
        <v>12</v>
      </c>
      <c r="U18" s="297">
        <f t="shared" si="12"/>
        <v>0</v>
      </c>
      <c r="V18" s="297">
        <f t="shared" si="13"/>
        <v>0.118055555555556</v>
      </c>
      <c r="W18" s="297">
        <f t="shared" si="14"/>
        <v>0.22569444444444445</v>
      </c>
      <c r="X18" s="297">
        <f t="shared" si="15"/>
        <v>0.2638888888888889</v>
      </c>
      <c r="Y18" s="297">
        <f t="shared" si="16"/>
        <v>0</v>
      </c>
      <c r="Z18" s="472">
        <f t="shared" si="17"/>
        <v>60</v>
      </c>
    </row>
    <row r="19" spans="1:26" ht="15" customHeight="1">
      <c r="B19" s="29" t="s">
        <v>6</v>
      </c>
      <c r="C19" s="366" t="str">
        <f>[4]Brewhouse!$A786</f>
        <v>CA737</v>
      </c>
      <c r="D19" s="279">
        <f>[4]Brewhouse!$AF786</f>
        <v>49.8</v>
      </c>
      <c r="E19" s="279">
        <f>[4]Brewhouse!$AI786</f>
        <v>50.3</v>
      </c>
      <c r="F19" s="278">
        <f>[4]Brewhouse!$V786</f>
        <v>57</v>
      </c>
      <c r="G19" s="279">
        <f>[4]Brewhouse!AG786</f>
        <v>12</v>
      </c>
      <c r="H19" s="396">
        <v>12</v>
      </c>
      <c r="I19" s="368">
        <f>[4]Brewhouse!$AU786</f>
        <v>100.18153216864758</v>
      </c>
      <c r="J19" s="368">
        <f>[4]Brewhouse!$AV786</f>
        <v>101.30923173141993</v>
      </c>
      <c r="K19" s="281">
        <f>[4]Brewhouse!$Q786</f>
        <v>10.388170055452859</v>
      </c>
      <c r="L19" s="276">
        <f>[4]Brewhouse!$P786</f>
        <v>60</v>
      </c>
      <c r="M19" s="374">
        <f>[4]Brewhouse!$U786-[4]Brewhouse!$T786</f>
        <v>0.11597222222222214</v>
      </c>
      <c r="N19" s="370">
        <f>[4]Brewhouse!$Z786</f>
        <v>0.2618055555555554</v>
      </c>
      <c r="O19" s="420" t="str">
        <f>[4]Brewhouse!$AX786</f>
        <v>R. Sookram</v>
      </c>
      <c r="P19" s="418"/>
      <c r="R19" s="277" t="str">
        <f t="shared" si="9"/>
        <v>CARIB</v>
      </c>
      <c r="S19" s="472">
        <f t="shared" si="10"/>
        <v>11.6</v>
      </c>
      <c r="T19" s="472">
        <f t="shared" si="11"/>
        <v>12</v>
      </c>
      <c r="U19" s="297">
        <f t="shared" si="12"/>
        <v>0</v>
      </c>
      <c r="V19" s="297">
        <f t="shared" si="13"/>
        <v>0.118055555555556</v>
      </c>
      <c r="W19" s="297">
        <f t="shared" si="14"/>
        <v>0.22569444444444445</v>
      </c>
      <c r="X19" s="297">
        <f t="shared" si="15"/>
        <v>0.2638888888888889</v>
      </c>
      <c r="Y19" s="297">
        <f t="shared" si="16"/>
        <v>0</v>
      </c>
      <c r="Z19" s="472">
        <f t="shared" si="17"/>
        <v>60</v>
      </c>
    </row>
    <row r="20" spans="1:26" ht="15" customHeight="1">
      <c r="B20" s="29"/>
      <c r="C20" s="366"/>
      <c r="D20" s="279"/>
      <c r="E20" s="279"/>
      <c r="F20" s="278"/>
      <c r="G20" s="279"/>
      <c r="H20" s="396"/>
      <c r="I20" s="368"/>
      <c r="J20" s="368"/>
      <c r="K20" s="281"/>
      <c r="L20" s="276"/>
      <c r="M20" s="374"/>
      <c r="N20" s="370"/>
      <c r="O20" s="420"/>
      <c r="P20" s="418"/>
      <c r="R20" s="277">
        <f t="shared" si="9"/>
        <v>0</v>
      </c>
      <c r="S20" s="472" t="e">
        <f t="shared" si="10"/>
        <v>#N/A</v>
      </c>
      <c r="T20" s="472" t="e">
        <f t="shared" si="11"/>
        <v>#N/A</v>
      </c>
      <c r="U20" s="297" t="e">
        <f t="shared" si="12"/>
        <v>#N/A</v>
      </c>
      <c r="V20" s="297" t="e">
        <f t="shared" si="13"/>
        <v>#N/A</v>
      </c>
      <c r="W20" s="297" t="e">
        <f t="shared" si="14"/>
        <v>#N/A</v>
      </c>
      <c r="X20" s="297" t="e">
        <f t="shared" si="15"/>
        <v>#N/A</v>
      </c>
      <c r="Y20" s="297" t="e">
        <f t="shared" si="16"/>
        <v>#N/A</v>
      </c>
      <c r="Z20" s="472" t="e">
        <f t="shared" si="17"/>
        <v>#N/A</v>
      </c>
    </row>
    <row r="21" spans="1:26" ht="15" customHeight="1">
      <c r="B21" s="29"/>
      <c r="C21" s="366"/>
      <c r="D21" s="279"/>
      <c r="E21" s="279"/>
      <c r="F21" s="278"/>
      <c r="G21" s="279"/>
      <c r="H21" s="396"/>
      <c r="I21" s="368"/>
      <c r="J21" s="368"/>
      <c r="K21" s="281"/>
      <c r="L21" s="276"/>
      <c r="M21" s="374"/>
      <c r="N21" s="370"/>
      <c r="O21" s="420"/>
      <c r="P21" s="418"/>
      <c r="R21" s="277">
        <f t="shared" si="9"/>
        <v>0</v>
      </c>
      <c r="S21" s="472" t="e">
        <f t="shared" si="10"/>
        <v>#N/A</v>
      </c>
      <c r="T21" s="472" t="e">
        <f t="shared" si="11"/>
        <v>#N/A</v>
      </c>
      <c r="U21" s="297" t="e">
        <f t="shared" si="12"/>
        <v>#N/A</v>
      </c>
      <c r="V21" s="297" t="e">
        <f t="shared" si="13"/>
        <v>#N/A</v>
      </c>
      <c r="W21" s="297" t="e">
        <f t="shared" si="14"/>
        <v>#N/A</v>
      </c>
      <c r="X21" s="297" t="e">
        <f t="shared" si="15"/>
        <v>#N/A</v>
      </c>
      <c r="Y21" s="297" t="e">
        <f t="shared" si="16"/>
        <v>#N/A</v>
      </c>
      <c r="Z21" s="472" t="e">
        <f t="shared" si="17"/>
        <v>#N/A</v>
      </c>
    </row>
    <row r="22" spans="1:26" ht="15" customHeight="1">
      <c r="B22" s="36"/>
      <c r="C22" s="366"/>
      <c r="D22" s="279"/>
      <c r="E22" s="279"/>
      <c r="F22" s="278"/>
      <c r="G22" s="279"/>
      <c r="H22" s="396"/>
      <c r="I22" s="489"/>
      <c r="J22" s="489"/>
      <c r="K22" s="490"/>
      <c r="L22" s="276"/>
      <c r="M22" s="374"/>
      <c r="N22" s="370"/>
      <c r="O22" s="420"/>
      <c r="P22" s="418"/>
      <c r="R22" s="277">
        <f t="shared" si="9"/>
        <v>0</v>
      </c>
      <c r="S22" s="472" t="e">
        <f t="shared" si="10"/>
        <v>#N/A</v>
      </c>
      <c r="T22" s="472" t="e">
        <f t="shared" si="11"/>
        <v>#N/A</v>
      </c>
      <c r="U22" s="297" t="e">
        <f t="shared" si="12"/>
        <v>#N/A</v>
      </c>
      <c r="V22" s="297" t="e">
        <f t="shared" si="13"/>
        <v>#N/A</v>
      </c>
      <c r="W22" s="297" t="e">
        <f t="shared" si="14"/>
        <v>#N/A</v>
      </c>
      <c r="X22" s="297" t="e">
        <f t="shared" si="15"/>
        <v>#N/A</v>
      </c>
      <c r="Y22" s="297" t="e">
        <f t="shared" si="16"/>
        <v>#N/A</v>
      </c>
      <c r="Z22" s="472" t="e">
        <f t="shared" si="17"/>
        <v>#N/A</v>
      </c>
    </row>
    <row r="23" spans="1:26" ht="17.25" customHeight="1" thickBot="1">
      <c r="B23" s="358"/>
      <c r="C23" s="358"/>
      <c r="D23" s="358"/>
      <c r="E23" s="358"/>
      <c r="F23" s="294"/>
      <c r="G23" s="294"/>
      <c r="H23" s="348"/>
      <c r="I23" s="535"/>
      <c r="J23" s="535"/>
      <c r="K23" s="535"/>
      <c r="L23" s="535"/>
      <c r="M23" s="535"/>
      <c r="N23" s="535"/>
      <c r="O23" s="1"/>
      <c r="P23" s="12"/>
      <c r="R23" s="277">
        <f t="shared" si="9"/>
        <v>0</v>
      </c>
      <c r="S23" s="472" t="e">
        <f t="shared" si="10"/>
        <v>#N/A</v>
      </c>
      <c r="T23" s="472" t="e">
        <f t="shared" si="11"/>
        <v>#N/A</v>
      </c>
      <c r="U23" s="297" t="e">
        <f t="shared" si="12"/>
        <v>#N/A</v>
      </c>
      <c r="V23" s="297" t="e">
        <f t="shared" si="13"/>
        <v>#N/A</v>
      </c>
      <c r="W23" s="297" t="e">
        <f t="shared" si="14"/>
        <v>#N/A</v>
      </c>
      <c r="X23" s="297" t="e">
        <f t="shared" si="15"/>
        <v>#N/A</v>
      </c>
      <c r="Y23" s="297" t="e">
        <f t="shared" si="16"/>
        <v>#N/A</v>
      </c>
      <c r="Z23" s="472" t="e">
        <f t="shared" si="17"/>
        <v>#N/A</v>
      </c>
    </row>
    <row r="24" spans="1:26" ht="17.25" customHeight="1" thickBot="1">
      <c r="B24" s="483" t="s">
        <v>162</v>
      </c>
      <c r="C24" s="388"/>
      <c r="D24" s="536" t="s">
        <v>35</v>
      </c>
      <c r="E24" s="537"/>
      <c r="F24" s="294"/>
      <c r="G24" s="294"/>
      <c r="H24" s="348"/>
      <c r="I24" s="24" t="s">
        <v>17</v>
      </c>
      <c r="J24" s="25"/>
      <c r="K24" s="26" t="s">
        <v>138</v>
      </c>
      <c r="L24" s="25" t="s">
        <v>37</v>
      </c>
      <c r="M24" s="25" t="s">
        <v>38</v>
      </c>
      <c r="N24" s="27" t="s">
        <v>39</v>
      </c>
      <c r="O24" s="294"/>
      <c r="P24" s="12"/>
      <c r="R24" s="277" t="str">
        <f t="shared" si="9"/>
        <v xml:space="preserve">BRAND </v>
      </c>
      <c r="S24" s="472" t="e">
        <f t="shared" si="10"/>
        <v>#N/A</v>
      </c>
      <c r="T24" s="472" t="e">
        <f t="shared" si="11"/>
        <v>#N/A</v>
      </c>
      <c r="U24" s="297" t="e">
        <f t="shared" si="12"/>
        <v>#N/A</v>
      </c>
      <c r="V24" s="297" t="e">
        <f t="shared" si="13"/>
        <v>#N/A</v>
      </c>
      <c r="W24" s="297" t="e">
        <f t="shared" si="14"/>
        <v>#N/A</v>
      </c>
      <c r="X24" s="297" t="e">
        <f t="shared" si="15"/>
        <v>#N/A</v>
      </c>
      <c r="Y24" s="297" t="e">
        <f t="shared" si="16"/>
        <v>#N/A</v>
      </c>
      <c r="Z24" s="472" t="e">
        <f t="shared" si="17"/>
        <v>#N/A</v>
      </c>
    </row>
    <row r="25" spans="1:26" ht="17.25" customHeight="1">
      <c r="A25" s="28"/>
      <c r="B25" s="538"/>
      <c r="C25" s="484"/>
      <c r="D25" s="523"/>
      <c r="E25" s="524"/>
      <c r="F25" s="294"/>
      <c r="G25" s="294"/>
      <c r="H25" s="348"/>
      <c r="I25" s="29" t="s">
        <v>6</v>
      </c>
      <c r="J25" s="323">
        <f>AVERAGE(I10:I19)</f>
        <v>98.180235852287268</v>
      </c>
      <c r="K25" s="284">
        <f>COUNTA([4]Brewhouse!$A$696:$A$786)</f>
        <v>91</v>
      </c>
      <c r="L25" s="305">
        <f>AVERAGE([4]Brewhouse!$AU$696:$AU$786)</f>
        <v>98.641879260674472</v>
      </c>
      <c r="M25" s="305">
        <f>AVERAGE([4]Brewhouse!$AU$42:$AU$123,[4]Brewhouse!$AU$125:$AU$188,[4]Brewhouse!$AU$198:$AU$290,[4]Brewhouse!$AU$292:$AU$370,[4]Brewhouse!$AU$372:$AU$439,[4]Brewhouse!$AU$441:$AU$497,[4]Brewhouse!$AU$499:$AU$519,[4]Brewhouse!$AU$521:$AU$593,[4]Brewhouse!$AU$595:$AU$694,[4]Brewhouse!$AU$696:$AU$786)</f>
        <v>98.329572849798595</v>
      </c>
      <c r="N25" s="30">
        <v>98</v>
      </c>
      <c r="O25" s="11"/>
      <c r="P25" s="31"/>
      <c r="R25" s="277">
        <f t="shared" si="9"/>
        <v>0</v>
      </c>
      <c r="S25" s="472" t="e">
        <f t="shared" si="10"/>
        <v>#N/A</v>
      </c>
      <c r="T25" s="472" t="e">
        <f t="shared" si="11"/>
        <v>#N/A</v>
      </c>
      <c r="U25" s="297" t="e">
        <f t="shared" si="12"/>
        <v>#N/A</v>
      </c>
      <c r="V25" s="297" t="e">
        <f t="shared" si="13"/>
        <v>#N/A</v>
      </c>
      <c r="W25" s="297" t="e">
        <f t="shared" si="14"/>
        <v>#N/A</v>
      </c>
      <c r="X25" s="297" t="e">
        <f t="shared" si="15"/>
        <v>#N/A</v>
      </c>
      <c r="Y25" s="297" t="e">
        <f t="shared" si="16"/>
        <v>#N/A</v>
      </c>
      <c r="Z25" s="472" t="e">
        <f t="shared" si="17"/>
        <v>#N/A</v>
      </c>
    </row>
    <row r="26" spans="1:26" ht="15" customHeight="1">
      <c r="A26" s="28"/>
      <c r="B26" s="539"/>
      <c r="C26" s="362"/>
      <c r="D26" s="525"/>
      <c r="E26" s="526"/>
      <c r="F26" s="294"/>
      <c r="G26" s="294"/>
      <c r="H26" s="348"/>
      <c r="I26" s="33" t="s">
        <v>9</v>
      </c>
      <c r="J26" s="323"/>
      <c r="K26" s="284">
        <f>COUNTA([5]Brewhouse!$A$363:$A$380)</f>
        <v>18</v>
      </c>
      <c r="L26" s="302">
        <f>AVERAGE([5]Brewhouse!$AS$363:$AS$380)</f>
        <v>99.237321929974939</v>
      </c>
      <c r="M26" s="302">
        <f>AVERAGE([5]Brewhouse!$AS$52:$AS$81,[5]Brewhouse!$AS$83:$AS$124,[5]Brewhouse!$AS$134:$AS$177,[5]Brewhouse!$AS$22:$AS$179,[5]Brewhouse!$AS$214:$AS$249,[5]Brewhouse!$AS$252:$AS$293,[5]Brewhouse!$AS$295:$AS$325,[5]Brewhouse!$AS$327:$AS$361,[5]Brewhouse!$AS$363:$AS$380)</f>
        <v>98.280844420420635</v>
      </c>
      <c r="N26" s="30">
        <v>98</v>
      </c>
      <c r="O26" s="11"/>
      <c r="P26" s="31"/>
      <c r="R26" s="277">
        <f t="shared" si="9"/>
        <v>0</v>
      </c>
      <c r="S26" s="472" t="e">
        <f t="shared" si="10"/>
        <v>#N/A</v>
      </c>
      <c r="T26" s="472" t="e">
        <f t="shared" si="11"/>
        <v>#N/A</v>
      </c>
      <c r="U26" s="297" t="e">
        <f t="shared" si="12"/>
        <v>#N/A</v>
      </c>
      <c r="V26" s="297" t="e">
        <f t="shared" si="13"/>
        <v>#N/A</v>
      </c>
      <c r="W26" s="297" t="e">
        <f t="shared" si="14"/>
        <v>#N/A</v>
      </c>
      <c r="X26" s="297" t="e">
        <f t="shared" si="15"/>
        <v>#N/A</v>
      </c>
      <c r="Y26" s="297" t="e">
        <f t="shared" si="16"/>
        <v>#N/A</v>
      </c>
      <c r="Z26" s="472" t="e">
        <f t="shared" si="17"/>
        <v>#N/A</v>
      </c>
    </row>
    <row r="27" spans="1:26" ht="14.65" customHeight="1">
      <c r="A27" s="28"/>
      <c r="B27" s="539"/>
      <c r="C27" s="362"/>
      <c r="D27" s="530"/>
      <c r="E27" s="531"/>
      <c r="F27" s="294"/>
      <c r="G27" s="294"/>
      <c r="H27" s="348"/>
      <c r="I27" s="34" t="s">
        <v>12</v>
      </c>
      <c r="J27" s="323"/>
      <c r="K27" s="284">
        <f>COUNTA([6]Brewhouse!$A$99:$A$106)</f>
        <v>8</v>
      </c>
      <c r="L27" s="302">
        <f>AVERAGE([6]Brewhouse!$AU$99:$AU$106)</f>
        <v>96.462109124412379</v>
      </c>
      <c r="M27" s="302">
        <f>AVERAGE([6]Brewhouse!$AU$16:$AU$23,[6]Brewhouse!$AU$25:$AU$32,[6]Brewhouse!$AU$34:$AU$41,[6]Brewhouse!$AU$43:$AU$60,[6]Brewhouse!$AU$62:$AU$69,[6]Brewhouse!$AU$71:$AU$88,[6]Brewhouse!$AU$90:$AU$97,[6]Brewhouse!$AU$99:$AU$106)</f>
        <v>96.498355980821032</v>
      </c>
      <c r="N27" s="30">
        <v>98</v>
      </c>
      <c r="O27" s="11"/>
      <c r="P27" s="31"/>
      <c r="R27" s="277">
        <f t="shared" si="9"/>
        <v>0</v>
      </c>
      <c r="S27" s="472" t="e">
        <f t="shared" si="10"/>
        <v>#N/A</v>
      </c>
      <c r="T27" s="472" t="e">
        <f t="shared" si="11"/>
        <v>#N/A</v>
      </c>
      <c r="U27" s="297" t="e">
        <f t="shared" si="12"/>
        <v>#N/A</v>
      </c>
      <c r="V27" s="297" t="e">
        <f t="shared" si="13"/>
        <v>#N/A</v>
      </c>
      <c r="W27" s="297" t="e">
        <f t="shared" si="14"/>
        <v>#N/A</v>
      </c>
      <c r="X27" s="297" t="e">
        <f t="shared" si="15"/>
        <v>#N/A</v>
      </c>
      <c r="Y27" s="297" t="e">
        <f t="shared" si="16"/>
        <v>#N/A</v>
      </c>
      <c r="Z27" s="472" t="e">
        <f t="shared" si="17"/>
        <v>#N/A</v>
      </c>
    </row>
    <row r="28" spans="1:26" ht="14.65" customHeight="1">
      <c r="A28" s="28"/>
      <c r="B28" s="539"/>
      <c r="C28" s="362"/>
      <c r="D28" s="532"/>
      <c r="E28" s="526"/>
      <c r="F28" s="294"/>
      <c r="G28" s="294"/>
      <c r="H28" s="348"/>
      <c r="I28" s="22" t="s">
        <v>33</v>
      </c>
      <c r="J28" s="280"/>
      <c r="K28" s="284"/>
      <c r="L28" s="302"/>
      <c r="M28" s="302">
        <f>AVERAGE([7]Brewhouse!$AV$23:$AV$34,[7]Brewhouse!$AV$36,[7]Brewhouse!$AV$38:$AV$52,[7]Brewhouse!$AV$54:$AV$60,[7]Brewhouse!$AV$62:$AV$69,[7]Brewhouse!$AV$71:$AV$78,[7]Brewhouse!$AV$80:$AV$87,[7]Brewhouse!$AV$89:$AV$96)</f>
        <v>97.559547139003357</v>
      </c>
      <c r="N28" s="30">
        <v>98</v>
      </c>
      <c r="O28" s="11"/>
      <c r="P28" s="31"/>
      <c r="R28" s="277">
        <f t="shared" si="9"/>
        <v>0</v>
      </c>
      <c r="S28" s="472" t="e">
        <f t="shared" si="10"/>
        <v>#N/A</v>
      </c>
      <c r="T28" s="472" t="e">
        <f t="shared" si="11"/>
        <v>#N/A</v>
      </c>
      <c r="U28" s="297" t="e">
        <f t="shared" si="12"/>
        <v>#N/A</v>
      </c>
      <c r="V28" s="297" t="e">
        <f t="shared" si="13"/>
        <v>#N/A</v>
      </c>
      <c r="W28" s="297" t="e">
        <f t="shared" si="14"/>
        <v>#N/A</v>
      </c>
      <c r="X28" s="297" t="e">
        <f t="shared" si="15"/>
        <v>#N/A</v>
      </c>
      <c r="Y28" s="297" t="e">
        <f t="shared" si="16"/>
        <v>#N/A</v>
      </c>
      <c r="Z28" s="472" t="e">
        <f t="shared" si="17"/>
        <v>#N/A</v>
      </c>
    </row>
    <row r="29" spans="1:26" ht="14.65" customHeight="1">
      <c r="A29" s="28"/>
      <c r="B29" s="539"/>
      <c r="C29" s="362"/>
      <c r="D29" s="530"/>
      <c r="E29" s="531"/>
      <c r="F29" s="294"/>
      <c r="G29" s="294"/>
      <c r="H29" s="348"/>
      <c r="I29" s="35" t="s">
        <v>29</v>
      </c>
      <c r="J29" s="280"/>
      <c r="K29" s="284"/>
      <c r="L29" s="302"/>
      <c r="M29" s="302"/>
      <c r="N29" s="30">
        <v>98</v>
      </c>
      <c r="O29" s="11"/>
      <c r="P29" s="31"/>
      <c r="R29" s="277">
        <f t="shared" si="9"/>
        <v>0</v>
      </c>
      <c r="S29" s="472" t="e">
        <f t="shared" si="10"/>
        <v>#N/A</v>
      </c>
      <c r="T29" s="472" t="e">
        <f t="shared" si="11"/>
        <v>#N/A</v>
      </c>
      <c r="U29" s="297" t="e">
        <f t="shared" si="12"/>
        <v>#N/A</v>
      </c>
      <c r="V29" s="297" t="e">
        <f t="shared" si="13"/>
        <v>#N/A</v>
      </c>
      <c r="W29" s="297" t="e">
        <f t="shared" si="14"/>
        <v>#N/A</v>
      </c>
      <c r="X29" s="297" t="e">
        <f t="shared" si="15"/>
        <v>#N/A</v>
      </c>
      <c r="Y29" s="297" t="e">
        <f t="shared" si="16"/>
        <v>#N/A</v>
      </c>
      <c r="Z29" s="472" t="e">
        <f t="shared" si="17"/>
        <v>#N/A</v>
      </c>
    </row>
    <row r="30" spans="1:26" ht="14.65" customHeight="1">
      <c r="A30" s="28"/>
      <c r="B30" s="539"/>
      <c r="C30" s="362"/>
      <c r="D30" s="532"/>
      <c r="E30" s="526"/>
      <c r="F30" s="417"/>
      <c r="G30" s="294"/>
      <c r="H30" s="348"/>
      <c r="I30" s="36" t="s">
        <v>15</v>
      </c>
      <c r="J30" s="323"/>
      <c r="K30" s="284">
        <f>COUNTA([8]Brewhouse!$A$23:$A$30)</f>
        <v>8</v>
      </c>
      <c r="L30" s="302">
        <f>AVERAGE([8]Brewhouse!$AT$23:$AT$30)</f>
        <v>96.065914782338609</v>
      </c>
      <c r="M30" s="302">
        <f>AVERAGE([8]Brewhouse!$AT$4:$AT$11,[8]Brewhouse!$AT$13:$AT$16,[8]Brewhouse!$AT$18:$AT$30)</f>
        <v>93.22262799886262</v>
      </c>
      <c r="N30" s="30">
        <v>98</v>
      </c>
      <c r="O30" s="11"/>
      <c r="P30" s="31"/>
      <c r="R30" s="277">
        <f t="shared" si="9"/>
        <v>0</v>
      </c>
      <c r="S30" s="472" t="e">
        <f t="shared" si="10"/>
        <v>#N/A</v>
      </c>
      <c r="T30" s="472" t="e">
        <f t="shared" si="11"/>
        <v>#N/A</v>
      </c>
      <c r="U30" s="297" t="e">
        <f t="shared" si="12"/>
        <v>#N/A</v>
      </c>
      <c r="V30" s="297" t="e">
        <f t="shared" si="13"/>
        <v>#N/A</v>
      </c>
      <c r="W30" s="297" t="e">
        <f t="shared" si="14"/>
        <v>#N/A</v>
      </c>
      <c r="X30" s="297" t="e">
        <f t="shared" si="15"/>
        <v>#N/A</v>
      </c>
      <c r="Y30" s="297" t="e">
        <f t="shared" si="16"/>
        <v>#N/A</v>
      </c>
      <c r="Z30" s="472" t="e">
        <f t="shared" si="17"/>
        <v>#N/A</v>
      </c>
    </row>
    <row r="31" spans="1:26" ht="14.65" customHeight="1">
      <c r="A31" s="28"/>
      <c r="B31" s="539"/>
      <c r="C31" s="362"/>
      <c r="D31" s="530"/>
      <c r="E31" s="531"/>
      <c r="F31" s="417"/>
      <c r="G31" s="294"/>
      <c r="H31" s="348"/>
      <c r="I31" s="37" t="s">
        <v>16</v>
      </c>
      <c r="J31" s="323"/>
      <c r="K31" s="284"/>
      <c r="L31" s="302"/>
      <c r="M31" s="302">
        <f>AVERAGE([3]Brewhouse!$AY$5:$AY$14,[3]Brewhouse!$AY$16:$AY$23,[3]Brewhouse!$AY$42,[3]Brewhouse!$AY$44:$AY$51,[3]Brewhouse!$AY$53:$AY$64,[3]Brewhouse!$AY$66:$AY$73,[3]Brewhouse!$AY$75:$AY$82,[3]Brewhouse!$AY$84:$AY$101)</f>
        <v>97.784660430003186</v>
      </c>
      <c r="N31" s="30">
        <v>98</v>
      </c>
      <c r="O31" s="11"/>
      <c r="P31" s="31" t="s">
        <v>41</v>
      </c>
      <c r="R31" s="277">
        <f t="shared" si="9"/>
        <v>0</v>
      </c>
      <c r="S31" s="472" t="e">
        <f t="shared" si="10"/>
        <v>#N/A</v>
      </c>
      <c r="T31" s="472" t="e">
        <f t="shared" si="11"/>
        <v>#N/A</v>
      </c>
      <c r="U31" s="297" t="e">
        <f t="shared" si="12"/>
        <v>#N/A</v>
      </c>
      <c r="V31" s="297" t="e">
        <f t="shared" si="13"/>
        <v>#N/A</v>
      </c>
      <c r="W31" s="297" t="e">
        <f t="shared" si="14"/>
        <v>#N/A</v>
      </c>
      <c r="X31" s="297" t="e">
        <f t="shared" si="15"/>
        <v>#N/A</v>
      </c>
      <c r="Y31" s="297" t="e">
        <f t="shared" si="16"/>
        <v>#N/A</v>
      </c>
      <c r="Z31" s="472" t="e">
        <f t="shared" si="17"/>
        <v>#N/A</v>
      </c>
    </row>
    <row r="32" spans="1:26" ht="14.65" customHeight="1">
      <c r="A32" s="28"/>
      <c r="B32" s="539"/>
      <c r="C32" s="362"/>
      <c r="D32" s="532"/>
      <c r="E32" s="526"/>
      <c r="F32" s="294"/>
      <c r="G32" s="294"/>
      <c r="H32" s="348"/>
      <c r="I32" s="411" t="s">
        <v>158</v>
      </c>
      <c r="J32" s="326"/>
      <c r="K32" s="284"/>
      <c r="L32" s="305"/>
      <c r="M32" s="305"/>
      <c r="N32" s="30">
        <v>98</v>
      </c>
      <c r="O32" s="11"/>
      <c r="P32" s="31"/>
      <c r="R32" s="277">
        <f t="shared" si="9"/>
        <v>0</v>
      </c>
      <c r="S32" s="472" t="e">
        <f t="shared" si="10"/>
        <v>#N/A</v>
      </c>
      <c r="T32" s="472" t="e">
        <f t="shared" si="11"/>
        <v>#N/A</v>
      </c>
      <c r="U32" s="297" t="e">
        <f t="shared" si="12"/>
        <v>#N/A</v>
      </c>
      <c r="V32" s="297" t="e">
        <f t="shared" si="13"/>
        <v>#N/A</v>
      </c>
      <c r="W32" s="297" t="e">
        <f t="shared" si="14"/>
        <v>#N/A</v>
      </c>
      <c r="X32" s="297" t="e">
        <f t="shared" si="15"/>
        <v>#N/A</v>
      </c>
      <c r="Y32" s="297" t="e">
        <f t="shared" si="16"/>
        <v>#N/A</v>
      </c>
      <c r="Z32" s="472" t="e">
        <f t="shared" si="17"/>
        <v>#N/A</v>
      </c>
    </row>
    <row r="33" spans="1:56" ht="14.65" customHeight="1">
      <c r="A33" s="28"/>
      <c r="B33" s="539"/>
      <c r="C33" s="362"/>
      <c r="D33" s="530"/>
      <c r="E33" s="531"/>
      <c r="F33" s="294"/>
      <c r="G33" s="294"/>
      <c r="H33" s="348"/>
      <c r="I33" s="410" t="s">
        <v>157</v>
      </c>
      <c r="J33" s="326"/>
      <c r="K33" s="284"/>
      <c r="L33" s="305"/>
      <c r="M33" s="305"/>
      <c r="N33" s="30">
        <v>98</v>
      </c>
      <c r="O33" s="11"/>
      <c r="P33" s="31"/>
      <c r="R33" s="277">
        <f t="shared" si="9"/>
        <v>0</v>
      </c>
      <c r="S33" s="472" t="e">
        <f t="shared" si="10"/>
        <v>#N/A</v>
      </c>
      <c r="T33" s="472" t="e">
        <f t="shared" si="11"/>
        <v>#N/A</v>
      </c>
      <c r="U33" s="297" t="e">
        <f t="shared" si="12"/>
        <v>#N/A</v>
      </c>
      <c r="V33" s="297" t="e">
        <f t="shared" si="13"/>
        <v>#N/A</v>
      </c>
      <c r="W33" s="297" t="e">
        <f t="shared" si="14"/>
        <v>#N/A</v>
      </c>
      <c r="X33" s="297" t="e">
        <f t="shared" si="15"/>
        <v>#N/A</v>
      </c>
      <c r="Y33" s="297" t="e">
        <f t="shared" si="16"/>
        <v>#N/A</v>
      </c>
      <c r="Z33" s="472" t="e">
        <f t="shared" si="17"/>
        <v>#N/A</v>
      </c>
      <c r="AA33" s="472"/>
    </row>
    <row r="34" spans="1:56" ht="15" customHeight="1" thickBot="1">
      <c r="A34" s="28"/>
      <c r="B34" s="539"/>
      <c r="C34" s="362"/>
      <c r="D34" s="532"/>
      <c r="E34" s="526"/>
      <c r="F34" s="294"/>
      <c r="G34" s="294"/>
      <c r="H34" s="348"/>
      <c r="I34" s="406" t="s">
        <v>156</v>
      </c>
      <c r="J34" s="327"/>
      <c r="K34" s="407"/>
      <c r="L34" s="408"/>
      <c r="M34" s="408"/>
      <c r="N34" s="409">
        <v>98</v>
      </c>
      <c r="O34" s="11"/>
      <c r="P34" s="31"/>
      <c r="R34" s="277">
        <f t="shared" si="9"/>
        <v>0</v>
      </c>
      <c r="S34" s="472" t="e">
        <f t="shared" si="10"/>
        <v>#N/A</v>
      </c>
      <c r="T34" s="472" t="e">
        <f t="shared" si="11"/>
        <v>#N/A</v>
      </c>
      <c r="U34" s="297" t="e">
        <f t="shared" si="12"/>
        <v>#N/A</v>
      </c>
      <c r="V34" s="297" t="e">
        <f t="shared" si="13"/>
        <v>#N/A</v>
      </c>
      <c r="W34" s="297" t="e">
        <f t="shared" si="14"/>
        <v>#N/A</v>
      </c>
      <c r="X34" s="297" t="e">
        <f t="shared" si="15"/>
        <v>#N/A</v>
      </c>
      <c r="Y34" s="297" t="e">
        <f t="shared" si="16"/>
        <v>#N/A</v>
      </c>
      <c r="Z34" s="472" t="e">
        <f t="shared" si="17"/>
        <v>#N/A</v>
      </c>
      <c r="AA34" s="472"/>
    </row>
    <row r="35" spans="1:56" ht="15" customHeight="1" thickBot="1">
      <c r="A35" s="28"/>
      <c r="B35" s="539"/>
      <c r="C35" s="349"/>
      <c r="D35" s="523"/>
      <c r="E35" s="524"/>
      <c r="F35" s="294"/>
      <c r="G35" s="294"/>
      <c r="H35" s="348"/>
      <c r="I35" s="1"/>
      <c r="J35" s="39"/>
      <c r="K35" s="404">
        <f>SUM(K25:K34)</f>
        <v>125</v>
      </c>
      <c r="L35" s="405">
        <f>((L25*K25)+(L26*K26)+(L27*K27)+(L28*K28)+(L29*K29)+(K32*L32)+(L30*K30)+(L31*K31)+(L34*K34))/(K35)</f>
        <v>98.423255989719479</v>
      </c>
      <c r="M35" s="405">
        <f>AVERAGE('[9]Jan30th-31st'!$L$42,'[10]Feb 27th-28th'!$L$45,'[11]Mar 31st'!$L$42,'[12]Apr 30th'!$L$41,'[13]May 29th '!$L$35,'[14]June 30th'!$L$32,[15]July31st!$L$36,'[16]Aug 31st'!$L$32,L35)</f>
        <v>98.038384242607378</v>
      </c>
      <c r="N35" s="40">
        <v>98</v>
      </c>
      <c r="O35" s="11"/>
      <c r="P35" s="31"/>
      <c r="R35" s="277">
        <f t="shared" si="9"/>
        <v>0</v>
      </c>
      <c r="S35" s="472" t="e">
        <f t="shared" si="10"/>
        <v>#N/A</v>
      </c>
      <c r="T35" s="472" t="e">
        <f t="shared" si="11"/>
        <v>#N/A</v>
      </c>
      <c r="U35" s="297" t="e">
        <f t="shared" si="12"/>
        <v>#N/A</v>
      </c>
      <c r="V35" s="297" t="e">
        <f t="shared" si="13"/>
        <v>#N/A</v>
      </c>
      <c r="W35" s="297" t="e">
        <f t="shared" si="14"/>
        <v>#N/A</v>
      </c>
      <c r="X35" s="297" t="e">
        <f t="shared" si="15"/>
        <v>#N/A</v>
      </c>
      <c r="Y35" s="297" t="e">
        <f t="shared" si="16"/>
        <v>#N/A</v>
      </c>
      <c r="Z35" s="472" t="e">
        <f t="shared" si="17"/>
        <v>#N/A</v>
      </c>
      <c r="AA35" s="472"/>
    </row>
    <row r="36" spans="1:56" ht="15.75" thickBot="1">
      <c r="B36" s="540"/>
      <c r="C36" s="350"/>
      <c r="D36" s="525"/>
      <c r="E36" s="526"/>
      <c r="F36" s="294"/>
      <c r="G36" s="42"/>
      <c r="H36" s="41"/>
      <c r="I36" s="42"/>
      <c r="J36" s="42"/>
      <c r="K36" s="351"/>
      <c r="L36" s="348"/>
      <c r="M36" s="348"/>
      <c r="N36" s="11"/>
      <c r="O36" s="294"/>
      <c r="P36" s="12"/>
      <c r="R36" s="277">
        <f t="shared" si="9"/>
        <v>0</v>
      </c>
      <c r="S36" s="472" t="e">
        <f t="shared" si="10"/>
        <v>#N/A</v>
      </c>
      <c r="T36" s="472" t="e">
        <f t="shared" si="11"/>
        <v>#N/A</v>
      </c>
      <c r="U36" s="297" t="e">
        <f t="shared" si="12"/>
        <v>#N/A</v>
      </c>
      <c r="V36" s="297" t="e">
        <f t="shared" si="13"/>
        <v>#N/A</v>
      </c>
      <c r="W36" s="297" t="e">
        <f t="shared" si="14"/>
        <v>#N/A</v>
      </c>
      <c r="X36" s="297" t="e">
        <f t="shared" si="15"/>
        <v>#N/A</v>
      </c>
      <c r="Y36" s="297" t="e">
        <f t="shared" si="16"/>
        <v>#N/A</v>
      </c>
      <c r="Z36" s="472" t="e">
        <f t="shared" si="17"/>
        <v>#N/A</v>
      </c>
      <c r="AA36" s="472"/>
    </row>
    <row r="37" spans="1:56" ht="15.75" thickBot="1">
      <c r="B37" s="520"/>
      <c r="C37" s="362"/>
      <c r="D37" s="523"/>
      <c r="E37" s="524"/>
      <c r="F37" s="294"/>
      <c r="G37" s="42"/>
      <c r="H37" s="41"/>
      <c r="I37" s="42"/>
      <c r="J37" s="527" t="s">
        <v>129</v>
      </c>
      <c r="K37" s="527"/>
      <c r="L37" s="294"/>
      <c r="M37" s="294"/>
      <c r="N37" s="294"/>
      <c r="O37" s="294"/>
      <c r="P37" s="12"/>
    </row>
    <row r="38" spans="1:56" ht="15.75" thickBot="1">
      <c r="B38" s="521"/>
      <c r="C38" s="362"/>
      <c r="D38" s="525"/>
      <c r="E38" s="526"/>
      <c r="F38" s="294"/>
      <c r="G38" s="42"/>
      <c r="H38" s="42"/>
      <c r="I38" s="42"/>
      <c r="J38" s="292" t="s">
        <v>17</v>
      </c>
      <c r="K38" s="293"/>
      <c r="L38" s="528" t="s">
        <v>136</v>
      </c>
      <c r="M38" s="528"/>
      <c r="N38" s="529"/>
      <c r="O38" s="294"/>
      <c r="P38" s="12"/>
    </row>
    <row r="39" spans="1:56" ht="15" customHeight="1" thickBot="1">
      <c r="B39" s="521"/>
      <c r="C39" s="349"/>
      <c r="D39" s="530"/>
      <c r="E39" s="531"/>
      <c r="F39" s="294"/>
      <c r="G39" s="42"/>
      <c r="H39" s="42"/>
      <c r="I39" s="42"/>
      <c r="J39" s="287" t="s">
        <v>6</v>
      </c>
      <c r="K39" s="324">
        <v>10</v>
      </c>
      <c r="L39" s="473" t="s">
        <v>37</v>
      </c>
      <c r="M39" s="474" t="s">
        <v>38</v>
      </c>
      <c r="N39" s="474" t="s">
        <v>84</v>
      </c>
      <c r="O39" s="294"/>
      <c r="P39" s="12"/>
    </row>
    <row r="40" spans="1:56" ht="15.75" customHeight="1" thickBot="1">
      <c r="B40" s="521"/>
      <c r="C40" s="349"/>
      <c r="D40" s="532"/>
      <c r="E40" s="526"/>
      <c r="F40" s="294"/>
      <c r="G40" s="42"/>
      <c r="H40" s="42"/>
      <c r="I40" s="42"/>
      <c r="J40" s="345" t="s">
        <v>9</v>
      </c>
      <c r="K40" s="324"/>
      <c r="L40" s="485">
        <f>AVERAGE('Sept 1st'!K45,'Sept 2nd'!K47,'Sept 3rd'!K44,'Sept 4th'!K46,'Sept 7th'!K48,'Sept 8th'!K48,'Sept 9th'!K50,'Sept 10th'!K49,'Sept 11th '!K45,'Sept 14th'!K45,'Sept 15th'!K48,'Sept 16th'!K51,'Sept 17th '!K52,'Sept 18th'!K42,'Sept 21st'!K48,'Sept 22nd'!K46,'Sept 23rd '!K51,K49)</f>
        <v>6.9444444444444446</v>
      </c>
      <c r="M40" s="486">
        <f>AVERAGE('[9]Jan30th-31st'!$L$47,L40,'[10]Feb 26th '!$L$39,'[11]Mar 31st'!$L$47,'[12]Apr 30th'!$L$46,'[13]May 29th '!$L$40,'[14]June 30th'!$L$39,[15]July31st!$L$41,'[16]Aug 31st'!$L$37)</f>
        <v>6.5093942021478259</v>
      </c>
      <c r="N40" s="416">
        <v>9.1999999999999993</v>
      </c>
      <c r="O40" s="294"/>
      <c r="P40" s="12"/>
    </row>
    <row r="41" spans="1:56" ht="15" customHeight="1">
      <c r="B41" s="521"/>
      <c r="C41" s="349"/>
      <c r="D41" s="530"/>
      <c r="E41" s="531"/>
      <c r="F41" s="294"/>
      <c r="G41" s="42"/>
      <c r="H41" s="42"/>
      <c r="I41" s="42"/>
      <c r="J41" s="288" t="s">
        <v>40</v>
      </c>
      <c r="K41" s="324"/>
      <c r="L41" s="294"/>
      <c r="M41" s="294"/>
      <c r="N41" s="294"/>
      <c r="O41" s="294"/>
      <c r="P41" s="12"/>
    </row>
    <row r="42" spans="1:56" ht="15" customHeight="1">
      <c r="B42" s="521"/>
      <c r="C42" s="349"/>
      <c r="D42" s="532"/>
      <c r="E42" s="526"/>
      <c r="F42" s="294"/>
      <c r="G42" s="42"/>
      <c r="H42" s="42"/>
      <c r="I42" s="42"/>
      <c r="J42" s="289" t="s">
        <v>33</v>
      </c>
      <c r="K42" s="324"/>
      <c r="L42" s="294"/>
      <c r="M42" s="294"/>
      <c r="N42" s="294"/>
      <c r="O42" s="294"/>
      <c r="P42" s="12"/>
    </row>
    <row r="43" spans="1:56" ht="15">
      <c r="B43" s="521"/>
      <c r="C43" s="349"/>
      <c r="D43" s="530"/>
      <c r="E43" s="531"/>
      <c r="F43" s="294"/>
      <c r="G43" s="42"/>
      <c r="H43" s="42"/>
      <c r="I43" s="42"/>
      <c r="J43" s="290" t="s">
        <v>16</v>
      </c>
      <c r="K43" s="324"/>
      <c r="L43" s="294"/>
      <c r="M43" s="294"/>
      <c r="N43" s="294"/>
      <c r="O43" s="294"/>
      <c r="P43" s="12"/>
      <c r="BC43" s="44"/>
      <c r="BD43" s="44"/>
    </row>
    <row r="44" spans="1:56" ht="15">
      <c r="B44" s="521"/>
      <c r="C44" s="349"/>
      <c r="D44" s="532"/>
      <c r="E44" s="526"/>
      <c r="F44" s="294"/>
      <c r="G44" s="42"/>
      <c r="H44" s="42"/>
      <c r="I44" s="42"/>
      <c r="J44" s="291" t="s">
        <v>15</v>
      </c>
      <c r="K44" s="324"/>
      <c r="L44" s="294"/>
      <c r="M44" s="294"/>
      <c r="N44" s="294"/>
      <c r="O44" s="294"/>
      <c r="P44" s="12"/>
      <c r="BC44" s="44"/>
      <c r="BD44" s="44"/>
    </row>
    <row r="45" spans="1:56" ht="15">
      <c r="B45" s="521"/>
      <c r="C45" s="349"/>
      <c r="D45" s="530"/>
      <c r="E45" s="531"/>
      <c r="F45" s="294"/>
      <c r="G45" s="42"/>
      <c r="H45" s="42"/>
      <c r="I45" s="42"/>
      <c r="J45" s="291" t="s">
        <v>149</v>
      </c>
      <c r="K45" s="324"/>
      <c r="L45" s="294"/>
      <c r="M45" s="294"/>
      <c r="N45" s="294"/>
      <c r="O45" s="294"/>
      <c r="P45" s="12"/>
      <c r="BC45" s="44"/>
      <c r="BD45" s="44"/>
    </row>
    <row r="46" spans="1:56" ht="15.75" thickBot="1">
      <c r="B46" s="522"/>
      <c r="C46" s="350"/>
      <c r="D46" s="533"/>
      <c r="E46" s="534"/>
      <c r="F46" s="294" t="s">
        <v>165</v>
      </c>
      <c r="G46" s="42"/>
      <c r="H46" s="42"/>
      <c r="I46" s="42"/>
      <c r="J46" s="291" t="s">
        <v>148</v>
      </c>
      <c r="K46" s="324"/>
      <c r="L46" s="294"/>
      <c r="M46" s="294"/>
      <c r="N46" s="294" t="s">
        <v>41</v>
      </c>
      <c r="O46" s="294"/>
      <c r="P46" s="12"/>
      <c r="BC46" s="44"/>
      <c r="BD46" s="44"/>
    </row>
    <row r="47" spans="1:56" ht="17.649999999999999" customHeight="1" thickBot="1">
      <c r="B47" s="312" t="s">
        <v>139</v>
      </c>
      <c r="C47" s="313"/>
      <c r="D47" s="511"/>
      <c r="E47" s="512"/>
      <c r="F47" s="294"/>
      <c r="J47" s="295" t="s">
        <v>134</v>
      </c>
      <c r="K47" s="324"/>
      <c r="L47" s="294"/>
      <c r="M47" s="294"/>
      <c r="N47" s="294"/>
      <c r="O47" s="294"/>
      <c r="P47" s="12"/>
      <c r="BC47" s="44"/>
      <c r="BD47" s="44"/>
    </row>
    <row r="48" spans="1:56" ht="17.649999999999999" customHeight="1">
      <c r="B48" s="363"/>
      <c r="C48" s="364"/>
      <c r="D48" s="365"/>
      <c r="E48" s="365"/>
      <c r="F48" s="294"/>
      <c r="G48" s="42"/>
      <c r="H48" s="42"/>
      <c r="I48" s="42"/>
      <c r="J48" s="295" t="s">
        <v>131</v>
      </c>
      <c r="K48" s="324"/>
      <c r="L48" s="294"/>
      <c r="M48" s="294"/>
      <c r="N48" s="294"/>
      <c r="O48" s="294"/>
      <c r="P48" s="12"/>
      <c r="BC48" s="44"/>
      <c r="BD48" s="44"/>
    </row>
    <row r="49" spans="2:57" ht="15.6" customHeight="1">
      <c r="B49" s="45"/>
      <c r="C49" s="11"/>
      <c r="D49" s="11"/>
      <c r="E49" s="46"/>
      <c r="F49" s="294"/>
      <c r="G49" s="42"/>
      <c r="H49" s="42"/>
      <c r="I49" s="42"/>
      <c r="J49" s="346" t="s">
        <v>130</v>
      </c>
      <c r="K49" s="324">
        <f>SUM(K39:K48)</f>
        <v>10</v>
      </c>
      <c r="L49" s="294"/>
      <c r="M49" s="294"/>
      <c r="N49" s="294"/>
      <c r="O49" s="294"/>
      <c r="P49" s="12"/>
    </row>
    <row r="50" spans="2:57" ht="20.25" customHeight="1">
      <c r="B50" s="15" t="s">
        <v>42</v>
      </c>
      <c r="C50" s="1" t="s">
        <v>43</v>
      </c>
      <c r="D50" s="1"/>
      <c r="E50" s="1"/>
      <c r="F50" s="294"/>
      <c r="G50" s="42"/>
      <c r="H50" s="41"/>
      <c r="I50" s="42"/>
      <c r="L50" s="42"/>
      <c r="N50" s="315"/>
      <c r="P50" s="334"/>
    </row>
    <row r="51" spans="2:57" ht="15" customHeight="1" thickBot="1">
      <c r="B51" s="48"/>
      <c r="C51" s="48"/>
      <c r="D51" s="48"/>
      <c r="E51" s="48"/>
      <c r="F51" s="48"/>
      <c r="G51" s="48"/>
      <c r="H51" s="48"/>
      <c r="I51" s="48"/>
      <c r="J51" s="48"/>
      <c r="K51" s="48"/>
      <c r="L51" s="48"/>
      <c r="M51" s="48"/>
      <c r="N51" s="41"/>
      <c r="O51" s="48"/>
      <c r="P51" s="49"/>
    </row>
    <row r="52" spans="2:57" ht="15" customHeight="1" thickBot="1">
      <c r="B52" s="505" t="s">
        <v>17</v>
      </c>
      <c r="C52" s="505" t="s">
        <v>44</v>
      </c>
      <c r="D52" s="514" t="s">
        <v>45</v>
      </c>
      <c r="E52" s="516" t="s">
        <v>46</v>
      </c>
      <c r="F52" s="518" t="s">
        <v>47</v>
      </c>
      <c r="G52" s="503" t="s">
        <v>48</v>
      </c>
      <c r="H52" s="505" t="s">
        <v>49</v>
      </c>
      <c r="I52" s="505" t="s">
        <v>50</v>
      </c>
      <c r="J52" s="497" t="s">
        <v>28</v>
      </c>
      <c r="K52" s="507" t="s">
        <v>51</v>
      </c>
      <c r="L52" s="509" t="s">
        <v>52</v>
      </c>
      <c r="M52" s="497" t="s">
        <v>53</v>
      </c>
      <c r="N52" s="13"/>
      <c r="O52" s="13"/>
      <c r="P52" s="50"/>
    </row>
    <row r="53" spans="2:57" ht="28.5" customHeight="1" thickTop="1" thickBot="1">
      <c r="B53" s="506"/>
      <c r="C53" s="513"/>
      <c r="D53" s="515"/>
      <c r="E53" s="517"/>
      <c r="F53" s="519"/>
      <c r="G53" s="504"/>
      <c r="H53" s="506"/>
      <c r="I53" s="506"/>
      <c r="J53" s="498"/>
      <c r="K53" s="508"/>
      <c r="L53" s="510"/>
      <c r="M53" s="498"/>
      <c r="N53" s="13"/>
      <c r="O53" s="13"/>
      <c r="P53" s="50"/>
      <c r="Q53" s="355"/>
      <c r="AB53" s="475">
        <v>43474</v>
      </c>
      <c r="AC53" s="475">
        <v>43475</v>
      </c>
      <c r="AD53" s="475">
        <v>43476</v>
      </c>
      <c r="AE53" s="475">
        <v>43477</v>
      </c>
      <c r="AF53" s="475">
        <v>43478</v>
      </c>
      <c r="AG53" s="475">
        <v>43479</v>
      </c>
      <c r="AH53" s="475">
        <v>43480</v>
      </c>
      <c r="AI53" s="475">
        <v>43481</v>
      </c>
      <c r="AJ53" s="475">
        <v>43482</v>
      </c>
      <c r="AK53" s="475">
        <v>43483</v>
      </c>
      <c r="AL53" s="475">
        <v>43484</v>
      </c>
      <c r="AM53" s="475">
        <v>43485</v>
      </c>
      <c r="AN53" s="475">
        <v>43486</v>
      </c>
      <c r="AO53" s="475">
        <v>43487</v>
      </c>
      <c r="AP53" s="475">
        <v>43488</v>
      </c>
      <c r="AQ53" s="475">
        <v>43489</v>
      </c>
      <c r="AR53" s="475">
        <v>43490</v>
      </c>
      <c r="AS53" s="475">
        <v>43491</v>
      </c>
      <c r="AT53" s="475">
        <v>43492</v>
      </c>
      <c r="AU53" s="475">
        <v>43493</v>
      </c>
      <c r="AV53" s="475">
        <v>43494</v>
      </c>
      <c r="AW53" s="475">
        <v>43495</v>
      </c>
      <c r="AX53" s="475">
        <v>43496</v>
      </c>
    </row>
    <row r="54" spans="2:57" s="54" customFormat="1" ht="36.75" customHeight="1" thickBot="1">
      <c r="B54" s="456" t="str">
        <f>J39</f>
        <v>CARIB</v>
      </c>
      <c r="C54" s="479">
        <v>46289</v>
      </c>
      <c r="D54" s="445">
        <f>[18]September_2026!$AA$3</f>
        <v>302.89999999999998</v>
      </c>
      <c r="E54" s="443"/>
      <c r="F54" s="444"/>
      <c r="G54" s="444">
        <f>[18]September_2026!$AA$7</f>
        <v>294.60000000000002</v>
      </c>
      <c r="H54" s="458"/>
      <c r="I54" s="458"/>
      <c r="J54" s="448" t="s">
        <v>174</v>
      </c>
      <c r="K54" s="449">
        <f>[19]September_2026!$AA$18</f>
        <v>1.0336842105263158</v>
      </c>
      <c r="L54" s="476">
        <f>(((D54+E54)-G54)/(D54+E54))*100</f>
        <v>2.7401782766589484</v>
      </c>
      <c r="M54" s="455" t="s">
        <v>176</v>
      </c>
      <c r="N54" s="13"/>
      <c r="O54" s="13"/>
      <c r="P54" s="50"/>
      <c r="R54" s="275"/>
      <c r="S54" s="275"/>
      <c r="T54" s="275"/>
      <c r="U54" s="275"/>
      <c r="V54" s="275"/>
      <c r="W54" s="275"/>
      <c r="X54" s="275"/>
      <c r="Y54" s="275"/>
      <c r="Z54" s="275"/>
      <c r="AA54" s="275"/>
      <c r="AB54" s="57">
        <f>[17]January_2019!L5</f>
        <v>0</v>
      </c>
      <c r="AC54" s="57">
        <f>[17]January_2019!M5</f>
        <v>0</v>
      </c>
      <c r="AD54" s="57">
        <f>[17]January_2019!N5</f>
        <v>0</v>
      </c>
      <c r="AE54" s="57">
        <f>[17]January_2019!O5</f>
        <v>0</v>
      </c>
      <c r="AF54" s="57">
        <f>[17]January_2019!P5</f>
        <v>0</v>
      </c>
      <c r="AG54" s="57">
        <f>[17]January_2019!Q5</f>
        <v>0</v>
      </c>
      <c r="AH54" s="57">
        <f>[17]January_2019!R5</f>
        <v>0</v>
      </c>
      <c r="AI54" s="57">
        <f>[17]January_2019!S5</f>
        <v>0</v>
      </c>
      <c r="AJ54" s="57">
        <f>[17]January_2019!T5</f>
        <v>0</v>
      </c>
      <c r="AK54" s="57">
        <f>[17]January_2019!U5</f>
        <v>0</v>
      </c>
      <c r="AL54" s="57">
        <f>[17]January_2019!V5</f>
        <v>0</v>
      </c>
      <c r="AM54" s="57">
        <f>[17]January_2019!W5</f>
        <v>0</v>
      </c>
      <c r="AN54" s="57">
        <f>[17]January_2019!X5</f>
        <v>0</v>
      </c>
      <c r="AO54" s="57">
        <f>[17]January_2019!Y5</f>
        <v>0</v>
      </c>
      <c r="AP54" s="57">
        <f>[17]January_2019!Z5</f>
        <v>0</v>
      </c>
      <c r="AQ54" s="57">
        <f>[17]January_2019!AA5</f>
        <v>0</v>
      </c>
      <c r="AR54" s="57">
        <f>[17]January_2019!AB5</f>
        <v>0</v>
      </c>
      <c r="AS54" s="57">
        <f>[17]January_2019!AC5</f>
        <v>0</v>
      </c>
      <c r="AT54" s="57">
        <f>[17]January_2019!AD5</f>
        <v>0</v>
      </c>
      <c r="AU54" s="57">
        <f>[17]January_2019!AE5</f>
        <v>0</v>
      </c>
      <c r="AV54" s="57">
        <f>[17]January_2019!AF5</f>
        <v>0</v>
      </c>
      <c r="AW54" s="57">
        <f>[17]January_2019!AG5</f>
        <v>0</v>
      </c>
      <c r="AX54" s="277">
        <f>[17]January_2019!AH5</f>
        <v>0</v>
      </c>
      <c r="AY54" s="277"/>
      <c r="AZ54" s="277"/>
      <c r="BA54" s="277"/>
      <c r="BB54" s="277"/>
      <c r="BC54" s="277"/>
      <c r="BD54" s="277"/>
      <c r="BE54" s="277"/>
    </row>
    <row r="55" spans="2:57" s="54" customFormat="1" ht="14.25" hidden="1" customHeight="1" thickBot="1">
      <c r="B55" s="480"/>
      <c r="C55" s="479"/>
      <c r="D55" s="442"/>
      <c r="E55" s="443"/>
      <c r="F55" s="444"/>
      <c r="G55" s="445"/>
      <c r="H55" s="458"/>
      <c r="I55" s="458"/>
      <c r="J55" s="476"/>
      <c r="K55" s="449"/>
      <c r="L55" s="457"/>
      <c r="M55" s="455"/>
      <c r="N55" s="13"/>
      <c r="O55" s="13"/>
      <c r="P55" s="50"/>
      <c r="R55" s="275"/>
      <c r="S55" s="275"/>
      <c r="T55" s="275"/>
      <c r="U55" s="275"/>
      <c r="V55" s="275"/>
      <c r="W55" s="275"/>
      <c r="X55" s="275"/>
      <c r="Y55" s="275"/>
      <c r="Z55" s="275"/>
      <c r="AA55" s="275"/>
      <c r="AB55" s="57">
        <f>[17]January_2019!L6</f>
        <v>0</v>
      </c>
      <c r="AC55" s="57">
        <f>[17]January_2019!M6</f>
        <v>0</v>
      </c>
      <c r="AD55" s="57">
        <f>[17]January_2019!N6</f>
        <v>0</v>
      </c>
      <c r="AE55" s="57">
        <f>[17]January_2019!O6</f>
        <v>0</v>
      </c>
      <c r="AF55" s="57">
        <f>[17]January_2019!P6</f>
        <v>0</v>
      </c>
      <c r="AG55" s="57">
        <f>[17]January_2019!Q6</f>
        <v>0</v>
      </c>
      <c r="AH55" s="57">
        <f>[17]January_2019!R6</f>
        <v>0</v>
      </c>
      <c r="AI55" s="57">
        <f>[17]January_2019!S6</f>
        <v>0</v>
      </c>
      <c r="AJ55" s="57">
        <f>[17]January_2019!T6</f>
        <v>0</v>
      </c>
      <c r="AK55" s="57">
        <f>[17]January_2019!U6</f>
        <v>0</v>
      </c>
      <c r="AL55" s="57">
        <f>[17]January_2019!V6</f>
        <v>0</v>
      </c>
      <c r="AM55" s="57">
        <f>[17]January_2019!W6</f>
        <v>0</v>
      </c>
      <c r="AN55" s="57">
        <f>[17]January_2019!X6</f>
        <v>0</v>
      </c>
      <c r="AO55" s="57">
        <f>[17]January_2019!Y6</f>
        <v>0</v>
      </c>
      <c r="AP55" s="57">
        <f>[17]January_2019!Z6</f>
        <v>0</v>
      </c>
      <c r="AQ55" s="57">
        <f>[17]January_2019!AA6</f>
        <v>0</v>
      </c>
      <c r="AR55" s="57">
        <f>[17]January_2019!AB6</f>
        <v>0</v>
      </c>
      <c r="AS55" s="57">
        <f>[17]January_2019!AC6</f>
        <v>0</v>
      </c>
      <c r="AT55" s="57">
        <f>[17]January_2019!AD6</f>
        <v>0</v>
      </c>
      <c r="AU55" s="57">
        <f>[17]January_2019!AE6</f>
        <v>0</v>
      </c>
      <c r="AV55" s="57">
        <f>[17]January_2019!AF6</f>
        <v>0</v>
      </c>
      <c r="AW55" s="57">
        <f>[17]January_2019!AG6</f>
        <v>0</v>
      </c>
      <c r="AX55" s="277">
        <f>[17]January_2019!AH6</f>
        <v>0</v>
      </c>
      <c r="AY55" s="277"/>
      <c r="AZ55" s="277"/>
      <c r="BA55" s="277"/>
      <c r="BB55" s="277"/>
      <c r="BC55" s="277"/>
      <c r="BD55" s="277"/>
      <c r="BE55" s="277"/>
    </row>
    <row r="56" spans="2:57" s="54" customFormat="1" ht="37.15" hidden="1" customHeight="1" thickBot="1">
      <c r="B56" s="491" t="str">
        <f>J40</f>
        <v>STAG</v>
      </c>
      <c r="C56" s="479">
        <v>46287</v>
      </c>
      <c r="D56" s="442">
        <f>[18]September_2026!$Y$13</f>
        <v>190.70000000000002</v>
      </c>
      <c r="E56" s="443"/>
      <c r="F56" s="444"/>
      <c r="G56" s="444">
        <f>[18]September_2026!$Y$17</f>
        <v>184.3</v>
      </c>
      <c r="H56" s="446"/>
      <c r="I56" s="446"/>
      <c r="J56" s="448" t="s">
        <v>174</v>
      </c>
      <c r="K56" s="449">
        <f>[19]September_2026!$Y$25</f>
        <v>0.64666666666666672</v>
      </c>
      <c r="L56" s="457">
        <f>(((D56+E56)-G56)/(D56+E56))*100</f>
        <v>3.3560566334556925</v>
      </c>
      <c r="M56" s="455" t="s">
        <v>176</v>
      </c>
      <c r="N56" s="13"/>
      <c r="O56" s="13"/>
      <c r="P56" s="50"/>
      <c r="R56" s="275"/>
      <c r="S56" s="275"/>
      <c r="T56" s="275"/>
      <c r="U56" s="275"/>
      <c r="V56" s="275"/>
      <c r="W56" s="275"/>
      <c r="X56" s="275"/>
      <c r="Y56" s="275"/>
      <c r="Z56" s="275"/>
      <c r="AA56" s="275"/>
      <c r="AB56" s="57">
        <f>[17]January_2019!L7</f>
        <v>285.8</v>
      </c>
      <c r="AC56" s="57">
        <f>[17]January_2019!M7</f>
        <v>508.1</v>
      </c>
      <c r="AD56" s="57">
        <f>[17]January_2019!N7</f>
        <v>0</v>
      </c>
      <c r="AE56" s="57">
        <f>[17]January_2019!O7</f>
        <v>0</v>
      </c>
      <c r="AF56" s="57">
        <f>[17]January_2019!P7</f>
        <v>109.56666666666666</v>
      </c>
      <c r="AG56" s="57">
        <f>[17]January_2019!Q7</f>
        <v>297.64999999999998</v>
      </c>
      <c r="AH56" s="57">
        <f>[17]January_2019!R7</f>
        <v>122.3</v>
      </c>
      <c r="AI56" s="57">
        <f>[17]January_2019!S7</f>
        <v>0</v>
      </c>
      <c r="AJ56" s="57">
        <f>[17]January_2019!T7</f>
        <v>294.7</v>
      </c>
      <c r="AK56" s="57">
        <f>[17]January_2019!U7</f>
        <v>280.5</v>
      </c>
      <c r="AL56" s="57">
        <f>[17]January_2019!V7</f>
        <v>0</v>
      </c>
      <c r="AM56" s="57">
        <f>[17]January_2019!W7</f>
        <v>0</v>
      </c>
      <c r="AN56" s="57">
        <f>[17]January_2019!X7</f>
        <v>188.25</v>
      </c>
      <c r="AO56" s="57">
        <f>[17]January_2019!Y7</f>
        <v>295.7</v>
      </c>
      <c r="AP56" s="57">
        <f>[17]January_2019!Z7</f>
        <v>257.8</v>
      </c>
      <c r="AQ56" s="57">
        <f>[17]January_2019!AA7</f>
        <v>291.2</v>
      </c>
      <c r="AR56" s="57">
        <f>[17]January_2019!AB7</f>
        <v>187</v>
      </c>
      <c r="AS56" s="57">
        <f>[17]January_2019!AC7</f>
        <v>0</v>
      </c>
      <c r="AT56" s="57">
        <f>[17]January_2019!AD7</f>
        <v>0</v>
      </c>
      <c r="AU56" s="57">
        <f>[17]January_2019!AE7</f>
        <v>485.1</v>
      </c>
      <c r="AV56" s="57">
        <f>[17]January_2019!AF7</f>
        <v>171.55</v>
      </c>
      <c r="AW56" s="57">
        <f>[17]January_2019!AG7</f>
        <v>423.8</v>
      </c>
      <c r="AX56" s="277">
        <f>[17]January_2019!AH7</f>
        <v>0</v>
      </c>
      <c r="AY56" s="277"/>
      <c r="AZ56" s="277"/>
      <c r="BA56" s="277"/>
      <c r="BB56" s="277"/>
      <c r="BC56" s="277"/>
      <c r="BD56" s="277"/>
      <c r="BE56" s="277"/>
    </row>
    <row r="57" spans="2:57" s="54" customFormat="1" ht="18.600000000000001" hidden="1" customHeight="1" thickBot="1">
      <c r="B57" s="478"/>
      <c r="C57" s="430"/>
      <c r="D57" s="431"/>
      <c r="E57" s="432"/>
      <c r="F57" s="433"/>
      <c r="G57" s="434"/>
      <c r="H57" s="458"/>
      <c r="I57" s="458"/>
      <c r="J57" s="451"/>
      <c r="K57" s="436"/>
      <c r="L57" s="452"/>
      <c r="M57" s="421"/>
      <c r="N57" s="13"/>
      <c r="O57" s="13"/>
      <c r="P57" s="50"/>
      <c r="R57" s="275"/>
      <c r="S57" s="275"/>
      <c r="T57" s="275"/>
      <c r="U57" s="275"/>
      <c r="V57" s="275"/>
      <c r="W57" s="275"/>
      <c r="X57" s="275"/>
      <c r="Y57" s="275"/>
      <c r="Z57" s="275"/>
      <c r="AA57" s="275"/>
      <c r="AB57" s="57"/>
      <c r="AC57" s="57"/>
      <c r="AD57" s="57"/>
      <c r="AE57" s="57"/>
      <c r="AF57" s="57"/>
      <c r="AG57" s="57"/>
      <c r="AH57" s="57"/>
      <c r="AI57" s="57"/>
      <c r="AJ57" s="57"/>
      <c r="AK57" s="57"/>
      <c r="AL57" s="57"/>
      <c r="AM57" s="57"/>
      <c r="AN57" s="57"/>
      <c r="AO57" s="57"/>
      <c r="AP57" s="57"/>
      <c r="AQ57" s="57"/>
      <c r="AR57" s="57"/>
      <c r="AS57" s="57"/>
      <c r="AT57" s="57"/>
      <c r="AU57" s="57"/>
      <c r="AV57" s="57"/>
      <c r="AW57" s="57"/>
      <c r="AX57" s="277"/>
      <c r="AY57" s="277"/>
      <c r="AZ57" s="277"/>
      <c r="BA57" s="277"/>
      <c r="BB57" s="277"/>
      <c r="BC57" s="277"/>
      <c r="BD57" s="277"/>
      <c r="BE57" s="277"/>
    </row>
    <row r="58" spans="2:57" s="54" customFormat="1" ht="38.65" hidden="1" customHeight="1" thickBot="1">
      <c r="B58" s="487"/>
      <c r="C58" s="479"/>
      <c r="D58" s="442"/>
      <c r="E58" s="443"/>
      <c r="F58" s="444"/>
      <c r="G58" s="445"/>
      <c r="H58" s="458"/>
      <c r="I58" s="458"/>
      <c r="J58" s="448"/>
      <c r="K58" s="459"/>
      <c r="L58" s="457"/>
      <c r="M58" s="455"/>
      <c r="N58" s="13"/>
      <c r="O58" s="13"/>
      <c r="P58" s="50"/>
      <c r="R58" s="275"/>
      <c r="S58" s="275"/>
      <c r="T58" s="275"/>
      <c r="U58" s="275"/>
      <c r="V58" s="275"/>
      <c r="W58" s="275"/>
      <c r="X58" s="275"/>
      <c r="Y58" s="275"/>
      <c r="Z58" s="275"/>
      <c r="AA58" s="275"/>
      <c r="AB58" s="57"/>
      <c r="AC58" s="57"/>
      <c r="AD58" s="57"/>
      <c r="AE58" s="57"/>
      <c r="AF58" s="57"/>
      <c r="AG58" s="57"/>
      <c r="AH58" s="57"/>
      <c r="AI58" s="57"/>
      <c r="AJ58" s="57"/>
      <c r="AK58" s="57"/>
      <c r="AL58" s="57"/>
      <c r="AM58" s="57"/>
      <c r="AN58" s="57"/>
      <c r="AO58" s="57"/>
      <c r="AP58" s="57"/>
      <c r="AQ58" s="57"/>
      <c r="AR58" s="57"/>
      <c r="AS58" s="57"/>
      <c r="AT58" s="57"/>
      <c r="AU58" s="57"/>
      <c r="AV58" s="57"/>
      <c r="AW58" s="57"/>
      <c r="AX58" s="277"/>
      <c r="AY58" s="277"/>
      <c r="AZ58" s="277"/>
      <c r="BA58" s="277"/>
      <c r="BB58" s="277"/>
      <c r="BC58" s="277"/>
      <c r="BD58" s="277"/>
      <c r="BE58" s="277"/>
    </row>
    <row r="59" spans="2:57" s="54" customFormat="1" ht="15" hidden="1">
      <c r="B59" s="453"/>
      <c r="C59" s="430"/>
      <c r="D59" s="431"/>
      <c r="E59" s="432"/>
      <c r="F59" s="433"/>
      <c r="G59" s="434"/>
      <c r="H59" s="435"/>
      <c r="I59" s="450"/>
      <c r="J59" s="451"/>
      <c r="K59" s="436"/>
      <c r="L59" s="452"/>
      <c r="M59" s="421"/>
      <c r="N59" s="13"/>
      <c r="O59" s="13"/>
      <c r="P59" s="50"/>
      <c r="R59" s="275"/>
      <c r="S59" s="275"/>
      <c r="T59" s="275"/>
      <c r="U59" s="275"/>
      <c r="V59" s="275"/>
      <c r="W59" s="275"/>
      <c r="X59" s="275"/>
      <c r="Y59" s="275"/>
      <c r="Z59" s="275"/>
      <c r="AA59" s="275"/>
      <c r="AB59" s="57"/>
      <c r="AC59" s="57"/>
      <c r="AD59" s="57"/>
      <c r="AE59" s="57"/>
      <c r="AF59" s="57"/>
      <c r="AG59" s="57"/>
      <c r="AH59" s="57"/>
      <c r="AI59" s="57"/>
      <c r="AJ59" s="57"/>
      <c r="AK59" s="57"/>
      <c r="AL59" s="57"/>
      <c r="AM59" s="57"/>
      <c r="AN59" s="57"/>
      <c r="AO59" s="57"/>
      <c r="AP59" s="57"/>
      <c r="AQ59" s="57"/>
      <c r="AR59" s="57"/>
      <c r="AS59" s="57"/>
      <c r="AT59" s="57"/>
      <c r="AU59" s="57"/>
      <c r="AV59" s="57"/>
      <c r="AW59" s="57"/>
      <c r="AX59" s="277"/>
      <c r="AY59" s="277"/>
      <c r="AZ59" s="277"/>
      <c r="BA59" s="277"/>
      <c r="BB59" s="277"/>
      <c r="BC59" s="277"/>
      <c r="BD59" s="277"/>
      <c r="BE59" s="277"/>
    </row>
    <row r="60" spans="2:57" s="54" customFormat="1" ht="37.15" hidden="1" customHeight="1" thickBot="1">
      <c r="B60" s="481"/>
      <c r="C60" s="479"/>
      <c r="D60" s="442"/>
      <c r="E60" s="443"/>
      <c r="F60" s="444"/>
      <c r="G60" s="445"/>
      <c r="H60" s="446"/>
      <c r="I60" s="447"/>
      <c r="J60" s="448"/>
      <c r="K60" s="449"/>
      <c r="L60" s="457"/>
      <c r="M60" s="455"/>
      <c r="N60" s="13"/>
      <c r="O60" s="13"/>
      <c r="P60" s="50"/>
      <c r="R60" s="275"/>
      <c r="S60" s="275"/>
      <c r="T60" s="275"/>
      <c r="U60" s="275"/>
      <c r="V60" s="275"/>
      <c r="W60" s="275"/>
      <c r="X60" s="275"/>
      <c r="Y60" s="275"/>
      <c r="Z60" s="275"/>
      <c r="AA60" s="275"/>
      <c r="AB60" s="57"/>
      <c r="AC60" s="57"/>
      <c r="AD60" s="57"/>
      <c r="AE60" s="57"/>
      <c r="AF60" s="57"/>
      <c r="AG60" s="57"/>
      <c r="AH60" s="57"/>
      <c r="AI60" s="57"/>
      <c r="AJ60" s="57"/>
      <c r="AK60" s="57"/>
      <c r="AL60" s="57"/>
      <c r="AM60" s="57"/>
      <c r="AN60" s="57"/>
      <c r="AO60" s="57"/>
      <c r="AP60" s="57"/>
      <c r="AQ60" s="57"/>
      <c r="AR60" s="57"/>
      <c r="AS60" s="57"/>
      <c r="AT60" s="57"/>
      <c r="AU60" s="57"/>
      <c r="AV60" s="57"/>
      <c r="AW60" s="57"/>
      <c r="AX60" s="277"/>
      <c r="AY60" s="277"/>
      <c r="AZ60" s="277"/>
      <c r="BA60" s="277"/>
      <c r="BB60" s="277"/>
      <c r="BC60" s="277"/>
      <c r="BD60" s="277"/>
      <c r="BE60" s="277"/>
    </row>
    <row r="61" spans="2:57" s="54" customFormat="1" ht="16.5" hidden="1" customHeight="1" thickBot="1">
      <c r="B61" s="437"/>
      <c r="C61" s="423"/>
      <c r="D61" s="424"/>
      <c r="E61" s="425"/>
      <c r="F61" s="426"/>
      <c r="G61" s="427"/>
      <c r="H61" s="428"/>
      <c r="I61" s="438"/>
      <c r="J61" s="439"/>
      <c r="K61" s="429"/>
      <c r="L61" s="440"/>
      <c r="M61" s="422"/>
      <c r="N61" s="13"/>
      <c r="O61" s="13"/>
      <c r="P61" s="50"/>
      <c r="R61" s="275"/>
      <c r="S61" s="275"/>
      <c r="T61" s="275"/>
      <c r="U61" s="275"/>
      <c r="V61" s="275"/>
      <c r="W61" s="275"/>
      <c r="X61" s="275"/>
      <c r="Y61" s="275"/>
      <c r="Z61" s="275"/>
      <c r="AA61" s="275"/>
      <c r="AB61" s="415"/>
      <c r="AC61" s="415"/>
      <c r="AD61" s="415"/>
      <c r="AE61" s="415"/>
      <c r="AF61" s="415"/>
      <c r="AG61" s="415"/>
      <c r="AH61" s="415"/>
      <c r="AI61" s="415"/>
      <c r="AJ61" s="415"/>
      <c r="AK61" s="415"/>
      <c r="AL61" s="415"/>
      <c r="AM61" s="415"/>
      <c r="AN61" s="415"/>
      <c r="AO61" s="415"/>
      <c r="AP61" s="415"/>
      <c r="AQ61" s="415"/>
      <c r="AR61" s="415"/>
      <c r="AS61" s="415"/>
      <c r="AT61" s="415"/>
      <c r="AU61" s="415"/>
      <c r="AV61" s="415"/>
      <c r="AW61" s="415"/>
    </row>
    <row r="62" spans="2:57" s="54" customFormat="1" ht="37.15" hidden="1" customHeight="1" thickBot="1">
      <c r="B62" s="456"/>
      <c r="C62" s="441"/>
      <c r="D62" s="442"/>
      <c r="E62" s="443"/>
      <c r="F62" s="444"/>
      <c r="G62" s="445"/>
      <c r="H62" s="446"/>
      <c r="I62" s="447"/>
      <c r="J62" s="448"/>
      <c r="K62" s="449"/>
      <c r="L62" s="457"/>
      <c r="M62" s="454"/>
      <c r="N62" s="13"/>
      <c r="O62" s="13"/>
      <c r="P62" s="50"/>
      <c r="R62" s="275"/>
      <c r="S62" s="275"/>
      <c r="T62" s="275"/>
      <c r="U62" s="275"/>
      <c r="V62" s="275"/>
      <c r="W62" s="275"/>
      <c r="X62" s="275"/>
      <c r="Y62" s="275"/>
      <c r="Z62" s="275"/>
      <c r="AA62" s="275"/>
      <c r="AB62" s="57"/>
      <c r="AC62" s="57"/>
      <c r="AD62" s="57"/>
      <c r="AE62" s="57"/>
      <c r="AF62" s="57"/>
      <c r="AG62" s="57"/>
      <c r="AH62" s="57"/>
      <c r="AI62" s="57"/>
      <c r="AJ62" s="57"/>
      <c r="AK62" s="57"/>
      <c r="AL62" s="57"/>
      <c r="AM62" s="57"/>
      <c r="AN62" s="57"/>
      <c r="AO62" s="57"/>
      <c r="AP62" s="57"/>
      <c r="AQ62" s="57"/>
      <c r="AR62" s="57"/>
      <c r="AS62" s="57"/>
      <c r="AT62" s="57"/>
      <c r="AU62" s="57"/>
      <c r="AV62" s="57"/>
      <c r="AW62" s="57"/>
      <c r="AX62" s="277"/>
      <c r="AY62" s="277"/>
      <c r="AZ62" s="277"/>
      <c r="BA62" s="277"/>
      <c r="BB62" s="277"/>
      <c r="BC62" s="277"/>
      <c r="BD62" s="277"/>
      <c r="BE62" s="277"/>
    </row>
    <row r="63" spans="2:57" s="54" customFormat="1" ht="37.15" customHeight="1">
      <c r="B63" s="466"/>
      <c r="C63" s="430"/>
      <c r="D63" s="460"/>
      <c r="E63" s="461"/>
      <c r="F63" s="462"/>
      <c r="G63" s="460"/>
      <c r="H63" s="463"/>
      <c r="I63" s="463"/>
      <c r="J63" s="463"/>
      <c r="K63" s="464"/>
      <c r="L63" s="465"/>
      <c r="M63" s="50"/>
      <c r="N63" s="13"/>
      <c r="O63" s="13"/>
      <c r="P63" s="50"/>
      <c r="R63" s="275"/>
      <c r="S63" s="275"/>
      <c r="T63" s="275"/>
      <c r="U63" s="275"/>
      <c r="V63" s="275"/>
      <c r="W63" s="275"/>
      <c r="X63" s="275"/>
      <c r="Y63" s="275"/>
      <c r="Z63" s="275"/>
      <c r="AA63" s="275"/>
      <c r="AB63" s="57"/>
      <c r="AC63" s="57"/>
      <c r="AD63" s="57"/>
      <c r="AE63" s="57"/>
      <c r="AF63" s="57"/>
      <c r="AG63" s="57"/>
      <c r="AH63" s="57"/>
      <c r="AI63" s="57"/>
      <c r="AJ63" s="57"/>
      <c r="AK63" s="57"/>
      <c r="AL63" s="57"/>
      <c r="AM63" s="57"/>
      <c r="AN63" s="57"/>
      <c r="AO63" s="57"/>
      <c r="AP63" s="57"/>
      <c r="AQ63" s="57"/>
      <c r="AR63" s="57"/>
      <c r="AS63" s="57"/>
      <c r="AT63" s="57"/>
      <c r="AU63" s="57"/>
      <c r="AV63" s="57"/>
      <c r="AW63" s="57"/>
      <c r="AX63" s="277"/>
      <c r="AY63" s="277"/>
      <c r="AZ63" s="277"/>
      <c r="BA63" s="277"/>
      <c r="BB63" s="277"/>
      <c r="BC63" s="277"/>
      <c r="BD63" s="277"/>
      <c r="BE63" s="277"/>
    </row>
    <row r="64" spans="2:57" ht="18" customHeight="1" thickBot="1">
      <c r="B64" s="59"/>
      <c r="C64" s="309"/>
      <c r="D64" s="59"/>
      <c r="E64" s="59"/>
      <c r="F64" s="59"/>
      <c r="G64" s="59"/>
      <c r="H64" s="59"/>
      <c r="I64" s="59"/>
      <c r="J64" s="59"/>
      <c r="K64" s="59"/>
      <c r="L64" s="59"/>
      <c r="M64" s="59"/>
      <c r="N64" s="59" t="s">
        <v>41</v>
      </c>
      <c r="O64" s="56"/>
      <c r="P64" s="60"/>
    </row>
    <row r="65" spans="2:16" ht="15.75" thickBot="1">
      <c r="B65" s="499" t="s">
        <v>55</v>
      </c>
      <c r="C65" s="500"/>
      <c r="D65" s="500"/>
      <c r="E65" s="500"/>
      <c r="F65" s="501"/>
      <c r="G65" s="499" t="s">
        <v>56</v>
      </c>
      <c r="H65" s="500"/>
      <c r="I65" s="500"/>
      <c r="J65" s="501"/>
      <c r="K65" s="499" t="s">
        <v>51</v>
      </c>
      <c r="L65" s="500"/>
      <c r="M65" s="500"/>
      <c r="N65" s="502"/>
      <c r="O65" s="56"/>
      <c r="P65" s="50"/>
    </row>
    <row r="66" spans="2:16" ht="15">
      <c r="B66" s="61" t="s">
        <v>17</v>
      </c>
      <c r="C66" s="62" t="s">
        <v>36</v>
      </c>
      <c r="D66" s="62" t="s">
        <v>37</v>
      </c>
      <c r="E66" s="62" t="s">
        <v>38</v>
      </c>
      <c r="F66" s="63" t="s">
        <v>39</v>
      </c>
      <c r="G66" s="62" t="s">
        <v>36</v>
      </c>
      <c r="H66" s="62" t="s">
        <v>37</v>
      </c>
      <c r="I66" s="62" t="s">
        <v>38</v>
      </c>
      <c r="J66" s="63" t="s">
        <v>39</v>
      </c>
      <c r="K66" s="62" t="s">
        <v>36</v>
      </c>
      <c r="L66" s="62" t="s">
        <v>37</v>
      </c>
      <c r="M66" s="62" t="s">
        <v>38</v>
      </c>
      <c r="N66" s="63" t="s">
        <v>39</v>
      </c>
      <c r="O66" s="56"/>
      <c r="P66" s="64"/>
    </row>
    <row r="67" spans="2:16" ht="15">
      <c r="B67" s="29" t="s">
        <v>6</v>
      </c>
      <c r="C67" s="65">
        <f>L54</f>
        <v>2.7401782766589484</v>
      </c>
      <c r="D67" s="76">
        <v>6.5229659742996704</v>
      </c>
      <c r="E67" s="76">
        <v>6.5193700112432769</v>
      </c>
      <c r="F67" s="66">
        <v>4.8</v>
      </c>
      <c r="G67" s="65">
        <f>[18]September_2026!$AA$11</f>
        <v>0.6842796060842663</v>
      </c>
      <c r="H67" s="477">
        <v>5.7910975261786639</v>
      </c>
      <c r="I67" s="477">
        <v>6.5511187503051573</v>
      </c>
      <c r="J67" s="66">
        <v>4.8</v>
      </c>
      <c r="K67" s="67">
        <f>K54</f>
        <v>1.0336842105263158</v>
      </c>
      <c r="L67" s="194">
        <v>0.65182309941520467</v>
      </c>
      <c r="M67" s="194">
        <v>0.54032562531481076</v>
      </c>
      <c r="N67" s="68">
        <v>1</v>
      </c>
      <c r="O67" s="56"/>
      <c r="P67" s="69"/>
    </row>
    <row r="68" spans="2:16" ht="15">
      <c r="B68" s="33" t="s">
        <v>9</v>
      </c>
      <c r="C68" s="65"/>
      <c r="D68" s="76">
        <v>6.720758239391091</v>
      </c>
      <c r="E68" s="76">
        <v>5.8780358526209691</v>
      </c>
      <c r="F68" s="66">
        <v>4.8</v>
      </c>
      <c r="G68" s="65"/>
      <c r="H68" s="76">
        <v>5.7002127582026105</v>
      </c>
      <c r="I68" s="76">
        <v>5.9275658832823668</v>
      </c>
      <c r="J68" s="66">
        <v>4.8</v>
      </c>
      <c r="K68" s="67"/>
      <c r="L68" s="194">
        <v>0.58195614035087728</v>
      </c>
      <c r="M68" s="194">
        <v>0.68829197714926005</v>
      </c>
      <c r="N68" s="68">
        <v>1</v>
      </c>
      <c r="P68" s="69"/>
    </row>
    <row r="69" spans="2:16" ht="15">
      <c r="B69" s="34" t="s">
        <v>40</v>
      </c>
      <c r="C69" s="65"/>
      <c r="D69" s="76"/>
      <c r="E69" s="76">
        <v>11.277593164016125</v>
      </c>
      <c r="F69" s="66">
        <v>5.5</v>
      </c>
      <c r="G69" s="65"/>
      <c r="H69" s="76"/>
      <c r="I69" s="76">
        <v>11.857907912244482</v>
      </c>
      <c r="J69" s="66">
        <v>5.5</v>
      </c>
      <c r="K69" s="67"/>
      <c r="L69" s="194"/>
      <c r="M69" s="194">
        <v>0.35370190356844494</v>
      </c>
      <c r="N69" s="68">
        <v>1</v>
      </c>
      <c r="P69" s="69"/>
    </row>
    <row r="70" spans="2:16" ht="15">
      <c r="B70" s="22" t="s">
        <v>33</v>
      </c>
      <c r="C70" s="65"/>
      <c r="D70" s="76"/>
      <c r="E70" s="76">
        <v>4.8685538193023836</v>
      </c>
      <c r="F70" s="66">
        <v>3.3</v>
      </c>
      <c r="G70" s="65"/>
      <c r="H70" s="76"/>
      <c r="I70" s="76">
        <v>4.8702525342252114</v>
      </c>
      <c r="J70" s="66">
        <v>3.3</v>
      </c>
      <c r="K70" s="67"/>
      <c r="L70" s="194"/>
      <c r="M70" s="194">
        <v>0.77919298245614044</v>
      </c>
      <c r="N70" s="68">
        <v>1</v>
      </c>
      <c r="P70" s="69"/>
    </row>
    <row r="71" spans="2:16" ht="15">
      <c r="B71" s="35" t="s">
        <v>164</v>
      </c>
      <c r="C71" s="65"/>
      <c r="D71" s="76"/>
      <c r="E71" s="76"/>
      <c r="F71" s="66">
        <v>3.3</v>
      </c>
      <c r="G71" s="282"/>
      <c r="H71" s="76"/>
      <c r="I71" s="76"/>
      <c r="J71" s="66">
        <v>3</v>
      </c>
      <c r="K71" s="67"/>
      <c r="L71" s="194"/>
      <c r="M71" s="194"/>
      <c r="N71" s="68">
        <v>1</v>
      </c>
      <c r="P71" s="69"/>
    </row>
    <row r="72" spans="2:16" ht="15">
      <c r="B72" s="36" t="s">
        <v>15</v>
      </c>
      <c r="C72" s="65"/>
      <c r="D72" s="76">
        <v>6.8855672629257718</v>
      </c>
      <c r="E72" s="76">
        <v>6.3233965672990236</v>
      </c>
      <c r="F72" s="70">
        <v>5.5</v>
      </c>
      <c r="G72" s="65"/>
      <c r="H72" s="76">
        <v>7.4264332958762713</v>
      </c>
      <c r="I72" s="76">
        <v>7.9667553186446929</v>
      </c>
      <c r="J72" s="66">
        <v>5.5</v>
      </c>
      <c r="K72" s="67"/>
      <c r="L72" s="194">
        <v>0.391812865497076</v>
      </c>
      <c r="M72" s="194">
        <v>0.5883625730994152</v>
      </c>
      <c r="N72" s="68">
        <v>1</v>
      </c>
      <c r="P72" s="69"/>
    </row>
    <row r="73" spans="2:16" ht="15">
      <c r="B73" s="37" t="s">
        <v>16</v>
      </c>
      <c r="C73" s="482"/>
      <c r="D73" s="76"/>
      <c r="E73" s="76">
        <v>3.6168923014750334</v>
      </c>
      <c r="F73" s="66">
        <v>3.3</v>
      </c>
      <c r="G73" s="282"/>
      <c r="H73" s="76"/>
      <c r="I73" s="76">
        <v>5.0091179718082053</v>
      </c>
      <c r="J73" s="66">
        <v>3.3</v>
      </c>
      <c r="K73" s="67"/>
      <c r="L73" s="194"/>
      <c r="M73" s="194">
        <v>0.92642300194931759</v>
      </c>
      <c r="N73" s="71">
        <v>1</v>
      </c>
      <c r="P73" s="69"/>
    </row>
    <row r="74" spans="2:16" ht="15.75" thickBot="1">
      <c r="B74" s="38" t="s">
        <v>163</v>
      </c>
      <c r="C74" s="65"/>
      <c r="D74" s="76"/>
      <c r="E74" s="76"/>
      <c r="F74" s="66">
        <v>7.5</v>
      </c>
      <c r="G74" s="282"/>
      <c r="H74" s="76"/>
      <c r="I74" s="76"/>
      <c r="J74" s="66">
        <v>7.5</v>
      </c>
      <c r="K74" s="67"/>
      <c r="L74" s="194"/>
      <c r="M74" s="194"/>
      <c r="N74" s="71">
        <v>1</v>
      </c>
      <c r="P74" s="69"/>
    </row>
    <row r="75" spans="2:16" ht="15.75" thickBot="1">
      <c r="B75" s="414" t="s">
        <v>161</v>
      </c>
      <c r="C75" s="65"/>
      <c r="D75" s="76"/>
      <c r="E75" s="76"/>
      <c r="F75" s="66">
        <v>4.8</v>
      </c>
      <c r="G75" s="282"/>
      <c r="H75" s="76"/>
      <c r="I75" s="76"/>
      <c r="J75" s="66">
        <v>4.8</v>
      </c>
      <c r="K75" s="67"/>
      <c r="L75" s="194"/>
      <c r="M75" s="194"/>
      <c r="N75" s="71">
        <v>1</v>
      </c>
      <c r="O75" s="74"/>
      <c r="P75" s="75"/>
    </row>
    <row r="76" spans="2:16" ht="15">
      <c r="D76" s="76">
        <v>6.5959052058248897</v>
      </c>
      <c r="E76" s="76">
        <v>6.3525693659974207</v>
      </c>
      <c r="F76" s="341">
        <v>5.5</v>
      </c>
      <c r="H76" s="76">
        <v>5.9089000952681392</v>
      </c>
      <c r="I76" s="76">
        <v>6.6274433812991713</v>
      </c>
      <c r="J76" s="341">
        <v>5.5</v>
      </c>
      <c r="L76" s="194">
        <v>0.59606001846722068</v>
      </c>
      <c r="M76" s="194">
        <v>0.59813227734050001</v>
      </c>
      <c r="N76" s="386">
        <v>1</v>
      </c>
    </row>
  </sheetData>
  <mergeCells count="51">
    <mergeCell ref="M4:N4"/>
    <mergeCell ref="S1:T1"/>
    <mergeCell ref="U1:V1"/>
    <mergeCell ref="W1:X1"/>
    <mergeCell ref="Y1:Z1"/>
    <mergeCell ref="B2:O2"/>
    <mergeCell ref="P8:P9"/>
    <mergeCell ref="C5:D5"/>
    <mergeCell ref="B8:B9"/>
    <mergeCell ref="C8:C9"/>
    <mergeCell ref="D8:D9"/>
    <mergeCell ref="G8:G9"/>
    <mergeCell ref="H8:H9"/>
    <mergeCell ref="I8:I9"/>
    <mergeCell ref="J8:J9"/>
    <mergeCell ref="K8:K9"/>
    <mergeCell ref="L8:L9"/>
    <mergeCell ref="O8:O9"/>
    <mergeCell ref="I23:N23"/>
    <mergeCell ref="D24:E24"/>
    <mergeCell ref="B25:B36"/>
    <mergeCell ref="D25:E26"/>
    <mergeCell ref="D27:E28"/>
    <mergeCell ref="D29:E30"/>
    <mergeCell ref="D31:E32"/>
    <mergeCell ref="D33:E34"/>
    <mergeCell ref="D35:E36"/>
    <mergeCell ref="B37:B46"/>
    <mergeCell ref="D37:E38"/>
    <mergeCell ref="J37:K37"/>
    <mergeCell ref="L38:N38"/>
    <mergeCell ref="D39:E40"/>
    <mergeCell ref="D41:E42"/>
    <mergeCell ref="D43:E44"/>
    <mergeCell ref="D45:E46"/>
    <mergeCell ref="D47:E47"/>
    <mergeCell ref="B52:B53"/>
    <mergeCell ref="C52:C53"/>
    <mergeCell ref="D52:D53"/>
    <mergeCell ref="E52:E53"/>
    <mergeCell ref="M52:M53"/>
    <mergeCell ref="B65:F65"/>
    <mergeCell ref="G65:J65"/>
    <mergeCell ref="K65:N65"/>
    <mergeCell ref="G52:G53"/>
    <mergeCell ref="H52:H53"/>
    <mergeCell ref="I52:I53"/>
    <mergeCell ref="J52:J53"/>
    <mergeCell ref="K52:K53"/>
    <mergeCell ref="L52:L53"/>
    <mergeCell ref="F52:F53"/>
  </mergeCells>
  <conditionalFormatting sqref="B47:B48">
    <cfRule type="cellIs" dxfId="775" priority="102" operator="notBetween">
      <formula>#REF!</formula>
      <formula>#REF!</formula>
    </cfRule>
  </conditionalFormatting>
  <conditionalFormatting sqref="C51">
    <cfRule type="cellIs" dxfId="774" priority="185" stopIfTrue="1" operator="greaterThan">
      <formula>100</formula>
    </cfRule>
    <cfRule type="cellIs" dxfId="773" priority="184" stopIfTrue="1" operator="lessThan">
      <formula>96</formula>
    </cfRule>
  </conditionalFormatting>
  <conditionalFormatting sqref="C67:C68">
    <cfRule type="cellIs" dxfId="772" priority="65" stopIfTrue="1" operator="greaterThan">
      <formula>$F67</formula>
    </cfRule>
    <cfRule type="cellIs" dxfId="771" priority="67" stopIfTrue="1" operator="greaterThan">
      <formula>$F67</formula>
    </cfRule>
    <cfRule type="cellIs" dxfId="770" priority="68" stopIfTrue="1" operator="lessThanOrEqual">
      <formula>0</formula>
    </cfRule>
    <cfRule type="cellIs" dxfId="769" priority="66" stopIfTrue="1" operator="lessThanOrEqual">
      <formula>0</formula>
    </cfRule>
  </conditionalFormatting>
  <conditionalFormatting sqref="C69:C71 C73:C75">
    <cfRule type="cellIs" dxfId="768" priority="74" stopIfTrue="1" operator="greaterThan">
      <formula>$F72</formula>
    </cfRule>
  </conditionalFormatting>
  <conditionalFormatting sqref="C69:C71">
    <cfRule type="cellIs" dxfId="767" priority="75" stopIfTrue="1" operator="lessThanOrEqual">
      <formula>0</formula>
    </cfRule>
  </conditionalFormatting>
  <conditionalFormatting sqref="C72">
    <cfRule type="cellIs" dxfId="766" priority="186" stopIfTrue="1" operator="greaterThan">
      <formula>$F67</formula>
    </cfRule>
    <cfRule type="cellIs" dxfId="765" priority="189" stopIfTrue="1" operator="lessThanOrEqual">
      <formula>0</formula>
    </cfRule>
    <cfRule type="cellIs" dxfId="764" priority="188" stopIfTrue="1" operator="greaterThan">
      <formula>$F67</formula>
    </cfRule>
    <cfRule type="cellIs" dxfId="763" priority="187" stopIfTrue="1" operator="lessThanOrEqual">
      <formula>0</formula>
    </cfRule>
  </conditionalFormatting>
  <conditionalFormatting sqref="C73:C75">
    <cfRule type="cellIs" dxfId="762" priority="76" stopIfTrue="1" operator="lessThanOrEqual">
      <formula>0</formula>
    </cfRule>
  </conditionalFormatting>
  <conditionalFormatting sqref="C78:C82">
    <cfRule type="cellIs" dxfId="761" priority="176" stopIfTrue="1" operator="lessThanOrEqual">
      <formula>0</formula>
    </cfRule>
  </conditionalFormatting>
  <conditionalFormatting sqref="C79:C82">
    <cfRule type="cellIs" dxfId="760" priority="175" stopIfTrue="1" operator="greaterThan">
      <formula>$F$78</formula>
    </cfRule>
  </conditionalFormatting>
  <conditionalFormatting sqref="C84">
    <cfRule type="cellIs" dxfId="759" priority="177" stopIfTrue="1" operator="greaterThan">
      <formula>$F$78</formula>
    </cfRule>
    <cfRule type="cellIs" dxfId="758" priority="178" stopIfTrue="1" operator="lessThanOrEqual">
      <formula>0</formula>
    </cfRule>
  </conditionalFormatting>
  <conditionalFormatting sqref="C72:D72">
    <cfRule type="cellIs" dxfId="757" priority="63" stopIfTrue="1" operator="greaterThan">
      <formula>$J72</formula>
    </cfRule>
    <cfRule type="cellIs" dxfId="756" priority="64" stopIfTrue="1" operator="lessThanOrEqual">
      <formula>0</formula>
    </cfRule>
  </conditionalFormatting>
  <conditionalFormatting sqref="C78:D78 D80:D86">
    <cfRule type="cellIs" dxfId="755" priority="170" stopIfTrue="1" operator="greaterThan">
      <formula>4.5</formula>
    </cfRule>
  </conditionalFormatting>
  <conditionalFormatting sqref="D47:D48">
    <cfRule type="cellIs" dxfId="754" priority="103" operator="notBetween">
      <formula>#REF!</formula>
      <formula>#REF!</formula>
    </cfRule>
  </conditionalFormatting>
  <conditionalFormatting sqref="D67:D71 D73:D74">
    <cfRule type="cellIs" dxfId="753" priority="73" stopIfTrue="1" operator="lessThanOrEqual">
      <formula>0</formula>
    </cfRule>
  </conditionalFormatting>
  <conditionalFormatting sqref="D67:D71 D73:D76">
    <cfRule type="cellIs" dxfId="752" priority="70" stopIfTrue="1" operator="greaterThan">
      <formula>$F67</formula>
    </cfRule>
    <cfRule type="cellIs" dxfId="751" priority="69" stopIfTrue="1" operator="lessThanOrEqual">
      <formula>0</formula>
    </cfRule>
  </conditionalFormatting>
  <conditionalFormatting sqref="D75:D76">
    <cfRule type="cellIs" dxfId="750" priority="71" stopIfTrue="1" operator="lessThanOrEqual">
      <formula>0</formula>
    </cfRule>
  </conditionalFormatting>
  <conditionalFormatting sqref="D76">
    <cfRule type="cellIs" dxfId="749" priority="72" stopIfTrue="1" operator="lessThanOrEqual">
      <formula>0</formula>
    </cfRule>
  </conditionalFormatting>
  <conditionalFormatting sqref="D78 D80:D86">
    <cfRule type="cellIs" dxfId="748" priority="171" stopIfTrue="1" operator="lessThanOrEqual">
      <formula>0</formula>
    </cfRule>
  </conditionalFormatting>
  <conditionalFormatting sqref="D79">
    <cfRule type="cellIs" dxfId="747" priority="162" stopIfTrue="1" operator="greaterThan">
      <formula>$F$78</formula>
    </cfRule>
    <cfRule type="cellIs" dxfId="746" priority="163" stopIfTrue="1" operator="lessThanOrEqual">
      <formula>0</formula>
    </cfRule>
  </conditionalFormatting>
  <conditionalFormatting sqref="E10:E22">
    <cfRule type="cellIs" dxfId="745" priority="7" operator="lessThan">
      <formula>48</formula>
    </cfRule>
  </conditionalFormatting>
  <conditionalFormatting sqref="E50 E51:F51">
    <cfRule type="cellIs" dxfId="744" priority="167" stopIfTrue="1" operator="greaterThan">
      <formula>100</formula>
    </cfRule>
  </conditionalFormatting>
  <conditionalFormatting sqref="E51">
    <cfRule type="cellIs" dxfId="743" priority="165" stopIfTrue="1" operator="greaterThan">
      <formula>100</formula>
    </cfRule>
    <cfRule type="cellIs" dxfId="742" priority="164" stopIfTrue="1" operator="lessThan">
      <formula>96.8</formula>
    </cfRule>
  </conditionalFormatting>
  <conditionalFormatting sqref="E67:E75">
    <cfRule type="cellIs" dxfId="741" priority="36" stopIfTrue="1" operator="lessThanOrEqual">
      <formula>0</formula>
    </cfRule>
  </conditionalFormatting>
  <conditionalFormatting sqref="E67:E76">
    <cfRule type="cellIs" dxfId="740" priority="37" stopIfTrue="1" operator="greaterThan">
      <formula>$F67</formula>
    </cfRule>
    <cfRule type="cellIs" dxfId="739" priority="38" stopIfTrue="1" operator="lessThanOrEqual">
      <formula>0</formula>
    </cfRule>
  </conditionalFormatting>
  <conditionalFormatting sqref="E76">
    <cfRule type="cellIs" dxfId="738" priority="39" stopIfTrue="1" operator="lessThanOrEqual">
      <formula>0</formula>
    </cfRule>
  </conditionalFormatting>
  <conditionalFormatting sqref="E78:E86">
    <cfRule type="cellIs" dxfId="737" priority="156" stopIfTrue="1" operator="greaterThan">
      <formula>4.5</formula>
    </cfRule>
    <cfRule type="cellIs" dxfId="736" priority="157" stopIfTrue="1" operator="lessThanOrEqual">
      <formula>0</formula>
    </cfRule>
  </conditionalFormatting>
  <conditionalFormatting sqref="E51:F51 E50">
    <cfRule type="cellIs" dxfId="735" priority="166" stopIfTrue="1" operator="lessThan">
      <formula>96.5</formula>
    </cfRule>
  </conditionalFormatting>
  <conditionalFormatting sqref="F10:F22">
    <cfRule type="cellIs" dxfId="734" priority="8" operator="greaterThan">
      <formula>60</formula>
    </cfRule>
  </conditionalFormatting>
  <conditionalFormatting sqref="F51">
    <cfRule type="cellIs" dxfId="733" priority="182" stopIfTrue="1" operator="lessThan">
      <formula>96.8</formula>
    </cfRule>
    <cfRule type="cellIs" dxfId="732" priority="183" stopIfTrue="1" operator="greaterThan">
      <formula>100</formula>
    </cfRule>
  </conditionalFormatting>
  <conditionalFormatting sqref="G10:G21 M10:N21 H10:H22">
    <cfRule type="expression" dxfId="731" priority="11">
      <formula>IF(+(IF(G10&lt;#REF!,0,IF(G10&gt;#REF!,0,1)))=0,1)</formula>
    </cfRule>
  </conditionalFormatting>
  <conditionalFormatting sqref="G22">
    <cfRule type="expression" dxfId="730" priority="10">
      <formula>IF(+(IF(G22&lt;S22,0,IF(G22&gt;T22,0,1)))=0,1)</formula>
    </cfRule>
  </conditionalFormatting>
  <conditionalFormatting sqref="G67:G70 F76">
    <cfRule type="cellIs" dxfId="729" priority="45" stopIfTrue="1" operator="greaterThan">
      <formula>$F67</formula>
    </cfRule>
    <cfRule type="cellIs" dxfId="728" priority="46" stopIfTrue="1" operator="lessThanOrEqual">
      <formula>0</formula>
    </cfRule>
  </conditionalFormatting>
  <conditionalFormatting sqref="G69:G70">
    <cfRule type="cellIs" dxfId="727" priority="32" stopIfTrue="1" operator="lessThanOrEqual">
      <formula>0</formula>
    </cfRule>
    <cfRule type="cellIs" dxfId="726" priority="31" stopIfTrue="1" operator="greaterThan">
      <formula>$F69</formula>
    </cfRule>
  </conditionalFormatting>
  <conditionalFormatting sqref="G71:G75">
    <cfRule type="cellIs" dxfId="725" priority="48" stopIfTrue="1" operator="lessThanOrEqual">
      <formula>0</formula>
    </cfRule>
    <cfRule type="cellIs" dxfId="724" priority="47" stopIfTrue="1" operator="greaterThan">
      <formula>$J71</formula>
    </cfRule>
  </conditionalFormatting>
  <conditionalFormatting sqref="G72">
    <cfRule type="cellIs" dxfId="723" priority="190" stopIfTrue="1" operator="greaterThan">
      <formula>$F67</formula>
    </cfRule>
    <cfRule type="cellIs" dxfId="722" priority="191" stopIfTrue="1" operator="lessThanOrEqual">
      <formula>0</formula>
    </cfRule>
  </conditionalFormatting>
  <conditionalFormatting sqref="G80:G85 C83 C85">
    <cfRule type="cellIs" dxfId="721" priority="180" stopIfTrue="1" operator="lessThanOrEqual">
      <formula>0</formula>
    </cfRule>
    <cfRule type="cellIs" dxfId="720" priority="179" stopIfTrue="1" operator="greaterThan">
      <formula>4.5</formula>
    </cfRule>
  </conditionalFormatting>
  <conditionalFormatting sqref="G79:H79">
    <cfRule type="cellIs" dxfId="719" priority="161" stopIfTrue="1" operator="lessThanOrEqual">
      <formula>0</formula>
    </cfRule>
    <cfRule type="cellIs" dxfId="718" priority="160" stopIfTrue="1" operator="greaterThan">
      <formula>$F$78</formula>
    </cfRule>
  </conditionalFormatting>
  <conditionalFormatting sqref="H36:H37 H50">
    <cfRule type="cellIs" dxfId="717" priority="158" stopIfTrue="1" operator="greaterThan">
      <formula>0</formula>
    </cfRule>
  </conditionalFormatting>
  <conditionalFormatting sqref="H54">
    <cfRule type="cellIs" dxfId="716" priority="51" stopIfTrue="1" operator="greaterThan">
      <formula>$F$67</formula>
    </cfRule>
    <cfRule type="cellIs" dxfId="715" priority="59" stopIfTrue="1" operator="greaterThan">
      <formula>$F$70</formula>
    </cfRule>
    <cfRule type="cellIs" dxfId="714" priority="60" stopIfTrue="1" operator="lessThanOrEqual">
      <formula>0</formula>
    </cfRule>
    <cfRule type="cellIs" dxfId="713" priority="61" stopIfTrue="1" operator="greaterThan">
      <formula>$F$68</formula>
    </cfRule>
    <cfRule type="cellIs" dxfId="712" priority="50" stopIfTrue="1" operator="lessThanOrEqual">
      <formula>0</formula>
    </cfRule>
  </conditionalFormatting>
  <conditionalFormatting sqref="H54:H55">
    <cfRule type="cellIs" dxfId="711" priority="62" stopIfTrue="1" operator="lessThanOrEqual">
      <formula>0</formula>
    </cfRule>
  </conditionalFormatting>
  <conditionalFormatting sqref="H55 H57:H58">
    <cfRule type="cellIs" dxfId="710" priority="88" stopIfTrue="1" operator="lessThanOrEqual">
      <formula>0</formula>
    </cfRule>
  </conditionalFormatting>
  <conditionalFormatting sqref="H55">
    <cfRule type="cellIs" dxfId="709" priority="85" stopIfTrue="1" operator="greaterThan">
      <formula>$F$70</formula>
    </cfRule>
    <cfRule type="cellIs" dxfId="708" priority="87" stopIfTrue="1" operator="greaterThan">
      <formula>$F$68</formula>
    </cfRule>
    <cfRule type="cellIs" dxfId="707" priority="86" stopIfTrue="1" operator="lessThanOrEqual">
      <formula>0</formula>
    </cfRule>
    <cfRule type="cellIs" dxfId="706" priority="77" stopIfTrue="1" operator="greaterThan">
      <formula>$F$67</formula>
    </cfRule>
  </conditionalFormatting>
  <conditionalFormatting sqref="H56">
    <cfRule type="cellIs" dxfId="705" priority="17" stopIfTrue="1" operator="lessThanOrEqual">
      <formula>0</formula>
    </cfRule>
    <cfRule type="cellIs" dxfId="704" priority="18" stopIfTrue="1" operator="greaterThan">
      <formula>$F$69</formula>
    </cfRule>
    <cfRule type="cellIs" dxfId="703" priority="26" stopIfTrue="1" operator="greaterThan">
      <formula>$F$72</formula>
    </cfRule>
    <cfRule type="cellIs" dxfId="702" priority="27" stopIfTrue="1" operator="lessThanOrEqual">
      <formula>0</formula>
    </cfRule>
    <cfRule type="cellIs" dxfId="701" priority="28" stopIfTrue="1" operator="greaterThan">
      <formula>$F$70</formula>
    </cfRule>
    <cfRule type="cellIs" dxfId="700" priority="29" stopIfTrue="1" operator="lessThanOrEqual">
      <formula>0</formula>
    </cfRule>
  </conditionalFormatting>
  <conditionalFormatting sqref="H57:H58">
    <cfRule type="cellIs" dxfId="699" priority="100" stopIfTrue="1" operator="greaterThan">
      <formula>$F$68</formula>
    </cfRule>
    <cfRule type="cellIs" dxfId="698" priority="99" stopIfTrue="1" operator="lessThanOrEqual">
      <formula>0</formula>
    </cfRule>
    <cfRule type="cellIs" dxfId="697" priority="98" stopIfTrue="1" operator="greaterThan">
      <formula>$F$70</formula>
    </cfRule>
    <cfRule type="cellIs" dxfId="696" priority="90" stopIfTrue="1" operator="greaterThan">
      <formula>$F$67</formula>
    </cfRule>
    <cfRule type="cellIs" dxfId="695" priority="101" stopIfTrue="1" operator="lessThanOrEqual">
      <formula>0</formula>
    </cfRule>
  </conditionalFormatting>
  <conditionalFormatting sqref="H59:H60">
    <cfRule type="cellIs" dxfId="694" priority="125" stopIfTrue="1" operator="lessThanOrEqual">
      <formula>0</formula>
    </cfRule>
    <cfRule type="cellIs" dxfId="693" priority="134" stopIfTrue="1" operator="greaterThan">
      <formula>#REF!</formula>
    </cfRule>
    <cfRule type="cellIs" dxfId="692" priority="135" stopIfTrue="1" operator="lessThanOrEqual">
      <formula>0</formula>
    </cfRule>
    <cfRule type="cellIs" dxfId="691" priority="126" stopIfTrue="1" operator="greaterThan">
      <formula>#REF!</formula>
    </cfRule>
  </conditionalFormatting>
  <conditionalFormatting sqref="H61">
    <cfRule type="cellIs" dxfId="690" priority="149" stopIfTrue="1" operator="lessThanOrEqual">
      <formula>0</formula>
    </cfRule>
    <cfRule type="cellIs" dxfId="689" priority="137" stopIfTrue="1" operator="lessThanOrEqual">
      <formula>0</formula>
    </cfRule>
    <cfRule type="cellIs" dxfId="688" priority="138" stopIfTrue="1" operator="greaterThan">
      <formula>$F$35</formula>
    </cfRule>
    <cfRule type="cellIs" dxfId="687" priority="148" stopIfTrue="1" operator="greaterThan">
      <formula>$F$36</formula>
    </cfRule>
    <cfRule type="cellIs" dxfId="686" priority="147" stopIfTrue="1" operator="lessThanOrEqual">
      <formula>0</formula>
    </cfRule>
    <cfRule type="cellIs" dxfId="685" priority="146" stopIfTrue="1" operator="greaterThan">
      <formula>$F$38</formula>
    </cfRule>
  </conditionalFormatting>
  <conditionalFormatting sqref="H62:H63">
    <cfRule type="cellIs" dxfId="684" priority="122" stopIfTrue="1" operator="greaterThan">
      <formula>#REF!</formula>
    </cfRule>
    <cfRule type="cellIs" dxfId="683" priority="114" stopIfTrue="1" operator="greaterThan">
      <formula>#REF!</formula>
    </cfRule>
    <cfRule type="cellIs" dxfId="682" priority="113" stopIfTrue="1" operator="lessThanOrEqual">
      <formula>0</formula>
    </cfRule>
    <cfRule type="cellIs" dxfId="681" priority="123" stopIfTrue="1" operator="lessThanOrEqual">
      <formula>0</formula>
    </cfRule>
  </conditionalFormatting>
  <conditionalFormatting sqref="H78 H80:H86">
    <cfRule type="cellIs" dxfId="680" priority="172" stopIfTrue="1" operator="greaterThan">
      <formula>4.5</formula>
    </cfRule>
    <cfRule type="cellIs" dxfId="679" priority="173" stopIfTrue="1" operator="lessThanOrEqual">
      <formula>0</formula>
    </cfRule>
  </conditionalFormatting>
  <conditionalFormatting sqref="H54:I54">
    <cfRule type="cellIs" dxfId="678" priority="52" stopIfTrue="1" operator="lessThanOrEqual">
      <formula>0</formula>
    </cfRule>
  </conditionalFormatting>
  <conditionalFormatting sqref="H54:I55 H57:I58">
    <cfRule type="cellIs" dxfId="677" priority="49" stopIfTrue="1" operator="greaterThan">
      <formula>$F$69</formula>
    </cfRule>
  </conditionalFormatting>
  <conditionalFormatting sqref="H55:I55">
    <cfRule type="cellIs" dxfId="676" priority="78" stopIfTrue="1" operator="lessThanOrEqual">
      <formula>0</formula>
    </cfRule>
  </conditionalFormatting>
  <conditionalFormatting sqref="H56:I56">
    <cfRule type="cellIs" dxfId="675" priority="16" stopIfTrue="1" operator="greaterThan">
      <formula>$F$71</formula>
    </cfRule>
    <cfRule type="cellIs" dxfId="674" priority="19" stopIfTrue="1" operator="lessThanOrEqual">
      <formula>0</formula>
    </cfRule>
  </conditionalFormatting>
  <conditionalFormatting sqref="H57:I58">
    <cfRule type="cellIs" dxfId="673" priority="91" stopIfTrue="1" operator="lessThanOrEqual">
      <formula>0</formula>
    </cfRule>
  </conditionalFormatting>
  <conditionalFormatting sqref="H59:I60">
    <cfRule type="cellIs" dxfId="672" priority="132" stopIfTrue="1" operator="greaterThan">
      <formula>#REF!</formula>
    </cfRule>
    <cfRule type="cellIs" dxfId="671" priority="127" stopIfTrue="1" operator="lessThanOrEqual">
      <formula>0</formula>
    </cfRule>
    <cfRule type="cellIs" dxfId="670" priority="133" stopIfTrue="1" operator="lessThanOrEqual">
      <formula>0</formula>
    </cfRule>
    <cfRule type="cellIs" dxfId="669" priority="124" stopIfTrue="1" operator="greaterThan">
      <formula>#REF!</formula>
    </cfRule>
  </conditionalFormatting>
  <conditionalFormatting sqref="H61:I61">
    <cfRule type="cellIs" dxfId="668" priority="136" stopIfTrue="1" operator="greaterThan">
      <formula>$F$37</formula>
    </cfRule>
    <cfRule type="cellIs" dxfId="667" priority="139" stopIfTrue="1" operator="lessThanOrEqual">
      <formula>0</formula>
    </cfRule>
  </conditionalFormatting>
  <conditionalFormatting sqref="H62:I63">
    <cfRule type="cellIs" dxfId="666" priority="112" stopIfTrue="1" operator="greaterThan">
      <formula>#REF!</formula>
    </cfRule>
    <cfRule type="cellIs" dxfId="665" priority="115" stopIfTrue="1" operator="lessThanOrEqual">
      <formula>0</formula>
    </cfRule>
    <cfRule type="cellIs" dxfId="664" priority="120" stopIfTrue="1" operator="greaterThan">
      <formula>#REF!</formula>
    </cfRule>
    <cfRule type="cellIs" dxfId="663" priority="121" stopIfTrue="1" operator="lessThanOrEqual">
      <formula>0</formula>
    </cfRule>
  </conditionalFormatting>
  <conditionalFormatting sqref="H67:I74">
    <cfRule type="cellIs" dxfId="662" priority="35" stopIfTrue="1" operator="lessThanOrEqual">
      <formula>0</formula>
    </cfRule>
    <cfRule type="cellIs" dxfId="661" priority="34" stopIfTrue="1" operator="greaterThan">
      <formula>$J67</formula>
    </cfRule>
  </conditionalFormatting>
  <conditionalFormatting sqref="H75:I75">
    <cfRule type="cellIs" dxfId="660" priority="42" operator="greaterThan">
      <formula>5.3</formula>
    </cfRule>
  </conditionalFormatting>
  <conditionalFormatting sqref="H76:I76">
    <cfRule type="cellIs" dxfId="659" priority="41" stopIfTrue="1" operator="lessThanOrEqual">
      <formula>0</formula>
    </cfRule>
    <cfRule type="cellIs" dxfId="658" priority="40" stopIfTrue="1" operator="greaterThan">
      <formula>$J76</formula>
    </cfRule>
  </conditionalFormatting>
  <conditionalFormatting sqref="I54">
    <cfRule type="cellIs" dxfId="657" priority="55" stopIfTrue="1" operator="greaterThan">
      <formula>$F$69</formula>
    </cfRule>
    <cfRule type="cellIs" dxfId="656" priority="54" stopIfTrue="1" operator="lessThanOrEqual">
      <formula>0</formula>
    </cfRule>
    <cfRule type="cellIs" dxfId="655" priority="53" stopIfTrue="1" operator="greaterThan">
      <formula>$F$67</formula>
    </cfRule>
    <cfRule type="cellIs" dxfId="654" priority="58" stopIfTrue="1" operator="lessThanOrEqual">
      <formula>0</formula>
    </cfRule>
    <cfRule type="cellIs" dxfId="653" priority="57" stopIfTrue="1" operator="greaterThan">
      <formula>$F$67</formula>
    </cfRule>
    <cfRule type="cellIs" dxfId="652" priority="56" stopIfTrue="1" operator="lessThanOrEqual">
      <formula>0</formula>
    </cfRule>
  </conditionalFormatting>
  <conditionalFormatting sqref="I55">
    <cfRule type="cellIs" dxfId="651" priority="80" stopIfTrue="1" operator="lessThanOrEqual">
      <formula>0</formula>
    </cfRule>
    <cfRule type="cellIs" dxfId="650" priority="79" stopIfTrue="1" operator="greaterThan">
      <formula>$F$67</formula>
    </cfRule>
    <cfRule type="cellIs" dxfId="649" priority="84" stopIfTrue="1" operator="lessThanOrEqual">
      <formula>0</formula>
    </cfRule>
    <cfRule type="cellIs" dxfId="648" priority="83" stopIfTrue="1" operator="greaterThan">
      <formula>$F$67</formula>
    </cfRule>
    <cfRule type="cellIs" dxfId="647" priority="82" stopIfTrue="1" operator="lessThanOrEqual">
      <formula>0</formula>
    </cfRule>
    <cfRule type="cellIs" dxfId="646" priority="81" stopIfTrue="1" operator="greaterThan">
      <formula>$F$69</formula>
    </cfRule>
  </conditionalFormatting>
  <conditionalFormatting sqref="I56">
    <cfRule type="cellIs" dxfId="645" priority="24" stopIfTrue="1" operator="greaterThan">
      <formula>$F$69</formula>
    </cfRule>
    <cfRule type="cellIs" dxfId="644" priority="23" stopIfTrue="1" operator="lessThanOrEqual">
      <formula>0</formula>
    </cfRule>
    <cfRule type="cellIs" dxfId="643" priority="22" stopIfTrue="1" operator="greaterThan">
      <formula>$F$71</formula>
    </cfRule>
    <cfRule type="cellIs" dxfId="642" priority="21" stopIfTrue="1" operator="lessThanOrEqual">
      <formula>0</formula>
    </cfRule>
    <cfRule type="cellIs" dxfId="641" priority="20" stopIfTrue="1" operator="greaterThan">
      <formula>$F$69</formula>
    </cfRule>
    <cfRule type="cellIs" dxfId="640" priority="25" stopIfTrue="1" operator="lessThanOrEqual">
      <formula>0</formula>
    </cfRule>
  </conditionalFormatting>
  <conditionalFormatting sqref="I57:I58">
    <cfRule type="cellIs" dxfId="639" priority="95" stopIfTrue="1" operator="lessThanOrEqual">
      <formula>0</formula>
    </cfRule>
    <cfRule type="cellIs" dxfId="638" priority="96" stopIfTrue="1" operator="greaterThan">
      <formula>$F$67</formula>
    </cfRule>
    <cfRule type="cellIs" dxfId="637" priority="97" stopIfTrue="1" operator="lessThanOrEqual">
      <formula>0</formula>
    </cfRule>
    <cfRule type="cellIs" dxfId="636" priority="92" stopIfTrue="1" operator="greaterThan">
      <formula>$F$67</formula>
    </cfRule>
    <cfRule type="cellIs" dxfId="635" priority="93" stopIfTrue="1" operator="lessThanOrEqual">
      <formula>0</formula>
    </cfRule>
    <cfRule type="cellIs" dxfId="634" priority="94" stopIfTrue="1" operator="greaterThan">
      <formula>$F$69</formula>
    </cfRule>
  </conditionalFormatting>
  <conditionalFormatting sqref="I59:I60">
    <cfRule type="cellIs" dxfId="633" priority="128" stopIfTrue="1" operator="greaterThan">
      <formula>#REF!</formula>
    </cfRule>
    <cfRule type="cellIs" dxfId="632" priority="131" stopIfTrue="1" operator="lessThanOrEqual">
      <formula>0</formula>
    </cfRule>
    <cfRule type="cellIs" dxfId="631" priority="130" stopIfTrue="1" operator="greaterThan">
      <formula>#REF!</formula>
    </cfRule>
    <cfRule type="cellIs" dxfId="630" priority="129" stopIfTrue="1" operator="lessThanOrEqual">
      <formula>0</formula>
    </cfRule>
  </conditionalFormatting>
  <conditionalFormatting sqref="I61">
    <cfRule type="cellIs" dxfId="629" priority="143" stopIfTrue="1" operator="lessThanOrEqual">
      <formula>0</formula>
    </cfRule>
    <cfRule type="cellIs" dxfId="628" priority="144" stopIfTrue="1" operator="greaterThan">
      <formula>$F$35</formula>
    </cfRule>
    <cfRule type="cellIs" dxfId="627" priority="145" stopIfTrue="1" operator="lessThanOrEqual">
      <formula>0</formula>
    </cfRule>
    <cfRule type="cellIs" dxfId="626" priority="142" stopIfTrue="1" operator="greaterThan">
      <formula>$F$37</formula>
    </cfRule>
    <cfRule type="cellIs" dxfId="625" priority="141" stopIfTrue="1" operator="lessThanOrEqual">
      <formula>0</formula>
    </cfRule>
    <cfRule type="cellIs" dxfId="624" priority="140" stopIfTrue="1" operator="greaterThan">
      <formula>$F$35</formula>
    </cfRule>
  </conditionalFormatting>
  <conditionalFormatting sqref="I62:I63">
    <cfRule type="cellIs" dxfId="623" priority="116" stopIfTrue="1" operator="greaterThan">
      <formula>#REF!</formula>
    </cfRule>
    <cfRule type="cellIs" dxfId="622" priority="117" stopIfTrue="1" operator="lessThanOrEqual">
      <formula>0</formula>
    </cfRule>
    <cfRule type="cellIs" dxfId="621" priority="118" stopIfTrue="1" operator="greaterThan">
      <formula>#REF!</formula>
    </cfRule>
    <cfRule type="cellIs" dxfId="620" priority="119" stopIfTrue="1" operator="lessThanOrEqual">
      <formula>0</formula>
    </cfRule>
  </conditionalFormatting>
  <conditionalFormatting sqref="I78:I86">
    <cfRule type="cellIs" dxfId="619" priority="169" stopIfTrue="1" operator="lessThanOrEqual">
      <formula>0</formula>
    </cfRule>
    <cfRule type="cellIs" dxfId="618" priority="168" stopIfTrue="1" operator="greaterThan">
      <formula>4.5</formula>
    </cfRule>
  </conditionalFormatting>
  <conditionalFormatting sqref="I10:J22">
    <cfRule type="cellIs" dxfId="617" priority="1" operator="lessThan">
      <formula>97.9</formula>
    </cfRule>
  </conditionalFormatting>
  <conditionalFormatting sqref="J25:J27">
    <cfRule type="cellIs" dxfId="616" priority="15" operator="lessThan">
      <formula>97.95</formula>
    </cfRule>
  </conditionalFormatting>
  <conditionalFormatting sqref="J26:J29">
    <cfRule type="cellIs" dxfId="615" priority="150" operator="lessThan">
      <formula>97.4</formula>
    </cfRule>
  </conditionalFormatting>
  <conditionalFormatting sqref="J30:J31">
    <cfRule type="cellIs" dxfId="614" priority="151" operator="lessThan">
      <formula>98</formula>
    </cfRule>
  </conditionalFormatting>
  <conditionalFormatting sqref="J32:J33">
    <cfRule type="cellIs" dxfId="613" priority="152" stopIfTrue="1" operator="lessThan">
      <formula>96.8</formula>
    </cfRule>
    <cfRule type="cellIs" dxfId="612" priority="153" stopIfTrue="1" operator="greaterThan">
      <formula>100</formula>
    </cfRule>
  </conditionalFormatting>
  <conditionalFormatting sqref="J32:J34">
    <cfRule type="cellIs" dxfId="611" priority="154" operator="lessThan">
      <formula>98</formula>
    </cfRule>
  </conditionalFormatting>
  <conditionalFormatting sqref="J63">
    <cfRule type="cellIs" dxfId="610" priority="108" stopIfTrue="1" operator="greaterThan">
      <formula>#REF!</formula>
    </cfRule>
    <cfRule type="cellIs" dxfId="609" priority="109" stopIfTrue="1" operator="lessThanOrEqual">
      <formula>0</formula>
    </cfRule>
    <cfRule type="cellIs" dxfId="608" priority="110" stopIfTrue="1" operator="greaterThan">
      <formula>#REF!</formula>
    </cfRule>
    <cfRule type="cellIs" dxfId="607" priority="111" stopIfTrue="1" operator="lessThanOrEqual">
      <formula>0</formula>
    </cfRule>
    <cfRule type="cellIs" dxfId="606" priority="104" stopIfTrue="1" operator="greaterThan">
      <formula>#REF!</formula>
    </cfRule>
    <cfRule type="cellIs" dxfId="605" priority="105" stopIfTrue="1" operator="lessThanOrEqual">
      <formula>0</formula>
    </cfRule>
    <cfRule type="cellIs" dxfId="604" priority="106" stopIfTrue="1" operator="greaterThan">
      <formula>#REF!</formula>
    </cfRule>
    <cfRule type="cellIs" dxfId="603" priority="107" stopIfTrue="1" operator="lessThanOrEqual">
      <formula>0</formula>
    </cfRule>
  </conditionalFormatting>
  <conditionalFormatting sqref="J76">
    <cfRule type="cellIs" dxfId="602" priority="43" stopIfTrue="1" operator="greaterThan">
      <formula>$F76</formula>
    </cfRule>
    <cfRule type="cellIs" dxfId="601" priority="44" stopIfTrue="1" operator="lessThanOrEqual">
      <formula>0</formula>
    </cfRule>
  </conditionalFormatting>
  <conditionalFormatting sqref="K10:K22">
    <cfRule type="cellIs" dxfId="600" priority="3" operator="lessThan">
      <formula>4</formula>
    </cfRule>
    <cfRule type="cellIs" dxfId="599" priority="2" operator="greaterThan">
      <formula>6</formula>
    </cfRule>
    <cfRule type="cellIs" dxfId="598" priority="4" operator="greaterThan">
      <formula>6.4</formula>
    </cfRule>
  </conditionalFormatting>
  <conditionalFormatting sqref="K54:K63">
    <cfRule type="cellIs" dxfId="597" priority="89" stopIfTrue="1" operator="lessThan">
      <formula>100%</formula>
    </cfRule>
  </conditionalFormatting>
  <conditionalFormatting sqref="K67:K75">
    <cfRule type="cellIs" dxfId="596" priority="33" stopIfTrue="1" operator="lessThan">
      <formula>100%</formula>
    </cfRule>
  </conditionalFormatting>
  <conditionalFormatting sqref="K78:K83">
    <cfRule type="cellIs" dxfId="595" priority="174" stopIfTrue="1" operator="lessThan">
      <formula>100%</formula>
    </cfRule>
  </conditionalFormatting>
  <conditionalFormatting sqref="K85:K86">
    <cfRule type="cellIs" dxfId="594" priority="181" stopIfTrue="1" operator="lessThan">
      <formula>100%</formula>
    </cfRule>
  </conditionalFormatting>
  <conditionalFormatting sqref="L10:L22">
    <cfRule type="cellIs" dxfId="593" priority="5" operator="between">
      <formula>61</formula>
      <formula>65</formula>
    </cfRule>
    <cfRule type="cellIs" dxfId="592" priority="6" operator="greaterThan">
      <formula>65</formula>
    </cfRule>
  </conditionalFormatting>
  <conditionalFormatting sqref="L25:M36">
    <cfRule type="cellIs" dxfId="591" priority="14" operator="lessThan">
      <formula>97.95</formula>
    </cfRule>
  </conditionalFormatting>
  <conditionalFormatting sqref="L40:N40">
    <cfRule type="cellIs" dxfId="590" priority="12" operator="notEqual">
      <formula>#REF!</formula>
    </cfRule>
  </conditionalFormatting>
  <conditionalFormatting sqref="L67:N76">
    <cfRule type="cellIs" dxfId="589" priority="30" stopIfTrue="1" operator="lessThan">
      <formula>100%</formula>
    </cfRule>
  </conditionalFormatting>
  <conditionalFormatting sqref="L78:N86">
    <cfRule type="cellIs" dxfId="588" priority="159" stopIfTrue="1" operator="lessThan">
      <formula>100%</formula>
    </cfRule>
  </conditionalFormatting>
  <conditionalFormatting sqref="M22">
    <cfRule type="expression" dxfId="587" priority="9">
      <formula>IF(+(IF(M22&lt;U22,0,IF(M22&gt;V22,0,1)))=0,1)</formula>
    </cfRule>
  </conditionalFormatting>
  <conditionalFormatting sqref="N10:N22">
    <cfRule type="expression" dxfId="586" priority="13">
      <formula>IF(+(IF(N10&lt;W10,0,IF(N10&gt;X10,0,1)))=0,1)</formula>
    </cfRule>
  </conditionalFormatting>
  <conditionalFormatting sqref="P6">
    <cfRule type="cellIs" dxfId="585" priority="155" operator="greaterThanOrEqual">
      <formula>19</formula>
    </cfRule>
  </conditionalFormatting>
  <dataValidations count="1">
    <dataValidation type="list" allowBlank="1" showInputMessage="1" showErrorMessage="1" sqref="R8" xr:uid="{B81A99A7-542F-4ED4-BDBC-65FF14D6DA6E}">
      <formula1>ProductList</formula1>
    </dataValidation>
  </dataValidations>
  <pageMargins left="0.7" right="0.7" top="0.75" bottom="0.75" header="0.3" footer="0.3"/>
  <pageSetup scale="40" fitToWidth="0" orientation="landscape" r:id="rId1"/>
  <rowBreaks count="1" manualBreakCount="1">
    <brk id="80" max="16383" man="1"/>
  </rowBreaks>
  <colBreaks count="1" manualBreakCount="1">
    <brk id="15" max="89" man="1"/>
  </colBreaks>
  <legacy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738492-314E-4708-8096-1E16074BA650}">
  <sheetPr>
    <pageSetUpPr fitToPage="1"/>
  </sheetPr>
  <dimension ref="A1:BE66"/>
  <sheetViews>
    <sheetView topLeftCell="A35" zoomScale="85" zoomScaleNormal="85" workbookViewId="0">
      <selection activeCell="L44" sqref="L44"/>
    </sheetView>
  </sheetViews>
  <sheetFormatPr defaultColWidth="9.42578125" defaultRowHeight="14.25"/>
  <cols>
    <col min="1" max="1" width="7.28515625" style="275" customWidth="1"/>
    <col min="2" max="2" width="31.28515625" style="275" customWidth="1"/>
    <col min="3" max="3" width="22.28515625" style="275" customWidth="1"/>
    <col min="4" max="7" width="16.5703125" style="275" customWidth="1"/>
    <col min="8" max="8" width="20.7109375" style="275" customWidth="1"/>
    <col min="9" max="9" width="31.42578125" style="275" customWidth="1"/>
    <col min="10" max="10" width="35.28515625" style="275" customWidth="1"/>
    <col min="11" max="11" width="29" style="275" customWidth="1"/>
    <col min="12" max="12" width="17.28515625" style="275" bestFit="1" customWidth="1"/>
    <col min="13" max="13" width="23.28515625" style="275" customWidth="1"/>
    <col min="14" max="14" width="13.7109375" style="275" bestFit="1" customWidth="1"/>
    <col min="15" max="15" width="17.5703125" style="275" customWidth="1"/>
    <col min="16" max="16" width="109.28515625" style="6" customWidth="1"/>
    <col min="17" max="17" width="16.5703125" style="275" customWidth="1"/>
    <col min="18" max="18" width="15.7109375" style="275" bestFit="1" customWidth="1"/>
    <col min="19" max="19" width="12.42578125" style="275" customWidth="1"/>
    <col min="20" max="20" width="15" style="275" customWidth="1"/>
    <col min="21" max="21" width="12" style="275" customWidth="1"/>
    <col min="22" max="22" width="10.42578125" style="275" customWidth="1"/>
    <col min="23" max="23" width="11.42578125" style="275" customWidth="1"/>
    <col min="24" max="24" width="10.42578125" style="275" customWidth="1"/>
    <col min="25" max="25" width="8.42578125" style="275" customWidth="1"/>
    <col min="26" max="26" width="9.5703125" style="275" customWidth="1"/>
    <col min="27" max="27" width="8.42578125" style="275" customWidth="1"/>
    <col min="28" max="29" width="7.5703125" style="275" customWidth="1"/>
    <col min="30" max="51" width="9.42578125" style="275"/>
    <col min="52" max="52" width="1.5703125" style="275" customWidth="1"/>
    <col min="53" max="54" width="9.42578125" style="275"/>
    <col min="55" max="56" width="15.42578125" style="275" customWidth="1"/>
    <col min="57" max="16384" width="9.42578125" style="275"/>
  </cols>
  <sheetData>
    <row r="1" spans="1:29" ht="1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R1" s="467"/>
      <c r="S1" s="553" t="s">
        <v>0</v>
      </c>
      <c r="T1" s="553"/>
      <c r="U1" s="553" t="s">
        <v>1</v>
      </c>
      <c r="V1" s="553"/>
      <c r="W1" s="553" t="s">
        <v>2</v>
      </c>
      <c r="X1" s="553"/>
      <c r="Y1" s="553" t="s">
        <v>124</v>
      </c>
      <c r="Z1" s="553"/>
    </row>
    <row r="2" spans="1:29" ht="15">
      <c r="B2" s="554" t="s">
        <v>3</v>
      </c>
      <c r="C2" s="554"/>
      <c r="D2" s="554"/>
      <c r="E2" s="554"/>
      <c r="F2" s="554"/>
      <c r="G2" s="554"/>
      <c r="H2" s="554"/>
      <c r="I2" s="554"/>
      <c r="J2" s="554"/>
      <c r="K2" s="554"/>
      <c r="L2" s="554"/>
      <c r="M2" s="554"/>
      <c r="N2" s="554"/>
      <c r="O2" s="554"/>
      <c r="P2" s="4"/>
      <c r="R2" s="467"/>
      <c r="S2" s="467" t="s">
        <v>4</v>
      </c>
      <c r="T2" s="467" t="s">
        <v>5</v>
      </c>
      <c r="U2" s="467" t="s">
        <v>4</v>
      </c>
      <c r="V2" s="467" t="s">
        <v>5</v>
      </c>
      <c r="W2" s="467" t="s">
        <v>4</v>
      </c>
      <c r="X2" s="467" t="s">
        <v>5</v>
      </c>
      <c r="Y2" s="467" t="s">
        <v>4</v>
      </c>
      <c r="Z2" s="467" t="s">
        <v>5</v>
      </c>
    </row>
    <row r="3" spans="1:29" ht="14.25" customHeight="1">
      <c r="B3" s="5"/>
      <c r="R3" s="467" t="s">
        <v>6</v>
      </c>
      <c r="S3" s="468">
        <v>11.6</v>
      </c>
      <c r="T3" s="469">
        <v>12</v>
      </c>
      <c r="U3" s="9">
        <v>0</v>
      </c>
      <c r="V3" s="10">
        <v>0.118055555555556</v>
      </c>
      <c r="W3" s="10">
        <v>0.22569444444444445</v>
      </c>
      <c r="X3" s="10">
        <v>0.2638888888888889</v>
      </c>
      <c r="Y3" s="470">
        <v>0</v>
      </c>
      <c r="Z3" s="468">
        <v>60</v>
      </c>
      <c r="AB3" s="275" t="s">
        <v>135</v>
      </c>
    </row>
    <row r="4" spans="1:29" ht="30.75" customHeight="1">
      <c r="B4" s="301" t="s">
        <v>133</v>
      </c>
      <c r="C4" s="419">
        <v>46293</v>
      </c>
      <c r="J4" s="398" t="s">
        <v>153</v>
      </c>
      <c r="K4" s="398"/>
      <c r="L4" s="11"/>
      <c r="M4" s="555" t="s">
        <v>8</v>
      </c>
      <c r="N4" s="556"/>
      <c r="P4" s="12"/>
      <c r="R4" s="467" t="s">
        <v>9</v>
      </c>
      <c r="S4" s="468">
        <v>11.6</v>
      </c>
      <c r="T4" s="469">
        <v>12</v>
      </c>
      <c r="U4" s="9">
        <v>0</v>
      </c>
      <c r="V4" s="10">
        <v>0.118055555555556</v>
      </c>
      <c r="W4" s="10">
        <v>0.22569444444444445</v>
      </c>
      <c r="X4" s="10">
        <v>0.2638888888888889</v>
      </c>
      <c r="Y4" s="470">
        <v>0</v>
      </c>
      <c r="Z4" s="468">
        <v>60</v>
      </c>
      <c r="AA4" s="13"/>
      <c r="AB4" s="13"/>
      <c r="AC4" s="13"/>
    </row>
    <row r="5" spans="1:29" ht="12.75" customHeight="1" thickBot="1">
      <c r="B5" s="1"/>
      <c r="C5" s="549"/>
      <c r="D5" s="549"/>
      <c r="J5" s="403"/>
      <c r="K5" s="403"/>
      <c r="L5" s="11"/>
      <c r="M5" s="14" t="s">
        <v>10</v>
      </c>
      <c r="N5" s="14" t="s">
        <v>11</v>
      </c>
      <c r="P5" s="12"/>
      <c r="R5" s="467" t="s">
        <v>12</v>
      </c>
      <c r="S5" s="468">
        <v>17</v>
      </c>
      <c r="T5" s="469">
        <v>17.5</v>
      </c>
      <c r="U5" s="9">
        <v>0</v>
      </c>
      <c r="V5" s="10">
        <v>0.1076388888888889</v>
      </c>
      <c r="W5" s="10">
        <v>0.24652777777777779</v>
      </c>
      <c r="X5" s="10">
        <v>0.28472222222222221</v>
      </c>
      <c r="Y5" s="470">
        <v>0</v>
      </c>
      <c r="Z5" s="471">
        <v>60</v>
      </c>
      <c r="AA5" s="13"/>
      <c r="AB5" s="13"/>
      <c r="AC5" s="13"/>
    </row>
    <row r="6" spans="1:29" ht="14.25" customHeight="1">
      <c r="B6" s="15"/>
      <c r="C6" s="1"/>
      <c r="D6" s="1"/>
      <c r="J6" s="399" t="s">
        <v>168</v>
      </c>
      <c r="K6" s="400"/>
      <c r="L6" s="311" t="s">
        <v>14</v>
      </c>
      <c r="M6" s="340"/>
      <c r="N6" s="340"/>
      <c r="P6" s="16"/>
      <c r="R6" s="467" t="s">
        <v>15</v>
      </c>
      <c r="S6" s="468">
        <v>13.3</v>
      </c>
      <c r="T6" s="469">
        <v>13.5</v>
      </c>
      <c r="U6" s="9">
        <v>0</v>
      </c>
      <c r="V6" s="9">
        <v>0.12905092592592593</v>
      </c>
      <c r="W6" s="10">
        <v>0.27430555555555552</v>
      </c>
      <c r="X6" s="10">
        <v>0.30208333333333331</v>
      </c>
      <c r="Y6" s="470">
        <v>0</v>
      </c>
      <c r="Z6" s="471"/>
      <c r="AA6" s="13"/>
      <c r="AB6" s="13"/>
      <c r="AC6" s="13"/>
    </row>
    <row r="7" spans="1:29" ht="13.35" customHeight="1" thickBot="1">
      <c r="J7" s="401"/>
      <c r="K7" s="402"/>
      <c r="R7" s="467" t="s">
        <v>16</v>
      </c>
      <c r="S7" s="468">
        <v>17</v>
      </c>
      <c r="T7" s="469">
        <v>17.399999999999999</v>
      </c>
      <c r="U7" s="9">
        <v>0</v>
      </c>
      <c r="V7" s="9">
        <v>0.13605324074074074</v>
      </c>
      <c r="W7" s="10">
        <v>0.27430555555555552</v>
      </c>
      <c r="X7" s="10">
        <v>0.30902777777777779</v>
      </c>
      <c r="Y7" s="470">
        <v>0</v>
      </c>
      <c r="Z7" s="471">
        <v>85</v>
      </c>
      <c r="AA7" s="13"/>
      <c r="AB7" s="13"/>
      <c r="AC7" s="13"/>
    </row>
    <row r="8" spans="1:29" ht="25.5" customHeight="1">
      <c r="B8" s="507" t="s">
        <v>17</v>
      </c>
      <c r="C8" s="516" t="s">
        <v>18</v>
      </c>
      <c r="D8" s="516" t="s">
        <v>19</v>
      </c>
      <c r="E8" s="356" t="s">
        <v>20</v>
      </c>
      <c r="F8" s="356" t="s">
        <v>21</v>
      </c>
      <c r="G8" s="516" t="s">
        <v>22</v>
      </c>
      <c r="H8" s="551" t="s">
        <v>144</v>
      </c>
      <c r="I8" s="516" t="s">
        <v>167</v>
      </c>
      <c r="J8" s="542" t="s">
        <v>23</v>
      </c>
      <c r="K8" s="544" t="s">
        <v>142</v>
      </c>
      <c r="L8" s="546" t="s">
        <v>24</v>
      </c>
      <c r="M8" s="359" t="s">
        <v>25</v>
      </c>
      <c r="N8" s="17" t="s">
        <v>166</v>
      </c>
      <c r="O8" s="516" t="s">
        <v>155</v>
      </c>
      <c r="P8" s="548"/>
      <c r="R8" s="467" t="s">
        <v>125</v>
      </c>
      <c r="S8" s="468">
        <v>16.600000000000001</v>
      </c>
      <c r="T8" s="469">
        <v>17</v>
      </c>
      <c r="U8" s="9">
        <v>0</v>
      </c>
      <c r="V8" s="9">
        <v>0.12905092592592593</v>
      </c>
      <c r="W8" s="10">
        <v>0.27430555555555552</v>
      </c>
      <c r="X8" s="10">
        <v>0.30208333333333331</v>
      </c>
      <c r="Y8" s="470">
        <v>0</v>
      </c>
      <c r="Z8" s="471"/>
    </row>
    <row r="9" spans="1:29" ht="36" customHeight="1">
      <c r="B9" s="550"/>
      <c r="C9" s="541"/>
      <c r="D9" s="541"/>
      <c r="E9" s="357" t="s">
        <v>30</v>
      </c>
      <c r="F9" s="357" t="s">
        <v>31</v>
      </c>
      <c r="G9" s="541"/>
      <c r="H9" s="552"/>
      <c r="I9" s="541"/>
      <c r="J9" s="543"/>
      <c r="K9" s="545"/>
      <c r="L9" s="547"/>
      <c r="M9" s="20" t="s">
        <v>32</v>
      </c>
      <c r="N9" s="21" t="s">
        <v>41</v>
      </c>
      <c r="O9" s="541"/>
      <c r="P9" s="541"/>
      <c r="R9" s="467" t="s">
        <v>33</v>
      </c>
      <c r="S9" s="468">
        <v>14.2</v>
      </c>
      <c r="T9" s="469">
        <v>14.6</v>
      </c>
      <c r="U9" s="9">
        <v>0</v>
      </c>
      <c r="V9" s="9">
        <v>0.13905092592592591</v>
      </c>
      <c r="W9" s="10">
        <v>0.26041666666666669</v>
      </c>
      <c r="X9" s="10">
        <v>0.2951388888888889</v>
      </c>
      <c r="Y9" s="470">
        <v>0</v>
      </c>
      <c r="Z9" s="471">
        <v>75</v>
      </c>
    </row>
    <row r="10" spans="1:29" ht="15" customHeight="1">
      <c r="B10" s="29" t="s">
        <v>6</v>
      </c>
      <c r="C10" s="366" t="str">
        <f>[4]Brewhouse!$A787</f>
        <v>CA738</v>
      </c>
      <c r="D10" s="279">
        <f>[4]Brewhouse!$AF787</f>
        <v>50.5</v>
      </c>
      <c r="E10" s="279">
        <f>[4]Brewhouse!$AI787</f>
        <v>51.2</v>
      </c>
      <c r="F10" s="278">
        <f>[4]Brewhouse!$V787</f>
        <v>60</v>
      </c>
      <c r="G10" s="279">
        <f>[4]Brewhouse!AG787</f>
        <v>11.8</v>
      </c>
      <c r="H10" s="493">
        <v>12.1</v>
      </c>
      <c r="I10" s="368">
        <f>[4]Brewhouse!$AU787</f>
        <v>99.81550952865841</v>
      </c>
      <c r="J10" s="368">
        <f>[4]Brewhouse!$AV787</f>
        <v>100.93931099334488</v>
      </c>
      <c r="K10" s="281">
        <f>[4]Brewhouse!$Q787</f>
        <v>10.203327171903888</v>
      </c>
      <c r="L10" s="276">
        <f>[4]Brewhouse!$P787</f>
        <v>60</v>
      </c>
      <c r="M10" s="374">
        <f>[4]Brewhouse!$U787-[4]Brewhouse!$T787</f>
        <v>0.11736111111111125</v>
      </c>
      <c r="N10" s="370">
        <f>[4]Brewhouse!$Z787</f>
        <v>0.45833333333333348</v>
      </c>
      <c r="O10" s="420" t="str">
        <f>[4]Brewhouse!$AX787</f>
        <v>R. Sookram</v>
      </c>
      <c r="P10" s="418"/>
      <c r="R10" s="277" t="str">
        <f t="shared" ref="R10:R26" si="0">B10</f>
        <v>CARIB</v>
      </c>
      <c r="S10" s="472">
        <f t="shared" ref="S10:S26" si="1">VLOOKUP($B10,$R$3:$X$9,2,FALSE)</f>
        <v>11.6</v>
      </c>
      <c r="T10" s="472">
        <f t="shared" ref="T10:T26" si="2">VLOOKUP($B10,$R$3:$X$9,3,FALSE)</f>
        <v>12</v>
      </c>
      <c r="U10" s="297">
        <f t="shared" ref="U10:U26" si="3">VLOOKUP($B10,$R$3:$X$9,4,FALSE)</f>
        <v>0</v>
      </c>
      <c r="V10" s="297">
        <f t="shared" ref="V10:V26" si="4">VLOOKUP($B10,$R$3:$X$9,5,FALSE)</f>
        <v>0.118055555555556</v>
      </c>
      <c r="W10" s="297">
        <f t="shared" ref="W10:W26" si="5">VLOOKUP($B10,$R$3:$X$9,6,FALSE)</f>
        <v>0.22569444444444445</v>
      </c>
      <c r="X10" s="297">
        <f t="shared" ref="X10:X26" si="6">VLOOKUP($B10,$R$3:$X$9,7,FALSE)</f>
        <v>0.2638888888888889</v>
      </c>
      <c r="Y10" s="297">
        <f t="shared" ref="Y10:Y26" si="7">VLOOKUP($B10,$R$3:$Z$9,8,FALSE)</f>
        <v>0</v>
      </c>
      <c r="Z10" s="472">
        <f t="shared" ref="Z10:Z26" si="8">VLOOKUP($B10,$R$3:$Z$9,9,FALSE)</f>
        <v>60</v>
      </c>
    </row>
    <row r="11" spans="1:29" ht="15" customHeight="1">
      <c r="B11" s="29"/>
      <c r="C11" s="366"/>
      <c r="D11" s="279"/>
      <c r="E11" s="279"/>
      <c r="F11" s="278"/>
      <c r="G11" s="279"/>
      <c r="H11" s="396"/>
      <c r="I11" s="368"/>
      <c r="J11" s="368"/>
      <c r="K11" s="281"/>
      <c r="L11" s="276"/>
      <c r="M11" s="374"/>
      <c r="N11" s="370"/>
      <c r="O11" s="420"/>
      <c r="P11" s="418"/>
      <c r="R11" s="277">
        <f t="shared" si="0"/>
        <v>0</v>
      </c>
      <c r="S11" s="472" t="e">
        <f t="shared" si="1"/>
        <v>#N/A</v>
      </c>
      <c r="T11" s="472" t="e">
        <f t="shared" si="2"/>
        <v>#N/A</v>
      </c>
      <c r="U11" s="297" t="e">
        <f t="shared" si="3"/>
        <v>#N/A</v>
      </c>
      <c r="V11" s="297" t="e">
        <f t="shared" si="4"/>
        <v>#N/A</v>
      </c>
      <c r="W11" s="297" t="e">
        <f t="shared" si="5"/>
        <v>#N/A</v>
      </c>
      <c r="X11" s="297" t="e">
        <f t="shared" si="6"/>
        <v>#N/A</v>
      </c>
      <c r="Y11" s="297" t="e">
        <f t="shared" si="7"/>
        <v>#N/A</v>
      </c>
      <c r="Z11" s="472" t="e">
        <f t="shared" si="8"/>
        <v>#N/A</v>
      </c>
    </row>
    <row r="12" spans="1:29" ht="15" customHeight="1">
      <c r="B12" s="36"/>
      <c r="C12" s="366"/>
      <c r="D12" s="279"/>
      <c r="E12" s="279"/>
      <c r="F12" s="278"/>
      <c r="G12" s="279"/>
      <c r="H12" s="396"/>
      <c r="I12" s="489"/>
      <c r="J12" s="489"/>
      <c r="K12" s="490"/>
      <c r="L12" s="276"/>
      <c r="M12" s="374"/>
      <c r="N12" s="370"/>
      <c r="O12" s="420"/>
      <c r="P12" s="418"/>
      <c r="R12" s="277">
        <f t="shared" si="0"/>
        <v>0</v>
      </c>
      <c r="S12" s="472" t="e">
        <f t="shared" si="1"/>
        <v>#N/A</v>
      </c>
      <c r="T12" s="472" t="e">
        <f t="shared" si="2"/>
        <v>#N/A</v>
      </c>
      <c r="U12" s="297" t="e">
        <f t="shared" si="3"/>
        <v>#N/A</v>
      </c>
      <c r="V12" s="297" t="e">
        <f t="shared" si="4"/>
        <v>#N/A</v>
      </c>
      <c r="W12" s="297" t="e">
        <f t="shared" si="5"/>
        <v>#N/A</v>
      </c>
      <c r="X12" s="297" t="e">
        <f t="shared" si="6"/>
        <v>#N/A</v>
      </c>
      <c r="Y12" s="297" t="e">
        <f t="shared" si="7"/>
        <v>#N/A</v>
      </c>
      <c r="Z12" s="472" t="e">
        <f t="shared" si="8"/>
        <v>#N/A</v>
      </c>
    </row>
    <row r="13" spans="1:29" ht="17.25" customHeight="1" thickBot="1">
      <c r="B13" s="358"/>
      <c r="C13" s="358"/>
      <c r="D13" s="358"/>
      <c r="E13" s="358"/>
      <c r="F13" s="294"/>
      <c r="G13" s="294"/>
      <c r="H13" s="348"/>
      <c r="I13" s="535"/>
      <c r="J13" s="535"/>
      <c r="K13" s="535"/>
      <c r="L13" s="535"/>
      <c r="M13" s="535"/>
      <c r="N13" s="535"/>
      <c r="O13" s="1"/>
      <c r="P13" s="12"/>
      <c r="R13" s="277">
        <f t="shared" si="0"/>
        <v>0</v>
      </c>
      <c r="S13" s="472" t="e">
        <f t="shared" si="1"/>
        <v>#N/A</v>
      </c>
      <c r="T13" s="472" t="e">
        <f t="shared" si="2"/>
        <v>#N/A</v>
      </c>
      <c r="U13" s="297" t="e">
        <f t="shared" si="3"/>
        <v>#N/A</v>
      </c>
      <c r="V13" s="297" t="e">
        <f t="shared" si="4"/>
        <v>#N/A</v>
      </c>
      <c r="W13" s="297" t="e">
        <f t="shared" si="5"/>
        <v>#N/A</v>
      </c>
      <c r="X13" s="297" t="e">
        <f t="shared" si="6"/>
        <v>#N/A</v>
      </c>
      <c r="Y13" s="297" t="e">
        <f t="shared" si="7"/>
        <v>#N/A</v>
      </c>
      <c r="Z13" s="472" t="e">
        <f t="shared" si="8"/>
        <v>#N/A</v>
      </c>
    </row>
    <row r="14" spans="1:29" ht="17.25" customHeight="1" thickBot="1">
      <c r="B14" s="483" t="s">
        <v>162</v>
      </c>
      <c r="C14" s="388"/>
      <c r="D14" s="536" t="s">
        <v>35</v>
      </c>
      <c r="E14" s="537"/>
      <c r="F14" s="294"/>
      <c r="G14" s="294"/>
      <c r="H14" s="348"/>
      <c r="I14" s="24" t="s">
        <v>17</v>
      </c>
      <c r="J14" s="25"/>
      <c r="K14" s="26" t="s">
        <v>138</v>
      </c>
      <c r="L14" s="25" t="s">
        <v>37</v>
      </c>
      <c r="M14" s="25" t="s">
        <v>38</v>
      </c>
      <c r="N14" s="27" t="s">
        <v>39</v>
      </c>
      <c r="O14" s="294"/>
      <c r="P14" s="12"/>
      <c r="R14" s="277" t="str">
        <f t="shared" si="0"/>
        <v xml:space="preserve">BRAND </v>
      </c>
      <c r="S14" s="472" t="e">
        <f t="shared" si="1"/>
        <v>#N/A</v>
      </c>
      <c r="T14" s="472" t="e">
        <f t="shared" si="2"/>
        <v>#N/A</v>
      </c>
      <c r="U14" s="297" t="e">
        <f t="shared" si="3"/>
        <v>#N/A</v>
      </c>
      <c r="V14" s="297" t="e">
        <f t="shared" si="4"/>
        <v>#N/A</v>
      </c>
      <c r="W14" s="297" t="e">
        <f t="shared" si="5"/>
        <v>#N/A</v>
      </c>
      <c r="X14" s="297" t="e">
        <f t="shared" si="6"/>
        <v>#N/A</v>
      </c>
      <c r="Y14" s="297" t="e">
        <f t="shared" si="7"/>
        <v>#N/A</v>
      </c>
      <c r="Z14" s="472" t="e">
        <f t="shared" si="8"/>
        <v>#N/A</v>
      </c>
    </row>
    <row r="15" spans="1:29" ht="17.25" customHeight="1">
      <c r="A15" s="28"/>
      <c r="B15" s="538"/>
      <c r="C15" s="484"/>
      <c r="D15" s="523"/>
      <c r="E15" s="524"/>
      <c r="F15" s="294"/>
      <c r="G15" s="294"/>
      <c r="H15" s="348"/>
      <c r="I15" s="29" t="s">
        <v>6</v>
      </c>
      <c r="J15" s="323">
        <f>I10</f>
        <v>99.81550952865841</v>
      </c>
      <c r="K15" s="284">
        <f>COUNTA([4]Brewhouse!$A$696:$A$787)</f>
        <v>92</v>
      </c>
      <c r="L15" s="305">
        <f>AVERAGE([4]Brewhouse!$AU$696:$AU$787)</f>
        <v>98.654636111413424</v>
      </c>
      <c r="M15" s="305">
        <f>AVERAGE([4]Brewhouse!$AU$42:$AU$123,[4]Brewhouse!$AU$125:$AU$188,[4]Brewhouse!$AU$198:$AU$290,[4]Brewhouse!$AU$292:$AU$370,[4]Brewhouse!$AU$372:$AU$439,[4]Brewhouse!$AU$441:$AU$497,[4]Brewhouse!$AU$499:$AU$519,[4]Brewhouse!$AU$521:$AU$593,[4]Brewhouse!$AU$595:$AU$694,[4]Brewhouse!$AU$696:$AU$787)</f>
        <v>98.331613971610224</v>
      </c>
      <c r="N15" s="30">
        <v>98</v>
      </c>
      <c r="O15" s="11"/>
      <c r="P15" s="31"/>
      <c r="R15" s="277">
        <f t="shared" si="0"/>
        <v>0</v>
      </c>
      <c r="S15" s="472" t="e">
        <f t="shared" si="1"/>
        <v>#N/A</v>
      </c>
      <c r="T15" s="472" t="e">
        <f t="shared" si="2"/>
        <v>#N/A</v>
      </c>
      <c r="U15" s="297" t="e">
        <f t="shared" si="3"/>
        <v>#N/A</v>
      </c>
      <c r="V15" s="297" t="e">
        <f t="shared" si="4"/>
        <v>#N/A</v>
      </c>
      <c r="W15" s="297" t="e">
        <f t="shared" si="5"/>
        <v>#N/A</v>
      </c>
      <c r="X15" s="297" t="e">
        <f t="shared" si="6"/>
        <v>#N/A</v>
      </c>
      <c r="Y15" s="297" t="e">
        <f t="shared" si="7"/>
        <v>#N/A</v>
      </c>
      <c r="Z15" s="472" t="e">
        <f t="shared" si="8"/>
        <v>#N/A</v>
      </c>
    </row>
    <row r="16" spans="1:29" ht="15" customHeight="1">
      <c r="A16" s="28"/>
      <c r="B16" s="539"/>
      <c r="C16" s="362"/>
      <c r="D16" s="525"/>
      <c r="E16" s="526"/>
      <c r="F16" s="294"/>
      <c r="G16" s="294"/>
      <c r="H16" s="348"/>
      <c r="I16" s="33" t="s">
        <v>9</v>
      </c>
      <c r="J16" s="323"/>
      <c r="K16" s="284">
        <f>COUNTA([5]Brewhouse!$A$363:$A$380)</f>
        <v>18</v>
      </c>
      <c r="L16" s="302">
        <f>AVERAGE([5]Brewhouse!$AS$363:$AS$380)</f>
        <v>99.237321929974939</v>
      </c>
      <c r="M16" s="302">
        <f>AVERAGE([5]Brewhouse!$AS$52:$AS$81,[5]Brewhouse!$AS$83:$AS$124,[5]Brewhouse!$AS$134:$AS$177,[5]Brewhouse!$AS$22:$AS$179,[5]Brewhouse!$AS$214:$AS$249,[5]Brewhouse!$AS$252:$AS$293,[5]Brewhouse!$AS$295:$AS$325,[5]Brewhouse!$AS$327:$AS$361,[5]Brewhouse!$AS$363:$AS$380)</f>
        <v>98.280844420420635</v>
      </c>
      <c r="N16" s="30">
        <v>98</v>
      </c>
      <c r="O16" s="11"/>
      <c r="P16" s="31"/>
      <c r="R16" s="277">
        <f t="shared" si="0"/>
        <v>0</v>
      </c>
      <c r="S16" s="472" t="e">
        <f t="shared" si="1"/>
        <v>#N/A</v>
      </c>
      <c r="T16" s="472" t="e">
        <f t="shared" si="2"/>
        <v>#N/A</v>
      </c>
      <c r="U16" s="297" t="e">
        <f t="shared" si="3"/>
        <v>#N/A</v>
      </c>
      <c r="V16" s="297" t="e">
        <f t="shared" si="4"/>
        <v>#N/A</v>
      </c>
      <c r="W16" s="297" t="e">
        <f t="shared" si="5"/>
        <v>#N/A</v>
      </c>
      <c r="X16" s="297" t="e">
        <f t="shared" si="6"/>
        <v>#N/A</v>
      </c>
      <c r="Y16" s="297" t="e">
        <f t="shared" si="7"/>
        <v>#N/A</v>
      </c>
      <c r="Z16" s="472" t="e">
        <f t="shared" si="8"/>
        <v>#N/A</v>
      </c>
    </row>
    <row r="17" spans="1:27" ht="14.65" customHeight="1">
      <c r="A17" s="28"/>
      <c r="B17" s="539"/>
      <c r="C17" s="362"/>
      <c r="D17" s="530"/>
      <c r="E17" s="531"/>
      <c r="F17" s="294"/>
      <c r="G17" s="294"/>
      <c r="H17" s="348"/>
      <c r="I17" s="34" t="s">
        <v>12</v>
      </c>
      <c r="J17" s="323"/>
      <c r="K17" s="284">
        <f>COUNTA([6]Brewhouse!$A$99:$A$106)</f>
        <v>8</v>
      </c>
      <c r="L17" s="302">
        <f>AVERAGE([6]Brewhouse!$AU$99:$AU$106)</f>
        <v>96.462109124412379</v>
      </c>
      <c r="M17" s="302">
        <f>AVERAGE([6]Brewhouse!$AU$16:$AU$23,[6]Brewhouse!$AU$25:$AU$32,[6]Brewhouse!$AU$34:$AU$41,[6]Brewhouse!$AU$43:$AU$60,[6]Brewhouse!$AU$62:$AU$69,[6]Brewhouse!$AU$71:$AU$88,[6]Brewhouse!$AU$90:$AU$97,[6]Brewhouse!$AU$99:$AU$106)</f>
        <v>96.498355980821032</v>
      </c>
      <c r="N17" s="30">
        <v>98</v>
      </c>
      <c r="O17" s="11"/>
      <c r="P17" s="31"/>
      <c r="R17" s="277">
        <f t="shared" si="0"/>
        <v>0</v>
      </c>
      <c r="S17" s="472" t="e">
        <f t="shared" si="1"/>
        <v>#N/A</v>
      </c>
      <c r="T17" s="472" t="e">
        <f t="shared" si="2"/>
        <v>#N/A</v>
      </c>
      <c r="U17" s="297" t="e">
        <f t="shared" si="3"/>
        <v>#N/A</v>
      </c>
      <c r="V17" s="297" t="e">
        <f t="shared" si="4"/>
        <v>#N/A</v>
      </c>
      <c r="W17" s="297" t="e">
        <f t="shared" si="5"/>
        <v>#N/A</v>
      </c>
      <c r="X17" s="297" t="e">
        <f t="shared" si="6"/>
        <v>#N/A</v>
      </c>
      <c r="Y17" s="297" t="e">
        <f t="shared" si="7"/>
        <v>#N/A</v>
      </c>
      <c r="Z17" s="472" t="e">
        <f t="shared" si="8"/>
        <v>#N/A</v>
      </c>
    </row>
    <row r="18" spans="1:27" ht="14.65" customHeight="1">
      <c r="A18" s="28"/>
      <c r="B18" s="539"/>
      <c r="C18" s="362"/>
      <c r="D18" s="532"/>
      <c r="E18" s="526"/>
      <c r="F18" s="294"/>
      <c r="G18" s="294"/>
      <c r="H18" s="348"/>
      <c r="I18" s="22" t="s">
        <v>33</v>
      </c>
      <c r="J18" s="280"/>
      <c r="K18" s="284"/>
      <c r="L18" s="302"/>
      <c r="M18" s="302">
        <f>AVERAGE([7]Brewhouse!$AV$23:$AV$34,[7]Brewhouse!$AV$36,[7]Brewhouse!$AV$38:$AV$52,[7]Brewhouse!$AV$54:$AV$60,[7]Brewhouse!$AV$62:$AV$69,[7]Brewhouse!$AV$71:$AV$78,[7]Brewhouse!$AV$80:$AV$87,[7]Brewhouse!$AV$89:$AV$96)</f>
        <v>97.559547139003357</v>
      </c>
      <c r="N18" s="30">
        <v>98</v>
      </c>
      <c r="O18" s="11"/>
      <c r="P18" s="31"/>
      <c r="R18" s="277">
        <f t="shared" si="0"/>
        <v>0</v>
      </c>
      <c r="S18" s="472" t="e">
        <f t="shared" si="1"/>
        <v>#N/A</v>
      </c>
      <c r="T18" s="472" t="e">
        <f t="shared" si="2"/>
        <v>#N/A</v>
      </c>
      <c r="U18" s="297" t="e">
        <f t="shared" si="3"/>
        <v>#N/A</v>
      </c>
      <c r="V18" s="297" t="e">
        <f t="shared" si="4"/>
        <v>#N/A</v>
      </c>
      <c r="W18" s="297" t="e">
        <f t="shared" si="5"/>
        <v>#N/A</v>
      </c>
      <c r="X18" s="297" t="e">
        <f t="shared" si="6"/>
        <v>#N/A</v>
      </c>
      <c r="Y18" s="297" t="e">
        <f t="shared" si="7"/>
        <v>#N/A</v>
      </c>
      <c r="Z18" s="472" t="e">
        <f t="shared" si="8"/>
        <v>#N/A</v>
      </c>
    </row>
    <row r="19" spans="1:27" ht="14.65" customHeight="1">
      <c r="A19" s="28"/>
      <c r="B19" s="539"/>
      <c r="C19" s="362"/>
      <c r="D19" s="530"/>
      <c r="E19" s="531"/>
      <c r="F19" s="294"/>
      <c r="G19" s="294"/>
      <c r="H19" s="348"/>
      <c r="I19" s="35" t="s">
        <v>29</v>
      </c>
      <c r="J19" s="280"/>
      <c r="K19" s="284"/>
      <c r="L19" s="302"/>
      <c r="M19" s="302"/>
      <c r="N19" s="30">
        <v>98</v>
      </c>
      <c r="O19" s="11"/>
      <c r="P19" s="31"/>
      <c r="R19" s="277">
        <f t="shared" si="0"/>
        <v>0</v>
      </c>
      <c r="S19" s="472" t="e">
        <f t="shared" si="1"/>
        <v>#N/A</v>
      </c>
      <c r="T19" s="472" t="e">
        <f t="shared" si="2"/>
        <v>#N/A</v>
      </c>
      <c r="U19" s="297" t="e">
        <f t="shared" si="3"/>
        <v>#N/A</v>
      </c>
      <c r="V19" s="297" t="e">
        <f t="shared" si="4"/>
        <v>#N/A</v>
      </c>
      <c r="W19" s="297" t="e">
        <f t="shared" si="5"/>
        <v>#N/A</v>
      </c>
      <c r="X19" s="297" t="e">
        <f t="shared" si="6"/>
        <v>#N/A</v>
      </c>
      <c r="Y19" s="297" t="e">
        <f t="shared" si="7"/>
        <v>#N/A</v>
      </c>
      <c r="Z19" s="472" t="e">
        <f t="shared" si="8"/>
        <v>#N/A</v>
      </c>
    </row>
    <row r="20" spans="1:27" ht="14.65" customHeight="1">
      <c r="A20" s="28"/>
      <c r="B20" s="539"/>
      <c r="C20" s="362"/>
      <c r="D20" s="532"/>
      <c r="E20" s="526"/>
      <c r="F20" s="417"/>
      <c r="G20" s="294"/>
      <c r="H20" s="348"/>
      <c r="I20" s="36" t="s">
        <v>15</v>
      </c>
      <c r="J20" s="323"/>
      <c r="K20" s="284">
        <f>COUNTA([8]Brewhouse!$A$23:$A$30)</f>
        <v>8</v>
      </c>
      <c r="L20" s="302">
        <f>AVERAGE([8]Brewhouse!$AT$23:$AT$30)</f>
        <v>96.065914782338609</v>
      </c>
      <c r="M20" s="302">
        <f>AVERAGE([8]Brewhouse!$AT$4:$AT$11,[8]Brewhouse!$AT$13:$AT$16,[8]Brewhouse!$AT$18:$AT$30)</f>
        <v>93.22262799886262</v>
      </c>
      <c r="N20" s="30">
        <v>98</v>
      </c>
      <c r="O20" s="11"/>
      <c r="P20" s="31"/>
      <c r="R20" s="277">
        <f t="shared" si="0"/>
        <v>0</v>
      </c>
      <c r="S20" s="472" t="e">
        <f t="shared" si="1"/>
        <v>#N/A</v>
      </c>
      <c r="T20" s="472" t="e">
        <f t="shared" si="2"/>
        <v>#N/A</v>
      </c>
      <c r="U20" s="297" t="e">
        <f t="shared" si="3"/>
        <v>#N/A</v>
      </c>
      <c r="V20" s="297" t="e">
        <f t="shared" si="4"/>
        <v>#N/A</v>
      </c>
      <c r="W20" s="297" t="e">
        <f t="shared" si="5"/>
        <v>#N/A</v>
      </c>
      <c r="X20" s="297" t="e">
        <f t="shared" si="6"/>
        <v>#N/A</v>
      </c>
      <c r="Y20" s="297" t="e">
        <f t="shared" si="7"/>
        <v>#N/A</v>
      </c>
      <c r="Z20" s="472" t="e">
        <f t="shared" si="8"/>
        <v>#N/A</v>
      </c>
    </row>
    <row r="21" spans="1:27" ht="14.65" customHeight="1">
      <c r="A21" s="28"/>
      <c r="B21" s="539"/>
      <c r="C21" s="362"/>
      <c r="D21" s="530"/>
      <c r="E21" s="531"/>
      <c r="F21" s="417"/>
      <c r="G21" s="294"/>
      <c r="H21" s="348"/>
      <c r="I21" s="37" t="s">
        <v>16</v>
      </c>
      <c r="J21" s="323"/>
      <c r="K21" s="284"/>
      <c r="L21" s="302"/>
      <c r="M21" s="302">
        <f>AVERAGE([3]Brewhouse!$AY$5:$AY$14,[3]Brewhouse!$AY$16:$AY$23,[3]Brewhouse!$AY$42,[3]Brewhouse!$AY$44:$AY$51,[3]Brewhouse!$AY$53:$AY$64,[3]Brewhouse!$AY$66:$AY$73,[3]Brewhouse!$AY$75:$AY$82,[3]Brewhouse!$AY$84:$AY$101)</f>
        <v>97.784660430003186</v>
      </c>
      <c r="N21" s="30">
        <v>98</v>
      </c>
      <c r="O21" s="11"/>
      <c r="P21" s="31" t="s">
        <v>41</v>
      </c>
      <c r="R21" s="277">
        <f t="shared" si="0"/>
        <v>0</v>
      </c>
      <c r="S21" s="472" t="e">
        <f t="shared" si="1"/>
        <v>#N/A</v>
      </c>
      <c r="T21" s="472" t="e">
        <f t="shared" si="2"/>
        <v>#N/A</v>
      </c>
      <c r="U21" s="297" t="e">
        <f t="shared" si="3"/>
        <v>#N/A</v>
      </c>
      <c r="V21" s="297" t="e">
        <f t="shared" si="4"/>
        <v>#N/A</v>
      </c>
      <c r="W21" s="297" t="e">
        <f t="shared" si="5"/>
        <v>#N/A</v>
      </c>
      <c r="X21" s="297" t="e">
        <f t="shared" si="6"/>
        <v>#N/A</v>
      </c>
      <c r="Y21" s="297" t="e">
        <f t="shared" si="7"/>
        <v>#N/A</v>
      </c>
      <c r="Z21" s="472" t="e">
        <f t="shared" si="8"/>
        <v>#N/A</v>
      </c>
    </row>
    <row r="22" spans="1:27" ht="14.65" customHeight="1">
      <c r="A22" s="28"/>
      <c r="B22" s="539"/>
      <c r="C22" s="362"/>
      <c r="D22" s="532"/>
      <c r="E22" s="526"/>
      <c r="F22" s="294"/>
      <c r="G22" s="294"/>
      <c r="H22" s="348"/>
      <c r="I22" s="411" t="s">
        <v>158</v>
      </c>
      <c r="J22" s="326"/>
      <c r="K22" s="284"/>
      <c r="L22" s="305"/>
      <c r="M22" s="305"/>
      <c r="N22" s="30">
        <v>98</v>
      </c>
      <c r="O22" s="11"/>
      <c r="P22" s="31"/>
      <c r="R22" s="277">
        <f t="shared" si="0"/>
        <v>0</v>
      </c>
      <c r="S22" s="472" t="e">
        <f t="shared" si="1"/>
        <v>#N/A</v>
      </c>
      <c r="T22" s="472" t="e">
        <f t="shared" si="2"/>
        <v>#N/A</v>
      </c>
      <c r="U22" s="297" t="e">
        <f t="shared" si="3"/>
        <v>#N/A</v>
      </c>
      <c r="V22" s="297" t="e">
        <f t="shared" si="4"/>
        <v>#N/A</v>
      </c>
      <c r="W22" s="297" t="e">
        <f t="shared" si="5"/>
        <v>#N/A</v>
      </c>
      <c r="X22" s="297" t="e">
        <f t="shared" si="6"/>
        <v>#N/A</v>
      </c>
      <c r="Y22" s="297" t="e">
        <f t="shared" si="7"/>
        <v>#N/A</v>
      </c>
      <c r="Z22" s="472" t="e">
        <f t="shared" si="8"/>
        <v>#N/A</v>
      </c>
    </row>
    <row r="23" spans="1:27" ht="14.65" customHeight="1">
      <c r="A23" s="28"/>
      <c r="B23" s="539"/>
      <c r="C23" s="362"/>
      <c r="D23" s="530"/>
      <c r="E23" s="531"/>
      <c r="F23" s="294"/>
      <c r="G23" s="294"/>
      <c r="H23" s="348"/>
      <c r="I23" s="410" t="s">
        <v>157</v>
      </c>
      <c r="J23" s="326"/>
      <c r="K23" s="284"/>
      <c r="L23" s="305"/>
      <c r="M23" s="305"/>
      <c r="N23" s="30">
        <v>98</v>
      </c>
      <c r="O23" s="11"/>
      <c r="P23" s="31"/>
      <c r="R23" s="277">
        <f t="shared" si="0"/>
        <v>0</v>
      </c>
      <c r="S23" s="472" t="e">
        <f t="shared" si="1"/>
        <v>#N/A</v>
      </c>
      <c r="T23" s="472" t="e">
        <f t="shared" si="2"/>
        <v>#N/A</v>
      </c>
      <c r="U23" s="297" t="e">
        <f t="shared" si="3"/>
        <v>#N/A</v>
      </c>
      <c r="V23" s="297" t="e">
        <f t="shared" si="4"/>
        <v>#N/A</v>
      </c>
      <c r="W23" s="297" t="e">
        <f t="shared" si="5"/>
        <v>#N/A</v>
      </c>
      <c r="X23" s="297" t="e">
        <f t="shared" si="6"/>
        <v>#N/A</v>
      </c>
      <c r="Y23" s="297" t="e">
        <f t="shared" si="7"/>
        <v>#N/A</v>
      </c>
      <c r="Z23" s="472" t="e">
        <f t="shared" si="8"/>
        <v>#N/A</v>
      </c>
      <c r="AA23" s="472"/>
    </row>
    <row r="24" spans="1:27" ht="15" customHeight="1" thickBot="1">
      <c r="A24" s="28"/>
      <c r="B24" s="539"/>
      <c r="C24" s="362"/>
      <c r="D24" s="532"/>
      <c r="E24" s="526"/>
      <c r="F24" s="294"/>
      <c r="G24" s="294"/>
      <c r="H24" s="348"/>
      <c r="I24" s="406" t="s">
        <v>156</v>
      </c>
      <c r="J24" s="327"/>
      <c r="K24" s="407"/>
      <c r="L24" s="408"/>
      <c r="M24" s="408"/>
      <c r="N24" s="409">
        <v>98</v>
      </c>
      <c r="O24" s="11"/>
      <c r="P24" s="31"/>
      <c r="R24" s="277">
        <f t="shared" si="0"/>
        <v>0</v>
      </c>
      <c r="S24" s="472" t="e">
        <f t="shared" si="1"/>
        <v>#N/A</v>
      </c>
      <c r="T24" s="472" t="e">
        <f t="shared" si="2"/>
        <v>#N/A</v>
      </c>
      <c r="U24" s="297" t="e">
        <f t="shared" si="3"/>
        <v>#N/A</v>
      </c>
      <c r="V24" s="297" t="e">
        <f t="shared" si="4"/>
        <v>#N/A</v>
      </c>
      <c r="W24" s="297" t="e">
        <f t="shared" si="5"/>
        <v>#N/A</v>
      </c>
      <c r="X24" s="297" t="e">
        <f t="shared" si="6"/>
        <v>#N/A</v>
      </c>
      <c r="Y24" s="297" t="e">
        <f t="shared" si="7"/>
        <v>#N/A</v>
      </c>
      <c r="Z24" s="472" t="e">
        <f t="shared" si="8"/>
        <v>#N/A</v>
      </c>
      <c r="AA24" s="472"/>
    </row>
    <row r="25" spans="1:27" ht="15" customHeight="1" thickBot="1">
      <c r="A25" s="28"/>
      <c r="B25" s="539"/>
      <c r="C25" s="349"/>
      <c r="D25" s="523"/>
      <c r="E25" s="524"/>
      <c r="F25" s="294"/>
      <c r="G25" s="294"/>
      <c r="H25" s="348"/>
      <c r="I25" s="1"/>
      <c r="J25" s="39"/>
      <c r="K25" s="404">
        <f>SUM(K15:K24)</f>
        <v>126</v>
      </c>
      <c r="L25" s="405">
        <f>((L15*K15)+(L16*K16)+(L17*K17)+(L18*K18)+(L19*K19)+(K22*L22)+(L20*K20)+(L21*K21)+(L24*K24))/(K25)</f>
        <v>98.434305620980879</v>
      </c>
      <c r="M25" s="405">
        <f>AVERAGE('[9]Jan30th-31st'!$L$42,'[10]Feb 27th-28th'!$L$45,'[11]Mar 31st'!$L$42,'[12]Apr 30th'!$L$41,'[13]May 29th '!$L$35,'[14]June 30th'!$L$32,[15]July31st!$L$36,'[16]Aug 31st'!$L$32,L25)</f>
        <v>98.039765446515062</v>
      </c>
      <c r="N25" s="40">
        <v>98</v>
      </c>
      <c r="O25" s="11"/>
      <c r="P25" s="31"/>
      <c r="R25" s="277">
        <f t="shared" si="0"/>
        <v>0</v>
      </c>
      <c r="S25" s="472" t="e">
        <f t="shared" si="1"/>
        <v>#N/A</v>
      </c>
      <c r="T25" s="472" t="e">
        <f t="shared" si="2"/>
        <v>#N/A</v>
      </c>
      <c r="U25" s="297" t="e">
        <f t="shared" si="3"/>
        <v>#N/A</v>
      </c>
      <c r="V25" s="297" t="e">
        <f t="shared" si="4"/>
        <v>#N/A</v>
      </c>
      <c r="W25" s="297" t="e">
        <f t="shared" si="5"/>
        <v>#N/A</v>
      </c>
      <c r="X25" s="297" t="e">
        <f t="shared" si="6"/>
        <v>#N/A</v>
      </c>
      <c r="Y25" s="297" t="e">
        <f t="shared" si="7"/>
        <v>#N/A</v>
      </c>
      <c r="Z25" s="472" t="e">
        <f t="shared" si="8"/>
        <v>#N/A</v>
      </c>
      <c r="AA25" s="472"/>
    </row>
    <row r="26" spans="1:27" ht="15.75" thickBot="1">
      <c r="B26" s="540"/>
      <c r="C26" s="350"/>
      <c r="D26" s="525"/>
      <c r="E26" s="526"/>
      <c r="F26" s="294"/>
      <c r="G26" s="42"/>
      <c r="H26" s="41"/>
      <c r="I26" s="42"/>
      <c r="J26" s="42"/>
      <c r="K26" s="351"/>
      <c r="L26" s="348"/>
      <c r="M26" s="348"/>
      <c r="N26" s="11"/>
      <c r="O26" s="294"/>
      <c r="P26" s="12"/>
      <c r="R26" s="277">
        <f t="shared" si="0"/>
        <v>0</v>
      </c>
      <c r="S26" s="472" t="e">
        <f t="shared" si="1"/>
        <v>#N/A</v>
      </c>
      <c r="T26" s="472" t="e">
        <f t="shared" si="2"/>
        <v>#N/A</v>
      </c>
      <c r="U26" s="297" t="e">
        <f t="shared" si="3"/>
        <v>#N/A</v>
      </c>
      <c r="V26" s="297" t="e">
        <f t="shared" si="4"/>
        <v>#N/A</v>
      </c>
      <c r="W26" s="297" t="e">
        <f t="shared" si="5"/>
        <v>#N/A</v>
      </c>
      <c r="X26" s="297" t="e">
        <f t="shared" si="6"/>
        <v>#N/A</v>
      </c>
      <c r="Y26" s="297" t="e">
        <f t="shared" si="7"/>
        <v>#N/A</v>
      </c>
      <c r="Z26" s="472" t="e">
        <f t="shared" si="8"/>
        <v>#N/A</v>
      </c>
      <c r="AA26" s="472"/>
    </row>
    <row r="27" spans="1:27" ht="15.75" thickBot="1">
      <c r="B27" s="520"/>
      <c r="C27" s="362"/>
      <c r="D27" s="523"/>
      <c r="E27" s="524"/>
      <c r="F27" s="294"/>
      <c r="G27" s="42"/>
      <c r="H27" s="41"/>
      <c r="I27" s="42"/>
      <c r="J27" s="527" t="s">
        <v>129</v>
      </c>
      <c r="K27" s="527"/>
      <c r="L27" s="294"/>
      <c r="M27" s="294"/>
      <c r="N27" s="294"/>
      <c r="O27" s="294"/>
      <c r="P27" s="12"/>
    </row>
    <row r="28" spans="1:27" ht="15.75" thickBot="1">
      <c r="B28" s="521"/>
      <c r="C28" s="362"/>
      <c r="D28" s="525"/>
      <c r="E28" s="526"/>
      <c r="F28" s="294"/>
      <c r="G28" s="42"/>
      <c r="H28" s="42"/>
      <c r="I28" s="42"/>
      <c r="J28" s="292" t="s">
        <v>17</v>
      </c>
      <c r="K28" s="293"/>
      <c r="L28" s="528" t="s">
        <v>136</v>
      </c>
      <c r="M28" s="528"/>
      <c r="N28" s="529"/>
      <c r="O28" s="294"/>
      <c r="P28" s="12"/>
    </row>
    <row r="29" spans="1:27" ht="15" customHeight="1" thickBot="1">
      <c r="B29" s="521"/>
      <c r="C29" s="349"/>
      <c r="D29" s="530"/>
      <c r="E29" s="531"/>
      <c r="F29" s="294"/>
      <c r="G29" s="42"/>
      <c r="H29" s="42"/>
      <c r="I29" s="42"/>
      <c r="J29" s="287" t="s">
        <v>6</v>
      </c>
      <c r="K29" s="324">
        <v>1</v>
      </c>
      <c r="L29" s="473" t="s">
        <v>37</v>
      </c>
      <c r="M29" s="474" t="s">
        <v>38</v>
      </c>
      <c r="N29" s="474" t="s">
        <v>84</v>
      </c>
      <c r="O29" s="294"/>
      <c r="P29" s="12"/>
    </row>
    <row r="30" spans="1:27" ht="15.75" customHeight="1" thickBot="1">
      <c r="B30" s="521"/>
      <c r="C30" s="349"/>
      <c r="D30" s="532"/>
      <c r="E30" s="526"/>
      <c r="F30" s="294"/>
      <c r="G30" s="42"/>
      <c r="H30" s="42"/>
      <c r="I30" s="42"/>
      <c r="J30" s="345" t="s">
        <v>9</v>
      </c>
      <c r="K30" s="324"/>
      <c r="L30" s="485">
        <f>AVERAGE('Sept 1st'!K45,'Sept 2nd'!K47,'Sept 3rd'!K44,'Sept 4th'!K46,'Sept 7th'!K48,'Sept 8th'!K48,'Sept 9th'!K50,'Sept 10th'!K49,'Sept 11th '!K45,'Sept 14th'!K45,'Sept 15th'!K48,'Sept 16th'!K51,'Sept 17th '!K52,'Sept 18th'!K42,'Sept 21st'!K48,'Sept 22nd'!K46,'Sept 23rd '!K51,'Sept 24th'!K49,K39)</f>
        <v>6.6315789473684212</v>
      </c>
      <c r="M30" s="486">
        <f>AVERAGE('[9]Jan30th-31st'!$L$47,L30,'[10]Feb 26th '!$L$39,'[11]Mar 31st'!$L$47,'[12]Apr 30th'!$L$46,'[13]May 29th '!$L$40,'[14]June 30th'!$L$39,[15]July31st!$L$41,'[16]Aug 31st'!$L$37)</f>
        <v>6.4746313691393782</v>
      </c>
      <c r="N30" s="416">
        <v>9.1999999999999993</v>
      </c>
      <c r="O30" s="294"/>
      <c r="P30" s="12"/>
    </row>
    <row r="31" spans="1:27" ht="15" customHeight="1">
      <c r="B31" s="521"/>
      <c r="C31" s="349"/>
      <c r="D31" s="530"/>
      <c r="E31" s="531"/>
      <c r="F31" s="294"/>
      <c r="G31" s="42"/>
      <c r="H31" s="42"/>
      <c r="I31" s="42"/>
      <c r="J31" s="288" t="s">
        <v>40</v>
      </c>
      <c r="K31" s="324"/>
      <c r="L31" s="294"/>
      <c r="M31" s="294"/>
      <c r="N31" s="294"/>
      <c r="O31" s="294"/>
      <c r="P31" s="12"/>
    </row>
    <row r="32" spans="1:27" ht="15" customHeight="1">
      <c r="B32" s="521"/>
      <c r="C32" s="349"/>
      <c r="D32" s="532"/>
      <c r="E32" s="526"/>
      <c r="F32" s="294"/>
      <c r="G32" s="42"/>
      <c r="H32" s="42"/>
      <c r="I32" s="42"/>
      <c r="J32" s="289" t="s">
        <v>33</v>
      </c>
      <c r="K32" s="324"/>
      <c r="L32" s="294"/>
      <c r="M32" s="294"/>
      <c r="N32" s="294"/>
      <c r="O32" s="294"/>
      <c r="P32" s="12"/>
    </row>
    <row r="33" spans="2:57" ht="15">
      <c r="B33" s="521"/>
      <c r="C33" s="349"/>
      <c r="D33" s="530"/>
      <c r="E33" s="531"/>
      <c r="F33" s="294"/>
      <c r="G33" s="42"/>
      <c r="H33" s="42"/>
      <c r="I33" s="42"/>
      <c r="J33" s="290" t="s">
        <v>16</v>
      </c>
      <c r="K33" s="324"/>
      <c r="L33" s="294"/>
      <c r="M33" s="294"/>
      <c r="N33" s="294"/>
      <c r="O33" s="294"/>
      <c r="P33" s="12"/>
      <c r="BC33" s="44"/>
      <c r="BD33" s="44"/>
    </row>
    <row r="34" spans="2:57" ht="15">
      <c r="B34" s="521"/>
      <c r="C34" s="349"/>
      <c r="D34" s="532"/>
      <c r="E34" s="526"/>
      <c r="F34" s="294"/>
      <c r="G34" s="42"/>
      <c r="H34" s="42"/>
      <c r="I34" s="42"/>
      <c r="J34" s="291" t="s">
        <v>15</v>
      </c>
      <c r="K34" s="324"/>
      <c r="L34" s="294"/>
      <c r="M34" s="294"/>
      <c r="N34" s="294"/>
      <c r="O34" s="294"/>
      <c r="P34" s="12"/>
      <c r="BC34" s="44"/>
      <c r="BD34" s="44"/>
    </row>
    <row r="35" spans="2:57" ht="15">
      <c r="B35" s="521"/>
      <c r="C35" s="349"/>
      <c r="D35" s="530"/>
      <c r="E35" s="531"/>
      <c r="F35" s="294"/>
      <c r="G35" s="42"/>
      <c r="H35" s="42"/>
      <c r="I35" s="42"/>
      <c r="J35" s="291" t="s">
        <v>149</v>
      </c>
      <c r="K35" s="324"/>
      <c r="L35" s="294"/>
      <c r="M35" s="294"/>
      <c r="N35" s="294"/>
      <c r="O35" s="294"/>
      <c r="P35" s="12"/>
      <c r="BC35" s="44"/>
      <c r="BD35" s="44"/>
    </row>
    <row r="36" spans="2:57" ht="15.75" thickBot="1">
      <c r="B36" s="522"/>
      <c r="C36" s="350"/>
      <c r="D36" s="533"/>
      <c r="E36" s="534"/>
      <c r="F36" s="294" t="s">
        <v>165</v>
      </c>
      <c r="G36" s="42"/>
      <c r="H36" s="42"/>
      <c r="I36" s="42"/>
      <c r="J36" s="291" t="s">
        <v>148</v>
      </c>
      <c r="K36" s="324"/>
      <c r="L36" s="294"/>
      <c r="M36" s="294"/>
      <c r="N36" s="294" t="s">
        <v>41</v>
      </c>
      <c r="O36" s="294"/>
      <c r="P36" s="12"/>
      <c r="BC36" s="44"/>
      <c r="BD36" s="44"/>
    </row>
    <row r="37" spans="2:57" ht="17.649999999999999" customHeight="1" thickBot="1">
      <c r="B37" s="312" t="s">
        <v>139</v>
      </c>
      <c r="C37" s="313"/>
      <c r="D37" s="511"/>
      <c r="E37" s="512"/>
      <c r="F37" s="294"/>
      <c r="J37" s="295" t="s">
        <v>134</v>
      </c>
      <c r="K37" s="324"/>
      <c r="L37" s="294"/>
      <c r="M37" s="294"/>
      <c r="N37" s="294"/>
      <c r="O37" s="294"/>
      <c r="P37" s="12"/>
      <c r="BC37" s="44"/>
      <c r="BD37" s="44"/>
    </row>
    <row r="38" spans="2:57" ht="17.649999999999999" customHeight="1">
      <c r="B38" s="363"/>
      <c r="C38" s="364"/>
      <c r="D38" s="365"/>
      <c r="E38" s="365"/>
      <c r="F38" s="294"/>
      <c r="G38" s="42"/>
      <c r="H38" s="42"/>
      <c r="I38" s="42"/>
      <c r="J38" s="295" t="s">
        <v>131</v>
      </c>
      <c r="K38" s="324"/>
      <c r="L38" s="294"/>
      <c r="M38" s="294"/>
      <c r="N38" s="294"/>
      <c r="O38" s="294"/>
      <c r="P38" s="12"/>
      <c r="BC38" s="44"/>
      <c r="BD38" s="44"/>
    </row>
    <row r="39" spans="2:57" ht="15.6" customHeight="1">
      <c r="B39" s="45"/>
      <c r="C39" s="11"/>
      <c r="D39" s="11"/>
      <c r="E39" s="46"/>
      <c r="F39" s="294"/>
      <c r="G39" s="42"/>
      <c r="H39" s="42"/>
      <c r="I39" s="42"/>
      <c r="J39" s="346" t="s">
        <v>130</v>
      </c>
      <c r="K39" s="324">
        <f>SUM(K29:K38)</f>
        <v>1</v>
      </c>
      <c r="L39" s="294"/>
      <c r="M39" s="294"/>
      <c r="N39" s="294"/>
      <c r="O39" s="294"/>
      <c r="P39" s="12"/>
    </row>
    <row r="40" spans="2:57" ht="20.25" customHeight="1">
      <c r="B40" s="15" t="s">
        <v>42</v>
      </c>
      <c r="C40" s="1" t="s">
        <v>43</v>
      </c>
      <c r="D40" s="1"/>
      <c r="E40" s="1"/>
      <c r="F40" s="294"/>
      <c r="G40" s="42"/>
      <c r="H40" s="41"/>
      <c r="I40" s="42"/>
      <c r="L40" s="42"/>
      <c r="N40" s="315"/>
      <c r="P40" s="334"/>
    </row>
    <row r="41" spans="2:57" ht="15" customHeight="1" thickBot="1">
      <c r="B41" s="48"/>
      <c r="C41" s="48"/>
      <c r="D41" s="48"/>
      <c r="E41" s="48"/>
      <c r="F41" s="48"/>
      <c r="G41" s="48"/>
      <c r="H41" s="48"/>
      <c r="I41" s="48"/>
      <c r="J41" s="48"/>
      <c r="K41" s="48"/>
      <c r="L41" s="48"/>
      <c r="M41" s="48"/>
      <c r="N41" s="41"/>
      <c r="O41" s="48"/>
      <c r="P41" s="49"/>
    </row>
    <row r="42" spans="2:57" ht="15" customHeight="1" thickBot="1">
      <c r="B42" s="505" t="s">
        <v>17</v>
      </c>
      <c r="C42" s="505" t="s">
        <v>44</v>
      </c>
      <c r="D42" s="514" t="s">
        <v>45</v>
      </c>
      <c r="E42" s="516" t="s">
        <v>46</v>
      </c>
      <c r="F42" s="518" t="s">
        <v>47</v>
      </c>
      <c r="G42" s="503" t="s">
        <v>48</v>
      </c>
      <c r="H42" s="505" t="s">
        <v>49</v>
      </c>
      <c r="I42" s="505" t="s">
        <v>50</v>
      </c>
      <c r="J42" s="497" t="s">
        <v>28</v>
      </c>
      <c r="K42" s="507" t="s">
        <v>51</v>
      </c>
      <c r="L42" s="509" t="s">
        <v>52</v>
      </c>
      <c r="M42" s="497" t="s">
        <v>53</v>
      </c>
      <c r="N42" s="13"/>
      <c r="O42" s="13"/>
      <c r="P42" s="50"/>
    </row>
    <row r="43" spans="2:57" ht="28.5" customHeight="1" thickTop="1" thickBot="1">
      <c r="B43" s="506"/>
      <c r="C43" s="513"/>
      <c r="D43" s="515"/>
      <c r="E43" s="517"/>
      <c r="F43" s="519"/>
      <c r="G43" s="504"/>
      <c r="H43" s="506"/>
      <c r="I43" s="506"/>
      <c r="J43" s="498"/>
      <c r="K43" s="508"/>
      <c r="L43" s="510"/>
      <c r="M43" s="498"/>
      <c r="N43" s="13"/>
      <c r="O43" s="13"/>
      <c r="P43" s="50"/>
      <c r="Q43" s="355"/>
      <c r="AB43" s="475">
        <v>43474</v>
      </c>
      <c r="AC43" s="475">
        <v>43475</v>
      </c>
      <c r="AD43" s="475">
        <v>43476</v>
      </c>
      <c r="AE43" s="475">
        <v>43477</v>
      </c>
      <c r="AF43" s="475">
        <v>43478</v>
      </c>
      <c r="AG43" s="475">
        <v>43479</v>
      </c>
      <c r="AH43" s="475">
        <v>43480</v>
      </c>
      <c r="AI43" s="475">
        <v>43481</v>
      </c>
      <c r="AJ43" s="475">
        <v>43482</v>
      </c>
      <c r="AK43" s="475">
        <v>43483</v>
      </c>
      <c r="AL43" s="475">
        <v>43484</v>
      </c>
      <c r="AM43" s="475">
        <v>43485</v>
      </c>
      <c r="AN43" s="475">
        <v>43486</v>
      </c>
      <c r="AO43" s="475">
        <v>43487</v>
      </c>
      <c r="AP43" s="475">
        <v>43488</v>
      </c>
      <c r="AQ43" s="475">
        <v>43489</v>
      </c>
      <c r="AR43" s="475">
        <v>43490</v>
      </c>
      <c r="AS43" s="475">
        <v>43491</v>
      </c>
      <c r="AT43" s="475">
        <v>43492</v>
      </c>
      <c r="AU43" s="475">
        <v>43493</v>
      </c>
      <c r="AV43" s="475">
        <v>43494</v>
      </c>
      <c r="AW43" s="475">
        <v>43495</v>
      </c>
      <c r="AX43" s="475">
        <v>43496</v>
      </c>
    </row>
    <row r="44" spans="2:57" s="54" customFormat="1" ht="36.75" customHeight="1" thickBot="1">
      <c r="B44" s="496" t="str">
        <f>I17</f>
        <v>GUINNESS</v>
      </c>
      <c r="C44" s="479">
        <v>46290</v>
      </c>
      <c r="D44" s="445">
        <f>[18]September_2026!$AB$23</f>
        <v>410.14</v>
      </c>
      <c r="E44" s="443"/>
      <c r="F44" s="444"/>
      <c r="G44" s="444">
        <f>[18]September_2026!$AB$28</f>
        <v>377.8</v>
      </c>
      <c r="H44" s="458"/>
      <c r="I44" s="458"/>
      <c r="J44" s="448" t="s">
        <v>184</v>
      </c>
      <c r="K44" s="449">
        <f>[19]September_2026!$AB$25</f>
        <v>0.4418713450292398</v>
      </c>
      <c r="L44" s="457">
        <f>(((D44+E44)-G44)/(D44+E44))*100</f>
        <v>7.8851124006436759</v>
      </c>
      <c r="M44" s="455" t="s">
        <v>176</v>
      </c>
      <c r="N44" s="13"/>
      <c r="O44" s="13"/>
      <c r="P44" s="50"/>
      <c r="R44" s="275"/>
      <c r="S44" s="275"/>
      <c r="T44" s="275"/>
      <c r="U44" s="275"/>
      <c r="V44" s="275"/>
      <c r="W44" s="275"/>
      <c r="X44" s="275"/>
      <c r="Y44" s="275"/>
      <c r="Z44" s="275"/>
      <c r="AA44" s="275"/>
      <c r="AB44" s="57">
        <f>[17]January_2019!L5</f>
        <v>0</v>
      </c>
      <c r="AC44" s="57">
        <f>[17]January_2019!M5</f>
        <v>0</v>
      </c>
      <c r="AD44" s="57">
        <f>[17]January_2019!N5</f>
        <v>0</v>
      </c>
      <c r="AE44" s="57">
        <f>[17]January_2019!O5</f>
        <v>0</v>
      </c>
      <c r="AF44" s="57">
        <f>[17]January_2019!P5</f>
        <v>0</v>
      </c>
      <c r="AG44" s="57">
        <f>[17]January_2019!Q5</f>
        <v>0</v>
      </c>
      <c r="AH44" s="57">
        <f>[17]January_2019!R5</f>
        <v>0</v>
      </c>
      <c r="AI44" s="57">
        <f>[17]January_2019!S5</f>
        <v>0</v>
      </c>
      <c r="AJ44" s="57">
        <f>[17]January_2019!T5</f>
        <v>0</v>
      </c>
      <c r="AK44" s="57">
        <f>[17]January_2019!U5</f>
        <v>0</v>
      </c>
      <c r="AL44" s="57">
        <f>[17]January_2019!V5</f>
        <v>0</v>
      </c>
      <c r="AM44" s="57">
        <f>[17]January_2019!W5</f>
        <v>0</v>
      </c>
      <c r="AN44" s="57">
        <f>[17]January_2019!X5</f>
        <v>0</v>
      </c>
      <c r="AO44" s="57">
        <f>[17]January_2019!Y5</f>
        <v>0</v>
      </c>
      <c r="AP44" s="57">
        <f>[17]January_2019!Z5</f>
        <v>0</v>
      </c>
      <c r="AQ44" s="57">
        <f>[17]January_2019!AA5</f>
        <v>0</v>
      </c>
      <c r="AR44" s="57">
        <f>[17]January_2019!AB5</f>
        <v>0</v>
      </c>
      <c r="AS44" s="57">
        <f>[17]January_2019!AC5</f>
        <v>0</v>
      </c>
      <c r="AT44" s="57">
        <f>[17]January_2019!AD5</f>
        <v>0</v>
      </c>
      <c r="AU44" s="57">
        <f>[17]January_2019!AE5</f>
        <v>0</v>
      </c>
      <c r="AV44" s="57">
        <f>[17]January_2019!AF5</f>
        <v>0</v>
      </c>
      <c r="AW44" s="57">
        <f>[17]January_2019!AG5</f>
        <v>0</v>
      </c>
      <c r="AX44" s="277">
        <f>[17]January_2019!AH5</f>
        <v>0</v>
      </c>
      <c r="AY44" s="277"/>
      <c r="AZ44" s="277"/>
      <c r="BA44" s="277"/>
      <c r="BB44" s="277"/>
      <c r="BC44" s="277"/>
      <c r="BD44" s="277"/>
      <c r="BE44" s="277"/>
    </row>
    <row r="45" spans="2:57" s="54" customFormat="1" ht="14.25" hidden="1" customHeight="1" thickBot="1">
      <c r="B45" s="480"/>
      <c r="C45" s="479"/>
      <c r="D45" s="442"/>
      <c r="E45" s="443"/>
      <c r="F45" s="444"/>
      <c r="G45" s="445"/>
      <c r="H45" s="458"/>
      <c r="I45" s="458"/>
      <c r="J45" s="476"/>
      <c r="K45" s="449"/>
      <c r="L45" s="457"/>
      <c r="M45" s="455"/>
      <c r="N45" s="13"/>
      <c r="O45" s="13"/>
      <c r="P45" s="50"/>
      <c r="R45" s="275"/>
      <c r="S45" s="275"/>
      <c r="T45" s="275"/>
      <c r="U45" s="275"/>
      <c r="V45" s="275"/>
      <c r="W45" s="275"/>
      <c r="X45" s="275"/>
      <c r="Y45" s="275"/>
      <c r="Z45" s="275"/>
      <c r="AA45" s="275"/>
      <c r="AB45" s="57">
        <f>[17]January_2019!L6</f>
        <v>0</v>
      </c>
      <c r="AC45" s="57">
        <f>[17]January_2019!M6</f>
        <v>0</v>
      </c>
      <c r="AD45" s="57">
        <f>[17]January_2019!N6</f>
        <v>0</v>
      </c>
      <c r="AE45" s="57">
        <f>[17]January_2019!O6</f>
        <v>0</v>
      </c>
      <c r="AF45" s="57">
        <f>[17]January_2019!P6</f>
        <v>0</v>
      </c>
      <c r="AG45" s="57">
        <f>[17]January_2019!Q6</f>
        <v>0</v>
      </c>
      <c r="AH45" s="57">
        <f>[17]January_2019!R6</f>
        <v>0</v>
      </c>
      <c r="AI45" s="57">
        <f>[17]January_2019!S6</f>
        <v>0</v>
      </c>
      <c r="AJ45" s="57">
        <f>[17]January_2019!T6</f>
        <v>0</v>
      </c>
      <c r="AK45" s="57">
        <f>[17]January_2019!U6</f>
        <v>0</v>
      </c>
      <c r="AL45" s="57">
        <f>[17]January_2019!V6</f>
        <v>0</v>
      </c>
      <c r="AM45" s="57">
        <f>[17]January_2019!W6</f>
        <v>0</v>
      </c>
      <c r="AN45" s="57">
        <f>[17]January_2019!X6</f>
        <v>0</v>
      </c>
      <c r="AO45" s="57">
        <f>[17]January_2019!Y6</f>
        <v>0</v>
      </c>
      <c r="AP45" s="57">
        <f>[17]January_2019!Z6</f>
        <v>0</v>
      </c>
      <c r="AQ45" s="57">
        <f>[17]January_2019!AA6</f>
        <v>0</v>
      </c>
      <c r="AR45" s="57">
        <f>[17]January_2019!AB6</f>
        <v>0</v>
      </c>
      <c r="AS45" s="57">
        <f>[17]January_2019!AC6</f>
        <v>0</v>
      </c>
      <c r="AT45" s="57">
        <f>[17]January_2019!AD6</f>
        <v>0</v>
      </c>
      <c r="AU45" s="57">
        <f>[17]January_2019!AE6</f>
        <v>0</v>
      </c>
      <c r="AV45" s="57">
        <f>[17]January_2019!AF6</f>
        <v>0</v>
      </c>
      <c r="AW45" s="57">
        <f>[17]January_2019!AG6</f>
        <v>0</v>
      </c>
      <c r="AX45" s="277">
        <f>[17]January_2019!AH6</f>
        <v>0</v>
      </c>
      <c r="AY45" s="277"/>
      <c r="AZ45" s="277"/>
      <c r="BA45" s="277"/>
      <c r="BB45" s="277"/>
      <c r="BC45" s="277"/>
      <c r="BD45" s="277"/>
      <c r="BE45" s="277"/>
    </row>
    <row r="46" spans="2:57" s="54" customFormat="1" ht="37.15" hidden="1" customHeight="1" thickBot="1">
      <c r="B46" s="491" t="str">
        <f>J30</f>
        <v>STAG</v>
      </c>
      <c r="C46" s="479">
        <v>46287</v>
      </c>
      <c r="D46" s="442">
        <f>[18]September_2026!$Y$13</f>
        <v>190.70000000000002</v>
      </c>
      <c r="E46" s="443"/>
      <c r="F46" s="444"/>
      <c r="G46" s="444">
        <f>[18]September_2026!$Y$17</f>
        <v>184.3</v>
      </c>
      <c r="H46" s="446"/>
      <c r="I46" s="446"/>
      <c r="J46" s="448" t="s">
        <v>174</v>
      </c>
      <c r="K46" s="449">
        <f>[19]September_2026!$Y$25</f>
        <v>0.64666666666666672</v>
      </c>
      <c r="L46" s="457">
        <f>(((D46+E46)-G46)/(D46+E46))*100</f>
        <v>3.3560566334556925</v>
      </c>
      <c r="M46" s="455" t="s">
        <v>176</v>
      </c>
      <c r="N46" s="13"/>
      <c r="O46" s="13"/>
      <c r="P46" s="50"/>
      <c r="R46" s="275"/>
      <c r="S46" s="275"/>
      <c r="T46" s="275"/>
      <c r="U46" s="275"/>
      <c r="V46" s="275"/>
      <c r="W46" s="275"/>
      <c r="X46" s="275"/>
      <c r="Y46" s="275"/>
      <c r="Z46" s="275"/>
      <c r="AA46" s="275"/>
      <c r="AB46" s="57">
        <f>[17]January_2019!L7</f>
        <v>285.8</v>
      </c>
      <c r="AC46" s="57">
        <f>[17]January_2019!M7</f>
        <v>508.1</v>
      </c>
      <c r="AD46" s="57">
        <f>[17]January_2019!N7</f>
        <v>0</v>
      </c>
      <c r="AE46" s="57">
        <f>[17]January_2019!O7</f>
        <v>0</v>
      </c>
      <c r="AF46" s="57">
        <f>[17]January_2019!P7</f>
        <v>109.56666666666666</v>
      </c>
      <c r="AG46" s="57">
        <f>[17]January_2019!Q7</f>
        <v>297.64999999999998</v>
      </c>
      <c r="AH46" s="57">
        <f>[17]January_2019!R7</f>
        <v>122.3</v>
      </c>
      <c r="AI46" s="57">
        <f>[17]January_2019!S7</f>
        <v>0</v>
      </c>
      <c r="AJ46" s="57">
        <f>[17]January_2019!T7</f>
        <v>294.7</v>
      </c>
      <c r="AK46" s="57">
        <f>[17]January_2019!U7</f>
        <v>280.5</v>
      </c>
      <c r="AL46" s="57">
        <f>[17]January_2019!V7</f>
        <v>0</v>
      </c>
      <c r="AM46" s="57">
        <f>[17]January_2019!W7</f>
        <v>0</v>
      </c>
      <c r="AN46" s="57">
        <f>[17]January_2019!X7</f>
        <v>188.25</v>
      </c>
      <c r="AO46" s="57">
        <f>[17]January_2019!Y7</f>
        <v>295.7</v>
      </c>
      <c r="AP46" s="57">
        <f>[17]January_2019!Z7</f>
        <v>257.8</v>
      </c>
      <c r="AQ46" s="57">
        <f>[17]January_2019!AA7</f>
        <v>291.2</v>
      </c>
      <c r="AR46" s="57">
        <f>[17]January_2019!AB7</f>
        <v>187</v>
      </c>
      <c r="AS46" s="57">
        <f>[17]January_2019!AC7</f>
        <v>0</v>
      </c>
      <c r="AT46" s="57">
        <f>[17]January_2019!AD7</f>
        <v>0</v>
      </c>
      <c r="AU46" s="57">
        <f>[17]January_2019!AE7</f>
        <v>485.1</v>
      </c>
      <c r="AV46" s="57">
        <f>[17]January_2019!AF7</f>
        <v>171.55</v>
      </c>
      <c r="AW46" s="57">
        <f>[17]January_2019!AG7</f>
        <v>423.8</v>
      </c>
      <c r="AX46" s="277">
        <f>[17]January_2019!AH7</f>
        <v>0</v>
      </c>
      <c r="AY46" s="277"/>
      <c r="AZ46" s="277"/>
      <c r="BA46" s="277"/>
      <c r="BB46" s="277"/>
      <c r="BC46" s="277"/>
      <c r="BD46" s="277"/>
      <c r="BE46" s="277"/>
    </row>
    <row r="47" spans="2:57" s="54" customFormat="1" ht="18.600000000000001" hidden="1" customHeight="1" thickBot="1">
      <c r="B47" s="478"/>
      <c r="C47" s="430"/>
      <c r="D47" s="431"/>
      <c r="E47" s="432"/>
      <c r="F47" s="433"/>
      <c r="G47" s="434"/>
      <c r="H47" s="458"/>
      <c r="I47" s="458"/>
      <c r="J47" s="451"/>
      <c r="K47" s="436"/>
      <c r="L47" s="452"/>
      <c r="M47" s="421"/>
      <c r="N47" s="13"/>
      <c r="O47" s="13"/>
      <c r="P47" s="50"/>
      <c r="R47" s="275"/>
      <c r="S47" s="275"/>
      <c r="T47" s="275"/>
      <c r="U47" s="275"/>
      <c r="V47" s="275"/>
      <c r="W47" s="275"/>
      <c r="X47" s="275"/>
      <c r="Y47" s="275"/>
      <c r="Z47" s="275"/>
      <c r="AA47" s="275"/>
      <c r="AB47" s="57"/>
      <c r="AC47" s="57"/>
      <c r="AD47" s="57"/>
      <c r="AE47" s="57"/>
      <c r="AF47" s="57"/>
      <c r="AG47" s="57"/>
      <c r="AH47" s="57"/>
      <c r="AI47" s="57"/>
      <c r="AJ47" s="57"/>
      <c r="AK47" s="57"/>
      <c r="AL47" s="57"/>
      <c r="AM47" s="57"/>
      <c r="AN47" s="57"/>
      <c r="AO47" s="57"/>
      <c r="AP47" s="57"/>
      <c r="AQ47" s="57"/>
      <c r="AR47" s="57"/>
      <c r="AS47" s="57"/>
      <c r="AT47" s="57"/>
      <c r="AU47" s="57"/>
      <c r="AV47" s="57"/>
      <c r="AW47" s="57"/>
      <c r="AX47" s="277"/>
      <c r="AY47" s="277"/>
      <c r="AZ47" s="277"/>
      <c r="BA47" s="277"/>
      <c r="BB47" s="277"/>
      <c r="BC47" s="277"/>
      <c r="BD47" s="277"/>
      <c r="BE47" s="277"/>
    </row>
    <row r="48" spans="2:57" s="54" customFormat="1" ht="38.65" hidden="1" customHeight="1" thickBot="1">
      <c r="B48" s="487"/>
      <c r="C48" s="479"/>
      <c r="D48" s="442"/>
      <c r="E48" s="443"/>
      <c r="F48" s="444"/>
      <c r="G48" s="445"/>
      <c r="H48" s="458"/>
      <c r="I48" s="458"/>
      <c r="J48" s="448"/>
      <c r="K48" s="459"/>
      <c r="L48" s="457"/>
      <c r="M48" s="455"/>
      <c r="N48" s="13"/>
      <c r="O48" s="13"/>
      <c r="P48" s="50"/>
      <c r="R48" s="275"/>
      <c r="S48" s="275"/>
      <c r="T48" s="275"/>
      <c r="U48" s="275"/>
      <c r="V48" s="275"/>
      <c r="W48" s="275"/>
      <c r="X48" s="275"/>
      <c r="Y48" s="275"/>
      <c r="Z48" s="275"/>
      <c r="AA48" s="275"/>
      <c r="AB48" s="57"/>
      <c r="AC48" s="57"/>
      <c r="AD48" s="57"/>
      <c r="AE48" s="57"/>
      <c r="AF48" s="57"/>
      <c r="AG48" s="57"/>
      <c r="AH48" s="57"/>
      <c r="AI48" s="57"/>
      <c r="AJ48" s="57"/>
      <c r="AK48" s="57"/>
      <c r="AL48" s="57"/>
      <c r="AM48" s="57"/>
      <c r="AN48" s="57"/>
      <c r="AO48" s="57"/>
      <c r="AP48" s="57"/>
      <c r="AQ48" s="57"/>
      <c r="AR48" s="57"/>
      <c r="AS48" s="57"/>
      <c r="AT48" s="57"/>
      <c r="AU48" s="57"/>
      <c r="AV48" s="57"/>
      <c r="AW48" s="57"/>
      <c r="AX48" s="277"/>
      <c r="AY48" s="277"/>
      <c r="AZ48" s="277"/>
      <c r="BA48" s="277"/>
      <c r="BB48" s="277"/>
      <c r="BC48" s="277"/>
      <c r="BD48" s="277"/>
      <c r="BE48" s="277"/>
    </row>
    <row r="49" spans="2:57" s="54" customFormat="1" ht="15" hidden="1">
      <c r="B49" s="453"/>
      <c r="C49" s="430"/>
      <c r="D49" s="431"/>
      <c r="E49" s="432"/>
      <c r="F49" s="433"/>
      <c r="G49" s="434"/>
      <c r="H49" s="435"/>
      <c r="I49" s="450"/>
      <c r="J49" s="451"/>
      <c r="K49" s="436"/>
      <c r="L49" s="452"/>
      <c r="M49" s="421"/>
      <c r="N49" s="13"/>
      <c r="O49" s="13"/>
      <c r="P49" s="50"/>
      <c r="R49" s="275"/>
      <c r="S49" s="275"/>
      <c r="T49" s="275"/>
      <c r="U49" s="275"/>
      <c r="V49" s="275"/>
      <c r="W49" s="275"/>
      <c r="X49" s="275"/>
      <c r="Y49" s="275"/>
      <c r="Z49" s="275"/>
      <c r="AA49" s="275"/>
      <c r="AB49" s="57"/>
      <c r="AC49" s="57"/>
      <c r="AD49" s="57"/>
      <c r="AE49" s="57"/>
      <c r="AF49" s="57"/>
      <c r="AG49" s="57"/>
      <c r="AH49" s="57"/>
      <c r="AI49" s="57"/>
      <c r="AJ49" s="57"/>
      <c r="AK49" s="57"/>
      <c r="AL49" s="57"/>
      <c r="AM49" s="57"/>
      <c r="AN49" s="57"/>
      <c r="AO49" s="57"/>
      <c r="AP49" s="57"/>
      <c r="AQ49" s="57"/>
      <c r="AR49" s="57"/>
      <c r="AS49" s="57"/>
      <c r="AT49" s="57"/>
      <c r="AU49" s="57"/>
      <c r="AV49" s="57"/>
      <c r="AW49" s="57"/>
      <c r="AX49" s="277"/>
      <c r="AY49" s="277"/>
      <c r="AZ49" s="277"/>
      <c r="BA49" s="277"/>
      <c r="BB49" s="277"/>
      <c r="BC49" s="277"/>
      <c r="BD49" s="277"/>
      <c r="BE49" s="277"/>
    </row>
    <row r="50" spans="2:57" s="54" customFormat="1" ht="37.15" hidden="1" customHeight="1" thickBot="1">
      <c r="B50" s="481"/>
      <c r="C50" s="479"/>
      <c r="D50" s="442"/>
      <c r="E50" s="443"/>
      <c r="F50" s="444"/>
      <c r="G50" s="445"/>
      <c r="H50" s="446"/>
      <c r="I50" s="447"/>
      <c r="J50" s="448"/>
      <c r="K50" s="449"/>
      <c r="L50" s="457"/>
      <c r="M50" s="455"/>
      <c r="N50" s="13"/>
      <c r="O50" s="13"/>
      <c r="P50" s="50"/>
      <c r="R50" s="275"/>
      <c r="S50" s="275"/>
      <c r="T50" s="275"/>
      <c r="U50" s="275"/>
      <c r="V50" s="275"/>
      <c r="W50" s="275"/>
      <c r="X50" s="275"/>
      <c r="Y50" s="275"/>
      <c r="Z50" s="275"/>
      <c r="AA50" s="275"/>
      <c r="AB50" s="57"/>
      <c r="AC50" s="57"/>
      <c r="AD50" s="57"/>
      <c r="AE50" s="57"/>
      <c r="AF50" s="57"/>
      <c r="AG50" s="57"/>
      <c r="AH50" s="57"/>
      <c r="AI50" s="57"/>
      <c r="AJ50" s="57"/>
      <c r="AK50" s="57"/>
      <c r="AL50" s="57"/>
      <c r="AM50" s="57"/>
      <c r="AN50" s="57"/>
      <c r="AO50" s="57"/>
      <c r="AP50" s="57"/>
      <c r="AQ50" s="57"/>
      <c r="AR50" s="57"/>
      <c r="AS50" s="57"/>
      <c r="AT50" s="57"/>
      <c r="AU50" s="57"/>
      <c r="AV50" s="57"/>
      <c r="AW50" s="57"/>
      <c r="AX50" s="277"/>
      <c r="AY50" s="277"/>
      <c r="AZ50" s="277"/>
      <c r="BA50" s="277"/>
      <c r="BB50" s="277"/>
      <c r="BC50" s="277"/>
      <c r="BD50" s="277"/>
      <c r="BE50" s="277"/>
    </row>
    <row r="51" spans="2:57" s="54" customFormat="1" ht="16.5" hidden="1" customHeight="1" thickBot="1">
      <c r="B51" s="437"/>
      <c r="C51" s="423"/>
      <c r="D51" s="424"/>
      <c r="E51" s="425"/>
      <c r="F51" s="426"/>
      <c r="G51" s="427"/>
      <c r="H51" s="428"/>
      <c r="I51" s="438"/>
      <c r="J51" s="439"/>
      <c r="K51" s="429"/>
      <c r="L51" s="440"/>
      <c r="M51" s="422"/>
      <c r="N51" s="13"/>
      <c r="O51" s="13"/>
      <c r="P51" s="50"/>
      <c r="R51" s="275"/>
      <c r="S51" s="275"/>
      <c r="T51" s="275"/>
      <c r="U51" s="275"/>
      <c r="V51" s="275"/>
      <c r="W51" s="275"/>
      <c r="X51" s="275"/>
      <c r="Y51" s="275"/>
      <c r="Z51" s="275"/>
      <c r="AA51" s="275"/>
      <c r="AB51" s="415"/>
      <c r="AC51" s="415"/>
      <c r="AD51" s="415"/>
      <c r="AE51" s="415"/>
      <c r="AF51" s="415"/>
      <c r="AG51" s="415"/>
      <c r="AH51" s="415"/>
      <c r="AI51" s="415"/>
      <c r="AJ51" s="415"/>
      <c r="AK51" s="415"/>
      <c r="AL51" s="415"/>
      <c r="AM51" s="415"/>
      <c r="AN51" s="415"/>
      <c r="AO51" s="415"/>
      <c r="AP51" s="415"/>
      <c r="AQ51" s="415"/>
      <c r="AR51" s="415"/>
      <c r="AS51" s="415"/>
      <c r="AT51" s="415"/>
      <c r="AU51" s="415"/>
      <c r="AV51" s="415"/>
      <c r="AW51" s="415"/>
    </row>
    <row r="52" spans="2:57" s="54" customFormat="1" ht="37.15" hidden="1" customHeight="1" thickBot="1">
      <c r="B52" s="456"/>
      <c r="C52" s="441"/>
      <c r="D52" s="442"/>
      <c r="E52" s="443"/>
      <c r="F52" s="444"/>
      <c r="G52" s="445"/>
      <c r="H52" s="446"/>
      <c r="I52" s="447"/>
      <c r="J52" s="448"/>
      <c r="K52" s="449"/>
      <c r="L52" s="457"/>
      <c r="M52" s="454"/>
      <c r="N52" s="13"/>
      <c r="O52" s="13"/>
      <c r="P52" s="50"/>
      <c r="R52" s="275"/>
      <c r="S52" s="275"/>
      <c r="T52" s="275"/>
      <c r="U52" s="275"/>
      <c r="V52" s="275"/>
      <c r="W52" s="275"/>
      <c r="X52" s="275"/>
      <c r="Y52" s="275"/>
      <c r="Z52" s="275"/>
      <c r="AA52" s="275"/>
      <c r="AB52" s="57"/>
      <c r="AC52" s="57"/>
      <c r="AD52" s="57"/>
      <c r="AE52" s="57"/>
      <c r="AF52" s="57"/>
      <c r="AG52" s="57"/>
      <c r="AH52" s="57"/>
      <c r="AI52" s="57"/>
      <c r="AJ52" s="57"/>
      <c r="AK52" s="57"/>
      <c r="AL52" s="57"/>
      <c r="AM52" s="57"/>
      <c r="AN52" s="57"/>
      <c r="AO52" s="57"/>
      <c r="AP52" s="57"/>
      <c r="AQ52" s="57"/>
      <c r="AR52" s="57"/>
      <c r="AS52" s="57"/>
      <c r="AT52" s="57"/>
      <c r="AU52" s="57"/>
      <c r="AV52" s="57"/>
      <c r="AW52" s="57"/>
      <c r="AX52" s="277"/>
      <c r="AY52" s="277"/>
      <c r="AZ52" s="277"/>
      <c r="BA52" s="277"/>
      <c r="BB52" s="277"/>
      <c r="BC52" s="277"/>
      <c r="BD52" s="277"/>
      <c r="BE52" s="277"/>
    </row>
    <row r="53" spans="2:57" s="54" customFormat="1" ht="37.15" customHeight="1">
      <c r="B53" s="466"/>
      <c r="C53" s="430"/>
      <c r="D53" s="460"/>
      <c r="E53" s="461"/>
      <c r="F53" s="462"/>
      <c r="G53" s="460"/>
      <c r="H53" s="463"/>
      <c r="I53" s="463"/>
      <c r="J53" s="463"/>
      <c r="K53" s="464"/>
      <c r="L53" s="465"/>
      <c r="M53" s="50"/>
      <c r="N53" s="13"/>
      <c r="O53" s="13"/>
      <c r="P53" s="50"/>
      <c r="R53" s="275"/>
      <c r="S53" s="275"/>
      <c r="T53" s="275"/>
      <c r="U53" s="275"/>
      <c r="V53" s="275"/>
      <c r="W53" s="275"/>
      <c r="X53" s="275"/>
      <c r="Y53" s="275"/>
      <c r="Z53" s="275"/>
      <c r="AA53" s="275"/>
      <c r="AB53" s="57"/>
      <c r="AC53" s="57"/>
      <c r="AD53" s="57"/>
      <c r="AE53" s="57"/>
      <c r="AF53" s="57"/>
      <c r="AG53" s="57"/>
      <c r="AH53" s="57"/>
      <c r="AI53" s="57"/>
      <c r="AJ53" s="57"/>
      <c r="AK53" s="57"/>
      <c r="AL53" s="57"/>
      <c r="AM53" s="57"/>
      <c r="AN53" s="57"/>
      <c r="AO53" s="57"/>
      <c r="AP53" s="57"/>
      <c r="AQ53" s="57"/>
      <c r="AR53" s="57"/>
      <c r="AS53" s="57"/>
      <c r="AT53" s="57"/>
      <c r="AU53" s="57"/>
      <c r="AV53" s="57"/>
      <c r="AW53" s="57"/>
      <c r="AX53" s="277"/>
      <c r="AY53" s="277"/>
      <c r="AZ53" s="277"/>
      <c r="BA53" s="277"/>
      <c r="BB53" s="277"/>
      <c r="BC53" s="277"/>
      <c r="BD53" s="277"/>
      <c r="BE53" s="277"/>
    </row>
    <row r="54" spans="2:57" ht="18" customHeight="1" thickBot="1">
      <c r="B54" s="59"/>
      <c r="C54" s="309"/>
      <c r="D54" s="59"/>
      <c r="E54" s="59"/>
      <c r="F54" s="59"/>
      <c r="G54" s="59"/>
      <c r="H54" s="59"/>
      <c r="I54" s="59"/>
      <c r="J54" s="59"/>
      <c r="K54" s="59"/>
      <c r="L54" s="59"/>
      <c r="M54" s="59"/>
      <c r="N54" s="59" t="s">
        <v>41</v>
      </c>
      <c r="O54" s="56"/>
      <c r="P54" s="60"/>
    </row>
    <row r="55" spans="2:57" ht="15.75" thickBot="1">
      <c r="B55" s="499" t="s">
        <v>55</v>
      </c>
      <c r="C55" s="500"/>
      <c r="D55" s="500"/>
      <c r="E55" s="500"/>
      <c r="F55" s="501"/>
      <c r="G55" s="499" t="s">
        <v>56</v>
      </c>
      <c r="H55" s="500"/>
      <c r="I55" s="500"/>
      <c r="J55" s="501"/>
      <c r="K55" s="499" t="s">
        <v>51</v>
      </c>
      <c r="L55" s="500"/>
      <c r="M55" s="500"/>
      <c r="N55" s="502"/>
      <c r="O55" s="56"/>
      <c r="P55" s="50"/>
    </row>
    <row r="56" spans="2:57" ht="15">
      <c r="B56" s="61" t="s">
        <v>17</v>
      </c>
      <c r="C56" s="62" t="s">
        <v>36</v>
      </c>
      <c r="D56" s="62" t="s">
        <v>37</v>
      </c>
      <c r="E56" s="62" t="s">
        <v>38</v>
      </c>
      <c r="F56" s="63" t="s">
        <v>39</v>
      </c>
      <c r="G56" s="62" t="s">
        <v>36</v>
      </c>
      <c r="H56" s="62" t="s">
        <v>37</v>
      </c>
      <c r="I56" s="62" t="s">
        <v>38</v>
      </c>
      <c r="J56" s="63" t="s">
        <v>39</v>
      </c>
      <c r="K56" s="62" t="s">
        <v>36</v>
      </c>
      <c r="L56" s="62" t="s">
        <v>37</v>
      </c>
      <c r="M56" s="62" t="s">
        <v>38</v>
      </c>
      <c r="N56" s="63" t="s">
        <v>39</v>
      </c>
      <c r="O56" s="56"/>
      <c r="P56" s="64"/>
    </row>
    <row r="57" spans="2:57" ht="15">
      <c r="B57" s="29" t="s">
        <v>6</v>
      </c>
      <c r="C57" s="65"/>
      <c r="D57" s="76">
        <v>6.5229659742996704</v>
      </c>
      <c r="E57" s="76">
        <v>6.5193700112432769</v>
      </c>
      <c r="F57" s="66">
        <v>4.8</v>
      </c>
      <c r="G57" s="65"/>
      <c r="H57" s="477">
        <v>5.7910975261786639</v>
      </c>
      <c r="I57" s="477">
        <v>6.5511187503051573</v>
      </c>
      <c r="J57" s="66">
        <v>4.8</v>
      </c>
      <c r="K57" s="67"/>
      <c r="L57" s="194">
        <v>0.65182309941520467</v>
      </c>
      <c r="M57" s="194">
        <v>0.54032562531481076</v>
      </c>
      <c r="N57" s="68">
        <v>1</v>
      </c>
      <c r="O57" s="56"/>
      <c r="P57" s="69"/>
    </row>
    <row r="58" spans="2:57" ht="15">
      <c r="B58" s="33" t="s">
        <v>9</v>
      </c>
      <c r="C58" s="65"/>
      <c r="D58" s="76">
        <v>6.720758239391091</v>
      </c>
      <c r="E58" s="76">
        <v>5.8780358526209691</v>
      </c>
      <c r="F58" s="66">
        <v>4.8</v>
      </c>
      <c r="G58" s="65"/>
      <c r="H58" s="76">
        <v>5.7002127582026105</v>
      </c>
      <c r="I58" s="76">
        <v>5.9275658832823668</v>
      </c>
      <c r="J58" s="66">
        <v>4.8</v>
      </c>
      <c r="K58" s="67"/>
      <c r="L58" s="194">
        <v>0.55370526315789481</v>
      </c>
      <c r="M58" s="194">
        <v>0.68243759810479365</v>
      </c>
      <c r="N58" s="68">
        <v>1</v>
      </c>
      <c r="P58" s="69"/>
    </row>
    <row r="59" spans="2:57" ht="15">
      <c r="B59" s="34" t="s">
        <v>40</v>
      </c>
      <c r="C59" s="65">
        <f>L44</f>
        <v>7.8851124006436759</v>
      </c>
      <c r="D59" s="76">
        <v>9.9727624599799203</v>
      </c>
      <c r="E59" s="76">
        <v>11.133456850728694</v>
      </c>
      <c r="F59" s="66">
        <v>5.5</v>
      </c>
      <c r="G59" s="65">
        <f>[18]September_2026!$AB$32</f>
        <v>11.452550281375911</v>
      </c>
      <c r="H59" s="76">
        <v>11.68692680260043</v>
      </c>
      <c r="I59" s="76">
        <v>11.841805319797089</v>
      </c>
      <c r="J59" s="66">
        <v>5.5</v>
      </c>
      <c r="K59" s="67">
        <f>K44</f>
        <v>0.4418713450292398</v>
      </c>
      <c r="L59" s="194"/>
      <c r="M59" s="194">
        <v>0.35370190356844494</v>
      </c>
      <c r="N59" s="68">
        <v>1</v>
      </c>
      <c r="P59" s="69"/>
    </row>
    <row r="60" spans="2:57" ht="15">
      <c r="B60" s="22" t="s">
        <v>33</v>
      </c>
      <c r="C60" s="65"/>
      <c r="D60" s="76"/>
      <c r="E60" s="76">
        <v>4.8685538193023836</v>
      </c>
      <c r="F60" s="66">
        <v>3.3</v>
      </c>
      <c r="G60" s="65"/>
      <c r="H60" s="76"/>
      <c r="I60" s="76">
        <v>4.8702525342252114</v>
      </c>
      <c r="J60" s="66">
        <v>3.3</v>
      </c>
      <c r="K60" s="67"/>
      <c r="L60" s="194"/>
      <c r="M60" s="194">
        <v>0.77919298245614044</v>
      </c>
      <c r="N60" s="68">
        <v>1</v>
      </c>
      <c r="P60" s="69"/>
    </row>
    <row r="61" spans="2:57" ht="15">
      <c r="B61" s="35" t="s">
        <v>164</v>
      </c>
      <c r="C61" s="65"/>
      <c r="D61" s="76"/>
      <c r="E61" s="76"/>
      <c r="F61" s="66">
        <v>3.3</v>
      </c>
      <c r="G61" s="282"/>
      <c r="H61" s="76"/>
      <c r="I61" s="76"/>
      <c r="J61" s="66">
        <v>3</v>
      </c>
      <c r="K61" s="67"/>
      <c r="L61" s="194"/>
      <c r="M61" s="194"/>
      <c r="N61" s="68">
        <v>1</v>
      </c>
      <c r="P61" s="69"/>
    </row>
    <row r="62" spans="2:57" ht="15">
      <c r="B62" s="36" t="s">
        <v>15</v>
      </c>
      <c r="C62" s="65"/>
      <c r="D62" s="76">
        <v>6.8855672629257718</v>
      </c>
      <c r="E62" s="76">
        <v>6.3233965672990236</v>
      </c>
      <c r="F62" s="70">
        <v>5.5</v>
      </c>
      <c r="G62" s="65"/>
      <c r="H62" s="76">
        <v>7.4264332958762713</v>
      </c>
      <c r="I62" s="76">
        <v>7.9667553186446929</v>
      </c>
      <c r="J62" s="66">
        <v>5.5</v>
      </c>
      <c r="K62" s="67"/>
      <c r="L62" s="194">
        <v>0.391812865497076</v>
      </c>
      <c r="M62" s="194">
        <v>0.5883625730994152</v>
      </c>
      <c r="N62" s="68">
        <v>1</v>
      </c>
      <c r="P62" s="69"/>
    </row>
    <row r="63" spans="2:57" ht="15">
      <c r="B63" s="37" t="s">
        <v>16</v>
      </c>
      <c r="C63" s="482"/>
      <c r="D63" s="76"/>
      <c r="E63" s="76">
        <v>3.6168923014750334</v>
      </c>
      <c r="F63" s="66">
        <v>3.3</v>
      </c>
      <c r="G63" s="282"/>
      <c r="H63" s="76"/>
      <c r="I63" s="76">
        <v>5.0091179718082053</v>
      </c>
      <c r="J63" s="66">
        <v>3.3</v>
      </c>
      <c r="K63" s="67"/>
      <c r="L63" s="194"/>
      <c r="M63" s="194">
        <v>0.92642300194931759</v>
      </c>
      <c r="N63" s="71">
        <v>1</v>
      </c>
      <c r="P63" s="69"/>
    </row>
    <row r="64" spans="2:57" ht="15.75" thickBot="1">
      <c r="B64" s="38" t="s">
        <v>163</v>
      </c>
      <c r="C64" s="65"/>
      <c r="D64" s="76"/>
      <c r="E64" s="76"/>
      <c r="F64" s="66">
        <v>7.5</v>
      </c>
      <c r="G64" s="282"/>
      <c r="H64" s="76"/>
      <c r="I64" s="76"/>
      <c r="J64" s="66">
        <v>7.5</v>
      </c>
      <c r="K64" s="67"/>
      <c r="L64" s="194"/>
      <c r="M64" s="194"/>
      <c r="N64" s="71">
        <v>1</v>
      </c>
      <c r="P64" s="69"/>
    </row>
    <row r="65" spans="2:16" ht="15.75" thickBot="1">
      <c r="B65" s="414" t="s">
        <v>161</v>
      </c>
      <c r="C65" s="65"/>
      <c r="D65" s="76"/>
      <c r="E65" s="76"/>
      <c r="F65" s="66">
        <v>4.8</v>
      </c>
      <c r="G65" s="282"/>
      <c r="H65" s="76"/>
      <c r="I65" s="76"/>
      <c r="J65" s="66">
        <v>4.8</v>
      </c>
      <c r="K65" s="67"/>
      <c r="L65" s="194"/>
      <c r="M65" s="194"/>
      <c r="N65" s="71">
        <v>1</v>
      </c>
      <c r="O65" s="74"/>
      <c r="P65" s="75"/>
    </row>
    <row r="66" spans="2:16" ht="15">
      <c r="D66" s="76">
        <v>6.8229872942628012</v>
      </c>
      <c r="E66" s="76">
        <v>6.3796722247483189</v>
      </c>
      <c r="F66" s="341">
        <v>5.5</v>
      </c>
      <c r="H66" s="76">
        <v>6.4685925437861984</v>
      </c>
      <c r="I66" s="76">
        <v>6.6726976479954017</v>
      </c>
      <c r="J66" s="341">
        <v>5.5</v>
      </c>
      <c r="L66" s="194">
        <v>0.58829210526315801</v>
      </c>
      <c r="M66" s="194">
        <v>0.59729466776209061</v>
      </c>
      <c r="N66" s="386">
        <v>1</v>
      </c>
    </row>
  </sheetData>
  <mergeCells count="51">
    <mergeCell ref="M4:N4"/>
    <mergeCell ref="S1:T1"/>
    <mergeCell ref="U1:V1"/>
    <mergeCell ref="W1:X1"/>
    <mergeCell ref="Y1:Z1"/>
    <mergeCell ref="B2:O2"/>
    <mergeCell ref="P8:P9"/>
    <mergeCell ref="C5:D5"/>
    <mergeCell ref="B8:B9"/>
    <mergeCell ref="C8:C9"/>
    <mergeCell ref="D8:D9"/>
    <mergeCell ref="G8:G9"/>
    <mergeCell ref="H8:H9"/>
    <mergeCell ref="I8:I9"/>
    <mergeCell ref="J8:J9"/>
    <mergeCell ref="K8:K9"/>
    <mergeCell ref="L8:L9"/>
    <mergeCell ref="O8:O9"/>
    <mergeCell ref="I13:N13"/>
    <mergeCell ref="D14:E14"/>
    <mergeCell ref="B15:B26"/>
    <mergeCell ref="D15:E16"/>
    <mergeCell ref="D17:E18"/>
    <mergeCell ref="D19:E20"/>
    <mergeCell ref="D21:E22"/>
    <mergeCell ref="D23:E24"/>
    <mergeCell ref="D25:E26"/>
    <mergeCell ref="B27:B36"/>
    <mergeCell ref="D27:E28"/>
    <mergeCell ref="J27:K27"/>
    <mergeCell ref="L28:N28"/>
    <mergeCell ref="D29:E30"/>
    <mergeCell ref="D31:E32"/>
    <mergeCell ref="D33:E34"/>
    <mergeCell ref="D35:E36"/>
    <mergeCell ref="D37:E37"/>
    <mergeCell ref="B42:B43"/>
    <mergeCell ref="C42:C43"/>
    <mergeCell ref="D42:D43"/>
    <mergeCell ref="E42:E43"/>
    <mergeCell ref="M42:M43"/>
    <mergeCell ref="B55:F55"/>
    <mergeCell ref="G55:J55"/>
    <mergeCell ref="K55:N55"/>
    <mergeCell ref="G42:G43"/>
    <mergeCell ref="H42:H43"/>
    <mergeCell ref="I42:I43"/>
    <mergeCell ref="J42:J43"/>
    <mergeCell ref="K42:K43"/>
    <mergeCell ref="L42:L43"/>
    <mergeCell ref="F42:F43"/>
  </mergeCells>
  <conditionalFormatting sqref="B37:B38">
    <cfRule type="cellIs" dxfId="584" priority="102" operator="notBetween">
      <formula>#REF!</formula>
      <formula>#REF!</formula>
    </cfRule>
  </conditionalFormatting>
  <conditionalFormatting sqref="C41">
    <cfRule type="cellIs" dxfId="583" priority="185" stopIfTrue="1" operator="greaterThan">
      <formula>100</formula>
    </cfRule>
    <cfRule type="cellIs" dxfId="582" priority="184" stopIfTrue="1" operator="lessThan">
      <formula>96</formula>
    </cfRule>
  </conditionalFormatting>
  <conditionalFormatting sqref="C57:C58">
    <cfRule type="cellIs" dxfId="581" priority="65" stopIfTrue="1" operator="greaterThan">
      <formula>$F57</formula>
    </cfRule>
    <cfRule type="cellIs" dxfId="580" priority="67" stopIfTrue="1" operator="greaterThan">
      <formula>$F57</formula>
    </cfRule>
    <cfRule type="cellIs" dxfId="579" priority="68" stopIfTrue="1" operator="lessThanOrEqual">
      <formula>0</formula>
    </cfRule>
    <cfRule type="cellIs" dxfId="578" priority="66" stopIfTrue="1" operator="lessThanOrEqual">
      <formula>0</formula>
    </cfRule>
  </conditionalFormatting>
  <conditionalFormatting sqref="C59:C61 C63:C65">
    <cfRule type="cellIs" dxfId="577" priority="74" stopIfTrue="1" operator="greaterThan">
      <formula>$F62</formula>
    </cfRule>
  </conditionalFormatting>
  <conditionalFormatting sqref="C59:C61">
    <cfRule type="cellIs" dxfId="576" priority="75" stopIfTrue="1" operator="lessThanOrEqual">
      <formula>0</formula>
    </cfRule>
  </conditionalFormatting>
  <conditionalFormatting sqref="C62">
    <cfRule type="cellIs" dxfId="575" priority="186" stopIfTrue="1" operator="greaterThan">
      <formula>$F57</formula>
    </cfRule>
    <cfRule type="cellIs" dxfId="574" priority="189" stopIfTrue="1" operator="lessThanOrEqual">
      <formula>0</formula>
    </cfRule>
    <cfRule type="cellIs" dxfId="573" priority="188" stopIfTrue="1" operator="greaterThan">
      <formula>$F57</formula>
    </cfRule>
    <cfRule type="cellIs" dxfId="572" priority="187" stopIfTrue="1" operator="lessThanOrEqual">
      <formula>0</formula>
    </cfRule>
  </conditionalFormatting>
  <conditionalFormatting sqref="C63:C65">
    <cfRule type="cellIs" dxfId="571" priority="76" stopIfTrue="1" operator="lessThanOrEqual">
      <formula>0</formula>
    </cfRule>
  </conditionalFormatting>
  <conditionalFormatting sqref="C68:C72">
    <cfRule type="cellIs" dxfId="570" priority="176" stopIfTrue="1" operator="lessThanOrEqual">
      <formula>0</formula>
    </cfRule>
  </conditionalFormatting>
  <conditionalFormatting sqref="C69:C72">
    <cfRule type="cellIs" dxfId="569" priority="175" stopIfTrue="1" operator="greaterThan">
      <formula>$F$68</formula>
    </cfRule>
  </conditionalFormatting>
  <conditionalFormatting sqref="C74">
    <cfRule type="cellIs" dxfId="568" priority="177" stopIfTrue="1" operator="greaterThan">
      <formula>$F$68</formula>
    </cfRule>
    <cfRule type="cellIs" dxfId="567" priority="178" stopIfTrue="1" operator="lessThanOrEqual">
      <formula>0</formula>
    </cfRule>
  </conditionalFormatting>
  <conditionalFormatting sqref="C62:D62">
    <cfRule type="cellIs" dxfId="566" priority="63" stopIfTrue="1" operator="greaterThan">
      <formula>$J62</formula>
    </cfRule>
    <cfRule type="cellIs" dxfId="565" priority="64" stopIfTrue="1" operator="lessThanOrEqual">
      <formula>0</formula>
    </cfRule>
  </conditionalFormatting>
  <conditionalFormatting sqref="C68:D68 D70:D76">
    <cfRule type="cellIs" dxfId="564" priority="170" stopIfTrue="1" operator="greaterThan">
      <formula>4.5</formula>
    </cfRule>
  </conditionalFormatting>
  <conditionalFormatting sqref="D37:D38">
    <cfRule type="cellIs" dxfId="563" priority="103" operator="notBetween">
      <formula>#REF!</formula>
      <formula>#REF!</formula>
    </cfRule>
  </conditionalFormatting>
  <conditionalFormatting sqref="D57:D61 D63:D64">
    <cfRule type="cellIs" dxfId="562" priority="73" stopIfTrue="1" operator="lessThanOrEqual">
      <formula>0</formula>
    </cfRule>
  </conditionalFormatting>
  <conditionalFormatting sqref="D57:D61 D63:D66">
    <cfRule type="cellIs" dxfId="561" priority="70" stopIfTrue="1" operator="greaterThan">
      <formula>$F57</formula>
    </cfRule>
    <cfRule type="cellIs" dxfId="560" priority="69" stopIfTrue="1" operator="lessThanOrEqual">
      <formula>0</formula>
    </cfRule>
  </conditionalFormatting>
  <conditionalFormatting sqref="D65:D66">
    <cfRule type="cellIs" dxfId="559" priority="71" stopIfTrue="1" operator="lessThanOrEqual">
      <formula>0</formula>
    </cfRule>
  </conditionalFormatting>
  <conditionalFormatting sqref="D66">
    <cfRule type="cellIs" dxfId="558" priority="72" stopIfTrue="1" operator="lessThanOrEqual">
      <formula>0</formula>
    </cfRule>
  </conditionalFormatting>
  <conditionalFormatting sqref="D68 D70:D76">
    <cfRule type="cellIs" dxfId="557" priority="171" stopIfTrue="1" operator="lessThanOrEqual">
      <formula>0</formula>
    </cfRule>
  </conditionalFormatting>
  <conditionalFormatting sqref="D69">
    <cfRule type="cellIs" dxfId="556" priority="162" stopIfTrue="1" operator="greaterThan">
      <formula>$F$68</formula>
    </cfRule>
    <cfRule type="cellIs" dxfId="555" priority="163" stopIfTrue="1" operator="lessThanOrEqual">
      <formula>0</formula>
    </cfRule>
  </conditionalFormatting>
  <conditionalFormatting sqref="E10:E12">
    <cfRule type="cellIs" dxfId="554" priority="7" operator="lessThan">
      <formula>48</formula>
    </cfRule>
  </conditionalFormatting>
  <conditionalFormatting sqref="E40 E41:F41">
    <cfRule type="cellIs" dxfId="553" priority="167" stopIfTrue="1" operator="greaterThan">
      <formula>100</formula>
    </cfRule>
  </conditionalFormatting>
  <conditionalFormatting sqref="E41">
    <cfRule type="cellIs" dxfId="552" priority="165" stopIfTrue="1" operator="greaterThan">
      <formula>100</formula>
    </cfRule>
    <cfRule type="cellIs" dxfId="551" priority="164" stopIfTrue="1" operator="lessThan">
      <formula>96.8</formula>
    </cfRule>
  </conditionalFormatting>
  <conditionalFormatting sqref="E57:E65">
    <cfRule type="cellIs" dxfId="550" priority="36" stopIfTrue="1" operator="lessThanOrEqual">
      <formula>0</formula>
    </cfRule>
  </conditionalFormatting>
  <conditionalFormatting sqref="E57:E66">
    <cfRule type="cellIs" dxfId="549" priority="37" stopIfTrue="1" operator="greaterThan">
      <formula>$F57</formula>
    </cfRule>
    <cfRule type="cellIs" dxfId="548" priority="38" stopIfTrue="1" operator="lessThanOrEqual">
      <formula>0</formula>
    </cfRule>
  </conditionalFormatting>
  <conditionalFormatting sqref="E66">
    <cfRule type="cellIs" dxfId="547" priority="39" stopIfTrue="1" operator="lessThanOrEqual">
      <formula>0</formula>
    </cfRule>
  </conditionalFormatting>
  <conditionalFormatting sqref="E68:E76">
    <cfRule type="cellIs" dxfId="546" priority="156" stopIfTrue="1" operator="greaterThan">
      <formula>4.5</formula>
    </cfRule>
    <cfRule type="cellIs" dxfId="545" priority="157" stopIfTrue="1" operator="lessThanOrEqual">
      <formula>0</formula>
    </cfRule>
  </conditionalFormatting>
  <conditionalFormatting sqref="E41:F41 E40">
    <cfRule type="cellIs" dxfId="544" priority="166" stopIfTrue="1" operator="lessThan">
      <formula>96.5</formula>
    </cfRule>
  </conditionalFormatting>
  <conditionalFormatting sqref="F10:F12">
    <cfRule type="cellIs" dxfId="543" priority="8" operator="greaterThan">
      <formula>60</formula>
    </cfRule>
  </conditionalFormatting>
  <conditionalFormatting sqref="F41">
    <cfRule type="cellIs" dxfId="542" priority="182" stopIfTrue="1" operator="lessThan">
      <formula>96.8</formula>
    </cfRule>
    <cfRule type="cellIs" dxfId="541" priority="183" stopIfTrue="1" operator="greaterThan">
      <formula>100</formula>
    </cfRule>
  </conditionalFormatting>
  <conditionalFormatting sqref="G10:G11 M10:N11 H10:H12">
    <cfRule type="expression" dxfId="540" priority="11">
      <formula>IF(+(IF(G10&lt;#REF!,0,IF(G10&gt;#REF!,0,1)))=0,1)</formula>
    </cfRule>
  </conditionalFormatting>
  <conditionalFormatting sqref="G12">
    <cfRule type="expression" dxfId="539" priority="10">
      <formula>IF(+(IF(G12&lt;S12,0,IF(G12&gt;T12,0,1)))=0,1)</formula>
    </cfRule>
  </conditionalFormatting>
  <conditionalFormatting sqref="G57:G60 F66">
    <cfRule type="cellIs" dxfId="538" priority="45" stopIfTrue="1" operator="greaterThan">
      <formula>$F57</formula>
    </cfRule>
    <cfRule type="cellIs" dxfId="537" priority="46" stopIfTrue="1" operator="lessThanOrEqual">
      <formula>0</formula>
    </cfRule>
  </conditionalFormatting>
  <conditionalFormatting sqref="G59:G60">
    <cfRule type="cellIs" dxfId="536" priority="32" stopIfTrue="1" operator="lessThanOrEqual">
      <formula>0</formula>
    </cfRule>
    <cfRule type="cellIs" dxfId="535" priority="31" stopIfTrue="1" operator="greaterThan">
      <formula>$F59</formula>
    </cfRule>
  </conditionalFormatting>
  <conditionalFormatting sqref="G61:G65">
    <cfRule type="cellIs" dxfId="534" priority="48" stopIfTrue="1" operator="lessThanOrEqual">
      <formula>0</formula>
    </cfRule>
    <cfRule type="cellIs" dxfId="533" priority="47" stopIfTrue="1" operator="greaterThan">
      <formula>$J61</formula>
    </cfRule>
  </conditionalFormatting>
  <conditionalFormatting sqref="G62">
    <cfRule type="cellIs" dxfId="532" priority="190" stopIfTrue="1" operator="greaterThan">
      <formula>$F57</formula>
    </cfRule>
    <cfRule type="cellIs" dxfId="531" priority="191" stopIfTrue="1" operator="lessThanOrEqual">
      <formula>0</formula>
    </cfRule>
  </conditionalFormatting>
  <conditionalFormatting sqref="G70:G75 C73 C75">
    <cfRule type="cellIs" dxfId="530" priority="180" stopIfTrue="1" operator="lessThanOrEqual">
      <formula>0</formula>
    </cfRule>
    <cfRule type="cellIs" dxfId="529" priority="179" stopIfTrue="1" operator="greaterThan">
      <formula>4.5</formula>
    </cfRule>
  </conditionalFormatting>
  <conditionalFormatting sqref="G69:H69">
    <cfRule type="cellIs" dxfId="528" priority="161" stopIfTrue="1" operator="lessThanOrEqual">
      <formula>0</formula>
    </cfRule>
    <cfRule type="cellIs" dxfId="527" priority="160" stopIfTrue="1" operator="greaterThan">
      <formula>$F$68</formula>
    </cfRule>
  </conditionalFormatting>
  <conditionalFormatting sqref="H26:H27 H40">
    <cfRule type="cellIs" dxfId="526" priority="158" stopIfTrue="1" operator="greaterThan">
      <formula>0</formula>
    </cfRule>
  </conditionalFormatting>
  <conditionalFormatting sqref="H44">
    <cfRule type="cellIs" dxfId="525" priority="51" stopIfTrue="1" operator="greaterThan">
      <formula>$F$57</formula>
    </cfRule>
    <cfRule type="cellIs" dxfId="524" priority="59" stopIfTrue="1" operator="greaterThan">
      <formula>$F$60</formula>
    </cfRule>
    <cfRule type="cellIs" dxfId="523" priority="60" stopIfTrue="1" operator="lessThanOrEqual">
      <formula>0</formula>
    </cfRule>
    <cfRule type="cellIs" dxfId="522" priority="61" stopIfTrue="1" operator="greaterThan">
      <formula>$F$58</formula>
    </cfRule>
    <cfRule type="cellIs" dxfId="521" priority="50" stopIfTrue="1" operator="lessThanOrEqual">
      <formula>0</formula>
    </cfRule>
  </conditionalFormatting>
  <conditionalFormatting sqref="H44:H45">
    <cfRule type="cellIs" dxfId="520" priority="62" stopIfTrue="1" operator="lessThanOrEqual">
      <formula>0</formula>
    </cfRule>
  </conditionalFormatting>
  <conditionalFormatting sqref="H45 H47:H48">
    <cfRule type="cellIs" dxfId="519" priority="88" stopIfTrue="1" operator="lessThanOrEqual">
      <formula>0</formula>
    </cfRule>
  </conditionalFormatting>
  <conditionalFormatting sqref="H45">
    <cfRule type="cellIs" dxfId="518" priority="85" stopIfTrue="1" operator="greaterThan">
      <formula>$F$60</formula>
    </cfRule>
    <cfRule type="cellIs" dxfId="517" priority="87" stopIfTrue="1" operator="greaterThan">
      <formula>$F$58</formula>
    </cfRule>
    <cfRule type="cellIs" dxfId="516" priority="86" stopIfTrue="1" operator="lessThanOrEqual">
      <formula>0</formula>
    </cfRule>
    <cfRule type="cellIs" dxfId="515" priority="77" stopIfTrue="1" operator="greaterThan">
      <formula>$F$57</formula>
    </cfRule>
  </conditionalFormatting>
  <conditionalFormatting sqref="H46">
    <cfRule type="cellIs" dxfId="514" priority="17" stopIfTrue="1" operator="lessThanOrEqual">
      <formula>0</formula>
    </cfRule>
    <cfRule type="cellIs" dxfId="513" priority="18" stopIfTrue="1" operator="greaterThan">
      <formula>$F$59</formula>
    </cfRule>
    <cfRule type="cellIs" dxfId="512" priority="26" stopIfTrue="1" operator="greaterThan">
      <formula>$F$62</formula>
    </cfRule>
    <cfRule type="cellIs" dxfId="511" priority="27" stopIfTrue="1" operator="lessThanOrEqual">
      <formula>0</formula>
    </cfRule>
    <cfRule type="cellIs" dxfId="510" priority="28" stopIfTrue="1" operator="greaterThan">
      <formula>$F$60</formula>
    </cfRule>
    <cfRule type="cellIs" dxfId="509" priority="29" stopIfTrue="1" operator="lessThanOrEqual">
      <formula>0</formula>
    </cfRule>
  </conditionalFormatting>
  <conditionalFormatting sqref="H47:H48">
    <cfRule type="cellIs" dxfId="508" priority="100" stopIfTrue="1" operator="greaterThan">
      <formula>$F$58</formula>
    </cfRule>
    <cfRule type="cellIs" dxfId="507" priority="99" stopIfTrue="1" operator="lessThanOrEqual">
      <formula>0</formula>
    </cfRule>
    <cfRule type="cellIs" dxfId="506" priority="98" stopIfTrue="1" operator="greaterThan">
      <formula>$F$60</formula>
    </cfRule>
    <cfRule type="cellIs" dxfId="505" priority="90" stopIfTrue="1" operator="greaterThan">
      <formula>$F$57</formula>
    </cfRule>
    <cfRule type="cellIs" dxfId="504" priority="101" stopIfTrue="1" operator="lessThanOrEqual">
      <formula>0</formula>
    </cfRule>
  </conditionalFormatting>
  <conditionalFormatting sqref="H49:H50">
    <cfRule type="cellIs" dxfId="503" priority="125" stopIfTrue="1" operator="lessThanOrEqual">
      <formula>0</formula>
    </cfRule>
    <cfRule type="cellIs" dxfId="502" priority="134" stopIfTrue="1" operator="greaterThan">
      <formula>#REF!</formula>
    </cfRule>
    <cfRule type="cellIs" dxfId="501" priority="135" stopIfTrue="1" operator="lessThanOrEqual">
      <formula>0</formula>
    </cfRule>
    <cfRule type="cellIs" dxfId="500" priority="126" stopIfTrue="1" operator="greaterThan">
      <formula>#REF!</formula>
    </cfRule>
  </conditionalFormatting>
  <conditionalFormatting sqref="H51">
    <cfRule type="cellIs" dxfId="499" priority="149" stopIfTrue="1" operator="lessThanOrEqual">
      <formula>0</formula>
    </cfRule>
    <cfRule type="cellIs" dxfId="498" priority="137" stopIfTrue="1" operator="lessThanOrEqual">
      <formula>0</formula>
    </cfRule>
    <cfRule type="cellIs" dxfId="497" priority="138" stopIfTrue="1" operator="greaterThan">
      <formula>$F$25</formula>
    </cfRule>
    <cfRule type="cellIs" dxfId="496" priority="148" stopIfTrue="1" operator="greaterThan">
      <formula>$F$26</formula>
    </cfRule>
    <cfRule type="cellIs" dxfId="495" priority="147" stopIfTrue="1" operator="lessThanOrEqual">
      <formula>0</formula>
    </cfRule>
    <cfRule type="cellIs" dxfId="494" priority="146" stopIfTrue="1" operator="greaterThan">
      <formula>$F$28</formula>
    </cfRule>
  </conditionalFormatting>
  <conditionalFormatting sqref="H52:H53">
    <cfRule type="cellIs" dxfId="493" priority="122" stopIfTrue="1" operator="greaterThan">
      <formula>#REF!</formula>
    </cfRule>
    <cfRule type="cellIs" dxfId="492" priority="114" stopIfTrue="1" operator="greaterThan">
      <formula>#REF!</formula>
    </cfRule>
    <cfRule type="cellIs" dxfId="491" priority="113" stopIfTrue="1" operator="lessThanOrEqual">
      <formula>0</formula>
    </cfRule>
    <cfRule type="cellIs" dxfId="490" priority="123" stopIfTrue="1" operator="lessThanOrEqual">
      <formula>0</formula>
    </cfRule>
  </conditionalFormatting>
  <conditionalFormatting sqref="H68 H70:H76">
    <cfRule type="cellIs" dxfId="489" priority="172" stopIfTrue="1" operator="greaterThan">
      <formula>4.5</formula>
    </cfRule>
    <cfRule type="cellIs" dxfId="488" priority="173" stopIfTrue="1" operator="lessThanOrEqual">
      <formula>0</formula>
    </cfRule>
  </conditionalFormatting>
  <conditionalFormatting sqref="H44:I44">
    <cfRule type="cellIs" dxfId="487" priority="52" stopIfTrue="1" operator="lessThanOrEqual">
      <formula>0</formula>
    </cfRule>
  </conditionalFormatting>
  <conditionalFormatting sqref="H44:I45 H47:I48">
    <cfRule type="cellIs" dxfId="486" priority="49" stopIfTrue="1" operator="greaterThan">
      <formula>$F$59</formula>
    </cfRule>
  </conditionalFormatting>
  <conditionalFormatting sqref="H45:I45">
    <cfRule type="cellIs" dxfId="485" priority="78" stopIfTrue="1" operator="lessThanOrEqual">
      <formula>0</formula>
    </cfRule>
  </conditionalFormatting>
  <conditionalFormatting sqref="H46:I46">
    <cfRule type="cellIs" dxfId="484" priority="16" stopIfTrue="1" operator="greaterThan">
      <formula>$F$61</formula>
    </cfRule>
    <cfRule type="cellIs" dxfId="483" priority="19" stopIfTrue="1" operator="lessThanOrEqual">
      <formula>0</formula>
    </cfRule>
  </conditionalFormatting>
  <conditionalFormatting sqref="H47:I48">
    <cfRule type="cellIs" dxfId="482" priority="91" stopIfTrue="1" operator="lessThanOrEqual">
      <formula>0</formula>
    </cfRule>
  </conditionalFormatting>
  <conditionalFormatting sqref="H49:I50">
    <cfRule type="cellIs" dxfId="481" priority="132" stopIfTrue="1" operator="greaterThan">
      <formula>#REF!</formula>
    </cfRule>
    <cfRule type="cellIs" dxfId="480" priority="127" stopIfTrue="1" operator="lessThanOrEqual">
      <formula>0</formula>
    </cfRule>
    <cfRule type="cellIs" dxfId="479" priority="133" stopIfTrue="1" operator="lessThanOrEqual">
      <formula>0</formula>
    </cfRule>
    <cfRule type="cellIs" dxfId="478" priority="124" stopIfTrue="1" operator="greaterThan">
      <formula>#REF!</formula>
    </cfRule>
  </conditionalFormatting>
  <conditionalFormatting sqref="H51:I51">
    <cfRule type="cellIs" dxfId="477" priority="136" stopIfTrue="1" operator="greaterThan">
      <formula>$F$27</formula>
    </cfRule>
    <cfRule type="cellIs" dxfId="476" priority="139" stopIfTrue="1" operator="lessThanOrEqual">
      <formula>0</formula>
    </cfRule>
  </conditionalFormatting>
  <conditionalFormatting sqref="H52:I53">
    <cfRule type="cellIs" dxfId="475" priority="112" stopIfTrue="1" operator="greaterThan">
      <formula>#REF!</formula>
    </cfRule>
    <cfRule type="cellIs" dxfId="474" priority="115" stopIfTrue="1" operator="lessThanOrEqual">
      <formula>0</formula>
    </cfRule>
    <cfRule type="cellIs" dxfId="473" priority="120" stopIfTrue="1" operator="greaterThan">
      <formula>#REF!</formula>
    </cfRule>
    <cfRule type="cellIs" dxfId="472" priority="121" stopIfTrue="1" operator="lessThanOrEqual">
      <formula>0</formula>
    </cfRule>
  </conditionalFormatting>
  <conditionalFormatting sqref="H57:I64">
    <cfRule type="cellIs" dxfId="471" priority="35" stopIfTrue="1" operator="lessThanOrEqual">
      <formula>0</formula>
    </cfRule>
    <cfRule type="cellIs" dxfId="470" priority="34" stopIfTrue="1" operator="greaterThan">
      <formula>$J57</formula>
    </cfRule>
  </conditionalFormatting>
  <conditionalFormatting sqref="H65:I65">
    <cfRule type="cellIs" dxfId="469" priority="42" operator="greaterThan">
      <formula>5.3</formula>
    </cfRule>
  </conditionalFormatting>
  <conditionalFormatting sqref="H66:I66">
    <cfRule type="cellIs" dxfId="468" priority="41" stopIfTrue="1" operator="lessThanOrEqual">
      <formula>0</formula>
    </cfRule>
    <cfRule type="cellIs" dxfId="467" priority="40" stopIfTrue="1" operator="greaterThan">
      <formula>$J66</formula>
    </cfRule>
  </conditionalFormatting>
  <conditionalFormatting sqref="I44">
    <cfRule type="cellIs" dxfId="466" priority="55" stopIfTrue="1" operator="greaterThan">
      <formula>$F$59</formula>
    </cfRule>
    <cfRule type="cellIs" dxfId="465" priority="54" stopIfTrue="1" operator="lessThanOrEqual">
      <formula>0</formula>
    </cfRule>
    <cfRule type="cellIs" dxfId="464" priority="53" stopIfTrue="1" operator="greaterThan">
      <formula>$F$57</formula>
    </cfRule>
    <cfRule type="cellIs" dxfId="463" priority="58" stopIfTrue="1" operator="lessThanOrEqual">
      <formula>0</formula>
    </cfRule>
    <cfRule type="cellIs" dxfId="462" priority="57" stopIfTrue="1" operator="greaterThan">
      <formula>$F$57</formula>
    </cfRule>
    <cfRule type="cellIs" dxfId="461" priority="56" stopIfTrue="1" operator="lessThanOrEqual">
      <formula>0</formula>
    </cfRule>
  </conditionalFormatting>
  <conditionalFormatting sqref="I45">
    <cfRule type="cellIs" dxfId="460" priority="80" stopIfTrue="1" operator="lessThanOrEqual">
      <formula>0</formula>
    </cfRule>
    <cfRule type="cellIs" dxfId="459" priority="79" stopIfTrue="1" operator="greaterThan">
      <formula>$F$57</formula>
    </cfRule>
    <cfRule type="cellIs" dxfId="458" priority="84" stopIfTrue="1" operator="lessThanOrEqual">
      <formula>0</formula>
    </cfRule>
    <cfRule type="cellIs" dxfId="457" priority="83" stopIfTrue="1" operator="greaterThan">
      <formula>$F$57</formula>
    </cfRule>
    <cfRule type="cellIs" dxfId="456" priority="82" stopIfTrue="1" operator="lessThanOrEqual">
      <formula>0</formula>
    </cfRule>
    <cfRule type="cellIs" dxfId="455" priority="81" stopIfTrue="1" operator="greaterThan">
      <formula>$F$59</formula>
    </cfRule>
  </conditionalFormatting>
  <conditionalFormatting sqref="I46">
    <cfRule type="cellIs" dxfId="454" priority="24" stopIfTrue="1" operator="greaterThan">
      <formula>$F$59</formula>
    </cfRule>
    <cfRule type="cellIs" dxfId="453" priority="23" stopIfTrue="1" operator="lessThanOrEqual">
      <formula>0</formula>
    </cfRule>
    <cfRule type="cellIs" dxfId="452" priority="22" stopIfTrue="1" operator="greaterThan">
      <formula>$F$61</formula>
    </cfRule>
    <cfRule type="cellIs" dxfId="451" priority="21" stopIfTrue="1" operator="lessThanOrEqual">
      <formula>0</formula>
    </cfRule>
    <cfRule type="cellIs" dxfId="450" priority="20" stopIfTrue="1" operator="greaterThan">
      <formula>$F$59</formula>
    </cfRule>
    <cfRule type="cellIs" dxfId="449" priority="25" stopIfTrue="1" operator="lessThanOrEqual">
      <formula>0</formula>
    </cfRule>
  </conditionalFormatting>
  <conditionalFormatting sqref="I47:I48">
    <cfRule type="cellIs" dxfId="448" priority="95" stopIfTrue="1" operator="lessThanOrEqual">
      <formula>0</formula>
    </cfRule>
    <cfRule type="cellIs" dxfId="447" priority="96" stopIfTrue="1" operator="greaterThan">
      <formula>$F$57</formula>
    </cfRule>
    <cfRule type="cellIs" dxfId="446" priority="97" stopIfTrue="1" operator="lessThanOrEqual">
      <formula>0</formula>
    </cfRule>
    <cfRule type="cellIs" dxfId="445" priority="92" stopIfTrue="1" operator="greaterThan">
      <formula>$F$57</formula>
    </cfRule>
    <cfRule type="cellIs" dxfId="444" priority="93" stopIfTrue="1" operator="lessThanOrEqual">
      <formula>0</formula>
    </cfRule>
    <cfRule type="cellIs" dxfId="443" priority="94" stopIfTrue="1" operator="greaterThan">
      <formula>$F$59</formula>
    </cfRule>
  </conditionalFormatting>
  <conditionalFormatting sqref="I49:I50">
    <cfRule type="cellIs" dxfId="442" priority="128" stopIfTrue="1" operator="greaterThan">
      <formula>#REF!</formula>
    </cfRule>
    <cfRule type="cellIs" dxfId="441" priority="131" stopIfTrue="1" operator="lessThanOrEqual">
      <formula>0</formula>
    </cfRule>
    <cfRule type="cellIs" dxfId="440" priority="130" stopIfTrue="1" operator="greaterThan">
      <formula>#REF!</formula>
    </cfRule>
    <cfRule type="cellIs" dxfId="439" priority="129" stopIfTrue="1" operator="lessThanOrEqual">
      <formula>0</formula>
    </cfRule>
  </conditionalFormatting>
  <conditionalFormatting sqref="I51">
    <cfRule type="cellIs" dxfId="438" priority="143" stopIfTrue="1" operator="lessThanOrEqual">
      <formula>0</formula>
    </cfRule>
    <cfRule type="cellIs" dxfId="437" priority="144" stopIfTrue="1" operator="greaterThan">
      <formula>$F$25</formula>
    </cfRule>
    <cfRule type="cellIs" dxfId="436" priority="145" stopIfTrue="1" operator="lessThanOrEqual">
      <formula>0</formula>
    </cfRule>
    <cfRule type="cellIs" dxfId="435" priority="142" stopIfTrue="1" operator="greaterThan">
      <formula>$F$27</formula>
    </cfRule>
    <cfRule type="cellIs" dxfId="434" priority="141" stopIfTrue="1" operator="lessThanOrEqual">
      <formula>0</formula>
    </cfRule>
    <cfRule type="cellIs" dxfId="433" priority="140" stopIfTrue="1" operator="greaterThan">
      <formula>$F$25</formula>
    </cfRule>
  </conditionalFormatting>
  <conditionalFormatting sqref="I52:I53">
    <cfRule type="cellIs" dxfId="432" priority="116" stopIfTrue="1" operator="greaterThan">
      <formula>#REF!</formula>
    </cfRule>
    <cfRule type="cellIs" dxfId="431" priority="117" stopIfTrue="1" operator="lessThanOrEqual">
      <formula>0</formula>
    </cfRule>
    <cfRule type="cellIs" dxfId="430" priority="118" stopIfTrue="1" operator="greaterThan">
      <formula>#REF!</formula>
    </cfRule>
    <cfRule type="cellIs" dxfId="429" priority="119" stopIfTrue="1" operator="lessThanOrEqual">
      <formula>0</formula>
    </cfRule>
  </conditionalFormatting>
  <conditionalFormatting sqref="I68:I76">
    <cfRule type="cellIs" dxfId="428" priority="169" stopIfTrue="1" operator="lessThanOrEqual">
      <formula>0</formula>
    </cfRule>
    <cfRule type="cellIs" dxfId="427" priority="168" stopIfTrue="1" operator="greaterThan">
      <formula>4.5</formula>
    </cfRule>
  </conditionalFormatting>
  <conditionalFormatting sqref="I10:J12">
    <cfRule type="cellIs" dxfId="426" priority="1" operator="lessThan">
      <formula>97.9</formula>
    </cfRule>
  </conditionalFormatting>
  <conditionalFormatting sqref="J15:J17">
    <cfRule type="cellIs" dxfId="425" priority="15" operator="lessThan">
      <formula>97.95</formula>
    </cfRule>
  </conditionalFormatting>
  <conditionalFormatting sqref="J16:J19">
    <cfRule type="cellIs" dxfId="424" priority="150" operator="lessThan">
      <formula>97.4</formula>
    </cfRule>
  </conditionalFormatting>
  <conditionalFormatting sqref="J20:J21">
    <cfRule type="cellIs" dxfId="423" priority="151" operator="lessThan">
      <formula>98</formula>
    </cfRule>
  </conditionalFormatting>
  <conditionalFormatting sqref="J22:J23">
    <cfRule type="cellIs" dxfId="422" priority="152" stopIfTrue="1" operator="lessThan">
      <formula>96.8</formula>
    </cfRule>
    <cfRule type="cellIs" dxfId="421" priority="153" stopIfTrue="1" operator="greaterThan">
      <formula>100</formula>
    </cfRule>
  </conditionalFormatting>
  <conditionalFormatting sqref="J22:J24">
    <cfRule type="cellIs" dxfId="420" priority="154" operator="lessThan">
      <formula>98</formula>
    </cfRule>
  </conditionalFormatting>
  <conditionalFormatting sqref="J53">
    <cfRule type="cellIs" dxfId="419" priority="108" stopIfTrue="1" operator="greaterThan">
      <formula>#REF!</formula>
    </cfRule>
    <cfRule type="cellIs" dxfId="418" priority="109" stopIfTrue="1" operator="lessThanOrEqual">
      <formula>0</formula>
    </cfRule>
    <cfRule type="cellIs" dxfId="417" priority="110" stopIfTrue="1" operator="greaterThan">
      <formula>#REF!</formula>
    </cfRule>
    <cfRule type="cellIs" dxfId="416" priority="111" stopIfTrue="1" operator="lessThanOrEqual">
      <formula>0</formula>
    </cfRule>
    <cfRule type="cellIs" dxfId="415" priority="104" stopIfTrue="1" operator="greaterThan">
      <formula>#REF!</formula>
    </cfRule>
    <cfRule type="cellIs" dxfId="414" priority="105" stopIfTrue="1" operator="lessThanOrEqual">
      <formula>0</formula>
    </cfRule>
    <cfRule type="cellIs" dxfId="413" priority="106" stopIfTrue="1" operator="greaterThan">
      <formula>#REF!</formula>
    </cfRule>
    <cfRule type="cellIs" dxfId="412" priority="107" stopIfTrue="1" operator="lessThanOrEqual">
      <formula>0</formula>
    </cfRule>
  </conditionalFormatting>
  <conditionalFormatting sqref="J66">
    <cfRule type="cellIs" dxfId="411" priority="43" stopIfTrue="1" operator="greaterThan">
      <formula>$F66</formula>
    </cfRule>
    <cfRule type="cellIs" dxfId="410" priority="44" stopIfTrue="1" operator="lessThanOrEqual">
      <formula>0</formula>
    </cfRule>
  </conditionalFormatting>
  <conditionalFormatting sqref="K10:K12">
    <cfRule type="cellIs" dxfId="409" priority="3" operator="lessThan">
      <formula>4</formula>
    </cfRule>
    <cfRule type="cellIs" dxfId="408" priority="2" operator="greaterThan">
      <formula>6</formula>
    </cfRule>
    <cfRule type="cellIs" dxfId="407" priority="4" operator="greaterThan">
      <formula>6.4</formula>
    </cfRule>
  </conditionalFormatting>
  <conditionalFormatting sqref="K44:K53">
    <cfRule type="cellIs" dxfId="406" priority="89" stopIfTrue="1" operator="lessThan">
      <formula>100%</formula>
    </cfRule>
  </conditionalFormatting>
  <conditionalFormatting sqref="K57:K65">
    <cfRule type="cellIs" dxfId="405" priority="33" stopIfTrue="1" operator="lessThan">
      <formula>100%</formula>
    </cfRule>
  </conditionalFormatting>
  <conditionalFormatting sqref="K68:K73">
    <cfRule type="cellIs" dxfId="404" priority="174" stopIfTrue="1" operator="lessThan">
      <formula>100%</formula>
    </cfRule>
  </conditionalFormatting>
  <conditionalFormatting sqref="K75:K76">
    <cfRule type="cellIs" dxfId="403" priority="181" stopIfTrue="1" operator="lessThan">
      <formula>100%</formula>
    </cfRule>
  </conditionalFormatting>
  <conditionalFormatting sqref="L10:L12">
    <cfRule type="cellIs" dxfId="402" priority="5" operator="between">
      <formula>61</formula>
      <formula>65</formula>
    </cfRule>
    <cfRule type="cellIs" dxfId="401" priority="6" operator="greaterThan">
      <formula>65</formula>
    </cfRule>
  </conditionalFormatting>
  <conditionalFormatting sqref="L15:M26">
    <cfRule type="cellIs" dxfId="400" priority="14" operator="lessThan">
      <formula>97.95</formula>
    </cfRule>
  </conditionalFormatting>
  <conditionalFormatting sqref="L30:N30">
    <cfRule type="cellIs" dxfId="399" priority="12" operator="notEqual">
      <formula>#REF!</formula>
    </cfRule>
  </conditionalFormatting>
  <conditionalFormatting sqref="L57:N66">
    <cfRule type="cellIs" dxfId="398" priority="30" stopIfTrue="1" operator="lessThan">
      <formula>100%</formula>
    </cfRule>
  </conditionalFormatting>
  <conditionalFormatting sqref="L68:N76">
    <cfRule type="cellIs" dxfId="397" priority="159" stopIfTrue="1" operator="lessThan">
      <formula>100%</formula>
    </cfRule>
  </conditionalFormatting>
  <conditionalFormatting sqref="M12">
    <cfRule type="expression" dxfId="396" priority="9">
      <formula>IF(+(IF(M12&lt;U12,0,IF(M12&gt;V12,0,1)))=0,1)</formula>
    </cfRule>
  </conditionalFormatting>
  <conditionalFormatting sqref="N10:N12">
    <cfRule type="expression" dxfId="395" priority="13">
      <formula>IF(+(IF(N10&lt;W10,0,IF(N10&gt;X10,0,1)))=0,1)</formula>
    </cfRule>
  </conditionalFormatting>
  <conditionalFormatting sqref="P6">
    <cfRule type="cellIs" dxfId="394" priority="155" operator="greaterThanOrEqual">
      <formula>19</formula>
    </cfRule>
  </conditionalFormatting>
  <dataValidations count="1">
    <dataValidation type="list" allowBlank="1" showInputMessage="1" showErrorMessage="1" sqref="R8" xr:uid="{B12F37DF-BB89-43EB-88CB-647575A7358A}">
      <formula1>ProductList</formula1>
    </dataValidation>
  </dataValidations>
  <pageMargins left="0.7" right="0.7" top="0.75" bottom="0.75" header="0.3" footer="0.3"/>
  <pageSetup scale="40" fitToWidth="0" orientation="landscape" r:id="rId1"/>
  <rowBreaks count="1" manualBreakCount="1">
    <brk id="70" max="16383" man="1"/>
  </rowBreaks>
  <colBreaks count="1" manualBreakCount="1">
    <brk id="15" max="89" man="1"/>
  </colBreaks>
  <legacy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5A817-BAA5-4E31-9A47-DF986659B452}">
  <sheetPr>
    <pageSetUpPr fitToPage="1"/>
  </sheetPr>
  <dimension ref="A1:BE77"/>
  <sheetViews>
    <sheetView topLeftCell="A29" zoomScale="85" zoomScaleNormal="85" workbookViewId="0">
      <selection activeCell="G10" sqref="G10:G17"/>
    </sheetView>
  </sheetViews>
  <sheetFormatPr defaultColWidth="9.42578125" defaultRowHeight="14.25"/>
  <cols>
    <col min="1" max="1" width="7.28515625" style="275" customWidth="1"/>
    <col min="2" max="2" width="31.28515625" style="275" customWidth="1"/>
    <col min="3" max="3" width="22.28515625" style="275" customWidth="1"/>
    <col min="4" max="7" width="16.5703125" style="275" customWidth="1"/>
    <col min="8" max="8" width="20.7109375" style="275" customWidth="1"/>
    <col min="9" max="9" width="31.42578125" style="275" customWidth="1"/>
    <col min="10" max="10" width="35.28515625" style="275" customWidth="1"/>
    <col min="11" max="11" width="29" style="275" customWidth="1"/>
    <col min="12" max="12" width="17.28515625" style="275" bestFit="1" customWidth="1"/>
    <col min="13" max="13" width="23.28515625" style="275" customWidth="1"/>
    <col min="14" max="14" width="13.7109375" style="275" bestFit="1" customWidth="1"/>
    <col min="15" max="15" width="17.5703125" style="275" customWidth="1"/>
    <col min="16" max="16" width="109.28515625" style="6" customWidth="1"/>
    <col min="17" max="17" width="16.5703125" style="275" customWidth="1"/>
    <col min="18" max="18" width="15.7109375" style="275" bestFit="1" customWidth="1"/>
    <col min="19" max="19" width="12.42578125" style="275" customWidth="1"/>
    <col min="20" max="20" width="15" style="275" customWidth="1"/>
    <col min="21" max="21" width="12" style="275" customWidth="1"/>
    <col min="22" max="22" width="10.42578125" style="275" customWidth="1"/>
    <col min="23" max="23" width="11.42578125" style="275" customWidth="1"/>
    <col min="24" max="24" width="10.42578125" style="275" customWidth="1"/>
    <col min="25" max="25" width="8.42578125" style="275" customWidth="1"/>
    <col min="26" max="26" width="9.5703125" style="275" customWidth="1"/>
    <col min="27" max="27" width="8.42578125" style="275" customWidth="1"/>
    <col min="28" max="29" width="7.5703125" style="275" customWidth="1"/>
    <col min="30" max="51" width="9.42578125" style="275"/>
    <col min="52" max="52" width="1.5703125" style="275" customWidth="1"/>
    <col min="53" max="54" width="9.42578125" style="275"/>
    <col min="55" max="56" width="15.42578125" style="275" customWidth="1"/>
    <col min="57" max="16384" width="9.42578125" style="275"/>
  </cols>
  <sheetData>
    <row r="1" spans="2:29" ht="1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R1" s="467"/>
      <c r="S1" s="553" t="s">
        <v>0</v>
      </c>
      <c r="T1" s="553"/>
      <c r="U1" s="553" t="s">
        <v>1</v>
      </c>
      <c r="V1" s="553"/>
      <c r="W1" s="553" t="s">
        <v>2</v>
      </c>
      <c r="X1" s="553"/>
      <c r="Y1" s="553" t="s">
        <v>124</v>
      </c>
      <c r="Z1" s="553"/>
    </row>
    <row r="2" spans="2:29" ht="15">
      <c r="B2" s="554" t="s">
        <v>3</v>
      </c>
      <c r="C2" s="554"/>
      <c r="D2" s="554"/>
      <c r="E2" s="554"/>
      <c r="F2" s="554"/>
      <c r="G2" s="554"/>
      <c r="H2" s="554"/>
      <c r="I2" s="554"/>
      <c r="J2" s="554"/>
      <c r="K2" s="554"/>
      <c r="L2" s="554"/>
      <c r="M2" s="554"/>
      <c r="N2" s="554"/>
      <c r="O2" s="554"/>
      <c r="P2" s="4"/>
      <c r="R2" s="467"/>
      <c r="S2" s="467" t="s">
        <v>4</v>
      </c>
      <c r="T2" s="467" t="s">
        <v>5</v>
      </c>
      <c r="U2" s="467" t="s">
        <v>4</v>
      </c>
      <c r="V2" s="467" t="s">
        <v>5</v>
      </c>
      <c r="W2" s="467" t="s">
        <v>4</v>
      </c>
      <c r="X2" s="467" t="s">
        <v>5</v>
      </c>
      <c r="Y2" s="467" t="s">
        <v>4</v>
      </c>
      <c r="Z2" s="467" t="s">
        <v>5</v>
      </c>
    </row>
    <row r="3" spans="2:29" ht="14.25" customHeight="1">
      <c r="B3" s="5"/>
      <c r="R3" s="467" t="s">
        <v>6</v>
      </c>
      <c r="S3" s="468">
        <v>11.6</v>
      </c>
      <c r="T3" s="469">
        <v>12</v>
      </c>
      <c r="U3" s="9">
        <v>0</v>
      </c>
      <c r="V3" s="10">
        <v>0.118055555555556</v>
      </c>
      <c r="W3" s="10">
        <v>0.22569444444444445</v>
      </c>
      <c r="X3" s="10">
        <v>0.2638888888888889</v>
      </c>
      <c r="Y3" s="470">
        <v>0</v>
      </c>
      <c r="Z3" s="468">
        <v>60</v>
      </c>
      <c r="AB3" s="275" t="s">
        <v>135</v>
      </c>
    </row>
    <row r="4" spans="2:29" ht="30.75" customHeight="1">
      <c r="B4" s="301" t="s">
        <v>133</v>
      </c>
      <c r="C4" s="419">
        <v>46294</v>
      </c>
      <c r="J4" s="398" t="s">
        <v>153</v>
      </c>
      <c r="K4" s="398"/>
      <c r="L4" s="11"/>
      <c r="M4" s="555" t="s">
        <v>8</v>
      </c>
      <c r="N4" s="556"/>
      <c r="P4" s="12"/>
      <c r="R4" s="467" t="s">
        <v>9</v>
      </c>
      <c r="S4" s="468">
        <v>11.6</v>
      </c>
      <c r="T4" s="469">
        <v>12</v>
      </c>
      <c r="U4" s="9">
        <v>0</v>
      </c>
      <c r="V4" s="10">
        <v>0.118055555555556</v>
      </c>
      <c r="W4" s="10">
        <v>0.22569444444444445</v>
      </c>
      <c r="X4" s="10">
        <v>0.2638888888888889</v>
      </c>
      <c r="Y4" s="470">
        <v>0</v>
      </c>
      <c r="Z4" s="468">
        <v>60</v>
      </c>
      <c r="AA4" s="13"/>
      <c r="AB4" s="13"/>
      <c r="AC4" s="13"/>
    </row>
    <row r="5" spans="2:29" ht="12.75" customHeight="1" thickBot="1">
      <c r="B5" s="1"/>
      <c r="C5" s="549"/>
      <c r="D5" s="549"/>
      <c r="J5" s="403"/>
      <c r="K5" s="403"/>
      <c r="L5" s="11"/>
      <c r="M5" s="14" t="s">
        <v>10</v>
      </c>
      <c r="N5" s="14" t="s">
        <v>11</v>
      </c>
      <c r="P5" s="12"/>
      <c r="R5" s="467" t="s">
        <v>12</v>
      </c>
      <c r="S5" s="468">
        <v>17</v>
      </c>
      <c r="T5" s="469">
        <v>17.5</v>
      </c>
      <c r="U5" s="9">
        <v>0</v>
      </c>
      <c r="V5" s="10">
        <v>0.1076388888888889</v>
      </c>
      <c r="W5" s="10">
        <v>0.24652777777777779</v>
      </c>
      <c r="X5" s="10">
        <v>0.28472222222222221</v>
      </c>
      <c r="Y5" s="470">
        <v>0</v>
      </c>
      <c r="Z5" s="471">
        <v>60</v>
      </c>
      <c r="AA5" s="13"/>
      <c r="AB5" s="13"/>
      <c r="AC5" s="13"/>
    </row>
    <row r="6" spans="2:29" ht="14.25" customHeight="1">
      <c r="B6" s="15"/>
      <c r="C6" s="1"/>
      <c r="D6" s="1"/>
      <c r="J6" s="399" t="s">
        <v>168</v>
      </c>
      <c r="K6" s="400"/>
      <c r="L6" s="311" t="s">
        <v>14</v>
      </c>
      <c r="M6" s="340"/>
      <c r="N6" s="340"/>
      <c r="P6" s="16"/>
      <c r="R6" s="467" t="s">
        <v>15</v>
      </c>
      <c r="S6" s="468">
        <v>13.3</v>
      </c>
      <c r="T6" s="469">
        <v>13.5</v>
      </c>
      <c r="U6" s="9">
        <v>0</v>
      </c>
      <c r="V6" s="9">
        <v>0.12905092592592593</v>
      </c>
      <c r="W6" s="10">
        <v>0.27430555555555552</v>
      </c>
      <c r="X6" s="10">
        <v>0.30208333333333331</v>
      </c>
      <c r="Y6" s="470">
        <v>0</v>
      </c>
      <c r="Z6" s="471"/>
      <c r="AA6" s="13"/>
      <c r="AB6" s="13"/>
      <c r="AC6" s="13"/>
    </row>
    <row r="7" spans="2:29" ht="13.35" customHeight="1" thickBot="1">
      <c r="J7" s="401"/>
      <c r="K7" s="402"/>
      <c r="R7" s="467" t="s">
        <v>16</v>
      </c>
      <c r="S7" s="468">
        <v>17</v>
      </c>
      <c r="T7" s="469">
        <v>17.399999999999999</v>
      </c>
      <c r="U7" s="9">
        <v>0</v>
      </c>
      <c r="V7" s="9">
        <v>0.13605324074074074</v>
      </c>
      <c r="W7" s="10">
        <v>0.27430555555555552</v>
      </c>
      <c r="X7" s="10">
        <v>0.30902777777777779</v>
      </c>
      <c r="Y7" s="470">
        <v>0</v>
      </c>
      <c r="Z7" s="471">
        <v>85</v>
      </c>
      <c r="AA7" s="13"/>
      <c r="AB7" s="13"/>
      <c r="AC7" s="13"/>
    </row>
    <row r="8" spans="2:29" ht="25.5" customHeight="1">
      <c r="B8" s="507" t="s">
        <v>17</v>
      </c>
      <c r="C8" s="516" t="s">
        <v>18</v>
      </c>
      <c r="D8" s="516" t="s">
        <v>19</v>
      </c>
      <c r="E8" s="356" t="s">
        <v>20</v>
      </c>
      <c r="F8" s="356" t="s">
        <v>21</v>
      </c>
      <c r="G8" s="516" t="s">
        <v>22</v>
      </c>
      <c r="H8" s="551" t="s">
        <v>144</v>
      </c>
      <c r="I8" s="516" t="s">
        <v>167</v>
      </c>
      <c r="J8" s="542" t="s">
        <v>23</v>
      </c>
      <c r="K8" s="544" t="s">
        <v>142</v>
      </c>
      <c r="L8" s="546" t="s">
        <v>24</v>
      </c>
      <c r="M8" s="359" t="s">
        <v>25</v>
      </c>
      <c r="N8" s="17" t="s">
        <v>166</v>
      </c>
      <c r="O8" s="516" t="s">
        <v>155</v>
      </c>
      <c r="P8" s="548"/>
      <c r="R8" s="467" t="s">
        <v>125</v>
      </c>
      <c r="S8" s="468">
        <v>16.600000000000001</v>
      </c>
      <c r="T8" s="469">
        <v>17</v>
      </c>
      <c r="U8" s="9">
        <v>0</v>
      </c>
      <c r="V8" s="9">
        <v>0.12905092592592593</v>
      </c>
      <c r="W8" s="10">
        <v>0.27430555555555552</v>
      </c>
      <c r="X8" s="10">
        <v>0.30208333333333331</v>
      </c>
      <c r="Y8" s="470">
        <v>0</v>
      </c>
      <c r="Z8" s="471"/>
    </row>
    <row r="9" spans="2:29" ht="36" customHeight="1">
      <c r="B9" s="550"/>
      <c r="C9" s="541"/>
      <c r="D9" s="541"/>
      <c r="E9" s="357" t="s">
        <v>30</v>
      </c>
      <c r="F9" s="357" t="s">
        <v>31</v>
      </c>
      <c r="G9" s="541"/>
      <c r="H9" s="552"/>
      <c r="I9" s="541"/>
      <c r="J9" s="543"/>
      <c r="K9" s="545"/>
      <c r="L9" s="547"/>
      <c r="M9" s="20" t="s">
        <v>32</v>
      </c>
      <c r="N9" s="21" t="s">
        <v>41</v>
      </c>
      <c r="O9" s="541"/>
      <c r="P9" s="541"/>
      <c r="R9" s="467" t="s">
        <v>33</v>
      </c>
      <c r="S9" s="468">
        <v>14.2</v>
      </c>
      <c r="T9" s="469">
        <v>14.6</v>
      </c>
      <c r="U9" s="9">
        <v>0</v>
      </c>
      <c r="V9" s="9">
        <v>0.13905092592592591</v>
      </c>
      <c r="W9" s="10">
        <v>0.26041666666666669</v>
      </c>
      <c r="X9" s="10">
        <v>0.2951388888888889</v>
      </c>
      <c r="Y9" s="470">
        <v>0</v>
      </c>
      <c r="Z9" s="471">
        <v>75</v>
      </c>
    </row>
    <row r="10" spans="2:29" ht="15" customHeight="1">
      <c r="B10" s="37" t="s">
        <v>16</v>
      </c>
      <c r="C10" s="366" t="str">
        <f>[3]Brewhouse!$A103</f>
        <v>SM091</v>
      </c>
      <c r="D10" s="279">
        <f>[3]Brewhouse!$AH103</f>
        <v>53.1</v>
      </c>
      <c r="E10" s="279">
        <f>[3]Brewhouse!$AM103</f>
        <v>50.4</v>
      </c>
      <c r="F10" s="278">
        <f>[3]Brewhouse!$Z103</f>
        <v>58</v>
      </c>
      <c r="G10" s="279">
        <f>[3]Brewhouse!$AK103</f>
        <v>17.399999999999999</v>
      </c>
      <c r="H10" s="396">
        <v>17.3</v>
      </c>
      <c r="I10" s="368">
        <f>[3]Brewhouse!$AY103</f>
        <v>91.362987993240026</v>
      </c>
      <c r="J10" s="368">
        <f>[3]Brewhouse!$AZ103</f>
        <v>91.863444798447631</v>
      </c>
      <c r="K10" s="281">
        <f>[3]Brewhouse!$U103</f>
        <v>10.885122410546142</v>
      </c>
      <c r="L10" s="276">
        <f>[3]Brewhouse!$T103</f>
        <v>58</v>
      </c>
      <c r="M10" s="374">
        <f>[3]Brewhouse!$Y103-[3]Brewhouse!$X103</f>
        <v>0.12708333333333333</v>
      </c>
      <c r="N10" s="370">
        <f>[3]Brewhouse!$AD103</f>
        <v>0.2951388888888889</v>
      </c>
      <c r="O10" s="371" t="str">
        <f>[3]Brewhouse!$BC103</f>
        <v>R. Regis</v>
      </c>
      <c r="P10" s="418"/>
      <c r="R10" s="277" t="str">
        <f t="shared" ref="R10:R21" si="0">B10</f>
        <v>STARMALT</v>
      </c>
      <c r="S10" s="472">
        <f t="shared" ref="S10:S21" si="1">VLOOKUP($B10,$R$3:$X$9,2,FALSE)</f>
        <v>17</v>
      </c>
      <c r="T10" s="472">
        <f t="shared" ref="T10:T21" si="2">VLOOKUP($B10,$R$3:$X$9,3,FALSE)</f>
        <v>17.399999999999999</v>
      </c>
      <c r="U10" s="297">
        <f t="shared" ref="U10:U21" si="3">VLOOKUP($B10,$R$3:$X$9,4,FALSE)</f>
        <v>0</v>
      </c>
      <c r="V10" s="297">
        <f t="shared" ref="V10:V21" si="4">VLOOKUP($B10,$R$3:$X$9,5,FALSE)</f>
        <v>0.13605324074074074</v>
      </c>
      <c r="W10" s="297">
        <f t="shared" ref="W10:W21" si="5">VLOOKUP($B10,$R$3:$X$9,6,FALSE)</f>
        <v>0.27430555555555552</v>
      </c>
      <c r="X10" s="297">
        <f t="shared" ref="X10:X21" si="6">VLOOKUP($B10,$R$3:$X$9,7,FALSE)</f>
        <v>0.30902777777777779</v>
      </c>
      <c r="Y10" s="297">
        <f t="shared" ref="Y10:Y21" si="7">VLOOKUP($B10,$R$3:$Z$9,8,FALSE)</f>
        <v>0</v>
      </c>
      <c r="Z10" s="472">
        <f t="shared" ref="Z10:Z21" si="8">VLOOKUP($B10,$R$3:$Z$9,9,FALSE)</f>
        <v>85</v>
      </c>
    </row>
    <row r="11" spans="2:29" ht="15" customHeight="1">
      <c r="B11" s="37" t="s">
        <v>16</v>
      </c>
      <c r="C11" s="366" t="str">
        <f>[3]Brewhouse!$A104</f>
        <v>SM092</v>
      </c>
      <c r="D11" s="279">
        <f>[3]Brewhouse!$AH104</f>
        <v>53.1</v>
      </c>
      <c r="E11" s="279">
        <f>[3]Brewhouse!$AM104</f>
        <v>51.2</v>
      </c>
      <c r="F11" s="278">
        <f>[3]Brewhouse!$Z104</f>
        <v>71</v>
      </c>
      <c r="G11" s="279">
        <f>[3]Brewhouse!$AK104</f>
        <v>17.600000000000001</v>
      </c>
      <c r="H11" s="493">
        <v>17.600000000000001</v>
      </c>
      <c r="I11" s="368">
        <f>[3]Brewhouse!$AY104</f>
        <v>99.215796863752757</v>
      </c>
      <c r="J11" s="368">
        <f>[3]Brewhouse!$AZ104</f>
        <v>99.759775983969064</v>
      </c>
      <c r="K11" s="281">
        <f>[3]Brewhouse!$U104</f>
        <v>8.2485875706214742</v>
      </c>
      <c r="L11" s="276">
        <f>[3]Brewhouse!$T104</f>
        <v>60</v>
      </c>
      <c r="M11" s="374">
        <f>[3]Brewhouse!$Y104-[3]Brewhouse!$X104</f>
        <v>0.13611111111111107</v>
      </c>
      <c r="N11" s="370">
        <f>[3]Brewhouse!$AD104</f>
        <v>0.29930555555555549</v>
      </c>
      <c r="O11" s="371" t="str">
        <f>[3]Brewhouse!$BC104</f>
        <v>R. Regis</v>
      </c>
      <c r="P11" s="418"/>
      <c r="R11" s="277" t="str">
        <f t="shared" si="0"/>
        <v>STARMALT</v>
      </c>
      <c r="S11" s="472">
        <f t="shared" si="1"/>
        <v>17</v>
      </c>
      <c r="T11" s="472">
        <f t="shared" si="2"/>
        <v>17.399999999999999</v>
      </c>
      <c r="U11" s="297">
        <f t="shared" si="3"/>
        <v>0</v>
      </c>
      <c r="V11" s="297">
        <f t="shared" si="4"/>
        <v>0.13605324074074074</v>
      </c>
      <c r="W11" s="297">
        <f t="shared" si="5"/>
        <v>0.27430555555555552</v>
      </c>
      <c r="X11" s="297">
        <f t="shared" si="6"/>
        <v>0.30902777777777779</v>
      </c>
      <c r="Y11" s="297">
        <f t="shared" si="7"/>
        <v>0</v>
      </c>
      <c r="Z11" s="472">
        <f t="shared" si="8"/>
        <v>85</v>
      </c>
    </row>
    <row r="12" spans="2:29" ht="15" customHeight="1">
      <c r="B12" s="37" t="s">
        <v>16</v>
      </c>
      <c r="C12" s="366" t="str">
        <f>[3]Brewhouse!$A105</f>
        <v>SM093</v>
      </c>
      <c r="D12" s="279">
        <f>[3]Brewhouse!$AH105</f>
        <v>53.1</v>
      </c>
      <c r="E12" s="279">
        <f>[3]Brewhouse!$AM105</f>
        <v>52.1</v>
      </c>
      <c r="F12" s="278">
        <f>[3]Brewhouse!$Z105</f>
        <v>75</v>
      </c>
      <c r="G12" s="279">
        <f>[3]Brewhouse!$AK105</f>
        <v>17.3</v>
      </c>
      <c r="H12" s="396">
        <v>17.3</v>
      </c>
      <c r="I12" s="368">
        <f>[3]Brewhouse!$AY105</f>
        <v>99.29801654311035</v>
      </c>
      <c r="J12" s="368">
        <f>[3]Brewhouse!$AZ105</f>
        <v>99.841430449000029</v>
      </c>
      <c r="K12" s="281">
        <f>[3]Brewhouse!$U105</f>
        <v>8.8135593220339103</v>
      </c>
      <c r="L12" s="276">
        <f>[3]Brewhouse!$T105</f>
        <v>57</v>
      </c>
      <c r="M12" s="374">
        <f>[3]Brewhouse!$Y105-[3]Brewhouse!$X105</f>
        <v>0.13680555555555551</v>
      </c>
      <c r="N12" s="370">
        <f>[3]Brewhouse!$AD105</f>
        <v>0.3125</v>
      </c>
      <c r="O12" s="371" t="str">
        <f>[3]Brewhouse!$BC105</f>
        <v>R.Sookram</v>
      </c>
      <c r="P12" s="418"/>
      <c r="R12" s="277" t="str">
        <f t="shared" si="0"/>
        <v>STARMALT</v>
      </c>
      <c r="S12" s="472">
        <f t="shared" si="1"/>
        <v>17</v>
      </c>
      <c r="T12" s="472">
        <f t="shared" si="2"/>
        <v>17.399999999999999</v>
      </c>
      <c r="U12" s="297">
        <f t="shared" si="3"/>
        <v>0</v>
      </c>
      <c r="V12" s="297">
        <f t="shared" si="4"/>
        <v>0.13605324074074074</v>
      </c>
      <c r="W12" s="297">
        <f t="shared" si="5"/>
        <v>0.27430555555555552</v>
      </c>
      <c r="X12" s="297">
        <f t="shared" si="6"/>
        <v>0.30902777777777779</v>
      </c>
      <c r="Y12" s="297">
        <f t="shared" si="7"/>
        <v>0</v>
      </c>
      <c r="Z12" s="472">
        <f t="shared" si="8"/>
        <v>85</v>
      </c>
    </row>
    <row r="13" spans="2:29" ht="15" customHeight="1">
      <c r="B13" s="37" t="s">
        <v>16</v>
      </c>
      <c r="C13" s="366" t="str">
        <f>[3]Brewhouse!$A106</f>
        <v>SM094</v>
      </c>
      <c r="D13" s="279">
        <f>[3]Brewhouse!$AH106</f>
        <v>53.1</v>
      </c>
      <c r="E13" s="279">
        <f>[3]Brewhouse!$AM106</f>
        <v>51.5</v>
      </c>
      <c r="F13" s="278">
        <f>[3]Brewhouse!$Z106</f>
        <v>70</v>
      </c>
      <c r="G13" s="279">
        <f>[3]Brewhouse!$AK106</f>
        <v>17.3</v>
      </c>
      <c r="H13" s="493">
        <v>17.600000000000001</v>
      </c>
      <c r="I13" s="368">
        <f>[3]Brewhouse!$AY106</f>
        <v>98.233831289791937</v>
      </c>
      <c r="J13" s="368">
        <f>[3]Brewhouse!$AZ106</f>
        <v>98.770917612147883</v>
      </c>
      <c r="K13" s="281">
        <f>[3]Brewhouse!$U106</f>
        <v>6.5536723163841879</v>
      </c>
      <c r="L13" s="276">
        <f>[3]Brewhouse!$T106</f>
        <v>60</v>
      </c>
      <c r="M13" s="374">
        <f>[3]Brewhouse!$Y106-[3]Brewhouse!$X106</f>
        <v>0.13680555555555551</v>
      </c>
      <c r="N13" s="370">
        <f>[3]Brewhouse!$AD106</f>
        <v>0.30624999999999997</v>
      </c>
      <c r="O13" s="371" t="str">
        <f>[3]Brewhouse!$BC106</f>
        <v>R.Sookram</v>
      </c>
      <c r="P13" s="418"/>
      <c r="R13" s="277" t="str">
        <f t="shared" si="0"/>
        <v>STARMALT</v>
      </c>
      <c r="S13" s="472">
        <f t="shared" si="1"/>
        <v>17</v>
      </c>
      <c r="T13" s="472">
        <f t="shared" si="2"/>
        <v>17.399999999999999</v>
      </c>
      <c r="U13" s="297">
        <f t="shared" si="3"/>
        <v>0</v>
      </c>
      <c r="V13" s="297">
        <f t="shared" si="4"/>
        <v>0.13605324074074074</v>
      </c>
      <c r="W13" s="297">
        <f t="shared" si="5"/>
        <v>0.27430555555555552</v>
      </c>
      <c r="X13" s="297">
        <f t="shared" si="6"/>
        <v>0.30902777777777779</v>
      </c>
      <c r="Y13" s="297">
        <f t="shared" si="7"/>
        <v>0</v>
      </c>
      <c r="Z13" s="472">
        <f t="shared" si="8"/>
        <v>85</v>
      </c>
    </row>
    <row r="14" spans="2:29" ht="15" customHeight="1">
      <c r="B14" s="37" t="s">
        <v>16</v>
      </c>
      <c r="C14" s="366" t="str">
        <f>[3]Brewhouse!$A107</f>
        <v>SM095</v>
      </c>
      <c r="D14" s="279">
        <f>[3]Brewhouse!$AH107</f>
        <v>53</v>
      </c>
      <c r="E14" s="279">
        <f>[3]Brewhouse!$AM107</f>
        <v>52.9</v>
      </c>
      <c r="F14" s="278">
        <f>[3]Brewhouse!$Z107</f>
        <v>66</v>
      </c>
      <c r="G14" s="279">
        <f>[3]Brewhouse!$AK107</f>
        <v>17.100000000000001</v>
      </c>
      <c r="H14" s="396">
        <v>17.5</v>
      </c>
      <c r="I14" s="368">
        <f>[3]Brewhouse!$AY107</f>
        <v>99.569274184400996</v>
      </c>
      <c r="J14" s="368">
        <f>[3]Brewhouse!$AZ107</f>
        <v>100.11417256278558</v>
      </c>
      <c r="K14" s="281">
        <f>[3]Brewhouse!$U107</f>
        <v>4.4905660377358538</v>
      </c>
      <c r="L14" s="276">
        <f>[3]Brewhouse!$T107</f>
        <v>60</v>
      </c>
      <c r="M14" s="374">
        <f>[3]Brewhouse!$Y107-[3]Brewhouse!$X107</f>
        <v>0.13402777777777775</v>
      </c>
      <c r="N14" s="370">
        <f>[3]Brewhouse!$AD107</f>
        <v>0.30277777777777781</v>
      </c>
      <c r="O14" s="371" t="str">
        <f>[3]Brewhouse!$BC107</f>
        <v>R.Sookram</v>
      </c>
      <c r="P14" s="418"/>
      <c r="R14" s="277" t="str">
        <f t="shared" si="0"/>
        <v>STARMALT</v>
      </c>
      <c r="S14" s="472">
        <f t="shared" si="1"/>
        <v>17</v>
      </c>
      <c r="T14" s="472">
        <f t="shared" si="2"/>
        <v>17.399999999999999</v>
      </c>
      <c r="U14" s="297">
        <f t="shared" si="3"/>
        <v>0</v>
      </c>
      <c r="V14" s="297">
        <f t="shared" si="4"/>
        <v>0.13605324074074074</v>
      </c>
      <c r="W14" s="297">
        <f t="shared" si="5"/>
        <v>0.27430555555555552</v>
      </c>
      <c r="X14" s="297">
        <f t="shared" si="6"/>
        <v>0.30902777777777779</v>
      </c>
      <c r="Y14" s="297">
        <f t="shared" si="7"/>
        <v>0</v>
      </c>
      <c r="Z14" s="472">
        <f t="shared" si="8"/>
        <v>85</v>
      </c>
    </row>
    <row r="15" spans="2:29" ht="15" customHeight="1">
      <c r="B15" s="37" t="s">
        <v>16</v>
      </c>
      <c r="C15" s="366" t="str">
        <f>[3]Brewhouse!$A108</f>
        <v>SM096</v>
      </c>
      <c r="D15" s="279">
        <f>[3]Brewhouse!$AH108</f>
        <v>53</v>
      </c>
      <c r="E15" s="279">
        <f>[3]Brewhouse!$AM108</f>
        <v>52.8</v>
      </c>
      <c r="F15" s="278">
        <f>[3]Brewhouse!$Z108</f>
        <v>71</v>
      </c>
      <c r="G15" s="279">
        <f>[3]Brewhouse!$AK108</f>
        <v>17</v>
      </c>
      <c r="H15" s="396">
        <v>17.5</v>
      </c>
      <c r="I15" s="368">
        <f>[3]Brewhouse!$AY108</f>
        <v>98.888084432015162</v>
      </c>
      <c r="J15" s="368">
        <f>[3]Brewhouse!$AZ108</f>
        <v>99.428239894388099</v>
      </c>
      <c r="K15" s="281">
        <f>[3]Brewhouse!$U108</f>
        <v>4.1132075471698109</v>
      </c>
      <c r="L15" s="276">
        <f>[3]Brewhouse!$T108</f>
        <v>61</v>
      </c>
      <c r="M15" s="374">
        <f>[3]Brewhouse!$Y108-[3]Brewhouse!$X108</f>
        <v>0.13541666666666663</v>
      </c>
      <c r="N15" s="370">
        <f>[3]Brewhouse!$AD108</f>
        <v>0.29722222222222217</v>
      </c>
      <c r="O15" s="371" t="str">
        <f>[3]Brewhouse!$BC108</f>
        <v>K. Benjamin</v>
      </c>
      <c r="P15" s="418"/>
      <c r="R15" s="277" t="str">
        <f t="shared" si="0"/>
        <v>STARMALT</v>
      </c>
      <c r="S15" s="472">
        <f t="shared" si="1"/>
        <v>17</v>
      </c>
      <c r="T15" s="472">
        <f t="shared" si="2"/>
        <v>17.399999999999999</v>
      </c>
      <c r="U15" s="297">
        <f t="shared" si="3"/>
        <v>0</v>
      </c>
      <c r="V15" s="297">
        <f t="shared" si="4"/>
        <v>0.13605324074074074</v>
      </c>
      <c r="W15" s="297">
        <f t="shared" si="5"/>
        <v>0.27430555555555552</v>
      </c>
      <c r="X15" s="297">
        <f t="shared" si="6"/>
        <v>0.30902777777777779</v>
      </c>
      <c r="Y15" s="297">
        <f t="shared" si="7"/>
        <v>0</v>
      </c>
      <c r="Z15" s="472">
        <f t="shared" si="8"/>
        <v>85</v>
      </c>
    </row>
    <row r="16" spans="2:29" ht="15" customHeight="1">
      <c r="B16" s="37" t="s">
        <v>16</v>
      </c>
      <c r="C16" s="366" t="str">
        <f>[3]Brewhouse!$A109</f>
        <v>SM097</v>
      </c>
      <c r="D16" s="279">
        <f>[3]Brewhouse!$AH109</f>
        <v>53</v>
      </c>
      <c r="E16" s="279">
        <f>[3]Brewhouse!$AM109</f>
        <v>52.4</v>
      </c>
      <c r="F16" s="278">
        <f>[3]Brewhouse!$Z109</f>
        <v>65</v>
      </c>
      <c r="G16" s="279">
        <f>[3]Brewhouse!$AK109</f>
        <v>17.100000000000001</v>
      </c>
      <c r="H16" s="396">
        <v>17.100000000000001</v>
      </c>
      <c r="I16" s="368">
        <f>[3]Brewhouse!$AY109</f>
        <v>98.707910698105209</v>
      </c>
      <c r="J16" s="368">
        <f>[3]Brewhouse!$AZ109</f>
        <v>99.247589015118905</v>
      </c>
      <c r="K16" s="281">
        <f>[3]Brewhouse!$U109</f>
        <v>4.4905660377358538</v>
      </c>
      <c r="L16" s="276">
        <f>[3]Brewhouse!$T109</f>
        <v>60</v>
      </c>
      <c r="M16" s="374">
        <f>[3]Brewhouse!$Y109-[3]Brewhouse!$X109</f>
        <v>0.13124999999999998</v>
      </c>
      <c r="N16" s="370">
        <f>[3]Brewhouse!$AD109</f>
        <v>0.29930555555555549</v>
      </c>
      <c r="O16" s="371" t="str">
        <f>[3]Brewhouse!$BC109</f>
        <v>K. Benjamin</v>
      </c>
      <c r="P16" s="418"/>
      <c r="R16" s="277" t="str">
        <f t="shared" si="0"/>
        <v>STARMALT</v>
      </c>
      <c r="S16" s="472">
        <f t="shared" si="1"/>
        <v>17</v>
      </c>
      <c r="T16" s="472">
        <f t="shared" si="2"/>
        <v>17.399999999999999</v>
      </c>
      <c r="U16" s="297">
        <f t="shared" si="3"/>
        <v>0</v>
      </c>
      <c r="V16" s="297">
        <f t="shared" si="4"/>
        <v>0.13605324074074074</v>
      </c>
      <c r="W16" s="297">
        <f t="shared" si="5"/>
        <v>0.27430555555555552</v>
      </c>
      <c r="X16" s="297">
        <f t="shared" si="6"/>
        <v>0.30902777777777779</v>
      </c>
      <c r="Y16" s="297">
        <f t="shared" si="7"/>
        <v>0</v>
      </c>
      <c r="Z16" s="472">
        <f t="shared" si="8"/>
        <v>85</v>
      </c>
    </row>
    <row r="17" spans="1:26" ht="15" customHeight="1">
      <c r="B17" s="37" t="s">
        <v>16</v>
      </c>
      <c r="C17" s="366" t="str">
        <f>[3]Brewhouse!$A110</f>
        <v>SM098</v>
      </c>
      <c r="D17" s="279">
        <f>[3]Brewhouse!$AH110</f>
        <v>53.1</v>
      </c>
      <c r="E17" s="279">
        <f>[3]Brewhouse!$AM110</f>
        <v>51.9</v>
      </c>
      <c r="F17" s="278">
        <f>[3]Brewhouse!$Z110</f>
        <v>66</v>
      </c>
      <c r="G17" s="279">
        <f>[3]Brewhouse!$AK110</f>
        <v>17</v>
      </c>
      <c r="H17" s="396">
        <v>17.2</v>
      </c>
      <c r="I17" s="368">
        <f>[3]Brewhouse!$AY110</f>
        <v>96.344911241358759</v>
      </c>
      <c r="J17" s="368">
        <f>[3]Brewhouse!$AZ110</f>
        <v>96.876575426402539</v>
      </c>
      <c r="K17" s="281">
        <f>[3]Brewhouse!$U110</f>
        <v>6.5536723163841879</v>
      </c>
      <c r="L17" s="276">
        <f>[3]Brewhouse!$T110</f>
        <v>62</v>
      </c>
      <c r="M17" s="374">
        <f>[3]Brewhouse!$Y110-[3]Brewhouse!$X110</f>
        <v>0.15486111111111112</v>
      </c>
      <c r="N17" s="370">
        <f>[3]Brewhouse!$AD110</f>
        <v>0.32361111111111107</v>
      </c>
      <c r="O17" s="371" t="str">
        <f>[3]Brewhouse!$BC110</f>
        <v>K. Benjamin</v>
      </c>
      <c r="P17" s="418"/>
      <c r="R17" s="277" t="str">
        <f t="shared" si="0"/>
        <v>STARMALT</v>
      </c>
      <c r="S17" s="472">
        <f t="shared" si="1"/>
        <v>17</v>
      </c>
      <c r="T17" s="472">
        <f t="shared" si="2"/>
        <v>17.399999999999999</v>
      </c>
      <c r="U17" s="297">
        <f t="shared" si="3"/>
        <v>0</v>
      </c>
      <c r="V17" s="297">
        <f t="shared" si="4"/>
        <v>0.13605324074074074</v>
      </c>
      <c r="W17" s="297">
        <f t="shared" si="5"/>
        <v>0.27430555555555552</v>
      </c>
      <c r="X17" s="297">
        <f t="shared" si="6"/>
        <v>0.30902777777777779</v>
      </c>
      <c r="Y17" s="297">
        <f t="shared" si="7"/>
        <v>0</v>
      </c>
      <c r="Z17" s="472">
        <f t="shared" si="8"/>
        <v>85</v>
      </c>
    </row>
    <row r="18" spans="1:26" ht="15" customHeight="1">
      <c r="B18" s="37"/>
      <c r="C18" s="366"/>
      <c r="D18" s="279"/>
      <c r="E18" s="279"/>
      <c r="F18" s="278"/>
      <c r="G18" s="279"/>
      <c r="H18" s="396"/>
      <c r="I18" s="368"/>
      <c r="J18" s="368"/>
      <c r="K18" s="281"/>
      <c r="L18" s="276"/>
      <c r="M18" s="374"/>
      <c r="N18" s="370"/>
      <c r="O18" s="371"/>
      <c r="P18" s="418"/>
      <c r="R18" s="277">
        <f t="shared" si="0"/>
        <v>0</v>
      </c>
      <c r="S18" s="472" t="e">
        <f t="shared" si="1"/>
        <v>#N/A</v>
      </c>
      <c r="T18" s="472" t="e">
        <f t="shared" si="2"/>
        <v>#N/A</v>
      </c>
      <c r="U18" s="297" t="e">
        <f t="shared" si="3"/>
        <v>#N/A</v>
      </c>
      <c r="V18" s="297" t="e">
        <f t="shared" si="4"/>
        <v>#N/A</v>
      </c>
      <c r="W18" s="297" t="e">
        <f t="shared" si="5"/>
        <v>#N/A</v>
      </c>
      <c r="X18" s="297" t="e">
        <f t="shared" si="6"/>
        <v>#N/A</v>
      </c>
      <c r="Y18" s="297" t="e">
        <f t="shared" si="7"/>
        <v>#N/A</v>
      </c>
      <c r="Z18" s="472" t="e">
        <f t="shared" si="8"/>
        <v>#N/A</v>
      </c>
    </row>
    <row r="19" spans="1:26" ht="15" customHeight="1">
      <c r="B19" s="37"/>
      <c r="C19" s="366"/>
      <c r="D19" s="279"/>
      <c r="E19" s="279"/>
      <c r="F19" s="278"/>
      <c r="G19" s="279"/>
      <c r="H19" s="396"/>
      <c r="I19" s="368"/>
      <c r="J19" s="368"/>
      <c r="K19" s="281"/>
      <c r="L19" s="276"/>
      <c r="M19" s="374"/>
      <c r="N19" s="370"/>
      <c r="O19" s="371"/>
      <c r="P19" s="418"/>
      <c r="R19" s="277">
        <f t="shared" si="0"/>
        <v>0</v>
      </c>
      <c r="S19" s="472" t="e">
        <f t="shared" si="1"/>
        <v>#N/A</v>
      </c>
      <c r="T19" s="472" t="e">
        <f t="shared" si="2"/>
        <v>#N/A</v>
      </c>
      <c r="U19" s="297" t="e">
        <f t="shared" si="3"/>
        <v>#N/A</v>
      </c>
      <c r="V19" s="297" t="e">
        <f t="shared" si="4"/>
        <v>#N/A</v>
      </c>
      <c r="W19" s="297" t="e">
        <f t="shared" si="5"/>
        <v>#N/A</v>
      </c>
      <c r="X19" s="297" t="e">
        <f t="shared" si="6"/>
        <v>#N/A</v>
      </c>
      <c r="Y19" s="297" t="e">
        <f t="shared" si="7"/>
        <v>#N/A</v>
      </c>
      <c r="Z19" s="472" t="e">
        <f t="shared" si="8"/>
        <v>#N/A</v>
      </c>
    </row>
    <row r="20" spans="1:26" ht="15" customHeight="1">
      <c r="B20" s="37"/>
      <c r="C20" s="366"/>
      <c r="D20" s="279"/>
      <c r="E20" s="279"/>
      <c r="F20" s="278"/>
      <c r="G20" s="279"/>
      <c r="H20" s="396"/>
      <c r="I20" s="368"/>
      <c r="J20" s="368"/>
      <c r="K20" s="281"/>
      <c r="L20" s="276"/>
      <c r="M20" s="374"/>
      <c r="N20" s="370"/>
      <c r="O20" s="371"/>
      <c r="P20" s="418"/>
      <c r="R20" s="277">
        <f t="shared" si="0"/>
        <v>0</v>
      </c>
      <c r="S20" s="472" t="e">
        <f t="shared" si="1"/>
        <v>#N/A</v>
      </c>
      <c r="T20" s="472" t="e">
        <f t="shared" si="2"/>
        <v>#N/A</v>
      </c>
      <c r="U20" s="297" t="e">
        <f t="shared" si="3"/>
        <v>#N/A</v>
      </c>
      <c r="V20" s="297" t="e">
        <f t="shared" si="4"/>
        <v>#N/A</v>
      </c>
      <c r="W20" s="297" t="e">
        <f t="shared" si="5"/>
        <v>#N/A</v>
      </c>
      <c r="X20" s="297" t="e">
        <f t="shared" si="6"/>
        <v>#N/A</v>
      </c>
      <c r="Y20" s="297" t="e">
        <f t="shared" si="7"/>
        <v>#N/A</v>
      </c>
      <c r="Z20" s="472" t="e">
        <f t="shared" si="8"/>
        <v>#N/A</v>
      </c>
    </row>
    <row r="21" spans="1:26" ht="15" hidden="1" customHeight="1">
      <c r="B21" s="29"/>
      <c r="C21" s="366"/>
      <c r="D21" s="279"/>
      <c r="E21" s="279"/>
      <c r="F21" s="278"/>
      <c r="G21" s="279"/>
      <c r="H21" s="493"/>
      <c r="I21" s="368"/>
      <c r="J21" s="368"/>
      <c r="K21" s="281"/>
      <c r="L21" s="276"/>
      <c r="M21" s="374"/>
      <c r="N21" s="370"/>
      <c r="O21" s="420"/>
      <c r="P21" s="418"/>
      <c r="R21" s="277">
        <f t="shared" si="0"/>
        <v>0</v>
      </c>
      <c r="S21" s="472" t="e">
        <f t="shared" si="1"/>
        <v>#N/A</v>
      </c>
      <c r="T21" s="472" t="e">
        <f t="shared" si="2"/>
        <v>#N/A</v>
      </c>
      <c r="U21" s="297" t="e">
        <f t="shared" si="3"/>
        <v>#N/A</v>
      </c>
      <c r="V21" s="297" t="e">
        <f t="shared" si="4"/>
        <v>#N/A</v>
      </c>
      <c r="W21" s="297" t="e">
        <f t="shared" si="5"/>
        <v>#N/A</v>
      </c>
      <c r="X21" s="297" t="e">
        <f t="shared" si="6"/>
        <v>#N/A</v>
      </c>
      <c r="Y21" s="297" t="e">
        <f t="shared" si="7"/>
        <v>#N/A</v>
      </c>
      <c r="Z21" s="472" t="e">
        <f t="shared" si="8"/>
        <v>#N/A</v>
      </c>
    </row>
    <row r="22" spans="1:26" ht="15" hidden="1" customHeight="1">
      <c r="B22" s="29"/>
      <c r="C22" s="366"/>
      <c r="D22" s="279"/>
      <c r="E22" s="279"/>
      <c r="F22" s="278"/>
      <c r="G22" s="279"/>
      <c r="H22" s="396"/>
      <c r="I22" s="368"/>
      <c r="J22" s="368"/>
      <c r="K22" s="281"/>
      <c r="L22" s="276"/>
      <c r="M22" s="374"/>
      <c r="N22" s="370"/>
      <c r="O22" s="420"/>
      <c r="P22" s="418"/>
      <c r="R22" s="277">
        <f t="shared" ref="R22:R37" si="9">B22</f>
        <v>0</v>
      </c>
      <c r="S22" s="472" t="e">
        <f t="shared" ref="S22:S37" si="10">VLOOKUP($B22,$R$3:$X$9,2,FALSE)</f>
        <v>#N/A</v>
      </c>
      <c r="T22" s="472" t="e">
        <f t="shared" ref="T22:T37" si="11">VLOOKUP($B22,$R$3:$X$9,3,FALSE)</f>
        <v>#N/A</v>
      </c>
      <c r="U22" s="297" t="e">
        <f t="shared" ref="U22:U37" si="12">VLOOKUP($B22,$R$3:$X$9,4,FALSE)</f>
        <v>#N/A</v>
      </c>
      <c r="V22" s="297" t="e">
        <f t="shared" ref="V22:V37" si="13">VLOOKUP($B22,$R$3:$X$9,5,FALSE)</f>
        <v>#N/A</v>
      </c>
      <c r="W22" s="297" t="e">
        <f t="shared" ref="W22:W37" si="14">VLOOKUP($B22,$R$3:$X$9,6,FALSE)</f>
        <v>#N/A</v>
      </c>
      <c r="X22" s="297" t="e">
        <f t="shared" ref="X22:X37" si="15">VLOOKUP($B22,$R$3:$X$9,7,FALSE)</f>
        <v>#N/A</v>
      </c>
      <c r="Y22" s="297" t="e">
        <f t="shared" ref="Y22:Y37" si="16">VLOOKUP($B22,$R$3:$Z$9,8,FALSE)</f>
        <v>#N/A</v>
      </c>
      <c r="Z22" s="472" t="e">
        <f t="shared" ref="Z22:Z37" si="17">VLOOKUP($B22,$R$3:$Z$9,9,FALSE)</f>
        <v>#N/A</v>
      </c>
    </row>
    <row r="23" spans="1:26" ht="15" hidden="1" customHeight="1">
      <c r="B23" s="36"/>
      <c r="C23" s="366"/>
      <c r="D23" s="279"/>
      <c r="E23" s="279"/>
      <c r="F23" s="278"/>
      <c r="G23" s="279"/>
      <c r="H23" s="396"/>
      <c r="I23" s="489"/>
      <c r="J23" s="489"/>
      <c r="K23" s="490"/>
      <c r="L23" s="276"/>
      <c r="M23" s="374"/>
      <c r="N23" s="370"/>
      <c r="O23" s="420"/>
      <c r="P23" s="418"/>
      <c r="R23" s="277">
        <f t="shared" si="9"/>
        <v>0</v>
      </c>
      <c r="S23" s="472" t="e">
        <f t="shared" si="10"/>
        <v>#N/A</v>
      </c>
      <c r="T23" s="472" t="e">
        <f t="shared" si="11"/>
        <v>#N/A</v>
      </c>
      <c r="U23" s="297" t="e">
        <f t="shared" si="12"/>
        <v>#N/A</v>
      </c>
      <c r="V23" s="297" t="e">
        <f t="shared" si="13"/>
        <v>#N/A</v>
      </c>
      <c r="W23" s="297" t="e">
        <f t="shared" si="14"/>
        <v>#N/A</v>
      </c>
      <c r="X23" s="297" t="e">
        <f t="shared" si="15"/>
        <v>#N/A</v>
      </c>
      <c r="Y23" s="297" t="e">
        <f t="shared" si="16"/>
        <v>#N/A</v>
      </c>
      <c r="Z23" s="472" t="e">
        <f t="shared" si="17"/>
        <v>#N/A</v>
      </c>
    </row>
    <row r="24" spans="1:26" ht="17.25" customHeight="1" thickBot="1">
      <c r="B24" s="358"/>
      <c r="C24" s="358"/>
      <c r="D24" s="358"/>
      <c r="E24" s="358"/>
      <c r="F24" s="294"/>
      <c r="G24" s="294"/>
      <c r="H24" s="348"/>
      <c r="I24" s="535"/>
      <c r="J24" s="535"/>
      <c r="K24" s="535"/>
      <c r="L24" s="535"/>
      <c r="M24" s="535"/>
      <c r="N24" s="535"/>
      <c r="O24" s="1"/>
      <c r="P24" s="12"/>
      <c r="R24" s="277">
        <f t="shared" si="9"/>
        <v>0</v>
      </c>
      <c r="S24" s="472" t="e">
        <f t="shared" si="10"/>
        <v>#N/A</v>
      </c>
      <c r="T24" s="472" t="e">
        <f t="shared" si="11"/>
        <v>#N/A</v>
      </c>
      <c r="U24" s="297" t="e">
        <f t="shared" si="12"/>
        <v>#N/A</v>
      </c>
      <c r="V24" s="297" t="e">
        <f t="shared" si="13"/>
        <v>#N/A</v>
      </c>
      <c r="W24" s="297" t="e">
        <f t="shared" si="14"/>
        <v>#N/A</v>
      </c>
      <c r="X24" s="297" t="e">
        <f t="shared" si="15"/>
        <v>#N/A</v>
      </c>
      <c r="Y24" s="297" t="e">
        <f t="shared" si="16"/>
        <v>#N/A</v>
      </c>
      <c r="Z24" s="472" t="e">
        <f t="shared" si="17"/>
        <v>#N/A</v>
      </c>
    </row>
    <row r="25" spans="1:26" ht="17.25" customHeight="1" thickBot="1">
      <c r="B25" s="483" t="s">
        <v>162</v>
      </c>
      <c r="C25" s="388"/>
      <c r="D25" s="536" t="s">
        <v>35</v>
      </c>
      <c r="E25" s="537"/>
      <c r="F25" s="294"/>
      <c r="G25" s="294"/>
      <c r="H25" s="348"/>
      <c r="I25" s="24" t="s">
        <v>17</v>
      </c>
      <c r="J25" s="25"/>
      <c r="K25" s="26" t="s">
        <v>138</v>
      </c>
      <c r="L25" s="25" t="s">
        <v>37</v>
      </c>
      <c r="M25" s="25" t="s">
        <v>38</v>
      </c>
      <c r="N25" s="27" t="s">
        <v>39</v>
      </c>
      <c r="O25" s="294"/>
      <c r="P25" s="12"/>
      <c r="R25" s="277" t="str">
        <f t="shared" si="9"/>
        <v xml:space="preserve">BRAND </v>
      </c>
      <c r="S25" s="472" t="e">
        <f t="shared" si="10"/>
        <v>#N/A</v>
      </c>
      <c r="T25" s="472" t="e">
        <f t="shared" si="11"/>
        <v>#N/A</v>
      </c>
      <c r="U25" s="297" t="e">
        <f t="shared" si="12"/>
        <v>#N/A</v>
      </c>
      <c r="V25" s="297" t="e">
        <f t="shared" si="13"/>
        <v>#N/A</v>
      </c>
      <c r="W25" s="297" t="e">
        <f t="shared" si="14"/>
        <v>#N/A</v>
      </c>
      <c r="X25" s="297" t="e">
        <f t="shared" si="15"/>
        <v>#N/A</v>
      </c>
      <c r="Y25" s="297" t="e">
        <f t="shared" si="16"/>
        <v>#N/A</v>
      </c>
      <c r="Z25" s="472" t="e">
        <f t="shared" si="17"/>
        <v>#N/A</v>
      </c>
    </row>
    <row r="26" spans="1:26" ht="17.25" customHeight="1">
      <c r="A26" s="28"/>
      <c r="B26" s="538"/>
      <c r="C26" s="484"/>
      <c r="D26" s="523"/>
      <c r="E26" s="524"/>
      <c r="F26" s="294"/>
      <c r="G26" s="294"/>
      <c r="H26" s="348"/>
      <c r="I26" s="29" t="s">
        <v>6</v>
      </c>
      <c r="J26" s="323"/>
      <c r="K26" s="284">
        <f>COUNTA([4]Brewhouse!$A$696:$A$787)</f>
        <v>92</v>
      </c>
      <c r="L26" s="305">
        <f>AVERAGE([4]Brewhouse!$AU$696:$AU$787)</f>
        <v>98.654636111413424</v>
      </c>
      <c r="M26" s="305">
        <f>AVERAGE([4]Brewhouse!$AU$42:$AU$123,[4]Brewhouse!$AU$125:$AU$188,[4]Brewhouse!$AU$198:$AU$290,[4]Brewhouse!$AU$292:$AU$370,[4]Brewhouse!$AU$372:$AU$439,[4]Brewhouse!$AU$441:$AU$497,[4]Brewhouse!$AU$499:$AU$519,[4]Brewhouse!$AU$521:$AU$593,[4]Brewhouse!$AU$595:$AU$694,[4]Brewhouse!$AU$696:$AU$787)</f>
        <v>98.331613971610224</v>
      </c>
      <c r="N26" s="30">
        <v>98</v>
      </c>
      <c r="O26" s="11"/>
      <c r="P26" s="31"/>
      <c r="R26" s="277">
        <f t="shared" si="9"/>
        <v>0</v>
      </c>
      <c r="S26" s="472" t="e">
        <f t="shared" si="10"/>
        <v>#N/A</v>
      </c>
      <c r="T26" s="472" t="e">
        <f t="shared" si="11"/>
        <v>#N/A</v>
      </c>
      <c r="U26" s="297" t="e">
        <f t="shared" si="12"/>
        <v>#N/A</v>
      </c>
      <c r="V26" s="297" t="e">
        <f t="shared" si="13"/>
        <v>#N/A</v>
      </c>
      <c r="W26" s="297" t="e">
        <f t="shared" si="14"/>
        <v>#N/A</v>
      </c>
      <c r="X26" s="297" t="e">
        <f t="shared" si="15"/>
        <v>#N/A</v>
      </c>
      <c r="Y26" s="297" t="e">
        <f t="shared" si="16"/>
        <v>#N/A</v>
      </c>
      <c r="Z26" s="472" t="e">
        <f t="shared" si="17"/>
        <v>#N/A</v>
      </c>
    </row>
    <row r="27" spans="1:26" ht="15" customHeight="1">
      <c r="A27" s="28"/>
      <c r="B27" s="539"/>
      <c r="C27" s="362"/>
      <c r="D27" s="525"/>
      <c r="E27" s="526"/>
      <c r="F27" s="294"/>
      <c r="G27" s="294"/>
      <c r="H27" s="348"/>
      <c r="I27" s="33" t="s">
        <v>9</v>
      </c>
      <c r="J27" s="323"/>
      <c r="K27" s="284">
        <f>COUNTA([5]Brewhouse!$A$363:$A$380)</f>
        <v>18</v>
      </c>
      <c r="L27" s="302">
        <f>AVERAGE([5]Brewhouse!$AS$363:$AS$380)</f>
        <v>99.237321929974939</v>
      </c>
      <c r="M27" s="302">
        <f>AVERAGE([5]Brewhouse!$AS$52:$AS$81,[5]Brewhouse!$AS$83:$AS$124,[5]Brewhouse!$AS$134:$AS$177,[5]Brewhouse!$AS$22:$AS$179,[5]Brewhouse!$AS$214:$AS$249,[5]Brewhouse!$AS$252:$AS$293,[5]Brewhouse!$AS$295:$AS$325,[5]Brewhouse!$AS$327:$AS$361,[5]Brewhouse!$AS$363:$AS$380)</f>
        <v>98.280844420420635</v>
      </c>
      <c r="N27" s="30">
        <v>98</v>
      </c>
      <c r="O27" s="11"/>
      <c r="P27" s="31"/>
      <c r="R27" s="277">
        <f t="shared" si="9"/>
        <v>0</v>
      </c>
      <c r="S27" s="472" t="e">
        <f t="shared" si="10"/>
        <v>#N/A</v>
      </c>
      <c r="T27" s="472" t="e">
        <f t="shared" si="11"/>
        <v>#N/A</v>
      </c>
      <c r="U27" s="297" t="e">
        <f t="shared" si="12"/>
        <v>#N/A</v>
      </c>
      <c r="V27" s="297" t="e">
        <f t="shared" si="13"/>
        <v>#N/A</v>
      </c>
      <c r="W27" s="297" t="e">
        <f t="shared" si="14"/>
        <v>#N/A</v>
      </c>
      <c r="X27" s="297" t="e">
        <f t="shared" si="15"/>
        <v>#N/A</v>
      </c>
      <c r="Y27" s="297" t="e">
        <f t="shared" si="16"/>
        <v>#N/A</v>
      </c>
      <c r="Z27" s="472" t="e">
        <f t="shared" si="17"/>
        <v>#N/A</v>
      </c>
    </row>
    <row r="28" spans="1:26" ht="14.65" customHeight="1">
      <c r="A28" s="28"/>
      <c r="B28" s="539"/>
      <c r="C28" s="362"/>
      <c r="D28" s="530"/>
      <c r="E28" s="531"/>
      <c r="F28" s="294"/>
      <c r="G28" s="294"/>
      <c r="H28" s="348"/>
      <c r="I28" s="34" t="s">
        <v>12</v>
      </c>
      <c r="J28" s="323"/>
      <c r="K28" s="284">
        <f>COUNTA([6]Brewhouse!$A$99:$A$106)</f>
        <v>8</v>
      </c>
      <c r="L28" s="302">
        <f>AVERAGE([6]Brewhouse!$AU$99:$AU$106)</f>
        <v>96.462109124412379</v>
      </c>
      <c r="M28" s="302">
        <f>AVERAGE([6]Brewhouse!$AU$16:$AU$23,[6]Brewhouse!$AU$25:$AU$32,[6]Brewhouse!$AU$34:$AU$41,[6]Brewhouse!$AU$43:$AU$60,[6]Brewhouse!$AU$62:$AU$69,[6]Brewhouse!$AU$71:$AU$88,[6]Brewhouse!$AU$90:$AU$97,[6]Brewhouse!$AU$99:$AU$106)</f>
        <v>96.498355980821032</v>
      </c>
      <c r="N28" s="30">
        <v>98</v>
      </c>
      <c r="O28" s="11"/>
      <c r="P28" s="31"/>
      <c r="R28" s="277">
        <f t="shared" si="9"/>
        <v>0</v>
      </c>
      <c r="S28" s="472" t="e">
        <f t="shared" si="10"/>
        <v>#N/A</v>
      </c>
      <c r="T28" s="472" t="e">
        <f t="shared" si="11"/>
        <v>#N/A</v>
      </c>
      <c r="U28" s="297" t="e">
        <f t="shared" si="12"/>
        <v>#N/A</v>
      </c>
      <c r="V28" s="297" t="e">
        <f t="shared" si="13"/>
        <v>#N/A</v>
      </c>
      <c r="W28" s="297" t="e">
        <f t="shared" si="14"/>
        <v>#N/A</v>
      </c>
      <c r="X28" s="297" t="e">
        <f t="shared" si="15"/>
        <v>#N/A</v>
      </c>
      <c r="Y28" s="297" t="e">
        <f t="shared" si="16"/>
        <v>#N/A</v>
      </c>
      <c r="Z28" s="472" t="e">
        <f t="shared" si="17"/>
        <v>#N/A</v>
      </c>
    </row>
    <row r="29" spans="1:26" ht="14.65" customHeight="1">
      <c r="A29" s="28"/>
      <c r="B29" s="539"/>
      <c r="C29" s="362"/>
      <c r="D29" s="532"/>
      <c r="E29" s="526"/>
      <c r="F29" s="294"/>
      <c r="G29" s="294"/>
      <c r="H29" s="348"/>
      <c r="I29" s="22" t="s">
        <v>33</v>
      </c>
      <c r="J29" s="280"/>
      <c r="K29" s="284"/>
      <c r="L29" s="302"/>
      <c r="M29" s="302">
        <f>AVERAGE([7]Brewhouse!$AV$23:$AV$34,[7]Brewhouse!$AV$36,[7]Brewhouse!$AV$38:$AV$52,[7]Brewhouse!$AV$54:$AV$60,[7]Brewhouse!$AV$62:$AV$69,[7]Brewhouse!$AV$71:$AV$78,[7]Brewhouse!$AV$80:$AV$87,[7]Brewhouse!$AV$89:$AV$96)</f>
        <v>97.559547139003357</v>
      </c>
      <c r="N29" s="30">
        <v>98</v>
      </c>
      <c r="O29" s="11"/>
      <c r="P29" s="31"/>
      <c r="R29" s="277">
        <f t="shared" si="9"/>
        <v>0</v>
      </c>
      <c r="S29" s="472" t="e">
        <f t="shared" si="10"/>
        <v>#N/A</v>
      </c>
      <c r="T29" s="472" t="e">
        <f t="shared" si="11"/>
        <v>#N/A</v>
      </c>
      <c r="U29" s="297" t="e">
        <f t="shared" si="12"/>
        <v>#N/A</v>
      </c>
      <c r="V29" s="297" t="e">
        <f t="shared" si="13"/>
        <v>#N/A</v>
      </c>
      <c r="W29" s="297" t="e">
        <f t="shared" si="14"/>
        <v>#N/A</v>
      </c>
      <c r="X29" s="297" t="e">
        <f t="shared" si="15"/>
        <v>#N/A</v>
      </c>
      <c r="Y29" s="297" t="e">
        <f t="shared" si="16"/>
        <v>#N/A</v>
      </c>
      <c r="Z29" s="472" t="e">
        <f t="shared" si="17"/>
        <v>#N/A</v>
      </c>
    </row>
    <row r="30" spans="1:26" ht="14.65" customHeight="1">
      <c r="A30" s="28"/>
      <c r="B30" s="539"/>
      <c r="C30" s="362"/>
      <c r="D30" s="530"/>
      <c r="E30" s="531"/>
      <c r="F30" s="294"/>
      <c r="G30" s="294"/>
      <c r="H30" s="348"/>
      <c r="I30" s="35" t="s">
        <v>29</v>
      </c>
      <c r="J30" s="280"/>
      <c r="K30" s="284"/>
      <c r="L30" s="302"/>
      <c r="M30" s="302"/>
      <c r="N30" s="30">
        <v>98</v>
      </c>
      <c r="O30" s="11"/>
      <c r="P30" s="31"/>
      <c r="R30" s="277">
        <f t="shared" si="9"/>
        <v>0</v>
      </c>
      <c r="S30" s="472" t="e">
        <f t="shared" si="10"/>
        <v>#N/A</v>
      </c>
      <c r="T30" s="472" t="e">
        <f t="shared" si="11"/>
        <v>#N/A</v>
      </c>
      <c r="U30" s="297" t="e">
        <f t="shared" si="12"/>
        <v>#N/A</v>
      </c>
      <c r="V30" s="297" t="e">
        <f t="shared" si="13"/>
        <v>#N/A</v>
      </c>
      <c r="W30" s="297" t="e">
        <f t="shared" si="14"/>
        <v>#N/A</v>
      </c>
      <c r="X30" s="297" t="e">
        <f t="shared" si="15"/>
        <v>#N/A</v>
      </c>
      <c r="Y30" s="297" t="e">
        <f t="shared" si="16"/>
        <v>#N/A</v>
      </c>
      <c r="Z30" s="472" t="e">
        <f t="shared" si="17"/>
        <v>#N/A</v>
      </c>
    </row>
    <row r="31" spans="1:26" ht="14.65" customHeight="1">
      <c r="A31" s="28"/>
      <c r="B31" s="539"/>
      <c r="C31" s="362"/>
      <c r="D31" s="532"/>
      <c r="E31" s="526"/>
      <c r="F31" s="417"/>
      <c r="G31" s="294"/>
      <c r="H31" s="348"/>
      <c r="I31" s="36" t="s">
        <v>15</v>
      </c>
      <c r="J31" s="323"/>
      <c r="K31" s="284">
        <f>COUNTA([8]Brewhouse!$A$23:$A$30)</f>
        <v>8</v>
      </c>
      <c r="L31" s="302">
        <f>AVERAGE([8]Brewhouse!$AT$23:$AT$30)</f>
        <v>96.065914782338609</v>
      </c>
      <c r="M31" s="302">
        <f>AVERAGE([8]Brewhouse!$AT$4:$AT$11,[8]Brewhouse!$AT$13:$AT$16,[8]Brewhouse!$AT$18:$AT$30)</f>
        <v>93.22262799886262</v>
      </c>
      <c r="N31" s="30">
        <v>98</v>
      </c>
      <c r="O31" s="11"/>
      <c r="P31" s="31"/>
      <c r="R31" s="277">
        <f t="shared" si="9"/>
        <v>0</v>
      </c>
      <c r="S31" s="472" t="e">
        <f t="shared" si="10"/>
        <v>#N/A</v>
      </c>
      <c r="T31" s="472" t="e">
        <f t="shared" si="11"/>
        <v>#N/A</v>
      </c>
      <c r="U31" s="297" t="e">
        <f t="shared" si="12"/>
        <v>#N/A</v>
      </c>
      <c r="V31" s="297" t="e">
        <f t="shared" si="13"/>
        <v>#N/A</v>
      </c>
      <c r="W31" s="297" t="e">
        <f t="shared" si="14"/>
        <v>#N/A</v>
      </c>
      <c r="X31" s="297" t="e">
        <f t="shared" si="15"/>
        <v>#N/A</v>
      </c>
      <c r="Y31" s="297" t="e">
        <f t="shared" si="16"/>
        <v>#N/A</v>
      </c>
      <c r="Z31" s="472" t="e">
        <f t="shared" si="17"/>
        <v>#N/A</v>
      </c>
    </row>
    <row r="32" spans="1:26" ht="14.65" customHeight="1">
      <c r="A32" s="28"/>
      <c r="B32" s="539"/>
      <c r="C32" s="362"/>
      <c r="D32" s="530"/>
      <c r="E32" s="531"/>
      <c r="F32" s="417"/>
      <c r="G32" s="294"/>
      <c r="H32" s="348"/>
      <c r="I32" s="37" t="s">
        <v>16</v>
      </c>
      <c r="J32" s="323">
        <f>AVERAGE(I10:I17)</f>
        <v>97.702601655721907</v>
      </c>
      <c r="K32" s="284">
        <f>COUNTA([3]Brewhouse!$A$103:$A$110)</f>
        <v>8</v>
      </c>
      <c r="L32" s="302">
        <f>AVERAGE([3]Brewhouse!$AY$103:$AY$110)</f>
        <v>97.702601655721907</v>
      </c>
      <c r="M32" s="302">
        <f>AVERAGE([3]Brewhouse!$AY$5:$AY$14,[3]Brewhouse!$AY$16:$AY$23,[3]Brewhouse!$AY$42,[3]Brewhouse!$AY$44:$AY$51,[3]Brewhouse!$AY$53:$AY$64,[3]Brewhouse!$AY$66:$AY$73,[3]Brewhouse!$AY$75:$AY$82,[3]Brewhouse!$AY$84:$AY$101,[3]Brewhouse!$AY$103:$AY$110)</f>
        <v>97.776555859703805</v>
      </c>
      <c r="N32" s="30">
        <v>98</v>
      </c>
      <c r="O32" s="11"/>
      <c r="P32" s="31" t="s">
        <v>41</v>
      </c>
      <c r="R32" s="277">
        <f t="shared" si="9"/>
        <v>0</v>
      </c>
      <c r="S32" s="472" t="e">
        <f t="shared" si="10"/>
        <v>#N/A</v>
      </c>
      <c r="T32" s="472" t="e">
        <f t="shared" si="11"/>
        <v>#N/A</v>
      </c>
      <c r="U32" s="297" t="e">
        <f t="shared" si="12"/>
        <v>#N/A</v>
      </c>
      <c r="V32" s="297" t="e">
        <f t="shared" si="13"/>
        <v>#N/A</v>
      </c>
      <c r="W32" s="297" t="e">
        <f t="shared" si="14"/>
        <v>#N/A</v>
      </c>
      <c r="X32" s="297" t="e">
        <f t="shared" si="15"/>
        <v>#N/A</v>
      </c>
      <c r="Y32" s="297" t="e">
        <f t="shared" si="16"/>
        <v>#N/A</v>
      </c>
      <c r="Z32" s="472" t="e">
        <f t="shared" si="17"/>
        <v>#N/A</v>
      </c>
    </row>
    <row r="33" spans="1:56" ht="14.65" customHeight="1">
      <c r="A33" s="28"/>
      <c r="B33" s="539"/>
      <c r="C33" s="362"/>
      <c r="D33" s="532"/>
      <c r="E33" s="526"/>
      <c r="F33" s="294"/>
      <c r="G33" s="294"/>
      <c r="H33" s="348"/>
      <c r="I33" s="411" t="s">
        <v>158</v>
      </c>
      <c r="J33" s="326"/>
      <c r="K33" s="284"/>
      <c r="L33" s="305"/>
      <c r="M33" s="305"/>
      <c r="N33" s="30">
        <v>98</v>
      </c>
      <c r="O33" s="11"/>
      <c r="P33" s="31"/>
      <c r="R33" s="277">
        <f t="shared" si="9"/>
        <v>0</v>
      </c>
      <c r="S33" s="472" t="e">
        <f t="shared" si="10"/>
        <v>#N/A</v>
      </c>
      <c r="T33" s="472" t="e">
        <f t="shared" si="11"/>
        <v>#N/A</v>
      </c>
      <c r="U33" s="297" t="e">
        <f t="shared" si="12"/>
        <v>#N/A</v>
      </c>
      <c r="V33" s="297" t="e">
        <f t="shared" si="13"/>
        <v>#N/A</v>
      </c>
      <c r="W33" s="297" t="e">
        <f t="shared" si="14"/>
        <v>#N/A</v>
      </c>
      <c r="X33" s="297" t="e">
        <f t="shared" si="15"/>
        <v>#N/A</v>
      </c>
      <c r="Y33" s="297" t="e">
        <f t="shared" si="16"/>
        <v>#N/A</v>
      </c>
      <c r="Z33" s="472" t="e">
        <f t="shared" si="17"/>
        <v>#N/A</v>
      </c>
    </row>
    <row r="34" spans="1:56" ht="14.65" customHeight="1">
      <c r="A34" s="28"/>
      <c r="B34" s="539"/>
      <c r="C34" s="362"/>
      <c r="D34" s="530"/>
      <c r="E34" s="531"/>
      <c r="F34" s="294"/>
      <c r="G34" s="294"/>
      <c r="H34" s="348"/>
      <c r="I34" s="410" t="s">
        <v>157</v>
      </c>
      <c r="J34" s="326"/>
      <c r="K34" s="284"/>
      <c r="L34" s="305"/>
      <c r="M34" s="305"/>
      <c r="N34" s="30">
        <v>98</v>
      </c>
      <c r="O34" s="11"/>
      <c r="P34" s="31"/>
      <c r="R34" s="277">
        <f t="shared" si="9"/>
        <v>0</v>
      </c>
      <c r="S34" s="472" t="e">
        <f t="shared" si="10"/>
        <v>#N/A</v>
      </c>
      <c r="T34" s="472" t="e">
        <f t="shared" si="11"/>
        <v>#N/A</v>
      </c>
      <c r="U34" s="297" t="e">
        <f t="shared" si="12"/>
        <v>#N/A</v>
      </c>
      <c r="V34" s="297" t="e">
        <f t="shared" si="13"/>
        <v>#N/A</v>
      </c>
      <c r="W34" s="297" t="e">
        <f t="shared" si="14"/>
        <v>#N/A</v>
      </c>
      <c r="X34" s="297" t="e">
        <f t="shared" si="15"/>
        <v>#N/A</v>
      </c>
      <c r="Y34" s="297" t="e">
        <f t="shared" si="16"/>
        <v>#N/A</v>
      </c>
      <c r="Z34" s="472" t="e">
        <f t="shared" si="17"/>
        <v>#N/A</v>
      </c>
      <c r="AA34" s="472"/>
    </row>
    <row r="35" spans="1:56" ht="15" customHeight="1" thickBot="1">
      <c r="A35" s="28"/>
      <c r="B35" s="539"/>
      <c r="C35" s="362"/>
      <c r="D35" s="532"/>
      <c r="E35" s="526"/>
      <c r="F35" s="294"/>
      <c r="G35" s="294"/>
      <c r="H35" s="348"/>
      <c r="I35" s="406" t="s">
        <v>156</v>
      </c>
      <c r="J35" s="327"/>
      <c r="K35" s="407"/>
      <c r="L35" s="408"/>
      <c r="M35" s="408"/>
      <c r="N35" s="409">
        <v>98</v>
      </c>
      <c r="O35" s="11"/>
      <c r="P35" s="31"/>
      <c r="R35" s="277">
        <f t="shared" si="9"/>
        <v>0</v>
      </c>
      <c r="S35" s="472" t="e">
        <f t="shared" si="10"/>
        <v>#N/A</v>
      </c>
      <c r="T35" s="472" t="e">
        <f t="shared" si="11"/>
        <v>#N/A</v>
      </c>
      <c r="U35" s="297" t="e">
        <f t="shared" si="12"/>
        <v>#N/A</v>
      </c>
      <c r="V35" s="297" t="e">
        <f t="shared" si="13"/>
        <v>#N/A</v>
      </c>
      <c r="W35" s="297" t="e">
        <f t="shared" si="14"/>
        <v>#N/A</v>
      </c>
      <c r="X35" s="297" t="e">
        <f t="shared" si="15"/>
        <v>#N/A</v>
      </c>
      <c r="Y35" s="297" t="e">
        <f t="shared" si="16"/>
        <v>#N/A</v>
      </c>
      <c r="Z35" s="472" t="e">
        <f t="shared" si="17"/>
        <v>#N/A</v>
      </c>
      <c r="AA35" s="472"/>
    </row>
    <row r="36" spans="1:56" ht="15" customHeight="1" thickBot="1">
      <c r="A36" s="28"/>
      <c r="B36" s="539"/>
      <c r="C36" s="349"/>
      <c r="D36" s="523"/>
      <c r="E36" s="524"/>
      <c r="F36" s="294"/>
      <c r="G36" s="294"/>
      <c r="H36" s="348"/>
      <c r="I36" s="1"/>
      <c r="J36" s="39"/>
      <c r="K36" s="404">
        <f>SUM(K26:K35)</f>
        <v>134</v>
      </c>
      <c r="L36" s="405">
        <f>((L26*K26)+(L27*K27)+(L28*K28)+(L29*K29)+(L30*K30)+(K33*L33)+(L31*K31)+(L32*K32)+(L35*K35))/(K36)</f>
        <v>98.390621802159458</v>
      </c>
      <c r="M36" s="405">
        <f>AVERAGE('[9]Jan30th-31st'!$L$42,'[10]Feb 27th-28th'!$L$45,'[11]Mar 31st'!$L$42,'[12]Apr 30th'!$L$41,'[13]May 29th '!$L$35,'[14]June 30th'!$L$32,[15]July31st!$L$36,'[16]Aug 31st'!$L$32,L36)</f>
        <v>98.034304969162378</v>
      </c>
      <c r="N36" s="40">
        <v>98</v>
      </c>
      <c r="O36" s="11"/>
      <c r="P36" s="31"/>
      <c r="R36" s="277">
        <f t="shared" si="9"/>
        <v>0</v>
      </c>
      <c r="S36" s="472" t="e">
        <f t="shared" si="10"/>
        <v>#N/A</v>
      </c>
      <c r="T36" s="472" t="e">
        <f t="shared" si="11"/>
        <v>#N/A</v>
      </c>
      <c r="U36" s="297" t="e">
        <f t="shared" si="12"/>
        <v>#N/A</v>
      </c>
      <c r="V36" s="297" t="e">
        <f t="shared" si="13"/>
        <v>#N/A</v>
      </c>
      <c r="W36" s="297" t="e">
        <f t="shared" si="14"/>
        <v>#N/A</v>
      </c>
      <c r="X36" s="297" t="e">
        <f t="shared" si="15"/>
        <v>#N/A</v>
      </c>
      <c r="Y36" s="297" t="e">
        <f t="shared" si="16"/>
        <v>#N/A</v>
      </c>
      <c r="Z36" s="472" t="e">
        <f t="shared" si="17"/>
        <v>#N/A</v>
      </c>
      <c r="AA36" s="472"/>
    </row>
    <row r="37" spans="1:56" ht="15.75" thickBot="1">
      <c r="B37" s="540"/>
      <c r="C37" s="350"/>
      <c r="D37" s="525"/>
      <c r="E37" s="526"/>
      <c r="F37" s="294"/>
      <c r="G37" s="42"/>
      <c r="H37" s="41"/>
      <c r="I37" s="42"/>
      <c r="J37" s="42"/>
      <c r="K37" s="351"/>
      <c r="L37" s="348"/>
      <c r="M37" s="348"/>
      <c r="N37" s="11"/>
      <c r="O37" s="294"/>
      <c r="P37" s="12"/>
      <c r="R37" s="277">
        <f t="shared" si="9"/>
        <v>0</v>
      </c>
      <c r="S37" s="472" t="e">
        <f t="shared" si="10"/>
        <v>#N/A</v>
      </c>
      <c r="T37" s="472" t="e">
        <f t="shared" si="11"/>
        <v>#N/A</v>
      </c>
      <c r="U37" s="297" t="e">
        <f t="shared" si="12"/>
        <v>#N/A</v>
      </c>
      <c r="V37" s="297" t="e">
        <f t="shared" si="13"/>
        <v>#N/A</v>
      </c>
      <c r="W37" s="297" t="e">
        <f t="shared" si="14"/>
        <v>#N/A</v>
      </c>
      <c r="X37" s="297" t="e">
        <f t="shared" si="15"/>
        <v>#N/A</v>
      </c>
      <c r="Y37" s="297" t="e">
        <f t="shared" si="16"/>
        <v>#N/A</v>
      </c>
      <c r="Z37" s="472" t="e">
        <f t="shared" si="17"/>
        <v>#N/A</v>
      </c>
      <c r="AA37" s="472"/>
    </row>
    <row r="38" spans="1:56" ht="15.75" thickBot="1">
      <c r="B38" s="520"/>
      <c r="C38" s="362"/>
      <c r="D38" s="523"/>
      <c r="E38" s="524"/>
      <c r="F38" s="294"/>
      <c r="G38" s="42"/>
      <c r="H38" s="41"/>
      <c r="I38" s="42"/>
      <c r="J38" s="527" t="s">
        <v>129</v>
      </c>
      <c r="K38" s="527"/>
      <c r="L38" s="294"/>
      <c r="M38" s="294"/>
      <c r="N38" s="294"/>
      <c r="O38" s="294"/>
      <c r="P38" s="12"/>
    </row>
    <row r="39" spans="1:56" ht="15.75" thickBot="1">
      <c r="B39" s="521"/>
      <c r="C39" s="362"/>
      <c r="D39" s="525"/>
      <c r="E39" s="526"/>
      <c r="F39" s="294"/>
      <c r="G39" s="42"/>
      <c r="H39" s="42"/>
      <c r="I39" s="42"/>
      <c r="J39" s="292" t="s">
        <v>17</v>
      </c>
      <c r="K39" s="293"/>
      <c r="L39" s="528" t="s">
        <v>136</v>
      </c>
      <c r="M39" s="528"/>
      <c r="N39" s="529"/>
      <c r="O39" s="294"/>
      <c r="P39" s="12"/>
    </row>
    <row r="40" spans="1:56" ht="15" customHeight="1" thickBot="1">
      <c r="B40" s="521"/>
      <c r="C40" s="349"/>
      <c r="D40" s="530"/>
      <c r="E40" s="531"/>
      <c r="F40" s="294"/>
      <c r="G40" s="42"/>
      <c r="H40" s="42"/>
      <c r="I40" s="42"/>
      <c r="J40" s="287" t="s">
        <v>6</v>
      </c>
      <c r="K40" s="324"/>
      <c r="L40" s="473" t="s">
        <v>37</v>
      </c>
      <c r="M40" s="474" t="s">
        <v>38</v>
      </c>
      <c r="N40" s="474" t="s">
        <v>84</v>
      </c>
      <c r="O40" s="294"/>
      <c r="P40" s="12"/>
    </row>
    <row r="41" spans="1:56" ht="15.75" customHeight="1" thickBot="1">
      <c r="B41" s="521"/>
      <c r="C41" s="349"/>
      <c r="D41" s="532"/>
      <c r="E41" s="526"/>
      <c r="F41" s="294"/>
      <c r="G41" s="42"/>
      <c r="H41" s="42"/>
      <c r="I41" s="42"/>
      <c r="J41" s="345" t="s">
        <v>9</v>
      </c>
      <c r="K41" s="324"/>
      <c r="L41" s="485">
        <f>AVERAGE('Sept 1st'!K45,'Sept 2nd'!K47,'Sept 3rd'!K44,'Sept 4th'!K46,'Sept 7th'!K48,'Sept 8th'!K48,'Sept 9th'!K50,'Sept 10th'!K49,'Sept 11th '!K45,'Sept 14th'!K45,'Sept 15th'!K48,'Sept 16th'!K51,'Sept 17th '!K52,'Sept 18th'!K42,'Sept 21st'!K48,'Sept 22nd'!K46,'Sept 23rd '!K51,'Sept 24th'!K49,K50)</f>
        <v>7</v>
      </c>
      <c r="M41" s="486">
        <f>AVERAGE('[9]Jan30th-31st'!$L$47,L41,'[10]Feb 26th '!$L$39,'[11]Mar 31st'!$L$47,'[12]Apr 30th'!$L$46,'[13]May 29th '!$L$40,'[14]June 30th'!$L$39,[15]July31st!$L$41,'[16]Aug 31st'!$L$37)</f>
        <v>6.5155670416539984</v>
      </c>
      <c r="N41" s="416">
        <v>9.1999999999999993</v>
      </c>
      <c r="O41" s="294"/>
      <c r="P41" s="12"/>
    </row>
    <row r="42" spans="1:56" ht="15" customHeight="1">
      <c r="B42" s="521"/>
      <c r="C42" s="349"/>
      <c r="D42" s="530"/>
      <c r="E42" s="531"/>
      <c r="F42" s="294"/>
      <c r="G42" s="42"/>
      <c r="H42" s="42"/>
      <c r="I42" s="42"/>
      <c r="J42" s="288" t="s">
        <v>40</v>
      </c>
      <c r="K42" s="324"/>
      <c r="L42" s="294"/>
      <c r="M42" s="294"/>
      <c r="N42" s="294"/>
      <c r="O42" s="294"/>
      <c r="P42" s="12"/>
    </row>
    <row r="43" spans="1:56" ht="15" customHeight="1">
      <c r="B43" s="521"/>
      <c r="C43" s="349"/>
      <c r="D43" s="532"/>
      <c r="E43" s="526"/>
      <c r="F43" s="294"/>
      <c r="G43" s="42"/>
      <c r="H43" s="42"/>
      <c r="I43" s="42"/>
      <c r="J43" s="289" t="s">
        <v>33</v>
      </c>
      <c r="K43" s="324"/>
      <c r="L43" s="294"/>
      <c r="M43" s="294"/>
      <c r="N43" s="294"/>
      <c r="O43" s="294"/>
      <c r="P43" s="12"/>
    </row>
    <row r="44" spans="1:56" ht="15">
      <c r="B44" s="521"/>
      <c r="C44" s="349"/>
      <c r="D44" s="530"/>
      <c r="E44" s="531"/>
      <c r="F44" s="294"/>
      <c r="G44" s="42"/>
      <c r="H44" s="42"/>
      <c r="I44" s="42"/>
      <c r="J44" s="290" t="s">
        <v>16</v>
      </c>
      <c r="K44" s="324">
        <v>8</v>
      </c>
      <c r="L44" s="294"/>
      <c r="M44" s="294"/>
      <c r="N44" s="294"/>
      <c r="O44" s="294"/>
      <c r="P44" s="12"/>
      <c r="BC44" s="44"/>
      <c r="BD44" s="44"/>
    </row>
    <row r="45" spans="1:56" ht="15">
      <c r="B45" s="521"/>
      <c r="C45" s="349"/>
      <c r="D45" s="532"/>
      <c r="E45" s="526"/>
      <c r="F45" s="294"/>
      <c r="G45" s="42"/>
      <c r="H45" s="42"/>
      <c r="I45" s="42"/>
      <c r="J45" s="291" t="s">
        <v>15</v>
      </c>
      <c r="K45" s="324"/>
      <c r="L45" s="294"/>
      <c r="M45" s="294"/>
      <c r="N45" s="294"/>
      <c r="O45" s="294"/>
      <c r="P45" s="12"/>
      <c r="BC45" s="44"/>
      <c r="BD45" s="44"/>
    </row>
    <row r="46" spans="1:56" ht="15">
      <c r="B46" s="521"/>
      <c r="C46" s="349"/>
      <c r="D46" s="530"/>
      <c r="E46" s="531"/>
      <c r="F46" s="294"/>
      <c r="G46" s="42"/>
      <c r="H46" s="42"/>
      <c r="I46" s="42"/>
      <c r="J46" s="291" t="s">
        <v>149</v>
      </c>
      <c r="K46" s="324"/>
      <c r="L46" s="294"/>
      <c r="M46" s="294"/>
      <c r="N46" s="294"/>
      <c r="O46" s="294"/>
      <c r="P46" s="12"/>
      <c r="BC46" s="44"/>
      <c r="BD46" s="44"/>
    </row>
    <row r="47" spans="1:56" ht="15.75" thickBot="1">
      <c r="B47" s="522"/>
      <c r="C47" s="350"/>
      <c r="D47" s="533"/>
      <c r="E47" s="534"/>
      <c r="F47" s="294" t="s">
        <v>165</v>
      </c>
      <c r="G47" s="42"/>
      <c r="H47" s="42"/>
      <c r="I47" s="42"/>
      <c r="J47" s="291" t="s">
        <v>148</v>
      </c>
      <c r="K47" s="324"/>
      <c r="L47" s="294"/>
      <c r="M47" s="294"/>
      <c r="N47" s="294" t="s">
        <v>41</v>
      </c>
      <c r="O47" s="294"/>
      <c r="P47" s="12"/>
      <c r="BC47" s="44"/>
      <c r="BD47" s="44"/>
    </row>
    <row r="48" spans="1:56" ht="17.649999999999999" customHeight="1" thickBot="1">
      <c r="B48" s="312" t="s">
        <v>139</v>
      </c>
      <c r="C48" s="313"/>
      <c r="D48" s="511"/>
      <c r="E48" s="512"/>
      <c r="F48" s="294"/>
      <c r="J48" s="295" t="s">
        <v>134</v>
      </c>
      <c r="K48" s="324"/>
      <c r="L48" s="294"/>
      <c r="M48" s="294"/>
      <c r="N48" s="294"/>
      <c r="O48" s="294"/>
      <c r="P48" s="12"/>
      <c r="BC48" s="44"/>
      <c r="BD48" s="44"/>
    </row>
    <row r="49" spans="2:57" ht="17.649999999999999" customHeight="1">
      <c r="B49" s="363"/>
      <c r="C49" s="364"/>
      <c r="D49" s="365"/>
      <c r="E49" s="365"/>
      <c r="F49" s="294"/>
      <c r="G49" s="42"/>
      <c r="H49" s="42"/>
      <c r="I49" s="42"/>
      <c r="J49" s="295" t="s">
        <v>131</v>
      </c>
      <c r="K49" s="324"/>
      <c r="L49" s="294"/>
      <c r="M49" s="294"/>
      <c r="N49" s="294"/>
      <c r="O49" s="294"/>
      <c r="P49" s="12"/>
      <c r="BC49" s="44"/>
      <c r="BD49" s="44"/>
    </row>
    <row r="50" spans="2:57" ht="15.6" customHeight="1">
      <c r="B50" s="45"/>
      <c r="C50" s="11"/>
      <c r="D50" s="11"/>
      <c r="E50" s="46"/>
      <c r="F50" s="294"/>
      <c r="G50" s="42"/>
      <c r="H50" s="42"/>
      <c r="I50" s="42"/>
      <c r="J50" s="346" t="s">
        <v>130</v>
      </c>
      <c r="K50" s="324">
        <f>SUM(K40:K49)</f>
        <v>8</v>
      </c>
      <c r="L50" s="294"/>
      <c r="M50" s="294"/>
      <c r="N50" s="294"/>
      <c r="O50" s="294"/>
      <c r="P50" s="12"/>
    </row>
    <row r="51" spans="2:57" ht="20.25" customHeight="1">
      <c r="B51" s="15" t="s">
        <v>42</v>
      </c>
      <c r="C51" s="1" t="s">
        <v>43</v>
      </c>
      <c r="D51" s="1"/>
      <c r="E51" s="1"/>
      <c r="F51" s="294"/>
      <c r="G51" s="42"/>
      <c r="H51" s="41"/>
      <c r="I51" s="42"/>
      <c r="L51" s="42"/>
      <c r="N51" s="315"/>
      <c r="P51" s="334"/>
    </row>
    <row r="52" spans="2:57" ht="15" customHeight="1" thickBot="1">
      <c r="B52" s="48"/>
      <c r="C52" s="48"/>
      <c r="D52" s="48"/>
      <c r="E52" s="48"/>
      <c r="F52" s="48"/>
      <c r="G52" s="48"/>
      <c r="H52" s="48"/>
      <c r="I52" s="48"/>
      <c r="J52" s="48"/>
      <c r="K52" s="48"/>
      <c r="L52" s="48"/>
      <c r="M52" s="48"/>
      <c r="N52" s="41"/>
      <c r="O52" s="48"/>
      <c r="P52" s="49"/>
    </row>
    <row r="53" spans="2:57" ht="15" customHeight="1" thickBot="1">
      <c r="B53" s="505" t="s">
        <v>17</v>
      </c>
      <c r="C53" s="505" t="s">
        <v>44</v>
      </c>
      <c r="D53" s="514" t="s">
        <v>45</v>
      </c>
      <c r="E53" s="516" t="s">
        <v>46</v>
      </c>
      <c r="F53" s="518" t="s">
        <v>47</v>
      </c>
      <c r="G53" s="503" t="s">
        <v>48</v>
      </c>
      <c r="H53" s="505" t="s">
        <v>49</v>
      </c>
      <c r="I53" s="505" t="s">
        <v>50</v>
      </c>
      <c r="J53" s="497" t="s">
        <v>28</v>
      </c>
      <c r="K53" s="507" t="s">
        <v>51</v>
      </c>
      <c r="L53" s="509" t="s">
        <v>52</v>
      </c>
      <c r="M53" s="497" t="s">
        <v>53</v>
      </c>
      <c r="N53" s="13"/>
      <c r="O53" s="13"/>
      <c r="P53" s="50"/>
    </row>
    <row r="54" spans="2:57" ht="28.5" customHeight="1" thickTop="1" thickBot="1">
      <c r="B54" s="506"/>
      <c r="C54" s="513"/>
      <c r="D54" s="515"/>
      <c r="E54" s="517"/>
      <c r="F54" s="519"/>
      <c r="G54" s="504"/>
      <c r="H54" s="506"/>
      <c r="I54" s="506"/>
      <c r="J54" s="498"/>
      <c r="K54" s="508"/>
      <c r="L54" s="510"/>
      <c r="M54" s="498"/>
      <c r="N54" s="13"/>
      <c r="O54" s="13"/>
      <c r="P54" s="50"/>
      <c r="Q54" s="355"/>
      <c r="AB54" s="475">
        <v>43474</v>
      </c>
      <c r="AC54" s="475">
        <v>43475</v>
      </c>
      <c r="AD54" s="475">
        <v>43476</v>
      </c>
      <c r="AE54" s="475">
        <v>43477</v>
      </c>
      <c r="AF54" s="475">
        <v>43478</v>
      </c>
      <c r="AG54" s="475">
        <v>43479</v>
      </c>
      <c r="AH54" s="475">
        <v>43480</v>
      </c>
      <c r="AI54" s="475">
        <v>43481</v>
      </c>
      <c r="AJ54" s="475">
        <v>43482</v>
      </c>
      <c r="AK54" s="475">
        <v>43483</v>
      </c>
      <c r="AL54" s="475">
        <v>43484</v>
      </c>
      <c r="AM54" s="475">
        <v>43485</v>
      </c>
      <c r="AN54" s="475">
        <v>43486</v>
      </c>
      <c r="AO54" s="475">
        <v>43487</v>
      </c>
      <c r="AP54" s="475">
        <v>43488</v>
      </c>
      <c r="AQ54" s="475">
        <v>43489</v>
      </c>
      <c r="AR54" s="475">
        <v>43490</v>
      </c>
      <c r="AS54" s="475">
        <v>43491</v>
      </c>
      <c r="AT54" s="475">
        <v>43492</v>
      </c>
      <c r="AU54" s="475">
        <v>43493</v>
      </c>
      <c r="AV54" s="475">
        <v>43494</v>
      </c>
      <c r="AW54" s="475">
        <v>43495</v>
      </c>
      <c r="AX54" s="475">
        <v>43496</v>
      </c>
    </row>
    <row r="55" spans="2:57" s="54" customFormat="1" ht="36.75" customHeight="1" thickBot="1">
      <c r="B55" s="496"/>
      <c r="C55" s="479"/>
      <c r="D55" s="445"/>
      <c r="E55" s="443"/>
      <c r="F55" s="444"/>
      <c r="G55" s="444"/>
      <c r="H55" s="458"/>
      <c r="I55" s="458"/>
      <c r="J55" s="448"/>
      <c r="K55" s="449"/>
      <c r="L55" s="457"/>
      <c r="M55" s="455"/>
      <c r="N55" s="13"/>
      <c r="O55" s="13"/>
      <c r="P55" s="50"/>
      <c r="R55" s="275"/>
      <c r="S55" s="275"/>
      <c r="T55" s="275"/>
      <c r="U55" s="275"/>
      <c r="V55" s="275"/>
      <c r="W55" s="275"/>
      <c r="X55" s="275"/>
      <c r="Y55" s="275"/>
      <c r="Z55" s="275"/>
      <c r="AA55" s="275"/>
      <c r="AB55" s="57">
        <f>[17]January_2019!L5</f>
        <v>0</v>
      </c>
      <c r="AC55" s="57">
        <f>[17]January_2019!M5</f>
        <v>0</v>
      </c>
      <c r="AD55" s="57">
        <f>[17]January_2019!N5</f>
        <v>0</v>
      </c>
      <c r="AE55" s="57">
        <f>[17]January_2019!O5</f>
        <v>0</v>
      </c>
      <c r="AF55" s="57">
        <f>[17]January_2019!P5</f>
        <v>0</v>
      </c>
      <c r="AG55" s="57">
        <f>[17]January_2019!Q5</f>
        <v>0</v>
      </c>
      <c r="AH55" s="57">
        <f>[17]January_2019!R5</f>
        <v>0</v>
      </c>
      <c r="AI55" s="57">
        <f>[17]January_2019!S5</f>
        <v>0</v>
      </c>
      <c r="AJ55" s="57">
        <f>[17]January_2019!T5</f>
        <v>0</v>
      </c>
      <c r="AK55" s="57">
        <f>[17]January_2019!U5</f>
        <v>0</v>
      </c>
      <c r="AL55" s="57">
        <f>[17]January_2019!V5</f>
        <v>0</v>
      </c>
      <c r="AM55" s="57">
        <f>[17]January_2019!W5</f>
        <v>0</v>
      </c>
      <c r="AN55" s="57">
        <f>[17]January_2019!X5</f>
        <v>0</v>
      </c>
      <c r="AO55" s="57">
        <f>[17]January_2019!Y5</f>
        <v>0</v>
      </c>
      <c r="AP55" s="57">
        <f>[17]January_2019!Z5</f>
        <v>0</v>
      </c>
      <c r="AQ55" s="57">
        <f>[17]January_2019!AA5</f>
        <v>0</v>
      </c>
      <c r="AR55" s="57">
        <f>[17]January_2019!AB5</f>
        <v>0</v>
      </c>
      <c r="AS55" s="57">
        <f>[17]January_2019!AC5</f>
        <v>0</v>
      </c>
      <c r="AT55" s="57">
        <f>[17]January_2019!AD5</f>
        <v>0</v>
      </c>
      <c r="AU55" s="57">
        <f>[17]January_2019!AE5</f>
        <v>0</v>
      </c>
      <c r="AV55" s="57">
        <f>[17]January_2019!AF5</f>
        <v>0</v>
      </c>
      <c r="AW55" s="57">
        <f>[17]January_2019!AG5</f>
        <v>0</v>
      </c>
      <c r="AX55" s="277">
        <f>[17]January_2019!AH5</f>
        <v>0</v>
      </c>
      <c r="AY55" s="277"/>
      <c r="AZ55" s="277"/>
      <c r="BA55" s="277"/>
      <c r="BB55" s="277"/>
      <c r="BC55" s="277"/>
      <c r="BD55" s="277"/>
      <c r="BE55" s="277"/>
    </row>
    <row r="56" spans="2:57" s="54" customFormat="1" ht="14.25" hidden="1" customHeight="1" thickBot="1">
      <c r="B56" s="480"/>
      <c r="C56" s="479"/>
      <c r="D56" s="442"/>
      <c r="E56" s="443"/>
      <c r="F56" s="444"/>
      <c r="G56" s="445"/>
      <c r="H56" s="458"/>
      <c r="I56" s="458"/>
      <c r="J56" s="476"/>
      <c r="K56" s="449"/>
      <c r="L56" s="457"/>
      <c r="M56" s="455"/>
      <c r="N56" s="13"/>
      <c r="O56" s="13"/>
      <c r="P56" s="50"/>
      <c r="R56" s="275"/>
      <c r="S56" s="275"/>
      <c r="T56" s="275"/>
      <c r="U56" s="275"/>
      <c r="V56" s="275"/>
      <c r="W56" s="275"/>
      <c r="X56" s="275"/>
      <c r="Y56" s="275"/>
      <c r="Z56" s="275"/>
      <c r="AA56" s="275"/>
      <c r="AB56" s="57">
        <f>[17]January_2019!L6</f>
        <v>0</v>
      </c>
      <c r="AC56" s="57">
        <f>[17]January_2019!M6</f>
        <v>0</v>
      </c>
      <c r="AD56" s="57">
        <f>[17]January_2019!N6</f>
        <v>0</v>
      </c>
      <c r="AE56" s="57">
        <f>[17]January_2019!O6</f>
        <v>0</v>
      </c>
      <c r="AF56" s="57">
        <f>[17]January_2019!P6</f>
        <v>0</v>
      </c>
      <c r="AG56" s="57">
        <f>[17]January_2019!Q6</f>
        <v>0</v>
      </c>
      <c r="AH56" s="57">
        <f>[17]January_2019!R6</f>
        <v>0</v>
      </c>
      <c r="AI56" s="57">
        <f>[17]January_2019!S6</f>
        <v>0</v>
      </c>
      <c r="AJ56" s="57">
        <f>[17]January_2019!T6</f>
        <v>0</v>
      </c>
      <c r="AK56" s="57">
        <f>[17]January_2019!U6</f>
        <v>0</v>
      </c>
      <c r="AL56" s="57">
        <f>[17]January_2019!V6</f>
        <v>0</v>
      </c>
      <c r="AM56" s="57">
        <f>[17]January_2019!W6</f>
        <v>0</v>
      </c>
      <c r="AN56" s="57">
        <f>[17]January_2019!X6</f>
        <v>0</v>
      </c>
      <c r="AO56" s="57">
        <f>[17]January_2019!Y6</f>
        <v>0</v>
      </c>
      <c r="AP56" s="57">
        <f>[17]January_2019!Z6</f>
        <v>0</v>
      </c>
      <c r="AQ56" s="57">
        <f>[17]January_2019!AA6</f>
        <v>0</v>
      </c>
      <c r="AR56" s="57">
        <f>[17]January_2019!AB6</f>
        <v>0</v>
      </c>
      <c r="AS56" s="57">
        <f>[17]January_2019!AC6</f>
        <v>0</v>
      </c>
      <c r="AT56" s="57">
        <f>[17]January_2019!AD6</f>
        <v>0</v>
      </c>
      <c r="AU56" s="57">
        <f>[17]January_2019!AE6</f>
        <v>0</v>
      </c>
      <c r="AV56" s="57">
        <f>[17]January_2019!AF6</f>
        <v>0</v>
      </c>
      <c r="AW56" s="57">
        <f>[17]January_2019!AG6</f>
        <v>0</v>
      </c>
      <c r="AX56" s="277">
        <f>[17]January_2019!AH6</f>
        <v>0</v>
      </c>
      <c r="AY56" s="277"/>
      <c r="AZ56" s="277"/>
      <c r="BA56" s="277"/>
      <c r="BB56" s="277"/>
      <c r="BC56" s="277"/>
      <c r="BD56" s="277"/>
      <c r="BE56" s="277"/>
    </row>
    <row r="57" spans="2:57" s="54" customFormat="1" ht="37.15" hidden="1" customHeight="1" thickBot="1">
      <c r="B57" s="491" t="str">
        <f>J41</f>
        <v>STAG</v>
      </c>
      <c r="C57" s="479">
        <v>46287</v>
      </c>
      <c r="D57" s="442">
        <f>[18]September_2026!$Y$13</f>
        <v>190.70000000000002</v>
      </c>
      <c r="E57" s="443"/>
      <c r="F57" s="444"/>
      <c r="G57" s="444">
        <f>[18]September_2026!$Y$17</f>
        <v>184.3</v>
      </c>
      <c r="H57" s="446"/>
      <c r="I57" s="446"/>
      <c r="J57" s="448" t="s">
        <v>174</v>
      </c>
      <c r="K57" s="449">
        <f>[19]September_2026!$Y$25</f>
        <v>0.64666666666666672</v>
      </c>
      <c r="L57" s="457">
        <f>(((D57+E57)-G57)/(D57+E57))*100</f>
        <v>3.3560566334556925</v>
      </c>
      <c r="M57" s="455" t="s">
        <v>176</v>
      </c>
      <c r="N57" s="13"/>
      <c r="O57" s="13"/>
      <c r="P57" s="50"/>
      <c r="R57" s="275"/>
      <c r="S57" s="275"/>
      <c r="T57" s="275"/>
      <c r="U57" s="275"/>
      <c r="V57" s="275"/>
      <c r="W57" s="275"/>
      <c r="X57" s="275"/>
      <c r="Y57" s="275"/>
      <c r="Z57" s="275"/>
      <c r="AA57" s="275"/>
      <c r="AB57" s="57">
        <f>[17]January_2019!L7</f>
        <v>285.8</v>
      </c>
      <c r="AC57" s="57">
        <f>[17]January_2019!M7</f>
        <v>508.1</v>
      </c>
      <c r="AD57" s="57">
        <f>[17]January_2019!N7</f>
        <v>0</v>
      </c>
      <c r="AE57" s="57">
        <f>[17]January_2019!O7</f>
        <v>0</v>
      </c>
      <c r="AF57" s="57">
        <f>[17]January_2019!P7</f>
        <v>109.56666666666666</v>
      </c>
      <c r="AG57" s="57">
        <f>[17]January_2019!Q7</f>
        <v>297.64999999999998</v>
      </c>
      <c r="AH57" s="57">
        <f>[17]January_2019!R7</f>
        <v>122.3</v>
      </c>
      <c r="AI57" s="57">
        <f>[17]January_2019!S7</f>
        <v>0</v>
      </c>
      <c r="AJ57" s="57">
        <f>[17]January_2019!T7</f>
        <v>294.7</v>
      </c>
      <c r="AK57" s="57">
        <f>[17]January_2019!U7</f>
        <v>280.5</v>
      </c>
      <c r="AL57" s="57">
        <f>[17]January_2019!V7</f>
        <v>0</v>
      </c>
      <c r="AM57" s="57">
        <f>[17]January_2019!W7</f>
        <v>0</v>
      </c>
      <c r="AN57" s="57">
        <f>[17]January_2019!X7</f>
        <v>188.25</v>
      </c>
      <c r="AO57" s="57">
        <f>[17]January_2019!Y7</f>
        <v>295.7</v>
      </c>
      <c r="AP57" s="57">
        <f>[17]January_2019!Z7</f>
        <v>257.8</v>
      </c>
      <c r="AQ57" s="57">
        <f>[17]January_2019!AA7</f>
        <v>291.2</v>
      </c>
      <c r="AR57" s="57">
        <f>[17]January_2019!AB7</f>
        <v>187</v>
      </c>
      <c r="AS57" s="57">
        <f>[17]January_2019!AC7</f>
        <v>0</v>
      </c>
      <c r="AT57" s="57">
        <f>[17]January_2019!AD7</f>
        <v>0</v>
      </c>
      <c r="AU57" s="57">
        <f>[17]January_2019!AE7</f>
        <v>485.1</v>
      </c>
      <c r="AV57" s="57">
        <f>[17]January_2019!AF7</f>
        <v>171.55</v>
      </c>
      <c r="AW57" s="57">
        <f>[17]January_2019!AG7</f>
        <v>423.8</v>
      </c>
      <c r="AX57" s="277">
        <f>[17]January_2019!AH7</f>
        <v>0</v>
      </c>
      <c r="AY57" s="277"/>
      <c r="AZ57" s="277"/>
      <c r="BA57" s="277"/>
      <c r="BB57" s="277"/>
      <c r="BC57" s="277"/>
      <c r="BD57" s="277"/>
      <c r="BE57" s="277"/>
    </row>
    <row r="58" spans="2:57" s="54" customFormat="1" ht="18.600000000000001" hidden="1" customHeight="1" thickBot="1">
      <c r="B58" s="478"/>
      <c r="C58" s="430"/>
      <c r="D58" s="431"/>
      <c r="E58" s="432"/>
      <c r="F58" s="433"/>
      <c r="G58" s="434"/>
      <c r="H58" s="458"/>
      <c r="I58" s="458"/>
      <c r="J58" s="451"/>
      <c r="K58" s="436"/>
      <c r="L58" s="452"/>
      <c r="M58" s="421"/>
      <c r="N58" s="13"/>
      <c r="O58" s="13"/>
      <c r="P58" s="50"/>
      <c r="R58" s="275"/>
      <c r="S58" s="275"/>
      <c r="T58" s="275"/>
      <c r="U58" s="275"/>
      <c r="V58" s="275"/>
      <c r="W58" s="275"/>
      <c r="X58" s="275"/>
      <c r="Y58" s="275"/>
      <c r="Z58" s="275"/>
      <c r="AA58" s="275"/>
      <c r="AB58" s="57"/>
      <c r="AC58" s="57"/>
      <c r="AD58" s="57"/>
      <c r="AE58" s="57"/>
      <c r="AF58" s="57"/>
      <c r="AG58" s="57"/>
      <c r="AH58" s="57"/>
      <c r="AI58" s="57"/>
      <c r="AJ58" s="57"/>
      <c r="AK58" s="57"/>
      <c r="AL58" s="57"/>
      <c r="AM58" s="57"/>
      <c r="AN58" s="57"/>
      <c r="AO58" s="57"/>
      <c r="AP58" s="57"/>
      <c r="AQ58" s="57"/>
      <c r="AR58" s="57"/>
      <c r="AS58" s="57"/>
      <c r="AT58" s="57"/>
      <c r="AU58" s="57"/>
      <c r="AV58" s="57"/>
      <c r="AW58" s="57"/>
      <c r="AX58" s="277"/>
      <c r="AY58" s="277"/>
      <c r="AZ58" s="277"/>
      <c r="BA58" s="277"/>
      <c r="BB58" s="277"/>
      <c r="BC58" s="277"/>
      <c r="BD58" s="277"/>
      <c r="BE58" s="277"/>
    </row>
    <row r="59" spans="2:57" s="54" customFormat="1" ht="38.65" hidden="1" customHeight="1" thickBot="1">
      <c r="B59" s="487"/>
      <c r="C59" s="479"/>
      <c r="D59" s="442"/>
      <c r="E59" s="443"/>
      <c r="F59" s="444"/>
      <c r="G59" s="445"/>
      <c r="H59" s="458"/>
      <c r="I59" s="458"/>
      <c r="J59" s="448"/>
      <c r="K59" s="459"/>
      <c r="L59" s="457"/>
      <c r="M59" s="455"/>
      <c r="N59" s="13"/>
      <c r="O59" s="13"/>
      <c r="P59" s="50"/>
      <c r="R59" s="275"/>
      <c r="S59" s="275"/>
      <c r="T59" s="275"/>
      <c r="U59" s="275"/>
      <c r="V59" s="275"/>
      <c r="W59" s="275"/>
      <c r="X59" s="275"/>
      <c r="Y59" s="275"/>
      <c r="Z59" s="275"/>
      <c r="AA59" s="275"/>
      <c r="AB59" s="57"/>
      <c r="AC59" s="57"/>
      <c r="AD59" s="57"/>
      <c r="AE59" s="57"/>
      <c r="AF59" s="57"/>
      <c r="AG59" s="57"/>
      <c r="AH59" s="57"/>
      <c r="AI59" s="57"/>
      <c r="AJ59" s="57"/>
      <c r="AK59" s="57"/>
      <c r="AL59" s="57"/>
      <c r="AM59" s="57"/>
      <c r="AN59" s="57"/>
      <c r="AO59" s="57"/>
      <c r="AP59" s="57"/>
      <c r="AQ59" s="57"/>
      <c r="AR59" s="57"/>
      <c r="AS59" s="57"/>
      <c r="AT59" s="57"/>
      <c r="AU59" s="57"/>
      <c r="AV59" s="57"/>
      <c r="AW59" s="57"/>
      <c r="AX59" s="277"/>
      <c r="AY59" s="277"/>
      <c r="AZ59" s="277"/>
      <c r="BA59" s="277"/>
      <c r="BB59" s="277"/>
      <c r="BC59" s="277"/>
      <c r="BD59" s="277"/>
      <c r="BE59" s="277"/>
    </row>
    <row r="60" spans="2:57" s="54" customFormat="1" ht="15" hidden="1">
      <c r="B60" s="453"/>
      <c r="C60" s="430"/>
      <c r="D60" s="431"/>
      <c r="E60" s="432"/>
      <c r="F60" s="433"/>
      <c r="G60" s="434"/>
      <c r="H60" s="435"/>
      <c r="I60" s="450"/>
      <c r="J60" s="451"/>
      <c r="K60" s="436"/>
      <c r="L60" s="452"/>
      <c r="M60" s="421"/>
      <c r="N60" s="13"/>
      <c r="O60" s="13"/>
      <c r="P60" s="50"/>
      <c r="R60" s="275"/>
      <c r="S60" s="275"/>
      <c r="T60" s="275"/>
      <c r="U60" s="275"/>
      <c r="V60" s="275"/>
      <c r="W60" s="275"/>
      <c r="X60" s="275"/>
      <c r="Y60" s="275"/>
      <c r="Z60" s="275"/>
      <c r="AA60" s="275"/>
      <c r="AB60" s="57"/>
      <c r="AC60" s="57"/>
      <c r="AD60" s="57"/>
      <c r="AE60" s="57"/>
      <c r="AF60" s="57"/>
      <c r="AG60" s="57"/>
      <c r="AH60" s="57"/>
      <c r="AI60" s="57"/>
      <c r="AJ60" s="57"/>
      <c r="AK60" s="57"/>
      <c r="AL60" s="57"/>
      <c r="AM60" s="57"/>
      <c r="AN60" s="57"/>
      <c r="AO60" s="57"/>
      <c r="AP60" s="57"/>
      <c r="AQ60" s="57"/>
      <c r="AR60" s="57"/>
      <c r="AS60" s="57"/>
      <c r="AT60" s="57"/>
      <c r="AU60" s="57"/>
      <c r="AV60" s="57"/>
      <c r="AW60" s="57"/>
      <c r="AX60" s="277"/>
      <c r="AY60" s="277"/>
      <c r="AZ60" s="277"/>
      <c r="BA60" s="277"/>
      <c r="BB60" s="277"/>
      <c r="BC60" s="277"/>
      <c r="BD60" s="277"/>
      <c r="BE60" s="277"/>
    </row>
    <row r="61" spans="2:57" s="54" customFormat="1" ht="37.15" hidden="1" customHeight="1" thickBot="1">
      <c r="B61" s="481"/>
      <c r="C61" s="479"/>
      <c r="D61" s="442"/>
      <c r="E61" s="443"/>
      <c r="F61" s="444"/>
      <c r="G61" s="445"/>
      <c r="H61" s="446"/>
      <c r="I61" s="447"/>
      <c r="J61" s="448"/>
      <c r="K61" s="449"/>
      <c r="L61" s="457"/>
      <c r="M61" s="455"/>
      <c r="N61" s="13"/>
      <c r="O61" s="13"/>
      <c r="P61" s="50"/>
      <c r="R61" s="275"/>
      <c r="S61" s="275"/>
      <c r="T61" s="275"/>
      <c r="U61" s="275"/>
      <c r="V61" s="275"/>
      <c r="W61" s="275"/>
      <c r="X61" s="275"/>
      <c r="Y61" s="275"/>
      <c r="Z61" s="275"/>
      <c r="AA61" s="275"/>
      <c r="AB61" s="57"/>
      <c r="AC61" s="57"/>
      <c r="AD61" s="57"/>
      <c r="AE61" s="57"/>
      <c r="AF61" s="57"/>
      <c r="AG61" s="57"/>
      <c r="AH61" s="57"/>
      <c r="AI61" s="57"/>
      <c r="AJ61" s="57"/>
      <c r="AK61" s="57"/>
      <c r="AL61" s="57"/>
      <c r="AM61" s="57"/>
      <c r="AN61" s="57"/>
      <c r="AO61" s="57"/>
      <c r="AP61" s="57"/>
      <c r="AQ61" s="57"/>
      <c r="AR61" s="57"/>
      <c r="AS61" s="57"/>
      <c r="AT61" s="57"/>
      <c r="AU61" s="57"/>
      <c r="AV61" s="57"/>
      <c r="AW61" s="57"/>
      <c r="AX61" s="277"/>
      <c r="AY61" s="277"/>
      <c r="AZ61" s="277"/>
      <c r="BA61" s="277"/>
      <c r="BB61" s="277"/>
      <c r="BC61" s="277"/>
      <c r="BD61" s="277"/>
      <c r="BE61" s="277"/>
    </row>
    <row r="62" spans="2:57" s="54" customFormat="1" ht="16.5" hidden="1" customHeight="1" thickBot="1">
      <c r="B62" s="437"/>
      <c r="C62" s="423"/>
      <c r="D62" s="424"/>
      <c r="E62" s="425"/>
      <c r="F62" s="426"/>
      <c r="G62" s="427"/>
      <c r="H62" s="428"/>
      <c r="I62" s="438"/>
      <c r="J62" s="439"/>
      <c r="K62" s="429"/>
      <c r="L62" s="440"/>
      <c r="M62" s="422"/>
      <c r="N62" s="13"/>
      <c r="O62" s="13"/>
      <c r="P62" s="50"/>
      <c r="R62" s="275"/>
      <c r="S62" s="275"/>
      <c r="T62" s="275"/>
      <c r="U62" s="275"/>
      <c r="V62" s="275"/>
      <c r="W62" s="275"/>
      <c r="X62" s="275"/>
      <c r="Y62" s="275"/>
      <c r="Z62" s="275"/>
      <c r="AA62" s="275"/>
      <c r="AB62" s="415"/>
      <c r="AC62" s="415"/>
      <c r="AD62" s="415"/>
      <c r="AE62" s="415"/>
      <c r="AF62" s="415"/>
      <c r="AG62" s="415"/>
      <c r="AH62" s="415"/>
      <c r="AI62" s="415"/>
      <c r="AJ62" s="415"/>
      <c r="AK62" s="415"/>
      <c r="AL62" s="415"/>
      <c r="AM62" s="415"/>
      <c r="AN62" s="415"/>
      <c r="AO62" s="415"/>
      <c r="AP62" s="415"/>
      <c r="AQ62" s="415"/>
      <c r="AR62" s="415"/>
      <c r="AS62" s="415"/>
      <c r="AT62" s="415"/>
      <c r="AU62" s="415"/>
      <c r="AV62" s="415"/>
      <c r="AW62" s="415"/>
    </row>
    <row r="63" spans="2:57" s="54" customFormat="1" ht="37.15" hidden="1" customHeight="1" thickBot="1">
      <c r="B63" s="456"/>
      <c r="C63" s="441"/>
      <c r="D63" s="442"/>
      <c r="E63" s="443"/>
      <c r="F63" s="444"/>
      <c r="G63" s="445"/>
      <c r="H63" s="446"/>
      <c r="I63" s="447"/>
      <c r="J63" s="448"/>
      <c r="K63" s="449"/>
      <c r="L63" s="457"/>
      <c r="M63" s="454"/>
      <c r="N63" s="13"/>
      <c r="O63" s="13"/>
      <c r="P63" s="50"/>
      <c r="R63" s="275"/>
      <c r="S63" s="275"/>
      <c r="T63" s="275"/>
      <c r="U63" s="275"/>
      <c r="V63" s="275"/>
      <c r="W63" s="275"/>
      <c r="X63" s="275"/>
      <c r="Y63" s="275"/>
      <c r="Z63" s="275"/>
      <c r="AA63" s="275"/>
      <c r="AB63" s="57"/>
      <c r="AC63" s="57"/>
      <c r="AD63" s="57"/>
      <c r="AE63" s="57"/>
      <c r="AF63" s="57"/>
      <c r="AG63" s="57"/>
      <c r="AH63" s="57"/>
      <c r="AI63" s="57"/>
      <c r="AJ63" s="57"/>
      <c r="AK63" s="57"/>
      <c r="AL63" s="57"/>
      <c r="AM63" s="57"/>
      <c r="AN63" s="57"/>
      <c r="AO63" s="57"/>
      <c r="AP63" s="57"/>
      <c r="AQ63" s="57"/>
      <c r="AR63" s="57"/>
      <c r="AS63" s="57"/>
      <c r="AT63" s="57"/>
      <c r="AU63" s="57"/>
      <c r="AV63" s="57"/>
      <c r="AW63" s="57"/>
      <c r="AX63" s="277"/>
      <c r="AY63" s="277"/>
      <c r="AZ63" s="277"/>
      <c r="BA63" s="277"/>
      <c r="BB63" s="277"/>
      <c r="BC63" s="277"/>
      <c r="BD63" s="277"/>
      <c r="BE63" s="277"/>
    </row>
    <row r="64" spans="2:57" s="54" customFormat="1" ht="37.15" customHeight="1">
      <c r="B64" s="466"/>
      <c r="C64" s="430"/>
      <c r="D64" s="460"/>
      <c r="E64" s="461"/>
      <c r="F64" s="462"/>
      <c r="G64" s="460"/>
      <c r="H64" s="463"/>
      <c r="I64" s="463"/>
      <c r="J64" s="463"/>
      <c r="K64" s="464"/>
      <c r="L64" s="465"/>
      <c r="M64" s="50"/>
      <c r="N64" s="13"/>
      <c r="O64" s="13"/>
      <c r="P64" s="50"/>
      <c r="R64" s="275"/>
      <c r="S64" s="275"/>
      <c r="T64" s="275"/>
      <c r="U64" s="275"/>
      <c r="V64" s="275"/>
      <c r="W64" s="275"/>
      <c r="X64" s="275"/>
      <c r="Y64" s="275"/>
      <c r="Z64" s="275"/>
      <c r="AA64" s="275"/>
      <c r="AB64" s="57"/>
      <c r="AC64" s="57"/>
      <c r="AD64" s="57"/>
      <c r="AE64" s="57"/>
      <c r="AF64" s="57"/>
      <c r="AG64" s="57"/>
      <c r="AH64" s="57"/>
      <c r="AI64" s="57"/>
      <c r="AJ64" s="57"/>
      <c r="AK64" s="57"/>
      <c r="AL64" s="57"/>
      <c r="AM64" s="57"/>
      <c r="AN64" s="57"/>
      <c r="AO64" s="57"/>
      <c r="AP64" s="57"/>
      <c r="AQ64" s="57"/>
      <c r="AR64" s="57"/>
      <c r="AS64" s="57"/>
      <c r="AT64" s="57"/>
      <c r="AU64" s="57"/>
      <c r="AV64" s="57"/>
      <c r="AW64" s="57"/>
      <c r="AX64" s="277"/>
      <c r="AY64" s="277"/>
      <c r="AZ64" s="277"/>
      <c r="BA64" s="277"/>
      <c r="BB64" s="277"/>
      <c r="BC64" s="277"/>
      <c r="BD64" s="277"/>
      <c r="BE64" s="277"/>
    </row>
    <row r="65" spans="2:16" ht="18" customHeight="1" thickBot="1">
      <c r="B65" s="59"/>
      <c r="C65" s="309"/>
      <c r="D65" s="59"/>
      <c r="E65" s="59"/>
      <c r="F65" s="59"/>
      <c r="G65" s="59"/>
      <c r="H65" s="59"/>
      <c r="I65" s="59"/>
      <c r="J65" s="59"/>
      <c r="K65" s="59"/>
      <c r="L65" s="59"/>
      <c r="M65" s="59"/>
      <c r="N65" s="59" t="s">
        <v>41</v>
      </c>
      <c r="O65" s="56"/>
      <c r="P65" s="60"/>
    </row>
    <row r="66" spans="2:16" ht="15.75" thickBot="1">
      <c r="B66" s="499" t="s">
        <v>55</v>
      </c>
      <c r="C66" s="500"/>
      <c r="D66" s="500"/>
      <c r="E66" s="500"/>
      <c r="F66" s="501"/>
      <c r="G66" s="499" t="s">
        <v>56</v>
      </c>
      <c r="H66" s="500"/>
      <c r="I66" s="500"/>
      <c r="J66" s="501"/>
      <c r="K66" s="499" t="s">
        <v>51</v>
      </c>
      <c r="L66" s="500"/>
      <c r="M66" s="500"/>
      <c r="N66" s="502"/>
      <c r="O66" s="56"/>
      <c r="P66" s="50"/>
    </row>
    <row r="67" spans="2:16" ht="15">
      <c r="B67" s="61" t="s">
        <v>17</v>
      </c>
      <c r="C67" s="62" t="s">
        <v>36</v>
      </c>
      <c r="D67" s="62" t="s">
        <v>37</v>
      </c>
      <c r="E67" s="62" t="s">
        <v>38</v>
      </c>
      <c r="F67" s="63" t="s">
        <v>39</v>
      </c>
      <c r="G67" s="62" t="s">
        <v>36</v>
      </c>
      <c r="H67" s="62" t="s">
        <v>37</v>
      </c>
      <c r="I67" s="62" t="s">
        <v>38</v>
      </c>
      <c r="J67" s="63" t="s">
        <v>39</v>
      </c>
      <c r="K67" s="62" t="s">
        <v>36</v>
      </c>
      <c r="L67" s="62" t="s">
        <v>37</v>
      </c>
      <c r="M67" s="62" t="s">
        <v>38</v>
      </c>
      <c r="N67" s="63" t="s">
        <v>39</v>
      </c>
      <c r="O67" s="56"/>
      <c r="P67" s="64"/>
    </row>
    <row r="68" spans="2:16" ht="15">
      <c r="B68" s="29" t="s">
        <v>6</v>
      </c>
      <c r="C68" s="65"/>
      <c r="D68" s="76">
        <v>6.5229659742996704</v>
      </c>
      <c r="E68" s="76">
        <v>6.5193700112432769</v>
      </c>
      <c r="F68" s="66">
        <v>4.8</v>
      </c>
      <c r="G68" s="65"/>
      <c r="H68" s="477">
        <v>5.7910975261786639</v>
      </c>
      <c r="I68" s="477">
        <v>6.5511187503051573</v>
      </c>
      <c r="J68" s="66">
        <v>4.8</v>
      </c>
      <c r="K68" s="67"/>
      <c r="L68" s="194">
        <v>0.65182309941520467</v>
      </c>
      <c r="M68" s="194">
        <v>0.54032562531481076</v>
      </c>
      <c r="N68" s="68">
        <v>1</v>
      </c>
      <c r="O68" s="56"/>
      <c r="P68" s="69"/>
    </row>
    <row r="69" spans="2:16" ht="15">
      <c r="B69" s="33" t="s">
        <v>9</v>
      </c>
      <c r="C69" s="65"/>
      <c r="D69" s="76">
        <v>6.720758239391091</v>
      </c>
      <c r="E69" s="76">
        <v>5.8780358526209691</v>
      </c>
      <c r="F69" s="66">
        <v>4.8</v>
      </c>
      <c r="G69" s="65"/>
      <c r="H69" s="76">
        <v>5.7002127582026105</v>
      </c>
      <c r="I69" s="76">
        <v>5.9275658832823668</v>
      </c>
      <c r="J69" s="66">
        <v>4.8</v>
      </c>
      <c r="K69" s="67"/>
      <c r="L69" s="194">
        <v>0.55370526315789481</v>
      </c>
      <c r="M69" s="194">
        <v>0.68243759810479365</v>
      </c>
      <c r="N69" s="68">
        <v>1</v>
      </c>
      <c r="P69" s="69"/>
    </row>
    <row r="70" spans="2:16" ht="15">
      <c r="B70" s="34" t="s">
        <v>40</v>
      </c>
      <c r="C70" s="65"/>
      <c r="D70" s="76">
        <v>9.9727624599799203</v>
      </c>
      <c r="E70" s="76">
        <v>11.133456850728694</v>
      </c>
      <c r="F70" s="66">
        <v>5.5</v>
      </c>
      <c r="G70" s="65"/>
      <c r="H70" s="76">
        <v>11.68692680260043</v>
      </c>
      <c r="I70" s="76">
        <v>11.841805319797089</v>
      </c>
      <c r="J70" s="66">
        <v>5.5</v>
      </c>
      <c r="K70" s="67"/>
      <c r="L70" s="194"/>
      <c r="M70" s="194">
        <v>0.35370190356844494</v>
      </c>
      <c r="N70" s="68">
        <v>1</v>
      </c>
      <c r="P70" s="69"/>
    </row>
    <row r="71" spans="2:16" ht="15">
      <c r="B71" s="22" t="s">
        <v>33</v>
      </c>
      <c r="C71" s="65"/>
      <c r="D71" s="76"/>
      <c r="E71" s="76">
        <v>4.8685538193023836</v>
      </c>
      <c r="F71" s="66">
        <v>3.3</v>
      </c>
      <c r="G71" s="65"/>
      <c r="H71" s="76"/>
      <c r="I71" s="76">
        <v>4.8702525342252114</v>
      </c>
      <c r="J71" s="66">
        <v>3.3</v>
      </c>
      <c r="K71" s="67"/>
      <c r="L71" s="194"/>
      <c r="M71" s="194">
        <v>0.77919298245614044</v>
      </c>
      <c r="N71" s="68">
        <v>1</v>
      </c>
      <c r="P71" s="69"/>
    </row>
    <row r="72" spans="2:16" ht="15">
      <c r="B72" s="35" t="s">
        <v>164</v>
      </c>
      <c r="C72" s="65"/>
      <c r="D72" s="76"/>
      <c r="E72" s="76"/>
      <c r="F72" s="66">
        <v>3.3</v>
      </c>
      <c r="G72" s="282"/>
      <c r="H72" s="76"/>
      <c r="I72" s="76"/>
      <c r="J72" s="66">
        <v>3</v>
      </c>
      <c r="K72" s="67"/>
      <c r="L72" s="194"/>
      <c r="M72" s="194"/>
      <c r="N72" s="68">
        <v>1</v>
      </c>
      <c r="P72" s="69"/>
    </row>
    <row r="73" spans="2:16" ht="15">
      <c r="B73" s="36" t="s">
        <v>15</v>
      </c>
      <c r="C73" s="65"/>
      <c r="D73" s="76">
        <v>6.8855672629257718</v>
      </c>
      <c r="E73" s="76">
        <v>6.3233965672990236</v>
      </c>
      <c r="F73" s="70">
        <v>5.5</v>
      </c>
      <c r="G73" s="65"/>
      <c r="H73" s="76">
        <v>7.4264332958762713</v>
      </c>
      <c r="I73" s="76">
        <v>7.9667553186446929</v>
      </c>
      <c r="J73" s="66">
        <v>5.5</v>
      </c>
      <c r="K73" s="67"/>
      <c r="L73" s="194">
        <v>0.391812865497076</v>
      </c>
      <c r="M73" s="194">
        <v>0.5883625730994152</v>
      </c>
      <c r="N73" s="68">
        <v>1</v>
      </c>
      <c r="P73" s="69"/>
    </row>
    <row r="74" spans="2:16" ht="15">
      <c r="B74" s="37" t="s">
        <v>16</v>
      </c>
      <c r="C74" s="482"/>
      <c r="D74" s="76"/>
      <c r="E74" s="76">
        <v>3.6168923014750334</v>
      </c>
      <c r="F74" s="66">
        <v>3.3</v>
      </c>
      <c r="G74" s="282"/>
      <c r="H74" s="76"/>
      <c r="I74" s="76">
        <v>5.0091179718082053</v>
      </c>
      <c r="J74" s="66">
        <v>3.3</v>
      </c>
      <c r="K74" s="67"/>
      <c r="L74" s="194"/>
      <c r="M74" s="194">
        <v>0.92642300194931759</v>
      </c>
      <c r="N74" s="71">
        <v>1</v>
      </c>
      <c r="P74" s="69"/>
    </row>
    <row r="75" spans="2:16" ht="15.75" thickBot="1">
      <c r="B75" s="38" t="s">
        <v>163</v>
      </c>
      <c r="C75" s="65"/>
      <c r="D75" s="76"/>
      <c r="E75" s="76"/>
      <c r="F75" s="66">
        <v>7.5</v>
      </c>
      <c r="G75" s="282"/>
      <c r="H75" s="76"/>
      <c r="I75" s="76"/>
      <c r="J75" s="66">
        <v>7.5</v>
      </c>
      <c r="K75" s="67"/>
      <c r="L75" s="194"/>
      <c r="M75" s="194"/>
      <c r="N75" s="71">
        <v>1</v>
      </c>
      <c r="P75" s="69"/>
    </row>
    <row r="76" spans="2:16" ht="15.75" thickBot="1">
      <c r="B76" s="414" t="s">
        <v>161</v>
      </c>
      <c r="C76" s="65"/>
      <c r="D76" s="76"/>
      <c r="E76" s="76"/>
      <c r="F76" s="66">
        <v>4.8</v>
      </c>
      <c r="G76" s="282"/>
      <c r="H76" s="76"/>
      <c r="I76" s="76"/>
      <c r="J76" s="66">
        <v>4.8</v>
      </c>
      <c r="K76" s="67"/>
      <c r="L76" s="194"/>
      <c r="M76" s="194"/>
      <c r="N76" s="71">
        <v>1</v>
      </c>
      <c r="O76" s="74"/>
      <c r="P76" s="75"/>
    </row>
    <row r="77" spans="2:16" ht="15">
      <c r="D77" s="76">
        <v>6.8229872942628012</v>
      </c>
      <c r="E77" s="76">
        <v>6.3796722247483189</v>
      </c>
      <c r="F77" s="341">
        <v>5.5</v>
      </c>
      <c r="H77" s="76">
        <v>6.4685925437861984</v>
      </c>
      <c r="I77" s="76">
        <v>6.6726976479954017</v>
      </c>
      <c r="J77" s="341">
        <v>5.5</v>
      </c>
      <c r="L77" s="194">
        <v>0.58829210526315801</v>
      </c>
      <c r="M77" s="194">
        <v>0.59729466776209061</v>
      </c>
      <c r="N77" s="386">
        <v>1</v>
      </c>
    </row>
  </sheetData>
  <mergeCells count="51">
    <mergeCell ref="M4:N4"/>
    <mergeCell ref="S1:T1"/>
    <mergeCell ref="U1:V1"/>
    <mergeCell ref="W1:X1"/>
    <mergeCell ref="Y1:Z1"/>
    <mergeCell ref="B2:O2"/>
    <mergeCell ref="P8:P9"/>
    <mergeCell ref="C5:D5"/>
    <mergeCell ref="B8:B9"/>
    <mergeCell ref="C8:C9"/>
    <mergeCell ref="D8:D9"/>
    <mergeCell ref="G8:G9"/>
    <mergeCell ref="H8:H9"/>
    <mergeCell ref="I8:I9"/>
    <mergeCell ref="J8:J9"/>
    <mergeCell ref="K8:K9"/>
    <mergeCell ref="L8:L9"/>
    <mergeCell ref="O8:O9"/>
    <mergeCell ref="I24:N24"/>
    <mergeCell ref="D25:E25"/>
    <mergeCell ref="B26:B37"/>
    <mergeCell ref="D26:E27"/>
    <mergeCell ref="D28:E29"/>
    <mergeCell ref="D30:E31"/>
    <mergeCell ref="D32:E33"/>
    <mergeCell ref="D34:E35"/>
    <mergeCell ref="D36:E37"/>
    <mergeCell ref="B38:B47"/>
    <mergeCell ref="D38:E39"/>
    <mergeCell ref="J38:K38"/>
    <mergeCell ref="L39:N39"/>
    <mergeCell ref="D40:E41"/>
    <mergeCell ref="D42:E43"/>
    <mergeCell ref="D44:E45"/>
    <mergeCell ref="D46:E47"/>
    <mergeCell ref="D48:E48"/>
    <mergeCell ref="B53:B54"/>
    <mergeCell ref="C53:C54"/>
    <mergeCell ref="D53:D54"/>
    <mergeCell ref="E53:E54"/>
    <mergeCell ref="M53:M54"/>
    <mergeCell ref="B66:F66"/>
    <mergeCell ref="G66:J66"/>
    <mergeCell ref="K66:N66"/>
    <mergeCell ref="G53:G54"/>
    <mergeCell ref="H53:H54"/>
    <mergeCell ref="I53:I54"/>
    <mergeCell ref="J53:J54"/>
    <mergeCell ref="K53:K54"/>
    <mergeCell ref="L53:L54"/>
    <mergeCell ref="F53:F54"/>
  </mergeCells>
  <conditionalFormatting sqref="B48:B49">
    <cfRule type="cellIs" dxfId="393" priority="113" operator="notBetween">
      <formula>#REF!</formula>
      <formula>#REF!</formula>
    </cfRule>
  </conditionalFormatting>
  <conditionalFormatting sqref="C52">
    <cfRule type="cellIs" dxfId="392" priority="196" stopIfTrue="1" operator="greaterThan">
      <formula>100</formula>
    </cfRule>
    <cfRule type="cellIs" dxfId="391" priority="195" stopIfTrue="1" operator="lessThan">
      <formula>96</formula>
    </cfRule>
  </conditionalFormatting>
  <conditionalFormatting sqref="C68:C69">
    <cfRule type="cellIs" dxfId="390" priority="76" stopIfTrue="1" operator="greaterThan">
      <formula>$F68</formula>
    </cfRule>
    <cfRule type="cellIs" dxfId="389" priority="78" stopIfTrue="1" operator="greaterThan">
      <formula>$F68</formula>
    </cfRule>
    <cfRule type="cellIs" dxfId="388" priority="79" stopIfTrue="1" operator="lessThanOrEqual">
      <formula>0</formula>
    </cfRule>
    <cfRule type="cellIs" dxfId="387" priority="77" stopIfTrue="1" operator="lessThanOrEqual">
      <formula>0</formula>
    </cfRule>
  </conditionalFormatting>
  <conditionalFormatting sqref="C70:C72 C74:C76">
    <cfRule type="cellIs" dxfId="386" priority="85" stopIfTrue="1" operator="greaterThan">
      <formula>$F73</formula>
    </cfRule>
  </conditionalFormatting>
  <conditionalFormatting sqref="C70:C72">
    <cfRule type="cellIs" dxfId="385" priority="86" stopIfTrue="1" operator="lessThanOrEqual">
      <formula>0</formula>
    </cfRule>
  </conditionalFormatting>
  <conditionalFormatting sqref="C73">
    <cfRule type="cellIs" dxfId="384" priority="197" stopIfTrue="1" operator="greaterThan">
      <formula>$F68</formula>
    </cfRule>
    <cfRule type="cellIs" dxfId="383" priority="200" stopIfTrue="1" operator="lessThanOrEqual">
      <formula>0</formula>
    </cfRule>
    <cfRule type="cellIs" dxfId="382" priority="199" stopIfTrue="1" operator="greaterThan">
      <formula>$F68</formula>
    </cfRule>
    <cfRule type="cellIs" dxfId="381" priority="198" stopIfTrue="1" operator="lessThanOrEqual">
      <formula>0</formula>
    </cfRule>
  </conditionalFormatting>
  <conditionalFormatting sqref="C74:C76">
    <cfRule type="cellIs" dxfId="380" priority="87" stopIfTrue="1" operator="lessThanOrEqual">
      <formula>0</formula>
    </cfRule>
  </conditionalFormatting>
  <conditionalFormatting sqref="C79:C83">
    <cfRule type="cellIs" dxfId="379" priority="187" stopIfTrue="1" operator="lessThanOrEqual">
      <formula>0</formula>
    </cfRule>
  </conditionalFormatting>
  <conditionalFormatting sqref="C80:C83">
    <cfRule type="cellIs" dxfId="378" priority="186" stopIfTrue="1" operator="greaterThan">
      <formula>$F$79</formula>
    </cfRule>
  </conditionalFormatting>
  <conditionalFormatting sqref="C85">
    <cfRule type="cellIs" dxfId="377" priority="188" stopIfTrue="1" operator="greaterThan">
      <formula>$F$79</formula>
    </cfRule>
    <cfRule type="cellIs" dxfId="376" priority="189" stopIfTrue="1" operator="lessThanOrEqual">
      <formula>0</formula>
    </cfRule>
  </conditionalFormatting>
  <conditionalFormatting sqref="C73:D73">
    <cfRule type="cellIs" dxfId="375" priority="74" stopIfTrue="1" operator="greaterThan">
      <formula>$J73</formula>
    </cfRule>
    <cfRule type="cellIs" dxfId="374" priority="75" stopIfTrue="1" operator="lessThanOrEqual">
      <formula>0</formula>
    </cfRule>
  </conditionalFormatting>
  <conditionalFormatting sqref="C79:D79 D81:D87">
    <cfRule type="cellIs" dxfId="373" priority="181" stopIfTrue="1" operator="greaterThan">
      <formula>4.5</formula>
    </cfRule>
  </conditionalFormatting>
  <conditionalFormatting sqref="D48:D49">
    <cfRule type="cellIs" dxfId="372" priority="114" operator="notBetween">
      <formula>#REF!</formula>
      <formula>#REF!</formula>
    </cfRule>
  </conditionalFormatting>
  <conditionalFormatting sqref="D68:D72 D74:D75">
    <cfRule type="cellIs" dxfId="371" priority="84" stopIfTrue="1" operator="lessThanOrEqual">
      <formula>0</formula>
    </cfRule>
  </conditionalFormatting>
  <conditionalFormatting sqref="D68:D72 D74:D77">
    <cfRule type="cellIs" dxfId="370" priority="81" stopIfTrue="1" operator="greaterThan">
      <formula>$F68</formula>
    </cfRule>
    <cfRule type="cellIs" dxfId="369" priority="80" stopIfTrue="1" operator="lessThanOrEqual">
      <formula>0</formula>
    </cfRule>
  </conditionalFormatting>
  <conditionalFormatting sqref="D76:D77">
    <cfRule type="cellIs" dxfId="368" priority="82" stopIfTrue="1" operator="lessThanOrEqual">
      <formula>0</formula>
    </cfRule>
  </conditionalFormatting>
  <conditionalFormatting sqref="D77">
    <cfRule type="cellIs" dxfId="367" priority="83" stopIfTrue="1" operator="lessThanOrEqual">
      <formula>0</formula>
    </cfRule>
  </conditionalFormatting>
  <conditionalFormatting sqref="D79 D81:D87">
    <cfRule type="cellIs" dxfId="366" priority="182" stopIfTrue="1" operator="lessThanOrEqual">
      <formula>0</formula>
    </cfRule>
  </conditionalFormatting>
  <conditionalFormatting sqref="D80">
    <cfRule type="cellIs" dxfId="365" priority="173" stopIfTrue="1" operator="greaterThan">
      <formula>$F$79</formula>
    </cfRule>
    <cfRule type="cellIs" dxfId="364" priority="174" stopIfTrue="1" operator="lessThanOrEqual">
      <formula>0</formula>
    </cfRule>
  </conditionalFormatting>
  <conditionalFormatting sqref="E10:E23">
    <cfRule type="cellIs" dxfId="363" priority="18" operator="lessThan">
      <formula>48</formula>
    </cfRule>
  </conditionalFormatting>
  <conditionalFormatting sqref="E51 E52:F52">
    <cfRule type="cellIs" dxfId="362" priority="178" stopIfTrue="1" operator="greaterThan">
      <formula>100</formula>
    </cfRule>
  </conditionalFormatting>
  <conditionalFormatting sqref="E52">
    <cfRule type="cellIs" dxfId="361" priority="176" stopIfTrue="1" operator="greaterThan">
      <formula>100</formula>
    </cfRule>
    <cfRule type="cellIs" dxfId="360" priority="175" stopIfTrue="1" operator="lessThan">
      <formula>96.8</formula>
    </cfRule>
  </conditionalFormatting>
  <conditionalFormatting sqref="E68:E76">
    <cfRule type="cellIs" dxfId="359" priority="47" stopIfTrue="1" operator="lessThanOrEqual">
      <formula>0</formula>
    </cfRule>
  </conditionalFormatting>
  <conditionalFormatting sqref="E68:E77">
    <cfRule type="cellIs" dxfId="358" priority="48" stopIfTrue="1" operator="greaterThan">
      <formula>$F68</formula>
    </cfRule>
    <cfRule type="cellIs" dxfId="357" priority="49" stopIfTrue="1" operator="lessThanOrEqual">
      <formula>0</formula>
    </cfRule>
  </conditionalFormatting>
  <conditionalFormatting sqref="E77">
    <cfRule type="cellIs" dxfId="356" priority="50" stopIfTrue="1" operator="lessThanOrEqual">
      <formula>0</formula>
    </cfRule>
  </conditionalFormatting>
  <conditionalFormatting sqref="E79:E87">
    <cfRule type="cellIs" dxfId="355" priority="167" stopIfTrue="1" operator="greaterThan">
      <formula>4.5</formula>
    </cfRule>
    <cfRule type="cellIs" dxfId="354" priority="168" stopIfTrue="1" operator="lessThanOrEqual">
      <formula>0</formula>
    </cfRule>
  </conditionalFormatting>
  <conditionalFormatting sqref="E52:F52 E51">
    <cfRule type="cellIs" dxfId="353" priority="177" stopIfTrue="1" operator="lessThan">
      <formula>96.5</formula>
    </cfRule>
  </conditionalFormatting>
  <conditionalFormatting sqref="F21:F23">
    <cfRule type="cellIs" dxfId="352" priority="19" operator="greaterThan">
      <formula>60</formula>
    </cfRule>
  </conditionalFormatting>
  <conditionalFormatting sqref="F52">
    <cfRule type="cellIs" dxfId="351" priority="193" stopIfTrue="1" operator="lessThan">
      <formula>96.8</formula>
    </cfRule>
    <cfRule type="cellIs" dxfId="350" priority="194" stopIfTrue="1" operator="greaterThan">
      <formula>100</formula>
    </cfRule>
  </conditionalFormatting>
  <conditionalFormatting sqref="G10:G20 G23">
    <cfRule type="expression" dxfId="349" priority="21">
      <formula>IF(+(IF(G10&lt;S10,0,IF(G10&gt;T10,0,1)))=0,1)</formula>
    </cfRule>
  </conditionalFormatting>
  <conditionalFormatting sqref="G68:G71 F77">
    <cfRule type="cellIs" dxfId="348" priority="56" stopIfTrue="1" operator="greaterThan">
      <formula>$F68</formula>
    </cfRule>
    <cfRule type="cellIs" dxfId="347" priority="57" stopIfTrue="1" operator="lessThanOrEqual">
      <formula>0</formula>
    </cfRule>
  </conditionalFormatting>
  <conditionalFormatting sqref="G70:G71">
    <cfRule type="cellIs" dxfId="346" priority="43" stopIfTrue="1" operator="lessThanOrEqual">
      <formula>0</formula>
    </cfRule>
    <cfRule type="cellIs" dxfId="345" priority="42" stopIfTrue="1" operator="greaterThan">
      <formula>$F70</formula>
    </cfRule>
  </conditionalFormatting>
  <conditionalFormatting sqref="G72:G76">
    <cfRule type="cellIs" dxfId="344" priority="59" stopIfTrue="1" operator="lessThanOrEqual">
      <formula>0</formula>
    </cfRule>
    <cfRule type="cellIs" dxfId="343" priority="58" stopIfTrue="1" operator="greaterThan">
      <formula>$J72</formula>
    </cfRule>
  </conditionalFormatting>
  <conditionalFormatting sqref="G73">
    <cfRule type="cellIs" dxfId="342" priority="201" stopIfTrue="1" operator="greaterThan">
      <formula>$F68</formula>
    </cfRule>
    <cfRule type="cellIs" dxfId="341" priority="202" stopIfTrue="1" operator="lessThanOrEqual">
      <formula>0</formula>
    </cfRule>
  </conditionalFormatting>
  <conditionalFormatting sqref="G81:G86 C84 C86">
    <cfRule type="cellIs" dxfId="340" priority="191" stopIfTrue="1" operator="lessThanOrEqual">
      <formula>0</formula>
    </cfRule>
    <cfRule type="cellIs" dxfId="339" priority="190" stopIfTrue="1" operator="greaterThan">
      <formula>4.5</formula>
    </cfRule>
  </conditionalFormatting>
  <conditionalFormatting sqref="G80:H80">
    <cfRule type="cellIs" dxfId="338" priority="172" stopIfTrue="1" operator="lessThanOrEqual">
      <formula>0</formula>
    </cfRule>
    <cfRule type="cellIs" dxfId="337" priority="171" stopIfTrue="1" operator="greaterThan">
      <formula>$F$79</formula>
    </cfRule>
  </conditionalFormatting>
  <conditionalFormatting sqref="H10:H23 G21:G22 M21:N22">
    <cfRule type="expression" dxfId="336" priority="22">
      <formula>IF(+(IF(G10&lt;#REF!,0,IF(G10&gt;#REF!,0,1)))=0,1)</formula>
    </cfRule>
  </conditionalFormatting>
  <conditionalFormatting sqref="H37:H38 H51">
    <cfRule type="cellIs" dxfId="335" priority="169" stopIfTrue="1" operator="greaterThan">
      <formula>0</formula>
    </cfRule>
  </conditionalFormatting>
  <conditionalFormatting sqref="H55">
    <cfRule type="cellIs" dxfId="334" priority="62" stopIfTrue="1" operator="greaterThan">
      <formula>$F$68</formula>
    </cfRule>
    <cfRule type="cellIs" dxfId="333" priority="70" stopIfTrue="1" operator="greaterThan">
      <formula>$F$71</formula>
    </cfRule>
    <cfRule type="cellIs" dxfId="332" priority="71" stopIfTrue="1" operator="lessThanOrEqual">
      <formula>0</formula>
    </cfRule>
    <cfRule type="cellIs" dxfId="331" priority="72" stopIfTrue="1" operator="greaterThan">
      <formula>$F$69</formula>
    </cfRule>
    <cfRule type="cellIs" dxfId="330" priority="61" stopIfTrue="1" operator="lessThanOrEqual">
      <formula>0</formula>
    </cfRule>
  </conditionalFormatting>
  <conditionalFormatting sqref="H55:H56">
    <cfRule type="cellIs" dxfId="329" priority="73" stopIfTrue="1" operator="lessThanOrEqual">
      <formula>0</formula>
    </cfRule>
  </conditionalFormatting>
  <conditionalFormatting sqref="H56 H58:H59">
    <cfRule type="cellIs" dxfId="328" priority="99" stopIfTrue="1" operator="lessThanOrEqual">
      <formula>0</formula>
    </cfRule>
  </conditionalFormatting>
  <conditionalFormatting sqref="H56">
    <cfRule type="cellIs" dxfId="327" priority="96" stopIfTrue="1" operator="greaterThan">
      <formula>$F$71</formula>
    </cfRule>
    <cfRule type="cellIs" dxfId="326" priority="98" stopIfTrue="1" operator="greaterThan">
      <formula>$F$69</formula>
    </cfRule>
    <cfRule type="cellIs" dxfId="325" priority="97" stopIfTrue="1" operator="lessThanOrEqual">
      <formula>0</formula>
    </cfRule>
    <cfRule type="cellIs" dxfId="324" priority="88" stopIfTrue="1" operator="greaterThan">
      <formula>$F$68</formula>
    </cfRule>
  </conditionalFormatting>
  <conditionalFormatting sqref="H57">
    <cfRule type="cellIs" dxfId="323" priority="28" stopIfTrue="1" operator="lessThanOrEqual">
      <formula>0</formula>
    </cfRule>
    <cfRule type="cellIs" dxfId="322" priority="29" stopIfTrue="1" operator="greaterThan">
      <formula>$F$70</formula>
    </cfRule>
    <cfRule type="cellIs" dxfId="321" priority="37" stopIfTrue="1" operator="greaterThan">
      <formula>$F$73</formula>
    </cfRule>
    <cfRule type="cellIs" dxfId="320" priority="38" stopIfTrue="1" operator="lessThanOrEqual">
      <formula>0</formula>
    </cfRule>
    <cfRule type="cellIs" dxfId="319" priority="39" stopIfTrue="1" operator="greaterThan">
      <formula>$F$71</formula>
    </cfRule>
    <cfRule type="cellIs" dxfId="318" priority="40" stopIfTrue="1" operator="lessThanOrEqual">
      <formula>0</formula>
    </cfRule>
  </conditionalFormatting>
  <conditionalFormatting sqref="H58:H59">
    <cfRule type="cellIs" dxfId="317" priority="111" stopIfTrue="1" operator="greaterThan">
      <formula>$F$69</formula>
    </cfRule>
    <cfRule type="cellIs" dxfId="316" priority="110" stopIfTrue="1" operator="lessThanOrEqual">
      <formula>0</formula>
    </cfRule>
    <cfRule type="cellIs" dxfId="315" priority="109" stopIfTrue="1" operator="greaterThan">
      <formula>$F$71</formula>
    </cfRule>
    <cfRule type="cellIs" dxfId="314" priority="101" stopIfTrue="1" operator="greaterThan">
      <formula>$F$68</formula>
    </cfRule>
    <cfRule type="cellIs" dxfId="313" priority="112" stopIfTrue="1" operator="lessThanOrEqual">
      <formula>0</formula>
    </cfRule>
  </conditionalFormatting>
  <conditionalFormatting sqref="H60:H61">
    <cfRule type="cellIs" dxfId="312" priority="136" stopIfTrue="1" operator="lessThanOrEqual">
      <formula>0</formula>
    </cfRule>
    <cfRule type="cellIs" dxfId="311" priority="145" stopIfTrue="1" operator="greaterThan">
      <formula>#REF!</formula>
    </cfRule>
    <cfRule type="cellIs" dxfId="310" priority="146" stopIfTrue="1" operator="lessThanOrEqual">
      <formula>0</formula>
    </cfRule>
    <cfRule type="cellIs" dxfId="309" priority="137" stopIfTrue="1" operator="greaterThan">
      <formula>#REF!</formula>
    </cfRule>
  </conditionalFormatting>
  <conditionalFormatting sqref="H62">
    <cfRule type="cellIs" dxfId="308" priority="160" stopIfTrue="1" operator="lessThanOrEqual">
      <formula>0</formula>
    </cfRule>
    <cfRule type="cellIs" dxfId="307" priority="148" stopIfTrue="1" operator="lessThanOrEqual">
      <formula>0</formula>
    </cfRule>
    <cfRule type="cellIs" dxfId="306" priority="149" stopIfTrue="1" operator="greaterThan">
      <formula>$F$36</formula>
    </cfRule>
    <cfRule type="cellIs" dxfId="305" priority="159" stopIfTrue="1" operator="greaterThan">
      <formula>$F$37</formula>
    </cfRule>
    <cfRule type="cellIs" dxfId="304" priority="158" stopIfTrue="1" operator="lessThanOrEqual">
      <formula>0</formula>
    </cfRule>
    <cfRule type="cellIs" dxfId="303" priority="157" stopIfTrue="1" operator="greaterThan">
      <formula>$F$39</formula>
    </cfRule>
  </conditionalFormatting>
  <conditionalFormatting sqref="H63:H64">
    <cfRule type="cellIs" dxfId="302" priority="133" stopIfTrue="1" operator="greaterThan">
      <formula>#REF!</formula>
    </cfRule>
    <cfRule type="cellIs" dxfId="301" priority="125" stopIfTrue="1" operator="greaterThan">
      <formula>#REF!</formula>
    </cfRule>
    <cfRule type="cellIs" dxfId="300" priority="124" stopIfTrue="1" operator="lessThanOrEqual">
      <formula>0</formula>
    </cfRule>
    <cfRule type="cellIs" dxfId="299" priority="134" stopIfTrue="1" operator="lessThanOrEqual">
      <formula>0</formula>
    </cfRule>
  </conditionalFormatting>
  <conditionalFormatting sqref="H79 H81:H87">
    <cfRule type="cellIs" dxfId="298" priority="183" stopIfTrue="1" operator="greaterThan">
      <formula>4.5</formula>
    </cfRule>
    <cfRule type="cellIs" dxfId="297" priority="184" stopIfTrue="1" operator="lessThanOrEqual">
      <formula>0</formula>
    </cfRule>
  </conditionalFormatting>
  <conditionalFormatting sqref="H55:I55">
    <cfRule type="cellIs" dxfId="296" priority="63" stopIfTrue="1" operator="lessThanOrEqual">
      <formula>0</formula>
    </cfRule>
  </conditionalFormatting>
  <conditionalFormatting sqref="H55:I56 H58:I59">
    <cfRule type="cellIs" dxfId="295" priority="60" stopIfTrue="1" operator="greaterThan">
      <formula>$F$70</formula>
    </cfRule>
  </conditionalFormatting>
  <conditionalFormatting sqref="H56:I56">
    <cfRule type="cellIs" dxfId="294" priority="89" stopIfTrue="1" operator="lessThanOrEqual">
      <formula>0</formula>
    </cfRule>
  </conditionalFormatting>
  <conditionalFormatting sqref="H57:I57">
    <cfRule type="cellIs" dxfId="293" priority="27" stopIfTrue="1" operator="greaterThan">
      <formula>$F$72</formula>
    </cfRule>
    <cfRule type="cellIs" dxfId="292" priority="30" stopIfTrue="1" operator="lessThanOrEqual">
      <formula>0</formula>
    </cfRule>
  </conditionalFormatting>
  <conditionalFormatting sqref="H58:I59">
    <cfRule type="cellIs" dxfId="291" priority="102" stopIfTrue="1" operator="lessThanOrEqual">
      <formula>0</formula>
    </cfRule>
  </conditionalFormatting>
  <conditionalFormatting sqref="H60:I61">
    <cfRule type="cellIs" dxfId="290" priority="143" stopIfTrue="1" operator="greaterThan">
      <formula>#REF!</formula>
    </cfRule>
    <cfRule type="cellIs" dxfId="289" priority="138" stopIfTrue="1" operator="lessThanOrEqual">
      <formula>0</formula>
    </cfRule>
    <cfRule type="cellIs" dxfId="288" priority="144" stopIfTrue="1" operator="lessThanOrEqual">
      <formula>0</formula>
    </cfRule>
    <cfRule type="cellIs" dxfId="287" priority="135" stopIfTrue="1" operator="greaterThan">
      <formula>#REF!</formula>
    </cfRule>
  </conditionalFormatting>
  <conditionalFormatting sqref="H62:I62">
    <cfRule type="cellIs" dxfId="286" priority="147" stopIfTrue="1" operator="greaterThan">
      <formula>$F$38</formula>
    </cfRule>
    <cfRule type="cellIs" dxfId="285" priority="150" stopIfTrue="1" operator="lessThanOrEqual">
      <formula>0</formula>
    </cfRule>
  </conditionalFormatting>
  <conditionalFormatting sqref="H63:I64">
    <cfRule type="cellIs" dxfId="284" priority="123" stopIfTrue="1" operator="greaterThan">
      <formula>#REF!</formula>
    </cfRule>
    <cfRule type="cellIs" dxfId="283" priority="126" stopIfTrue="1" operator="lessThanOrEqual">
      <formula>0</formula>
    </cfRule>
    <cfRule type="cellIs" dxfId="282" priority="131" stopIfTrue="1" operator="greaterThan">
      <formula>#REF!</formula>
    </cfRule>
    <cfRule type="cellIs" dxfId="281" priority="132" stopIfTrue="1" operator="lessThanOrEqual">
      <formula>0</formula>
    </cfRule>
  </conditionalFormatting>
  <conditionalFormatting sqref="H68:I75">
    <cfRule type="cellIs" dxfId="280" priority="46" stopIfTrue="1" operator="lessThanOrEqual">
      <formula>0</formula>
    </cfRule>
    <cfRule type="cellIs" dxfId="279" priority="45" stopIfTrue="1" operator="greaterThan">
      <formula>$J68</formula>
    </cfRule>
  </conditionalFormatting>
  <conditionalFormatting sqref="H76:I76">
    <cfRule type="cellIs" dxfId="278" priority="53" operator="greaterThan">
      <formula>5.3</formula>
    </cfRule>
  </conditionalFormatting>
  <conditionalFormatting sqref="H77:I77">
    <cfRule type="cellIs" dxfId="277" priority="52" stopIfTrue="1" operator="lessThanOrEqual">
      <formula>0</formula>
    </cfRule>
    <cfRule type="cellIs" dxfId="276" priority="51" stopIfTrue="1" operator="greaterThan">
      <formula>$J77</formula>
    </cfRule>
  </conditionalFormatting>
  <conditionalFormatting sqref="I55">
    <cfRule type="cellIs" dxfId="275" priority="66" stopIfTrue="1" operator="greaterThan">
      <formula>$F$70</formula>
    </cfRule>
    <cfRule type="cellIs" dxfId="274" priority="65" stopIfTrue="1" operator="lessThanOrEqual">
      <formula>0</formula>
    </cfRule>
    <cfRule type="cellIs" dxfId="273" priority="64" stopIfTrue="1" operator="greaterThan">
      <formula>$F$68</formula>
    </cfRule>
    <cfRule type="cellIs" dxfId="272" priority="69" stopIfTrue="1" operator="lessThanOrEqual">
      <formula>0</formula>
    </cfRule>
    <cfRule type="cellIs" dxfId="271" priority="68" stopIfTrue="1" operator="greaterThan">
      <formula>$F$68</formula>
    </cfRule>
    <cfRule type="cellIs" dxfId="270" priority="67" stopIfTrue="1" operator="lessThanOrEqual">
      <formula>0</formula>
    </cfRule>
  </conditionalFormatting>
  <conditionalFormatting sqref="I56">
    <cfRule type="cellIs" dxfId="269" priority="91" stopIfTrue="1" operator="lessThanOrEqual">
      <formula>0</formula>
    </cfRule>
    <cfRule type="cellIs" dxfId="268" priority="90" stopIfTrue="1" operator="greaterThan">
      <formula>$F$68</formula>
    </cfRule>
    <cfRule type="cellIs" dxfId="267" priority="95" stopIfTrue="1" operator="lessThanOrEqual">
      <formula>0</formula>
    </cfRule>
    <cfRule type="cellIs" dxfId="266" priority="94" stopIfTrue="1" operator="greaterThan">
      <formula>$F$68</formula>
    </cfRule>
    <cfRule type="cellIs" dxfId="265" priority="93" stopIfTrue="1" operator="lessThanOrEqual">
      <formula>0</formula>
    </cfRule>
    <cfRule type="cellIs" dxfId="264" priority="92" stopIfTrue="1" operator="greaterThan">
      <formula>$F$70</formula>
    </cfRule>
  </conditionalFormatting>
  <conditionalFormatting sqref="I57">
    <cfRule type="cellIs" dxfId="263" priority="35" stopIfTrue="1" operator="greaterThan">
      <formula>$F$70</formula>
    </cfRule>
    <cfRule type="cellIs" dxfId="262" priority="34" stopIfTrue="1" operator="lessThanOrEqual">
      <formula>0</formula>
    </cfRule>
    <cfRule type="cellIs" dxfId="261" priority="33" stopIfTrue="1" operator="greaterThan">
      <formula>$F$72</formula>
    </cfRule>
    <cfRule type="cellIs" dxfId="260" priority="32" stopIfTrue="1" operator="lessThanOrEqual">
      <formula>0</formula>
    </cfRule>
    <cfRule type="cellIs" dxfId="259" priority="31" stopIfTrue="1" operator="greaterThan">
      <formula>$F$70</formula>
    </cfRule>
    <cfRule type="cellIs" dxfId="258" priority="36" stopIfTrue="1" operator="lessThanOrEqual">
      <formula>0</formula>
    </cfRule>
  </conditionalFormatting>
  <conditionalFormatting sqref="I58:I59">
    <cfRule type="cellIs" dxfId="257" priority="106" stopIfTrue="1" operator="lessThanOrEqual">
      <formula>0</formula>
    </cfRule>
    <cfRule type="cellIs" dxfId="256" priority="107" stopIfTrue="1" operator="greaterThan">
      <formula>$F$68</formula>
    </cfRule>
    <cfRule type="cellIs" dxfId="255" priority="108" stopIfTrue="1" operator="lessThanOrEqual">
      <formula>0</formula>
    </cfRule>
    <cfRule type="cellIs" dxfId="254" priority="103" stopIfTrue="1" operator="greaterThan">
      <formula>$F$68</formula>
    </cfRule>
    <cfRule type="cellIs" dxfId="253" priority="104" stopIfTrue="1" operator="lessThanOrEqual">
      <formula>0</formula>
    </cfRule>
    <cfRule type="cellIs" dxfId="252" priority="105" stopIfTrue="1" operator="greaterThan">
      <formula>$F$70</formula>
    </cfRule>
  </conditionalFormatting>
  <conditionalFormatting sqref="I60:I61">
    <cfRule type="cellIs" dxfId="251" priority="139" stopIfTrue="1" operator="greaterThan">
      <formula>#REF!</formula>
    </cfRule>
    <cfRule type="cellIs" dxfId="250" priority="142" stopIfTrue="1" operator="lessThanOrEqual">
      <formula>0</formula>
    </cfRule>
    <cfRule type="cellIs" dxfId="249" priority="141" stopIfTrue="1" operator="greaterThan">
      <formula>#REF!</formula>
    </cfRule>
    <cfRule type="cellIs" dxfId="248" priority="140" stopIfTrue="1" operator="lessThanOrEqual">
      <formula>0</formula>
    </cfRule>
  </conditionalFormatting>
  <conditionalFormatting sqref="I62">
    <cfRule type="cellIs" dxfId="247" priority="154" stopIfTrue="1" operator="lessThanOrEqual">
      <formula>0</formula>
    </cfRule>
    <cfRule type="cellIs" dxfId="246" priority="155" stopIfTrue="1" operator="greaterThan">
      <formula>$F$36</formula>
    </cfRule>
    <cfRule type="cellIs" dxfId="245" priority="156" stopIfTrue="1" operator="lessThanOrEqual">
      <formula>0</formula>
    </cfRule>
    <cfRule type="cellIs" dxfId="244" priority="153" stopIfTrue="1" operator="greaterThan">
      <formula>$F$38</formula>
    </cfRule>
    <cfRule type="cellIs" dxfId="243" priority="152" stopIfTrue="1" operator="lessThanOrEqual">
      <formula>0</formula>
    </cfRule>
    <cfRule type="cellIs" dxfId="242" priority="151" stopIfTrue="1" operator="greaterThan">
      <formula>$F$36</formula>
    </cfRule>
  </conditionalFormatting>
  <conditionalFormatting sqref="I63:I64">
    <cfRule type="cellIs" dxfId="241" priority="127" stopIfTrue="1" operator="greaterThan">
      <formula>#REF!</formula>
    </cfRule>
    <cfRule type="cellIs" dxfId="240" priority="128" stopIfTrue="1" operator="lessThanOrEqual">
      <formula>0</formula>
    </cfRule>
    <cfRule type="cellIs" dxfId="239" priority="129" stopIfTrue="1" operator="greaterThan">
      <formula>#REF!</formula>
    </cfRule>
    <cfRule type="cellIs" dxfId="238" priority="130" stopIfTrue="1" operator="lessThanOrEqual">
      <formula>0</formula>
    </cfRule>
  </conditionalFormatting>
  <conditionalFormatting sqref="I79:I87">
    <cfRule type="cellIs" dxfId="237" priority="180" stopIfTrue="1" operator="lessThanOrEqual">
      <formula>0</formula>
    </cfRule>
    <cfRule type="cellIs" dxfId="236" priority="179" stopIfTrue="1" operator="greaterThan">
      <formula>4.5</formula>
    </cfRule>
  </conditionalFormatting>
  <conditionalFormatting sqref="I10:J23">
    <cfRule type="cellIs" dxfId="235" priority="12" operator="lessThan">
      <formula>97.9</formula>
    </cfRule>
  </conditionalFormatting>
  <conditionalFormatting sqref="J26:J28">
    <cfRule type="cellIs" dxfId="234" priority="26" operator="lessThan">
      <formula>97.95</formula>
    </cfRule>
  </conditionalFormatting>
  <conditionalFormatting sqref="J27:J30">
    <cfRule type="cellIs" dxfId="233" priority="161" operator="lessThan">
      <formula>97.4</formula>
    </cfRule>
  </conditionalFormatting>
  <conditionalFormatting sqref="J31:J32">
    <cfRule type="cellIs" dxfId="232" priority="162" operator="lessThan">
      <formula>98</formula>
    </cfRule>
  </conditionalFormatting>
  <conditionalFormatting sqref="J33:J34">
    <cfRule type="cellIs" dxfId="231" priority="163" stopIfTrue="1" operator="lessThan">
      <formula>96.8</formula>
    </cfRule>
    <cfRule type="cellIs" dxfId="230" priority="164" stopIfTrue="1" operator="greaterThan">
      <formula>100</formula>
    </cfRule>
  </conditionalFormatting>
  <conditionalFormatting sqref="J33:J35">
    <cfRule type="cellIs" dxfId="229" priority="165" operator="lessThan">
      <formula>98</formula>
    </cfRule>
  </conditionalFormatting>
  <conditionalFormatting sqref="J64">
    <cfRule type="cellIs" dxfId="228" priority="119" stopIfTrue="1" operator="greaterThan">
      <formula>#REF!</formula>
    </cfRule>
    <cfRule type="cellIs" dxfId="227" priority="120" stopIfTrue="1" operator="lessThanOrEqual">
      <formula>0</formula>
    </cfRule>
    <cfRule type="cellIs" dxfId="226" priority="121" stopIfTrue="1" operator="greaterThan">
      <formula>#REF!</formula>
    </cfRule>
    <cfRule type="cellIs" dxfId="225" priority="122" stopIfTrue="1" operator="lessThanOrEqual">
      <formula>0</formula>
    </cfRule>
    <cfRule type="cellIs" dxfId="224" priority="115" stopIfTrue="1" operator="greaterThan">
      <formula>#REF!</formula>
    </cfRule>
    <cfRule type="cellIs" dxfId="223" priority="116" stopIfTrue="1" operator="lessThanOrEqual">
      <formula>0</formula>
    </cfRule>
    <cfRule type="cellIs" dxfId="222" priority="117" stopIfTrue="1" operator="greaterThan">
      <formula>#REF!</formula>
    </cfRule>
    <cfRule type="cellIs" dxfId="221" priority="118" stopIfTrue="1" operator="lessThanOrEqual">
      <formula>0</formula>
    </cfRule>
  </conditionalFormatting>
  <conditionalFormatting sqref="J77">
    <cfRule type="cellIs" dxfId="220" priority="54" stopIfTrue="1" operator="greaterThan">
      <formula>$F77</formula>
    </cfRule>
    <cfRule type="cellIs" dxfId="219" priority="55" stopIfTrue="1" operator="lessThanOrEqual">
      <formula>0</formula>
    </cfRule>
  </conditionalFormatting>
  <conditionalFormatting sqref="K10:K23">
    <cfRule type="cellIs" dxfId="218" priority="14" operator="lessThan">
      <formula>4</formula>
    </cfRule>
    <cfRule type="cellIs" dxfId="217" priority="13" operator="greaterThan">
      <formula>6</formula>
    </cfRule>
    <cfRule type="cellIs" dxfId="216" priority="15" operator="greaterThan">
      <formula>6.4</formula>
    </cfRule>
  </conditionalFormatting>
  <conditionalFormatting sqref="K55:K64">
    <cfRule type="cellIs" dxfId="215" priority="100" stopIfTrue="1" operator="lessThan">
      <formula>100%</formula>
    </cfRule>
  </conditionalFormatting>
  <conditionalFormatting sqref="K68:K76">
    <cfRule type="cellIs" dxfId="214" priority="44" stopIfTrue="1" operator="lessThan">
      <formula>100%</formula>
    </cfRule>
  </conditionalFormatting>
  <conditionalFormatting sqref="K79:K84">
    <cfRule type="cellIs" dxfId="213" priority="185" stopIfTrue="1" operator="lessThan">
      <formula>100%</formula>
    </cfRule>
  </conditionalFormatting>
  <conditionalFormatting sqref="K86:K87">
    <cfRule type="cellIs" dxfId="212" priority="192" stopIfTrue="1" operator="lessThan">
      <formula>100%</formula>
    </cfRule>
  </conditionalFormatting>
  <conditionalFormatting sqref="L10:L23">
    <cfRule type="cellIs" dxfId="211" priority="16" operator="between">
      <formula>61</formula>
      <formula>65</formula>
    </cfRule>
    <cfRule type="cellIs" dxfId="210" priority="17" operator="greaterThan">
      <formula>65</formula>
    </cfRule>
  </conditionalFormatting>
  <conditionalFormatting sqref="L26:M37">
    <cfRule type="cellIs" dxfId="209" priority="25" operator="lessThan">
      <formula>97.95</formula>
    </cfRule>
  </conditionalFormatting>
  <conditionalFormatting sqref="L41:N41">
    <cfRule type="cellIs" dxfId="208" priority="23" operator="notEqual">
      <formula>#REF!</formula>
    </cfRule>
  </conditionalFormatting>
  <conditionalFormatting sqref="L68:N77">
    <cfRule type="cellIs" dxfId="207" priority="41" stopIfTrue="1" operator="lessThan">
      <formula>100%</formula>
    </cfRule>
  </conditionalFormatting>
  <conditionalFormatting sqref="L79:N87">
    <cfRule type="cellIs" dxfId="206" priority="170" stopIfTrue="1" operator="lessThan">
      <formula>100%</formula>
    </cfRule>
  </conditionalFormatting>
  <conditionalFormatting sqref="M23">
    <cfRule type="expression" dxfId="205" priority="20">
      <formula>IF(+(IF(M23&lt;U23,0,IF(M23&gt;V23,0,1)))=0,1)</formula>
    </cfRule>
  </conditionalFormatting>
  <conditionalFormatting sqref="M10:N20 N21:N23">
    <cfRule type="expression" dxfId="204" priority="24">
      <formula>IF(+(IF(M10&lt;V10,0,IF(M10&gt;W10,0,1)))=0,1)</formula>
    </cfRule>
  </conditionalFormatting>
  <conditionalFormatting sqref="P6">
    <cfRule type="cellIs" dxfId="203" priority="166" operator="greaterThanOrEqual">
      <formula>19</formula>
    </cfRule>
  </conditionalFormatting>
  <dataValidations count="1">
    <dataValidation type="list" allowBlank="1" showInputMessage="1" showErrorMessage="1" sqref="R8" xr:uid="{29768693-8763-494F-9AEC-0C52902716EC}">
      <formula1>ProductList</formula1>
    </dataValidation>
  </dataValidations>
  <pageMargins left="0.7" right="0.7" top="0.75" bottom="0.75" header="0.3" footer="0.3"/>
  <pageSetup scale="40" fitToWidth="0" orientation="landscape" r:id="rId1"/>
  <rowBreaks count="1" manualBreakCount="1">
    <brk id="81" max="16383" man="1"/>
  </rowBreaks>
  <colBreaks count="1" manualBreakCount="1">
    <brk id="15" max="89" man="1"/>
  </colBreaks>
  <legacy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9097C3-7C12-422D-BB12-6252BC348CF5}">
  <sheetPr>
    <pageSetUpPr fitToPage="1"/>
  </sheetPr>
  <dimension ref="A1:BE77"/>
  <sheetViews>
    <sheetView tabSelected="1" topLeftCell="A5" zoomScale="85" zoomScaleNormal="85" workbookViewId="0">
      <selection activeCell="D25" sqref="D25:E25"/>
    </sheetView>
  </sheetViews>
  <sheetFormatPr defaultColWidth="9.42578125" defaultRowHeight="14.25"/>
  <cols>
    <col min="1" max="1" width="7.28515625" style="275" customWidth="1"/>
    <col min="2" max="2" width="31.28515625" style="275" customWidth="1"/>
    <col min="3" max="3" width="22.28515625" style="275" customWidth="1"/>
    <col min="4" max="7" width="16.5703125" style="275" customWidth="1"/>
    <col min="8" max="8" width="20.7109375" style="275" customWidth="1"/>
    <col min="9" max="9" width="31.42578125" style="275" customWidth="1"/>
    <col min="10" max="10" width="35.28515625" style="275" customWidth="1"/>
    <col min="11" max="11" width="29" style="275" customWidth="1"/>
    <col min="12" max="12" width="17.28515625" style="275" bestFit="1" customWidth="1"/>
    <col min="13" max="13" width="23.28515625" style="275" customWidth="1"/>
    <col min="14" max="14" width="13.7109375" style="275" bestFit="1" customWidth="1"/>
    <col min="15" max="15" width="17.5703125" style="275" customWidth="1"/>
    <col min="16" max="16" width="109.28515625" style="6" customWidth="1"/>
    <col min="17" max="17" width="16.5703125" style="275" customWidth="1"/>
    <col min="18" max="18" width="15.7109375" style="275" bestFit="1" customWidth="1"/>
    <col min="19" max="19" width="12.42578125" style="275" customWidth="1"/>
    <col min="20" max="20" width="15" style="275" customWidth="1"/>
    <col min="21" max="21" width="12" style="275" customWidth="1"/>
    <col min="22" max="22" width="10.42578125" style="275" customWidth="1"/>
    <col min="23" max="23" width="11.42578125" style="275" customWidth="1"/>
    <col min="24" max="24" width="10.42578125" style="275" customWidth="1"/>
    <col min="25" max="25" width="8.42578125" style="275" customWidth="1"/>
    <col min="26" max="26" width="9.5703125" style="275" customWidth="1"/>
    <col min="27" max="27" width="8.42578125" style="275" customWidth="1"/>
    <col min="28" max="29" width="7.5703125" style="275" customWidth="1"/>
    <col min="30" max="51" width="9.42578125" style="275"/>
    <col min="52" max="52" width="1.5703125" style="275" customWidth="1"/>
    <col min="53" max="54" width="9.42578125" style="275"/>
    <col min="55" max="56" width="15.42578125" style="275" customWidth="1"/>
    <col min="57" max="16384" width="9.42578125" style="275"/>
  </cols>
  <sheetData>
    <row r="1" spans="2:29" ht="1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R1" s="467"/>
      <c r="S1" s="553" t="s">
        <v>0</v>
      </c>
      <c r="T1" s="553"/>
      <c r="U1" s="553" t="s">
        <v>1</v>
      </c>
      <c r="V1" s="553"/>
      <c r="W1" s="553" t="s">
        <v>2</v>
      </c>
      <c r="X1" s="553"/>
      <c r="Y1" s="553" t="s">
        <v>124</v>
      </c>
      <c r="Z1" s="553"/>
    </row>
    <row r="2" spans="2:29" ht="15">
      <c r="B2" s="554" t="s">
        <v>3</v>
      </c>
      <c r="C2" s="554"/>
      <c r="D2" s="554"/>
      <c r="E2" s="554"/>
      <c r="F2" s="554"/>
      <c r="G2" s="554"/>
      <c r="H2" s="554"/>
      <c r="I2" s="554"/>
      <c r="J2" s="554"/>
      <c r="K2" s="554"/>
      <c r="L2" s="554"/>
      <c r="M2" s="554"/>
      <c r="N2" s="554"/>
      <c r="O2" s="554"/>
      <c r="P2" s="4"/>
      <c r="R2" s="467"/>
      <c r="S2" s="467" t="s">
        <v>4</v>
      </c>
      <c r="T2" s="467" t="s">
        <v>5</v>
      </c>
      <c r="U2" s="467" t="s">
        <v>4</v>
      </c>
      <c r="V2" s="467" t="s">
        <v>5</v>
      </c>
      <c r="W2" s="467" t="s">
        <v>4</v>
      </c>
      <c r="X2" s="467" t="s">
        <v>5</v>
      </c>
      <c r="Y2" s="467" t="s">
        <v>4</v>
      </c>
      <c r="Z2" s="467" t="s">
        <v>5</v>
      </c>
    </row>
    <row r="3" spans="2:29" ht="14.25" customHeight="1">
      <c r="B3" s="5"/>
      <c r="R3" s="467" t="s">
        <v>6</v>
      </c>
      <c r="S3" s="468">
        <v>11.6</v>
      </c>
      <c r="T3" s="469">
        <v>12</v>
      </c>
      <c r="U3" s="9">
        <v>0</v>
      </c>
      <c r="V3" s="10">
        <v>0.118055555555556</v>
      </c>
      <c r="W3" s="10">
        <v>0.22569444444444445</v>
      </c>
      <c r="X3" s="10">
        <v>0.2638888888888889</v>
      </c>
      <c r="Y3" s="470">
        <v>0</v>
      </c>
      <c r="Z3" s="468">
        <v>60</v>
      </c>
      <c r="AB3" s="275" t="s">
        <v>135</v>
      </c>
    </row>
    <row r="4" spans="2:29" ht="30.75" customHeight="1">
      <c r="B4" s="301" t="s">
        <v>133</v>
      </c>
      <c r="C4" s="419">
        <v>46294</v>
      </c>
      <c r="J4" s="398" t="s">
        <v>153</v>
      </c>
      <c r="K4" s="398"/>
      <c r="L4" s="11"/>
      <c r="M4" s="555" t="s">
        <v>8</v>
      </c>
      <c r="N4" s="556"/>
      <c r="P4" s="12"/>
      <c r="R4" s="467" t="s">
        <v>9</v>
      </c>
      <c r="S4" s="468">
        <v>11.6</v>
      </c>
      <c r="T4" s="469">
        <v>12</v>
      </c>
      <c r="U4" s="9">
        <v>0</v>
      </c>
      <c r="V4" s="10">
        <v>0.118055555555556</v>
      </c>
      <c r="W4" s="10">
        <v>0.22569444444444445</v>
      </c>
      <c r="X4" s="10">
        <v>0.2638888888888889</v>
      </c>
      <c r="Y4" s="470">
        <v>0</v>
      </c>
      <c r="Z4" s="468">
        <v>60</v>
      </c>
      <c r="AA4" s="13"/>
      <c r="AB4" s="13"/>
      <c r="AC4" s="13"/>
    </row>
    <row r="5" spans="2:29" ht="12.75" customHeight="1" thickBot="1">
      <c r="B5" s="1"/>
      <c r="C5" s="549"/>
      <c r="D5" s="549"/>
      <c r="J5" s="403"/>
      <c r="K5" s="403"/>
      <c r="L5" s="11"/>
      <c r="M5" s="14" t="s">
        <v>10</v>
      </c>
      <c r="N5" s="14" t="s">
        <v>11</v>
      </c>
      <c r="P5" s="12"/>
      <c r="R5" s="467" t="s">
        <v>12</v>
      </c>
      <c r="S5" s="468">
        <v>17</v>
      </c>
      <c r="T5" s="469">
        <v>17.5</v>
      </c>
      <c r="U5" s="9">
        <v>0</v>
      </c>
      <c r="V5" s="10">
        <v>0.1076388888888889</v>
      </c>
      <c r="W5" s="10">
        <v>0.24652777777777779</v>
      </c>
      <c r="X5" s="10">
        <v>0.28472222222222221</v>
      </c>
      <c r="Y5" s="470">
        <v>0</v>
      </c>
      <c r="Z5" s="471">
        <v>60</v>
      </c>
      <c r="AA5" s="13"/>
      <c r="AB5" s="13"/>
      <c r="AC5" s="13"/>
    </row>
    <row r="6" spans="2:29" ht="14.25" customHeight="1">
      <c r="B6" s="15"/>
      <c r="C6" s="1"/>
      <c r="D6" s="1"/>
      <c r="J6" s="399" t="s">
        <v>168</v>
      </c>
      <c r="K6" s="400"/>
      <c r="L6" s="311" t="s">
        <v>14</v>
      </c>
      <c r="M6" s="340"/>
      <c r="N6" s="340"/>
      <c r="P6" s="16"/>
      <c r="R6" s="467" t="s">
        <v>15</v>
      </c>
      <c r="S6" s="468">
        <v>13.3</v>
      </c>
      <c r="T6" s="469">
        <v>13.5</v>
      </c>
      <c r="U6" s="9">
        <v>0</v>
      </c>
      <c r="V6" s="9">
        <v>0.12905092592592593</v>
      </c>
      <c r="W6" s="10">
        <v>0.27430555555555552</v>
      </c>
      <c r="X6" s="10">
        <v>0.30208333333333331</v>
      </c>
      <c r="Y6" s="470">
        <v>0</v>
      </c>
      <c r="Z6" s="471"/>
      <c r="AA6" s="13"/>
      <c r="AB6" s="13"/>
      <c r="AC6" s="13"/>
    </row>
    <row r="7" spans="2:29" ht="13.35" customHeight="1" thickBot="1">
      <c r="J7" s="401"/>
      <c r="K7" s="402"/>
      <c r="R7" s="467" t="s">
        <v>16</v>
      </c>
      <c r="S7" s="468">
        <v>17</v>
      </c>
      <c r="T7" s="469">
        <v>17.399999999999999</v>
      </c>
      <c r="U7" s="9">
        <v>0</v>
      </c>
      <c r="V7" s="9">
        <v>0.13605324074074074</v>
      </c>
      <c r="W7" s="10">
        <v>0.27430555555555552</v>
      </c>
      <c r="X7" s="10">
        <v>0.30902777777777779</v>
      </c>
      <c r="Y7" s="470">
        <v>0</v>
      </c>
      <c r="Z7" s="471">
        <v>85</v>
      </c>
      <c r="AA7" s="13"/>
      <c r="AB7" s="13"/>
      <c r="AC7" s="13"/>
    </row>
    <row r="8" spans="2:29" ht="25.5" customHeight="1">
      <c r="B8" s="507" t="s">
        <v>17</v>
      </c>
      <c r="C8" s="516" t="s">
        <v>18</v>
      </c>
      <c r="D8" s="516" t="s">
        <v>19</v>
      </c>
      <c r="E8" s="356" t="s">
        <v>20</v>
      </c>
      <c r="F8" s="356" t="s">
        <v>21</v>
      </c>
      <c r="G8" s="516" t="s">
        <v>22</v>
      </c>
      <c r="H8" s="551" t="s">
        <v>144</v>
      </c>
      <c r="I8" s="516" t="s">
        <v>167</v>
      </c>
      <c r="J8" s="542" t="s">
        <v>23</v>
      </c>
      <c r="K8" s="544" t="s">
        <v>142</v>
      </c>
      <c r="L8" s="546" t="s">
        <v>24</v>
      </c>
      <c r="M8" s="359" t="s">
        <v>25</v>
      </c>
      <c r="N8" s="17" t="s">
        <v>166</v>
      </c>
      <c r="O8" s="516" t="s">
        <v>155</v>
      </c>
      <c r="P8" s="548"/>
      <c r="R8" s="467" t="s">
        <v>125</v>
      </c>
      <c r="S8" s="468">
        <v>16.600000000000001</v>
      </c>
      <c r="T8" s="469">
        <v>17</v>
      </c>
      <c r="U8" s="9">
        <v>0</v>
      </c>
      <c r="V8" s="9">
        <v>0.12905092592592593</v>
      </c>
      <c r="W8" s="10">
        <v>0.27430555555555552</v>
      </c>
      <c r="X8" s="10">
        <v>0.30208333333333331</v>
      </c>
      <c r="Y8" s="470">
        <v>0</v>
      </c>
      <c r="Z8" s="471"/>
    </row>
    <row r="9" spans="2:29" ht="36" customHeight="1">
      <c r="B9" s="550"/>
      <c r="C9" s="541"/>
      <c r="D9" s="541"/>
      <c r="E9" s="357" t="s">
        <v>30</v>
      </c>
      <c r="F9" s="357" t="s">
        <v>31</v>
      </c>
      <c r="G9" s="541"/>
      <c r="H9" s="552"/>
      <c r="I9" s="541"/>
      <c r="J9" s="543"/>
      <c r="K9" s="545"/>
      <c r="L9" s="547"/>
      <c r="M9" s="20" t="s">
        <v>32</v>
      </c>
      <c r="N9" s="21" t="s">
        <v>41</v>
      </c>
      <c r="O9" s="541"/>
      <c r="P9" s="541"/>
      <c r="R9" s="467" t="s">
        <v>33</v>
      </c>
      <c r="S9" s="468">
        <v>14.2</v>
      </c>
      <c r="T9" s="469">
        <v>14.6</v>
      </c>
      <c r="U9" s="9">
        <v>0</v>
      </c>
      <c r="V9" s="9">
        <v>0.13905092592592591</v>
      </c>
      <c r="W9" s="10">
        <v>0.26041666666666669</v>
      </c>
      <c r="X9" s="10">
        <v>0.2951388888888889</v>
      </c>
      <c r="Y9" s="470">
        <v>0</v>
      </c>
      <c r="Z9" s="471">
        <v>75</v>
      </c>
    </row>
    <row r="10" spans="2:29" ht="15" customHeight="1">
      <c r="B10" s="22" t="s">
        <v>33</v>
      </c>
      <c r="C10" s="366" t="str">
        <f>[7]Brewhouse!A98</f>
        <v>VM068</v>
      </c>
      <c r="D10" s="279">
        <f>[7]Brewhouse!AE98</f>
        <v>53.1</v>
      </c>
      <c r="E10" s="279">
        <f>[7]Brewhouse!$AJ98</f>
        <v>45.7</v>
      </c>
      <c r="F10" s="278">
        <f>[7]Brewhouse!X98</f>
        <v>82</v>
      </c>
      <c r="G10" s="279">
        <f>[7]Brewhouse!AH98</f>
        <v>14.2</v>
      </c>
      <c r="H10" s="396">
        <v>14.2</v>
      </c>
      <c r="I10" s="368">
        <f>[7]Brewhouse!AV98</f>
        <v>92.124816670346675</v>
      </c>
      <c r="J10" s="368">
        <f>[7]Brewhouse!AW98</f>
        <v>92.341602453651106</v>
      </c>
      <c r="K10" s="281">
        <f>[7]Brewhouse!S98</f>
        <v>18.00376647834274</v>
      </c>
      <c r="L10" s="276">
        <f>[7]Brewhouse!R98</f>
        <v>62</v>
      </c>
      <c r="M10" s="374">
        <f>[7]Brewhouse!$W98-[7]Brewhouse!$V98</f>
        <v>0.14444444444444443</v>
      </c>
      <c r="N10" s="370">
        <f>[7]Brewhouse!AB98</f>
        <v>0.28888888888888886</v>
      </c>
      <c r="O10" s="371" t="str">
        <f>[7]Brewhouse!$AZ98</f>
        <v>R. Regis</v>
      </c>
      <c r="P10" s="418"/>
      <c r="R10" s="277" t="str">
        <f t="shared" ref="R10:R37" si="0">B10</f>
        <v>VITAMALT</v>
      </c>
      <c r="S10" s="472">
        <f t="shared" ref="S10:S37" si="1">VLOOKUP($B10,$R$3:$X$9,2,FALSE)</f>
        <v>14.2</v>
      </c>
      <c r="T10" s="472">
        <f t="shared" ref="T10:T37" si="2">VLOOKUP($B10,$R$3:$X$9,3,FALSE)</f>
        <v>14.6</v>
      </c>
      <c r="U10" s="297">
        <f t="shared" ref="U10:U37" si="3">VLOOKUP($B10,$R$3:$X$9,4,FALSE)</f>
        <v>0</v>
      </c>
      <c r="V10" s="297">
        <f t="shared" ref="V10:V37" si="4">VLOOKUP($B10,$R$3:$X$9,5,FALSE)</f>
        <v>0.13905092592592591</v>
      </c>
      <c r="W10" s="297">
        <f t="shared" ref="W10:W37" si="5">VLOOKUP($B10,$R$3:$X$9,6,FALSE)</f>
        <v>0.26041666666666669</v>
      </c>
      <c r="X10" s="297">
        <f t="shared" ref="X10:X37" si="6">VLOOKUP($B10,$R$3:$X$9,7,FALSE)</f>
        <v>0.2951388888888889</v>
      </c>
      <c r="Y10" s="297">
        <f t="shared" ref="Y10:Y37" si="7">VLOOKUP($B10,$R$3:$Z$9,8,FALSE)</f>
        <v>0</v>
      </c>
      <c r="Z10" s="472">
        <f t="shared" ref="Z10:Z37" si="8">VLOOKUP($B10,$R$3:$Z$9,9,FALSE)</f>
        <v>75</v>
      </c>
    </row>
    <row r="11" spans="2:29" ht="15" customHeight="1">
      <c r="B11" s="22" t="s">
        <v>33</v>
      </c>
      <c r="C11" s="366" t="str">
        <f>[7]Brewhouse!A99</f>
        <v>VM069</v>
      </c>
      <c r="D11" s="279">
        <f>[7]Brewhouse!AE99</f>
        <v>50.1</v>
      </c>
      <c r="E11" s="279">
        <f>[7]Brewhouse!$AJ99</f>
        <v>47.8</v>
      </c>
      <c r="F11" s="278">
        <f>[7]Brewhouse!X99</f>
        <v>106</v>
      </c>
      <c r="G11" s="279">
        <f>[7]Brewhouse!AH99</f>
        <v>14.4</v>
      </c>
      <c r="H11" s="396">
        <v>14.4</v>
      </c>
      <c r="I11" s="368">
        <f>[7]Brewhouse!AV99</f>
        <v>97.836600220342262</v>
      </c>
      <c r="J11" s="368">
        <f>[7]Brewhouse!AW99</f>
        <v>98.066826827907789</v>
      </c>
      <c r="K11" s="281">
        <f>[7]Brewhouse!S99</f>
        <v>13.293413173652702</v>
      </c>
      <c r="L11" s="276">
        <f>[7]Brewhouse!R99</f>
        <v>56</v>
      </c>
      <c r="M11" s="374">
        <f>[7]Brewhouse!$W99-[7]Brewhouse!$V99</f>
        <v>0.15972222222222221</v>
      </c>
      <c r="N11" s="370">
        <f>[7]Brewhouse!AB99</f>
        <v>0.31319444444444439</v>
      </c>
      <c r="O11" s="371" t="str">
        <f>[7]Brewhouse!$AZ99</f>
        <v>R. Regis</v>
      </c>
      <c r="P11" s="418"/>
      <c r="R11" s="277" t="str">
        <f t="shared" si="0"/>
        <v>VITAMALT</v>
      </c>
      <c r="S11" s="472">
        <f t="shared" si="1"/>
        <v>14.2</v>
      </c>
      <c r="T11" s="472">
        <f t="shared" si="2"/>
        <v>14.6</v>
      </c>
      <c r="U11" s="297">
        <f t="shared" si="3"/>
        <v>0</v>
      </c>
      <c r="V11" s="297">
        <f t="shared" si="4"/>
        <v>0.13905092592592591</v>
      </c>
      <c r="W11" s="297">
        <f t="shared" si="5"/>
        <v>0.26041666666666669</v>
      </c>
      <c r="X11" s="297">
        <f t="shared" si="6"/>
        <v>0.2951388888888889</v>
      </c>
      <c r="Y11" s="297">
        <f t="shared" si="7"/>
        <v>0</v>
      </c>
      <c r="Z11" s="472">
        <f t="shared" si="8"/>
        <v>75</v>
      </c>
    </row>
    <row r="12" spans="2:29" ht="15" customHeight="1">
      <c r="B12" s="22" t="s">
        <v>33</v>
      </c>
      <c r="C12" s="366" t="str">
        <f>[7]Brewhouse!A100</f>
        <v>VM070</v>
      </c>
      <c r="D12" s="279">
        <f>[7]Brewhouse!AE100</f>
        <v>50</v>
      </c>
      <c r="E12" s="279">
        <f>[7]Brewhouse!$AJ100</f>
        <v>47.9</v>
      </c>
      <c r="F12" s="278">
        <f>[7]Brewhouse!X100</f>
        <v>141</v>
      </c>
      <c r="G12" s="279">
        <f>[7]Brewhouse!AH100</f>
        <v>14.3</v>
      </c>
      <c r="H12" s="493">
        <v>14.9</v>
      </c>
      <c r="I12" s="368">
        <f>[7]Brewhouse!AV100</f>
        <v>97.268286296619394</v>
      </c>
      <c r="J12" s="368">
        <f>[7]Brewhouse!AW100</f>
        <v>97.49717556226588</v>
      </c>
      <c r="K12" s="281">
        <f>[7]Brewhouse!S100</f>
        <v>10.919999999999987</v>
      </c>
      <c r="L12" s="276">
        <f>[7]Brewhouse!R100</f>
        <v>58</v>
      </c>
      <c r="M12" s="374">
        <f>[7]Brewhouse!$W100-[7]Brewhouse!$V100</f>
        <v>0.17430555555555549</v>
      </c>
      <c r="N12" s="370">
        <f>[7]Brewhouse!AB100</f>
        <v>0.3256944444444444</v>
      </c>
      <c r="O12" s="371" t="str">
        <f>[7]Brewhouse!$AZ100</f>
        <v>R.Sookram</v>
      </c>
      <c r="P12" s="418"/>
      <c r="R12" s="277" t="str">
        <f t="shared" si="0"/>
        <v>VITAMALT</v>
      </c>
      <c r="S12" s="472">
        <f t="shared" si="1"/>
        <v>14.2</v>
      </c>
      <c r="T12" s="472">
        <f t="shared" si="2"/>
        <v>14.6</v>
      </c>
      <c r="U12" s="297">
        <f t="shared" si="3"/>
        <v>0</v>
      </c>
      <c r="V12" s="297">
        <f t="shared" si="4"/>
        <v>0.13905092592592591</v>
      </c>
      <c r="W12" s="297">
        <f t="shared" si="5"/>
        <v>0.26041666666666669</v>
      </c>
      <c r="X12" s="297">
        <f t="shared" si="6"/>
        <v>0.2951388888888889</v>
      </c>
      <c r="Y12" s="297">
        <f t="shared" si="7"/>
        <v>0</v>
      </c>
      <c r="Z12" s="472">
        <f t="shared" si="8"/>
        <v>75</v>
      </c>
    </row>
    <row r="13" spans="2:29" ht="15" customHeight="1">
      <c r="B13" s="22" t="s">
        <v>33</v>
      </c>
      <c r="C13" s="366" t="str">
        <f>[7]Brewhouse!A101</f>
        <v>VM071</v>
      </c>
      <c r="D13" s="279">
        <f>[7]Brewhouse!AE101</f>
        <v>50.1</v>
      </c>
      <c r="E13" s="279">
        <f>[7]Brewhouse!$AJ101</f>
        <v>48.1</v>
      </c>
      <c r="F13" s="278">
        <f>[7]Brewhouse!X101</f>
        <v>79</v>
      </c>
      <c r="G13" s="279">
        <f>[7]Brewhouse!AH101</f>
        <v>14.4</v>
      </c>
      <c r="H13" s="493" t="s">
        <v>185</v>
      </c>
      <c r="I13" s="368">
        <f>[7]Brewhouse!AV101</f>
        <v>98.450637460218914</v>
      </c>
      <c r="J13" s="368">
        <f>[7]Brewhouse!AW101</f>
        <v>98.682309004651998</v>
      </c>
      <c r="K13" s="281">
        <f>[7]Brewhouse!S101</f>
        <v>6.9061876247505012</v>
      </c>
      <c r="L13" s="276">
        <f>[7]Brewhouse!R101</f>
        <v>61</v>
      </c>
      <c r="M13" s="374">
        <f>[7]Brewhouse!$W101-[7]Brewhouse!$V101</f>
        <v>0.1381944444444444</v>
      </c>
      <c r="N13" s="370">
        <f>[7]Brewhouse!AB101</f>
        <v>0.31319444444444444</v>
      </c>
      <c r="O13" s="371" t="str">
        <f>[7]Brewhouse!$AZ101</f>
        <v>R.Sookram</v>
      </c>
      <c r="P13" s="418"/>
      <c r="R13" s="277" t="str">
        <f t="shared" si="0"/>
        <v>VITAMALT</v>
      </c>
      <c r="S13" s="472">
        <f t="shared" si="1"/>
        <v>14.2</v>
      </c>
      <c r="T13" s="472">
        <f t="shared" si="2"/>
        <v>14.6</v>
      </c>
      <c r="U13" s="297">
        <f t="shared" si="3"/>
        <v>0</v>
      </c>
      <c r="V13" s="297">
        <f t="shared" si="4"/>
        <v>0.13905092592592591</v>
      </c>
      <c r="W13" s="297">
        <f t="shared" si="5"/>
        <v>0.26041666666666669</v>
      </c>
      <c r="X13" s="297">
        <f t="shared" si="6"/>
        <v>0.2951388888888889</v>
      </c>
      <c r="Y13" s="297">
        <f t="shared" si="7"/>
        <v>0</v>
      </c>
      <c r="Z13" s="472">
        <f t="shared" si="8"/>
        <v>75</v>
      </c>
    </row>
    <row r="14" spans="2:29" ht="15" customHeight="1">
      <c r="B14" s="22" t="s">
        <v>33</v>
      </c>
      <c r="C14" s="366" t="str">
        <f>[7]Brewhouse!A102</f>
        <v>VM072</v>
      </c>
      <c r="D14" s="279">
        <f>[7]Brewhouse!AE102</f>
        <v>50</v>
      </c>
      <c r="E14" s="279">
        <f>[7]Brewhouse!$AJ102</f>
        <v>47.8</v>
      </c>
      <c r="F14" s="278">
        <f>[7]Brewhouse!X102</f>
        <v>78</v>
      </c>
      <c r="G14" s="279">
        <f>[7]Brewhouse!AH102</f>
        <v>14.5</v>
      </c>
      <c r="H14" s="493">
        <v>14.9</v>
      </c>
      <c r="I14" s="368">
        <f>[7]Brewhouse!AV102</f>
        <v>98.439885250271644</v>
      </c>
      <c r="J14" s="368">
        <f>[7]Brewhouse!AW102</f>
        <v>98.672507668760602</v>
      </c>
      <c r="K14" s="281">
        <f>[7]Brewhouse!S102</f>
        <v>7.3199999999999932</v>
      </c>
      <c r="L14" s="276">
        <f>[7]Brewhouse!R102</f>
        <v>62</v>
      </c>
      <c r="M14" s="374">
        <f>[7]Brewhouse!$W102-[7]Brewhouse!$V102</f>
        <v>0.15208333333333335</v>
      </c>
      <c r="N14" s="370">
        <f>[7]Brewhouse!AB102</f>
        <v>0.31736111111111109</v>
      </c>
      <c r="O14" s="371" t="str">
        <f>[7]Brewhouse!$AZ102</f>
        <v>R.Sookram</v>
      </c>
      <c r="P14" s="418"/>
      <c r="R14" s="277" t="str">
        <f t="shared" si="0"/>
        <v>VITAMALT</v>
      </c>
      <c r="S14" s="472">
        <f t="shared" si="1"/>
        <v>14.2</v>
      </c>
      <c r="T14" s="472">
        <f t="shared" si="2"/>
        <v>14.6</v>
      </c>
      <c r="U14" s="297">
        <f t="shared" si="3"/>
        <v>0</v>
      </c>
      <c r="V14" s="297">
        <f t="shared" si="4"/>
        <v>0.13905092592592591</v>
      </c>
      <c r="W14" s="297">
        <f t="shared" si="5"/>
        <v>0.26041666666666669</v>
      </c>
      <c r="X14" s="297">
        <f t="shared" si="6"/>
        <v>0.2951388888888889</v>
      </c>
      <c r="Y14" s="297">
        <f t="shared" si="7"/>
        <v>0</v>
      </c>
      <c r="Z14" s="472">
        <f t="shared" si="8"/>
        <v>75</v>
      </c>
    </row>
    <row r="15" spans="2:29" ht="15" customHeight="1">
      <c r="B15" s="22" t="s">
        <v>33</v>
      </c>
      <c r="C15" s="366" t="str">
        <f>[7]Brewhouse!A103</f>
        <v>VM073</v>
      </c>
      <c r="D15" s="279">
        <f>[7]Brewhouse!AE103</f>
        <v>50</v>
      </c>
      <c r="E15" s="279">
        <f>[7]Brewhouse!$AJ103</f>
        <v>48.4</v>
      </c>
      <c r="F15" s="278">
        <f>[7]Brewhouse!X103</f>
        <v>87</v>
      </c>
      <c r="G15" s="279">
        <f>[7]Brewhouse!AH103</f>
        <v>14.3</v>
      </c>
      <c r="H15" s="396">
        <v>14.4</v>
      </c>
      <c r="I15" s="368">
        <f>[7]Brewhouse!AV103</f>
        <v>98.804599004474028</v>
      </c>
      <c r="J15" s="368">
        <f>[7]Brewhouse!AW103</f>
        <v>99.032173651276878</v>
      </c>
      <c r="K15" s="281">
        <f>[7]Brewhouse!S103</f>
        <v>7.7199999999999989</v>
      </c>
      <c r="L15" s="276">
        <f>[7]Brewhouse!R103</f>
        <v>62</v>
      </c>
      <c r="M15" s="374">
        <f>[7]Brewhouse!$W103-[7]Brewhouse!$V103</f>
        <v>0.15555555555555545</v>
      </c>
      <c r="N15" s="370">
        <f>[7]Brewhouse!AB103</f>
        <v>0.30555555555555547</v>
      </c>
      <c r="O15" s="371" t="str">
        <f>[7]Brewhouse!$AZ103</f>
        <v>K. Benjamin</v>
      </c>
      <c r="P15" s="418"/>
      <c r="R15" s="277" t="str">
        <f t="shared" si="0"/>
        <v>VITAMALT</v>
      </c>
      <c r="S15" s="472">
        <f t="shared" si="1"/>
        <v>14.2</v>
      </c>
      <c r="T15" s="472">
        <f t="shared" si="2"/>
        <v>14.6</v>
      </c>
      <c r="U15" s="297">
        <f t="shared" si="3"/>
        <v>0</v>
      </c>
      <c r="V15" s="297">
        <f t="shared" si="4"/>
        <v>0.13905092592592591</v>
      </c>
      <c r="W15" s="297">
        <f t="shared" si="5"/>
        <v>0.26041666666666669</v>
      </c>
      <c r="X15" s="297">
        <f t="shared" si="6"/>
        <v>0.2951388888888889</v>
      </c>
      <c r="Y15" s="297">
        <f t="shared" si="7"/>
        <v>0</v>
      </c>
      <c r="Z15" s="472">
        <f t="shared" si="8"/>
        <v>75</v>
      </c>
    </row>
    <row r="16" spans="2:29" ht="15" customHeight="1">
      <c r="B16" s="22" t="s">
        <v>33</v>
      </c>
      <c r="C16" s="366" t="str">
        <f>[7]Brewhouse!A104</f>
        <v>VM074</v>
      </c>
      <c r="D16" s="279">
        <f>[7]Brewhouse!AE104</f>
        <v>50.1</v>
      </c>
      <c r="E16" s="279">
        <f>[7]Brewhouse!$AJ104</f>
        <v>47.75</v>
      </c>
      <c r="F16" s="633"/>
      <c r="G16" s="279">
        <f>[7]Brewhouse!AH104</f>
        <v>14.4</v>
      </c>
      <c r="H16" s="396">
        <v>14.5</v>
      </c>
      <c r="I16" s="368">
        <f>[7]Brewhouse!AV104</f>
        <v>97.631300789958658</v>
      </c>
      <c r="J16" s="368">
        <f>[7]Brewhouse!AW104</f>
        <v>97.862012449691321</v>
      </c>
      <c r="K16" s="281">
        <f>[7]Brewhouse!S104</f>
        <v>6.307385229540925</v>
      </c>
      <c r="L16" s="276">
        <f>[7]Brewhouse!R104</f>
        <v>58</v>
      </c>
      <c r="M16" s="632"/>
      <c r="N16" s="632"/>
      <c r="O16" s="371" t="str">
        <f>[7]Brewhouse!$AZ104</f>
        <v>K. Benjamin</v>
      </c>
      <c r="P16" s="418"/>
      <c r="R16" s="277" t="str">
        <f t="shared" si="0"/>
        <v>VITAMALT</v>
      </c>
      <c r="S16" s="472">
        <f t="shared" si="1"/>
        <v>14.2</v>
      </c>
      <c r="T16" s="472">
        <f t="shared" si="2"/>
        <v>14.6</v>
      </c>
      <c r="U16" s="297">
        <f t="shared" si="3"/>
        <v>0</v>
      </c>
      <c r="V16" s="297">
        <f t="shared" si="4"/>
        <v>0.13905092592592591</v>
      </c>
      <c r="W16" s="297">
        <f t="shared" si="5"/>
        <v>0.26041666666666669</v>
      </c>
      <c r="X16" s="297">
        <f t="shared" si="6"/>
        <v>0.2951388888888889</v>
      </c>
      <c r="Y16" s="297">
        <f t="shared" si="7"/>
        <v>0</v>
      </c>
      <c r="Z16" s="472">
        <f t="shared" si="8"/>
        <v>75</v>
      </c>
    </row>
    <row r="17" spans="1:26" ht="15" customHeight="1">
      <c r="B17" s="22" t="s">
        <v>33</v>
      </c>
      <c r="C17" s="366" t="str">
        <f>[7]Brewhouse!A105</f>
        <v>VM075</v>
      </c>
      <c r="D17" s="279">
        <f>[7]Brewhouse!AE105</f>
        <v>50</v>
      </c>
      <c r="E17" s="279">
        <f>[7]Brewhouse!$AJ105</f>
        <v>49.6</v>
      </c>
      <c r="F17" s="278">
        <f>[7]Brewhouse!X105</f>
        <v>88</v>
      </c>
      <c r="G17" s="279">
        <f>[7]Brewhouse!AH105</f>
        <v>14.2</v>
      </c>
      <c r="H17" s="396">
        <v>14.4</v>
      </c>
      <c r="I17" s="368">
        <f>[7]Brewhouse!AV105</f>
        <v>99.881339189324365</v>
      </c>
      <c r="J17" s="368">
        <f>[7]Brewhouse!AW105</f>
        <v>100.11736789481367</v>
      </c>
      <c r="K17" s="281">
        <f>[7]Brewhouse!S105</f>
        <v>5.9199999999999875</v>
      </c>
      <c r="L17" s="276">
        <f>[7]Brewhouse!R105</f>
        <v>60</v>
      </c>
      <c r="M17" s="374">
        <f>[7]Brewhouse!$W105-[7]Brewhouse!$V105</f>
        <v>0.15069444444444446</v>
      </c>
      <c r="N17" s="370">
        <f>[7]Brewhouse!AB105</f>
        <v>0.32222222222222219</v>
      </c>
      <c r="O17" s="371" t="str">
        <f>[7]Brewhouse!$AZ105</f>
        <v>K. Benjamin</v>
      </c>
      <c r="P17" s="418"/>
      <c r="R17" s="277" t="str">
        <f t="shared" si="0"/>
        <v>VITAMALT</v>
      </c>
      <c r="S17" s="472">
        <f t="shared" si="1"/>
        <v>14.2</v>
      </c>
      <c r="T17" s="472">
        <f t="shared" si="2"/>
        <v>14.6</v>
      </c>
      <c r="U17" s="297">
        <f t="shared" si="3"/>
        <v>0</v>
      </c>
      <c r="V17" s="297">
        <f t="shared" si="4"/>
        <v>0.13905092592592591</v>
      </c>
      <c r="W17" s="297">
        <f t="shared" si="5"/>
        <v>0.26041666666666669</v>
      </c>
      <c r="X17" s="297">
        <f t="shared" si="6"/>
        <v>0.2951388888888889</v>
      </c>
      <c r="Y17" s="297">
        <f t="shared" si="7"/>
        <v>0</v>
      </c>
      <c r="Z17" s="472">
        <f t="shared" si="8"/>
        <v>75</v>
      </c>
    </row>
    <row r="18" spans="1:26" ht="15" customHeight="1">
      <c r="B18" s="22"/>
      <c r="C18" s="366"/>
      <c r="D18" s="279"/>
      <c r="E18" s="279"/>
      <c r="F18" s="278"/>
      <c r="G18" s="279"/>
      <c r="H18" s="396"/>
      <c r="I18" s="368"/>
      <c r="J18" s="368"/>
      <c r="K18" s="281"/>
      <c r="L18" s="276"/>
      <c r="M18" s="374"/>
      <c r="N18" s="370"/>
      <c r="O18" s="371"/>
      <c r="P18" s="418"/>
      <c r="R18" s="277">
        <f t="shared" si="0"/>
        <v>0</v>
      </c>
      <c r="S18" s="472" t="e">
        <f t="shared" si="1"/>
        <v>#N/A</v>
      </c>
      <c r="T18" s="472" t="e">
        <f t="shared" si="2"/>
        <v>#N/A</v>
      </c>
      <c r="U18" s="297" t="e">
        <f t="shared" si="3"/>
        <v>#N/A</v>
      </c>
      <c r="V18" s="297" t="e">
        <f t="shared" si="4"/>
        <v>#N/A</v>
      </c>
      <c r="W18" s="297" t="e">
        <f t="shared" si="5"/>
        <v>#N/A</v>
      </c>
      <c r="X18" s="297" t="e">
        <f t="shared" si="6"/>
        <v>#N/A</v>
      </c>
      <c r="Y18" s="297" t="e">
        <f t="shared" si="7"/>
        <v>#N/A</v>
      </c>
      <c r="Z18" s="472" t="e">
        <f t="shared" si="8"/>
        <v>#N/A</v>
      </c>
    </row>
    <row r="19" spans="1:26" ht="15" customHeight="1">
      <c r="B19" s="37"/>
      <c r="C19" s="366"/>
      <c r="D19" s="279"/>
      <c r="E19" s="279"/>
      <c r="F19" s="278"/>
      <c r="G19" s="279"/>
      <c r="H19" s="396"/>
      <c r="I19" s="368"/>
      <c r="J19" s="368"/>
      <c r="K19" s="281"/>
      <c r="L19" s="276"/>
      <c r="M19" s="374"/>
      <c r="N19" s="370"/>
      <c r="O19" s="371"/>
      <c r="P19" s="418"/>
      <c r="R19" s="277">
        <f t="shared" si="0"/>
        <v>0</v>
      </c>
      <c r="S19" s="472" t="e">
        <f t="shared" si="1"/>
        <v>#N/A</v>
      </c>
      <c r="T19" s="472" t="e">
        <f t="shared" si="2"/>
        <v>#N/A</v>
      </c>
      <c r="U19" s="297" t="e">
        <f t="shared" si="3"/>
        <v>#N/A</v>
      </c>
      <c r="V19" s="297" t="e">
        <f t="shared" si="4"/>
        <v>#N/A</v>
      </c>
      <c r="W19" s="297" t="e">
        <f t="shared" si="5"/>
        <v>#N/A</v>
      </c>
      <c r="X19" s="297" t="e">
        <f t="shared" si="6"/>
        <v>#N/A</v>
      </c>
      <c r="Y19" s="297" t="e">
        <f t="shared" si="7"/>
        <v>#N/A</v>
      </c>
      <c r="Z19" s="472" t="e">
        <f t="shared" si="8"/>
        <v>#N/A</v>
      </c>
    </row>
    <row r="20" spans="1:26" ht="15" customHeight="1">
      <c r="B20" s="37"/>
      <c r="C20" s="366"/>
      <c r="D20" s="279"/>
      <c r="E20" s="279"/>
      <c r="F20" s="278"/>
      <c r="G20" s="279"/>
      <c r="H20" s="396"/>
      <c r="I20" s="368"/>
      <c r="J20" s="368"/>
      <c r="K20" s="281"/>
      <c r="L20" s="276"/>
      <c r="M20" s="374"/>
      <c r="N20" s="370"/>
      <c r="O20" s="371"/>
      <c r="P20" s="418"/>
      <c r="R20" s="277">
        <f t="shared" si="0"/>
        <v>0</v>
      </c>
      <c r="S20" s="472" t="e">
        <f t="shared" si="1"/>
        <v>#N/A</v>
      </c>
      <c r="T20" s="472" t="e">
        <f t="shared" si="2"/>
        <v>#N/A</v>
      </c>
      <c r="U20" s="297" t="e">
        <f t="shared" si="3"/>
        <v>#N/A</v>
      </c>
      <c r="V20" s="297" t="e">
        <f t="shared" si="4"/>
        <v>#N/A</v>
      </c>
      <c r="W20" s="297" t="e">
        <f t="shared" si="5"/>
        <v>#N/A</v>
      </c>
      <c r="X20" s="297" t="e">
        <f t="shared" si="6"/>
        <v>#N/A</v>
      </c>
      <c r="Y20" s="297" t="e">
        <f t="shared" si="7"/>
        <v>#N/A</v>
      </c>
      <c r="Z20" s="472" t="e">
        <f t="shared" si="8"/>
        <v>#N/A</v>
      </c>
    </row>
    <row r="21" spans="1:26" ht="15" customHeight="1">
      <c r="B21" s="29"/>
      <c r="C21" s="366"/>
      <c r="D21" s="279"/>
      <c r="E21" s="279"/>
      <c r="F21" s="278"/>
      <c r="G21" s="279"/>
      <c r="H21" s="493"/>
      <c r="I21" s="368"/>
      <c r="J21" s="368"/>
      <c r="K21" s="281"/>
      <c r="L21" s="276"/>
      <c r="M21" s="374"/>
      <c r="N21" s="370"/>
      <c r="O21" s="420"/>
      <c r="P21" s="418"/>
      <c r="R21" s="277">
        <f t="shared" si="0"/>
        <v>0</v>
      </c>
      <c r="S21" s="472" t="e">
        <f t="shared" si="1"/>
        <v>#N/A</v>
      </c>
      <c r="T21" s="472" t="e">
        <f t="shared" si="2"/>
        <v>#N/A</v>
      </c>
      <c r="U21" s="297" t="e">
        <f t="shared" si="3"/>
        <v>#N/A</v>
      </c>
      <c r="V21" s="297" t="e">
        <f t="shared" si="4"/>
        <v>#N/A</v>
      </c>
      <c r="W21" s="297" t="e">
        <f t="shared" si="5"/>
        <v>#N/A</v>
      </c>
      <c r="X21" s="297" t="e">
        <f t="shared" si="6"/>
        <v>#N/A</v>
      </c>
      <c r="Y21" s="297" t="e">
        <f t="shared" si="7"/>
        <v>#N/A</v>
      </c>
      <c r="Z21" s="472" t="e">
        <f t="shared" si="8"/>
        <v>#N/A</v>
      </c>
    </row>
    <row r="22" spans="1:26" ht="15" customHeight="1">
      <c r="B22" s="29"/>
      <c r="C22" s="366"/>
      <c r="D22" s="279"/>
      <c r="E22" s="279"/>
      <c r="F22" s="278"/>
      <c r="G22" s="279"/>
      <c r="H22" s="396"/>
      <c r="I22" s="368"/>
      <c r="J22" s="368"/>
      <c r="K22" s="281"/>
      <c r="L22" s="276"/>
      <c r="M22" s="374"/>
      <c r="N22" s="370"/>
      <c r="O22" s="420"/>
      <c r="P22" s="418"/>
      <c r="R22" s="277">
        <f t="shared" si="0"/>
        <v>0</v>
      </c>
      <c r="S22" s="472" t="e">
        <f t="shared" si="1"/>
        <v>#N/A</v>
      </c>
      <c r="T22" s="472" t="e">
        <f t="shared" si="2"/>
        <v>#N/A</v>
      </c>
      <c r="U22" s="297" t="e">
        <f t="shared" si="3"/>
        <v>#N/A</v>
      </c>
      <c r="V22" s="297" t="e">
        <f t="shared" si="4"/>
        <v>#N/A</v>
      </c>
      <c r="W22" s="297" t="e">
        <f t="shared" si="5"/>
        <v>#N/A</v>
      </c>
      <c r="X22" s="297" t="e">
        <f t="shared" si="6"/>
        <v>#N/A</v>
      </c>
      <c r="Y22" s="297" t="e">
        <f t="shared" si="7"/>
        <v>#N/A</v>
      </c>
      <c r="Z22" s="472" t="e">
        <f t="shared" si="8"/>
        <v>#N/A</v>
      </c>
    </row>
    <row r="23" spans="1:26" ht="15" customHeight="1">
      <c r="B23" s="36"/>
      <c r="C23" s="366"/>
      <c r="D23" s="279"/>
      <c r="E23" s="279"/>
      <c r="F23" s="278"/>
      <c r="G23" s="279"/>
      <c r="H23" s="396"/>
      <c r="I23" s="489"/>
      <c r="J23" s="489"/>
      <c r="K23" s="490"/>
      <c r="L23" s="276"/>
      <c r="M23" s="374"/>
      <c r="N23" s="370"/>
      <c r="O23" s="420"/>
      <c r="P23" s="418"/>
      <c r="R23" s="277">
        <f t="shared" si="0"/>
        <v>0</v>
      </c>
      <c r="S23" s="472" t="e">
        <f t="shared" si="1"/>
        <v>#N/A</v>
      </c>
      <c r="T23" s="472" t="e">
        <f t="shared" si="2"/>
        <v>#N/A</v>
      </c>
      <c r="U23" s="297" t="e">
        <f t="shared" si="3"/>
        <v>#N/A</v>
      </c>
      <c r="V23" s="297" t="e">
        <f t="shared" si="4"/>
        <v>#N/A</v>
      </c>
      <c r="W23" s="297" t="e">
        <f t="shared" si="5"/>
        <v>#N/A</v>
      </c>
      <c r="X23" s="297" t="e">
        <f t="shared" si="6"/>
        <v>#N/A</v>
      </c>
      <c r="Y23" s="297" t="e">
        <f t="shared" si="7"/>
        <v>#N/A</v>
      </c>
      <c r="Z23" s="472" t="e">
        <f t="shared" si="8"/>
        <v>#N/A</v>
      </c>
    </row>
    <row r="24" spans="1:26" ht="17.25" customHeight="1" thickBot="1">
      <c r="B24" s="358"/>
      <c r="C24" s="358"/>
      <c r="D24" s="358"/>
      <c r="E24" s="358"/>
      <c r="F24" s="294"/>
      <c r="G24" s="294"/>
      <c r="H24" s="348"/>
      <c r="I24" s="535"/>
      <c r="J24" s="535"/>
      <c r="K24" s="535"/>
      <c r="L24" s="535"/>
      <c r="M24" s="535"/>
      <c r="N24" s="535"/>
      <c r="O24" s="1"/>
      <c r="P24" s="12"/>
      <c r="R24" s="277">
        <f t="shared" si="0"/>
        <v>0</v>
      </c>
      <c r="S24" s="472" t="e">
        <f t="shared" si="1"/>
        <v>#N/A</v>
      </c>
      <c r="T24" s="472" t="e">
        <f t="shared" si="2"/>
        <v>#N/A</v>
      </c>
      <c r="U24" s="297" t="e">
        <f t="shared" si="3"/>
        <v>#N/A</v>
      </c>
      <c r="V24" s="297" t="e">
        <f t="shared" si="4"/>
        <v>#N/A</v>
      </c>
      <c r="W24" s="297" t="e">
        <f t="shared" si="5"/>
        <v>#N/A</v>
      </c>
      <c r="X24" s="297" t="e">
        <f t="shared" si="6"/>
        <v>#N/A</v>
      </c>
      <c r="Y24" s="297" t="e">
        <f t="shared" si="7"/>
        <v>#N/A</v>
      </c>
      <c r="Z24" s="472" t="e">
        <f t="shared" si="8"/>
        <v>#N/A</v>
      </c>
    </row>
    <row r="25" spans="1:26" ht="17.25" customHeight="1" thickBot="1">
      <c r="B25" s="483" t="s">
        <v>162</v>
      </c>
      <c r="C25" s="388"/>
      <c r="D25" s="536" t="s">
        <v>35</v>
      </c>
      <c r="E25" s="537"/>
      <c r="F25" s="294"/>
      <c r="G25" s="294"/>
      <c r="H25" s="348"/>
      <c r="I25" s="24" t="s">
        <v>17</v>
      </c>
      <c r="J25" s="25"/>
      <c r="K25" s="26" t="s">
        <v>138</v>
      </c>
      <c r="L25" s="25" t="s">
        <v>37</v>
      </c>
      <c r="M25" s="25" t="s">
        <v>38</v>
      </c>
      <c r="N25" s="27" t="s">
        <v>39</v>
      </c>
      <c r="O25" s="294"/>
      <c r="P25" s="12"/>
      <c r="R25" s="277" t="str">
        <f t="shared" si="0"/>
        <v xml:space="preserve">BRAND </v>
      </c>
      <c r="S25" s="472" t="e">
        <f t="shared" si="1"/>
        <v>#N/A</v>
      </c>
      <c r="T25" s="472" t="e">
        <f t="shared" si="2"/>
        <v>#N/A</v>
      </c>
      <c r="U25" s="297" t="e">
        <f t="shared" si="3"/>
        <v>#N/A</v>
      </c>
      <c r="V25" s="297" t="e">
        <f t="shared" si="4"/>
        <v>#N/A</v>
      </c>
      <c r="W25" s="297" t="e">
        <f t="shared" si="5"/>
        <v>#N/A</v>
      </c>
      <c r="X25" s="297" t="e">
        <f t="shared" si="6"/>
        <v>#N/A</v>
      </c>
      <c r="Y25" s="297" t="e">
        <f t="shared" si="7"/>
        <v>#N/A</v>
      </c>
      <c r="Z25" s="472" t="e">
        <f t="shared" si="8"/>
        <v>#N/A</v>
      </c>
    </row>
    <row r="26" spans="1:26" ht="17.25" customHeight="1">
      <c r="A26" s="28"/>
      <c r="B26" s="538"/>
      <c r="C26" s="484"/>
      <c r="D26" s="523"/>
      <c r="E26" s="524"/>
      <c r="F26" s="294"/>
      <c r="G26" s="294"/>
      <c r="H26" s="348"/>
      <c r="I26" s="29" t="s">
        <v>6</v>
      </c>
      <c r="J26" s="323"/>
      <c r="K26" s="284">
        <f>COUNTA([4]Brewhouse!$A$696:$A$787)</f>
        <v>92</v>
      </c>
      <c r="L26" s="305">
        <f>AVERAGE([4]Brewhouse!$AU$696:$AU$787)</f>
        <v>98.654636111413424</v>
      </c>
      <c r="M26" s="305">
        <f>AVERAGE([4]Brewhouse!$AU$42:$AU$123,[4]Brewhouse!$AU$125:$AU$188,[4]Brewhouse!$AU$198:$AU$290,[4]Brewhouse!$AU$292:$AU$370,[4]Brewhouse!$AU$372:$AU$439,[4]Brewhouse!$AU$441:$AU$497,[4]Brewhouse!$AU$499:$AU$519,[4]Brewhouse!$AU$521:$AU$593,[4]Brewhouse!$AU$595:$AU$694,[4]Brewhouse!$AU$696:$AU$787)</f>
        <v>98.331613971610224</v>
      </c>
      <c r="N26" s="30">
        <v>98</v>
      </c>
      <c r="O26" s="11"/>
      <c r="P26" s="31"/>
      <c r="R26" s="277">
        <f t="shared" si="0"/>
        <v>0</v>
      </c>
      <c r="S26" s="472" t="e">
        <f t="shared" si="1"/>
        <v>#N/A</v>
      </c>
      <c r="T26" s="472" t="e">
        <f t="shared" si="2"/>
        <v>#N/A</v>
      </c>
      <c r="U26" s="297" t="e">
        <f t="shared" si="3"/>
        <v>#N/A</v>
      </c>
      <c r="V26" s="297" t="e">
        <f t="shared" si="4"/>
        <v>#N/A</v>
      </c>
      <c r="W26" s="297" t="e">
        <f t="shared" si="5"/>
        <v>#N/A</v>
      </c>
      <c r="X26" s="297" t="e">
        <f t="shared" si="6"/>
        <v>#N/A</v>
      </c>
      <c r="Y26" s="297" t="e">
        <f t="shared" si="7"/>
        <v>#N/A</v>
      </c>
      <c r="Z26" s="472" t="e">
        <f t="shared" si="8"/>
        <v>#N/A</v>
      </c>
    </row>
    <row r="27" spans="1:26" ht="15" customHeight="1">
      <c r="A27" s="28"/>
      <c r="B27" s="539"/>
      <c r="C27" s="362"/>
      <c r="D27" s="525"/>
      <c r="E27" s="526"/>
      <c r="F27" s="294"/>
      <c r="G27" s="294"/>
      <c r="H27" s="348"/>
      <c r="I27" s="33" t="s">
        <v>9</v>
      </c>
      <c r="J27" s="323"/>
      <c r="K27" s="284">
        <f>COUNTA([5]Brewhouse!$A$363:$A$380)</f>
        <v>18</v>
      </c>
      <c r="L27" s="302">
        <f>AVERAGE([5]Brewhouse!$AS$363:$AS$380)</f>
        <v>99.237321929974939</v>
      </c>
      <c r="M27" s="302">
        <f>AVERAGE([5]Brewhouse!$AS$52:$AS$81,[5]Brewhouse!$AS$83:$AS$124,[5]Brewhouse!$AS$134:$AS$177,[5]Brewhouse!$AS$22:$AS$179,[5]Brewhouse!$AS$214:$AS$249,[5]Brewhouse!$AS$252:$AS$293,[5]Brewhouse!$AS$295:$AS$325,[5]Brewhouse!$AS$327:$AS$361,[5]Brewhouse!$AS$363:$AS$380)</f>
        <v>98.280844420420635</v>
      </c>
      <c r="N27" s="30">
        <v>98</v>
      </c>
      <c r="O27" s="11"/>
      <c r="P27" s="31"/>
      <c r="R27" s="277">
        <f t="shared" si="0"/>
        <v>0</v>
      </c>
      <c r="S27" s="472" t="e">
        <f t="shared" si="1"/>
        <v>#N/A</v>
      </c>
      <c r="T27" s="472" t="e">
        <f t="shared" si="2"/>
        <v>#N/A</v>
      </c>
      <c r="U27" s="297" t="e">
        <f t="shared" si="3"/>
        <v>#N/A</v>
      </c>
      <c r="V27" s="297" t="e">
        <f t="shared" si="4"/>
        <v>#N/A</v>
      </c>
      <c r="W27" s="297" t="e">
        <f t="shared" si="5"/>
        <v>#N/A</v>
      </c>
      <c r="X27" s="297" t="e">
        <f t="shared" si="6"/>
        <v>#N/A</v>
      </c>
      <c r="Y27" s="297" t="e">
        <f t="shared" si="7"/>
        <v>#N/A</v>
      </c>
      <c r="Z27" s="472" t="e">
        <f t="shared" si="8"/>
        <v>#N/A</v>
      </c>
    </row>
    <row r="28" spans="1:26" ht="14.65" customHeight="1">
      <c r="A28" s="28"/>
      <c r="B28" s="539"/>
      <c r="C28" s="362"/>
      <c r="D28" s="530"/>
      <c r="E28" s="531"/>
      <c r="F28" s="294"/>
      <c r="G28" s="294"/>
      <c r="H28" s="348"/>
      <c r="I28" s="34" t="s">
        <v>12</v>
      </c>
      <c r="J28" s="323"/>
      <c r="K28" s="284">
        <f>COUNTA([6]Brewhouse!$A$99:$A$106)</f>
        <v>8</v>
      </c>
      <c r="L28" s="302">
        <f>AVERAGE([6]Brewhouse!$AU$99:$AU$106)</f>
        <v>96.462109124412379</v>
      </c>
      <c r="M28" s="302">
        <f>AVERAGE([6]Brewhouse!$AU$16:$AU$23,[6]Brewhouse!$AU$25:$AU$32,[6]Brewhouse!$AU$34:$AU$41,[6]Brewhouse!$AU$43:$AU$60,[6]Brewhouse!$AU$62:$AU$69,[6]Brewhouse!$AU$71:$AU$88,[6]Brewhouse!$AU$90:$AU$97,[6]Brewhouse!$AU$99:$AU$106)</f>
        <v>96.498355980821032</v>
      </c>
      <c r="N28" s="30">
        <v>98</v>
      </c>
      <c r="O28" s="11"/>
      <c r="P28" s="31"/>
      <c r="R28" s="277">
        <f t="shared" si="0"/>
        <v>0</v>
      </c>
      <c r="S28" s="472" t="e">
        <f t="shared" si="1"/>
        <v>#N/A</v>
      </c>
      <c r="T28" s="472" t="e">
        <f t="shared" si="2"/>
        <v>#N/A</v>
      </c>
      <c r="U28" s="297" t="e">
        <f t="shared" si="3"/>
        <v>#N/A</v>
      </c>
      <c r="V28" s="297" t="e">
        <f t="shared" si="4"/>
        <v>#N/A</v>
      </c>
      <c r="W28" s="297" t="e">
        <f t="shared" si="5"/>
        <v>#N/A</v>
      </c>
      <c r="X28" s="297" t="e">
        <f t="shared" si="6"/>
        <v>#N/A</v>
      </c>
      <c r="Y28" s="297" t="e">
        <f t="shared" si="7"/>
        <v>#N/A</v>
      </c>
      <c r="Z28" s="472" t="e">
        <f t="shared" si="8"/>
        <v>#N/A</v>
      </c>
    </row>
    <row r="29" spans="1:26" ht="14.65" customHeight="1">
      <c r="A29" s="28"/>
      <c r="B29" s="539"/>
      <c r="C29" s="362"/>
      <c r="D29" s="532"/>
      <c r="E29" s="526"/>
      <c r="F29" s="294"/>
      <c r="G29" s="294"/>
      <c r="H29" s="348"/>
      <c r="I29" s="22" t="s">
        <v>33</v>
      </c>
      <c r="J29" s="280">
        <f>AVERAGE(I10:I17)</f>
        <v>97.554683110194503</v>
      </c>
      <c r="K29" s="284">
        <f>COUNTA([7]Brewhouse!$A$98:$A$105)</f>
        <v>8</v>
      </c>
      <c r="L29" s="302">
        <f>AVERAGE([7]Brewhouse!$AV$98:$AV$105)</f>
        <v>97.554683110194503</v>
      </c>
      <c r="M29" s="302">
        <f>AVERAGE([7]Brewhouse!$AV$23:$AV$34,[7]Brewhouse!$AV$36,[7]Brewhouse!$AV$38:$AV$52,[7]Brewhouse!$AV$54:$AV$60,[7]Brewhouse!$AV$62:$AV$69,[7]Brewhouse!$AV$71:$AV$78,[7]Brewhouse!$AV$80:$AV$87,[7]Brewhouse!$AV$89:$AV$96,[7]Brewhouse!$AV$98:$AV$105)</f>
        <v>97.559028309263738</v>
      </c>
      <c r="N29" s="30">
        <v>98</v>
      </c>
      <c r="O29" s="11"/>
      <c r="P29" s="31"/>
      <c r="R29" s="277">
        <f t="shared" si="0"/>
        <v>0</v>
      </c>
      <c r="S29" s="472" t="e">
        <f t="shared" si="1"/>
        <v>#N/A</v>
      </c>
      <c r="T29" s="472" t="e">
        <f t="shared" si="2"/>
        <v>#N/A</v>
      </c>
      <c r="U29" s="297" t="e">
        <f t="shared" si="3"/>
        <v>#N/A</v>
      </c>
      <c r="V29" s="297" t="e">
        <f t="shared" si="4"/>
        <v>#N/A</v>
      </c>
      <c r="W29" s="297" t="e">
        <f t="shared" si="5"/>
        <v>#N/A</v>
      </c>
      <c r="X29" s="297" t="e">
        <f t="shared" si="6"/>
        <v>#N/A</v>
      </c>
      <c r="Y29" s="297" t="e">
        <f t="shared" si="7"/>
        <v>#N/A</v>
      </c>
      <c r="Z29" s="472" t="e">
        <f t="shared" si="8"/>
        <v>#N/A</v>
      </c>
    </row>
    <row r="30" spans="1:26" ht="14.65" customHeight="1">
      <c r="A30" s="28"/>
      <c r="B30" s="539"/>
      <c r="C30" s="362"/>
      <c r="D30" s="530"/>
      <c r="E30" s="531"/>
      <c r="F30" s="294"/>
      <c r="G30" s="294"/>
      <c r="H30" s="348"/>
      <c r="I30" s="35" t="s">
        <v>29</v>
      </c>
      <c r="J30" s="280"/>
      <c r="K30" s="284"/>
      <c r="L30" s="302"/>
      <c r="M30" s="302"/>
      <c r="N30" s="30">
        <v>98</v>
      </c>
      <c r="O30" s="11"/>
      <c r="P30" s="31"/>
      <c r="R30" s="277">
        <f t="shared" si="0"/>
        <v>0</v>
      </c>
      <c r="S30" s="472" t="e">
        <f t="shared" si="1"/>
        <v>#N/A</v>
      </c>
      <c r="T30" s="472" t="e">
        <f t="shared" si="2"/>
        <v>#N/A</v>
      </c>
      <c r="U30" s="297" t="e">
        <f t="shared" si="3"/>
        <v>#N/A</v>
      </c>
      <c r="V30" s="297" t="e">
        <f t="shared" si="4"/>
        <v>#N/A</v>
      </c>
      <c r="W30" s="297" t="e">
        <f t="shared" si="5"/>
        <v>#N/A</v>
      </c>
      <c r="X30" s="297" t="e">
        <f t="shared" si="6"/>
        <v>#N/A</v>
      </c>
      <c r="Y30" s="297" t="e">
        <f t="shared" si="7"/>
        <v>#N/A</v>
      </c>
      <c r="Z30" s="472" t="e">
        <f t="shared" si="8"/>
        <v>#N/A</v>
      </c>
    </row>
    <row r="31" spans="1:26" ht="14.65" customHeight="1">
      <c r="A31" s="28"/>
      <c r="B31" s="539"/>
      <c r="C31" s="362"/>
      <c r="D31" s="532"/>
      <c r="E31" s="526"/>
      <c r="F31" s="417"/>
      <c r="G31" s="294"/>
      <c r="H31" s="348"/>
      <c r="I31" s="36" t="s">
        <v>15</v>
      </c>
      <c r="J31" s="323"/>
      <c r="K31" s="284">
        <f>COUNTA([8]Brewhouse!$A$23:$A$30)</f>
        <v>8</v>
      </c>
      <c r="L31" s="302">
        <f>AVERAGE([8]Brewhouse!$AT$23:$AT$30)</f>
        <v>96.065914782338609</v>
      </c>
      <c r="M31" s="302">
        <f>AVERAGE([8]Brewhouse!$AT$4:$AT$11,[8]Brewhouse!$AT$13:$AT$16,[8]Brewhouse!$AT$18:$AT$30)</f>
        <v>93.22262799886262</v>
      </c>
      <c r="N31" s="30">
        <v>98</v>
      </c>
      <c r="O31" s="11"/>
      <c r="P31" s="31"/>
      <c r="R31" s="277">
        <f t="shared" si="0"/>
        <v>0</v>
      </c>
      <c r="S31" s="472" t="e">
        <f t="shared" si="1"/>
        <v>#N/A</v>
      </c>
      <c r="T31" s="472" t="e">
        <f t="shared" si="2"/>
        <v>#N/A</v>
      </c>
      <c r="U31" s="297" t="e">
        <f t="shared" si="3"/>
        <v>#N/A</v>
      </c>
      <c r="V31" s="297" t="e">
        <f t="shared" si="4"/>
        <v>#N/A</v>
      </c>
      <c r="W31" s="297" t="e">
        <f t="shared" si="5"/>
        <v>#N/A</v>
      </c>
      <c r="X31" s="297" t="e">
        <f t="shared" si="6"/>
        <v>#N/A</v>
      </c>
      <c r="Y31" s="297" t="e">
        <f t="shared" si="7"/>
        <v>#N/A</v>
      </c>
      <c r="Z31" s="472" t="e">
        <f t="shared" si="8"/>
        <v>#N/A</v>
      </c>
    </row>
    <row r="32" spans="1:26" ht="14.65" customHeight="1">
      <c r="A32" s="28"/>
      <c r="B32" s="539"/>
      <c r="C32" s="362"/>
      <c r="D32" s="530"/>
      <c r="E32" s="531"/>
      <c r="F32" s="417"/>
      <c r="G32" s="294"/>
      <c r="H32" s="348"/>
      <c r="I32" s="37" t="s">
        <v>16</v>
      </c>
      <c r="J32" s="323"/>
      <c r="K32" s="284">
        <f>COUNTA([3]Brewhouse!$A$103:$A$110)</f>
        <v>8</v>
      </c>
      <c r="L32" s="302">
        <f>AVERAGE([3]Brewhouse!$AY$103:$AY$110)</f>
        <v>97.702601655721907</v>
      </c>
      <c r="M32" s="302">
        <f>AVERAGE([3]Brewhouse!$AY$5:$AY$14,[3]Brewhouse!$AY$16:$AY$23,[3]Brewhouse!$AY$42,[3]Brewhouse!$AY$44:$AY$51,[3]Brewhouse!$AY$53:$AY$64,[3]Brewhouse!$AY$66:$AY$73,[3]Brewhouse!$AY$75:$AY$82,[3]Brewhouse!$AY$84:$AY$101,[3]Brewhouse!$AY$103:$AY$110)</f>
        <v>97.776555859703805</v>
      </c>
      <c r="N32" s="30">
        <v>98</v>
      </c>
      <c r="O32" s="11"/>
      <c r="P32" s="31" t="s">
        <v>41</v>
      </c>
      <c r="R32" s="277">
        <f t="shared" si="0"/>
        <v>0</v>
      </c>
      <c r="S32" s="472" t="e">
        <f t="shared" si="1"/>
        <v>#N/A</v>
      </c>
      <c r="T32" s="472" t="e">
        <f t="shared" si="2"/>
        <v>#N/A</v>
      </c>
      <c r="U32" s="297" t="e">
        <f t="shared" si="3"/>
        <v>#N/A</v>
      </c>
      <c r="V32" s="297" t="e">
        <f t="shared" si="4"/>
        <v>#N/A</v>
      </c>
      <c r="W32" s="297" t="e">
        <f t="shared" si="5"/>
        <v>#N/A</v>
      </c>
      <c r="X32" s="297" t="e">
        <f t="shared" si="6"/>
        <v>#N/A</v>
      </c>
      <c r="Y32" s="297" t="e">
        <f t="shared" si="7"/>
        <v>#N/A</v>
      </c>
      <c r="Z32" s="472" t="e">
        <f t="shared" si="8"/>
        <v>#N/A</v>
      </c>
    </row>
    <row r="33" spans="1:56" ht="14.65" customHeight="1">
      <c r="A33" s="28"/>
      <c r="B33" s="539"/>
      <c r="C33" s="362"/>
      <c r="D33" s="532"/>
      <c r="E33" s="526"/>
      <c r="F33" s="294"/>
      <c r="G33" s="294"/>
      <c r="H33" s="348"/>
      <c r="I33" s="411" t="s">
        <v>158</v>
      </c>
      <c r="J33" s="326"/>
      <c r="K33" s="284"/>
      <c r="L33" s="305"/>
      <c r="M33" s="305"/>
      <c r="N33" s="30">
        <v>98</v>
      </c>
      <c r="O33" s="11"/>
      <c r="P33" s="31"/>
      <c r="R33" s="277">
        <f t="shared" si="0"/>
        <v>0</v>
      </c>
      <c r="S33" s="472" t="e">
        <f t="shared" si="1"/>
        <v>#N/A</v>
      </c>
      <c r="T33" s="472" t="e">
        <f t="shared" si="2"/>
        <v>#N/A</v>
      </c>
      <c r="U33" s="297" t="e">
        <f t="shared" si="3"/>
        <v>#N/A</v>
      </c>
      <c r="V33" s="297" t="e">
        <f t="shared" si="4"/>
        <v>#N/A</v>
      </c>
      <c r="W33" s="297" t="e">
        <f t="shared" si="5"/>
        <v>#N/A</v>
      </c>
      <c r="X33" s="297" t="e">
        <f t="shared" si="6"/>
        <v>#N/A</v>
      </c>
      <c r="Y33" s="297" t="e">
        <f t="shared" si="7"/>
        <v>#N/A</v>
      </c>
      <c r="Z33" s="472" t="e">
        <f t="shared" si="8"/>
        <v>#N/A</v>
      </c>
    </row>
    <row r="34" spans="1:56" ht="14.65" customHeight="1">
      <c r="A34" s="28"/>
      <c r="B34" s="539"/>
      <c r="C34" s="362"/>
      <c r="D34" s="530"/>
      <c r="E34" s="531"/>
      <c r="F34" s="294"/>
      <c r="G34" s="294"/>
      <c r="H34" s="348"/>
      <c r="I34" s="410" t="s">
        <v>157</v>
      </c>
      <c r="J34" s="326"/>
      <c r="K34" s="284"/>
      <c r="L34" s="305"/>
      <c r="M34" s="305"/>
      <c r="N34" s="30">
        <v>98</v>
      </c>
      <c r="O34" s="11"/>
      <c r="P34" s="31"/>
      <c r="R34" s="277">
        <f t="shared" si="0"/>
        <v>0</v>
      </c>
      <c r="S34" s="472" t="e">
        <f t="shared" si="1"/>
        <v>#N/A</v>
      </c>
      <c r="T34" s="472" t="e">
        <f t="shared" si="2"/>
        <v>#N/A</v>
      </c>
      <c r="U34" s="297" t="e">
        <f t="shared" si="3"/>
        <v>#N/A</v>
      </c>
      <c r="V34" s="297" t="e">
        <f t="shared" si="4"/>
        <v>#N/A</v>
      </c>
      <c r="W34" s="297" t="e">
        <f t="shared" si="5"/>
        <v>#N/A</v>
      </c>
      <c r="X34" s="297" t="e">
        <f t="shared" si="6"/>
        <v>#N/A</v>
      </c>
      <c r="Y34" s="297" t="e">
        <f t="shared" si="7"/>
        <v>#N/A</v>
      </c>
      <c r="Z34" s="472" t="e">
        <f t="shared" si="8"/>
        <v>#N/A</v>
      </c>
      <c r="AA34" s="472"/>
    </row>
    <row r="35" spans="1:56" ht="15" customHeight="1" thickBot="1">
      <c r="A35" s="28"/>
      <c r="B35" s="539"/>
      <c r="C35" s="362"/>
      <c r="D35" s="532"/>
      <c r="E35" s="526"/>
      <c r="F35" s="294"/>
      <c r="G35" s="294"/>
      <c r="H35" s="348"/>
      <c r="I35" s="406" t="s">
        <v>156</v>
      </c>
      <c r="J35" s="327"/>
      <c r="K35" s="407"/>
      <c r="L35" s="408"/>
      <c r="M35" s="408"/>
      <c r="N35" s="409">
        <v>98</v>
      </c>
      <c r="O35" s="11"/>
      <c r="P35" s="31"/>
      <c r="R35" s="277">
        <f t="shared" si="0"/>
        <v>0</v>
      </c>
      <c r="S35" s="472" t="e">
        <f t="shared" si="1"/>
        <v>#N/A</v>
      </c>
      <c r="T35" s="472" t="e">
        <f t="shared" si="2"/>
        <v>#N/A</v>
      </c>
      <c r="U35" s="297" t="e">
        <f t="shared" si="3"/>
        <v>#N/A</v>
      </c>
      <c r="V35" s="297" t="e">
        <f t="shared" si="4"/>
        <v>#N/A</v>
      </c>
      <c r="W35" s="297" t="e">
        <f t="shared" si="5"/>
        <v>#N/A</v>
      </c>
      <c r="X35" s="297" t="e">
        <f t="shared" si="6"/>
        <v>#N/A</v>
      </c>
      <c r="Y35" s="297" t="e">
        <f t="shared" si="7"/>
        <v>#N/A</v>
      </c>
      <c r="Z35" s="472" t="e">
        <f t="shared" si="8"/>
        <v>#N/A</v>
      </c>
      <c r="AA35" s="472"/>
    </row>
    <row r="36" spans="1:56" ht="15" customHeight="1" thickBot="1">
      <c r="A36" s="28"/>
      <c r="B36" s="539"/>
      <c r="C36" s="349"/>
      <c r="D36" s="523"/>
      <c r="E36" s="524"/>
      <c r="F36" s="294"/>
      <c r="G36" s="294"/>
      <c r="H36" s="348"/>
      <c r="I36" s="1"/>
      <c r="J36" s="39"/>
      <c r="K36" s="404">
        <f>SUM(K26:K35)</f>
        <v>142</v>
      </c>
      <c r="L36" s="405">
        <f>((L26*K26)+(L27*K27)+(L28*K28)+(L29*K29)+(L30*K30)+(K33*L33)+(L31*K31)+(L32*K32)+(L35*K35))/(K36)</f>
        <v>98.343526664583976</v>
      </c>
      <c r="M36" s="405">
        <f>AVERAGE('[9]Jan30th-31st'!$L$42,'[10]Feb 27th-28th'!$L$45,'[11]Mar 31st'!$L$42,'[12]Apr 30th'!$L$41,'[13]May 29th '!$L$35,'[14]June 30th'!$L$32,[15]July31st!$L$36,'[16]Aug 31st'!$L$32,L36)</f>
        <v>98.028418076965437</v>
      </c>
      <c r="N36" s="40">
        <v>98</v>
      </c>
      <c r="O36" s="11"/>
      <c r="P36" s="31"/>
      <c r="R36" s="277">
        <f t="shared" si="0"/>
        <v>0</v>
      </c>
      <c r="S36" s="472" t="e">
        <f t="shared" si="1"/>
        <v>#N/A</v>
      </c>
      <c r="T36" s="472" t="e">
        <f t="shared" si="2"/>
        <v>#N/A</v>
      </c>
      <c r="U36" s="297" t="e">
        <f t="shared" si="3"/>
        <v>#N/A</v>
      </c>
      <c r="V36" s="297" t="e">
        <f t="shared" si="4"/>
        <v>#N/A</v>
      </c>
      <c r="W36" s="297" t="e">
        <f t="shared" si="5"/>
        <v>#N/A</v>
      </c>
      <c r="X36" s="297" t="e">
        <f t="shared" si="6"/>
        <v>#N/A</v>
      </c>
      <c r="Y36" s="297" t="e">
        <f t="shared" si="7"/>
        <v>#N/A</v>
      </c>
      <c r="Z36" s="472" t="e">
        <f t="shared" si="8"/>
        <v>#N/A</v>
      </c>
      <c r="AA36" s="472"/>
    </row>
    <row r="37" spans="1:56" ht="15.75" thickBot="1">
      <c r="B37" s="540"/>
      <c r="C37" s="350"/>
      <c r="D37" s="525"/>
      <c r="E37" s="526"/>
      <c r="F37" s="294"/>
      <c r="G37" s="42"/>
      <c r="H37" s="41"/>
      <c r="I37" s="42"/>
      <c r="J37" s="42"/>
      <c r="K37" s="351"/>
      <c r="L37" s="348"/>
      <c r="M37" s="348"/>
      <c r="N37" s="11"/>
      <c r="O37" s="294"/>
      <c r="P37" s="12"/>
      <c r="R37" s="277">
        <f t="shared" si="0"/>
        <v>0</v>
      </c>
      <c r="S37" s="472" t="e">
        <f t="shared" si="1"/>
        <v>#N/A</v>
      </c>
      <c r="T37" s="472" t="e">
        <f t="shared" si="2"/>
        <v>#N/A</v>
      </c>
      <c r="U37" s="297" t="e">
        <f t="shared" si="3"/>
        <v>#N/A</v>
      </c>
      <c r="V37" s="297" t="e">
        <f t="shared" si="4"/>
        <v>#N/A</v>
      </c>
      <c r="W37" s="297" t="e">
        <f t="shared" si="5"/>
        <v>#N/A</v>
      </c>
      <c r="X37" s="297" t="e">
        <f t="shared" si="6"/>
        <v>#N/A</v>
      </c>
      <c r="Y37" s="297" t="e">
        <f t="shared" si="7"/>
        <v>#N/A</v>
      </c>
      <c r="Z37" s="472" t="e">
        <f t="shared" si="8"/>
        <v>#N/A</v>
      </c>
      <c r="AA37" s="472"/>
    </row>
    <row r="38" spans="1:56" ht="15.75" thickBot="1">
      <c r="B38" s="520"/>
      <c r="C38" s="362"/>
      <c r="D38" s="523"/>
      <c r="E38" s="524"/>
      <c r="F38" s="294"/>
      <c r="G38" s="42"/>
      <c r="H38" s="41"/>
      <c r="I38" s="42"/>
      <c r="J38" s="527" t="s">
        <v>129</v>
      </c>
      <c r="K38" s="527"/>
      <c r="L38" s="294"/>
      <c r="M38" s="294"/>
      <c r="N38" s="294"/>
      <c r="O38" s="294"/>
      <c r="P38" s="12"/>
    </row>
    <row r="39" spans="1:56" ht="15.75" thickBot="1">
      <c r="B39" s="521"/>
      <c r="C39" s="362"/>
      <c r="D39" s="525"/>
      <c r="E39" s="526"/>
      <c r="F39" s="294"/>
      <c r="G39" s="42"/>
      <c r="H39" s="42"/>
      <c r="I39" s="42"/>
      <c r="J39" s="292" t="s">
        <v>17</v>
      </c>
      <c r="K39" s="293"/>
      <c r="L39" s="528" t="s">
        <v>136</v>
      </c>
      <c r="M39" s="528"/>
      <c r="N39" s="529"/>
      <c r="O39" s="294"/>
      <c r="P39" s="12"/>
    </row>
    <row r="40" spans="1:56" ht="15" customHeight="1" thickBot="1">
      <c r="B40" s="521"/>
      <c r="C40" s="349"/>
      <c r="D40" s="530"/>
      <c r="E40" s="531"/>
      <c r="F40" s="294"/>
      <c r="G40" s="42"/>
      <c r="H40" s="42"/>
      <c r="I40" s="42"/>
      <c r="J40" s="287" t="s">
        <v>6</v>
      </c>
      <c r="K40" s="324"/>
      <c r="L40" s="473" t="s">
        <v>37</v>
      </c>
      <c r="M40" s="474" t="s">
        <v>38</v>
      </c>
      <c r="N40" s="474" t="s">
        <v>84</v>
      </c>
      <c r="O40" s="294"/>
      <c r="P40" s="12"/>
    </row>
    <row r="41" spans="1:56" ht="15.75" customHeight="1" thickBot="1">
      <c r="B41" s="521"/>
      <c r="C41" s="349"/>
      <c r="D41" s="532"/>
      <c r="E41" s="526"/>
      <c r="F41" s="294"/>
      <c r="G41" s="42"/>
      <c r="H41" s="42"/>
      <c r="I41" s="42"/>
      <c r="J41" s="345" t="s">
        <v>9</v>
      </c>
      <c r="K41" s="324"/>
      <c r="L41" s="485">
        <f>AVERAGE('Sept 1st'!K45,'Sept 2nd'!K47,'Sept 3rd'!K44,'Sept 4th'!K46,'Sept 7th'!K48,'Sept 8th'!K48,'Sept 9th'!K50,'Sept 10th'!K49,'Sept 11th '!K45,'Sept 14th'!K45,'Sept 15th'!K48,'Sept 16th'!K51,'Sept 17th '!K52,'Sept 18th'!K42,'Sept 21st'!K48,'Sept 22nd'!K46,'Sept 23rd '!K51,'Sept 24th'!K49,'Sept 28th'!K50,K50)</f>
        <v>7.05</v>
      </c>
      <c r="M41" s="486">
        <f>AVERAGE('[9]Jan30th-31st'!$L$47,L41,'[10]Feb 26th '!$L$39,'[11]Mar 31st'!$L$47,'[12]Apr 30th'!$L$46,'[13]May 29th '!$L$40,'[14]June 30th'!$L$39,[15]July31st!$L$41,'[16]Aug 31st'!$L$37)</f>
        <v>6.5211225972095539</v>
      </c>
      <c r="N41" s="416">
        <v>9.1999999999999993</v>
      </c>
      <c r="O41" s="294"/>
      <c r="P41" s="12"/>
    </row>
    <row r="42" spans="1:56" ht="15" customHeight="1">
      <c r="B42" s="521"/>
      <c r="C42" s="349"/>
      <c r="D42" s="530"/>
      <c r="E42" s="531"/>
      <c r="F42" s="294"/>
      <c r="G42" s="42"/>
      <c r="H42" s="42"/>
      <c r="I42" s="42"/>
      <c r="J42" s="288" t="s">
        <v>40</v>
      </c>
      <c r="K42" s="324"/>
      <c r="L42" s="294"/>
      <c r="M42" s="294"/>
      <c r="N42" s="294"/>
      <c r="O42" s="294"/>
      <c r="P42" s="12"/>
    </row>
    <row r="43" spans="1:56" ht="15" customHeight="1">
      <c r="B43" s="521"/>
      <c r="C43" s="349"/>
      <c r="D43" s="532"/>
      <c r="E43" s="526"/>
      <c r="F43" s="294"/>
      <c r="G43" s="42"/>
      <c r="H43" s="42"/>
      <c r="I43" s="42"/>
      <c r="J43" s="289" t="s">
        <v>33</v>
      </c>
      <c r="K43" s="324">
        <v>8</v>
      </c>
      <c r="L43" s="294"/>
      <c r="M43" s="294"/>
      <c r="N43" s="294"/>
      <c r="O43" s="294"/>
      <c r="P43" s="12"/>
    </row>
    <row r="44" spans="1:56" ht="15">
      <c r="B44" s="521"/>
      <c r="C44" s="349"/>
      <c r="D44" s="530"/>
      <c r="E44" s="531"/>
      <c r="F44" s="294"/>
      <c r="G44" s="42"/>
      <c r="H44" s="42"/>
      <c r="I44" s="42"/>
      <c r="J44" s="290" t="s">
        <v>16</v>
      </c>
      <c r="K44" s="324"/>
      <c r="L44" s="294"/>
      <c r="M44" s="294"/>
      <c r="N44" s="294"/>
      <c r="O44" s="294"/>
      <c r="P44" s="12"/>
      <c r="BC44" s="44"/>
      <c r="BD44" s="44"/>
    </row>
    <row r="45" spans="1:56" ht="15">
      <c r="B45" s="521"/>
      <c r="C45" s="349"/>
      <c r="D45" s="532"/>
      <c r="E45" s="526"/>
      <c r="F45" s="294"/>
      <c r="G45" s="42"/>
      <c r="H45" s="42"/>
      <c r="I45" s="42"/>
      <c r="J45" s="291" t="s">
        <v>15</v>
      </c>
      <c r="K45" s="324"/>
      <c r="L45" s="294"/>
      <c r="M45" s="294"/>
      <c r="N45" s="294"/>
      <c r="O45" s="294"/>
      <c r="P45" s="12"/>
      <c r="BC45" s="44"/>
      <c r="BD45" s="44"/>
    </row>
    <row r="46" spans="1:56" ht="15">
      <c r="B46" s="521"/>
      <c r="C46" s="349"/>
      <c r="D46" s="530"/>
      <c r="E46" s="531"/>
      <c r="F46" s="294"/>
      <c r="G46" s="42"/>
      <c r="H46" s="42"/>
      <c r="I46" s="42"/>
      <c r="J46" s="291" t="s">
        <v>149</v>
      </c>
      <c r="K46" s="324"/>
      <c r="L46" s="294"/>
      <c r="M46" s="294"/>
      <c r="N46" s="294"/>
      <c r="O46" s="294"/>
      <c r="P46" s="12"/>
      <c r="BC46" s="44"/>
      <c r="BD46" s="44"/>
    </row>
    <row r="47" spans="1:56" ht="15.75" thickBot="1">
      <c r="B47" s="522"/>
      <c r="C47" s="350"/>
      <c r="D47" s="533"/>
      <c r="E47" s="534"/>
      <c r="F47" s="294" t="s">
        <v>165</v>
      </c>
      <c r="G47" s="42"/>
      <c r="H47" s="42"/>
      <c r="I47" s="42"/>
      <c r="J47" s="291" t="s">
        <v>148</v>
      </c>
      <c r="K47" s="324"/>
      <c r="L47" s="294"/>
      <c r="M47" s="294"/>
      <c r="N47" s="294" t="s">
        <v>41</v>
      </c>
      <c r="O47" s="294"/>
      <c r="P47" s="12"/>
      <c r="BC47" s="44"/>
      <c r="BD47" s="44"/>
    </row>
    <row r="48" spans="1:56" ht="17.649999999999999" customHeight="1" thickBot="1">
      <c r="B48" s="312" t="s">
        <v>139</v>
      </c>
      <c r="C48" s="313"/>
      <c r="D48" s="511"/>
      <c r="E48" s="512"/>
      <c r="F48" s="294"/>
      <c r="J48" s="295" t="s">
        <v>134</v>
      </c>
      <c r="K48" s="324"/>
      <c r="L48" s="294"/>
      <c r="M48" s="294"/>
      <c r="N48" s="294"/>
      <c r="O48" s="294"/>
      <c r="P48" s="12"/>
      <c r="BC48" s="44"/>
      <c r="BD48" s="44"/>
    </row>
    <row r="49" spans="2:57" ht="17.649999999999999" customHeight="1">
      <c r="B49" s="363"/>
      <c r="C49" s="364"/>
      <c r="D49" s="365"/>
      <c r="E49" s="365"/>
      <c r="F49" s="294"/>
      <c r="G49" s="42"/>
      <c r="H49" s="42"/>
      <c r="I49" s="42"/>
      <c r="J49" s="295" t="s">
        <v>131</v>
      </c>
      <c r="K49" s="324"/>
      <c r="L49" s="294"/>
      <c r="M49" s="294"/>
      <c r="N49" s="294"/>
      <c r="O49" s="294"/>
      <c r="P49" s="12"/>
      <c r="BC49" s="44"/>
      <c r="BD49" s="44"/>
    </row>
    <row r="50" spans="2:57" ht="15.6" customHeight="1">
      <c r="B50" s="45"/>
      <c r="C50" s="11"/>
      <c r="D50" s="11"/>
      <c r="E50" s="46"/>
      <c r="F50" s="294"/>
      <c r="G50" s="42"/>
      <c r="H50" s="42"/>
      <c r="I50" s="42"/>
      <c r="J50" s="346" t="s">
        <v>130</v>
      </c>
      <c r="K50" s="324">
        <f>SUM(K40:K49)</f>
        <v>8</v>
      </c>
      <c r="L50" s="294"/>
      <c r="M50" s="294"/>
      <c r="N50" s="294"/>
      <c r="O50" s="294"/>
      <c r="P50" s="12"/>
    </row>
    <row r="51" spans="2:57" ht="20.25" customHeight="1">
      <c r="B51" s="15" t="s">
        <v>42</v>
      </c>
      <c r="C51" s="1" t="s">
        <v>43</v>
      </c>
      <c r="D51" s="1"/>
      <c r="E51" s="1"/>
      <c r="F51" s="294"/>
      <c r="G51" s="42"/>
      <c r="H51" s="41"/>
      <c r="I51" s="42"/>
      <c r="L51" s="42"/>
      <c r="N51" s="315"/>
      <c r="P51" s="334"/>
    </row>
    <row r="52" spans="2:57" ht="15" customHeight="1" thickBot="1">
      <c r="B52" s="48"/>
      <c r="C52" s="48"/>
      <c r="D52" s="48"/>
      <c r="E52" s="48"/>
      <c r="F52" s="48"/>
      <c r="G52" s="48"/>
      <c r="H52" s="48"/>
      <c r="I52" s="48"/>
      <c r="J52" s="48"/>
      <c r="K52" s="48"/>
      <c r="L52" s="48"/>
      <c r="M52" s="48"/>
      <c r="N52" s="41"/>
      <c r="O52" s="48"/>
      <c r="P52" s="49"/>
    </row>
    <row r="53" spans="2:57" ht="15" customHeight="1" thickBot="1">
      <c r="B53" s="505" t="s">
        <v>17</v>
      </c>
      <c r="C53" s="505" t="s">
        <v>44</v>
      </c>
      <c r="D53" s="514" t="s">
        <v>45</v>
      </c>
      <c r="E53" s="516" t="s">
        <v>46</v>
      </c>
      <c r="F53" s="518" t="s">
        <v>47</v>
      </c>
      <c r="G53" s="503" t="s">
        <v>48</v>
      </c>
      <c r="H53" s="505" t="s">
        <v>49</v>
      </c>
      <c r="I53" s="505" t="s">
        <v>50</v>
      </c>
      <c r="J53" s="497" t="s">
        <v>28</v>
      </c>
      <c r="K53" s="507" t="s">
        <v>51</v>
      </c>
      <c r="L53" s="509" t="s">
        <v>52</v>
      </c>
      <c r="M53" s="497" t="s">
        <v>53</v>
      </c>
      <c r="N53" s="13"/>
      <c r="O53" s="13"/>
      <c r="P53" s="50"/>
    </row>
    <row r="54" spans="2:57" ht="28.5" customHeight="1" thickTop="1" thickBot="1">
      <c r="B54" s="506"/>
      <c r="C54" s="513"/>
      <c r="D54" s="515"/>
      <c r="E54" s="517"/>
      <c r="F54" s="519"/>
      <c r="G54" s="504"/>
      <c r="H54" s="506"/>
      <c r="I54" s="506"/>
      <c r="J54" s="498"/>
      <c r="K54" s="508"/>
      <c r="L54" s="510"/>
      <c r="M54" s="498"/>
      <c r="N54" s="13"/>
      <c r="O54" s="13"/>
      <c r="P54" s="50"/>
      <c r="Q54" s="355"/>
      <c r="AB54" s="475">
        <v>43474</v>
      </c>
      <c r="AC54" s="475">
        <v>43475</v>
      </c>
      <c r="AD54" s="475">
        <v>43476</v>
      </c>
      <c r="AE54" s="475">
        <v>43477</v>
      </c>
      <c r="AF54" s="475">
        <v>43478</v>
      </c>
      <c r="AG54" s="475">
        <v>43479</v>
      </c>
      <c r="AH54" s="475">
        <v>43480</v>
      </c>
      <c r="AI54" s="475">
        <v>43481</v>
      </c>
      <c r="AJ54" s="475">
        <v>43482</v>
      </c>
      <c r="AK54" s="475">
        <v>43483</v>
      </c>
      <c r="AL54" s="475">
        <v>43484</v>
      </c>
      <c r="AM54" s="475">
        <v>43485</v>
      </c>
      <c r="AN54" s="475">
        <v>43486</v>
      </c>
      <c r="AO54" s="475">
        <v>43487</v>
      </c>
      <c r="AP54" s="475">
        <v>43488</v>
      </c>
      <c r="AQ54" s="475">
        <v>43489</v>
      </c>
      <c r="AR54" s="475">
        <v>43490</v>
      </c>
      <c r="AS54" s="475">
        <v>43491</v>
      </c>
      <c r="AT54" s="475">
        <v>43492</v>
      </c>
      <c r="AU54" s="475">
        <v>43493</v>
      </c>
      <c r="AV54" s="475">
        <v>43494</v>
      </c>
      <c r="AW54" s="475">
        <v>43495</v>
      </c>
      <c r="AX54" s="475">
        <v>43496</v>
      </c>
    </row>
    <row r="55" spans="2:57" s="54" customFormat="1" ht="36.75" customHeight="1" thickBot="1">
      <c r="B55" s="456" t="str">
        <f>J40</f>
        <v>CARIB</v>
      </c>
      <c r="C55" s="479">
        <v>46294</v>
      </c>
      <c r="D55" s="445">
        <f>[18]September_2026!$AF$3</f>
        <v>500</v>
      </c>
      <c r="E55" s="443"/>
      <c r="F55" s="444"/>
      <c r="G55" s="444">
        <f>[18]September_2026!$AF$7</f>
        <v>468.1</v>
      </c>
      <c r="H55" s="458"/>
      <c r="I55" s="458"/>
      <c r="J55" s="448" t="s">
        <v>169</v>
      </c>
      <c r="K55" s="449">
        <f>[19]September_2026!$AF$18</f>
        <v>0.41061403508771932</v>
      </c>
      <c r="L55" s="457">
        <f>(((D55+E55)-G55)/(D55+E55))*100</f>
        <v>6.3799999999999955</v>
      </c>
      <c r="M55" s="455" t="s">
        <v>170</v>
      </c>
      <c r="N55" s="13"/>
      <c r="O55" s="13"/>
      <c r="P55" s="50"/>
      <c r="R55" s="275"/>
      <c r="S55" s="275"/>
      <c r="T55" s="275"/>
      <c r="U55" s="275"/>
      <c r="V55" s="275"/>
      <c r="W55" s="275"/>
      <c r="X55" s="275"/>
      <c r="Y55" s="275"/>
      <c r="Z55" s="275"/>
      <c r="AA55" s="275"/>
      <c r="AB55" s="57">
        <f>[17]January_2019!L5</f>
        <v>0</v>
      </c>
      <c r="AC55" s="57">
        <f>[17]January_2019!M5</f>
        <v>0</v>
      </c>
      <c r="AD55" s="57">
        <f>[17]January_2019!N5</f>
        <v>0</v>
      </c>
      <c r="AE55" s="57">
        <f>[17]January_2019!O5</f>
        <v>0</v>
      </c>
      <c r="AF55" s="57">
        <f>[17]January_2019!P5</f>
        <v>0</v>
      </c>
      <c r="AG55" s="57">
        <f>[17]January_2019!Q5</f>
        <v>0</v>
      </c>
      <c r="AH55" s="57">
        <f>[17]January_2019!R5</f>
        <v>0</v>
      </c>
      <c r="AI55" s="57">
        <f>[17]January_2019!S5</f>
        <v>0</v>
      </c>
      <c r="AJ55" s="57">
        <f>[17]January_2019!T5</f>
        <v>0</v>
      </c>
      <c r="AK55" s="57">
        <f>[17]January_2019!U5</f>
        <v>0</v>
      </c>
      <c r="AL55" s="57">
        <f>[17]January_2019!V5</f>
        <v>0</v>
      </c>
      <c r="AM55" s="57">
        <f>[17]January_2019!W5</f>
        <v>0</v>
      </c>
      <c r="AN55" s="57">
        <f>[17]January_2019!X5</f>
        <v>0</v>
      </c>
      <c r="AO55" s="57">
        <f>[17]January_2019!Y5</f>
        <v>0</v>
      </c>
      <c r="AP55" s="57">
        <f>[17]January_2019!Z5</f>
        <v>0</v>
      </c>
      <c r="AQ55" s="57">
        <f>[17]January_2019!AA5</f>
        <v>0</v>
      </c>
      <c r="AR55" s="57">
        <f>[17]January_2019!AB5</f>
        <v>0</v>
      </c>
      <c r="AS55" s="57">
        <f>[17]January_2019!AC5</f>
        <v>0</v>
      </c>
      <c r="AT55" s="57">
        <f>[17]January_2019!AD5</f>
        <v>0</v>
      </c>
      <c r="AU55" s="57">
        <f>[17]January_2019!AE5</f>
        <v>0</v>
      </c>
      <c r="AV55" s="57">
        <f>[17]January_2019!AF5</f>
        <v>0</v>
      </c>
      <c r="AW55" s="57">
        <f>[17]January_2019!AG5</f>
        <v>0</v>
      </c>
      <c r="AX55" s="277">
        <f>[17]January_2019!AH5</f>
        <v>0</v>
      </c>
      <c r="AY55" s="277"/>
      <c r="AZ55" s="277"/>
      <c r="BA55" s="277"/>
      <c r="BB55" s="277"/>
      <c r="BC55" s="277"/>
      <c r="BD55" s="277"/>
      <c r="BE55" s="277"/>
    </row>
    <row r="56" spans="2:57" s="54" customFormat="1" ht="14.25" hidden="1" customHeight="1" thickBot="1">
      <c r="B56" s="480"/>
      <c r="C56" s="479"/>
      <c r="D56" s="442"/>
      <c r="E56" s="443"/>
      <c r="F56" s="444"/>
      <c r="G56" s="445"/>
      <c r="H56" s="458"/>
      <c r="I56" s="458"/>
      <c r="J56" s="476"/>
      <c r="K56" s="449"/>
      <c r="L56" s="457"/>
      <c r="M56" s="455"/>
      <c r="N56" s="13"/>
      <c r="O56" s="13"/>
      <c r="P56" s="50"/>
      <c r="R56" s="275"/>
      <c r="S56" s="275"/>
      <c r="T56" s="275"/>
      <c r="U56" s="275"/>
      <c r="V56" s="275"/>
      <c r="W56" s="275"/>
      <c r="X56" s="275"/>
      <c r="Y56" s="275"/>
      <c r="Z56" s="275"/>
      <c r="AA56" s="275"/>
      <c r="AB56" s="57">
        <f>[17]January_2019!L6</f>
        <v>0</v>
      </c>
      <c r="AC56" s="57">
        <f>[17]January_2019!M6</f>
        <v>0</v>
      </c>
      <c r="AD56" s="57">
        <f>[17]January_2019!N6</f>
        <v>0</v>
      </c>
      <c r="AE56" s="57">
        <f>[17]January_2019!O6</f>
        <v>0</v>
      </c>
      <c r="AF56" s="57">
        <f>[17]January_2019!P6</f>
        <v>0</v>
      </c>
      <c r="AG56" s="57">
        <f>[17]January_2019!Q6</f>
        <v>0</v>
      </c>
      <c r="AH56" s="57">
        <f>[17]January_2019!R6</f>
        <v>0</v>
      </c>
      <c r="AI56" s="57">
        <f>[17]January_2019!S6</f>
        <v>0</v>
      </c>
      <c r="AJ56" s="57">
        <f>[17]January_2019!T6</f>
        <v>0</v>
      </c>
      <c r="AK56" s="57">
        <f>[17]January_2019!U6</f>
        <v>0</v>
      </c>
      <c r="AL56" s="57">
        <f>[17]January_2019!V6</f>
        <v>0</v>
      </c>
      <c r="AM56" s="57">
        <f>[17]January_2019!W6</f>
        <v>0</v>
      </c>
      <c r="AN56" s="57">
        <f>[17]January_2019!X6</f>
        <v>0</v>
      </c>
      <c r="AO56" s="57">
        <f>[17]January_2019!Y6</f>
        <v>0</v>
      </c>
      <c r="AP56" s="57">
        <f>[17]January_2019!Z6</f>
        <v>0</v>
      </c>
      <c r="AQ56" s="57">
        <f>[17]January_2019!AA6</f>
        <v>0</v>
      </c>
      <c r="AR56" s="57">
        <f>[17]January_2019!AB6</f>
        <v>0</v>
      </c>
      <c r="AS56" s="57">
        <f>[17]January_2019!AC6</f>
        <v>0</v>
      </c>
      <c r="AT56" s="57">
        <f>[17]January_2019!AD6</f>
        <v>0</v>
      </c>
      <c r="AU56" s="57">
        <f>[17]January_2019!AE6</f>
        <v>0</v>
      </c>
      <c r="AV56" s="57">
        <f>[17]January_2019!AF6</f>
        <v>0</v>
      </c>
      <c r="AW56" s="57">
        <f>[17]January_2019!AG6</f>
        <v>0</v>
      </c>
      <c r="AX56" s="277">
        <f>[17]January_2019!AH6</f>
        <v>0</v>
      </c>
      <c r="AY56" s="277"/>
      <c r="AZ56" s="277"/>
      <c r="BA56" s="277"/>
      <c r="BB56" s="277"/>
      <c r="BC56" s="277"/>
      <c r="BD56" s="277"/>
      <c r="BE56" s="277"/>
    </row>
    <row r="57" spans="2:57" s="54" customFormat="1" ht="37.15" hidden="1" customHeight="1" thickBot="1">
      <c r="B57" s="491" t="str">
        <f>J41</f>
        <v>STAG</v>
      </c>
      <c r="C57" s="479">
        <v>46287</v>
      </c>
      <c r="D57" s="442">
        <f>[18]September_2026!$Y$13</f>
        <v>190.70000000000002</v>
      </c>
      <c r="E57" s="443"/>
      <c r="F57" s="444"/>
      <c r="G57" s="444">
        <f>[18]September_2026!$Y$17</f>
        <v>184.3</v>
      </c>
      <c r="H57" s="446"/>
      <c r="I57" s="446"/>
      <c r="J57" s="448" t="s">
        <v>174</v>
      </c>
      <c r="K57" s="449">
        <f>[19]September_2026!$Y$25</f>
        <v>0.64666666666666672</v>
      </c>
      <c r="L57" s="457">
        <f>(((D57+E57)-G57)/(D57+E57))*100</f>
        <v>3.3560566334556925</v>
      </c>
      <c r="M57" s="455" t="s">
        <v>176</v>
      </c>
      <c r="N57" s="13"/>
      <c r="O57" s="13"/>
      <c r="P57" s="50"/>
      <c r="R57" s="275"/>
      <c r="S57" s="275"/>
      <c r="T57" s="275"/>
      <c r="U57" s="275"/>
      <c r="V57" s="275"/>
      <c r="W57" s="275"/>
      <c r="X57" s="275"/>
      <c r="Y57" s="275"/>
      <c r="Z57" s="275"/>
      <c r="AA57" s="275"/>
      <c r="AB57" s="57">
        <f>[17]January_2019!L7</f>
        <v>285.8</v>
      </c>
      <c r="AC57" s="57">
        <f>[17]January_2019!M7</f>
        <v>508.1</v>
      </c>
      <c r="AD57" s="57">
        <f>[17]January_2019!N7</f>
        <v>0</v>
      </c>
      <c r="AE57" s="57">
        <f>[17]January_2019!O7</f>
        <v>0</v>
      </c>
      <c r="AF57" s="57">
        <f>[17]January_2019!P7</f>
        <v>109.56666666666666</v>
      </c>
      <c r="AG57" s="57">
        <f>[17]January_2019!Q7</f>
        <v>297.64999999999998</v>
      </c>
      <c r="AH57" s="57">
        <f>[17]January_2019!R7</f>
        <v>122.3</v>
      </c>
      <c r="AI57" s="57">
        <f>[17]January_2019!S7</f>
        <v>0</v>
      </c>
      <c r="AJ57" s="57">
        <f>[17]January_2019!T7</f>
        <v>294.7</v>
      </c>
      <c r="AK57" s="57">
        <f>[17]January_2019!U7</f>
        <v>280.5</v>
      </c>
      <c r="AL57" s="57">
        <f>[17]January_2019!V7</f>
        <v>0</v>
      </c>
      <c r="AM57" s="57">
        <f>[17]January_2019!W7</f>
        <v>0</v>
      </c>
      <c r="AN57" s="57">
        <f>[17]January_2019!X7</f>
        <v>188.25</v>
      </c>
      <c r="AO57" s="57">
        <f>[17]January_2019!Y7</f>
        <v>295.7</v>
      </c>
      <c r="AP57" s="57">
        <f>[17]January_2019!Z7</f>
        <v>257.8</v>
      </c>
      <c r="AQ57" s="57">
        <f>[17]January_2019!AA7</f>
        <v>291.2</v>
      </c>
      <c r="AR57" s="57">
        <f>[17]January_2019!AB7</f>
        <v>187</v>
      </c>
      <c r="AS57" s="57">
        <f>[17]January_2019!AC7</f>
        <v>0</v>
      </c>
      <c r="AT57" s="57">
        <f>[17]January_2019!AD7</f>
        <v>0</v>
      </c>
      <c r="AU57" s="57">
        <f>[17]January_2019!AE7</f>
        <v>485.1</v>
      </c>
      <c r="AV57" s="57">
        <f>[17]January_2019!AF7</f>
        <v>171.55</v>
      </c>
      <c r="AW57" s="57">
        <f>[17]January_2019!AG7</f>
        <v>423.8</v>
      </c>
      <c r="AX57" s="277">
        <f>[17]January_2019!AH7</f>
        <v>0</v>
      </c>
      <c r="AY57" s="277"/>
      <c r="AZ57" s="277"/>
      <c r="BA57" s="277"/>
      <c r="BB57" s="277"/>
      <c r="BC57" s="277"/>
      <c r="BD57" s="277"/>
      <c r="BE57" s="277"/>
    </row>
    <row r="58" spans="2:57" s="54" customFormat="1" ht="18.600000000000001" hidden="1" customHeight="1" thickBot="1">
      <c r="B58" s="478"/>
      <c r="C58" s="430"/>
      <c r="D58" s="431"/>
      <c r="E58" s="432"/>
      <c r="F58" s="433"/>
      <c r="G58" s="434"/>
      <c r="H58" s="458"/>
      <c r="I58" s="458"/>
      <c r="J58" s="451"/>
      <c r="K58" s="436"/>
      <c r="L58" s="452"/>
      <c r="M58" s="421"/>
      <c r="N58" s="13"/>
      <c r="O58" s="13"/>
      <c r="P58" s="50"/>
      <c r="R58" s="275"/>
      <c r="S58" s="275"/>
      <c r="T58" s="275"/>
      <c r="U58" s="275"/>
      <c r="V58" s="275"/>
      <c r="W58" s="275"/>
      <c r="X58" s="275"/>
      <c r="Y58" s="275"/>
      <c r="Z58" s="275"/>
      <c r="AA58" s="275"/>
      <c r="AB58" s="57"/>
      <c r="AC58" s="57"/>
      <c r="AD58" s="57"/>
      <c r="AE58" s="57"/>
      <c r="AF58" s="57"/>
      <c r="AG58" s="57"/>
      <c r="AH58" s="57"/>
      <c r="AI58" s="57"/>
      <c r="AJ58" s="57"/>
      <c r="AK58" s="57"/>
      <c r="AL58" s="57"/>
      <c r="AM58" s="57"/>
      <c r="AN58" s="57"/>
      <c r="AO58" s="57"/>
      <c r="AP58" s="57"/>
      <c r="AQ58" s="57"/>
      <c r="AR58" s="57"/>
      <c r="AS58" s="57"/>
      <c r="AT58" s="57"/>
      <c r="AU58" s="57"/>
      <c r="AV58" s="57"/>
      <c r="AW58" s="57"/>
      <c r="AX58" s="277"/>
      <c r="AY58" s="277"/>
      <c r="AZ58" s="277"/>
      <c r="BA58" s="277"/>
      <c r="BB58" s="277"/>
      <c r="BC58" s="277"/>
      <c r="BD58" s="277"/>
      <c r="BE58" s="277"/>
    </row>
    <row r="59" spans="2:57" s="54" customFormat="1" ht="38.65" hidden="1" customHeight="1" thickBot="1">
      <c r="B59" s="487"/>
      <c r="C59" s="479"/>
      <c r="D59" s="442"/>
      <c r="E59" s="443"/>
      <c r="F59" s="444"/>
      <c r="G59" s="445"/>
      <c r="H59" s="458"/>
      <c r="I59" s="458"/>
      <c r="J59" s="448"/>
      <c r="K59" s="459"/>
      <c r="L59" s="457"/>
      <c r="M59" s="455"/>
      <c r="N59" s="13"/>
      <c r="O59" s="13"/>
      <c r="P59" s="50"/>
      <c r="R59" s="275"/>
      <c r="S59" s="275"/>
      <c r="T59" s="275"/>
      <c r="U59" s="275"/>
      <c r="V59" s="275"/>
      <c r="W59" s="275"/>
      <c r="X59" s="275"/>
      <c r="Y59" s="275"/>
      <c r="Z59" s="275"/>
      <c r="AA59" s="275"/>
      <c r="AB59" s="57"/>
      <c r="AC59" s="57"/>
      <c r="AD59" s="57"/>
      <c r="AE59" s="57"/>
      <c r="AF59" s="57"/>
      <c r="AG59" s="57"/>
      <c r="AH59" s="57"/>
      <c r="AI59" s="57"/>
      <c r="AJ59" s="57"/>
      <c r="AK59" s="57"/>
      <c r="AL59" s="57"/>
      <c r="AM59" s="57"/>
      <c r="AN59" s="57"/>
      <c r="AO59" s="57"/>
      <c r="AP59" s="57"/>
      <c r="AQ59" s="57"/>
      <c r="AR59" s="57"/>
      <c r="AS59" s="57"/>
      <c r="AT59" s="57"/>
      <c r="AU59" s="57"/>
      <c r="AV59" s="57"/>
      <c r="AW59" s="57"/>
      <c r="AX59" s="277"/>
      <c r="AY59" s="277"/>
      <c r="AZ59" s="277"/>
      <c r="BA59" s="277"/>
      <c r="BB59" s="277"/>
      <c r="BC59" s="277"/>
      <c r="BD59" s="277"/>
      <c r="BE59" s="277"/>
    </row>
    <row r="60" spans="2:57" s="54" customFormat="1" ht="15" hidden="1">
      <c r="B60" s="453"/>
      <c r="C60" s="430"/>
      <c r="D60" s="431"/>
      <c r="E60" s="432"/>
      <c r="F60" s="433"/>
      <c r="G60" s="434"/>
      <c r="H60" s="435"/>
      <c r="I60" s="450"/>
      <c r="J60" s="451"/>
      <c r="K60" s="436"/>
      <c r="L60" s="452"/>
      <c r="M60" s="421"/>
      <c r="N60" s="13"/>
      <c r="O60" s="13"/>
      <c r="P60" s="50"/>
      <c r="R60" s="275"/>
      <c r="S60" s="275"/>
      <c r="T60" s="275"/>
      <c r="U60" s="275"/>
      <c r="V60" s="275"/>
      <c r="W60" s="275"/>
      <c r="X60" s="275"/>
      <c r="Y60" s="275"/>
      <c r="Z60" s="275"/>
      <c r="AA60" s="275"/>
      <c r="AB60" s="57"/>
      <c r="AC60" s="57"/>
      <c r="AD60" s="57"/>
      <c r="AE60" s="57"/>
      <c r="AF60" s="57"/>
      <c r="AG60" s="57"/>
      <c r="AH60" s="57"/>
      <c r="AI60" s="57"/>
      <c r="AJ60" s="57"/>
      <c r="AK60" s="57"/>
      <c r="AL60" s="57"/>
      <c r="AM60" s="57"/>
      <c r="AN60" s="57"/>
      <c r="AO60" s="57"/>
      <c r="AP60" s="57"/>
      <c r="AQ60" s="57"/>
      <c r="AR60" s="57"/>
      <c r="AS60" s="57"/>
      <c r="AT60" s="57"/>
      <c r="AU60" s="57"/>
      <c r="AV60" s="57"/>
      <c r="AW60" s="57"/>
      <c r="AX60" s="277"/>
      <c r="AY60" s="277"/>
      <c r="AZ60" s="277"/>
      <c r="BA60" s="277"/>
      <c r="BB60" s="277"/>
      <c r="BC60" s="277"/>
      <c r="BD60" s="277"/>
      <c r="BE60" s="277"/>
    </row>
    <row r="61" spans="2:57" s="54" customFormat="1" ht="37.15" hidden="1" customHeight="1" thickBot="1">
      <c r="B61" s="481"/>
      <c r="C61" s="479"/>
      <c r="D61" s="442"/>
      <c r="E61" s="443"/>
      <c r="F61" s="444"/>
      <c r="G61" s="445"/>
      <c r="H61" s="446"/>
      <c r="I61" s="447"/>
      <c r="J61" s="448"/>
      <c r="K61" s="449"/>
      <c r="L61" s="457"/>
      <c r="M61" s="455"/>
      <c r="N61" s="13"/>
      <c r="O61" s="13"/>
      <c r="P61" s="50"/>
      <c r="R61" s="275"/>
      <c r="S61" s="275"/>
      <c r="T61" s="275"/>
      <c r="U61" s="275"/>
      <c r="V61" s="275"/>
      <c r="W61" s="275"/>
      <c r="X61" s="275"/>
      <c r="Y61" s="275"/>
      <c r="Z61" s="275"/>
      <c r="AA61" s="275"/>
      <c r="AB61" s="57"/>
      <c r="AC61" s="57"/>
      <c r="AD61" s="57"/>
      <c r="AE61" s="57"/>
      <c r="AF61" s="57"/>
      <c r="AG61" s="57"/>
      <c r="AH61" s="57"/>
      <c r="AI61" s="57"/>
      <c r="AJ61" s="57"/>
      <c r="AK61" s="57"/>
      <c r="AL61" s="57"/>
      <c r="AM61" s="57"/>
      <c r="AN61" s="57"/>
      <c r="AO61" s="57"/>
      <c r="AP61" s="57"/>
      <c r="AQ61" s="57"/>
      <c r="AR61" s="57"/>
      <c r="AS61" s="57"/>
      <c r="AT61" s="57"/>
      <c r="AU61" s="57"/>
      <c r="AV61" s="57"/>
      <c r="AW61" s="57"/>
      <c r="AX61" s="277"/>
      <c r="AY61" s="277"/>
      <c r="AZ61" s="277"/>
      <c r="BA61" s="277"/>
      <c r="BB61" s="277"/>
      <c r="BC61" s="277"/>
      <c r="BD61" s="277"/>
      <c r="BE61" s="277"/>
    </row>
    <row r="62" spans="2:57" s="54" customFormat="1" ht="16.5" hidden="1" customHeight="1" thickBot="1">
      <c r="B62" s="437"/>
      <c r="C62" s="423"/>
      <c r="D62" s="424"/>
      <c r="E62" s="425"/>
      <c r="F62" s="426"/>
      <c r="G62" s="427"/>
      <c r="H62" s="428"/>
      <c r="I62" s="438"/>
      <c r="J62" s="439"/>
      <c r="K62" s="429"/>
      <c r="L62" s="440"/>
      <c r="M62" s="422"/>
      <c r="N62" s="13"/>
      <c r="O62" s="13"/>
      <c r="P62" s="50"/>
      <c r="R62" s="275"/>
      <c r="S62" s="275"/>
      <c r="T62" s="275"/>
      <c r="U62" s="275"/>
      <c r="V62" s="275"/>
      <c r="W62" s="275"/>
      <c r="X62" s="275"/>
      <c r="Y62" s="275"/>
      <c r="Z62" s="275"/>
      <c r="AA62" s="275"/>
      <c r="AB62" s="415"/>
      <c r="AC62" s="415"/>
      <c r="AD62" s="415"/>
      <c r="AE62" s="415"/>
      <c r="AF62" s="415"/>
      <c r="AG62" s="415"/>
      <c r="AH62" s="415"/>
      <c r="AI62" s="415"/>
      <c r="AJ62" s="415"/>
      <c r="AK62" s="415"/>
      <c r="AL62" s="415"/>
      <c r="AM62" s="415"/>
      <c r="AN62" s="415"/>
      <c r="AO62" s="415"/>
      <c r="AP62" s="415"/>
      <c r="AQ62" s="415"/>
      <c r="AR62" s="415"/>
      <c r="AS62" s="415"/>
      <c r="AT62" s="415"/>
      <c r="AU62" s="415"/>
      <c r="AV62" s="415"/>
      <c r="AW62" s="415"/>
    </row>
    <row r="63" spans="2:57" s="54" customFormat="1" ht="37.15" hidden="1" customHeight="1" thickBot="1">
      <c r="B63" s="456"/>
      <c r="C63" s="441"/>
      <c r="D63" s="442"/>
      <c r="E63" s="443"/>
      <c r="F63" s="444"/>
      <c r="G63" s="445"/>
      <c r="H63" s="446"/>
      <c r="I63" s="447"/>
      <c r="J63" s="448"/>
      <c r="K63" s="449"/>
      <c r="L63" s="457"/>
      <c r="M63" s="454"/>
      <c r="N63" s="13"/>
      <c r="O63" s="13"/>
      <c r="P63" s="50"/>
      <c r="R63" s="275"/>
      <c r="S63" s="275"/>
      <c r="T63" s="275"/>
      <c r="U63" s="275"/>
      <c r="V63" s="275"/>
      <c r="W63" s="275"/>
      <c r="X63" s="275"/>
      <c r="Y63" s="275"/>
      <c r="Z63" s="275"/>
      <c r="AA63" s="275"/>
      <c r="AB63" s="57"/>
      <c r="AC63" s="57"/>
      <c r="AD63" s="57"/>
      <c r="AE63" s="57"/>
      <c r="AF63" s="57"/>
      <c r="AG63" s="57"/>
      <c r="AH63" s="57"/>
      <c r="AI63" s="57"/>
      <c r="AJ63" s="57"/>
      <c r="AK63" s="57"/>
      <c r="AL63" s="57"/>
      <c r="AM63" s="57"/>
      <c r="AN63" s="57"/>
      <c r="AO63" s="57"/>
      <c r="AP63" s="57"/>
      <c r="AQ63" s="57"/>
      <c r="AR63" s="57"/>
      <c r="AS63" s="57"/>
      <c r="AT63" s="57"/>
      <c r="AU63" s="57"/>
      <c r="AV63" s="57"/>
      <c r="AW63" s="57"/>
      <c r="AX63" s="277"/>
      <c r="AY63" s="277"/>
      <c r="AZ63" s="277"/>
      <c r="BA63" s="277"/>
      <c r="BB63" s="277"/>
      <c r="BC63" s="277"/>
      <c r="BD63" s="277"/>
      <c r="BE63" s="277"/>
    </row>
    <row r="64" spans="2:57" s="54" customFormat="1" ht="37.15" customHeight="1">
      <c r="B64" s="466"/>
      <c r="C64" s="430"/>
      <c r="D64" s="460"/>
      <c r="E64" s="461"/>
      <c r="F64" s="462"/>
      <c r="G64" s="460"/>
      <c r="H64" s="463"/>
      <c r="I64" s="463"/>
      <c r="J64" s="463"/>
      <c r="K64" s="464"/>
      <c r="L64" s="465"/>
      <c r="M64" s="50"/>
      <c r="N64" s="13"/>
      <c r="O64" s="13"/>
      <c r="P64" s="50"/>
      <c r="R64" s="275"/>
      <c r="S64" s="275"/>
      <c r="T64" s="275"/>
      <c r="U64" s="275"/>
      <c r="V64" s="275"/>
      <c r="W64" s="275"/>
      <c r="X64" s="275"/>
      <c r="Y64" s="275"/>
      <c r="Z64" s="275"/>
      <c r="AA64" s="275"/>
      <c r="AB64" s="57"/>
      <c r="AC64" s="57"/>
      <c r="AD64" s="57"/>
      <c r="AE64" s="57"/>
      <c r="AF64" s="57"/>
      <c r="AG64" s="57"/>
      <c r="AH64" s="57"/>
      <c r="AI64" s="57"/>
      <c r="AJ64" s="57"/>
      <c r="AK64" s="57"/>
      <c r="AL64" s="57"/>
      <c r="AM64" s="57"/>
      <c r="AN64" s="57"/>
      <c r="AO64" s="57"/>
      <c r="AP64" s="57"/>
      <c r="AQ64" s="57"/>
      <c r="AR64" s="57"/>
      <c r="AS64" s="57"/>
      <c r="AT64" s="57"/>
      <c r="AU64" s="57"/>
      <c r="AV64" s="57"/>
      <c r="AW64" s="57"/>
      <c r="AX64" s="277"/>
      <c r="AY64" s="277"/>
      <c r="AZ64" s="277"/>
      <c r="BA64" s="277"/>
      <c r="BB64" s="277"/>
      <c r="BC64" s="277"/>
      <c r="BD64" s="277"/>
      <c r="BE64" s="277"/>
    </row>
    <row r="65" spans="2:16" ht="18" customHeight="1" thickBot="1">
      <c r="B65" s="59"/>
      <c r="C65" s="309"/>
      <c r="D65" s="59"/>
      <c r="E65" s="59"/>
      <c r="F65" s="59"/>
      <c r="G65" s="59"/>
      <c r="H65" s="59"/>
      <c r="I65" s="59"/>
      <c r="J65" s="59"/>
      <c r="K65" s="59"/>
      <c r="L65" s="59"/>
      <c r="M65" s="59"/>
      <c r="N65" s="59" t="s">
        <v>41</v>
      </c>
      <c r="O65" s="56"/>
      <c r="P65" s="60"/>
    </row>
    <row r="66" spans="2:16" ht="15.75" thickBot="1">
      <c r="B66" s="499" t="s">
        <v>55</v>
      </c>
      <c r="C66" s="500"/>
      <c r="D66" s="500"/>
      <c r="E66" s="500"/>
      <c r="F66" s="501"/>
      <c r="G66" s="499" t="s">
        <v>56</v>
      </c>
      <c r="H66" s="500"/>
      <c r="I66" s="500"/>
      <c r="J66" s="501"/>
      <c r="K66" s="499" t="s">
        <v>51</v>
      </c>
      <c r="L66" s="500"/>
      <c r="M66" s="500"/>
      <c r="N66" s="502"/>
      <c r="O66" s="56"/>
      <c r="P66" s="50"/>
    </row>
    <row r="67" spans="2:16" ht="15">
      <c r="B67" s="61" t="s">
        <v>17</v>
      </c>
      <c r="C67" s="62" t="s">
        <v>36</v>
      </c>
      <c r="D67" s="62" t="s">
        <v>37</v>
      </c>
      <c r="E67" s="62" t="s">
        <v>38</v>
      </c>
      <c r="F67" s="63" t="s">
        <v>39</v>
      </c>
      <c r="G67" s="62" t="s">
        <v>36</v>
      </c>
      <c r="H67" s="62" t="s">
        <v>37</v>
      </c>
      <c r="I67" s="62" t="s">
        <v>38</v>
      </c>
      <c r="J67" s="63" t="s">
        <v>39</v>
      </c>
      <c r="K67" s="62" t="s">
        <v>36</v>
      </c>
      <c r="L67" s="62" t="s">
        <v>37</v>
      </c>
      <c r="M67" s="62" t="s">
        <v>38</v>
      </c>
      <c r="N67" s="63" t="s">
        <v>39</v>
      </c>
      <c r="O67" s="56"/>
      <c r="P67" s="64"/>
    </row>
    <row r="68" spans="2:16" ht="15">
      <c r="B68" s="29" t="s">
        <v>6</v>
      </c>
      <c r="C68" s="65">
        <f>L55</f>
        <v>6.3799999999999955</v>
      </c>
      <c r="D68" s="76">
        <v>6.5070971580288672</v>
      </c>
      <c r="E68" s="76">
        <v>6.5170500907693674</v>
      </c>
      <c r="F68" s="66">
        <v>4.8</v>
      </c>
      <c r="G68" s="65"/>
      <c r="H68" s="477">
        <v>5.7910975261786639</v>
      </c>
      <c r="I68" s="477">
        <v>6.5511187503051573</v>
      </c>
      <c r="J68" s="66">
        <v>4.8</v>
      </c>
      <c r="K68" s="67">
        <f>K55</f>
        <v>0.41061403508771932</v>
      </c>
      <c r="L68" s="194">
        <v>0.63326855600539822</v>
      </c>
      <c r="M68" s="194">
        <v>0.53908627189124969</v>
      </c>
      <c r="N68" s="68">
        <v>1</v>
      </c>
      <c r="O68" s="56"/>
      <c r="P68" s="69"/>
    </row>
    <row r="69" spans="2:16" ht="15">
      <c r="B69" s="33" t="s">
        <v>9</v>
      </c>
      <c r="C69" s="65"/>
      <c r="D69" s="76">
        <v>6.720758239391091</v>
      </c>
      <c r="E69" s="76">
        <v>5.8780358526209691</v>
      </c>
      <c r="F69" s="66">
        <v>4.8</v>
      </c>
      <c r="G69" s="65"/>
      <c r="H69" s="76">
        <v>5.7002127582026105</v>
      </c>
      <c r="I69" s="76">
        <v>5.9275658832823668</v>
      </c>
      <c r="J69" s="66">
        <v>4.8</v>
      </c>
      <c r="K69" s="67"/>
      <c r="L69" s="194">
        <v>0.55393918128654984</v>
      </c>
      <c r="M69" s="194">
        <v>0.6824652535868081</v>
      </c>
      <c r="N69" s="68">
        <v>1</v>
      </c>
      <c r="P69" s="69"/>
    </row>
    <row r="70" spans="2:16" ht="15">
      <c r="B70" s="34" t="s">
        <v>40</v>
      </c>
      <c r="C70" s="65"/>
      <c r="D70" s="76">
        <v>9.7338366703301844</v>
      </c>
      <c r="E70" s="76">
        <v>11.107064244881148</v>
      </c>
      <c r="F70" s="66">
        <v>5.5</v>
      </c>
      <c r="G70" s="65"/>
      <c r="H70" s="76">
        <v>11.68692680260043</v>
      </c>
      <c r="I70" s="76">
        <v>11.841805319797089</v>
      </c>
      <c r="J70" s="66">
        <v>5.5</v>
      </c>
      <c r="K70" s="67"/>
      <c r="L70" s="194"/>
      <c r="M70" s="194">
        <v>0.35370190356844494</v>
      </c>
      <c r="N70" s="68">
        <v>1</v>
      </c>
      <c r="P70" s="69"/>
    </row>
    <row r="71" spans="2:16" ht="15">
      <c r="B71" s="22" t="s">
        <v>33</v>
      </c>
      <c r="C71" s="65"/>
      <c r="D71" s="76"/>
      <c r="E71" s="76">
        <v>4.8685538193023836</v>
      </c>
      <c r="F71" s="66">
        <v>3.3</v>
      </c>
      <c r="G71" s="65"/>
      <c r="H71" s="76"/>
      <c r="I71" s="76">
        <v>4.8702525342252114</v>
      </c>
      <c r="J71" s="66">
        <v>3.3</v>
      </c>
      <c r="K71" s="67"/>
      <c r="L71" s="194"/>
      <c r="M71" s="194">
        <v>0.77919298245614044</v>
      </c>
      <c r="N71" s="68">
        <v>1</v>
      </c>
      <c r="P71" s="69"/>
    </row>
    <row r="72" spans="2:16" ht="15">
      <c r="B72" s="35" t="s">
        <v>164</v>
      </c>
      <c r="C72" s="65"/>
      <c r="D72" s="76"/>
      <c r="E72" s="76"/>
      <c r="F72" s="66">
        <v>3.3</v>
      </c>
      <c r="G72" s="282"/>
      <c r="H72" s="76"/>
      <c r="I72" s="76"/>
      <c r="J72" s="66">
        <v>3</v>
      </c>
      <c r="K72" s="67"/>
      <c r="L72" s="194"/>
      <c r="M72" s="194"/>
      <c r="N72" s="68">
        <v>1</v>
      </c>
      <c r="P72" s="69"/>
    </row>
    <row r="73" spans="2:16" ht="15">
      <c r="B73" s="36" t="s">
        <v>15</v>
      </c>
      <c r="C73" s="65"/>
      <c r="D73" s="76">
        <v>6.8855672629257718</v>
      </c>
      <c r="E73" s="76">
        <v>6.3233965672990236</v>
      </c>
      <c r="F73" s="70">
        <v>5.5</v>
      </c>
      <c r="G73" s="65"/>
      <c r="H73" s="76">
        <v>7.4264332958762713</v>
      </c>
      <c r="I73" s="76">
        <v>7.9667553186446929</v>
      </c>
      <c r="J73" s="66">
        <v>5.5</v>
      </c>
      <c r="K73" s="67"/>
      <c r="L73" s="194">
        <v>0.391812865497076</v>
      </c>
      <c r="M73" s="194">
        <v>0.5883625730994152</v>
      </c>
      <c r="N73" s="68">
        <v>1</v>
      </c>
      <c r="P73" s="69"/>
    </row>
    <row r="74" spans="2:16" ht="15">
      <c r="B74" s="37" t="s">
        <v>16</v>
      </c>
      <c r="C74" s="482"/>
      <c r="D74" s="76"/>
      <c r="E74" s="76">
        <v>3.6168923014750334</v>
      </c>
      <c r="F74" s="66">
        <v>3.3</v>
      </c>
      <c r="G74" s="282"/>
      <c r="H74" s="76"/>
      <c r="I74" s="76">
        <v>5.0091179718082053</v>
      </c>
      <c r="J74" s="66">
        <v>3.3</v>
      </c>
      <c r="K74" s="67"/>
      <c r="L74" s="194"/>
      <c r="M74" s="194">
        <v>0.92642300194931759</v>
      </c>
      <c r="N74" s="71">
        <v>1</v>
      </c>
      <c r="P74" s="69"/>
    </row>
    <row r="75" spans="2:16" ht="15.75" thickBot="1">
      <c r="B75" s="38" t="s">
        <v>163</v>
      </c>
      <c r="C75" s="65"/>
      <c r="D75" s="76"/>
      <c r="E75" s="76"/>
      <c r="F75" s="66">
        <v>7.5</v>
      </c>
      <c r="G75" s="282"/>
      <c r="H75" s="76"/>
      <c r="I75" s="76"/>
      <c r="J75" s="66">
        <v>7.5</v>
      </c>
      <c r="K75" s="67"/>
      <c r="L75" s="194"/>
      <c r="M75" s="194"/>
      <c r="N75" s="71">
        <v>1</v>
      </c>
      <c r="P75" s="69"/>
    </row>
    <row r="76" spans="2:16" ht="15.75" thickBot="1">
      <c r="B76" s="414" t="s">
        <v>161</v>
      </c>
      <c r="C76" s="65"/>
      <c r="D76" s="76"/>
      <c r="E76" s="76"/>
      <c r="F76" s="66">
        <v>4.8</v>
      </c>
      <c r="G76" s="282"/>
      <c r="H76" s="76"/>
      <c r="I76" s="76"/>
      <c r="J76" s="66">
        <v>4.8</v>
      </c>
      <c r="K76" s="67"/>
      <c r="L76" s="194"/>
      <c r="M76" s="194"/>
      <c r="N76" s="71">
        <v>1</v>
      </c>
      <c r="O76" s="74"/>
      <c r="P76" s="75"/>
    </row>
    <row r="77" spans="2:16" ht="15">
      <c r="D77" s="76">
        <v>6.7751741533263203</v>
      </c>
      <c r="E77" s="76">
        <v>6.3779022497499271</v>
      </c>
      <c r="F77" s="341">
        <v>5.5</v>
      </c>
      <c r="H77" s="76">
        <v>6.4685925437861984</v>
      </c>
      <c r="I77" s="76">
        <v>6.6726976479954017</v>
      </c>
      <c r="J77" s="341">
        <v>5.5</v>
      </c>
      <c r="L77" s="194">
        <v>0.57988693957115023</v>
      </c>
      <c r="M77" s="194">
        <v>0.59631287930462207</v>
      </c>
      <c r="N77" s="386">
        <v>1</v>
      </c>
    </row>
  </sheetData>
  <mergeCells count="51">
    <mergeCell ref="M53:M54"/>
    <mergeCell ref="B66:F66"/>
    <mergeCell ref="G66:J66"/>
    <mergeCell ref="K66:N66"/>
    <mergeCell ref="G53:G54"/>
    <mergeCell ref="H53:H54"/>
    <mergeCell ref="I53:I54"/>
    <mergeCell ref="J53:J54"/>
    <mergeCell ref="K53:K54"/>
    <mergeCell ref="L53:L54"/>
    <mergeCell ref="D48:E48"/>
    <mergeCell ref="B53:B54"/>
    <mergeCell ref="C53:C54"/>
    <mergeCell ref="D53:D54"/>
    <mergeCell ref="E53:E54"/>
    <mergeCell ref="F53:F54"/>
    <mergeCell ref="B38:B47"/>
    <mergeCell ref="D38:E39"/>
    <mergeCell ref="J38:K38"/>
    <mergeCell ref="L39:N39"/>
    <mergeCell ref="D40:E41"/>
    <mergeCell ref="D42:E43"/>
    <mergeCell ref="D44:E45"/>
    <mergeCell ref="D46:E47"/>
    <mergeCell ref="I24:N24"/>
    <mergeCell ref="D25:E25"/>
    <mergeCell ref="B26:B37"/>
    <mergeCell ref="D26:E27"/>
    <mergeCell ref="D28:E29"/>
    <mergeCell ref="D30:E31"/>
    <mergeCell ref="D32:E33"/>
    <mergeCell ref="D34:E35"/>
    <mergeCell ref="D36:E37"/>
    <mergeCell ref="I8:I9"/>
    <mergeCell ref="J8:J9"/>
    <mergeCell ref="K8:K9"/>
    <mergeCell ref="L8:L9"/>
    <mergeCell ref="O8:O9"/>
    <mergeCell ref="P8:P9"/>
    <mergeCell ref="C5:D5"/>
    <mergeCell ref="B8:B9"/>
    <mergeCell ref="C8:C9"/>
    <mergeCell ref="D8:D9"/>
    <mergeCell ref="G8:G9"/>
    <mergeCell ref="H8:H9"/>
    <mergeCell ref="S1:T1"/>
    <mergeCell ref="U1:V1"/>
    <mergeCell ref="W1:X1"/>
    <mergeCell ref="Y1:Z1"/>
    <mergeCell ref="B2:O2"/>
    <mergeCell ref="M4:N4"/>
  </mergeCells>
  <conditionalFormatting sqref="B48:B49">
    <cfRule type="cellIs" dxfId="202" priority="114" operator="notBetween">
      <formula>#REF!</formula>
      <formula>#REF!</formula>
    </cfRule>
  </conditionalFormatting>
  <conditionalFormatting sqref="C52">
    <cfRule type="cellIs" dxfId="200" priority="196" stopIfTrue="1" operator="lessThan">
      <formula>96</formula>
    </cfRule>
    <cfRule type="cellIs" dxfId="201" priority="197" stopIfTrue="1" operator="greaterThan">
      <formula>100</formula>
    </cfRule>
  </conditionalFormatting>
  <conditionalFormatting sqref="C68:C69">
    <cfRule type="cellIs" dxfId="199" priority="77" stopIfTrue="1" operator="greaterThan">
      <formula>$F68</formula>
    </cfRule>
    <cfRule type="cellIs" dxfId="196" priority="78" stopIfTrue="1" operator="lessThanOrEqual">
      <formula>0</formula>
    </cfRule>
    <cfRule type="cellIs" dxfId="198" priority="79" stopIfTrue="1" operator="greaterThan">
      <formula>$F68</formula>
    </cfRule>
    <cfRule type="cellIs" dxfId="197" priority="80" stopIfTrue="1" operator="lessThanOrEqual">
      <formula>0</formula>
    </cfRule>
  </conditionalFormatting>
  <conditionalFormatting sqref="C70:C72 C74:C76">
    <cfRule type="cellIs" dxfId="195" priority="86" stopIfTrue="1" operator="greaterThan">
      <formula>$F73</formula>
    </cfRule>
  </conditionalFormatting>
  <conditionalFormatting sqref="C70:C72">
    <cfRule type="cellIs" dxfId="194" priority="87" stopIfTrue="1" operator="lessThanOrEqual">
      <formula>0</formula>
    </cfRule>
  </conditionalFormatting>
  <conditionalFormatting sqref="C73">
    <cfRule type="cellIs" dxfId="193" priority="198" stopIfTrue="1" operator="greaterThan">
      <formula>$F68</formula>
    </cfRule>
    <cfRule type="cellIs" dxfId="190" priority="199" stopIfTrue="1" operator="lessThanOrEqual">
      <formula>0</formula>
    </cfRule>
    <cfRule type="cellIs" dxfId="191" priority="200" stopIfTrue="1" operator="greaterThan">
      <formula>$F68</formula>
    </cfRule>
    <cfRule type="cellIs" dxfId="192" priority="201" stopIfTrue="1" operator="lessThanOrEqual">
      <formula>0</formula>
    </cfRule>
  </conditionalFormatting>
  <conditionalFormatting sqref="C74:C76">
    <cfRule type="cellIs" dxfId="189" priority="88" stopIfTrue="1" operator="lessThanOrEqual">
      <formula>0</formula>
    </cfRule>
  </conditionalFormatting>
  <conditionalFormatting sqref="C79:C83">
    <cfRule type="cellIs" dxfId="188" priority="188" stopIfTrue="1" operator="lessThanOrEqual">
      <formula>0</formula>
    </cfRule>
  </conditionalFormatting>
  <conditionalFormatting sqref="C80:C83">
    <cfRule type="cellIs" dxfId="187" priority="187" stopIfTrue="1" operator="greaterThan">
      <formula>$F$79</formula>
    </cfRule>
  </conditionalFormatting>
  <conditionalFormatting sqref="C85">
    <cfRule type="cellIs" dxfId="186" priority="189" stopIfTrue="1" operator="greaterThan">
      <formula>$F$79</formula>
    </cfRule>
    <cfRule type="cellIs" dxfId="185" priority="190" stopIfTrue="1" operator="lessThanOrEqual">
      <formula>0</formula>
    </cfRule>
  </conditionalFormatting>
  <conditionalFormatting sqref="C73:D73">
    <cfRule type="cellIs" dxfId="184" priority="75" stopIfTrue="1" operator="greaterThan">
      <formula>$J73</formula>
    </cfRule>
    <cfRule type="cellIs" dxfId="183" priority="76" stopIfTrue="1" operator="lessThanOrEqual">
      <formula>0</formula>
    </cfRule>
  </conditionalFormatting>
  <conditionalFormatting sqref="C79:D79 D81:D87">
    <cfRule type="cellIs" dxfId="182" priority="182" stopIfTrue="1" operator="greaterThan">
      <formula>4.5</formula>
    </cfRule>
  </conditionalFormatting>
  <conditionalFormatting sqref="D48:D49">
    <cfRule type="cellIs" dxfId="181" priority="115" operator="notBetween">
      <formula>#REF!</formula>
      <formula>#REF!</formula>
    </cfRule>
  </conditionalFormatting>
  <conditionalFormatting sqref="D68:D72 D74:D75">
    <cfRule type="cellIs" dxfId="180" priority="85" stopIfTrue="1" operator="lessThanOrEqual">
      <formula>0</formula>
    </cfRule>
  </conditionalFormatting>
  <conditionalFormatting sqref="D68:D72 D74:D77">
    <cfRule type="cellIs" dxfId="178" priority="81" stopIfTrue="1" operator="lessThanOrEqual">
      <formula>0</formula>
    </cfRule>
    <cfRule type="cellIs" dxfId="179" priority="82" stopIfTrue="1" operator="greaterThan">
      <formula>$F68</formula>
    </cfRule>
  </conditionalFormatting>
  <conditionalFormatting sqref="D76:D77">
    <cfRule type="cellIs" dxfId="177" priority="83" stopIfTrue="1" operator="lessThanOrEqual">
      <formula>0</formula>
    </cfRule>
  </conditionalFormatting>
  <conditionalFormatting sqref="D77">
    <cfRule type="cellIs" dxfId="176" priority="84" stopIfTrue="1" operator="lessThanOrEqual">
      <formula>0</formula>
    </cfRule>
  </conditionalFormatting>
  <conditionalFormatting sqref="D79 D81:D87">
    <cfRule type="cellIs" dxfId="175" priority="183" stopIfTrue="1" operator="lessThanOrEqual">
      <formula>0</formula>
    </cfRule>
  </conditionalFormatting>
  <conditionalFormatting sqref="D80">
    <cfRule type="cellIs" dxfId="174" priority="174" stopIfTrue="1" operator="greaterThan">
      <formula>$F$79</formula>
    </cfRule>
    <cfRule type="cellIs" dxfId="173" priority="175" stopIfTrue="1" operator="lessThanOrEqual">
      <formula>0</formula>
    </cfRule>
  </conditionalFormatting>
  <conditionalFormatting sqref="E19:E23">
    <cfRule type="cellIs" dxfId="172" priority="19" operator="lessThan">
      <formula>48</formula>
    </cfRule>
  </conditionalFormatting>
  <conditionalFormatting sqref="E51 E52:F52">
    <cfRule type="cellIs" dxfId="171" priority="179" stopIfTrue="1" operator="greaterThan">
      <formula>100</formula>
    </cfRule>
  </conditionalFormatting>
  <conditionalFormatting sqref="E52">
    <cfRule type="cellIs" dxfId="169" priority="176" stopIfTrue="1" operator="lessThan">
      <formula>96.8</formula>
    </cfRule>
    <cfRule type="cellIs" dxfId="170" priority="177" stopIfTrue="1" operator="greaterThan">
      <formula>100</formula>
    </cfRule>
  </conditionalFormatting>
  <conditionalFormatting sqref="E68:E76">
    <cfRule type="cellIs" dxfId="168" priority="48" stopIfTrue="1" operator="lessThanOrEqual">
      <formula>0</formula>
    </cfRule>
  </conditionalFormatting>
  <conditionalFormatting sqref="E68:E77">
    <cfRule type="cellIs" dxfId="167" priority="49" stopIfTrue="1" operator="greaterThan">
      <formula>$F68</formula>
    </cfRule>
    <cfRule type="cellIs" dxfId="166" priority="50" stopIfTrue="1" operator="lessThanOrEqual">
      <formula>0</formula>
    </cfRule>
  </conditionalFormatting>
  <conditionalFormatting sqref="E77">
    <cfRule type="cellIs" dxfId="165" priority="51" stopIfTrue="1" operator="lessThanOrEqual">
      <formula>0</formula>
    </cfRule>
  </conditionalFormatting>
  <conditionalFormatting sqref="E79:E87">
    <cfRule type="cellIs" dxfId="164" priority="168" stopIfTrue="1" operator="greaterThan">
      <formula>4.5</formula>
    </cfRule>
    <cfRule type="cellIs" dxfId="163" priority="169" stopIfTrue="1" operator="lessThanOrEqual">
      <formula>0</formula>
    </cfRule>
  </conditionalFormatting>
  <conditionalFormatting sqref="E52:F52 E51">
    <cfRule type="cellIs" dxfId="162" priority="178" stopIfTrue="1" operator="lessThan">
      <formula>96.5</formula>
    </cfRule>
  </conditionalFormatting>
  <conditionalFormatting sqref="F21:F23">
    <cfRule type="cellIs" dxfId="161" priority="20" operator="greaterThan">
      <formula>60</formula>
    </cfRule>
  </conditionalFormatting>
  <conditionalFormatting sqref="F52">
    <cfRule type="cellIs" dxfId="160" priority="194" stopIfTrue="1" operator="lessThan">
      <formula>96.8</formula>
    </cfRule>
    <cfRule type="cellIs" dxfId="159" priority="195" stopIfTrue="1" operator="greaterThan">
      <formula>100</formula>
    </cfRule>
  </conditionalFormatting>
  <conditionalFormatting sqref="G19:G20 G23">
    <cfRule type="expression" dxfId="158" priority="22">
      <formula>IF(+(IF(G19&lt;S19,0,IF(G19&gt;T19,0,1)))=0,1)</formula>
    </cfRule>
  </conditionalFormatting>
  <conditionalFormatting sqref="G68:G71 F77">
    <cfRule type="cellIs" dxfId="157" priority="57" stopIfTrue="1" operator="greaterThan">
      <formula>$F68</formula>
    </cfRule>
    <cfRule type="cellIs" dxfId="156" priority="58" stopIfTrue="1" operator="lessThanOrEqual">
      <formula>0</formula>
    </cfRule>
  </conditionalFormatting>
  <conditionalFormatting sqref="G70:G71">
    <cfRule type="cellIs" dxfId="154" priority="43" stopIfTrue="1" operator="greaterThan">
      <formula>$F70</formula>
    </cfRule>
    <cfRule type="cellIs" dxfId="155" priority="44" stopIfTrue="1" operator="lessThanOrEqual">
      <formula>0</formula>
    </cfRule>
  </conditionalFormatting>
  <conditionalFormatting sqref="G72:G76">
    <cfRule type="cellIs" dxfId="152" priority="59" stopIfTrue="1" operator="greaterThan">
      <formula>$J72</formula>
    </cfRule>
    <cfRule type="cellIs" dxfId="153" priority="60" stopIfTrue="1" operator="lessThanOrEqual">
      <formula>0</formula>
    </cfRule>
  </conditionalFormatting>
  <conditionalFormatting sqref="G73">
    <cfRule type="cellIs" dxfId="151" priority="202" stopIfTrue="1" operator="greaterThan">
      <formula>$F68</formula>
    </cfRule>
    <cfRule type="cellIs" dxfId="150" priority="203" stopIfTrue="1" operator="lessThanOrEqual">
      <formula>0</formula>
    </cfRule>
  </conditionalFormatting>
  <conditionalFormatting sqref="G81:G86 C84 C86">
    <cfRule type="cellIs" dxfId="148" priority="191" stopIfTrue="1" operator="greaterThan">
      <formula>4.5</formula>
    </cfRule>
    <cfRule type="cellIs" dxfId="149" priority="192" stopIfTrue="1" operator="lessThanOrEqual">
      <formula>0</formula>
    </cfRule>
  </conditionalFormatting>
  <conditionalFormatting sqref="G80:H80">
    <cfRule type="cellIs" dxfId="146" priority="172" stopIfTrue="1" operator="greaterThan">
      <formula>$F$79</formula>
    </cfRule>
    <cfRule type="cellIs" dxfId="147" priority="173" stopIfTrue="1" operator="lessThanOrEqual">
      <formula>0</formula>
    </cfRule>
  </conditionalFormatting>
  <conditionalFormatting sqref="H19:H23 G21:G22 M21:N22">
    <cfRule type="expression" dxfId="145" priority="23">
      <formula>IF(+(IF(G19&lt;#REF!,0,IF(G19&gt;#REF!,0,1)))=0,1)</formula>
    </cfRule>
  </conditionalFormatting>
  <conditionalFormatting sqref="H37:H38 H51">
    <cfRule type="cellIs" dxfId="144" priority="170" stopIfTrue="1" operator="greaterThan">
      <formula>0</formula>
    </cfRule>
  </conditionalFormatting>
  <conditionalFormatting sqref="H55">
    <cfRule type="cellIs" dxfId="139" priority="62" stopIfTrue="1" operator="lessThanOrEqual">
      <formula>0</formula>
    </cfRule>
    <cfRule type="cellIs" dxfId="143" priority="63" stopIfTrue="1" operator="greaterThan">
      <formula>$F$68</formula>
    </cfRule>
    <cfRule type="cellIs" dxfId="142" priority="71" stopIfTrue="1" operator="greaterThan">
      <formula>$F$71</formula>
    </cfRule>
    <cfRule type="cellIs" dxfId="141" priority="72" stopIfTrue="1" operator="lessThanOrEqual">
      <formula>0</formula>
    </cfRule>
    <cfRule type="cellIs" dxfId="140" priority="73" stopIfTrue="1" operator="greaterThan">
      <formula>$F$69</formula>
    </cfRule>
  </conditionalFormatting>
  <conditionalFormatting sqref="H55:H56">
    <cfRule type="cellIs" dxfId="138" priority="74" stopIfTrue="1" operator="lessThanOrEqual">
      <formula>0</formula>
    </cfRule>
  </conditionalFormatting>
  <conditionalFormatting sqref="H56 H58:H59">
    <cfRule type="cellIs" dxfId="137" priority="100" stopIfTrue="1" operator="lessThanOrEqual">
      <formula>0</formula>
    </cfRule>
  </conditionalFormatting>
  <conditionalFormatting sqref="H56">
    <cfRule type="cellIs" dxfId="133" priority="89" stopIfTrue="1" operator="greaterThan">
      <formula>$F$68</formula>
    </cfRule>
    <cfRule type="cellIs" dxfId="136" priority="97" stopIfTrue="1" operator="greaterThan">
      <formula>$F$71</formula>
    </cfRule>
    <cfRule type="cellIs" dxfId="134" priority="98" stopIfTrue="1" operator="lessThanOrEqual">
      <formula>0</formula>
    </cfRule>
    <cfRule type="cellIs" dxfId="135" priority="99" stopIfTrue="1" operator="greaterThan">
      <formula>$F$69</formula>
    </cfRule>
  </conditionalFormatting>
  <conditionalFormatting sqref="H57">
    <cfRule type="cellIs" dxfId="132" priority="29" stopIfTrue="1" operator="lessThanOrEqual">
      <formula>0</formula>
    </cfRule>
    <cfRule type="cellIs" dxfId="131" priority="30" stopIfTrue="1" operator="greaterThan">
      <formula>$F$70</formula>
    </cfRule>
    <cfRule type="cellIs" dxfId="130" priority="38" stopIfTrue="1" operator="greaterThan">
      <formula>$F$73</formula>
    </cfRule>
    <cfRule type="cellIs" dxfId="129" priority="39" stopIfTrue="1" operator="lessThanOrEqual">
      <formula>0</formula>
    </cfRule>
    <cfRule type="cellIs" dxfId="128" priority="40" stopIfTrue="1" operator="greaterThan">
      <formula>$F$71</formula>
    </cfRule>
    <cfRule type="cellIs" dxfId="127" priority="41" stopIfTrue="1" operator="lessThanOrEqual">
      <formula>0</formula>
    </cfRule>
  </conditionalFormatting>
  <conditionalFormatting sqref="H58:H59">
    <cfRule type="cellIs" dxfId="123" priority="102" stopIfTrue="1" operator="greaterThan">
      <formula>$F$68</formula>
    </cfRule>
    <cfRule type="cellIs" dxfId="124" priority="110" stopIfTrue="1" operator="greaterThan">
      <formula>$F$71</formula>
    </cfRule>
    <cfRule type="cellIs" dxfId="125" priority="111" stopIfTrue="1" operator="lessThanOrEqual">
      <formula>0</formula>
    </cfRule>
    <cfRule type="cellIs" dxfId="126" priority="112" stopIfTrue="1" operator="greaterThan">
      <formula>$F$69</formula>
    </cfRule>
    <cfRule type="cellIs" dxfId="122" priority="113" stopIfTrue="1" operator="lessThanOrEqual">
      <formula>0</formula>
    </cfRule>
  </conditionalFormatting>
  <conditionalFormatting sqref="H60:H61">
    <cfRule type="cellIs" dxfId="121" priority="137" stopIfTrue="1" operator="lessThanOrEqual">
      <formula>0</formula>
    </cfRule>
    <cfRule type="cellIs" dxfId="118" priority="138" stopIfTrue="1" operator="greaterThan">
      <formula>#REF!</formula>
    </cfRule>
    <cfRule type="cellIs" dxfId="120" priority="146" stopIfTrue="1" operator="greaterThan">
      <formula>#REF!</formula>
    </cfRule>
    <cfRule type="cellIs" dxfId="119" priority="147" stopIfTrue="1" operator="lessThanOrEqual">
      <formula>0</formula>
    </cfRule>
  </conditionalFormatting>
  <conditionalFormatting sqref="H62">
    <cfRule type="cellIs" dxfId="116" priority="149" stopIfTrue="1" operator="lessThanOrEqual">
      <formula>0</formula>
    </cfRule>
    <cfRule type="cellIs" dxfId="115" priority="150" stopIfTrue="1" operator="greaterThan">
      <formula>$F$36</formula>
    </cfRule>
    <cfRule type="cellIs" dxfId="112" priority="158" stopIfTrue="1" operator="greaterThan">
      <formula>$F$39</formula>
    </cfRule>
    <cfRule type="cellIs" dxfId="113" priority="159" stopIfTrue="1" operator="lessThanOrEqual">
      <formula>0</formula>
    </cfRule>
    <cfRule type="cellIs" dxfId="114" priority="160" stopIfTrue="1" operator="greaterThan">
      <formula>$F$37</formula>
    </cfRule>
    <cfRule type="cellIs" dxfId="117" priority="161" stopIfTrue="1" operator="lessThanOrEqual">
      <formula>0</formula>
    </cfRule>
  </conditionalFormatting>
  <conditionalFormatting sqref="H63:H64">
    <cfRule type="cellIs" dxfId="109" priority="125" stopIfTrue="1" operator="lessThanOrEqual">
      <formula>0</formula>
    </cfRule>
    <cfRule type="cellIs" dxfId="110" priority="126" stopIfTrue="1" operator="greaterThan">
      <formula>#REF!</formula>
    </cfRule>
    <cfRule type="cellIs" dxfId="111" priority="134" stopIfTrue="1" operator="greaterThan">
      <formula>#REF!</formula>
    </cfRule>
    <cfRule type="cellIs" dxfId="108" priority="135" stopIfTrue="1" operator="lessThanOrEqual">
      <formula>0</formula>
    </cfRule>
  </conditionalFormatting>
  <conditionalFormatting sqref="H79 H81:H87">
    <cfRule type="cellIs" dxfId="107" priority="184" stopIfTrue="1" operator="greaterThan">
      <formula>4.5</formula>
    </cfRule>
    <cfRule type="cellIs" dxfId="106" priority="185" stopIfTrue="1" operator="lessThanOrEqual">
      <formula>0</formula>
    </cfRule>
  </conditionalFormatting>
  <conditionalFormatting sqref="H55:I55">
    <cfRule type="cellIs" dxfId="105" priority="64" stopIfTrue="1" operator="lessThanOrEqual">
      <formula>0</formula>
    </cfRule>
  </conditionalFormatting>
  <conditionalFormatting sqref="H55:I56 H58:I59">
    <cfRule type="cellIs" dxfId="104" priority="61" stopIfTrue="1" operator="greaterThan">
      <formula>$F$70</formula>
    </cfRule>
  </conditionalFormatting>
  <conditionalFormatting sqref="H56:I56">
    <cfRule type="cellIs" dxfId="103" priority="90" stopIfTrue="1" operator="lessThanOrEqual">
      <formula>0</formula>
    </cfRule>
  </conditionalFormatting>
  <conditionalFormatting sqref="H57:I57">
    <cfRule type="cellIs" dxfId="102" priority="28" stopIfTrue="1" operator="greaterThan">
      <formula>$F$72</formula>
    </cfRule>
    <cfRule type="cellIs" dxfId="101" priority="31" stopIfTrue="1" operator="lessThanOrEqual">
      <formula>0</formula>
    </cfRule>
  </conditionalFormatting>
  <conditionalFormatting sqref="H58:I59">
    <cfRule type="cellIs" dxfId="100" priority="103" stopIfTrue="1" operator="lessThanOrEqual">
      <formula>0</formula>
    </cfRule>
  </conditionalFormatting>
  <conditionalFormatting sqref="H60:I61">
    <cfRule type="cellIs" dxfId="96" priority="136" stopIfTrue="1" operator="greaterThan">
      <formula>#REF!</formula>
    </cfRule>
    <cfRule type="cellIs" dxfId="98" priority="139" stopIfTrue="1" operator="lessThanOrEqual">
      <formula>0</formula>
    </cfRule>
    <cfRule type="cellIs" dxfId="99" priority="144" stopIfTrue="1" operator="greaterThan">
      <formula>#REF!</formula>
    </cfRule>
    <cfRule type="cellIs" dxfId="97" priority="145" stopIfTrue="1" operator="lessThanOrEqual">
      <formula>0</formula>
    </cfRule>
  </conditionalFormatting>
  <conditionalFormatting sqref="H62:I62">
    <cfRule type="cellIs" dxfId="95" priority="148" stopIfTrue="1" operator="greaterThan">
      <formula>$F$38</formula>
    </cfRule>
    <cfRule type="cellIs" dxfId="94" priority="151" stopIfTrue="1" operator="lessThanOrEqual">
      <formula>0</formula>
    </cfRule>
  </conditionalFormatting>
  <conditionalFormatting sqref="H63:I64">
    <cfRule type="cellIs" dxfId="93" priority="124" stopIfTrue="1" operator="greaterThan">
      <formula>#REF!</formula>
    </cfRule>
    <cfRule type="cellIs" dxfId="92" priority="127" stopIfTrue="1" operator="lessThanOrEqual">
      <formula>0</formula>
    </cfRule>
    <cfRule type="cellIs" dxfId="91" priority="132" stopIfTrue="1" operator="greaterThan">
      <formula>#REF!</formula>
    </cfRule>
    <cfRule type="cellIs" dxfId="90" priority="133" stopIfTrue="1" operator="lessThanOrEqual">
      <formula>0</formula>
    </cfRule>
  </conditionalFormatting>
  <conditionalFormatting sqref="H68:I75">
    <cfRule type="cellIs" dxfId="88" priority="46" stopIfTrue="1" operator="greaterThan">
      <formula>$J68</formula>
    </cfRule>
    <cfRule type="cellIs" dxfId="89" priority="47" stopIfTrue="1" operator="lessThanOrEqual">
      <formula>0</formula>
    </cfRule>
  </conditionalFormatting>
  <conditionalFormatting sqref="H76:I76">
    <cfRule type="cellIs" dxfId="87" priority="54" operator="greaterThan">
      <formula>5.3</formula>
    </cfRule>
  </conditionalFormatting>
  <conditionalFormatting sqref="H77:I77">
    <cfRule type="cellIs" dxfId="85" priority="52" stopIfTrue="1" operator="greaterThan">
      <formula>$J77</formula>
    </cfRule>
    <cfRule type="cellIs" dxfId="86" priority="53" stopIfTrue="1" operator="lessThanOrEqual">
      <formula>0</formula>
    </cfRule>
  </conditionalFormatting>
  <conditionalFormatting sqref="I55">
    <cfRule type="cellIs" dxfId="82" priority="65" stopIfTrue="1" operator="greaterThan">
      <formula>$F$68</formula>
    </cfRule>
    <cfRule type="cellIs" dxfId="83" priority="66" stopIfTrue="1" operator="lessThanOrEqual">
      <formula>0</formula>
    </cfRule>
    <cfRule type="cellIs" dxfId="84" priority="67" stopIfTrue="1" operator="greaterThan">
      <formula>$F$70</formula>
    </cfRule>
    <cfRule type="cellIs" dxfId="79" priority="68" stopIfTrue="1" operator="lessThanOrEqual">
      <formula>0</formula>
    </cfRule>
    <cfRule type="cellIs" dxfId="80" priority="69" stopIfTrue="1" operator="greaterThan">
      <formula>$F$68</formula>
    </cfRule>
    <cfRule type="cellIs" dxfId="81" priority="70" stopIfTrue="1" operator="lessThanOrEqual">
      <formula>0</formula>
    </cfRule>
  </conditionalFormatting>
  <conditionalFormatting sqref="I56">
    <cfRule type="cellIs" dxfId="77" priority="91" stopIfTrue="1" operator="greaterThan">
      <formula>$F$68</formula>
    </cfRule>
    <cfRule type="cellIs" dxfId="78" priority="92" stopIfTrue="1" operator="lessThanOrEqual">
      <formula>0</formula>
    </cfRule>
    <cfRule type="cellIs" dxfId="73" priority="93" stopIfTrue="1" operator="greaterThan">
      <formula>$F$70</formula>
    </cfRule>
    <cfRule type="cellIs" dxfId="74" priority="94" stopIfTrue="1" operator="lessThanOrEqual">
      <formula>0</formula>
    </cfRule>
    <cfRule type="cellIs" dxfId="75" priority="95" stopIfTrue="1" operator="greaterThan">
      <formula>$F$68</formula>
    </cfRule>
    <cfRule type="cellIs" dxfId="76" priority="96" stopIfTrue="1" operator="lessThanOrEqual">
      <formula>0</formula>
    </cfRule>
  </conditionalFormatting>
  <conditionalFormatting sqref="I57">
    <cfRule type="cellIs" dxfId="68" priority="32" stopIfTrue="1" operator="greaterThan">
      <formula>$F$70</formula>
    </cfRule>
    <cfRule type="cellIs" dxfId="69" priority="33" stopIfTrue="1" operator="lessThanOrEqual">
      <formula>0</formula>
    </cfRule>
    <cfRule type="cellIs" dxfId="70" priority="34" stopIfTrue="1" operator="greaterThan">
      <formula>$F$72</formula>
    </cfRule>
    <cfRule type="cellIs" dxfId="71" priority="35" stopIfTrue="1" operator="lessThanOrEqual">
      <formula>0</formula>
    </cfRule>
    <cfRule type="cellIs" dxfId="72" priority="36" stopIfTrue="1" operator="greaterThan">
      <formula>$F$70</formula>
    </cfRule>
    <cfRule type="cellIs" dxfId="67" priority="37" stopIfTrue="1" operator="lessThanOrEqual">
      <formula>0</formula>
    </cfRule>
  </conditionalFormatting>
  <conditionalFormatting sqref="I58:I59">
    <cfRule type="cellIs" dxfId="63" priority="104" stopIfTrue="1" operator="greaterThan">
      <formula>$F$68</formula>
    </cfRule>
    <cfRule type="cellIs" dxfId="62" priority="105" stopIfTrue="1" operator="lessThanOrEqual">
      <formula>0</formula>
    </cfRule>
    <cfRule type="cellIs" dxfId="61" priority="106" stopIfTrue="1" operator="greaterThan">
      <formula>$F$70</formula>
    </cfRule>
    <cfRule type="cellIs" dxfId="66" priority="107" stopIfTrue="1" operator="lessThanOrEqual">
      <formula>0</formula>
    </cfRule>
    <cfRule type="cellIs" dxfId="65" priority="108" stopIfTrue="1" operator="greaterThan">
      <formula>$F$68</formula>
    </cfRule>
    <cfRule type="cellIs" dxfId="64" priority="109" stopIfTrue="1" operator="lessThanOrEqual">
      <formula>0</formula>
    </cfRule>
  </conditionalFormatting>
  <conditionalFormatting sqref="I60:I61">
    <cfRule type="cellIs" dxfId="60" priority="140" stopIfTrue="1" operator="greaterThan">
      <formula>#REF!</formula>
    </cfRule>
    <cfRule type="cellIs" dxfId="57" priority="141" stopIfTrue="1" operator="lessThanOrEqual">
      <formula>0</formula>
    </cfRule>
    <cfRule type="cellIs" dxfId="58" priority="142" stopIfTrue="1" operator="greaterThan">
      <formula>#REF!</formula>
    </cfRule>
    <cfRule type="cellIs" dxfId="59" priority="143" stopIfTrue="1" operator="lessThanOrEqual">
      <formula>0</formula>
    </cfRule>
  </conditionalFormatting>
  <conditionalFormatting sqref="I62">
    <cfRule type="cellIs" dxfId="51" priority="152" stopIfTrue="1" operator="greaterThan">
      <formula>$F$36</formula>
    </cfRule>
    <cfRule type="cellIs" dxfId="52" priority="153" stopIfTrue="1" operator="lessThanOrEqual">
      <formula>0</formula>
    </cfRule>
    <cfRule type="cellIs" dxfId="53" priority="154" stopIfTrue="1" operator="greaterThan">
      <formula>$F$38</formula>
    </cfRule>
    <cfRule type="cellIs" dxfId="56" priority="155" stopIfTrue="1" operator="lessThanOrEqual">
      <formula>0</formula>
    </cfRule>
    <cfRule type="cellIs" dxfId="55" priority="156" stopIfTrue="1" operator="greaterThan">
      <formula>$F$36</formula>
    </cfRule>
    <cfRule type="cellIs" dxfId="54" priority="157" stopIfTrue="1" operator="lessThanOrEqual">
      <formula>0</formula>
    </cfRule>
  </conditionalFormatting>
  <conditionalFormatting sqref="I63:I64">
    <cfRule type="cellIs" dxfId="50" priority="128" stopIfTrue="1" operator="greaterThan">
      <formula>#REF!</formula>
    </cfRule>
    <cfRule type="cellIs" dxfId="49" priority="129" stopIfTrue="1" operator="lessThanOrEqual">
      <formula>0</formula>
    </cfRule>
    <cfRule type="cellIs" dxfId="48" priority="130" stopIfTrue="1" operator="greaterThan">
      <formula>#REF!</formula>
    </cfRule>
    <cfRule type="cellIs" dxfId="47" priority="131" stopIfTrue="1" operator="lessThanOrEqual">
      <formula>0</formula>
    </cfRule>
  </conditionalFormatting>
  <conditionalFormatting sqref="I79:I87">
    <cfRule type="cellIs" dxfId="45" priority="180" stopIfTrue="1" operator="greaterThan">
      <formula>4.5</formula>
    </cfRule>
    <cfRule type="cellIs" dxfId="46" priority="181" stopIfTrue="1" operator="lessThanOrEqual">
      <formula>0</formula>
    </cfRule>
  </conditionalFormatting>
  <conditionalFormatting sqref="I19:J23">
    <cfRule type="cellIs" dxfId="44" priority="13" operator="lessThan">
      <formula>97.9</formula>
    </cfRule>
  </conditionalFormatting>
  <conditionalFormatting sqref="J26:J28">
    <cfRule type="cellIs" dxfId="43" priority="27" operator="lessThan">
      <formula>97.95</formula>
    </cfRule>
  </conditionalFormatting>
  <conditionalFormatting sqref="J27:J30">
    <cfRule type="cellIs" dxfId="42" priority="162" operator="lessThan">
      <formula>97.4</formula>
    </cfRule>
  </conditionalFormatting>
  <conditionalFormatting sqref="J31:J32">
    <cfRule type="cellIs" dxfId="41" priority="163" operator="lessThan">
      <formula>98</formula>
    </cfRule>
  </conditionalFormatting>
  <conditionalFormatting sqref="J33:J34">
    <cfRule type="cellIs" dxfId="40" priority="164" stopIfTrue="1" operator="lessThan">
      <formula>96.8</formula>
    </cfRule>
    <cfRule type="cellIs" dxfId="39" priority="165" stopIfTrue="1" operator="greaterThan">
      <formula>100</formula>
    </cfRule>
  </conditionalFormatting>
  <conditionalFormatting sqref="J33:J35">
    <cfRule type="cellIs" dxfId="38" priority="166" operator="lessThan">
      <formula>98</formula>
    </cfRule>
  </conditionalFormatting>
  <conditionalFormatting sqref="J64">
    <cfRule type="cellIs" dxfId="33" priority="116" stopIfTrue="1" operator="greaterThan">
      <formula>#REF!</formula>
    </cfRule>
    <cfRule type="cellIs" dxfId="32" priority="117" stopIfTrue="1" operator="lessThanOrEqual">
      <formula>0</formula>
    </cfRule>
    <cfRule type="cellIs" dxfId="31" priority="118" stopIfTrue="1" operator="greaterThan">
      <formula>#REF!</formula>
    </cfRule>
    <cfRule type="cellIs" dxfId="30" priority="119" stopIfTrue="1" operator="lessThanOrEqual">
      <formula>0</formula>
    </cfRule>
    <cfRule type="cellIs" dxfId="37" priority="120" stopIfTrue="1" operator="greaterThan">
      <formula>#REF!</formula>
    </cfRule>
    <cfRule type="cellIs" dxfId="36" priority="121" stopIfTrue="1" operator="lessThanOrEqual">
      <formula>0</formula>
    </cfRule>
    <cfRule type="cellIs" dxfId="35" priority="122" stopIfTrue="1" operator="greaterThan">
      <formula>#REF!</formula>
    </cfRule>
    <cfRule type="cellIs" dxfId="34" priority="123" stopIfTrue="1" operator="lessThanOrEqual">
      <formula>0</formula>
    </cfRule>
  </conditionalFormatting>
  <conditionalFormatting sqref="J77">
    <cfRule type="cellIs" dxfId="29" priority="55" stopIfTrue="1" operator="greaterThan">
      <formula>$F77</formula>
    </cfRule>
    <cfRule type="cellIs" dxfId="28" priority="56" stopIfTrue="1" operator="lessThanOrEqual">
      <formula>0</formula>
    </cfRule>
  </conditionalFormatting>
  <conditionalFormatting sqref="K19:K23">
    <cfRule type="cellIs" dxfId="26" priority="14" operator="greaterThan">
      <formula>6</formula>
    </cfRule>
    <cfRule type="cellIs" dxfId="27" priority="15" operator="lessThan">
      <formula>4</formula>
    </cfRule>
    <cfRule type="cellIs" dxfId="25" priority="16" operator="greaterThan">
      <formula>6.4</formula>
    </cfRule>
  </conditionalFormatting>
  <conditionalFormatting sqref="K55:K64">
    <cfRule type="cellIs" dxfId="24" priority="101" stopIfTrue="1" operator="lessThan">
      <formula>100%</formula>
    </cfRule>
  </conditionalFormatting>
  <conditionalFormatting sqref="K68:K76">
    <cfRule type="cellIs" dxfId="23" priority="45" stopIfTrue="1" operator="lessThan">
      <formula>100%</formula>
    </cfRule>
  </conditionalFormatting>
  <conditionalFormatting sqref="K79:K84">
    <cfRule type="cellIs" dxfId="22" priority="186" stopIfTrue="1" operator="lessThan">
      <formula>100%</formula>
    </cfRule>
  </conditionalFormatting>
  <conditionalFormatting sqref="K86:K87">
    <cfRule type="cellIs" dxfId="21" priority="193" stopIfTrue="1" operator="lessThan">
      <formula>100%</formula>
    </cfRule>
  </conditionalFormatting>
  <conditionalFormatting sqref="L19:L23">
    <cfRule type="cellIs" dxfId="20" priority="17" operator="between">
      <formula>61</formula>
      <formula>65</formula>
    </cfRule>
    <cfRule type="cellIs" dxfId="19" priority="18" operator="greaterThan">
      <formula>65</formula>
    </cfRule>
  </conditionalFormatting>
  <conditionalFormatting sqref="L26:M37">
    <cfRule type="cellIs" dxfId="18" priority="26" operator="lessThan">
      <formula>97.95</formula>
    </cfRule>
  </conditionalFormatting>
  <conditionalFormatting sqref="L41:N41">
    <cfRule type="cellIs" dxfId="17" priority="24" operator="notEqual">
      <formula>#REF!</formula>
    </cfRule>
  </conditionalFormatting>
  <conditionalFormatting sqref="L68:N77">
    <cfRule type="cellIs" dxfId="16" priority="42" stopIfTrue="1" operator="lessThan">
      <formula>100%</formula>
    </cfRule>
  </conditionalFormatting>
  <conditionalFormatting sqref="L79:N87">
    <cfRule type="cellIs" dxfId="15" priority="171" stopIfTrue="1" operator="lessThan">
      <formula>100%</formula>
    </cfRule>
  </conditionalFormatting>
  <conditionalFormatting sqref="M23">
    <cfRule type="expression" dxfId="14" priority="21">
      <formula>IF(+(IF(M23&lt;U23,0,IF(M23&gt;V23,0,1)))=0,1)</formula>
    </cfRule>
  </conditionalFormatting>
  <conditionalFormatting sqref="M19:N20 N21:N23">
    <cfRule type="expression" dxfId="13" priority="25">
      <formula>IF(+(IF(M19&lt;V19,0,IF(M19&gt;W19,0,1)))=0,1)</formula>
    </cfRule>
  </conditionalFormatting>
  <conditionalFormatting sqref="P6">
    <cfRule type="cellIs" dxfId="12" priority="167" operator="greaterThanOrEqual">
      <formula>19</formula>
    </cfRule>
  </conditionalFormatting>
  <conditionalFormatting sqref="E10:E18">
    <cfRule type="cellIs" dxfId="11" priority="9" operator="lessThan">
      <formula>48</formula>
    </cfRule>
  </conditionalFormatting>
  <conditionalFormatting sqref="F10:F18">
    <cfRule type="cellIs" dxfId="10" priority="12" operator="greaterThan">
      <formula>60</formula>
    </cfRule>
  </conditionalFormatting>
  <conditionalFormatting sqref="G10:G18">
    <cfRule type="expression" dxfId="9" priority="2">
      <formula>IF(+(IF(G10&lt;S10,0,IF(G10&gt;T10,0,1)))=0,1)</formula>
    </cfRule>
  </conditionalFormatting>
  <conditionalFormatting sqref="H10:H18">
    <cfRule type="expression" dxfId="8" priority="10">
      <formula>IF(+(IF(H10&lt;#REF!,0,IF(H10&gt;#REF!,0,1)))=0,1)</formula>
    </cfRule>
  </conditionalFormatting>
  <conditionalFormatting sqref="I10:J18">
    <cfRule type="cellIs" dxfId="7" priority="3" operator="lessThan">
      <formula>97.9</formula>
    </cfRule>
  </conditionalFormatting>
  <conditionalFormatting sqref="K10:K18">
    <cfRule type="cellIs" dxfId="6" priority="4" operator="greaterThan">
      <formula>6</formula>
    </cfRule>
    <cfRule type="cellIs" dxfId="4" priority="5" operator="lessThan">
      <formula>4</formula>
    </cfRule>
    <cfRule type="cellIs" dxfId="5" priority="6" operator="greaterThan">
      <formula>6.4</formula>
    </cfRule>
  </conditionalFormatting>
  <conditionalFormatting sqref="L10:L18">
    <cfRule type="cellIs" dxfId="3" priority="7" operator="between">
      <formula>61</formula>
      <formula>65</formula>
    </cfRule>
    <cfRule type="cellIs" dxfId="2" priority="8" operator="greaterThan">
      <formula>65</formula>
    </cfRule>
  </conditionalFormatting>
  <conditionalFormatting sqref="M10:M18">
    <cfRule type="expression" dxfId="1" priority="1">
      <formula>IF(+(IF(M10&lt;U10,0,IF(M10&gt;V10,0,1)))=0,1)</formula>
    </cfRule>
  </conditionalFormatting>
  <conditionalFormatting sqref="N10:N18">
    <cfRule type="expression" dxfId="0" priority="11">
      <formula>IF(+(IF(N10&lt;W10,0,IF(N10&gt;X10,0,1)))=0,1)</formula>
    </cfRule>
  </conditionalFormatting>
  <dataValidations count="1">
    <dataValidation type="list" allowBlank="1" showInputMessage="1" showErrorMessage="1" sqref="R8" xr:uid="{C79F2A02-231C-4CC0-BD86-4D8AEB915E39}">
      <formula1>ProductList</formula1>
    </dataValidation>
  </dataValidations>
  <pageMargins left="0.7" right="0.7" top="0.75" bottom="0.75" header="0.3" footer="0.3"/>
  <pageSetup scale="40" fitToWidth="0" orientation="landscape" r:id="rId1"/>
  <rowBreaks count="1" manualBreakCount="1">
    <brk id="81" max="16383" man="1"/>
  </rowBreaks>
  <colBreaks count="1" manualBreakCount="1">
    <brk id="15" max="89" man="1"/>
  </colBreaks>
  <legacy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6D082-4AFA-460E-ADC3-B4C1126FF311}">
  <sheetPr codeName="Sheet18">
    <tabColor rgb="FFC00000"/>
    <pageSetUpPr fitToPage="1"/>
  </sheetPr>
  <dimension ref="B1:O73"/>
  <sheetViews>
    <sheetView showZeros="0" topLeftCell="A54" workbookViewId="0">
      <selection activeCell="J56" sqref="J56:J65"/>
    </sheetView>
  </sheetViews>
  <sheetFormatPr defaultColWidth="9.42578125" defaultRowHeight="12.75"/>
  <cols>
    <col min="1" max="1" width="9.42578125" style="78"/>
    <col min="2" max="2" width="12.5703125" style="78" customWidth="1"/>
    <col min="3" max="3" width="9.42578125" style="78" hidden="1" customWidth="1"/>
    <col min="4" max="4" width="9.5703125" style="78" customWidth="1"/>
    <col min="5" max="5" width="8.5703125" style="78" customWidth="1"/>
    <col min="6" max="6" width="14.42578125" style="78" hidden="1" customWidth="1"/>
    <col min="7" max="8" width="9.42578125" style="78" bestFit="1" customWidth="1"/>
    <col min="9" max="9" width="11.5703125" style="78" hidden="1" customWidth="1"/>
    <col min="10" max="10" width="11" style="78" bestFit="1" customWidth="1"/>
    <col min="11" max="11" width="16.42578125" style="78" customWidth="1"/>
    <col min="12" max="12" width="13.42578125" style="78" customWidth="1"/>
    <col min="13" max="16384" width="9.42578125" style="78"/>
  </cols>
  <sheetData>
    <row r="1" spans="2:14" ht="13.5" hidden="1" thickBot="1"/>
    <row r="2" spans="2:14" ht="15.75" hidden="1" thickBot="1">
      <c r="B2" s="589" t="s">
        <v>58</v>
      </c>
      <c r="C2" s="589"/>
      <c r="D2" s="589"/>
      <c r="E2" s="589"/>
      <c r="F2" s="589"/>
      <c r="G2" s="589"/>
      <c r="H2" s="589"/>
      <c r="I2" s="589"/>
      <c r="J2" s="589"/>
      <c r="K2" s="589"/>
    </row>
    <row r="3" spans="2:14" ht="15.75" hidden="1" thickBot="1">
      <c r="B3" s="79"/>
    </row>
    <row r="4" spans="2:14" ht="13.5" hidden="1" thickBot="1">
      <c r="B4" s="78" t="s">
        <v>7</v>
      </c>
      <c r="C4" s="590">
        <v>41431</v>
      </c>
      <c r="D4" s="590"/>
    </row>
    <row r="5" spans="2:14" ht="13.5" hidden="1" thickBot="1">
      <c r="C5" s="78" t="s">
        <v>41</v>
      </c>
    </row>
    <row r="6" spans="2:14" ht="15" hidden="1" thickBot="1">
      <c r="B6" s="5" t="s">
        <v>13</v>
      </c>
    </row>
    <row r="7" spans="2:14" ht="13.5" hidden="1" thickBot="1"/>
    <row r="8" spans="2:14" ht="25.5" hidden="1" customHeight="1" thickBot="1">
      <c r="B8" s="591" t="s">
        <v>17</v>
      </c>
      <c r="C8" s="593" t="s">
        <v>18</v>
      </c>
      <c r="D8" s="593" t="s">
        <v>59</v>
      </c>
      <c r="E8" s="80" t="s">
        <v>20</v>
      </c>
      <c r="F8" s="81" t="s">
        <v>21</v>
      </c>
      <c r="G8" s="593" t="s">
        <v>60</v>
      </c>
      <c r="H8" s="593" t="s">
        <v>61</v>
      </c>
      <c r="I8" s="595" t="s">
        <v>62</v>
      </c>
      <c r="J8" s="82" t="s">
        <v>25</v>
      </c>
      <c r="K8" s="597" t="s">
        <v>28</v>
      </c>
    </row>
    <row r="9" spans="2:14" ht="26.25" hidden="1" thickBot="1">
      <c r="B9" s="592"/>
      <c r="C9" s="594"/>
      <c r="D9" s="594"/>
      <c r="E9" s="83" t="s">
        <v>30</v>
      </c>
      <c r="F9" s="84" t="s">
        <v>63</v>
      </c>
      <c r="G9" s="594"/>
      <c r="H9" s="594"/>
      <c r="I9" s="596"/>
      <c r="J9" s="85" t="s">
        <v>32</v>
      </c>
      <c r="K9" s="598"/>
      <c r="L9" s="86"/>
      <c r="M9" s="86"/>
      <c r="N9" s="86"/>
    </row>
    <row r="10" spans="2:14" ht="13.5" hidden="1" thickBot="1">
      <c r="B10" s="87" t="s">
        <v>64</v>
      </c>
      <c r="C10" s="88" t="str">
        <f>[39]Brewhouse!A5359</f>
        <v>CA236</v>
      </c>
      <c r="D10" s="88">
        <f>[39]Brewhouse!B5359</f>
        <v>41437</v>
      </c>
      <c r="E10" s="89">
        <f>[39]Brewhouse!AG5359</f>
        <v>49.011000000000003</v>
      </c>
      <c r="F10" s="90">
        <f>[39]Brewhouse!T5359</f>
        <v>60</v>
      </c>
      <c r="G10" s="91">
        <f>[39]Brewhouse!I5359</f>
        <v>19.79</v>
      </c>
      <c r="H10" s="92">
        <f>[39]Brewhouse!AS5359</f>
        <v>94.981545664755075</v>
      </c>
      <c r="I10" s="92">
        <f>[39]Brewhouse!AT5359</f>
        <v>97.074072469002047</v>
      </c>
      <c r="J10" s="93">
        <f>[39]Brewhouse!S5359-[39]Brewhouse!R5359</f>
        <v>0.10694444444444451</v>
      </c>
      <c r="K10" s="94"/>
      <c r="N10" s="95"/>
    </row>
    <row r="11" spans="2:14" ht="13.5" hidden="1" thickBot="1">
      <c r="B11" s="96"/>
      <c r="C11" s="88" t="str">
        <f>[39]Brewhouse!A5360</f>
        <v>CA237</v>
      </c>
      <c r="D11" s="88">
        <f>[39]Brewhouse!B5360</f>
        <v>41437</v>
      </c>
      <c r="E11" s="89">
        <f>[39]Brewhouse!AG5360</f>
        <v>48.531999999999996</v>
      </c>
      <c r="F11" s="90">
        <f>[39]Brewhouse!T5360</f>
        <v>68</v>
      </c>
      <c r="G11" s="91">
        <f>[39]Brewhouse!I5360</f>
        <v>17.7</v>
      </c>
      <c r="H11" s="92">
        <f>[39]Brewhouse!AS5360</f>
        <v>94.053260986347809</v>
      </c>
      <c r="I11" s="92">
        <f>[39]Brewhouse!AT5360</f>
        <v>96.1253368644918</v>
      </c>
      <c r="J11" s="93">
        <f>[39]Brewhouse!S5360-[39]Brewhouse!R5360</f>
        <v>0.10972222222222217</v>
      </c>
      <c r="K11" s="94"/>
      <c r="M11" s="97"/>
      <c r="N11" s="95"/>
    </row>
    <row r="12" spans="2:14" ht="12.75" hidden="1" customHeight="1" thickBot="1">
      <c r="B12" s="87"/>
      <c r="C12" s="88" t="str">
        <f>[39]Brewhouse!A5361</f>
        <v>CA238</v>
      </c>
      <c r="D12" s="88">
        <f>[39]Brewhouse!B5361</f>
        <v>41437</v>
      </c>
      <c r="E12" s="89">
        <f>[39]Brewhouse!AG5361</f>
        <v>50.466999999999999</v>
      </c>
      <c r="F12" s="90">
        <f>[39]Brewhouse!T5361</f>
        <v>61</v>
      </c>
      <c r="G12" s="91">
        <f>[39]Brewhouse!I5361</f>
        <v>19.7</v>
      </c>
      <c r="H12" s="92">
        <f>[39]Brewhouse!AS5361</f>
        <v>96.931393272913695</v>
      </c>
      <c r="I12" s="92">
        <f>[39]Brewhouse!AT5361</f>
        <v>99.066876931102286</v>
      </c>
      <c r="J12" s="93">
        <f>[39]Brewhouse!S5361-[39]Brewhouse!R5361</f>
        <v>0.10208333333333341</v>
      </c>
      <c r="K12" s="98"/>
    </row>
    <row r="13" spans="2:14" ht="13.5" hidden="1" thickBot="1">
      <c r="B13" s="99"/>
      <c r="C13" s="88" t="str">
        <f>[39]Brewhouse!A5362</f>
        <v>CA239</v>
      </c>
      <c r="D13" s="88">
        <f>[39]Brewhouse!B5362</f>
        <v>41437</v>
      </c>
      <c r="E13" s="89">
        <f>[39]Brewhouse!AG5362</f>
        <v>49.374000000000002</v>
      </c>
      <c r="F13" s="90">
        <f>[39]Brewhouse!T5362</f>
        <v>62</v>
      </c>
      <c r="G13" s="91">
        <f>[39]Brewhouse!I5362</f>
        <v>19</v>
      </c>
      <c r="H13" s="92">
        <f>[39]Brewhouse!AS5362</f>
        <v>95.68502653795305</v>
      </c>
      <c r="I13" s="92">
        <f>[39]Brewhouse!AT5362</f>
        <v>97.793051643192499</v>
      </c>
      <c r="J13" s="93">
        <f>[39]Brewhouse!S5362-[39]Brewhouse!R5362</f>
        <v>0.10416666666666663</v>
      </c>
      <c r="K13" s="98"/>
      <c r="M13" s="100"/>
    </row>
    <row r="14" spans="2:14" ht="13.5" hidden="1" thickBot="1">
      <c r="B14" s="101"/>
      <c r="C14" s="88"/>
      <c r="D14" s="88"/>
      <c r="E14" s="89"/>
      <c r="F14" s="90"/>
      <c r="G14" s="91"/>
      <c r="H14" s="92"/>
      <c r="I14" s="92"/>
      <c r="J14" s="93"/>
      <c r="K14" s="98"/>
    </row>
    <row r="15" spans="2:14" ht="12.75" hidden="1" customHeight="1" thickBot="1">
      <c r="B15" s="99"/>
      <c r="C15" s="88"/>
      <c r="D15" s="88"/>
      <c r="E15" s="89"/>
      <c r="F15" s="90"/>
      <c r="G15" s="91"/>
      <c r="H15" s="92"/>
      <c r="I15" s="92"/>
      <c r="J15" s="93"/>
      <c r="K15" s="98"/>
    </row>
    <row r="16" spans="2:14" ht="13.5" hidden="1" thickBot="1">
      <c r="B16" s="102"/>
      <c r="C16" s="88"/>
      <c r="D16" s="88"/>
      <c r="E16" s="89"/>
      <c r="F16" s="90"/>
      <c r="G16" s="91"/>
      <c r="H16" s="92"/>
      <c r="I16" s="92"/>
      <c r="J16" s="93"/>
      <c r="K16" s="98"/>
      <c r="L16" s="78" t="s">
        <v>65</v>
      </c>
    </row>
    <row r="17" spans="2:11" ht="13.5" hidden="1" thickBot="1">
      <c r="B17" s="99"/>
      <c r="C17" s="88"/>
      <c r="D17" s="103"/>
      <c r="E17" s="92"/>
      <c r="F17" s="90"/>
      <c r="G17" s="91"/>
      <c r="H17" s="104"/>
      <c r="I17" s="105"/>
      <c r="J17" s="93"/>
      <c r="K17" s="106"/>
    </row>
    <row r="18" spans="2:11" ht="13.5" hidden="1" thickBot="1">
      <c r="B18" s="99"/>
      <c r="C18" s="88"/>
      <c r="D18" s="103"/>
      <c r="E18" s="92"/>
      <c r="F18" s="90"/>
      <c r="G18" s="91"/>
      <c r="H18" s="104"/>
      <c r="I18" s="105"/>
      <c r="J18" s="93"/>
      <c r="K18" s="106"/>
    </row>
    <row r="19" spans="2:11" ht="13.5" hidden="1" thickBot="1">
      <c r="B19" s="107"/>
      <c r="C19" s="108"/>
      <c r="D19" s="109"/>
      <c r="E19" s="110"/>
      <c r="F19" s="111"/>
      <c r="G19" s="112"/>
      <c r="H19" s="113"/>
      <c r="I19" s="114"/>
      <c r="J19" s="115"/>
      <c r="K19" s="116"/>
    </row>
    <row r="20" spans="2:11" ht="14.25" hidden="1" thickTop="1" thickBot="1">
      <c r="C20" s="117"/>
      <c r="D20" s="118"/>
      <c r="E20" s="119"/>
      <c r="F20" s="97"/>
      <c r="G20" s="120"/>
      <c r="H20" s="97"/>
      <c r="I20" s="121">
        <f>AVERAGE(I10:I13)</f>
        <v>97.514834476947158</v>
      </c>
      <c r="J20" s="97"/>
      <c r="K20" s="122"/>
    </row>
    <row r="21" spans="2:11" ht="13.5" hidden="1" thickBot="1">
      <c r="B21" s="86" t="s">
        <v>66</v>
      </c>
      <c r="C21" s="118"/>
      <c r="D21" s="123" t="s">
        <v>67</v>
      </c>
      <c r="E21" s="124" t="s">
        <v>68</v>
      </c>
      <c r="F21" s="599" t="s">
        <v>69</v>
      </c>
      <c r="G21" s="600"/>
      <c r="H21" s="337"/>
      <c r="I21" s="125"/>
      <c r="J21" s="97"/>
      <c r="K21" s="126" t="s">
        <v>24</v>
      </c>
    </row>
    <row r="22" spans="2:11" ht="13.5" hidden="1" thickBot="1">
      <c r="B22" s="117"/>
      <c r="C22" s="118"/>
      <c r="D22" s="127"/>
      <c r="E22" s="92"/>
      <c r="F22" s="128" t="s">
        <v>70</v>
      </c>
      <c r="G22" s="129" t="s">
        <v>71</v>
      </c>
      <c r="H22" s="338"/>
      <c r="I22" s="117"/>
      <c r="J22" s="97"/>
      <c r="K22" s="130"/>
    </row>
    <row r="23" spans="2:11" ht="15.75" hidden="1" thickBot="1">
      <c r="B23" s="117"/>
      <c r="C23" s="118"/>
      <c r="D23" s="131"/>
      <c r="E23" s="88" t="str">
        <f>C10</f>
        <v>CA236</v>
      </c>
      <c r="F23" s="132"/>
      <c r="G23" s="133"/>
      <c r="H23" s="136"/>
      <c r="I23" s="134"/>
      <c r="J23" s="97"/>
      <c r="K23" s="135">
        <f>[39]Brewhouse!N5359</f>
        <v>60</v>
      </c>
    </row>
    <row r="24" spans="2:11" ht="15.75" hidden="1" thickBot="1">
      <c r="B24" s="117"/>
      <c r="C24" s="118"/>
      <c r="D24" s="131"/>
      <c r="E24" s="88" t="str">
        <f>C11</f>
        <v>CA237</v>
      </c>
      <c r="F24" s="132"/>
      <c r="G24" s="133"/>
      <c r="H24" s="136"/>
      <c r="I24" s="134"/>
      <c r="J24" s="97"/>
      <c r="K24" s="135">
        <f>[39]Brewhouse!N5360</f>
        <v>60</v>
      </c>
    </row>
    <row r="25" spans="2:11" ht="15.75" hidden="1" thickBot="1">
      <c r="B25" s="117"/>
      <c r="C25" s="118"/>
      <c r="D25" s="131"/>
      <c r="E25" s="88" t="str">
        <f>C12</f>
        <v>CA238</v>
      </c>
      <c r="F25" s="132"/>
      <c r="G25" s="133"/>
      <c r="H25" s="136"/>
      <c r="I25" s="134"/>
      <c r="J25" s="97"/>
      <c r="K25" s="135">
        <f>[39]Brewhouse!N5361</f>
        <v>60</v>
      </c>
    </row>
    <row r="26" spans="2:11" ht="15.75" hidden="1" thickBot="1">
      <c r="B26" s="117"/>
      <c r="C26" s="118"/>
      <c r="D26" s="131"/>
      <c r="E26" s="88" t="str">
        <f>C13</f>
        <v>CA239</v>
      </c>
      <c r="F26" s="132"/>
      <c r="G26" s="133"/>
      <c r="H26" s="136"/>
      <c r="I26" s="134"/>
      <c r="J26" s="97"/>
      <c r="K26" s="135">
        <f>[39]Brewhouse!N5362</f>
        <v>60</v>
      </c>
    </row>
    <row r="27" spans="2:11" ht="15.75" hidden="1" thickBot="1">
      <c r="B27" s="117"/>
      <c r="C27" s="118"/>
      <c r="D27" s="131"/>
      <c r="E27" s="88">
        <f>C14</f>
        <v>0</v>
      </c>
      <c r="F27" s="132"/>
      <c r="G27" s="133"/>
      <c r="H27" s="136"/>
      <c r="I27" s="134"/>
      <c r="J27" s="97"/>
      <c r="K27" s="135"/>
    </row>
    <row r="28" spans="2:11" ht="15.75" hidden="1" thickBot="1">
      <c r="B28" s="117"/>
      <c r="C28" s="118"/>
      <c r="D28" s="131"/>
      <c r="E28" s="88"/>
      <c r="F28" s="132"/>
      <c r="G28" s="133"/>
      <c r="H28" s="136"/>
      <c r="I28" s="134"/>
      <c r="J28" s="97"/>
      <c r="K28" s="135"/>
    </row>
    <row r="29" spans="2:11" ht="15.75" hidden="1" thickBot="1">
      <c r="B29" s="117"/>
      <c r="C29" s="118"/>
      <c r="D29" s="131"/>
      <c r="E29" s="88">
        <f>C15</f>
        <v>0</v>
      </c>
      <c r="F29" s="132"/>
      <c r="G29" s="133"/>
      <c r="H29" s="136"/>
      <c r="I29" s="134"/>
      <c r="J29" s="97"/>
      <c r="K29" s="135"/>
    </row>
    <row r="30" spans="2:11" ht="13.5" hidden="1" thickBot="1">
      <c r="C30" s="117"/>
      <c r="D30" s="137"/>
      <c r="E30" s="108"/>
      <c r="F30" s="138"/>
      <c r="G30" s="139"/>
      <c r="H30" s="336"/>
      <c r="I30" s="120"/>
      <c r="J30" s="97"/>
      <c r="K30" s="140"/>
    </row>
    <row r="31" spans="2:11" ht="13.5" hidden="1" thickBot="1">
      <c r="F31" s="97"/>
    </row>
    <row r="32" spans="2:11" ht="13.5" hidden="1" thickBot="1">
      <c r="B32" s="141" t="s">
        <v>17</v>
      </c>
      <c r="C32" s="142" t="s">
        <v>36</v>
      </c>
      <c r="D32" s="142" t="s">
        <v>37</v>
      </c>
      <c r="E32" s="143" t="s">
        <v>39</v>
      </c>
      <c r="F32" s="144"/>
      <c r="G32" s="144"/>
    </row>
    <row r="33" spans="2:15" ht="13.5" hidden="1" thickBot="1">
      <c r="B33" s="87" t="s">
        <v>64</v>
      </c>
      <c r="C33" s="145">
        <f>AVERAGE(H10:H13)</f>
        <v>95.4128066154924</v>
      </c>
      <c r="D33" s="146">
        <f>AVERAGE([39]Brewhouse!$AS$5347:$AS$5362)</f>
        <v>96.296241624200576</v>
      </c>
      <c r="E33" s="147">
        <v>96</v>
      </c>
    </row>
    <row r="34" spans="2:15" ht="13.5" hidden="1" thickBot="1">
      <c r="B34" s="99" t="s">
        <v>72</v>
      </c>
      <c r="C34" s="100"/>
      <c r="D34" s="146">
        <f>AVERAGE([40]Brewhouse!$AQ$641:$AQ$644)</f>
        <v>94.359266355846486</v>
      </c>
      <c r="E34" s="147">
        <v>96</v>
      </c>
    </row>
    <row r="35" spans="2:15" ht="13.5" hidden="1" thickBot="1">
      <c r="B35" s="101" t="s">
        <v>73</v>
      </c>
      <c r="C35" s="145"/>
      <c r="D35" s="146"/>
      <c r="E35" s="147">
        <v>96</v>
      </c>
      <c r="F35" s="100"/>
      <c r="G35" s="100"/>
    </row>
    <row r="36" spans="2:15" ht="13.5" hidden="1" thickBot="1">
      <c r="B36" s="148" t="s">
        <v>74</v>
      </c>
      <c r="C36" s="145"/>
      <c r="D36" s="149">
        <f>AVERAGE([41]Brewhouse!$AU$708:$AU$711)</f>
        <v>95.049759132870761</v>
      </c>
      <c r="E36" s="147">
        <v>96</v>
      </c>
    </row>
    <row r="37" spans="2:15" ht="13.5" hidden="1" thickBot="1">
      <c r="B37" s="150" t="s">
        <v>75</v>
      </c>
      <c r="C37" s="145"/>
      <c r="D37" s="151">
        <f>AVERAGE([42]Brewhouse!$AY$943:$AY$946)</f>
        <v>95.307332180967137</v>
      </c>
      <c r="E37" s="147">
        <v>96</v>
      </c>
    </row>
    <row r="38" spans="2:15" ht="13.5" hidden="1" thickBot="1">
      <c r="B38" s="102" t="s">
        <v>76</v>
      </c>
      <c r="C38" s="152"/>
      <c r="D38" s="153"/>
      <c r="E38" s="147">
        <v>96</v>
      </c>
    </row>
    <row r="39" spans="2:15" ht="13.5" hidden="1" thickBot="1">
      <c r="B39" s="154" t="s">
        <v>77</v>
      </c>
      <c r="C39" s="155"/>
      <c r="D39" s="156"/>
      <c r="E39" s="157">
        <v>96</v>
      </c>
      <c r="F39" s="100"/>
      <c r="G39" s="100"/>
    </row>
    <row r="40" spans="2:15" ht="14.25" hidden="1" thickTop="1" thickBot="1">
      <c r="B40" s="158"/>
      <c r="C40" s="159"/>
      <c r="D40" s="121">
        <f>AVERAGE(D33:D39)</f>
        <v>95.253149823471233</v>
      </c>
      <c r="E40" s="100"/>
      <c r="F40" s="100"/>
      <c r="G40" s="100"/>
    </row>
    <row r="41" spans="2:15" ht="15" hidden="1" thickBot="1">
      <c r="B41" s="5" t="s">
        <v>42</v>
      </c>
      <c r="C41" s="78" t="s">
        <v>78</v>
      </c>
      <c r="D41" s="335"/>
    </row>
    <row r="42" spans="2:15" ht="13.5" hidden="1" thickBot="1"/>
    <row r="43" spans="2:15" ht="12.75" hidden="1" customHeight="1" thickBot="1">
      <c r="B43" s="591" t="s">
        <v>17</v>
      </c>
      <c r="C43" s="593" t="s">
        <v>18</v>
      </c>
      <c r="D43" s="593" t="s">
        <v>44</v>
      </c>
      <c r="E43" s="593" t="s">
        <v>79</v>
      </c>
      <c r="F43" s="593" t="s">
        <v>51</v>
      </c>
      <c r="G43" s="593" t="s">
        <v>48</v>
      </c>
      <c r="H43" s="608" t="s">
        <v>28</v>
      </c>
      <c r="I43" s="609"/>
      <c r="J43" s="609"/>
      <c r="K43" s="597" t="s">
        <v>27</v>
      </c>
    </row>
    <row r="44" spans="2:15" ht="15.75" hidden="1" customHeight="1" thickBot="1">
      <c r="B44" s="604"/>
      <c r="C44" s="605"/>
      <c r="D44" s="605"/>
      <c r="E44" s="605"/>
      <c r="F44" s="605"/>
      <c r="G44" s="605"/>
      <c r="H44" s="610"/>
      <c r="I44" s="611"/>
      <c r="J44" s="611"/>
      <c r="K44" s="601"/>
      <c r="L44" s="86"/>
      <c r="M44" s="86"/>
      <c r="N44" s="86"/>
      <c r="O44" s="86"/>
    </row>
    <row r="45" spans="2:15" ht="15" hidden="1" customHeight="1" thickBot="1">
      <c r="B45" s="87"/>
      <c r="C45" s="160"/>
      <c r="D45" s="161"/>
      <c r="E45" s="163"/>
      <c r="F45" s="164"/>
      <c r="G45" s="162"/>
      <c r="H45" s="602"/>
      <c r="I45" s="603"/>
      <c r="J45" s="603"/>
      <c r="K45" s="165"/>
      <c r="L45" s="166"/>
      <c r="N45" s="95"/>
    </row>
    <row r="46" spans="2:15" ht="13.5" hidden="1" thickBot="1">
      <c r="B46" s="99"/>
      <c r="C46" s="160"/>
      <c r="D46" s="167"/>
      <c r="E46" s="163"/>
      <c r="F46" s="168"/>
      <c r="G46" s="162"/>
      <c r="H46" s="612"/>
      <c r="I46" s="613"/>
      <c r="J46" s="613"/>
      <c r="K46" s="169"/>
      <c r="L46" s="166"/>
      <c r="M46" s="97"/>
      <c r="N46" s="95"/>
      <c r="O46" s="100"/>
    </row>
    <row r="47" spans="2:15" ht="13.5" hidden="1" thickBot="1">
      <c r="B47" s="99"/>
      <c r="C47" s="160"/>
      <c r="D47" s="103"/>
      <c r="E47" s="170"/>
      <c r="F47" s="168"/>
      <c r="G47" s="162"/>
      <c r="H47" s="612"/>
      <c r="I47" s="613"/>
      <c r="J47" s="613"/>
      <c r="K47" s="169"/>
    </row>
    <row r="48" spans="2:15" ht="13.5" hidden="1" thickBot="1">
      <c r="B48" s="102"/>
      <c r="C48" s="160"/>
      <c r="D48" s="167"/>
      <c r="E48" s="128"/>
      <c r="F48" s="168"/>
      <c r="G48" s="171"/>
      <c r="H48" s="612"/>
      <c r="I48" s="613"/>
      <c r="J48" s="613"/>
      <c r="K48" s="172"/>
    </row>
    <row r="49" spans="2:11" ht="13.5" hidden="1" thickBot="1">
      <c r="B49" s="101"/>
      <c r="C49" s="160"/>
      <c r="D49" s="167"/>
      <c r="E49" s="170"/>
      <c r="F49" s="163"/>
      <c r="G49" s="162"/>
      <c r="H49" s="606"/>
      <c r="I49" s="607"/>
      <c r="J49" s="607"/>
      <c r="K49" s="172"/>
    </row>
    <row r="50" spans="2:11" ht="13.5" hidden="1" thickBot="1">
      <c r="B50" s="173"/>
      <c r="C50" s="160"/>
      <c r="E50" s="168"/>
      <c r="F50" s="168"/>
      <c r="G50" s="145"/>
      <c r="H50" s="606"/>
      <c r="I50" s="607"/>
      <c r="J50" s="607"/>
      <c r="K50" s="172"/>
    </row>
    <row r="51" spans="2:11" ht="13.5" hidden="1" thickBot="1">
      <c r="B51" s="174"/>
      <c r="C51" s="160"/>
      <c r="D51" s="167"/>
      <c r="E51" s="175"/>
      <c r="F51" s="175"/>
      <c r="G51" s="176"/>
      <c r="H51" s="606"/>
      <c r="I51" s="607"/>
      <c r="J51" s="607"/>
      <c r="K51" s="177"/>
    </row>
    <row r="52" spans="2:11" ht="13.5" hidden="1" thickBot="1">
      <c r="B52" s="178"/>
      <c r="C52" s="179"/>
      <c r="D52" s="180"/>
      <c r="E52" s="181"/>
      <c r="F52" s="181"/>
      <c r="G52" s="182"/>
      <c r="H52" s="614"/>
      <c r="I52" s="615"/>
      <c r="J52" s="615"/>
      <c r="K52" s="183"/>
    </row>
    <row r="53" spans="2:11" ht="13.5" thickBot="1">
      <c r="B53" s="184"/>
      <c r="C53" s="117"/>
      <c r="D53" s="616" t="s">
        <v>80</v>
      </c>
      <c r="E53" s="616"/>
      <c r="F53" s="616"/>
      <c r="G53" s="616"/>
      <c r="H53" s="616"/>
      <c r="I53" s="616"/>
      <c r="J53" s="616"/>
      <c r="K53" s="185"/>
    </row>
    <row r="54" spans="2:11" ht="13.5" thickBot="1">
      <c r="B54" s="617" t="s">
        <v>55</v>
      </c>
      <c r="C54" s="618"/>
      <c r="D54" s="618"/>
      <c r="E54" s="619"/>
      <c r="F54" s="617" t="s">
        <v>56</v>
      </c>
      <c r="G54" s="618"/>
      <c r="H54" s="619"/>
      <c r="I54" s="620" t="s">
        <v>81</v>
      </c>
      <c r="J54" s="621"/>
      <c r="K54" s="622"/>
    </row>
    <row r="55" spans="2:11">
      <c r="B55" s="186" t="s">
        <v>17</v>
      </c>
      <c r="C55" s="187" t="s">
        <v>36</v>
      </c>
      <c r="D55" s="187" t="s">
        <v>37</v>
      </c>
      <c r="E55" s="188" t="s">
        <v>39</v>
      </c>
      <c r="F55" s="187" t="s">
        <v>36</v>
      </c>
      <c r="G55" s="187" t="s">
        <v>37</v>
      </c>
      <c r="H55" s="188" t="s">
        <v>39</v>
      </c>
      <c r="I55" s="189" t="s">
        <v>36</v>
      </c>
      <c r="J55" s="189" t="s">
        <v>37</v>
      </c>
      <c r="K55" s="190" t="s">
        <v>39</v>
      </c>
    </row>
    <row r="56" spans="2:11" ht="15">
      <c r="B56" s="29" t="s">
        <v>64</v>
      </c>
      <c r="C56" s="191"/>
      <c r="D56" s="76">
        <f>[38]MTD!$E5</f>
        <v>6.5070971580288672</v>
      </c>
      <c r="E56" s="192">
        <v>5</v>
      </c>
      <c r="F56" s="191"/>
      <c r="G56" s="76">
        <f>[18]September_2026!$AM3</f>
        <v>5.7910975261786639</v>
      </c>
      <c r="H56" s="192">
        <v>5</v>
      </c>
      <c r="I56" s="193"/>
      <c r="J56" s="194">
        <f>[19]September_2026!$AM13</f>
        <v>0.63326855600539822</v>
      </c>
      <c r="K56" s="195">
        <v>1</v>
      </c>
    </row>
    <row r="57" spans="2:11" ht="15">
      <c r="B57" s="33" t="s">
        <v>72</v>
      </c>
      <c r="C57" s="191"/>
      <c r="D57" s="76">
        <f>[38]MTD!$E6</f>
        <v>6.720758239391091</v>
      </c>
      <c r="E57" s="192">
        <v>5</v>
      </c>
      <c r="F57" s="191"/>
      <c r="G57" s="76">
        <f>[18]September_2026!$AM4</f>
        <v>5.7002127582026105</v>
      </c>
      <c r="H57" s="192">
        <v>5</v>
      </c>
      <c r="I57" s="196"/>
      <c r="J57" s="194">
        <f>[19]September_2026!$AM14</f>
        <v>0.55393918128654984</v>
      </c>
      <c r="K57" s="195">
        <v>1</v>
      </c>
    </row>
    <row r="58" spans="2:11" ht="15">
      <c r="B58" s="34" t="s">
        <v>73</v>
      </c>
      <c r="C58" s="191"/>
      <c r="D58" s="76">
        <f>[38]MTD!$E7</f>
        <v>9.7338366703301844</v>
      </c>
      <c r="E58" s="192">
        <v>5</v>
      </c>
      <c r="F58" s="191"/>
      <c r="G58" s="76">
        <f>[18]September_2026!$AM5</f>
        <v>11.452550281375911</v>
      </c>
      <c r="H58" s="192">
        <v>5</v>
      </c>
      <c r="I58" s="196"/>
      <c r="J58" s="194" t="e">
        <f>[19]September_2026!$AM15</f>
        <v>#DIV/0!</v>
      </c>
      <c r="K58" s="195">
        <v>1</v>
      </c>
    </row>
    <row r="59" spans="2:11" ht="15">
      <c r="B59" s="197" t="s">
        <v>74</v>
      </c>
      <c r="C59" s="191"/>
      <c r="D59" s="76" t="e">
        <f>[38]MTD!$E8</f>
        <v>#DIV/0!</v>
      </c>
      <c r="E59" s="192">
        <v>3.5</v>
      </c>
      <c r="F59" s="191"/>
      <c r="G59" s="76" t="e">
        <f>[18]September_2026!$AM6</f>
        <v>#DIV/0!</v>
      </c>
      <c r="H59" s="192">
        <v>3.5</v>
      </c>
      <c r="I59" s="196"/>
      <c r="J59" s="194" t="e">
        <f>[19]September_2026!$AM16</f>
        <v>#DIV/0!</v>
      </c>
      <c r="K59" s="195">
        <v>1</v>
      </c>
    </row>
    <row r="60" spans="2:11" ht="15.75" thickBot="1">
      <c r="B60" s="38" t="s">
        <v>160</v>
      </c>
      <c r="C60" s="191"/>
      <c r="D60" s="76" t="e">
        <f>[38]MTD!$E9</f>
        <v>#DIV/0!</v>
      </c>
      <c r="E60" s="192">
        <v>3.5</v>
      </c>
      <c r="F60" s="198"/>
      <c r="G60" s="76" t="e">
        <f>[18]September_2026!$AM7</f>
        <v>#DIV/0!</v>
      </c>
      <c r="H60" s="192">
        <v>3.5</v>
      </c>
      <c r="I60" s="196"/>
      <c r="J60" s="194" t="e">
        <f>[19]September_2026!$AM17</f>
        <v>#DIV/0!</v>
      </c>
      <c r="K60" s="195">
        <v>1</v>
      </c>
    </row>
    <row r="61" spans="2:11" ht="15">
      <c r="B61" s="199" t="s">
        <v>76</v>
      </c>
      <c r="C61" s="191"/>
      <c r="D61" s="76">
        <f>[38]MTD!$E10</f>
        <v>6.8855672629257718</v>
      </c>
      <c r="E61" s="200">
        <v>5</v>
      </c>
      <c r="F61" s="191"/>
      <c r="G61" s="76">
        <f>[18]September_2026!$AM8</f>
        <v>7.4264332958762713</v>
      </c>
      <c r="H61" s="200">
        <v>5</v>
      </c>
      <c r="I61" s="196"/>
      <c r="J61" s="194">
        <f>[19]September_2026!$AM18</f>
        <v>0.391812865497076</v>
      </c>
      <c r="K61" s="195">
        <v>1</v>
      </c>
    </row>
    <row r="62" spans="2:11" ht="15">
      <c r="B62" s="201" t="s">
        <v>82</v>
      </c>
      <c r="C62" s="202"/>
      <c r="D62" s="76" t="e">
        <f>[38]MTD!$E11</f>
        <v>#DIV/0!</v>
      </c>
      <c r="E62" s="200">
        <v>3.3</v>
      </c>
      <c r="F62" s="202"/>
      <c r="G62" s="76" t="e">
        <f>[18]September_2026!$AM9</f>
        <v>#DIV/0!</v>
      </c>
      <c r="H62" s="200">
        <v>3.3</v>
      </c>
      <c r="I62" s="203"/>
      <c r="J62" s="194" t="e">
        <f>[19]September_2026!$AM19</f>
        <v>#DIV/0!</v>
      </c>
      <c r="K62" s="204">
        <v>1</v>
      </c>
    </row>
    <row r="63" spans="2:11" ht="15.75" thickBot="1">
      <c r="B63" s="38" t="s">
        <v>128</v>
      </c>
      <c r="C63" s="205"/>
      <c r="D63" s="76" t="e">
        <f>[38]MTD!$E12</f>
        <v>#DIV/0!</v>
      </c>
      <c r="E63" s="206">
        <v>3.5</v>
      </c>
      <c r="F63" s="205"/>
      <c r="G63" s="76" t="e">
        <f>[18]September_2026!$AM10</f>
        <v>#DIV/0!</v>
      </c>
      <c r="H63" s="206">
        <v>3.5</v>
      </c>
      <c r="I63" s="207"/>
      <c r="J63" s="194" t="e">
        <f>[19]September_2026!$AM20</f>
        <v>#DIV/0!</v>
      </c>
      <c r="K63" s="208">
        <v>1</v>
      </c>
    </row>
    <row r="64" spans="2:11" ht="15.75" thickBot="1">
      <c r="B64" s="413" t="s">
        <v>159</v>
      </c>
      <c r="C64" s="198"/>
      <c r="D64" s="76" t="e">
        <f>[38]MTD!$E13</f>
        <v>#DIV/0!</v>
      </c>
      <c r="E64" s="192">
        <v>5</v>
      </c>
      <c r="F64" s="198"/>
      <c r="G64" s="76" t="e">
        <f>[18]September_2026!$AM11</f>
        <v>#DIV/0!</v>
      </c>
      <c r="H64" s="192">
        <v>5</v>
      </c>
      <c r="I64" s="412"/>
      <c r="J64" s="194">
        <f>[19]September_2026!$AM21</f>
        <v>0</v>
      </c>
      <c r="K64" s="208">
        <v>1</v>
      </c>
    </row>
    <row r="65" spans="2:11">
      <c r="B65" s="209"/>
      <c r="C65" s="210"/>
      <c r="D65" s="76">
        <f>[38]MTD!$E14</f>
        <v>6.7751741533263203</v>
      </c>
      <c r="E65" s="210"/>
      <c r="F65" s="210"/>
      <c r="G65" s="76">
        <f>[18]September_2026!$AM12</f>
        <v>6.4458895042047315</v>
      </c>
      <c r="H65" s="211"/>
      <c r="I65" s="212"/>
      <c r="J65" s="194">
        <f>[19]September_2026!$AM22</f>
        <v>0.57988693957115023</v>
      </c>
      <c r="K65" s="213"/>
    </row>
    <row r="66" spans="2:11">
      <c r="C66" s="214"/>
      <c r="F66" s="95"/>
    </row>
    <row r="67" spans="2:11">
      <c r="C67" s="214"/>
    </row>
    <row r="73" spans="2:11" ht="18" customHeight="1"/>
  </sheetData>
  <mergeCells count="30">
    <mergeCell ref="H52:J52"/>
    <mergeCell ref="D53:J53"/>
    <mergeCell ref="B54:E54"/>
    <mergeCell ref="F54:H54"/>
    <mergeCell ref="I54:K54"/>
    <mergeCell ref="H51:J51"/>
    <mergeCell ref="F43:F44"/>
    <mergeCell ref="G43:G44"/>
    <mergeCell ref="H43:J44"/>
    <mergeCell ref="H46:J46"/>
    <mergeCell ref="H47:J47"/>
    <mergeCell ref="H48:J48"/>
    <mergeCell ref="H49:J49"/>
    <mergeCell ref="H50:J50"/>
    <mergeCell ref="F21:G21"/>
    <mergeCell ref="K43:K44"/>
    <mergeCell ref="H45:J45"/>
    <mergeCell ref="B43:B44"/>
    <mergeCell ref="C43:C44"/>
    <mergeCell ref="D43:D44"/>
    <mergeCell ref="E43:E44"/>
    <mergeCell ref="B2:K2"/>
    <mergeCell ref="C4:D4"/>
    <mergeCell ref="B8:B9"/>
    <mergeCell ref="C8:C9"/>
    <mergeCell ref="D8:D9"/>
    <mergeCell ref="G8:G9"/>
    <mergeCell ref="H8:H9"/>
    <mergeCell ref="I8:I9"/>
    <mergeCell ref="K8:K9"/>
  </mergeCells>
  <printOptions horizontalCentered="1"/>
  <pageMargins left="0.25" right="0.24" top="0.5" bottom="0.5" header="0.5" footer="0.5"/>
  <pageSetup orientation="portrait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D889C0-C575-4A8E-A1E3-979A579814DF}">
  <sheetPr codeName="Sheet19">
    <tabColor rgb="FF7030A0"/>
    <pageSetUpPr fitToPage="1"/>
  </sheetPr>
  <dimension ref="B1:O73"/>
  <sheetViews>
    <sheetView showZeros="0" topLeftCell="A53" zoomScale="115" zoomScaleNormal="115" workbookViewId="0">
      <selection activeCell="J56" sqref="J56:J65"/>
    </sheetView>
  </sheetViews>
  <sheetFormatPr defaultColWidth="9.42578125" defaultRowHeight="12.75"/>
  <cols>
    <col min="1" max="1" width="9.42578125" style="78"/>
    <col min="2" max="2" width="12.5703125" style="78" customWidth="1"/>
    <col min="3" max="3" width="9.42578125" style="78" customWidth="1"/>
    <col min="4" max="4" width="9.5703125" style="78" customWidth="1"/>
    <col min="5" max="5" width="8.5703125" style="78" customWidth="1"/>
    <col min="6" max="6" width="14.42578125" style="78" customWidth="1"/>
    <col min="7" max="7" width="11.42578125" style="78" customWidth="1"/>
    <col min="8" max="8" width="9.42578125" style="78" bestFit="1" customWidth="1"/>
    <col min="9" max="9" width="11.5703125" style="78" customWidth="1"/>
    <col min="10" max="10" width="11.5703125" style="78" bestFit="1" customWidth="1"/>
    <col min="11" max="11" width="16.42578125" style="78" customWidth="1"/>
    <col min="12" max="12" width="13.42578125" style="78" customWidth="1"/>
    <col min="13" max="16384" width="9.42578125" style="78"/>
  </cols>
  <sheetData>
    <row r="1" spans="2:14" ht="13.5" hidden="1" thickBot="1"/>
    <row r="2" spans="2:14" ht="15.75" hidden="1" thickBot="1">
      <c r="B2" s="589" t="s">
        <v>58</v>
      </c>
      <c r="C2" s="589"/>
      <c r="D2" s="589"/>
      <c r="E2" s="589"/>
      <c r="F2" s="589"/>
      <c r="G2" s="589"/>
      <c r="H2" s="589"/>
      <c r="I2" s="589"/>
      <c r="J2" s="589"/>
      <c r="K2" s="589"/>
    </row>
    <row r="3" spans="2:14" ht="15.75" hidden="1" thickBot="1">
      <c r="B3" s="79"/>
    </row>
    <row r="4" spans="2:14" ht="13.5" hidden="1" thickBot="1">
      <c r="B4" s="78" t="s">
        <v>7</v>
      </c>
      <c r="C4" s="590">
        <v>41431</v>
      </c>
      <c r="D4" s="590"/>
    </row>
    <row r="5" spans="2:14" ht="13.5" hidden="1" thickBot="1">
      <c r="C5" s="78" t="s">
        <v>41</v>
      </c>
    </row>
    <row r="6" spans="2:14" ht="15" hidden="1" thickBot="1">
      <c r="B6" s="5" t="s">
        <v>13</v>
      </c>
    </row>
    <row r="7" spans="2:14" ht="13.5" hidden="1" thickBot="1"/>
    <row r="8" spans="2:14" ht="25.5" hidden="1" customHeight="1" thickBot="1">
      <c r="B8" s="591" t="s">
        <v>17</v>
      </c>
      <c r="C8" s="593" t="s">
        <v>18</v>
      </c>
      <c r="D8" s="593" t="s">
        <v>59</v>
      </c>
      <c r="E8" s="80" t="s">
        <v>20</v>
      </c>
      <c r="F8" s="81" t="s">
        <v>21</v>
      </c>
      <c r="G8" s="593" t="s">
        <v>60</v>
      </c>
      <c r="H8" s="593" t="s">
        <v>61</v>
      </c>
      <c r="I8" s="595" t="s">
        <v>62</v>
      </c>
      <c r="J8" s="82" t="s">
        <v>25</v>
      </c>
      <c r="K8" s="597" t="s">
        <v>28</v>
      </c>
    </row>
    <row r="9" spans="2:14" ht="26.25" hidden="1" thickBot="1">
      <c r="B9" s="592"/>
      <c r="C9" s="594"/>
      <c r="D9" s="594"/>
      <c r="E9" s="83" t="s">
        <v>30</v>
      </c>
      <c r="F9" s="84" t="s">
        <v>63</v>
      </c>
      <c r="G9" s="594"/>
      <c r="H9" s="594"/>
      <c r="I9" s="596"/>
      <c r="J9" s="85" t="s">
        <v>32</v>
      </c>
      <c r="K9" s="598"/>
      <c r="L9" s="86"/>
      <c r="M9" s="86"/>
      <c r="N9" s="86"/>
    </row>
    <row r="10" spans="2:14" ht="13.5" hidden="1" thickBot="1">
      <c r="B10" s="87" t="s">
        <v>64</v>
      </c>
      <c r="C10" s="88" t="str">
        <f>[39]Brewhouse!A5359</f>
        <v>CA236</v>
      </c>
      <c r="D10" s="88">
        <f>[39]Brewhouse!B5359</f>
        <v>41437</v>
      </c>
      <c r="E10" s="89">
        <f>[39]Brewhouse!AG5359</f>
        <v>49.011000000000003</v>
      </c>
      <c r="F10" s="90">
        <f>[39]Brewhouse!T5359</f>
        <v>60</v>
      </c>
      <c r="G10" s="91">
        <f>[39]Brewhouse!I5359</f>
        <v>19.79</v>
      </c>
      <c r="H10" s="92">
        <f>[39]Brewhouse!AS5359</f>
        <v>94.981545664755075</v>
      </c>
      <c r="I10" s="92">
        <f>[39]Brewhouse!AT5359</f>
        <v>97.074072469002047</v>
      </c>
      <c r="J10" s="93">
        <f>[39]Brewhouse!S5359-[39]Brewhouse!R5359</f>
        <v>0.10694444444444451</v>
      </c>
      <c r="K10" s="94"/>
      <c r="N10" s="95"/>
    </row>
    <row r="11" spans="2:14" ht="13.5" hidden="1" thickBot="1">
      <c r="B11" s="96"/>
      <c r="C11" s="88" t="str">
        <f>[39]Brewhouse!A5360</f>
        <v>CA237</v>
      </c>
      <c r="D11" s="88">
        <f>[39]Brewhouse!B5360</f>
        <v>41437</v>
      </c>
      <c r="E11" s="89">
        <f>[39]Brewhouse!AG5360</f>
        <v>48.531999999999996</v>
      </c>
      <c r="F11" s="90">
        <f>[39]Brewhouse!T5360</f>
        <v>68</v>
      </c>
      <c r="G11" s="91">
        <f>[39]Brewhouse!I5360</f>
        <v>17.7</v>
      </c>
      <c r="H11" s="92">
        <f>[39]Brewhouse!AS5360</f>
        <v>94.053260986347809</v>
      </c>
      <c r="I11" s="92">
        <f>[39]Brewhouse!AT5360</f>
        <v>96.1253368644918</v>
      </c>
      <c r="J11" s="93">
        <f>[39]Brewhouse!S5360-[39]Brewhouse!R5360</f>
        <v>0.10972222222222217</v>
      </c>
      <c r="K11" s="94"/>
      <c r="M11" s="97"/>
      <c r="N11" s="95"/>
    </row>
    <row r="12" spans="2:14" ht="12.75" hidden="1" customHeight="1" thickBot="1">
      <c r="B12" s="87"/>
      <c r="C12" s="88" t="str">
        <f>[39]Brewhouse!A5361</f>
        <v>CA238</v>
      </c>
      <c r="D12" s="88">
        <f>[39]Brewhouse!B5361</f>
        <v>41437</v>
      </c>
      <c r="E12" s="89">
        <f>[39]Brewhouse!AG5361</f>
        <v>50.466999999999999</v>
      </c>
      <c r="F12" s="90">
        <f>[39]Brewhouse!T5361</f>
        <v>61</v>
      </c>
      <c r="G12" s="91">
        <f>[39]Brewhouse!I5361</f>
        <v>19.7</v>
      </c>
      <c r="H12" s="92">
        <f>[39]Brewhouse!AS5361</f>
        <v>96.931393272913695</v>
      </c>
      <c r="I12" s="92">
        <f>[39]Brewhouse!AT5361</f>
        <v>99.066876931102286</v>
      </c>
      <c r="J12" s="93">
        <f>[39]Brewhouse!S5361-[39]Brewhouse!R5361</f>
        <v>0.10208333333333341</v>
      </c>
      <c r="K12" s="98"/>
    </row>
    <row r="13" spans="2:14" ht="13.5" hidden="1" thickBot="1">
      <c r="B13" s="99"/>
      <c r="C13" s="88" t="str">
        <f>[39]Brewhouse!A5362</f>
        <v>CA239</v>
      </c>
      <c r="D13" s="88">
        <f>[39]Brewhouse!B5362</f>
        <v>41437</v>
      </c>
      <c r="E13" s="89">
        <f>[39]Brewhouse!AG5362</f>
        <v>49.374000000000002</v>
      </c>
      <c r="F13" s="90">
        <f>[39]Brewhouse!T5362</f>
        <v>62</v>
      </c>
      <c r="G13" s="91">
        <f>[39]Brewhouse!I5362</f>
        <v>19</v>
      </c>
      <c r="H13" s="92">
        <f>[39]Brewhouse!AS5362</f>
        <v>95.68502653795305</v>
      </c>
      <c r="I13" s="92">
        <f>[39]Brewhouse!AT5362</f>
        <v>97.793051643192499</v>
      </c>
      <c r="J13" s="93">
        <f>[39]Brewhouse!S5362-[39]Brewhouse!R5362</f>
        <v>0.10416666666666663</v>
      </c>
      <c r="K13" s="98"/>
      <c r="M13" s="100"/>
    </row>
    <row r="14" spans="2:14" ht="13.5" hidden="1" thickBot="1">
      <c r="B14" s="101"/>
      <c r="C14" s="88"/>
      <c r="D14" s="88"/>
      <c r="E14" s="89"/>
      <c r="F14" s="90"/>
      <c r="G14" s="91"/>
      <c r="H14" s="92"/>
      <c r="I14" s="92"/>
      <c r="J14" s="93"/>
      <c r="K14" s="98"/>
    </row>
    <row r="15" spans="2:14" ht="12.75" hidden="1" customHeight="1" thickBot="1">
      <c r="B15" s="99"/>
      <c r="C15" s="88"/>
      <c r="D15" s="88"/>
      <c r="E15" s="89"/>
      <c r="F15" s="90"/>
      <c r="G15" s="91"/>
      <c r="H15" s="92"/>
      <c r="I15" s="92"/>
      <c r="J15" s="93"/>
      <c r="K15" s="98"/>
    </row>
    <row r="16" spans="2:14" ht="13.5" hidden="1" thickBot="1">
      <c r="B16" s="102"/>
      <c r="C16" s="88"/>
      <c r="D16" s="88"/>
      <c r="E16" s="89"/>
      <c r="F16" s="90"/>
      <c r="G16" s="91"/>
      <c r="H16" s="92"/>
      <c r="I16" s="92"/>
      <c r="J16" s="93"/>
      <c r="K16" s="98"/>
      <c r="L16" s="78" t="s">
        <v>65</v>
      </c>
    </row>
    <row r="17" spans="2:11" ht="13.5" hidden="1" thickBot="1">
      <c r="B17" s="99"/>
      <c r="C17" s="88"/>
      <c r="D17" s="103"/>
      <c r="E17" s="92"/>
      <c r="F17" s="90"/>
      <c r="G17" s="91"/>
      <c r="H17" s="104"/>
      <c r="I17" s="105"/>
      <c r="J17" s="93"/>
      <c r="K17" s="106"/>
    </row>
    <row r="18" spans="2:11" ht="13.5" hidden="1" thickBot="1">
      <c r="B18" s="99"/>
      <c r="C18" s="88"/>
      <c r="D18" s="103"/>
      <c r="E18" s="92"/>
      <c r="F18" s="90"/>
      <c r="G18" s="91"/>
      <c r="H18" s="104"/>
      <c r="I18" s="105"/>
      <c r="J18" s="93"/>
      <c r="K18" s="106"/>
    </row>
    <row r="19" spans="2:11" ht="13.5" hidden="1" thickBot="1">
      <c r="B19" s="107"/>
      <c r="C19" s="108"/>
      <c r="D19" s="109"/>
      <c r="E19" s="110"/>
      <c r="F19" s="111"/>
      <c r="G19" s="112"/>
      <c r="H19" s="113"/>
      <c r="I19" s="114"/>
      <c r="J19" s="115"/>
      <c r="K19" s="116"/>
    </row>
    <row r="20" spans="2:11" ht="14.25" hidden="1" thickTop="1" thickBot="1">
      <c r="C20" s="117"/>
      <c r="D20" s="118"/>
      <c r="E20" s="119"/>
      <c r="F20" s="97"/>
      <c r="G20" s="120"/>
      <c r="H20" s="97"/>
      <c r="I20" s="121">
        <f>AVERAGE(I10:I13)</f>
        <v>97.514834476947158</v>
      </c>
      <c r="J20" s="97"/>
      <c r="K20" s="122"/>
    </row>
    <row r="21" spans="2:11" ht="13.5" hidden="1" thickBot="1">
      <c r="B21" s="86" t="s">
        <v>66</v>
      </c>
      <c r="C21" s="118"/>
      <c r="D21" s="123" t="s">
        <v>67</v>
      </c>
      <c r="E21" s="124" t="s">
        <v>68</v>
      </c>
      <c r="F21" s="599" t="s">
        <v>69</v>
      </c>
      <c r="G21" s="600"/>
      <c r="H21" s="337"/>
      <c r="I21" s="125"/>
      <c r="J21" s="97"/>
      <c r="K21" s="126" t="s">
        <v>24</v>
      </c>
    </row>
    <row r="22" spans="2:11" ht="13.5" hidden="1" thickBot="1">
      <c r="B22" s="117"/>
      <c r="C22" s="118"/>
      <c r="D22" s="127"/>
      <c r="E22" s="92"/>
      <c r="F22" s="128" t="s">
        <v>70</v>
      </c>
      <c r="G22" s="129" t="s">
        <v>71</v>
      </c>
      <c r="H22" s="338"/>
      <c r="I22" s="117"/>
      <c r="J22" s="97"/>
      <c r="K22" s="130"/>
    </row>
    <row r="23" spans="2:11" ht="15.75" hidden="1" thickBot="1">
      <c r="B23" s="117"/>
      <c r="C23" s="118"/>
      <c r="D23" s="131"/>
      <c r="E23" s="88" t="str">
        <f>C10</f>
        <v>CA236</v>
      </c>
      <c r="F23" s="132"/>
      <c r="G23" s="133"/>
      <c r="H23" s="136"/>
      <c r="I23" s="134"/>
      <c r="J23" s="97"/>
      <c r="K23" s="135">
        <f>[39]Brewhouse!N5359</f>
        <v>60</v>
      </c>
    </row>
    <row r="24" spans="2:11" ht="15.75" hidden="1" thickBot="1">
      <c r="B24" s="117"/>
      <c r="C24" s="118"/>
      <c r="D24" s="131"/>
      <c r="E24" s="88" t="str">
        <f>C11</f>
        <v>CA237</v>
      </c>
      <c r="F24" s="132"/>
      <c r="G24" s="133"/>
      <c r="H24" s="136"/>
      <c r="I24" s="134"/>
      <c r="J24" s="97"/>
      <c r="K24" s="135">
        <f>[39]Brewhouse!N5360</f>
        <v>60</v>
      </c>
    </row>
    <row r="25" spans="2:11" ht="15.75" hidden="1" thickBot="1">
      <c r="B25" s="117"/>
      <c r="C25" s="118"/>
      <c r="D25" s="131"/>
      <c r="E25" s="88" t="str">
        <f>C12</f>
        <v>CA238</v>
      </c>
      <c r="F25" s="132"/>
      <c r="G25" s="133"/>
      <c r="H25" s="136"/>
      <c r="I25" s="134"/>
      <c r="J25" s="97"/>
      <c r="K25" s="135">
        <f>[39]Brewhouse!N5361</f>
        <v>60</v>
      </c>
    </row>
    <row r="26" spans="2:11" ht="15.75" hidden="1" thickBot="1">
      <c r="B26" s="117"/>
      <c r="C26" s="118"/>
      <c r="D26" s="131"/>
      <c r="E26" s="88" t="str">
        <f>C13</f>
        <v>CA239</v>
      </c>
      <c r="F26" s="132"/>
      <c r="G26" s="133"/>
      <c r="H26" s="136"/>
      <c r="I26" s="134"/>
      <c r="J26" s="97"/>
      <c r="K26" s="135">
        <f>[39]Brewhouse!N5362</f>
        <v>60</v>
      </c>
    </row>
    <row r="27" spans="2:11" ht="15.75" hidden="1" thickBot="1">
      <c r="B27" s="117"/>
      <c r="C27" s="118"/>
      <c r="D27" s="131"/>
      <c r="E27" s="88">
        <f>C14</f>
        <v>0</v>
      </c>
      <c r="F27" s="132"/>
      <c r="G27" s="133"/>
      <c r="H27" s="136"/>
      <c r="I27" s="134"/>
      <c r="J27" s="97"/>
      <c r="K27" s="135"/>
    </row>
    <row r="28" spans="2:11" ht="15.75" hidden="1" thickBot="1">
      <c r="B28" s="117"/>
      <c r="C28" s="118"/>
      <c r="D28" s="131"/>
      <c r="E28" s="88"/>
      <c r="F28" s="132"/>
      <c r="G28" s="133"/>
      <c r="H28" s="136"/>
      <c r="I28" s="134"/>
      <c r="J28" s="97"/>
      <c r="K28" s="135"/>
    </row>
    <row r="29" spans="2:11" ht="15.75" hidden="1" thickBot="1">
      <c r="B29" s="117"/>
      <c r="C29" s="118"/>
      <c r="D29" s="131"/>
      <c r="E29" s="88">
        <f>C15</f>
        <v>0</v>
      </c>
      <c r="F29" s="132"/>
      <c r="G29" s="133"/>
      <c r="H29" s="136"/>
      <c r="I29" s="134"/>
      <c r="J29" s="97"/>
      <c r="K29" s="135"/>
    </row>
    <row r="30" spans="2:11" ht="13.5" hidden="1" thickBot="1">
      <c r="C30" s="117"/>
      <c r="D30" s="137"/>
      <c r="E30" s="108"/>
      <c r="F30" s="138"/>
      <c r="G30" s="139"/>
      <c r="H30" s="336"/>
      <c r="I30" s="120"/>
      <c r="J30" s="97"/>
      <c r="K30" s="140"/>
    </row>
    <row r="31" spans="2:11" ht="13.5" hidden="1" thickBot="1">
      <c r="F31" s="97"/>
    </row>
    <row r="32" spans="2:11" ht="13.5" hidden="1" thickBot="1">
      <c r="B32" s="141" t="s">
        <v>17</v>
      </c>
      <c r="C32" s="142" t="s">
        <v>36</v>
      </c>
      <c r="D32" s="142" t="s">
        <v>37</v>
      </c>
      <c r="E32" s="143" t="s">
        <v>39</v>
      </c>
      <c r="F32" s="144"/>
      <c r="G32" s="144"/>
    </row>
    <row r="33" spans="2:15" ht="13.5" hidden="1" thickBot="1">
      <c r="B33" s="87" t="s">
        <v>64</v>
      </c>
      <c r="C33" s="145">
        <f>AVERAGE(H10:H13)</f>
        <v>95.4128066154924</v>
      </c>
      <c r="D33" s="146">
        <f>AVERAGE([39]Brewhouse!$AS$5347:$AS$5362)</f>
        <v>96.296241624200576</v>
      </c>
      <c r="E33" s="147">
        <v>96</v>
      </c>
    </row>
    <row r="34" spans="2:15" ht="13.5" hidden="1" thickBot="1">
      <c r="B34" s="99" t="s">
        <v>72</v>
      </c>
      <c r="C34" s="100"/>
      <c r="D34" s="146">
        <f>AVERAGE([40]Brewhouse!$AQ$641:$AQ$644)</f>
        <v>94.359266355846486</v>
      </c>
      <c r="E34" s="147">
        <v>96</v>
      </c>
    </row>
    <row r="35" spans="2:15" ht="13.5" hidden="1" thickBot="1">
      <c r="B35" s="101" t="s">
        <v>73</v>
      </c>
      <c r="C35" s="145"/>
      <c r="D35" s="146"/>
      <c r="E35" s="147">
        <v>96</v>
      </c>
      <c r="F35" s="100"/>
      <c r="G35" s="100"/>
    </row>
    <row r="36" spans="2:15" ht="13.5" hidden="1" thickBot="1">
      <c r="B36" s="148" t="s">
        <v>74</v>
      </c>
      <c r="C36" s="145"/>
      <c r="D36" s="149">
        <f>AVERAGE([41]Brewhouse!$AU$708:$AU$711)</f>
        <v>95.049759132870761</v>
      </c>
      <c r="E36" s="147">
        <v>96</v>
      </c>
    </row>
    <row r="37" spans="2:15" ht="13.5" hidden="1" thickBot="1">
      <c r="B37" s="150" t="s">
        <v>75</v>
      </c>
      <c r="C37" s="145"/>
      <c r="D37" s="151">
        <f>AVERAGE([42]Brewhouse!$AY$943:$AY$946)</f>
        <v>95.307332180967137</v>
      </c>
      <c r="E37" s="147">
        <v>96</v>
      </c>
    </row>
    <row r="38" spans="2:15" ht="13.5" hidden="1" thickBot="1">
      <c r="B38" s="102" t="s">
        <v>76</v>
      </c>
      <c r="C38" s="152"/>
      <c r="D38" s="153"/>
      <c r="E38" s="147">
        <v>96</v>
      </c>
    </row>
    <row r="39" spans="2:15" ht="13.5" hidden="1" thickBot="1">
      <c r="B39" s="154" t="s">
        <v>77</v>
      </c>
      <c r="C39" s="155"/>
      <c r="D39" s="156"/>
      <c r="E39" s="157">
        <v>96</v>
      </c>
      <c r="F39" s="100"/>
      <c r="G39" s="100"/>
    </row>
    <row r="40" spans="2:15" ht="14.25" hidden="1" thickTop="1" thickBot="1">
      <c r="B40" s="158"/>
      <c r="C40" s="159"/>
      <c r="D40" s="121">
        <f>AVERAGE(D33:D39)</f>
        <v>95.253149823471233</v>
      </c>
      <c r="E40" s="100"/>
      <c r="F40" s="100"/>
      <c r="G40" s="100"/>
    </row>
    <row r="41" spans="2:15" ht="15" hidden="1" thickBot="1">
      <c r="B41" s="5" t="s">
        <v>42</v>
      </c>
      <c r="C41" s="78" t="s">
        <v>78</v>
      </c>
      <c r="D41" s="335"/>
    </row>
    <row r="42" spans="2:15" ht="13.5" hidden="1" thickBot="1"/>
    <row r="43" spans="2:15" ht="12.75" hidden="1" customHeight="1" thickBot="1">
      <c r="B43" s="591" t="s">
        <v>17</v>
      </c>
      <c r="C43" s="593" t="s">
        <v>18</v>
      </c>
      <c r="D43" s="593" t="s">
        <v>44</v>
      </c>
      <c r="E43" s="593" t="s">
        <v>79</v>
      </c>
      <c r="F43" s="593" t="s">
        <v>51</v>
      </c>
      <c r="G43" s="593" t="s">
        <v>48</v>
      </c>
      <c r="H43" s="608" t="s">
        <v>28</v>
      </c>
      <c r="I43" s="609"/>
      <c r="J43" s="609"/>
      <c r="K43" s="597" t="s">
        <v>27</v>
      </c>
    </row>
    <row r="44" spans="2:15" ht="15.75" hidden="1" customHeight="1" thickBot="1">
      <c r="B44" s="604"/>
      <c r="C44" s="605"/>
      <c r="D44" s="605"/>
      <c r="E44" s="605"/>
      <c r="F44" s="605"/>
      <c r="G44" s="605"/>
      <c r="H44" s="610"/>
      <c r="I44" s="611"/>
      <c r="J44" s="611"/>
      <c r="K44" s="601"/>
      <c r="L44" s="86"/>
      <c r="M44" s="86"/>
      <c r="N44" s="86"/>
      <c r="O44" s="86"/>
    </row>
    <row r="45" spans="2:15" ht="15" hidden="1" customHeight="1" thickBot="1">
      <c r="B45" s="87"/>
      <c r="C45" s="160"/>
      <c r="D45" s="161"/>
      <c r="E45" s="163"/>
      <c r="F45" s="164"/>
      <c r="G45" s="162"/>
      <c r="H45" s="602"/>
      <c r="I45" s="603"/>
      <c r="J45" s="603"/>
      <c r="K45" s="165"/>
      <c r="L45" s="166"/>
      <c r="N45" s="95"/>
    </row>
    <row r="46" spans="2:15" ht="13.5" hidden="1" thickBot="1">
      <c r="B46" s="99"/>
      <c r="C46" s="160"/>
      <c r="D46" s="167"/>
      <c r="E46" s="163"/>
      <c r="F46" s="168"/>
      <c r="G46" s="162"/>
      <c r="H46" s="612"/>
      <c r="I46" s="613"/>
      <c r="J46" s="613"/>
      <c r="K46" s="169"/>
      <c r="L46" s="166"/>
      <c r="M46" s="97"/>
      <c r="N46" s="95"/>
      <c r="O46" s="100"/>
    </row>
    <row r="47" spans="2:15" ht="13.5" hidden="1" thickBot="1">
      <c r="B47" s="99"/>
      <c r="C47" s="160"/>
      <c r="D47" s="103"/>
      <c r="E47" s="170"/>
      <c r="F47" s="168"/>
      <c r="G47" s="162"/>
      <c r="H47" s="612"/>
      <c r="I47" s="613"/>
      <c r="J47" s="613"/>
      <c r="K47" s="169"/>
    </row>
    <row r="48" spans="2:15" ht="13.5" hidden="1" thickBot="1">
      <c r="B48" s="102"/>
      <c r="C48" s="160"/>
      <c r="D48" s="167"/>
      <c r="E48" s="128"/>
      <c r="F48" s="168"/>
      <c r="G48" s="171"/>
      <c r="H48" s="612"/>
      <c r="I48" s="613"/>
      <c r="J48" s="613"/>
      <c r="K48" s="172"/>
    </row>
    <row r="49" spans="2:11" ht="13.5" hidden="1" thickBot="1">
      <c r="B49" s="101"/>
      <c r="C49" s="160"/>
      <c r="D49" s="167"/>
      <c r="E49" s="170"/>
      <c r="F49" s="163"/>
      <c r="G49" s="162"/>
      <c r="H49" s="606"/>
      <c r="I49" s="607"/>
      <c r="J49" s="607"/>
      <c r="K49" s="172"/>
    </row>
    <row r="50" spans="2:11" ht="13.5" hidden="1" thickBot="1">
      <c r="B50" s="173"/>
      <c r="C50" s="160"/>
      <c r="E50" s="168"/>
      <c r="F50" s="168"/>
      <c r="G50" s="145"/>
      <c r="H50" s="606"/>
      <c r="I50" s="607"/>
      <c r="J50" s="607"/>
      <c r="K50" s="172"/>
    </row>
    <row r="51" spans="2:11" ht="13.5" hidden="1" thickBot="1">
      <c r="B51" s="174"/>
      <c r="C51" s="160"/>
      <c r="D51" s="167"/>
      <c r="E51" s="175"/>
      <c r="F51" s="175"/>
      <c r="G51" s="176"/>
      <c r="H51" s="606"/>
      <c r="I51" s="607"/>
      <c r="J51" s="607"/>
      <c r="K51" s="177"/>
    </row>
    <row r="52" spans="2:11" ht="13.5" hidden="1" thickBot="1">
      <c r="B52" s="178"/>
      <c r="C52" s="179"/>
      <c r="D52" s="180"/>
      <c r="E52" s="181"/>
      <c r="F52" s="181"/>
      <c r="G52" s="182"/>
      <c r="H52" s="614"/>
      <c r="I52" s="615"/>
      <c r="J52" s="615"/>
      <c r="K52" s="183"/>
    </row>
    <row r="53" spans="2:11" ht="13.5" thickBot="1">
      <c r="B53" s="184"/>
      <c r="C53" s="117"/>
      <c r="D53" s="616" t="s">
        <v>80</v>
      </c>
      <c r="E53" s="616"/>
      <c r="F53" s="616"/>
      <c r="G53" s="616"/>
      <c r="H53" s="616"/>
      <c r="I53" s="616"/>
      <c r="J53" s="616"/>
      <c r="K53" s="185"/>
    </row>
    <row r="54" spans="2:11" ht="13.5" thickBot="1">
      <c r="B54" s="617" t="s">
        <v>55</v>
      </c>
      <c r="C54" s="618"/>
      <c r="D54" s="618"/>
      <c r="E54" s="619"/>
      <c r="F54" s="617" t="s">
        <v>56</v>
      </c>
      <c r="G54" s="618"/>
      <c r="H54" s="619"/>
      <c r="I54" s="620" t="s">
        <v>81</v>
      </c>
      <c r="J54" s="621"/>
      <c r="K54" s="622"/>
    </row>
    <row r="55" spans="2:11">
      <c r="B55" s="186" t="s">
        <v>17</v>
      </c>
      <c r="C55" s="187" t="s">
        <v>36</v>
      </c>
      <c r="D55" s="187" t="s">
        <v>38</v>
      </c>
      <c r="E55" s="188" t="s">
        <v>39</v>
      </c>
      <c r="F55" s="187" t="s">
        <v>36</v>
      </c>
      <c r="G55" s="187" t="s">
        <v>38</v>
      </c>
      <c r="H55" s="188" t="s">
        <v>39</v>
      </c>
      <c r="I55" s="189" t="s">
        <v>36</v>
      </c>
      <c r="J55" s="189" t="s">
        <v>38</v>
      </c>
      <c r="K55" s="190" t="s">
        <v>39</v>
      </c>
    </row>
    <row r="56" spans="2:11" ht="15">
      <c r="B56" s="29" t="s">
        <v>64</v>
      </c>
      <c r="C56" s="191"/>
      <c r="D56" s="76">
        <f>'[38]YTD 2026'!$E5</f>
        <v>6.5170500907693674</v>
      </c>
      <c r="E56" s="192">
        <v>5</v>
      </c>
      <c r="F56" s="191"/>
      <c r="G56" s="76">
        <f>[18]September_2026!$AP3</f>
        <v>6.5511187503051573</v>
      </c>
      <c r="H56" s="192">
        <v>5</v>
      </c>
      <c r="I56" s="193"/>
      <c r="J56" s="194">
        <f>[19]September_2026!$AP13</f>
        <v>0.53908627189124969</v>
      </c>
      <c r="K56" s="195">
        <v>1</v>
      </c>
    </row>
    <row r="57" spans="2:11" ht="15">
      <c r="B57" s="33" t="s">
        <v>72</v>
      </c>
      <c r="C57" s="191"/>
      <c r="D57" s="76">
        <f>'[38]YTD 2026'!$E6</f>
        <v>5.8780358526209691</v>
      </c>
      <c r="E57" s="192">
        <v>5</v>
      </c>
      <c r="F57" s="191"/>
      <c r="G57" s="76">
        <f>[18]September_2026!$AP4</f>
        <v>5.9275658832823668</v>
      </c>
      <c r="H57" s="192">
        <v>5</v>
      </c>
      <c r="I57" s="196"/>
      <c r="J57" s="194">
        <f>[19]September_2026!$AP14</f>
        <v>0.6824652535868081</v>
      </c>
      <c r="K57" s="195">
        <v>1</v>
      </c>
    </row>
    <row r="58" spans="2:11" ht="15">
      <c r="B58" s="34" t="s">
        <v>73</v>
      </c>
      <c r="C58" s="191"/>
      <c r="D58" s="76">
        <f>'[38]YTD 2026'!$E7</f>
        <v>11.107064244881148</v>
      </c>
      <c r="E58" s="192">
        <v>5</v>
      </c>
      <c r="F58" s="191"/>
      <c r="G58" s="76">
        <f>[18]September_2026!$AP5</f>
        <v>11.819732298933111</v>
      </c>
      <c r="H58" s="192">
        <v>5</v>
      </c>
      <c r="I58" s="196"/>
      <c r="J58" s="194">
        <f>[19]September_2026!$AP15</f>
        <v>0.35370190356844494</v>
      </c>
      <c r="K58" s="195">
        <v>1</v>
      </c>
    </row>
    <row r="59" spans="2:11" ht="15">
      <c r="B59" s="197" t="s">
        <v>74</v>
      </c>
      <c r="C59" s="191"/>
      <c r="D59" s="76">
        <f>'[38]YTD 2026'!$E8</f>
        <v>4.8685538193023836</v>
      </c>
      <c r="E59" s="192">
        <v>3.5</v>
      </c>
      <c r="F59" s="191"/>
      <c r="G59" s="76">
        <f>[18]September_2026!$AP6</f>
        <v>4.8702525342252114</v>
      </c>
      <c r="H59" s="192">
        <v>3.5</v>
      </c>
      <c r="I59" s="196"/>
      <c r="J59" s="194">
        <f>[19]September_2026!$AP16</f>
        <v>0.77919298245614044</v>
      </c>
      <c r="K59" s="195">
        <v>1</v>
      </c>
    </row>
    <row r="60" spans="2:11" ht="15.75" thickBot="1">
      <c r="B60" s="38" t="s">
        <v>160</v>
      </c>
      <c r="C60" s="191"/>
      <c r="D60" s="76" t="e">
        <f>'[38]YTD 2026'!$E9</f>
        <v>#DIV/0!</v>
      </c>
      <c r="E60" s="192">
        <v>3.5</v>
      </c>
      <c r="F60" s="198"/>
      <c r="G60" s="76" t="e">
        <f>[18]September_2026!$AP7</f>
        <v>#DIV/0!</v>
      </c>
      <c r="H60" s="192">
        <v>3.5</v>
      </c>
      <c r="I60" s="196"/>
      <c r="J60" s="194" t="e">
        <f>[19]September_2026!$AP17</f>
        <v>#DIV/0!</v>
      </c>
      <c r="K60" s="195">
        <v>1</v>
      </c>
    </row>
    <row r="61" spans="2:11" ht="15">
      <c r="B61" s="199" t="s">
        <v>76</v>
      </c>
      <c r="C61" s="191"/>
      <c r="D61" s="76">
        <f>'[38]YTD 2026'!$E10</f>
        <v>6.3233965672990236</v>
      </c>
      <c r="E61" s="200">
        <v>5</v>
      </c>
      <c r="F61" s="191"/>
      <c r="G61" s="76">
        <f>[18]September_2026!$AP8</f>
        <v>7.9667553186446929</v>
      </c>
      <c r="H61" s="200">
        <v>5</v>
      </c>
      <c r="I61" s="196"/>
      <c r="J61" s="194">
        <f>[19]September_2026!$AP18</f>
        <v>0.5883625730994152</v>
      </c>
      <c r="K61" s="195">
        <v>1</v>
      </c>
    </row>
    <row r="62" spans="2:11" ht="15">
      <c r="B62" s="201" t="s">
        <v>82</v>
      </c>
      <c r="C62" s="202"/>
      <c r="D62" s="76">
        <f>'[38]YTD 2026'!$E11</f>
        <v>3.6168923014750334</v>
      </c>
      <c r="E62" s="200">
        <v>3.3</v>
      </c>
      <c r="F62" s="202"/>
      <c r="G62" s="76">
        <f>[18]September_2026!$AP9</f>
        <v>5.0091179718082053</v>
      </c>
      <c r="H62" s="200">
        <v>3.3</v>
      </c>
      <c r="I62" s="203"/>
      <c r="J62" s="194">
        <f>[19]September_2026!$AP19</f>
        <v>0.92642300194931759</v>
      </c>
      <c r="K62" s="204">
        <v>1</v>
      </c>
    </row>
    <row r="63" spans="2:11" ht="15.75" thickBot="1">
      <c r="B63" s="38" t="s">
        <v>128</v>
      </c>
      <c r="C63" s="205"/>
      <c r="D63" s="76" t="e">
        <f>'[38]YTD 2026'!$E12</f>
        <v>#DIV/0!</v>
      </c>
      <c r="E63" s="206">
        <v>3.5</v>
      </c>
      <c r="F63" s="205"/>
      <c r="G63" s="76" t="e">
        <f>[18]September_2026!$AP10</f>
        <v>#DIV/0!</v>
      </c>
      <c r="H63" s="206">
        <v>3.5</v>
      </c>
      <c r="I63" s="207"/>
      <c r="J63" s="194" t="e">
        <f>[19]September_2026!$AP20</f>
        <v>#DIV/0!</v>
      </c>
      <c r="K63" s="208">
        <v>1</v>
      </c>
    </row>
    <row r="64" spans="2:11" ht="15.75" thickBot="1">
      <c r="B64" s="413" t="s">
        <v>159</v>
      </c>
      <c r="C64" s="205"/>
      <c r="D64" s="76" t="e">
        <f>'[38]YTD 2026'!$E13</f>
        <v>#DIV/0!</v>
      </c>
      <c r="E64" s="206">
        <v>5</v>
      </c>
      <c r="F64" s="205"/>
      <c r="G64" s="76" t="e">
        <f>[18]September_2026!$AP11</f>
        <v>#DIV/0!</v>
      </c>
      <c r="H64" s="206">
        <v>5</v>
      </c>
      <c r="I64" s="207"/>
      <c r="J64" s="194" t="e">
        <f>[19]September_2026!$AP21</f>
        <v>#DIV/0!</v>
      </c>
      <c r="K64" s="208">
        <v>1</v>
      </c>
    </row>
    <row r="65" spans="2:11">
      <c r="B65" s="209"/>
      <c r="C65" s="210"/>
      <c r="D65" s="76">
        <f>'[38]YTD 2026'!$E14</f>
        <v>6.3779022497499271</v>
      </c>
      <c r="E65" s="210"/>
      <c r="F65" s="210"/>
      <c r="G65" s="76">
        <f>[18]September_2026!$AP12</f>
        <v>6.6706012803001906</v>
      </c>
      <c r="H65" s="211"/>
      <c r="I65" s="212"/>
      <c r="J65" s="194">
        <f>[19]September_2026!$AP22</f>
        <v>0.59631287930462207</v>
      </c>
      <c r="K65" s="213"/>
    </row>
    <row r="66" spans="2:11">
      <c r="C66" s="214"/>
      <c r="F66" s="95"/>
    </row>
    <row r="67" spans="2:11">
      <c r="C67" s="214"/>
    </row>
    <row r="73" spans="2:11" ht="18" customHeight="1"/>
  </sheetData>
  <mergeCells count="30">
    <mergeCell ref="H52:J52"/>
    <mergeCell ref="D53:J53"/>
    <mergeCell ref="B54:E54"/>
    <mergeCell ref="F54:H54"/>
    <mergeCell ref="I54:K54"/>
    <mergeCell ref="H51:J51"/>
    <mergeCell ref="F43:F44"/>
    <mergeCell ref="G43:G44"/>
    <mergeCell ref="H43:J44"/>
    <mergeCell ref="H46:J46"/>
    <mergeCell ref="H47:J47"/>
    <mergeCell ref="H48:J48"/>
    <mergeCell ref="H49:J49"/>
    <mergeCell ref="H50:J50"/>
    <mergeCell ref="F21:G21"/>
    <mergeCell ref="K43:K44"/>
    <mergeCell ref="H45:J45"/>
    <mergeCell ref="B43:B44"/>
    <mergeCell ref="C43:C44"/>
    <mergeCell ref="D43:D44"/>
    <mergeCell ref="E43:E44"/>
    <mergeCell ref="B2:K2"/>
    <mergeCell ref="C4:D4"/>
    <mergeCell ref="B8:B9"/>
    <mergeCell ref="C8:C9"/>
    <mergeCell ref="D8:D9"/>
    <mergeCell ref="G8:G9"/>
    <mergeCell ref="H8:H9"/>
    <mergeCell ref="I8:I9"/>
    <mergeCell ref="K8:K9"/>
  </mergeCells>
  <printOptions horizontalCentered="1"/>
  <pageMargins left="0.25" right="0.24" top="0.5" bottom="0.5" header="0.5" footer="0.5"/>
  <pageSetup scale="90" orientation="portrait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0FDA13-74B1-4009-90C9-5A553EBA7938}">
  <sheetPr codeName="Sheet20">
    <tabColor rgb="FFFFFF00"/>
  </sheetPr>
  <dimension ref="A1:M38"/>
  <sheetViews>
    <sheetView topLeftCell="B16" workbookViewId="0">
      <selection activeCell="E70" sqref="E70"/>
    </sheetView>
  </sheetViews>
  <sheetFormatPr defaultRowHeight="12.75"/>
  <cols>
    <col min="2" max="2" width="9.5703125" customWidth="1"/>
    <col min="3" max="3" width="11" customWidth="1"/>
    <col min="4" max="4" width="13.5703125" customWidth="1"/>
    <col min="5" max="5" width="15.5703125" customWidth="1"/>
    <col min="11" max="11" width="10.42578125" bestFit="1" customWidth="1"/>
    <col min="12" max="12" width="15.42578125" bestFit="1" customWidth="1"/>
    <col min="13" max="13" width="12.28515625" bestFit="1" customWidth="1"/>
  </cols>
  <sheetData>
    <row r="1" spans="1:13" ht="15">
      <c r="A1" s="215"/>
      <c r="B1" s="215"/>
      <c r="C1" s="215"/>
      <c r="D1" s="215"/>
      <c r="E1" s="215"/>
      <c r="F1" s="215"/>
      <c r="G1" s="215"/>
      <c r="H1" s="215"/>
      <c r="I1" s="215"/>
      <c r="J1" s="215"/>
      <c r="K1" s="215"/>
    </row>
    <row r="2" spans="1:13" ht="15.75">
      <c r="A2" s="215"/>
      <c r="B2" s="623" t="s">
        <v>34</v>
      </c>
      <c r="C2" s="623"/>
      <c r="D2" s="623"/>
      <c r="E2" s="215"/>
      <c r="F2" s="215"/>
      <c r="G2" s="215"/>
      <c r="H2" s="215"/>
      <c r="I2" s="215"/>
      <c r="J2" s="215"/>
      <c r="K2" s="215"/>
    </row>
    <row r="3" spans="1:13" s="219" customFormat="1" ht="15.75">
      <c r="A3" s="216"/>
      <c r="B3" s="217" t="s">
        <v>84</v>
      </c>
      <c r="C3" s="218" t="s">
        <v>85</v>
      </c>
      <c r="D3" s="218" t="s">
        <v>86</v>
      </c>
      <c r="E3" s="218" t="s">
        <v>87</v>
      </c>
      <c r="F3" s="218" t="s">
        <v>88</v>
      </c>
      <c r="G3" s="218" t="s">
        <v>89</v>
      </c>
      <c r="H3" s="218" t="s">
        <v>90</v>
      </c>
      <c r="I3" s="218" t="s">
        <v>91</v>
      </c>
      <c r="J3" s="218" t="s">
        <v>92</v>
      </c>
      <c r="K3" s="218" t="s">
        <v>93</v>
      </c>
      <c r="L3" s="218" t="s">
        <v>94</v>
      </c>
      <c r="M3" s="218" t="s">
        <v>95</v>
      </c>
    </row>
    <row r="4" spans="1:13" ht="15">
      <c r="A4" s="215"/>
      <c r="B4" s="220">
        <v>98</v>
      </c>
      <c r="C4" s="221" t="s">
        <v>64</v>
      </c>
      <c r="D4" s="222"/>
      <c r="E4" s="223"/>
      <c r="F4" s="223"/>
      <c r="G4" s="223"/>
      <c r="H4" s="223"/>
      <c r="I4" s="223"/>
      <c r="J4" s="223"/>
      <c r="K4" s="223"/>
      <c r="L4" s="223"/>
    </row>
    <row r="5" spans="1:13" ht="15">
      <c r="A5" s="215"/>
      <c r="B5" s="220">
        <v>98</v>
      </c>
      <c r="C5" s="224" t="s">
        <v>72</v>
      </c>
      <c r="D5" s="223"/>
      <c r="E5" s="223"/>
      <c r="F5" s="223"/>
      <c r="G5" s="223"/>
      <c r="H5" s="223"/>
      <c r="I5" s="223"/>
      <c r="J5" s="223"/>
      <c r="K5" s="223"/>
      <c r="L5" s="223"/>
    </row>
    <row r="6" spans="1:13" ht="15">
      <c r="A6" s="215"/>
      <c r="B6" s="220">
        <v>98</v>
      </c>
      <c r="C6" s="225" t="s">
        <v>96</v>
      </c>
      <c r="D6" s="222"/>
      <c r="E6" s="223"/>
      <c r="F6" s="223"/>
      <c r="G6" s="223"/>
      <c r="H6" s="223"/>
      <c r="I6" s="223"/>
      <c r="J6" s="223"/>
      <c r="K6" s="223"/>
      <c r="L6" s="223"/>
    </row>
    <row r="7" spans="1:13" ht="15">
      <c r="A7" s="215"/>
      <c r="B7" s="220">
        <v>98</v>
      </c>
      <c r="C7" s="226" t="s">
        <v>76</v>
      </c>
      <c r="D7" s="223"/>
      <c r="E7" s="223"/>
      <c r="F7" s="223"/>
      <c r="G7" s="223"/>
      <c r="H7" s="223"/>
      <c r="I7" s="223"/>
      <c r="J7" s="223"/>
      <c r="K7" s="223"/>
      <c r="L7" s="223"/>
    </row>
    <row r="8" spans="1:13" ht="15">
      <c r="A8" s="215"/>
      <c r="B8" s="220">
        <v>98</v>
      </c>
      <c r="C8" s="227" t="s">
        <v>83</v>
      </c>
      <c r="D8" s="222"/>
      <c r="E8" s="223"/>
      <c r="F8" s="223"/>
      <c r="G8" s="223"/>
      <c r="H8" s="223"/>
      <c r="I8" s="223"/>
      <c r="J8" s="223"/>
      <c r="K8" s="223"/>
      <c r="L8" s="223"/>
    </row>
    <row r="9" spans="1:13" ht="15">
      <c r="A9" s="215"/>
      <c r="B9" s="220">
        <v>98</v>
      </c>
      <c r="C9" s="228" t="s">
        <v>97</v>
      </c>
      <c r="D9" s="223"/>
      <c r="E9" s="223"/>
      <c r="F9" s="223"/>
      <c r="G9" s="223"/>
      <c r="H9" s="223"/>
      <c r="I9" s="223"/>
      <c r="J9" s="223"/>
      <c r="K9" s="223"/>
      <c r="L9" s="223"/>
    </row>
    <row r="10" spans="1:13" ht="15">
      <c r="A10" s="215"/>
      <c r="B10" s="220">
        <v>98</v>
      </c>
      <c r="C10" s="229" t="s">
        <v>98</v>
      </c>
      <c r="D10" s="222"/>
      <c r="E10" s="223"/>
      <c r="F10" s="223"/>
      <c r="G10" s="223"/>
      <c r="H10" s="223"/>
      <c r="I10" s="223"/>
      <c r="J10" s="223"/>
      <c r="K10" s="223"/>
      <c r="L10" s="223"/>
    </row>
    <row r="11" spans="1:13" ht="15">
      <c r="A11" s="215"/>
      <c r="B11" s="220">
        <v>98</v>
      </c>
      <c r="C11" s="230" t="s">
        <v>74</v>
      </c>
      <c r="D11" s="223"/>
      <c r="E11" s="223"/>
      <c r="F11" s="223"/>
      <c r="G11" s="223"/>
      <c r="H11" s="223"/>
      <c r="I11" s="223"/>
      <c r="J11" s="223"/>
      <c r="K11" s="223"/>
      <c r="L11" s="223"/>
    </row>
    <row r="12" spans="1:13" s="219" customFormat="1" ht="15.75">
      <c r="A12" s="216"/>
      <c r="B12" s="231">
        <v>98</v>
      </c>
      <c r="C12" s="232" t="s">
        <v>99</v>
      </c>
      <c r="D12" s="233"/>
      <c r="E12" s="234"/>
      <c r="F12" s="234"/>
      <c r="G12" s="234"/>
      <c r="H12" s="234"/>
      <c r="I12" s="234"/>
      <c r="J12" s="234"/>
      <c r="K12" s="234"/>
      <c r="L12" s="234"/>
    </row>
    <row r="13" spans="1:13" ht="15">
      <c r="A13" s="215"/>
      <c r="B13" s="215"/>
      <c r="C13" s="215"/>
      <c r="D13" s="215"/>
      <c r="E13" s="215"/>
      <c r="F13" s="215"/>
      <c r="G13" s="215"/>
      <c r="H13" s="215"/>
      <c r="I13" s="215"/>
      <c r="J13" s="215"/>
      <c r="K13" s="215"/>
    </row>
    <row r="14" spans="1:13" ht="15.75">
      <c r="A14" s="215"/>
      <c r="B14" s="623" t="s">
        <v>100</v>
      </c>
      <c r="C14" s="623"/>
      <c r="D14" s="623"/>
      <c r="E14" s="215"/>
      <c r="F14" s="215"/>
      <c r="G14" s="215"/>
      <c r="H14" s="215"/>
      <c r="I14" s="215"/>
      <c r="J14" s="215"/>
      <c r="K14" s="215"/>
    </row>
    <row r="15" spans="1:13" ht="15.75">
      <c r="A15" s="215"/>
      <c r="B15" s="217" t="s">
        <v>84</v>
      </c>
      <c r="C15" s="218" t="s">
        <v>85</v>
      </c>
      <c r="D15" s="218" t="s">
        <v>86</v>
      </c>
      <c r="E15" s="218" t="s">
        <v>87</v>
      </c>
      <c r="F15" s="218" t="s">
        <v>88</v>
      </c>
      <c r="G15" s="218" t="s">
        <v>89</v>
      </c>
      <c r="H15" s="218" t="s">
        <v>90</v>
      </c>
      <c r="I15" s="218" t="s">
        <v>91</v>
      </c>
      <c r="J15" s="218" t="s">
        <v>92</v>
      </c>
      <c r="K15" s="218" t="s">
        <v>93</v>
      </c>
      <c r="L15" s="218" t="s">
        <v>94</v>
      </c>
      <c r="M15" s="218" t="s">
        <v>95</v>
      </c>
    </row>
    <row r="16" spans="1:13" ht="15">
      <c r="A16" s="215"/>
      <c r="B16" s="220">
        <v>4.8</v>
      </c>
      <c r="C16" s="221" t="s">
        <v>64</v>
      </c>
      <c r="D16" s="222"/>
      <c r="E16" s="222"/>
      <c r="F16" s="222"/>
      <c r="G16" s="222"/>
      <c r="H16" s="222"/>
      <c r="I16" s="222"/>
      <c r="J16" s="222"/>
      <c r="K16" s="222"/>
      <c r="L16" s="222"/>
      <c r="M16" s="222"/>
    </row>
    <row r="17" spans="1:13" ht="15">
      <c r="A17" s="215"/>
      <c r="B17" s="220">
        <v>4.8</v>
      </c>
      <c r="C17" s="224" t="s">
        <v>72</v>
      </c>
      <c r="D17" s="223"/>
      <c r="E17" s="223"/>
      <c r="F17" s="223"/>
      <c r="G17" s="223"/>
      <c r="H17" s="223"/>
      <c r="I17" s="223"/>
      <c r="J17" s="223"/>
      <c r="K17" s="223"/>
      <c r="L17" s="223"/>
      <c r="M17" s="223"/>
    </row>
    <row r="18" spans="1:13" ht="15">
      <c r="A18" s="215"/>
      <c r="B18" s="220">
        <v>5.5</v>
      </c>
      <c r="C18" s="225" t="s">
        <v>96</v>
      </c>
      <c r="D18" s="222"/>
      <c r="E18" s="222"/>
      <c r="F18" s="222"/>
      <c r="G18" s="222"/>
      <c r="H18" s="222"/>
      <c r="I18" s="222"/>
      <c r="J18" s="222"/>
      <c r="K18" s="222"/>
      <c r="L18" s="222"/>
      <c r="M18" s="222"/>
    </row>
    <row r="19" spans="1:13" ht="15">
      <c r="A19" s="215"/>
      <c r="B19" s="220">
        <v>3.3</v>
      </c>
      <c r="C19" s="230" t="s">
        <v>74</v>
      </c>
      <c r="D19" s="223"/>
      <c r="E19" s="223"/>
      <c r="F19" s="223"/>
      <c r="G19" s="223"/>
      <c r="H19" s="223"/>
      <c r="I19" s="223"/>
      <c r="J19" s="223"/>
      <c r="K19" s="223"/>
      <c r="L19" s="223"/>
      <c r="M19" s="223"/>
    </row>
    <row r="20" spans="1:13" ht="15">
      <c r="A20" s="215"/>
      <c r="B20" s="220">
        <v>3.3</v>
      </c>
      <c r="C20" s="228" t="s">
        <v>97</v>
      </c>
      <c r="D20" s="222"/>
      <c r="E20" s="222"/>
      <c r="F20" s="222"/>
      <c r="G20" s="222"/>
      <c r="H20" s="222"/>
      <c r="I20" s="222"/>
      <c r="J20" s="222"/>
      <c r="K20" s="222"/>
      <c r="L20" s="222"/>
      <c r="M20" s="222"/>
    </row>
    <row r="21" spans="1:13" ht="15">
      <c r="A21" s="215"/>
      <c r="B21" s="220">
        <v>5.5</v>
      </c>
      <c r="C21" s="226" t="s">
        <v>76</v>
      </c>
      <c r="D21" s="223"/>
      <c r="E21" s="223"/>
      <c r="F21" s="223"/>
      <c r="G21" s="223"/>
      <c r="H21" s="223"/>
      <c r="I21" s="223"/>
      <c r="J21" s="223"/>
      <c r="K21" s="223"/>
      <c r="L21" s="223"/>
      <c r="M21" s="223"/>
    </row>
    <row r="22" spans="1:13" ht="15">
      <c r="A22" s="215"/>
      <c r="B22" s="220">
        <v>3.3</v>
      </c>
      <c r="C22" s="229" t="s">
        <v>98</v>
      </c>
      <c r="D22" s="222"/>
      <c r="E22" s="222"/>
      <c r="F22" s="222"/>
      <c r="G22" s="222"/>
      <c r="H22" s="222"/>
      <c r="I22" s="222"/>
      <c r="J22" s="222"/>
      <c r="K22" s="222"/>
      <c r="L22" s="222"/>
      <c r="M22" s="222"/>
    </row>
    <row r="23" spans="1:13" ht="15">
      <c r="A23" s="215"/>
      <c r="B23" s="220">
        <v>7.5</v>
      </c>
      <c r="C23" s="227" t="s">
        <v>83</v>
      </c>
      <c r="D23" s="223"/>
      <c r="E23" s="223"/>
      <c r="F23" s="223"/>
      <c r="G23" s="223"/>
      <c r="H23" s="223"/>
      <c r="I23" s="223"/>
      <c r="J23" s="223"/>
      <c r="K23" s="223"/>
      <c r="L23" s="223"/>
      <c r="M23" s="223"/>
    </row>
    <row r="24" spans="1:13" s="219" customFormat="1" ht="15.75">
      <c r="A24" s="216"/>
      <c r="B24" s="216"/>
      <c r="C24" s="232" t="s">
        <v>99</v>
      </c>
      <c r="D24" s="233"/>
      <c r="E24" s="233"/>
      <c r="F24" s="233"/>
      <c r="G24" s="233"/>
      <c r="H24" s="233"/>
      <c r="I24" s="233"/>
      <c r="J24" s="233"/>
      <c r="K24" s="233"/>
      <c r="L24" s="233"/>
      <c r="M24" s="233"/>
    </row>
    <row r="25" spans="1:13" ht="15">
      <c r="A25" s="215"/>
      <c r="B25" s="215"/>
      <c r="C25" s="215"/>
      <c r="D25" s="215"/>
      <c r="E25" s="215"/>
      <c r="F25" s="215"/>
      <c r="G25" s="215"/>
      <c r="H25" s="215"/>
      <c r="I25" s="215"/>
      <c r="J25" s="215"/>
      <c r="K25" s="215"/>
    </row>
    <row r="26" spans="1:13" ht="15">
      <c r="A26" s="215"/>
      <c r="B26" s="215"/>
      <c r="C26" s="215"/>
      <c r="D26" s="215"/>
      <c r="E26" s="215"/>
      <c r="F26" s="215"/>
      <c r="G26" s="215"/>
      <c r="H26" s="215"/>
      <c r="I26" s="215"/>
      <c r="J26" s="215"/>
      <c r="K26" s="215"/>
    </row>
    <row r="27" spans="1:13" ht="15.75">
      <c r="A27" s="215"/>
      <c r="B27" s="623" t="s">
        <v>101</v>
      </c>
      <c r="C27" s="623"/>
      <c r="D27" s="623"/>
      <c r="E27" s="215"/>
      <c r="F27" s="215"/>
      <c r="G27" s="215"/>
      <c r="H27" s="215"/>
      <c r="I27" s="215"/>
      <c r="J27" s="215"/>
      <c r="K27" s="215"/>
    </row>
    <row r="28" spans="1:13" ht="15.75">
      <c r="A28" s="215"/>
      <c r="B28" s="217" t="s">
        <v>84</v>
      </c>
      <c r="C28" s="235" t="s">
        <v>85</v>
      </c>
      <c r="D28" s="218" t="s">
        <v>86</v>
      </c>
      <c r="E28" s="218" t="s">
        <v>87</v>
      </c>
      <c r="F28" s="218" t="s">
        <v>88</v>
      </c>
      <c r="G28" s="218" t="s">
        <v>89</v>
      </c>
      <c r="H28" s="218" t="s">
        <v>90</v>
      </c>
      <c r="I28" s="218" t="s">
        <v>91</v>
      </c>
      <c r="J28" s="218" t="s">
        <v>92</v>
      </c>
      <c r="K28" s="218" t="s">
        <v>93</v>
      </c>
      <c r="L28" s="218" t="s">
        <v>94</v>
      </c>
      <c r="M28" s="218" t="s">
        <v>95</v>
      </c>
    </row>
    <row r="29" spans="1:13" ht="15">
      <c r="A29" s="215"/>
      <c r="B29" s="220">
        <v>4.5999999999999996</v>
      </c>
      <c r="C29" s="236" t="s">
        <v>64</v>
      </c>
      <c r="D29" s="222"/>
      <c r="E29" s="222"/>
      <c r="F29" s="222"/>
      <c r="G29" s="222"/>
      <c r="H29" s="222"/>
      <c r="I29" s="222"/>
      <c r="J29" s="237"/>
      <c r="K29" s="237"/>
      <c r="L29" s="237"/>
      <c r="M29" s="237"/>
    </row>
    <row r="30" spans="1:13" ht="15">
      <c r="A30" s="215"/>
      <c r="B30" s="220">
        <v>4.5999999999999996</v>
      </c>
      <c r="C30" s="238" t="s">
        <v>72</v>
      </c>
      <c r="D30" s="223"/>
      <c r="E30" s="223"/>
      <c r="F30" s="223"/>
      <c r="G30" s="223"/>
      <c r="H30" s="223"/>
      <c r="I30" s="223"/>
      <c r="J30" s="239"/>
      <c r="K30" s="239"/>
      <c r="L30" s="239"/>
      <c r="M30" s="239"/>
    </row>
    <row r="31" spans="1:13" ht="15">
      <c r="A31" s="215"/>
      <c r="B31" s="220">
        <v>5</v>
      </c>
      <c r="C31" s="240" t="s">
        <v>96</v>
      </c>
      <c r="D31" s="222"/>
      <c r="E31" s="222"/>
      <c r="F31" s="222"/>
      <c r="G31" s="222"/>
      <c r="H31" s="222"/>
      <c r="I31" s="222"/>
      <c r="J31" s="237"/>
      <c r="K31" s="237"/>
      <c r="L31" s="237"/>
      <c r="M31" s="237"/>
    </row>
    <row r="32" spans="1:13" ht="15">
      <c r="A32" s="215"/>
      <c r="B32" s="220">
        <v>5</v>
      </c>
      <c r="C32" s="241" t="s">
        <v>76</v>
      </c>
      <c r="D32" s="223"/>
      <c r="E32" s="223"/>
      <c r="F32" s="223"/>
      <c r="G32" s="223"/>
      <c r="H32" s="223"/>
      <c r="I32" s="223"/>
      <c r="J32" s="239"/>
      <c r="K32" s="239"/>
      <c r="L32" s="239"/>
      <c r="M32" s="239"/>
    </row>
    <row r="33" spans="1:13" ht="15">
      <c r="A33" s="215"/>
      <c r="B33" s="220">
        <v>7.5</v>
      </c>
      <c r="C33" s="242" t="s">
        <v>83</v>
      </c>
      <c r="D33" s="222"/>
      <c r="E33" s="222"/>
      <c r="F33" s="222"/>
      <c r="G33" s="222"/>
      <c r="H33" s="222"/>
      <c r="I33" s="222"/>
      <c r="J33" s="222"/>
      <c r="K33" s="222"/>
      <c r="L33" s="222"/>
      <c r="M33" s="243"/>
    </row>
    <row r="34" spans="1:13" ht="15">
      <c r="A34" s="215"/>
      <c r="B34" s="220">
        <v>3.3</v>
      </c>
      <c r="C34" s="244" t="s">
        <v>97</v>
      </c>
      <c r="D34" s="223"/>
      <c r="E34" s="223"/>
      <c r="F34" s="223"/>
      <c r="G34" s="223"/>
      <c r="H34" s="223"/>
      <c r="I34" s="223"/>
      <c r="J34" s="223"/>
      <c r="K34" s="223"/>
      <c r="L34" s="223"/>
      <c r="M34" s="245"/>
    </row>
    <row r="35" spans="1:13" ht="15">
      <c r="A35" s="215"/>
      <c r="B35" s="220">
        <v>3.3</v>
      </c>
      <c r="C35" s="246" t="s">
        <v>98</v>
      </c>
      <c r="D35" s="222"/>
      <c r="E35" s="222"/>
      <c r="F35" s="222"/>
      <c r="G35" s="222"/>
      <c r="H35" s="222"/>
      <c r="I35" s="222"/>
      <c r="J35" s="237"/>
      <c r="K35" s="237"/>
      <c r="L35" s="237"/>
      <c r="M35" s="237"/>
    </row>
    <row r="36" spans="1:13" ht="15">
      <c r="A36" s="215"/>
      <c r="B36" s="220">
        <v>3.3</v>
      </c>
      <c r="C36" s="247" t="s">
        <v>74</v>
      </c>
      <c r="D36" s="223"/>
      <c r="E36" s="223"/>
      <c r="F36" s="223"/>
      <c r="G36" s="223"/>
      <c r="H36" s="223"/>
      <c r="I36" s="223"/>
      <c r="J36" s="239"/>
      <c r="K36" s="239"/>
      <c r="L36" s="239"/>
      <c r="M36" s="239"/>
    </row>
    <row r="37" spans="1:13" ht="15.75">
      <c r="A37" s="215"/>
      <c r="B37" s="231">
        <v>4.5</v>
      </c>
      <c r="C37" s="248" t="s">
        <v>99</v>
      </c>
      <c r="D37" s="233"/>
      <c r="E37" s="233"/>
      <c r="F37" s="233"/>
      <c r="G37" s="233"/>
      <c r="H37" s="233"/>
      <c r="I37" s="233"/>
      <c r="J37" s="249"/>
      <c r="K37" s="249"/>
      <c r="L37" s="249"/>
      <c r="M37" s="249"/>
    </row>
    <row r="38" spans="1:13" ht="15">
      <c r="A38" s="215"/>
      <c r="B38" s="215"/>
      <c r="C38" s="215"/>
      <c r="D38" s="215"/>
      <c r="E38" s="215"/>
      <c r="F38" s="215"/>
      <c r="G38" s="215"/>
      <c r="H38" s="215"/>
      <c r="I38" s="215"/>
      <c r="J38" s="215"/>
      <c r="K38" s="215"/>
    </row>
  </sheetData>
  <mergeCells count="3">
    <mergeCell ref="B2:D2"/>
    <mergeCell ref="B14:D14"/>
    <mergeCell ref="B27:D27"/>
  </mergeCells>
  <pageMargins left="0.7" right="0.7" top="0.75" bottom="0.75" header="0.3" footer="0.3"/>
  <pageSetup orientation="portrait" horizontalDpi="300" verticalDpi="300"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7F381E-10D5-4CC1-8443-AB3C4DD2F491}">
  <sheetPr codeName="Sheet21">
    <tabColor rgb="FF92D050"/>
    <pageSetUpPr fitToPage="1"/>
  </sheetPr>
  <dimension ref="B2:W76"/>
  <sheetViews>
    <sheetView showGridLines="0" topLeftCell="A22" zoomScaleNormal="100" workbookViewId="0">
      <selection activeCell="M40" sqref="M40:M46"/>
    </sheetView>
  </sheetViews>
  <sheetFormatPr defaultRowHeight="12.75"/>
  <cols>
    <col min="1" max="1" width="2.42578125" customWidth="1"/>
    <col min="2" max="2" width="6.42578125" customWidth="1"/>
    <col min="3" max="3" width="25.42578125" customWidth="1"/>
    <col min="4" max="4" width="19.42578125" customWidth="1"/>
    <col min="5" max="5" width="15" customWidth="1"/>
    <col min="6" max="6" width="17.5703125" customWidth="1"/>
    <col min="7" max="7" width="13.42578125" customWidth="1"/>
    <col min="8" max="11" width="13.5703125" customWidth="1"/>
    <col min="12" max="12" width="17.42578125" bestFit="1" customWidth="1"/>
    <col min="13" max="15" width="17.42578125" customWidth="1"/>
    <col min="16" max="16" width="13.42578125" customWidth="1"/>
    <col min="17" max="17" width="8.5703125" customWidth="1"/>
    <col min="18" max="20" width="11.5703125" customWidth="1"/>
  </cols>
  <sheetData>
    <row r="2" spans="3:23" ht="15.75" thickBot="1">
      <c r="I2" s="250"/>
      <c r="J2" s="250"/>
      <c r="K2" s="250"/>
      <c r="L2" s="250"/>
      <c r="M2" s="250"/>
      <c r="N2" s="250"/>
      <c r="O2" s="250"/>
      <c r="P2" s="250"/>
      <c r="Q2" s="250"/>
      <c r="R2" s="250"/>
      <c r="S2" s="250"/>
      <c r="T2" s="250"/>
      <c r="U2" s="250"/>
      <c r="V2" s="250"/>
    </row>
    <row r="3" spans="3:23" ht="25.35" customHeight="1" thickTop="1" thickBot="1">
      <c r="C3" s="625" t="s">
        <v>102</v>
      </c>
      <c r="D3" s="626"/>
      <c r="E3" s="627">
        <f ca="1">TODAY()</f>
        <v>46295</v>
      </c>
      <c r="F3" s="627"/>
      <c r="G3" s="627"/>
      <c r="I3" s="251"/>
      <c r="J3" s="251"/>
      <c r="K3" s="251"/>
      <c r="L3" s="251"/>
      <c r="M3" s="251"/>
      <c r="N3" s="251"/>
      <c r="O3" s="251"/>
      <c r="P3" s="251"/>
      <c r="Q3" s="251"/>
      <c r="R3" s="251"/>
      <c r="S3" s="251"/>
      <c r="T3" s="251"/>
      <c r="U3" s="251"/>
      <c r="V3" s="251"/>
      <c r="W3" s="252"/>
    </row>
    <row r="4" spans="3:23" ht="20.100000000000001" customHeight="1" thickBot="1">
      <c r="C4" s="253" t="s">
        <v>103</v>
      </c>
      <c r="D4" s="254" t="s">
        <v>104</v>
      </c>
      <c r="E4" s="254" t="s">
        <v>37</v>
      </c>
      <c r="F4" s="255" t="s">
        <v>38</v>
      </c>
      <c r="G4" s="256" t="s">
        <v>84</v>
      </c>
      <c r="I4" s="251"/>
      <c r="J4" s="251"/>
      <c r="K4" s="251"/>
      <c r="L4" s="251"/>
      <c r="M4" s="251"/>
      <c r="N4" s="251"/>
      <c r="O4" s="251"/>
      <c r="P4" s="251"/>
      <c r="Q4" s="251"/>
      <c r="R4" s="251"/>
      <c r="S4" s="251"/>
      <c r="T4" s="251"/>
      <c r="U4" s="251"/>
      <c r="V4" s="251"/>
      <c r="W4" s="252"/>
    </row>
    <row r="5" spans="3:23" ht="20.100000000000001" customHeight="1">
      <c r="C5" s="257" t="s">
        <v>105</v>
      </c>
      <c r="D5" s="258"/>
      <c r="E5" s="259">
        <f>VLOOKUP($C5,$C$40:$P$45,7,FALSE)</f>
        <v>98.214734207097663</v>
      </c>
      <c r="F5" s="260">
        <f>VLOOKUP($C5,$C$40:$P$45,14,FALSE)</f>
        <v>97.953297795741619</v>
      </c>
      <c r="G5" s="261">
        <v>98</v>
      </c>
      <c r="I5" s="251"/>
      <c r="J5" s="262"/>
      <c r="K5" s="262"/>
      <c r="L5" s="262"/>
      <c r="M5" s="262"/>
      <c r="N5" s="262"/>
      <c r="O5" s="262"/>
      <c r="P5" s="262"/>
      <c r="Q5" s="262"/>
      <c r="R5" s="262"/>
      <c r="S5" s="262"/>
      <c r="T5" s="262"/>
      <c r="U5" s="251"/>
      <c r="V5" s="251"/>
      <c r="W5" s="252"/>
    </row>
    <row r="6" spans="3:23" ht="20.100000000000001" customHeight="1">
      <c r="C6" s="263" t="s">
        <v>106</v>
      </c>
      <c r="D6" s="258"/>
      <c r="E6" s="259">
        <f>VLOOKUP($C6,$C$40:$P$45,7,FALSE)</f>
        <v>97.831216272750581</v>
      </c>
      <c r="F6" s="260">
        <f>VLOOKUP($C6,$C$40:$P$45,14,FALSE)</f>
        <v>98.11994120800415</v>
      </c>
      <c r="G6" s="261">
        <v>98</v>
      </c>
      <c r="I6" s="251"/>
      <c r="J6" s="300"/>
      <c r="K6" s="299"/>
      <c r="L6" s="262"/>
      <c r="M6" s="262"/>
      <c r="N6" s="262"/>
      <c r="O6" s="262"/>
      <c r="P6" s="262"/>
      <c r="Q6" s="262"/>
      <c r="R6" s="262"/>
      <c r="S6" s="262"/>
      <c r="T6" s="262"/>
      <c r="U6" s="251"/>
      <c r="V6" s="251"/>
      <c r="W6" s="252"/>
    </row>
    <row r="7" spans="3:23" ht="20.100000000000001" customHeight="1">
      <c r="C7" s="263" t="s">
        <v>107</v>
      </c>
      <c r="D7" s="258"/>
      <c r="E7" s="259">
        <f>VLOOKUP($C7,$C$40:$P$45,7,FALSE)</f>
        <v>100.82497251003979</v>
      </c>
      <c r="F7" s="260">
        <f>VLOOKUP($C7,$C$40:$P$45,14,FALSE)</f>
        <v>99.564987122246436</v>
      </c>
      <c r="G7" s="261">
        <v>98</v>
      </c>
      <c r="I7" s="251"/>
      <c r="J7" s="262"/>
      <c r="K7" s="262"/>
      <c r="L7" s="262"/>
      <c r="M7" s="262"/>
      <c r="N7" s="262"/>
      <c r="O7" s="262"/>
      <c r="P7" s="262"/>
      <c r="Q7" s="262"/>
      <c r="R7" s="262"/>
      <c r="S7" s="262"/>
      <c r="T7" s="262"/>
      <c r="U7" s="251"/>
      <c r="V7" s="251"/>
      <c r="W7" s="252"/>
    </row>
    <row r="8" spans="3:23" ht="20.100000000000001" customHeight="1">
      <c r="C8" s="263" t="s">
        <v>108</v>
      </c>
      <c r="D8" s="258"/>
      <c r="E8" s="259">
        <f>VLOOKUP($C8,$C$40:$P$45,7,FALSE)</f>
        <v>97.759800403711807</v>
      </c>
      <c r="F8" s="260">
        <f>VLOOKUP($C8,$C$40:$P$45,14,FALSE)</f>
        <v>98.122212110291372</v>
      </c>
      <c r="G8" s="261">
        <v>98</v>
      </c>
      <c r="I8" s="251"/>
      <c r="J8" s="262"/>
      <c r="K8" s="262"/>
      <c r="L8" s="262"/>
      <c r="M8" s="262"/>
      <c r="N8" s="262"/>
      <c r="O8" s="262"/>
      <c r="P8" s="262"/>
      <c r="Q8" s="262"/>
      <c r="R8" s="262"/>
      <c r="S8" s="262"/>
      <c r="T8" s="262"/>
      <c r="U8" s="251"/>
      <c r="V8" s="251"/>
      <c r="W8" s="252"/>
    </row>
    <row r="9" spans="3:23" ht="20.100000000000001" customHeight="1">
      <c r="C9" s="263" t="s">
        <v>132</v>
      </c>
      <c r="D9" s="258"/>
      <c r="E9" s="259">
        <f>VLOOKUP($C9,$C$40:$P$45,7,FALSE)</f>
        <v>98.186950219332687</v>
      </c>
      <c r="F9" s="260">
        <f>VLOOKUP($C9,$C$40:$P$45,14,FALSE)</f>
        <v>98.089602299246422</v>
      </c>
      <c r="G9" s="261">
        <v>98</v>
      </c>
      <c r="I9" s="251"/>
      <c r="J9" s="262"/>
      <c r="K9" s="262"/>
      <c r="L9" s="262"/>
      <c r="M9" s="262"/>
      <c r="N9" s="262"/>
      <c r="O9" s="262"/>
      <c r="P9" s="262"/>
      <c r="Q9" s="262"/>
      <c r="R9" s="262"/>
      <c r="S9" s="262"/>
      <c r="T9" s="262"/>
      <c r="U9" s="251"/>
      <c r="V9" s="251"/>
      <c r="W9" s="252"/>
    </row>
    <row r="10" spans="3:23" ht="19.5" thickBot="1">
      <c r="C10" s="264" t="s">
        <v>99</v>
      </c>
      <c r="D10" s="265"/>
      <c r="E10" s="265">
        <f>AVERAGE(E5:E9)</f>
        <v>98.56353472258651</v>
      </c>
      <c r="F10" s="298" t="e">
        <f>P47</f>
        <v>#DIV/0!</v>
      </c>
      <c r="G10" s="261">
        <v>98</v>
      </c>
      <c r="I10" s="251"/>
      <c r="J10" s="262"/>
      <c r="K10" s="262"/>
      <c r="L10" s="262"/>
      <c r="M10" s="262"/>
      <c r="N10" s="262"/>
      <c r="O10" s="262"/>
      <c r="P10" s="262"/>
      <c r="Q10" s="262"/>
      <c r="R10" s="262"/>
      <c r="S10" s="262"/>
      <c r="T10" s="262"/>
      <c r="U10" s="251"/>
      <c r="V10" s="251"/>
      <c r="W10" s="252"/>
    </row>
    <row r="14" spans="3:23" ht="20.25" customHeight="1">
      <c r="C14" s="628" t="s">
        <v>143</v>
      </c>
      <c r="D14" s="628"/>
      <c r="E14" s="628"/>
      <c r="F14" s="628"/>
      <c r="G14" s="628"/>
      <c r="H14" s="628"/>
    </row>
    <row r="15" spans="3:23" ht="15" customHeight="1">
      <c r="C15" s="628"/>
      <c r="D15" s="628"/>
      <c r="E15" s="628"/>
      <c r="F15" s="628"/>
      <c r="G15" s="628"/>
      <c r="H15" s="628"/>
    </row>
    <row r="16" spans="3:23" ht="15" customHeight="1">
      <c r="C16" s="628"/>
      <c r="D16" s="628"/>
      <c r="E16" s="628"/>
      <c r="F16" s="628"/>
      <c r="G16" s="628"/>
      <c r="H16" s="628"/>
    </row>
    <row r="17" spans="3:8" ht="15" customHeight="1">
      <c r="C17" s="628"/>
      <c r="D17" s="628"/>
      <c r="E17" s="628"/>
      <c r="F17" s="628"/>
      <c r="G17" s="628"/>
      <c r="H17" s="628"/>
    </row>
    <row r="18" spans="3:8" ht="15" customHeight="1">
      <c r="C18" s="628"/>
      <c r="D18" s="628"/>
      <c r="E18" s="628"/>
      <c r="F18" s="628"/>
      <c r="G18" s="628"/>
      <c r="H18" s="628"/>
    </row>
    <row r="19" spans="3:8" ht="15" customHeight="1">
      <c r="C19" s="628"/>
      <c r="D19" s="628"/>
      <c r="E19" s="628"/>
      <c r="F19" s="628"/>
      <c r="G19" s="628"/>
      <c r="H19" s="628"/>
    </row>
    <row r="20" spans="3:8" ht="15" customHeight="1">
      <c r="C20" s="628"/>
      <c r="D20" s="628"/>
      <c r="E20" s="628"/>
      <c r="F20" s="628"/>
      <c r="G20" s="628"/>
      <c r="H20" s="628"/>
    </row>
    <row r="21" spans="3:8" ht="15" customHeight="1">
      <c r="C21" s="628"/>
      <c r="D21" s="628"/>
      <c r="E21" s="628"/>
      <c r="F21" s="628"/>
      <c r="G21" s="628"/>
      <c r="H21" s="628"/>
    </row>
    <row r="22" spans="3:8" ht="15" customHeight="1">
      <c r="C22" s="628"/>
      <c r="D22" s="628"/>
      <c r="E22" s="628"/>
      <c r="F22" s="628"/>
      <c r="G22" s="628"/>
      <c r="H22" s="628"/>
    </row>
    <row r="23" spans="3:8" ht="15" customHeight="1">
      <c r="C23" s="628"/>
      <c r="D23" s="628"/>
      <c r="E23" s="628"/>
      <c r="F23" s="628"/>
      <c r="G23" s="628"/>
      <c r="H23" s="628"/>
    </row>
    <row r="24" spans="3:8" ht="15" customHeight="1">
      <c r="C24" s="628"/>
      <c r="D24" s="628"/>
      <c r="E24" s="628"/>
      <c r="F24" s="628"/>
      <c r="G24" s="628"/>
      <c r="H24" s="628"/>
    </row>
    <row r="25" spans="3:8" ht="15" customHeight="1">
      <c r="C25" s="628"/>
      <c r="D25" s="628"/>
      <c r="E25" s="628"/>
      <c r="F25" s="628"/>
      <c r="G25" s="628"/>
      <c r="H25" s="628"/>
    </row>
    <row r="26" spans="3:8" ht="15" customHeight="1">
      <c r="C26" s="628"/>
      <c r="D26" s="628"/>
      <c r="E26" s="628"/>
      <c r="F26" s="628"/>
      <c r="G26" s="628"/>
      <c r="H26" s="628"/>
    </row>
    <row r="27" spans="3:8" ht="15" customHeight="1">
      <c r="C27" s="628"/>
      <c r="D27" s="628"/>
      <c r="E27" s="628"/>
      <c r="F27" s="628"/>
      <c r="G27" s="628"/>
      <c r="H27" s="628"/>
    </row>
    <row r="28" spans="3:8" ht="15" customHeight="1">
      <c r="C28" s="628"/>
      <c r="D28" s="628"/>
      <c r="E28" s="628"/>
      <c r="F28" s="628"/>
      <c r="G28" s="628"/>
      <c r="H28" s="628"/>
    </row>
    <row r="29" spans="3:8" ht="15" customHeight="1">
      <c r="C29" s="628"/>
      <c r="D29" s="628"/>
      <c r="E29" s="628"/>
      <c r="F29" s="628"/>
      <c r="G29" s="628"/>
      <c r="H29" s="628"/>
    </row>
    <row r="30" spans="3:8" ht="15" customHeight="1">
      <c r="C30" s="628"/>
      <c r="D30" s="628"/>
      <c r="E30" s="628"/>
      <c r="F30" s="628"/>
      <c r="G30" s="628"/>
      <c r="H30" s="628"/>
    </row>
    <row r="31" spans="3:8" ht="15" customHeight="1">
      <c r="C31" s="628"/>
      <c r="D31" s="628"/>
      <c r="E31" s="628"/>
      <c r="F31" s="628"/>
      <c r="G31" s="628"/>
      <c r="H31" s="628"/>
    </row>
    <row r="36" spans="2:17" ht="15" customHeight="1"/>
    <row r="37" spans="2:17" ht="15" customHeight="1"/>
    <row r="38" spans="2:17" ht="30.75" customHeight="1" thickBot="1">
      <c r="C38" s="629" t="s">
        <v>109</v>
      </c>
      <c r="D38" s="629"/>
      <c r="E38" s="629"/>
      <c r="F38" s="630">
        <f ca="1">TODAY()</f>
        <v>46295</v>
      </c>
      <c r="G38" s="630"/>
      <c r="H38" s="630"/>
      <c r="I38" s="630"/>
      <c r="J38" s="631" t="s">
        <v>110</v>
      </c>
      <c r="K38" s="631"/>
      <c r="L38" s="631"/>
      <c r="M38" s="631"/>
      <c r="N38" s="631"/>
      <c r="O38" s="631"/>
      <c r="P38" s="631"/>
    </row>
    <row r="39" spans="2:17" ht="20.25" customHeight="1" thickBot="1">
      <c r="C39" s="253" t="s">
        <v>103</v>
      </c>
      <c r="D39" s="254" t="s">
        <v>111</v>
      </c>
      <c r="E39" s="254" t="s">
        <v>112</v>
      </c>
      <c r="F39" s="254" t="s">
        <v>113</v>
      </c>
      <c r="G39" s="254" t="s">
        <v>114</v>
      </c>
      <c r="H39" s="254" t="s">
        <v>115</v>
      </c>
      <c r="I39" s="254" t="s">
        <v>116</v>
      </c>
      <c r="J39" s="255" t="s">
        <v>117</v>
      </c>
      <c r="K39" s="255" t="s">
        <v>118</v>
      </c>
      <c r="L39" s="255" t="s">
        <v>119</v>
      </c>
      <c r="M39" s="255" t="s">
        <v>120</v>
      </c>
      <c r="N39" s="255" t="s">
        <v>121</v>
      </c>
      <c r="O39" s="255" t="s">
        <v>122</v>
      </c>
      <c r="P39" s="266" t="s">
        <v>38</v>
      </c>
    </row>
    <row r="40" spans="2:17" ht="17.25" customHeight="1">
      <c r="C40" s="257" t="s">
        <v>105</v>
      </c>
      <c r="D40" s="259">
        <f>'[43]Brewer Performance'!D40</f>
        <v>96.507822129582451</v>
      </c>
      <c r="E40" s="259">
        <f>AVERAGE('[44]Feb. 1'!I12:I13,'[44]Feb. 2'!I11:I14,[44]Feb.4!I13,[44]Feb.8!I14:I16,[44]Feb.9!I14,[44]Feb.9!I17:I18,[44]Feb10!I13:I16,[44]Feb14!I17,[44]Feb14!I15:I17,[44]Feb17!I10,[44]Feb17!I19:I21,'[44]Feb 21'!I10:I12,'[44]Feb 22'!I11:I13,'[44]Feb 23'!I14:I16,'[44]Feb 24'!I10:I12,'[44]Feb 25'!I13:I15,'[44]Feb 28'!I15:I18)</f>
        <v>98.284801217583563</v>
      </c>
      <c r="F40" s="259">
        <v>98.226686244092193</v>
      </c>
      <c r="G40" s="259">
        <v>98.210530202427222</v>
      </c>
      <c r="H40" s="259">
        <f>'[45]Brewer Performance'!H40</f>
        <v>98.517352497406634</v>
      </c>
      <c r="I40" s="259">
        <v>98.214734207097663</v>
      </c>
      <c r="J40" s="258">
        <v>98.198803831827249</v>
      </c>
      <c r="K40" s="267">
        <v>97.486490472733735</v>
      </c>
      <c r="L40" s="258">
        <v>97.932459358923822</v>
      </c>
      <c r="M40" s="331"/>
      <c r="N40" s="331"/>
      <c r="O40" s="258"/>
      <c r="P40" s="268">
        <f t="shared" ref="P40:P45" si="0">AVERAGE(D40:O40)</f>
        <v>97.953297795741619</v>
      </c>
    </row>
    <row r="41" spans="2:17" ht="17.25" customHeight="1">
      <c r="C41" s="263" t="s">
        <v>106</v>
      </c>
      <c r="D41" s="259">
        <f>'[43]Brewer Performance'!D41</f>
        <v>97.99738587335284</v>
      </c>
      <c r="E41" s="259">
        <f>AVERAGE('[44]Feb. 1'!I10:I11,'[44]Feb. 2'!I10,[44]Feb.3!I11:I13,[44]Feb.4!I10:I12,[44]Feb.8!I10,[44]Feb.8!I13,[44]Feb.9!I10:I13,[44]Feb10!I10:I12,[44]Feb11!I11:I13,[44]Feb14!I13:I14,[44]Feb17!I16:I18,[44]Feb18!I13:I15,'[44]Feb 21'!I17:I19,'[44]Feb 22'!I10,'[44]Feb 22'!I20:I22,'[44]Feb 23'!I10:I11,'[44]Feb 23'!I21,'[44]Feb 25'!I10:I12,'[44]Feb 28'!I11:I14)</f>
        <v>97.918121549662388</v>
      </c>
      <c r="F41" s="259">
        <v>98.070081368185257</v>
      </c>
      <c r="G41" s="259">
        <v>97.79453968977019</v>
      </c>
      <c r="H41" s="259">
        <f>'[45]Brewer Performance'!H41</f>
        <v>98.442574874312371</v>
      </c>
      <c r="I41" s="259">
        <v>97.831216272750581</v>
      </c>
      <c r="J41" s="258">
        <v>98.459260197488078</v>
      </c>
      <c r="K41" s="267">
        <v>98.711428992063503</v>
      </c>
      <c r="L41" s="258">
        <v>97.854862054451985</v>
      </c>
      <c r="M41" s="332"/>
      <c r="N41" s="331"/>
      <c r="O41" s="258"/>
      <c r="P41" s="268">
        <f t="shared" si="0"/>
        <v>98.11994120800415</v>
      </c>
    </row>
    <row r="42" spans="2:17" ht="17.25" customHeight="1">
      <c r="C42" s="263" t="s">
        <v>107</v>
      </c>
      <c r="D42" s="259"/>
      <c r="E42" s="259"/>
      <c r="F42" s="259"/>
      <c r="G42" s="259">
        <v>98.305001734453086</v>
      </c>
      <c r="H42" s="259"/>
      <c r="I42" s="259">
        <v>100.82497251003979</v>
      </c>
      <c r="J42" s="258"/>
      <c r="K42" s="267"/>
      <c r="L42" s="258"/>
      <c r="M42" s="331"/>
      <c r="N42" s="331"/>
      <c r="O42" s="258"/>
      <c r="P42" s="268">
        <f t="shared" si="0"/>
        <v>99.564987122246436</v>
      </c>
    </row>
    <row r="43" spans="2:17" ht="17.25" customHeight="1">
      <c r="C43" s="263" t="s">
        <v>141</v>
      </c>
      <c r="D43" s="259"/>
      <c r="E43" s="259"/>
      <c r="F43" s="259"/>
      <c r="G43" s="259"/>
      <c r="H43" s="259"/>
      <c r="I43" s="259"/>
      <c r="J43" s="258"/>
      <c r="K43" s="267">
        <v>100.09286182555712</v>
      </c>
      <c r="L43" s="258"/>
      <c r="M43" s="331"/>
      <c r="N43" s="331"/>
      <c r="O43" s="258"/>
      <c r="P43" s="268"/>
    </row>
    <row r="44" spans="2:17" ht="17.25" customHeight="1">
      <c r="C44" s="263" t="s">
        <v>108</v>
      </c>
      <c r="D44" s="259">
        <f>'[43]Brewer Performance'!D43</f>
        <v>98.304611060419475</v>
      </c>
      <c r="E44" s="259">
        <f>AVERAGE('[44]Feb. 2'!I15,[44]Feb.3!I10,[44]Feb.4!I16:I17,[44]Feb.8!I19:I21,[44]Feb.9!I19:I20,[44]Feb10!I17:I18,[44]Feb11!I10,[44]Feb14!I10:I12,[44]Feb17!I11:I13,[44]Feb18!I10:I12,'[44]Feb 21'!I13,'[44]Feb 21'!I16,'[44]Feb 22'!I16:I19,'[44]Feb 23'!I17:I20,'[44]Feb 24'!I15:I18,'[44]Feb 25'!I16:I17,'[44]Feb 28'!I10,'[44]Feb 28'!I19:I20)</f>
        <v>97.289162940824014</v>
      </c>
      <c r="F44" s="259">
        <v>98.163642226187022</v>
      </c>
      <c r="G44" s="259">
        <v>97.964054285784258</v>
      </c>
      <c r="H44" s="259">
        <f>'[45]Brewer Performance'!H43</f>
        <v>98.685415156420575</v>
      </c>
      <c r="I44" s="259">
        <v>97.759800403711807</v>
      </c>
      <c r="J44" s="258">
        <v>98.532266745142223</v>
      </c>
      <c r="K44" s="258">
        <v>98.484140672420295</v>
      </c>
      <c r="L44" s="258">
        <v>97.916815501712691</v>
      </c>
      <c r="M44" s="331"/>
      <c r="N44" s="331"/>
      <c r="O44" s="258"/>
      <c r="P44" s="268">
        <f t="shared" si="0"/>
        <v>98.122212110291372</v>
      </c>
    </row>
    <row r="45" spans="2:17" ht="17.25" customHeight="1">
      <c r="C45" s="263" t="s">
        <v>132</v>
      </c>
      <c r="D45" s="259">
        <f>'[43]Brewer Performance'!D44</f>
        <v>98.673584433402866</v>
      </c>
      <c r="E45" s="259"/>
      <c r="F45" s="259"/>
      <c r="G45" s="259"/>
      <c r="H45" s="259"/>
      <c r="I45" s="259">
        <v>98.186950219332687</v>
      </c>
      <c r="J45" s="258">
        <v>97.888270164748889</v>
      </c>
      <c r="K45" s="258">
        <v>97.609604379501235</v>
      </c>
      <c r="L45" s="258"/>
      <c r="M45" s="331"/>
      <c r="N45" s="331"/>
      <c r="O45" s="258"/>
      <c r="P45" s="268">
        <f t="shared" si="0"/>
        <v>98.089602299246422</v>
      </c>
    </row>
    <row r="46" spans="2:17" ht="17.25" customHeight="1">
      <c r="C46" s="316" t="s">
        <v>140</v>
      </c>
      <c r="D46" s="317"/>
      <c r="E46" s="317"/>
      <c r="F46" s="317"/>
      <c r="G46" s="317"/>
      <c r="H46" s="317"/>
      <c r="I46" s="317"/>
      <c r="J46" s="318"/>
      <c r="K46" s="318"/>
      <c r="L46" s="318">
        <v>97.511448216434601</v>
      </c>
      <c r="M46" s="333"/>
      <c r="N46" s="333"/>
      <c r="O46" s="318"/>
      <c r="P46" s="319"/>
    </row>
    <row r="47" spans="2:17" ht="14.25" customHeight="1" thickBot="1">
      <c r="C47" s="269" t="s">
        <v>99</v>
      </c>
      <c r="D47" s="270">
        <f>'[43]Brewer Performance'!D45</f>
        <v>97.870850874189415</v>
      </c>
      <c r="E47" s="270">
        <f>AVERAGE(E40:E45)</f>
        <v>97.830695236023317</v>
      </c>
      <c r="F47" s="270">
        <f>AVERAGE(F40:F45)</f>
        <v>98.153469946154814</v>
      </c>
      <c r="G47" s="270">
        <f>AVERAGE(G40:G45)</f>
        <v>98.068531478108682</v>
      </c>
      <c r="H47" s="270">
        <f>AVERAGE(H40:H45)</f>
        <v>98.548447509379855</v>
      </c>
      <c r="I47" s="270">
        <f>AVERAGE(I40:I45)</f>
        <v>98.56353472258651</v>
      </c>
      <c r="J47" s="270">
        <f t="shared" ref="J47:O47" si="1">AVERAGE(J40:J45)</f>
        <v>98.269650234801617</v>
      </c>
      <c r="K47" s="270">
        <f t="shared" si="1"/>
        <v>98.47690526845517</v>
      </c>
      <c r="L47" s="270">
        <f t="shared" si="1"/>
        <v>97.901378971696161</v>
      </c>
      <c r="M47" s="270" t="e">
        <f t="shared" si="1"/>
        <v>#DIV/0!</v>
      </c>
      <c r="N47" s="270" t="e">
        <f t="shared" si="1"/>
        <v>#DIV/0!</v>
      </c>
      <c r="O47" s="270" t="e">
        <f t="shared" si="1"/>
        <v>#DIV/0!</v>
      </c>
      <c r="P47" s="271" t="e">
        <f>AVERAGE(D47:N47)</f>
        <v>#DIV/0!</v>
      </c>
    </row>
    <row r="48" spans="2:17" ht="15" customHeight="1">
      <c r="B48" s="624" t="s">
        <v>123</v>
      </c>
      <c r="C48" s="624"/>
      <c r="D48" s="624"/>
      <c r="E48" s="624"/>
      <c r="F48" s="624"/>
      <c r="G48" s="624"/>
      <c r="H48" s="624"/>
      <c r="I48" s="624"/>
      <c r="J48" s="624"/>
      <c r="K48" s="624"/>
      <c r="L48" s="624"/>
      <c r="M48" s="624"/>
      <c r="N48" s="624"/>
      <c r="O48" s="624"/>
      <c r="P48" s="624"/>
      <c r="Q48" s="624"/>
    </row>
    <row r="49" spans="2:17" ht="15" customHeight="1">
      <c r="B49" s="624"/>
      <c r="C49" s="624"/>
      <c r="D49" s="624"/>
      <c r="E49" s="624"/>
      <c r="F49" s="624"/>
      <c r="G49" s="624"/>
      <c r="H49" s="624"/>
      <c r="I49" s="624"/>
      <c r="J49" s="624"/>
      <c r="K49" s="624"/>
      <c r="L49" s="624"/>
      <c r="M49" s="624"/>
      <c r="N49" s="624"/>
      <c r="O49" s="624"/>
      <c r="P49" s="624"/>
      <c r="Q49" s="624"/>
    </row>
    <row r="50" spans="2:17" ht="15" customHeight="1">
      <c r="B50" s="624"/>
      <c r="C50" s="624"/>
      <c r="D50" s="624"/>
      <c r="E50" s="624"/>
      <c r="F50" s="624"/>
      <c r="G50" s="624"/>
      <c r="H50" s="624"/>
      <c r="I50" s="624"/>
      <c r="J50" s="624"/>
      <c r="K50" s="624"/>
      <c r="L50" s="624"/>
      <c r="M50" s="624"/>
      <c r="N50" s="624"/>
      <c r="O50" s="624"/>
      <c r="P50" s="624"/>
      <c r="Q50" s="624"/>
    </row>
    <row r="51" spans="2:17" ht="15" customHeight="1">
      <c r="B51" s="624"/>
      <c r="C51" s="624"/>
      <c r="D51" s="624"/>
      <c r="E51" s="624"/>
      <c r="F51" s="624"/>
      <c r="G51" s="624"/>
      <c r="H51" s="624"/>
      <c r="I51" s="624"/>
      <c r="J51" s="624"/>
      <c r="K51" s="624"/>
      <c r="L51" s="624"/>
      <c r="M51" s="624"/>
      <c r="N51" s="624"/>
      <c r="O51" s="624"/>
      <c r="P51" s="624"/>
      <c r="Q51" s="624"/>
    </row>
    <row r="52" spans="2:17" ht="15" customHeight="1">
      <c r="B52" s="624"/>
      <c r="C52" s="624"/>
      <c r="D52" s="624"/>
      <c r="E52" s="624"/>
      <c r="F52" s="624"/>
      <c r="G52" s="624"/>
      <c r="H52" s="624"/>
      <c r="I52" s="624"/>
      <c r="J52" s="624"/>
      <c r="K52" s="624"/>
      <c r="L52" s="624"/>
      <c r="M52" s="624"/>
      <c r="N52" s="624"/>
      <c r="O52" s="624"/>
      <c r="P52" s="624"/>
      <c r="Q52" s="624"/>
    </row>
    <row r="53" spans="2:17" ht="15" customHeight="1">
      <c r="B53" s="624"/>
      <c r="C53" s="624"/>
      <c r="D53" s="624"/>
      <c r="E53" s="624"/>
      <c r="F53" s="624"/>
      <c r="G53" s="624"/>
      <c r="H53" s="624"/>
      <c r="I53" s="624"/>
      <c r="J53" s="624"/>
      <c r="K53" s="624"/>
      <c r="L53" s="624"/>
      <c r="M53" s="624"/>
      <c r="N53" s="624"/>
      <c r="O53" s="624"/>
      <c r="P53" s="624"/>
      <c r="Q53" s="624"/>
    </row>
    <row r="54" spans="2:17" ht="15" customHeight="1">
      <c r="B54" s="624"/>
      <c r="C54" s="624"/>
      <c r="D54" s="624"/>
      <c r="E54" s="624"/>
      <c r="F54" s="624"/>
      <c r="G54" s="624"/>
      <c r="H54" s="624"/>
      <c r="I54" s="624"/>
      <c r="J54" s="624"/>
      <c r="K54" s="624"/>
      <c r="L54" s="624"/>
      <c r="M54" s="624"/>
      <c r="N54" s="624"/>
      <c r="O54" s="624"/>
      <c r="P54" s="624"/>
      <c r="Q54" s="624"/>
    </row>
    <row r="55" spans="2:17" ht="15" customHeight="1">
      <c r="B55" s="624"/>
      <c r="C55" s="624"/>
      <c r="D55" s="624"/>
      <c r="E55" s="624"/>
      <c r="F55" s="624"/>
      <c r="G55" s="624"/>
      <c r="H55" s="624"/>
      <c r="I55" s="624"/>
      <c r="J55" s="624"/>
      <c r="K55" s="624"/>
      <c r="L55" s="624"/>
      <c r="M55" s="624"/>
      <c r="N55" s="624"/>
      <c r="O55" s="624"/>
      <c r="P55" s="624"/>
      <c r="Q55" s="624"/>
    </row>
    <row r="56" spans="2:17" ht="15" customHeight="1">
      <c r="B56" s="624"/>
      <c r="C56" s="624"/>
      <c r="D56" s="624"/>
      <c r="E56" s="624"/>
      <c r="F56" s="624"/>
      <c r="G56" s="624"/>
      <c r="H56" s="624"/>
      <c r="I56" s="624"/>
      <c r="J56" s="624"/>
      <c r="K56" s="624"/>
      <c r="L56" s="624"/>
      <c r="M56" s="624"/>
      <c r="N56" s="624"/>
      <c r="O56" s="624"/>
      <c r="P56" s="624"/>
      <c r="Q56" s="624"/>
    </row>
    <row r="57" spans="2:17" ht="15" customHeight="1">
      <c r="B57" s="624"/>
      <c r="C57" s="624"/>
      <c r="D57" s="624"/>
      <c r="E57" s="624"/>
      <c r="F57" s="624"/>
      <c r="G57" s="624"/>
      <c r="H57" s="624"/>
      <c r="I57" s="624"/>
      <c r="J57" s="624"/>
      <c r="K57" s="624"/>
      <c r="L57" s="624"/>
      <c r="M57" s="624"/>
      <c r="N57" s="624"/>
      <c r="O57" s="624"/>
      <c r="P57" s="624"/>
      <c r="Q57" s="624"/>
    </row>
    <row r="58" spans="2:17" ht="15" customHeight="1">
      <c r="B58" s="624"/>
      <c r="C58" s="624"/>
      <c r="D58" s="624"/>
      <c r="E58" s="624"/>
      <c r="F58" s="624"/>
      <c r="G58" s="624"/>
      <c r="H58" s="624"/>
      <c r="I58" s="624"/>
      <c r="J58" s="624"/>
      <c r="K58" s="624"/>
      <c r="L58" s="624"/>
      <c r="M58" s="624"/>
      <c r="N58" s="624"/>
      <c r="O58" s="624"/>
      <c r="P58" s="624"/>
      <c r="Q58" s="624"/>
    </row>
    <row r="59" spans="2:17" ht="15" customHeight="1">
      <c r="B59" s="624"/>
      <c r="C59" s="624"/>
      <c r="D59" s="624"/>
      <c r="E59" s="624"/>
      <c r="F59" s="624"/>
      <c r="G59" s="624"/>
      <c r="H59" s="624"/>
      <c r="I59" s="624"/>
      <c r="J59" s="624"/>
      <c r="K59" s="624"/>
      <c r="L59" s="624"/>
      <c r="M59" s="624"/>
      <c r="N59" s="624"/>
      <c r="O59" s="624"/>
      <c r="P59" s="624"/>
      <c r="Q59" s="624"/>
    </row>
    <row r="60" spans="2:17" ht="15" customHeight="1">
      <c r="B60" s="624"/>
      <c r="C60" s="624"/>
      <c r="D60" s="624"/>
      <c r="E60" s="624"/>
      <c r="F60" s="624"/>
      <c r="G60" s="624"/>
      <c r="H60" s="624"/>
      <c r="I60" s="624"/>
      <c r="J60" s="624"/>
      <c r="K60" s="624"/>
      <c r="L60" s="624"/>
      <c r="M60" s="624"/>
      <c r="N60" s="624"/>
      <c r="O60" s="624"/>
      <c r="P60" s="624"/>
      <c r="Q60" s="624"/>
    </row>
    <row r="61" spans="2:17" ht="15" customHeight="1">
      <c r="B61" s="624"/>
      <c r="C61" s="624"/>
      <c r="D61" s="624"/>
      <c r="E61" s="624"/>
      <c r="F61" s="624"/>
      <c r="G61" s="624"/>
      <c r="H61" s="624"/>
      <c r="I61" s="624"/>
      <c r="J61" s="624"/>
      <c r="K61" s="624"/>
      <c r="L61" s="624"/>
      <c r="M61" s="624"/>
      <c r="N61" s="624"/>
      <c r="O61" s="624"/>
      <c r="P61" s="624"/>
      <c r="Q61" s="624"/>
    </row>
    <row r="62" spans="2:17" ht="15" customHeight="1">
      <c r="B62" s="624"/>
      <c r="C62" s="624"/>
      <c r="D62" s="624"/>
      <c r="E62" s="624"/>
      <c r="F62" s="624"/>
      <c r="G62" s="624"/>
      <c r="H62" s="624"/>
      <c r="I62" s="624"/>
      <c r="J62" s="624"/>
      <c r="K62" s="624"/>
      <c r="L62" s="624"/>
      <c r="M62" s="624"/>
      <c r="N62" s="624"/>
      <c r="O62" s="624"/>
      <c r="P62" s="624"/>
      <c r="Q62" s="624"/>
    </row>
    <row r="63" spans="2:17" ht="15" customHeight="1">
      <c r="B63" s="624"/>
      <c r="C63" s="624"/>
      <c r="D63" s="624"/>
      <c r="E63" s="624"/>
      <c r="F63" s="624"/>
      <c r="G63" s="624"/>
      <c r="H63" s="624"/>
      <c r="I63" s="624"/>
      <c r="J63" s="624"/>
      <c r="K63" s="624"/>
      <c r="L63" s="624"/>
      <c r="M63" s="624"/>
      <c r="N63" s="624"/>
      <c r="O63" s="624"/>
      <c r="P63" s="624"/>
      <c r="Q63" s="624"/>
    </row>
    <row r="64" spans="2:17" ht="15" customHeight="1">
      <c r="B64" s="624"/>
      <c r="C64" s="624"/>
      <c r="D64" s="624"/>
      <c r="E64" s="624"/>
      <c r="F64" s="624"/>
      <c r="G64" s="624"/>
      <c r="H64" s="624"/>
      <c r="I64" s="624"/>
      <c r="J64" s="624"/>
      <c r="K64" s="624"/>
      <c r="L64" s="624"/>
      <c r="M64" s="624"/>
      <c r="N64" s="624"/>
      <c r="O64" s="624"/>
      <c r="P64" s="624"/>
      <c r="Q64" s="624"/>
    </row>
    <row r="65" spans="2:17" ht="15" customHeight="1">
      <c r="B65" s="624"/>
      <c r="C65" s="624"/>
      <c r="D65" s="624"/>
      <c r="E65" s="624"/>
      <c r="F65" s="624"/>
      <c r="G65" s="624"/>
      <c r="H65" s="624"/>
      <c r="I65" s="624"/>
      <c r="J65" s="624"/>
      <c r="K65" s="624"/>
      <c r="L65" s="624"/>
      <c r="M65" s="624"/>
      <c r="N65" s="624"/>
      <c r="O65" s="624"/>
      <c r="P65" s="624"/>
      <c r="Q65" s="624"/>
    </row>
    <row r="66" spans="2:17" ht="15" customHeight="1">
      <c r="B66" s="624"/>
      <c r="C66" s="624"/>
      <c r="D66" s="624"/>
      <c r="E66" s="624"/>
      <c r="F66" s="624"/>
      <c r="G66" s="624"/>
      <c r="H66" s="624"/>
      <c r="I66" s="624"/>
      <c r="J66" s="624"/>
      <c r="K66" s="624"/>
      <c r="L66" s="624"/>
      <c r="M66" s="624"/>
      <c r="N66" s="624"/>
      <c r="O66" s="624"/>
      <c r="P66" s="624"/>
      <c r="Q66" s="624"/>
    </row>
    <row r="67" spans="2:17" ht="15" customHeight="1">
      <c r="B67" s="624"/>
      <c r="C67" s="624"/>
      <c r="D67" s="624"/>
      <c r="E67" s="624"/>
      <c r="F67" s="624"/>
      <c r="G67" s="624"/>
      <c r="H67" s="624"/>
      <c r="I67" s="624"/>
      <c r="J67" s="624"/>
      <c r="K67" s="624"/>
      <c r="L67" s="624"/>
      <c r="M67" s="624"/>
      <c r="N67" s="624"/>
      <c r="O67" s="624"/>
      <c r="P67" s="624"/>
      <c r="Q67" s="624"/>
    </row>
    <row r="68" spans="2:17" ht="15" customHeight="1">
      <c r="B68" s="624"/>
      <c r="C68" s="624"/>
      <c r="D68" s="624"/>
      <c r="E68" s="624"/>
      <c r="F68" s="624"/>
      <c r="G68" s="624"/>
      <c r="H68" s="624"/>
      <c r="I68" s="624"/>
      <c r="J68" s="624"/>
      <c r="K68" s="624"/>
      <c r="L68" s="624"/>
      <c r="M68" s="624"/>
      <c r="N68" s="624"/>
      <c r="O68" s="624"/>
      <c r="P68" s="624"/>
      <c r="Q68" s="624"/>
    </row>
    <row r="69" spans="2:17" ht="15" customHeight="1">
      <c r="B69" s="624"/>
      <c r="C69" s="624"/>
      <c r="D69" s="624"/>
      <c r="E69" s="624"/>
      <c r="F69" s="624"/>
      <c r="G69" s="624"/>
      <c r="H69" s="624"/>
      <c r="I69" s="624"/>
      <c r="J69" s="624"/>
      <c r="K69" s="624"/>
      <c r="L69" s="624"/>
      <c r="M69" s="624"/>
      <c r="N69" s="624"/>
      <c r="O69" s="624"/>
      <c r="P69" s="624"/>
      <c r="Q69" s="624"/>
    </row>
    <row r="70" spans="2:17" ht="15" customHeight="1">
      <c r="B70" s="624"/>
      <c r="C70" s="624"/>
      <c r="D70" s="624"/>
      <c r="E70" s="624"/>
      <c r="F70" s="624"/>
      <c r="G70" s="624"/>
      <c r="H70" s="624"/>
      <c r="I70" s="624"/>
      <c r="J70" s="624"/>
      <c r="K70" s="624"/>
      <c r="L70" s="624"/>
      <c r="M70" s="624"/>
      <c r="N70" s="624"/>
      <c r="O70" s="624"/>
      <c r="P70" s="624"/>
      <c r="Q70" s="624"/>
    </row>
    <row r="71" spans="2:17" ht="15" customHeight="1">
      <c r="B71" s="624"/>
      <c r="C71" s="624"/>
      <c r="D71" s="624"/>
      <c r="E71" s="624"/>
      <c r="F71" s="624"/>
      <c r="G71" s="624"/>
      <c r="H71" s="624"/>
      <c r="I71" s="624"/>
      <c r="J71" s="624"/>
      <c r="K71" s="624"/>
      <c r="L71" s="624"/>
      <c r="M71" s="624"/>
      <c r="N71" s="624"/>
      <c r="O71" s="624"/>
      <c r="P71" s="624"/>
      <c r="Q71" s="624"/>
    </row>
    <row r="72" spans="2:17" ht="15" customHeight="1">
      <c r="B72" s="624"/>
      <c r="C72" s="624"/>
      <c r="D72" s="624"/>
      <c r="E72" s="624"/>
      <c r="F72" s="624"/>
      <c r="G72" s="624"/>
      <c r="H72" s="624"/>
      <c r="I72" s="624"/>
      <c r="J72" s="624"/>
      <c r="K72" s="624"/>
      <c r="L72" s="624"/>
      <c r="M72" s="624"/>
      <c r="N72" s="624"/>
      <c r="O72" s="624"/>
      <c r="P72" s="624"/>
      <c r="Q72" s="624"/>
    </row>
    <row r="73" spans="2:17" ht="15" customHeight="1">
      <c r="B73" s="624"/>
      <c r="C73" s="624"/>
      <c r="D73" s="624"/>
      <c r="E73" s="624"/>
      <c r="F73" s="624"/>
      <c r="G73" s="624"/>
      <c r="H73" s="624"/>
      <c r="I73" s="624"/>
      <c r="J73" s="624"/>
      <c r="K73" s="624"/>
      <c r="L73" s="624"/>
      <c r="M73" s="624"/>
      <c r="N73" s="624"/>
      <c r="O73" s="624"/>
      <c r="P73" s="624"/>
      <c r="Q73" s="624"/>
    </row>
    <row r="74" spans="2:17" ht="15" customHeight="1">
      <c r="B74" s="624"/>
      <c r="C74" s="624"/>
      <c r="D74" s="624"/>
      <c r="E74" s="624"/>
      <c r="F74" s="624"/>
      <c r="G74" s="624"/>
      <c r="H74" s="624"/>
      <c r="I74" s="624"/>
      <c r="J74" s="624"/>
      <c r="K74" s="624"/>
      <c r="L74" s="624"/>
      <c r="M74" s="624"/>
      <c r="N74" s="624"/>
      <c r="O74" s="624"/>
      <c r="P74" s="624"/>
      <c r="Q74" s="624"/>
    </row>
    <row r="75" spans="2:17" ht="15" customHeight="1">
      <c r="B75" s="624"/>
      <c r="C75" s="624"/>
      <c r="D75" s="624"/>
      <c r="E75" s="624"/>
      <c r="F75" s="624"/>
      <c r="G75" s="624"/>
      <c r="H75" s="624"/>
      <c r="I75" s="624"/>
      <c r="J75" s="624"/>
      <c r="K75" s="624"/>
      <c r="L75" s="624"/>
      <c r="M75" s="624"/>
      <c r="N75" s="624"/>
      <c r="O75" s="624"/>
      <c r="P75" s="624"/>
      <c r="Q75" s="624"/>
    </row>
    <row r="76" spans="2:17">
      <c r="B76" s="624"/>
      <c r="C76" s="624"/>
      <c r="D76" s="624"/>
      <c r="E76" s="624"/>
      <c r="F76" s="624"/>
      <c r="G76" s="624"/>
      <c r="H76" s="624"/>
      <c r="I76" s="624"/>
      <c r="J76" s="624"/>
      <c r="K76" s="624"/>
      <c r="L76" s="624"/>
      <c r="M76" s="624"/>
      <c r="N76" s="624"/>
      <c r="O76" s="624"/>
      <c r="P76" s="624"/>
      <c r="Q76" s="624"/>
    </row>
  </sheetData>
  <mergeCells count="7">
    <mergeCell ref="B48:Q76"/>
    <mergeCell ref="C3:D3"/>
    <mergeCell ref="E3:G3"/>
    <mergeCell ref="C14:H31"/>
    <mergeCell ref="C38:E38"/>
    <mergeCell ref="F38:I38"/>
    <mergeCell ref="J38:P38"/>
  </mergeCells>
  <pageMargins left="0.25" right="0.25" top="0.75" bottom="0.75" header="0.3" footer="0.3"/>
  <pageSetup scale="90" orientation="landscape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26</vt:i4>
      </vt:variant>
      <vt:variant>
        <vt:lpstr>Named Ranges</vt:lpstr>
      </vt:variant>
      <vt:variant>
        <vt:i4>3</vt:i4>
      </vt:variant>
    </vt:vector>
  </HeadingPairs>
  <TitlesOfParts>
    <vt:vector size="29" baseType="lpstr">
      <vt:lpstr>Dec 18th</vt:lpstr>
      <vt:lpstr>Sept 1st</vt:lpstr>
      <vt:lpstr>Sept 2nd</vt:lpstr>
      <vt:lpstr>Sept 3rd</vt:lpstr>
      <vt:lpstr>Sept 4th</vt:lpstr>
      <vt:lpstr>Sept 7th</vt:lpstr>
      <vt:lpstr>Sept 8th</vt:lpstr>
      <vt:lpstr>Sept 9th</vt:lpstr>
      <vt:lpstr>Sept 10th</vt:lpstr>
      <vt:lpstr>Sept 11th </vt:lpstr>
      <vt:lpstr>Sept 14th</vt:lpstr>
      <vt:lpstr>Sept 15th</vt:lpstr>
      <vt:lpstr>Sept 16th</vt:lpstr>
      <vt:lpstr>Sept 17th </vt:lpstr>
      <vt:lpstr>Sept 18th</vt:lpstr>
      <vt:lpstr>Sept 21st</vt:lpstr>
      <vt:lpstr>Sept 22nd</vt:lpstr>
      <vt:lpstr>Sept 23rd </vt:lpstr>
      <vt:lpstr>Sept 24th</vt:lpstr>
      <vt:lpstr>Sept 25th </vt:lpstr>
      <vt:lpstr>Sept 28th</vt:lpstr>
      <vt:lpstr>Sept 29th</vt:lpstr>
      <vt:lpstr>MTD_Links</vt:lpstr>
      <vt:lpstr>YTD_Links</vt:lpstr>
      <vt:lpstr>KPIs</vt:lpstr>
      <vt:lpstr>Brewer Performance</vt:lpstr>
      <vt:lpstr>'Brewer Performance'!Print_Area</vt:lpstr>
      <vt:lpstr>MTD_Links!Print_Area</vt:lpstr>
      <vt:lpstr>YTD_Links!Print_Area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Reshelle Fleming</dc:creator>
  <cp:lastModifiedBy>Kaylil Baptiste</cp:lastModifiedBy>
  <cp:lastPrinted>2024-01-26T11:36:30Z</cp:lastPrinted>
  <dcterms:created xsi:type="dcterms:W3CDTF">2020-01-28T18:21:11Z</dcterms:created>
  <dcterms:modified xsi:type="dcterms:W3CDTF">2026-09-30T13:05:19Z</dcterms:modified>
</cp:coreProperties>
</file>